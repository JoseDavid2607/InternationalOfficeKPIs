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jd_martinezo_uniandes_edu_co/Documents/GESTION OFICINA INTERNACIONAL/Estadísticas/Analisis movilidad/"/>
    </mc:Choice>
  </mc:AlternateContent>
  <xr:revisionPtr revIDLastSave="1686" documentId="13_ncr:1_{49687BCD-8817-4CC6-A463-9E163F966904}" xr6:coauthVersionLast="47" xr6:coauthVersionMax="47" xr10:uidLastSave="{AE3D8325-FE99-40B0-9F93-7B0EF2C0BCF4}"/>
  <bookViews>
    <workbookView minimized="1" xWindow="3705" yWindow="3570" windowWidth="7500" windowHeight="6000" firstSheet="4" activeTab="4" xr2:uid="{61C54AD8-5009-43F8-B155-987E54885181}"/>
  </bookViews>
  <sheets>
    <sheet name="Información a reportar" sheetId="7" r:id="rId1"/>
    <sheet name="Utilización Convenios" sheetId="5" r:id="rId2"/>
    <sheet name="Movilidad Internacional" sheetId="4" r:id="rId3"/>
    <sheet name="Outgoing" sheetId="1" r:id="rId4"/>
    <sheet name="Incoming" sheetId="2" r:id="rId5"/>
    <sheet name="Conversiones" sheetId="6" r:id="rId6"/>
    <sheet name="Borrador acreditaciones" sheetId="8" r:id="rId7"/>
    <sheet name="Pasantes Incoming" sheetId="3" state="hidden" r:id="rId8"/>
  </sheets>
  <definedNames>
    <definedName name="_xlnm._FilterDatabase" localSheetId="5" hidden="1">Conversiones!$B$3:$I$139</definedName>
    <definedName name="_xlnm._FilterDatabase" localSheetId="4" hidden="1">Incoming!$E$363:$F$363</definedName>
    <definedName name="_xlnm._FilterDatabase" localSheetId="3" hidden="1">Outgoing!#REF!</definedName>
    <definedName name="_xlnm._FilterDatabase" localSheetId="1" hidden="1">'Utilización Convenios'!$B$128:$R$207</definedName>
  </definedNames>
  <calcPr calcId="191028"/>
  <pivotCaches>
    <pivotCache cacheId="3858" r:id="rId9"/>
    <pivotCache cacheId="385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8" i="4" l="1"/>
  <c r="AI28" i="4"/>
  <c r="AH28" i="4"/>
  <c r="AG28" i="4"/>
  <c r="AF28" i="4"/>
  <c r="AE28" i="4"/>
  <c r="V28" i="4"/>
  <c r="U28" i="4"/>
  <c r="T28" i="4"/>
  <c r="S28" i="4"/>
  <c r="R28" i="4"/>
  <c r="Q28" i="4"/>
  <c r="H28" i="4"/>
  <c r="G28" i="4"/>
  <c r="F28" i="4"/>
  <c r="E28" i="4"/>
  <c r="D28" i="4"/>
  <c r="C28" i="4"/>
  <c r="AN13" i="4"/>
  <c r="AM13" i="4"/>
  <c r="AL13" i="4"/>
  <c r="AK13" i="4"/>
  <c r="AJ13" i="4"/>
  <c r="AI13" i="4"/>
  <c r="AH13" i="4"/>
  <c r="AG13" i="4"/>
  <c r="AF13" i="4"/>
  <c r="AE13" i="4"/>
  <c r="AB13" i="4"/>
  <c r="AA13" i="4"/>
  <c r="Z13" i="4"/>
  <c r="Y13" i="4"/>
  <c r="X13" i="4"/>
  <c r="W13" i="4"/>
  <c r="V13" i="4"/>
  <c r="U13" i="4"/>
  <c r="T13" i="4"/>
  <c r="S13" i="4"/>
  <c r="R13" i="4"/>
  <c r="Q13" i="4"/>
  <c r="N13" i="4"/>
  <c r="M13" i="4"/>
  <c r="L13" i="4"/>
  <c r="K13" i="4"/>
  <c r="J13" i="4"/>
  <c r="I13" i="4"/>
  <c r="H13" i="4"/>
  <c r="G13" i="4"/>
  <c r="F13" i="4"/>
  <c r="E13" i="4"/>
  <c r="D13" i="4"/>
  <c r="C13" i="4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H365" i="2" s="1"/>
  <c r="G366" i="2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G399" i="2"/>
  <c r="H399" i="2" s="1"/>
  <c r="G400" i="2"/>
  <c r="H400" i="2" s="1"/>
  <c r="G401" i="2"/>
  <c r="H401" i="2" s="1"/>
  <c r="E155" i="6"/>
  <c r="E154" i="6"/>
  <c r="H382" i="2"/>
  <c r="H398" i="2"/>
  <c r="H366" i="2"/>
  <c r="J123" i="5"/>
  <c r="E153" i="6"/>
  <c r="E152" i="6"/>
  <c r="E151" i="6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U517" i="1" s="1"/>
  <c r="T518" i="1"/>
  <c r="T519" i="1"/>
  <c r="T520" i="1"/>
  <c r="T521" i="1"/>
  <c r="T522" i="1"/>
  <c r="T523" i="1"/>
  <c r="T524" i="1"/>
  <c r="T525" i="1"/>
  <c r="T526" i="1"/>
  <c r="T527" i="1"/>
  <c r="U527" i="1" s="1"/>
  <c r="T528" i="1"/>
  <c r="U528" i="1" s="1"/>
  <c r="T529" i="1"/>
  <c r="T530" i="1"/>
  <c r="T531" i="1"/>
  <c r="T532" i="1"/>
  <c r="U532" i="1" s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P227" i="5" l="1"/>
  <c r="N214" i="5"/>
  <c r="J217" i="5"/>
  <c r="F220" i="5"/>
  <c r="N222" i="5"/>
  <c r="J225" i="5"/>
  <c r="N205" i="5"/>
  <c r="P214" i="5"/>
  <c r="L217" i="5"/>
  <c r="H220" i="5"/>
  <c r="P222" i="5"/>
  <c r="L225" i="5"/>
  <c r="F215" i="5"/>
  <c r="N217" i="5"/>
  <c r="J220" i="5"/>
  <c r="F223" i="5"/>
  <c r="N225" i="5"/>
  <c r="P205" i="5"/>
  <c r="H215" i="5"/>
  <c r="P217" i="5"/>
  <c r="L220" i="5"/>
  <c r="H223" i="5"/>
  <c r="P225" i="5"/>
  <c r="J215" i="5"/>
  <c r="F218" i="5"/>
  <c r="N220" i="5"/>
  <c r="J223" i="5"/>
  <c r="F226" i="5"/>
  <c r="L215" i="5"/>
  <c r="H218" i="5"/>
  <c r="P220" i="5"/>
  <c r="L223" i="5"/>
  <c r="H226" i="5"/>
  <c r="F213" i="5"/>
  <c r="N215" i="5"/>
  <c r="J218" i="5"/>
  <c r="F221" i="5"/>
  <c r="N223" i="5"/>
  <c r="J226" i="5"/>
  <c r="H213" i="5"/>
  <c r="P215" i="5"/>
  <c r="L218" i="5"/>
  <c r="H221" i="5"/>
  <c r="P223" i="5"/>
  <c r="L226" i="5"/>
  <c r="J213" i="5"/>
  <c r="F216" i="5"/>
  <c r="N218" i="5"/>
  <c r="J221" i="5"/>
  <c r="F224" i="5"/>
  <c r="N226" i="5"/>
  <c r="L213" i="5"/>
  <c r="H216" i="5"/>
  <c r="P218" i="5"/>
  <c r="L221" i="5"/>
  <c r="H224" i="5"/>
  <c r="P226" i="5"/>
  <c r="N213" i="5"/>
  <c r="J216" i="5"/>
  <c r="F219" i="5"/>
  <c r="N221" i="5"/>
  <c r="J224" i="5"/>
  <c r="F227" i="5"/>
  <c r="P213" i="5"/>
  <c r="L216" i="5"/>
  <c r="H219" i="5"/>
  <c r="P221" i="5"/>
  <c r="L224" i="5"/>
  <c r="H227" i="5"/>
  <c r="F214" i="5"/>
  <c r="N216" i="5"/>
  <c r="J219" i="5"/>
  <c r="F222" i="5"/>
  <c r="N224" i="5"/>
  <c r="J227" i="5"/>
  <c r="H214" i="5"/>
  <c r="P216" i="5"/>
  <c r="L219" i="5"/>
  <c r="H222" i="5"/>
  <c r="P224" i="5"/>
  <c r="L227" i="5"/>
  <c r="J214" i="5"/>
  <c r="F217" i="5"/>
  <c r="N219" i="5"/>
  <c r="J222" i="5"/>
  <c r="F225" i="5"/>
  <c r="N227" i="5"/>
  <c r="L214" i="5"/>
  <c r="H217" i="5"/>
  <c r="P219" i="5"/>
  <c r="L222" i="5"/>
  <c r="H225" i="5"/>
  <c r="R215" i="5"/>
  <c r="N111" i="5"/>
  <c r="P111" i="5"/>
  <c r="F205" i="5"/>
  <c r="H205" i="5"/>
  <c r="F111" i="5"/>
  <c r="J205" i="5"/>
  <c r="H111" i="5"/>
  <c r="L205" i="5"/>
  <c r="J111" i="5"/>
  <c r="L111" i="5"/>
  <c r="H73" i="4"/>
  <c r="V112" i="4" s="1"/>
  <c r="H72" i="4"/>
  <c r="H112" i="4" s="1"/>
  <c r="H68" i="4"/>
  <c r="H67" i="4"/>
  <c r="H66" i="4"/>
  <c r="H65" i="4"/>
  <c r="H64" i="4"/>
  <c r="H63" i="4"/>
  <c r="H62" i="4"/>
  <c r="H61" i="4"/>
  <c r="H60" i="4"/>
  <c r="H59" i="4"/>
  <c r="H58" i="4"/>
  <c r="G58" i="4"/>
  <c r="G59" i="4"/>
  <c r="G60" i="4"/>
  <c r="G61" i="4"/>
  <c r="G62" i="4"/>
  <c r="G63" i="4"/>
  <c r="G64" i="4"/>
  <c r="G65" i="4"/>
  <c r="G66" i="4"/>
  <c r="G67" i="4"/>
  <c r="G68" i="4"/>
  <c r="G72" i="4"/>
  <c r="G73" i="4"/>
  <c r="N55" i="4"/>
  <c r="AB82" i="4" s="1"/>
  <c r="M55" i="4"/>
  <c r="AA82" i="4" s="1"/>
  <c r="N54" i="4"/>
  <c r="N82" i="4" s="1"/>
  <c r="M54" i="4"/>
  <c r="M82" i="4" s="1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V73" i="4"/>
  <c r="V115" i="4" s="1"/>
  <c r="V72" i="4"/>
  <c r="H115" i="4" s="1"/>
  <c r="V68" i="4"/>
  <c r="V67" i="4"/>
  <c r="V66" i="4"/>
  <c r="V65" i="4"/>
  <c r="V64" i="4"/>
  <c r="V63" i="4"/>
  <c r="V62" i="4"/>
  <c r="V61" i="4"/>
  <c r="V60" i="4"/>
  <c r="V59" i="4"/>
  <c r="V58" i="4"/>
  <c r="AB55" i="4"/>
  <c r="AB85" i="4" s="1"/>
  <c r="AA55" i="4"/>
  <c r="AA85" i="4" s="1"/>
  <c r="AB54" i="4"/>
  <c r="N85" i="4" s="1"/>
  <c r="AA54" i="4"/>
  <c r="M85" i="4" s="1"/>
  <c r="AB50" i="4"/>
  <c r="AA50" i="4"/>
  <c r="AB49" i="4"/>
  <c r="AA49" i="4"/>
  <c r="AB48" i="4"/>
  <c r="AA48" i="4"/>
  <c r="AB47" i="4"/>
  <c r="AA47" i="4"/>
  <c r="AB46" i="4"/>
  <c r="AA46" i="4"/>
  <c r="AB45" i="4"/>
  <c r="AA45" i="4"/>
  <c r="AB44" i="4"/>
  <c r="AA44" i="4"/>
  <c r="AB43" i="4"/>
  <c r="AA43" i="4"/>
  <c r="AB42" i="4"/>
  <c r="AA42" i="4"/>
  <c r="AB41" i="4"/>
  <c r="AA41" i="4"/>
  <c r="AB40" i="4"/>
  <c r="AA40" i="4"/>
  <c r="AJ73" i="4"/>
  <c r="V116" i="4" s="1"/>
  <c r="AJ72" i="4"/>
  <c r="H116" i="4" s="1"/>
  <c r="AJ68" i="4"/>
  <c r="AJ67" i="4"/>
  <c r="AJ66" i="4"/>
  <c r="AJ65" i="4"/>
  <c r="AJ64" i="4"/>
  <c r="AJ63" i="4"/>
  <c r="AJ62" i="4"/>
  <c r="AJ61" i="4"/>
  <c r="AJ60" i="4"/>
  <c r="AJ59" i="4"/>
  <c r="AJ58" i="4"/>
  <c r="AP55" i="4"/>
  <c r="AB86" i="4" s="1"/>
  <c r="AO55" i="4"/>
  <c r="AA86" i="4" s="1"/>
  <c r="AN55" i="4"/>
  <c r="Z86" i="4" s="1"/>
  <c r="AP54" i="4"/>
  <c r="N86" i="4" s="1"/>
  <c r="AO54" i="4"/>
  <c r="M86" i="4" s="1"/>
  <c r="AN54" i="4"/>
  <c r="L86" i="4" s="1"/>
  <c r="AP50" i="4"/>
  <c r="AO50" i="4"/>
  <c r="AP49" i="4"/>
  <c r="AO49" i="4"/>
  <c r="AP48" i="4"/>
  <c r="AO48" i="4"/>
  <c r="AP47" i="4"/>
  <c r="AO47" i="4"/>
  <c r="AP46" i="4"/>
  <c r="AO46" i="4"/>
  <c r="AP45" i="4"/>
  <c r="AO45" i="4"/>
  <c r="AP44" i="4"/>
  <c r="AO44" i="4"/>
  <c r="AP43" i="4"/>
  <c r="AO43" i="4"/>
  <c r="AP42" i="4"/>
  <c r="AO42" i="4"/>
  <c r="AP41" i="4"/>
  <c r="AO41" i="4"/>
  <c r="AP40" i="4"/>
  <c r="AO40" i="4"/>
  <c r="AN50" i="4"/>
  <c r="AN49" i="4"/>
  <c r="AN48" i="4"/>
  <c r="AN47" i="4"/>
  <c r="AN46" i="4"/>
  <c r="AN45" i="4"/>
  <c r="AN44" i="4"/>
  <c r="AN43" i="4"/>
  <c r="AN42" i="4"/>
  <c r="AN41" i="4"/>
  <c r="AN40" i="4"/>
  <c r="AX41" i="4"/>
  <c r="AX40" i="4"/>
  <c r="AW40" i="4"/>
  <c r="AW41" i="4"/>
  <c r="AN14" i="4"/>
  <c r="AN12" i="4"/>
  <c r="AN11" i="4"/>
  <c r="AN10" i="4"/>
  <c r="AN9" i="4"/>
  <c r="AN8" i="4"/>
  <c r="AN7" i="4"/>
  <c r="AN6" i="4"/>
  <c r="AB14" i="4"/>
  <c r="AA14" i="4"/>
  <c r="AB12" i="4"/>
  <c r="AA12" i="4"/>
  <c r="AB11" i="4"/>
  <c r="AA11" i="4"/>
  <c r="AB10" i="4"/>
  <c r="AA10" i="4"/>
  <c r="AB9" i="4"/>
  <c r="AA9" i="4"/>
  <c r="AB8" i="4"/>
  <c r="AA8" i="4"/>
  <c r="AB7" i="4"/>
  <c r="AA7" i="4"/>
  <c r="AB6" i="4"/>
  <c r="AA6" i="4"/>
  <c r="N14" i="4"/>
  <c r="M14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H29" i="4"/>
  <c r="H27" i="4"/>
  <c r="H26" i="4"/>
  <c r="H25" i="4"/>
  <c r="H24" i="4"/>
  <c r="H23" i="4"/>
  <c r="H22" i="4"/>
  <c r="H21" i="4"/>
  <c r="V29" i="4"/>
  <c r="V27" i="4"/>
  <c r="V26" i="4"/>
  <c r="V25" i="4"/>
  <c r="V24" i="4"/>
  <c r="V23" i="4"/>
  <c r="V22" i="4"/>
  <c r="V21" i="4"/>
  <c r="AJ29" i="4"/>
  <c r="AJ27" i="4"/>
  <c r="AJ26" i="4"/>
  <c r="AJ25" i="4"/>
  <c r="AJ24" i="4"/>
  <c r="AJ23" i="4"/>
  <c r="AJ22" i="4"/>
  <c r="AJ21" i="4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U487" i="1" s="1"/>
  <c r="T488" i="1"/>
  <c r="T489" i="1"/>
  <c r="T490" i="1"/>
  <c r="T491" i="1"/>
  <c r="U491" i="1" s="1"/>
  <c r="T492" i="1"/>
  <c r="T493" i="1"/>
  <c r="U493" i="1" s="1"/>
  <c r="T494" i="1"/>
  <c r="T495" i="1"/>
  <c r="T496" i="1"/>
  <c r="T497" i="1"/>
  <c r="E140" i="6"/>
  <c r="E141" i="6"/>
  <c r="E142" i="6"/>
  <c r="E143" i="6"/>
  <c r="E144" i="6"/>
  <c r="E145" i="6"/>
  <c r="E146" i="6"/>
  <c r="E147" i="6"/>
  <c r="E148" i="6"/>
  <c r="E149" i="6"/>
  <c r="E150" i="6"/>
  <c r="R226" i="5" l="1"/>
  <c r="O205" i="5"/>
  <c r="O111" i="5"/>
  <c r="R217" i="5"/>
  <c r="L228" i="5"/>
  <c r="R213" i="5"/>
  <c r="R214" i="5"/>
  <c r="R218" i="5"/>
  <c r="R224" i="5"/>
  <c r="P228" i="5"/>
  <c r="R225" i="5"/>
  <c r="H228" i="5"/>
  <c r="N228" i="5"/>
  <c r="R222" i="5"/>
  <c r="R216" i="5"/>
  <c r="R221" i="5"/>
  <c r="R220" i="5"/>
  <c r="J228" i="5"/>
  <c r="R219" i="5"/>
  <c r="R223" i="5"/>
  <c r="R227" i="5"/>
  <c r="F228" i="5"/>
  <c r="G213" i="5"/>
  <c r="G214" i="5"/>
  <c r="G223" i="5"/>
  <c r="G219" i="5"/>
  <c r="G215" i="5"/>
  <c r="K205" i="5"/>
  <c r="G111" i="5"/>
  <c r="G205" i="5"/>
  <c r="K111" i="5"/>
  <c r="I111" i="5"/>
  <c r="E111" i="5"/>
  <c r="M205" i="5"/>
  <c r="I205" i="5"/>
  <c r="E205" i="5"/>
  <c r="K214" i="5"/>
  <c r="K220" i="5"/>
  <c r="K216" i="5"/>
  <c r="K213" i="5"/>
  <c r="M111" i="5"/>
  <c r="I217" i="5"/>
  <c r="I214" i="5"/>
  <c r="I221" i="5"/>
  <c r="I225" i="5"/>
  <c r="I213" i="5"/>
  <c r="O217" i="5"/>
  <c r="O213" i="5"/>
  <c r="M218" i="5"/>
  <c r="M222" i="5"/>
  <c r="M213" i="5"/>
  <c r="M214" i="5"/>
  <c r="M226" i="5"/>
  <c r="O227" i="5"/>
  <c r="K226" i="5"/>
  <c r="G225" i="5"/>
  <c r="O223" i="5"/>
  <c r="K222" i="5"/>
  <c r="G221" i="5"/>
  <c r="O219" i="5"/>
  <c r="K218" i="5"/>
  <c r="G217" i="5"/>
  <c r="O215" i="5"/>
  <c r="E220" i="5"/>
  <c r="E216" i="5"/>
  <c r="M227" i="5"/>
  <c r="I226" i="5"/>
  <c r="E225" i="5"/>
  <c r="M223" i="5"/>
  <c r="I222" i="5"/>
  <c r="E221" i="5"/>
  <c r="M219" i="5"/>
  <c r="I218" i="5"/>
  <c r="E217" i="5"/>
  <c r="M215" i="5"/>
  <c r="E213" i="5"/>
  <c r="K227" i="5"/>
  <c r="G226" i="5"/>
  <c r="O224" i="5"/>
  <c r="K223" i="5"/>
  <c r="G222" i="5"/>
  <c r="O220" i="5"/>
  <c r="K219" i="5"/>
  <c r="G218" i="5"/>
  <c r="O216" i="5"/>
  <c r="K215" i="5"/>
  <c r="I227" i="5"/>
  <c r="E226" i="5"/>
  <c r="M224" i="5"/>
  <c r="I223" i="5"/>
  <c r="E222" i="5"/>
  <c r="M220" i="5"/>
  <c r="I219" i="5"/>
  <c r="E218" i="5"/>
  <c r="M216" i="5"/>
  <c r="I215" i="5"/>
  <c r="E214" i="5"/>
  <c r="E224" i="5"/>
  <c r="O221" i="5"/>
  <c r="G227" i="5"/>
  <c r="O225" i="5"/>
  <c r="K224" i="5"/>
  <c r="E227" i="5"/>
  <c r="M225" i="5"/>
  <c r="I224" i="5"/>
  <c r="E223" i="5"/>
  <c r="M221" i="5"/>
  <c r="I220" i="5"/>
  <c r="E219" i="5"/>
  <c r="M217" i="5"/>
  <c r="I216" i="5"/>
  <c r="E215" i="5"/>
  <c r="O226" i="5"/>
  <c r="K225" i="5"/>
  <c r="G224" i="5"/>
  <c r="O222" i="5"/>
  <c r="K221" i="5"/>
  <c r="G220" i="5"/>
  <c r="O218" i="5"/>
  <c r="K217" i="5"/>
  <c r="G216" i="5"/>
  <c r="O214" i="5"/>
  <c r="R111" i="5"/>
  <c r="R205" i="5"/>
  <c r="O198" i="5"/>
  <c r="M198" i="5"/>
  <c r="K198" i="5"/>
  <c r="I198" i="5"/>
  <c r="G198" i="5"/>
  <c r="E198" i="5"/>
  <c r="AJ32" i="4"/>
  <c r="H32" i="4"/>
  <c r="H113" i="4" s="1"/>
  <c r="V32" i="4"/>
  <c r="H114" i="4" s="1"/>
  <c r="O118" i="5"/>
  <c r="O94" i="5"/>
  <c r="J126" i="5"/>
  <c r="I126" i="5"/>
  <c r="H126" i="5"/>
  <c r="G126" i="5"/>
  <c r="F126" i="5"/>
  <c r="E126" i="5"/>
  <c r="O10" i="5"/>
  <c r="O82" i="5"/>
  <c r="O41" i="5"/>
  <c r="O25" i="5"/>
  <c r="O45" i="5"/>
  <c r="M17" i="4"/>
  <c r="M83" i="4" s="1"/>
  <c r="AA17" i="4"/>
  <c r="M84" i="4" s="1"/>
  <c r="O100" i="5"/>
  <c r="O9" i="5"/>
  <c r="O24" i="5"/>
  <c r="O147" i="5"/>
  <c r="O131" i="5"/>
  <c r="O99" i="5"/>
  <c r="O63" i="5"/>
  <c r="O31" i="5"/>
  <c r="O15" i="5"/>
  <c r="O178" i="5"/>
  <c r="O74" i="5"/>
  <c r="O53" i="5"/>
  <c r="O26" i="5"/>
  <c r="O61" i="5"/>
  <c r="O29" i="5"/>
  <c r="O66" i="5"/>
  <c r="O196" i="5"/>
  <c r="O80" i="5"/>
  <c r="O170" i="5"/>
  <c r="O13" i="5"/>
  <c r="O83" i="5"/>
  <c r="O50" i="5"/>
  <c r="O188" i="5"/>
  <c r="O64" i="5"/>
  <c r="O162" i="5"/>
  <c r="O11" i="5"/>
  <c r="O75" i="5"/>
  <c r="O18" i="5"/>
  <c r="O172" i="5"/>
  <c r="O48" i="5"/>
  <c r="O153" i="5"/>
  <c r="O8" i="5"/>
  <c r="O67" i="5"/>
  <c r="O92" i="5"/>
  <c r="O156" i="5"/>
  <c r="O16" i="5"/>
  <c r="O145" i="5"/>
  <c r="O44" i="5"/>
  <c r="O59" i="5"/>
  <c r="O73" i="5"/>
  <c r="O139" i="5"/>
  <c r="O23" i="5"/>
  <c r="O137" i="5"/>
  <c r="O28" i="5"/>
  <c r="O51" i="5"/>
  <c r="O49" i="5"/>
  <c r="O107" i="5"/>
  <c r="O7" i="5"/>
  <c r="O105" i="5"/>
  <c r="O12" i="5"/>
  <c r="O43" i="5"/>
  <c r="O33" i="5"/>
  <c r="O91" i="5"/>
  <c r="O90" i="5"/>
  <c r="O97" i="5"/>
  <c r="O19" i="5"/>
  <c r="O35" i="5"/>
  <c r="O17" i="5"/>
  <c r="O72" i="5"/>
  <c r="O79" i="5"/>
  <c r="O89" i="5"/>
  <c r="O36" i="5"/>
  <c r="O27" i="5"/>
  <c r="O32" i="5"/>
  <c r="O56" i="5"/>
  <c r="O71" i="5"/>
  <c r="O78" i="5"/>
  <c r="O20" i="5"/>
  <c r="O70" i="5"/>
  <c r="O58" i="5"/>
  <c r="O81" i="5"/>
  <c r="O206" i="5"/>
  <c r="O55" i="5"/>
  <c r="O37" i="5"/>
  <c r="O22" i="5"/>
  <c r="O6" i="5"/>
  <c r="O62" i="5"/>
  <c r="O46" i="5"/>
  <c r="O30" i="5"/>
  <c r="O14" i="5"/>
  <c r="O54" i="5"/>
  <c r="O38" i="5"/>
  <c r="O42" i="5"/>
  <c r="O65" i="5"/>
  <c r="O180" i="5"/>
  <c r="O47" i="5"/>
  <c r="O21" i="5"/>
  <c r="O40" i="5"/>
  <c r="O34" i="5"/>
  <c r="O57" i="5"/>
  <c r="O164" i="5"/>
  <c r="O39" i="5"/>
  <c r="O5" i="5"/>
  <c r="N17" i="4"/>
  <c r="N83" i="4" s="1"/>
  <c r="AB17" i="4"/>
  <c r="N84" i="4" s="1"/>
  <c r="U486" i="1"/>
  <c r="G86" i="5"/>
  <c r="O119" i="5"/>
  <c r="O117" i="5"/>
  <c r="O155" i="5"/>
  <c r="M86" i="5"/>
  <c r="I85" i="5"/>
  <c r="O200" i="5"/>
  <c r="O191" i="5"/>
  <c r="O183" i="5"/>
  <c r="O175" i="5"/>
  <c r="O167" i="5"/>
  <c r="O159" i="5"/>
  <c r="O150" i="5"/>
  <c r="O142" i="5"/>
  <c r="O134" i="5"/>
  <c r="O110" i="5"/>
  <c r="O102" i="5"/>
  <c r="O158" i="5"/>
  <c r="O141" i="5"/>
  <c r="O109" i="5"/>
  <c r="O93" i="5"/>
  <c r="O87" i="5"/>
  <c r="K86" i="5"/>
  <c r="G85" i="5"/>
  <c r="O199" i="5"/>
  <c r="O190" i="5"/>
  <c r="O182" i="5"/>
  <c r="O174" i="5"/>
  <c r="O166" i="5"/>
  <c r="O149" i="5"/>
  <c r="O133" i="5"/>
  <c r="O101" i="5"/>
  <c r="M87" i="5"/>
  <c r="I86" i="5"/>
  <c r="E85" i="5"/>
  <c r="O197" i="5"/>
  <c r="O189" i="5"/>
  <c r="O181" i="5"/>
  <c r="O173" i="5"/>
  <c r="O165" i="5"/>
  <c r="O157" i="5"/>
  <c r="O148" i="5"/>
  <c r="O140" i="5"/>
  <c r="O132" i="5"/>
  <c r="O108" i="5"/>
  <c r="K87" i="5"/>
  <c r="I87" i="5"/>
  <c r="E86" i="5"/>
  <c r="O204" i="5"/>
  <c r="O195" i="5"/>
  <c r="O187" i="5"/>
  <c r="O179" i="5"/>
  <c r="O171" i="5"/>
  <c r="O163" i="5"/>
  <c r="O154" i="5"/>
  <c r="O146" i="5"/>
  <c r="O138" i="5"/>
  <c r="O106" i="5"/>
  <c r="O98" i="5"/>
  <c r="O203" i="5"/>
  <c r="O194" i="5"/>
  <c r="O186" i="5"/>
  <c r="G87" i="5"/>
  <c r="O85" i="5"/>
  <c r="O144" i="5"/>
  <c r="O104" i="5"/>
  <c r="O88" i="5"/>
  <c r="O69" i="5"/>
  <c r="E87" i="5"/>
  <c r="M85" i="5"/>
  <c r="O202" i="5"/>
  <c r="O193" i="5"/>
  <c r="O185" i="5"/>
  <c r="O177" i="5"/>
  <c r="O169" i="5"/>
  <c r="O161" i="5"/>
  <c r="O152" i="5"/>
  <c r="O136" i="5"/>
  <c r="O96" i="5"/>
  <c r="O77" i="5"/>
  <c r="O112" i="5"/>
  <c r="O76" i="5"/>
  <c r="O60" i="5"/>
  <c r="O86" i="5"/>
  <c r="K85" i="5"/>
  <c r="O201" i="5"/>
  <c r="O192" i="5"/>
  <c r="O184" i="5"/>
  <c r="O176" i="5"/>
  <c r="O168" i="5"/>
  <c r="O160" i="5"/>
  <c r="O151" i="5"/>
  <c r="O143" i="5"/>
  <c r="O135" i="5"/>
  <c r="O103" i="5"/>
  <c r="O95" i="5"/>
  <c r="O84" i="5"/>
  <c r="O68" i="5"/>
  <c r="O52" i="5"/>
  <c r="U496" i="1"/>
  <c r="U494" i="1"/>
  <c r="M18" i="4"/>
  <c r="AA83" i="4" s="1"/>
  <c r="N18" i="4"/>
  <c r="AB83" i="4" s="1"/>
  <c r="AN17" i="4"/>
  <c r="AN18" i="4"/>
  <c r="AA18" i="4"/>
  <c r="AA84" i="4" s="1"/>
  <c r="AB18" i="4"/>
  <c r="AB84" i="4" s="1"/>
  <c r="H33" i="4"/>
  <c r="V113" i="4" s="1"/>
  <c r="V33" i="4"/>
  <c r="V114" i="4" s="1"/>
  <c r="AJ33" i="4"/>
  <c r="Q223" i="5" l="1"/>
  <c r="R228" i="5"/>
  <c r="Q225" i="5"/>
  <c r="Q205" i="5"/>
  <c r="M228" i="5"/>
  <c r="Q224" i="5"/>
  <c r="Q214" i="5"/>
  <c r="Q216" i="5"/>
  <c r="Q111" i="5"/>
  <c r="Q213" i="5"/>
  <c r="E228" i="5"/>
  <c r="Q215" i="5"/>
  <c r="Q220" i="5"/>
  <c r="O228" i="5"/>
  <c r="Q218" i="5"/>
  <c r="I228" i="5"/>
  <c r="Q219" i="5"/>
  <c r="Q222" i="5"/>
  <c r="Q217" i="5"/>
  <c r="Q226" i="5"/>
  <c r="K228" i="5"/>
  <c r="Q227" i="5"/>
  <c r="Q221" i="5"/>
  <c r="G228" i="5"/>
  <c r="Q198" i="5"/>
  <c r="Q87" i="5"/>
  <c r="Q85" i="5"/>
  <c r="Q86" i="5"/>
  <c r="K126" i="5"/>
  <c r="O113" i="5"/>
  <c r="O120" i="5"/>
  <c r="O207" i="5"/>
  <c r="D106" i="8"/>
  <c r="D104" i="8"/>
  <c r="D101" i="8"/>
  <c r="D99" i="8"/>
  <c r="D105" i="8"/>
  <c r="D103" i="8"/>
  <c r="D100" i="8"/>
  <c r="D98" i="8"/>
  <c r="Q228" i="5" l="1"/>
  <c r="AI29" i="4"/>
  <c r="AH29" i="4"/>
  <c r="AG29" i="4"/>
  <c r="AF29" i="4"/>
  <c r="AE29" i="4"/>
  <c r="AI27" i="4"/>
  <c r="AH27" i="4"/>
  <c r="AG27" i="4"/>
  <c r="AF27" i="4"/>
  <c r="AE27" i="4"/>
  <c r="AI26" i="4"/>
  <c r="AH26" i="4"/>
  <c r="AG26" i="4"/>
  <c r="AF26" i="4"/>
  <c r="AE26" i="4"/>
  <c r="AI25" i="4"/>
  <c r="AH25" i="4"/>
  <c r="AG25" i="4"/>
  <c r="AF25" i="4"/>
  <c r="AE25" i="4"/>
  <c r="AI24" i="4"/>
  <c r="AH24" i="4"/>
  <c r="AG24" i="4"/>
  <c r="AF24" i="4"/>
  <c r="AE24" i="4"/>
  <c r="AI23" i="4"/>
  <c r="AH23" i="4"/>
  <c r="AG23" i="4"/>
  <c r="AF23" i="4"/>
  <c r="AE23" i="4"/>
  <c r="AI22" i="4"/>
  <c r="AH22" i="4"/>
  <c r="AG22" i="4"/>
  <c r="AF22" i="4"/>
  <c r="AE22" i="4"/>
  <c r="AI21" i="4"/>
  <c r="AH21" i="4"/>
  <c r="AG21" i="4"/>
  <c r="AF21" i="4"/>
  <c r="AE21" i="4"/>
  <c r="AV41" i="4"/>
  <c r="AU41" i="4"/>
  <c r="AT41" i="4"/>
  <c r="AS41" i="4"/>
  <c r="AV40" i="4"/>
  <c r="AU40" i="4"/>
  <c r="AT40" i="4"/>
  <c r="AS40" i="4"/>
  <c r="Z55" i="4"/>
  <c r="Z85" i="4" s="1"/>
  <c r="Z54" i="4"/>
  <c r="L85" i="4" s="1"/>
  <c r="L55" i="4"/>
  <c r="Z82" i="4" s="1"/>
  <c r="L54" i="4"/>
  <c r="L82" i="4" s="1"/>
  <c r="Z50" i="4"/>
  <c r="Z49" i="4"/>
  <c r="Z48" i="4"/>
  <c r="Z47" i="4"/>
  <c r="Z46" i="4"/>
  <c r="Z45" i="4"/>
  <c r="Z44" i="4"/>
  <c r="Z43" i="4"/>
  <c r="Z42" i="4"/>
  <c r="Z41" i="4"/>
  <c r="Z40" i="4"/>
  <c r="L50" i="4"/>
  <c r="L49" i="4"/>
  <c r="L48" i="4"/>
  <c r="L47" i="4"/>
  <c r="L46" i="4"/>
  <c r="L45" i="4"/>
  <c r="L44" i="4"/>
  <c r="L43" i="4"/>
  <c r="L42" i="4"/>
  <c r="L41" i="4"/>
  <c r="L40" i="4"/>
  <c r="Z14" i="4"/>
  <c r="Z12" i="4"/>
  <c r="Z11" i="4"/>
  <c r="Z10" i="4"/>
  <c r="Z9" i="4"/>
  <c r="Z8" i="4"/>
  <c r="Z7" i="4"/>
  <c r="Z6" i="4"/>
  <c r="L14" i="4"/>
  <c r="L12" i="4"/>
  <c r="L11" i="4"/>
  <c r="L10" i="4"/>
  <c r="L9" i="4"/>
  <c r="L8" i="4"/>
  <c r="L7" i="4"/>
  <c r="L6" i="4"/>
  <c r="H268" i="2"/>
  <c r="E139" i="6"/>
  <c r="E138" i="6"/>
  <c r="E137" i="6"/>
  <c r="E136" i="6"/>
  <c r="E135" i="6"/>
  <c r="E134" i="6"/>
  <c r="E133" i="6"/>
  <c r="U551" i="1" s="1"/>
  <c r="E132" i="6"/>
  <c r="U556" i="1" s="1"/>
  <c r="N86" i="5" l="1"/>
  <c r="P200" i="5"/>
  <c r="P183" i="5"/>
  <c r="P167" i="5"/>
  <c r="P150" i="5"/>
  <c r="P134" i="5"/>
  <c r="P102" i="5"/>
  <c r="P83" i="5"/>
  <c r="P67" i="5"/>
  <c r="P51" i="5"/>
  <c r="P35" i="5"/>
  <c r="P19" i="5"/>
  <c r="P182" i="5"/>
  <c r="P101" i="5"/>
  <c r="P50" i="5"/>
  <c r="P161" i="5"/>
  <c r="P29" i="5"/>
  <c r="P175" i="5"/>
  <c r="P59" i="5"/>
  <c r="P186" i="5"/>
  <c r="P6" i="5"/>
  <c r="P69" i="5"/>
  <c r="L86" i="5"/>
  <c r="P166" i="5"/>
  <c r="P149" i="5"/>
  <c r="P82" i="5"/>
  <c r="P34" i="5"/>
  <c r="P110" i="5"/>
  <c r="P137" i="5"/>
  <c r="P202" i="5"/>
  <c r="J86" i="5"/>
  <c r="P197" i="5"/>
  <c r="P181" i="5"/>
  <c r="P165" i="5"/>
  <c r="P148" i="5"/>
  <c r="P132" i="5"/>
  <c r="P100" i="5"/>
  <c r="P81" i="5"/>
  <c r="P65" i="5"/>
  <c r="P49" i="5"/>
  <c r="P33" i="5"/>
  <c r="P17" i="5"/>
  <c r="P193" i="5"/>
  <c r="P45" i="5"/>
  <c r="P191" i="5"/>
  <c r="P75" i="5"/>
  <c r="H87" i="5"/>
  <c r="P38" i="5"/>
  <c r="P88" i="5"/>
  <c r="H86" i="5"/>
  <c r="P196" i="5"/>
  <c r="P180" i="5"/>
  <c r="P164" i="5"/>
  <c r="P147" i="5"/>
  <c r="P131" i="5"/>
  <c r="P99" i="5"/>
  <c r="P80" i="5"/>
  <c r="P64" i="5"/>
  <c r="P48" i="5"/>
  <c r="P32" i="5"/>
  <c r="P16" i="5"/>
  <c r="N85" i="5"/>
  <c r="P96" i="5"/>
  <c r="P13" i="5"/>
  <c r="P142" i="5"/>
  <c r="P27" i="5"/>
  <c r="P153" i="5"/>
  <c r="F87" i="5"/>
  <c r="P53" i="5"/>
  <c r="F86" i="5"/>
  <c r="P195" i="5"/>
  <c r="P179" i="5"/>
  <c r="P163" i="5"/>
  <c r="P146" i="5"/>
  <c r="P98" i="5"/>
  <c r="P79" i="5"/>
  <c r="P63" i="5"/>
  <c r="P47" i="5"/>
  <c r="P31" i="5"/>
  <c r="P15" i="5"/>
  <c r="P144" i="5"/>
  <c r="P61" i="5"/>
  <c r="J85" i="5"/>
  <c r="P94" i="5"/>
  <c r="P11" i="5"/>
  <c r="P105" i="5"/>
  <c r="P169" i="5"/>
  <c r="P21" i="5"/>
  <c r="P198" i="5"/>
  <c r="P85" i="5"/>
  <c r="P194" i="5"/>
  <c r="P178" i="5"/>
  <c r="P162" i="5"/>
  <c r="P145" i="5"/>
  <c r="P97" i="5"/>
  <c r="P78" i="5"/>
  <c r="P62" i="5"/>
  <c r="P46" i="5"/>
  <c r="P30" i="5"/>
  <c r="P14" i="5"/>
  <c r="P170" i="5"/>
  <c r="P136" i="5"/>
  <c r="N198" i="5"/>
  <c r="L85" i="5"/>
  <c r="P192" i="5"/>
  <c r="P176" i="5"/>
  <c r="P160" i="5"/>
  <c r="P143" i="5"/>
  <c r="P112" i="5"/>
  <c r="P95" i="5"/>
  <c r="P76" i="5"/>
  <c r="P60" i="5"/>
  <c r="P44" i="5"/>
  <c r="P28" i="5"/>
  <c r="P12" i="5"/>
  <c r="P155" i="5"/>
  <c r="P89" i="5"/>
  <c r="L198" i="5"/>
  <c r="P87" i="5"/>
  <c r="H85" i="5"/>
  <c r="P190" i="5"/>
  <c r="P174" i="5"/>
  <c r="P158" i="5"/>
  <c r="P141" i="5"/>
  <c r="P109" i="5"/>
  <c r="P93" i="5"/>
  <c r="P74" i="5"/>
  <c r="P58" i="5"/>
  <c r="P42" i="5"/>
  <c r="P26" i="5"/>
  <c r="P10" i="5"/>
  <c r="N87" i="5"/>
  <c r="F85" i="5"/>
  <c r="P189" i="5"/>
  <c r="P173" i="5"/>
  <c r="P157" i="5"/>
  <c r="P140" i="5"/>
  <c r="P108" i="5"/>
  <c r="P92" i="5"/>
  <c r="P73" i="5"/>
  <c r="P57" i="5"/>
  <c r="P41" i="5"/>
  <c r="P25" i="5"/>
  <c r="P9" i="5"/>
  <c r="H198" i="5"/>
  <c r="P54" i="5"/>
  <c r="P185" i="5"/>
  <c r="P5" i="5"/>
  <c r="J198" i="5"/>
  <c r="L87" i="5"/>
  <c r="P206" i="5"/>
  <c r="P188" i="5"/>
  <c r="P172" i="5"/>
  <c r="P156" i="5"/>
  <c r="P139" i="5"/>
  <c r="P107" i="5"/>
  <c r="P91" i="5"/>
  <c r="P72" i="5"/>
  <c r="P56" i="5"/>
  <c r="P40" i="5"/>
  <c r="P24" i="5"/>
  <c r="P8" i="5"/>
  <c r="J87" i="5"/>
  <c r="P204" i="5"/>
  <c r="P187" i="5"/>
  <c r="P171" i="5"/>
  <c r="P154" i="5"/>
  <c r="P138" i="5"/>
  <c r="P106" i="5"/>
  <c r="P90" i="5"/>
  <c r="P71" i="5"/>
  <c r="P55" i="5"/>
  <c r="P39" i="5"/>
  <c r="P23" i="5"/>
  <c r="P7" i="5"/>
  <c r="P203" i="5"/>
  <c r="P22" i="5"/>
  <c r="P152" i="5"/>
  <c r="F198" i="5"/>
  <c r="P86" i="5"/>
  <c r="P201" i="5"/>
  <c r="P184" i="5"/>
  <c r="P168" i="5"/>
  <c r="P151" i="5"/>
  <c r="P135" i="5"/>
  <c r="P103" i="5"/>
  <c r="P84" i="5"/>
  <c r="P68" i="5"/>
  <c r="P52" i="5"/>
  <c r="P36" i="5"/>
  <c r="P20" i="5"/>
  <c r="P199" i="5"/>
  <c r="P133" i="5"/>
  <c r="P66" i="5"/>
  <c r="P18" i="5"/>
  <c r="P177" i="5"/>
  <c r="P77" i="5"/>
  <c r="P159" i="5"/>
  <c r="P43" i="5"/>
  <c r="P70" i="5"/>
  <c r="P104" i="5"/>
  <c r="P37" i="5"/>
  <c r="P117" i="5"/>
  <c r="P119" i="5"/>
  <c r="P118" i="5"/>
  <c r="H362" i="2"/>
  <c r="L17" i="4"/>
  <c r="L83" i="4" s="1"/>
  <c r="U440" i="1"/>
  <c r="U433" i="1"/>
  <c r="U432" i="1"/>
  <c r="H361" i="2"/>
  <c r="U444" i="1"/>
  <c r="H359" i="2"/>
  <c r="U443" i="1"/>
  <c r="Z17" i="4"/>
  <c r="L84" i="4" s="1"/>
  <c r="L18" i="4"/>
  <c r="Z83" i="4" s="1"/>
  <c r="Z18" i="4"/>
  <c r="Z84" i="4" s="1"/>
  <c r="G191" i="5"/>
  <c r="M203" i="5"/>
  <c r="M206" i="5"/>
  <c r="G195" i="5"/>
  <c r="I195" i="5"/>
  <c r="I200" i="5"/>
  <c r="I204" i="5"/>
  <c r="K191" i="5"/>
  <c r="K195" i="5"/>
  <c r="K200" i="5"/>
  <c r="K204" i="5"/>
  <c r="I191" i="5"/>
  <c r="M191" i="5"/>
  <c r="M195" i="5"/>
  <c r="M200" i="5"/>
  <c r="M204" i="5"/>
  <c r="G204" i="5"/>
  <c r="G192" i="5"/>
  <c r="G196" i="5"/>
  <c r="G201" i="5"/>
  <c r="G206" i="5"/>
  <c r="E112" i="5"/>
  <c r="I192" i="5"/>
  <c r="I196" i="5"/>
  <c r="I201" i="5"/>
  <c r="I206" i="5"/>
  <c r="G200" i="5"/>
  <c r="G112" i="5"/>
  <c r="K192" i="5"/>
  <c r="K196" i="5"/>
  <c r="K201" i="5"/>
  <c r="K206" i="5"/>
  <c r="I112" i="5"/>
  <c r="M192" i="5"/>
  <c r="M196" i="5"/>
  <c r="M201" i="5"/>
  <c r="K112" i="5"/>
  <c r="G193" i="5"/>
  <c r="G197" i="5"/>
  <c r="G202" i="5"/>
  <c r="M112" i="5"/>
  <c r="I193" i="5"/>
  <c r="I197" i="5"/>
  <c r="I202" i="5"/>
  <c r="E206" i="5"/>
  <c r="K193" i="5"/>
  <c r="K197" i="5"/>
  <c r="K202" i="5"/>
  <c r="M193" i="5"/>
  <c r="M197" i="5"/>
  <c r="M202" i="5"/>
  <c r="G190" i="5"/>
  <c r="G194" i="5"/>
  <c r="G199" i="5"/>
  <c r="G203" i="5"/>
  <c r="I190" i="5"/>
  <c r="I194" i="5"/>
  <c r="I199" i="5"/>
  <c r="I203" i="5"/>
  <c r="K190" i="5"/>
  <c r="K194" i="5"/>
  <c r="K199" i="5"/>
  <c r="K203" i="5"/>
  <c r="M190" i="5"/>
  <c r="M194" i="5"/>
  <c r="M199" i="5"/>
  <c r="J196" i="5"/>
  <c r="N206" i="5"/>
  <c r="H191" i="5"/>
  <c r="H193" i="5"/>
  <c r="H195" i="5"/>
  <c r="H197" i="5"/>
  <c r="H200" i="5"/>
  <c r="H202" i="5"/>
  <c r="H204" i="5"/>
  <c r="J191" i="5"/>
  <c r="J193" i="5"/>
  <c r="J195" i="5"/>
  <c r="J197" i="5"/>
  <c r="J200" i="5"/>
  <c r="J202" i="5"/>
  <c r="J204" i="5"/>
  <c r="F206" i="5"/>
  <c r="L191" i="5"/>
  <c r="L193" i="5"/>
  <c r="L195" i="5"/>
  <c r="L197" i="5"/>
  <c r="L200" i="5"/>
  <c r="L202" i="5"/>
  <c r="L204" i="5"/>
  <c r="N191" i="5"/>
  <c r="N193" i="5"/>
  <c r="N195" i="5"/>
  <c r="N197" i="5"/>
  <c r="N200" i="5"/>
  <c r="N202" i="5"/>
  <c r="N204" i="5"/>
  <c r="H190" i="5"/>
  <c r="H192" i="5"/>
  <c r="H194" i="5"/>
  <c r="H196" i="5"/>
  <c r="H199" i="5"/>
  <c r="H201" i="5"/>
  <c r="H203" i="5"/>
  <c r="H206" i="5"/>
  <c r="J190" i="5"/>
  <c r="J192" i="5"/>
  <c r="J194" i="5"/>
  <c r="J199" i="5"/>
  <c r="J201" i="5"/>
  <c r="J203" i="5"/>
  <c r="J206" i="5"/>
  <c r="L190" i="5"/>
  <c r="L192" i="5"/>
  <c r="L194" i="5"/>
  <c r="L196" i="5"/>
  <c r="L199" i="5"/>
  <c r="L201" i="5"/>
  <c r="L203" i="5"/>
  <c r="L206" i="5"/>
  <c r="N190" i="5"/>
  <c r="N192" i="5"/>
  <c r="N194" i="5"/>
  <c r="N196" i="5"/>
  <c r="N199" i="5"/>
  <c r="N201" i="5"/>
  <c r="N203" i="5"/>
  <c r="F112" i="5"/>
  <c r="J112" i="5"/>
  <c r="L112" i="5"/>
  <c r="N112" i="5"/>
  <c r="H112" i="5"/>
  <c r="K110" i="5"/>
  <c r="I110" i="5"/>
  <c r="N110" i="5"/>
  <c r="F204" i="5"/>
  <c r="F110" i="5"/>
  <c r="H110" i="5"/>
  <c r="J110" i="5"/>
  <c r="L110" i="5"/>
  <c r="M110" i="5"/>
  <c r="E110" i="5"/>
  <c r="G110" i="5"/>
  <c r="E204" i="5"/>
  <c r="L107" i="5"/>
  <c r="N107" i="5"/>
  <c r="F108" i="5"/>
  <c r="H108" i="5"/>
  <c r="J108" i="5"/>
  <c r="L108" i="5"/>
  <c r="N108" i="5"/>
  <c r="F109" i="5"/>
  <c r="F106" i="5"/>
  <c r="H109" i="5"/>
  <c r="H106" i="5"/>
  <c r="J109" i="5"/>
  <c r="J106" i="5"/>
  <c r="L109" i="5"/>
  <c r="L106" i="5"/>
  <c r="N109" i="5"/>
  <c r="N106" i="5"/>
  <c r="F107" i="5"/>
  <c r="H107" i="5"/>
  <c r="J107" i="5"/>
  <c r="G106" i="5"/>
  <c r="M107" i="5"/>
  <c r="I109" i="5"/>
  <c r="I106" i="5"/>
  <c r="E108" i="5"/>
  <c r="K109" i="5"/>
  <c r="K106" i="5"/>
  <c r="G108" i="5"/>
  <c r="M109" i="5"/>
  <c r="M106" i="5"/>
  <c r="I108" i="5"/>
  <c r="E107" i="5"/>
  <c r="K108" i="5"/>
  <c r="G107" i="5"/>
  <c r="M108" i="5"/>
  <c r="I107" i="5"/>
  <c r="E109" i="5"/>
  <c r="E106" i="5"/>
  <c r="K107" i="5"/>
  <c r="G109" i="5"/>
  <c r="AM14" i="4"/>
  <c r="AL14" i="4"/>
  <c r="AK14" i="4"/>
  <c r="AJ14" i="4"/>
  <c r="AI14" i="4"/>
  <c r="AH14" i="4"/>
  <c r="AG14" i="4"/>
  <c r="AF14" i="4"/>
  <c r="AE14" i="4"/>
  <c r="AM12" i="4"/>
  <c r="AL12" i="4"/>
  <c r="AK12" i="4"/>
  <c r="AJ12" i="4"/>
  <c r="AI12" i="4"/>
  <c r="AH12" i="4"/>
  <c r="AG12" i="4"/>
  <c r="AF12" i="4"/>
  <c r="AE12" i="4"/>
  <c r="AM11" i="4"/>
  <c r="AL11" i="4"/>
  <c r="AK11" i="4"/>
  <c r="AJ11" i="4"/>
  <c r="AI11" i="4"/>
  <c r="AH11" i="4"/>
  <c r="AG11" i="4"/>
  <c r="AF11" i="4"/>
  <c r="AE11" i="4"/>
  <c r="AM10" i="4"/>
  <c r="AL10" i="4"/>
  <c r="AK10" i="4"/>
  <c r="AJ10" i="4"/>
  <c r="AI10" i="4"/>
  <c r="AH10" i="4"/>
  <c r="AG10" i="4"/>
  <c r="AF10" i="4"/>
  <c r="AE10" i="4"/>
  <c r="AM9" i="4"/>
  <c r="AL9" i="4"/>
  <c r="AK9" i="4"/>
  <c r="AJ9" i="4"/>
  <c r="AI9" i="4"/>
  <c r="AH9" i="4"/>
  <c r="AG9" i="4"/>
  <c r="AF9" i="4"/>
  <c r="AE9" i="4"/>
  <c r="AM8" i="4"/>
  <c r="AL8" i="4"/>
  <c r="AK8" i="4"/>
  <c r="AJ8" i="4"/>
  <c r="AI8" i="4"/>
  <c r="AH8" i="4"/>
  <c r="AG8" i="4"/>
  <c r="AF8" i="4"/>
  <c r="AE8" i="4"/>
  <c r="AM7" i="4"/>
  <c r="AL7" i="4"/>
  <c r="AK7" i="4"/>
  <c r="AJ7" i="4"/>
  <c r="AI7" i="4"/>
  <c r="AH7" i="4"/>
  <c r="AG7" i="4"/>
  <c r="AF7" i="4"/>
  <c r="AE7" i="4"/>
  <c r="AE6" i="4"/>
  <c r="AM6" i="4"/>
  <c r="AL6" i="4"/>
  <c r="AK6" i="4"/>
  <c r="AJ6" i="4"/>
  <c r="AI6" i="4"/>
  <c r="AH6" i="4"/>
  <c r="AG6" i="4"/>
  <c r="AF6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131" i="6"/>
  <c r="U429" i="1" s="1"/>
  <c r="R198" i="5" l="1"/>
  <c r="P120" i="5"/>
  <c r="P207" i="5"/>
  <c r="R86" i="5"/>
  <c r="R85" i="5"/>
  <c r="P113" i="5"/>
  <c r="R87" i="5"/>
  <c r="Q204" i="5"/>
  <c r="R204" i="5"/>
  <c r="R206" i="5"/>
  <c r="Q109" i="5"/>
  <c r="R110" i="5"/>
  <c r="Q106" i="5"/>
  <c r="R112" i="5"/>
  <c r="R107" i="5"/>
  <c r="R106" i="5"/>
  <c r="R108" i="5"/>
  <c r="R109" i="5"/>
  <c r="Q107" i="5"/>
  <c r="Q110" i="5"/>
  <c r="Q206" i="5"/>
  <c r="Q108" i="5"/>
  <c r="Q112" i="5"/>
  <c r="U428" i="1"/>
  <c r="AG32" i="4"/>
  <c r="AE17" i="4"/>
  <c r="AE18" i="4"/>
  <c r="AE32" i="4"/>
  <c r="AL17" i="4"/>
  <c r="AI17" i="4"/>
  <c r="AM17" i="4"/>
  <c r="AL18" i="4"/>
  <c r="AF32" i="4"/>
  <c r="AM18" i="4"/>
  <c r="AJ17" i="4"/>
  <c r="AK17" i="4"/>
  <c r="AF17" i="4"/>
  <c r="AG17" i="4"/>
  <c r="AH17" i="4"/>
  <c r="AF18" i="4"/>
  <c r="AE33" i="4"/>
  <c r="AG18" i="4"/>
  <c r="AF33" i="4"/>
  <c r="AH18" i="4"/>
  <c r="AG33" i="4"/>
  <c r="AI18" i="4"/>
  <c r="AH33" i="4"/>
  <c r="AJ18" i="4"/>
  <c r="AI33" i="4"/>
  <c r="AK18" i="4"/>
  <c r="AH32" i="4"/>
  <c r="AI32" i="4"/>
  <c r="U29" i="4" l="1"/>
  <c r="T29" i="4"/>
  <c r="S29" i="4"/>
  <c r="R29" i="4"/>
  <c r="Q29" i="4"/>
  <c r="U27" i="4"/>
  <c r="T27" i="4"/>
  <c r="S27" i="4"/>
  <c r="R27" i="4"/>
  <c r="Q27" i="4"/>
  <c r="U26" i="4"/>
  <c r="T26" i="4"/>
  <c r="S26" i="4"/>
  <c r="R26" i="4"/>
  <c r="Q26" i="4"/>
  <c r="U25" i="4"/>
  <c r="T25" i="4"/>
  <c r="S25" i="4"/>
  <c r="R25" i="4"/>
  <c r="Q25" i="4"/>
  <c r="U24" i="4"/>
  <c r="T24" i="4"/>
  <c r="S24" i="4"/>
  <c r="R24" i="4"/>
  <c r="Q24" i="4"/>
  <c r="U23" i="4"/>
  <c r="T23" i="4"/>
  <c r="S23" i="4"/>
  <c r="R23" i="4"/>
  <c r="Q23" i="4"/>
  <c r="U22" i="4"/>
  <c r="T22" i="4"/>
  <c r="S22" i="4"/>
  <c r="R22" i="4"/>
  <c r="Q22" i="4"/>
  <c r="U21" i="4"/>
  <c r="T21" i="4"/>
  <c r="S21" i="4"/>
  <c r="R21" i="4"/>
  <c r="Q21" i="4"/>
  <c r="G29" i="4"/>
  <c r="F29" i="4"/>
  <c r="E29" i="4"/>
  <c r="D29" i="4"/>
  <c r="C29" i="4"/>
  <c r="G27" i="4"/>
  <c r="F27" i="4"/>
  <c r="E27" i="4"/>
  <c r="D27" i="4"/>
  <c r="C27" i="4"/>
  <c r="G26" i="4"/>
  <c r="F26" i="4"/>
  <c r="E26" i="4"/>
  <c r="D26" i="4"/>
  <c r="C26" i="4"/>
  <c r="G25" i="4"/>
  <c r="F25" i="4"/>
  <c r="E25" i="4"/>
  <c r="D25" i="4"/>
  <c r="C25" i="4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C22" i="4"/>
  <c r="G21" i="4"/>
  <c r="F21" i="4"/>
  <c r="E21" i="4"/>
  <c r="D21" i="4"/>
  <c r="C21" i="4"/>
  <c r="Y14" i="4"/>
  <c r="X14" i="4"/>
  <c r="W14" i="4"/>
  <c r="V14" i="4"/>
  <c r="U14" i="4"/>
  <c r="T14" i="4"/>
  <c r="S14" i="4"/>
  <c r="R14" i="4"/>
  <c r="Q14" i="4"/>
  <c r="Y12" i="4"/>
  <c r="X12" i="4"/>
  <c r="W12" i="4"/>
  <c r="V12" i="4"/>
  <c r="U12" i="4"/>
  <c r="T12" i="4"/>
  <c r="S12" i="4"/>
  <c r="R12" i="4"/>
  <c r="Q12" i="4"/>
  <c r="Y11" i="4"/>
  <c r="X11" i="4"/>
  <c r="W11" i="4"/>
  <c r="V11" i="4"/>
  <c r="U11" i="4"/>
  <c r="T11" i="4"/>
  <c r="S11" i="4"/>
  <c r="R11" i="4"/>
  <c r="Q11" i="4"/>
  <c r="Y10" i="4"/>
  <c r="X10" i="4"/>
  <c r="W10" i="4"/>
  <c r="V10" i="4"/>
  <c r="U10" i="4"/>
  <c r="T10" i="4"/>
  <c r="S10" i="4"/>
  <c r="R10" i="4"/>
  <c r="Q10" i="4"/>
  <c r="Y9" i="4"/>
  <c r="X9" i="4"/>
  <c r="W9" i="4"/>
  <c r="V9" i="4"/>
  <c r="U9" i="4"/>
  <c r="T9" i="4"/>
  <c r="S9" i="4"/>
  <c r="R9" i="4"/>
  <c r="Q9" i="4"/>
  <c r="Y8" i="4"/>
  <c r="X8" i="4"/>
  <c r="W8" i="4"/>
  <c r="V8" i="4"/>
  <c r="U8" i="4"/>
  <c r="T8" i="4"/>
  <c r="S8" i="4"/>
  <c r="R8" i="4"/>
  <c r="Q8" i="4"/>
  <c r="Y7" i="4"/>
  <c r="X7" i="4"/>
  <c r="W7" i="4"/>
  <c r="V7" i="4"/>
  <c r="U7" i="4"/>
  <c r="T7" i="4"/>
  <c r="S7" i="4"/>
  <c r="R7" i="4"/>
  <c r="Q7" i="4"/>
  <c r="Y6" i="4"/>
  <c r="X6" i="4"/>
  <c r="W6" i="4"/>
  <c r="V6" i="4"/>
  <c r="U6" i="4"/>
  <c r="T6" i="4"/>
  <c r="S6" i="4"/>
  <c r="R6" i="4"/>
  <c r="Q6" i="4"/>
  <c r="K14" i="4"/>
  <c r="J14" i="4"/>
  <c r="I14" i="4"/>
  <c r="H14" i="4"/>
  <c r="G14" i="4"/>
  <c r="F14" i="4"/>
  <c r="E14" i="4"/>
  <c r="D14" i="4"/>
  <c r="C14" i="4"/>
  <c r="K12" i="4"/>
  <c r="J12" i="4"/>
  <c r="I12" i="4"/>
  <c r="H12" i="4"/>
  <c r="G12" i="4"/>
  <c r="F12" i="4"/>
  <c r="E12" i="4"/>
  <c r="D12" i="4"/>
  <c r="C12" i="4"/>
  <c r="K11" i="4"/>
  <c r="J11" i="4"/>
  <c r="I11" i="4"/>
  <c r="H11" i="4"/>
  <c r="G11" i="4"/>
  <c r="F11" i="4"/>
  <c r="E11" i="4"/>
  <c r="D11" i="4"/>
  <c r="C11" i="4"/>
  <c r="K10" i="4"/>
  <c r="J10" i="4"/>
  <c r="I10" i="4"/>
  <c r="H10" i="4"/>
  <c r="G10" i="4"/>
  <c r="F10" i="4"/>
  <c r="E10" i="4"/>
  <c r="D10" i="4"/>
  <c r="C10" i="4"/>
  <c r="K9" i="4"/>
  <c r="J9" i="4"/>
  <c r="I9" i="4"/>
  <c r="H9" i="4"/>
  <c r="G9" i="4"/>
  <c r="F9" i="4"/>
  <c r="E9" i="4"/>
  <c r="D9" i="4"/>
  <c r="C9" i="4"/>
  <c r="K8" i="4"/>
  <c r="J8" i="4"/>
  <c r="I8" i="4"/>
  <c r="H8" i="4"/>
  <c r="G8" i="4"/>
  <c r="F8" i="4"/>
  <c r="E8" i="4"/>
  <c r="D8" i="4"/>
  <c r="C8" i="4"/>
  <c r="K7" i="4"/>
  <c r="J7" i="4"/>
  <c r="I7" i="4"/>
  <c r="H7" i="4"/>
  <c r="G7" i="4"/>
  <c r="F7" i="4"/>
  <c r="E7" i="4"/>
  <c r="D7" i="4"/>
  <c r="C7" i="4"/>
  <c r="K6" i="4"/>
  <c r="J6" i="4"/>
  <c r="I6" i="4"/>
  <c r="H6" i="4"/>
  <c r="G6" i="4"/>
  <c r="F6" i="4"/>
  <c r="E6" i="4"/>
  <c r="D6" i="4"/>
  <c r="C6" i="4"/>
  <c r="U73" i="1"/>
  <c r="U74" i="1"/>
  <c r="U75" i="1"/>
  <c r="U77" i="1"/>
  <c r="U78" i="1"/>
  <c r="U157" i="1"/>
  <c r="U161" i="1"/>
  <c r="U200" i="1"/>
  <c r="U304" i="1"/>
  <c r="U44" i="1"/>
  <c r="U45" i="1"/>
  <c r="U71" i="1"/>
  <c r="U72" i="1"/>
  <c r="U76" i="1"/>
  <c r="G123" i="5" l="1"/>
  <c r="I123" i="5"/>
  <c r="AI73" i="4"/>
  <c r="U116" i="4" s="1"/>
  <c r="AH73" i="4"/>
  <c r="T116" i="4" s="1"/>
  <c r="AG73" i="4"/>
  <c r="S116" i="4" s="1"/>
  <c r="AF73" i="4"/>
  <c r="R116" i="4" s="1"/>
  <c r="AI72" i="4"/>
  <c r="G116" i="4" s="1"/>
  <c r="AH72" i="4"/>
  <c r="F116" i="4" s="1"/>
  <c r="AG72" i="4"/>
  <c r="E116" i="4" s="1"/>
  <c r="AF72" i="4"/>
  <c r="D116" i="4" s="1"/>
  <c r="U73" i="4"/>
  <c r="U115" i="4" s="1"/>
  <c r="T73" i="4"/>
  <c r="T115" i="4" s="1"/>
  <c r="S73" i="4"/>
  <c r="S115" i="4" s="1"/>
  <c r="R73" i="4"/>
  <c r="R115" i="4" s="1"/>
  <c r="U72" i="4"/>
  <c r="G115" i="4" s="1"/>
  <c r="T72" i="4"/>
  <c r="F115" i="4" s="1"/>
  <c r="S72" i="4"/>
  <c r="E115" i="4" s="1"/>
  <c r="R72" i="4"/>
  <c r="D115" i="4" s="1"/>
  <c r="AE73" i="4"/>
  <c r="Q116" i="4" s="1"/>
  <c r="AE72" i="4"/>
  <c r="C116" i="4" s="1"/>
  <c r="Q73" i="4"/>
  <c r="Q115" i="4" s="1"/>
  <c r="Q72" i="4"/>
  <c r="C115" i="4" s="1"/>
  <c r="F73" i="4"/>
  <c r="E73" i="4"/>
  <c r="D73" i="4"/>
  <c r="F72" i="4"/>
  <c r="E72" i="4"/>
  <c r="D72" i="4"/>
  <c r="C73" i="4"/>
  <c r="Q112" i="4" s="1"/>
  <c r="C72" i="4"/>
  <c r="AI68" i="4"/>
  <c r="AH68" i="4"/>
  <c r="AG68" i="4"/>
  <c r="AF68" i="4"/>
  <c r="AE68" i="4"/>
  <c r="AI67" i="4"/>
  <c r="AH67" i="4"/>
  <c r="AG67" i="4"/>
  <c r="AF67" i="4"/>
  <c r="AE67" i="4"/>
  <c r="AI66" i="4"/>
  <c r="AH66" i="4"/>
  <c r="AG66" i="4"/>
  <c r="AF66" i="4"/>
  <c r="AE66" i="4"/>
  <c r="AI65" i="4"/>
  <c r="AH65" i="4"/>
  <c r="AG65" i="4"/>
  <c r="AF65" i="4"/>
  <c r="AE65" i="4"/>
  <c r="AI64" i="4"/>
  <c r="AH64" i="4"/>
  <c r="AG64" i="4"/>
  <c r="AF64" i="4"/>
  <c r="AE64" i="4"/>
  <c r="AI63" i="4"/>
  <c r="AH63" i="4"/>
  <c r="AG63" i="4"/>
  <c r="AF63" i="4"/>
  <c r="AE63" i="4"/>
  <c r="AI62" i="4"/>
  <c r="AH62" i="4"/>
  <c r="AG62" i="4"/>
  <c r="AF62" i="4"/>
  <c r="AE62" i="4"/>
  <c r="AI61" i="4"/>
  <c r="AH61" i="4"/>
  <c r="AG61" i="4"/>
  <c r="AF61" i="4"/>
  <c r="AE61" i="4"/>
  <c r="AI60" i="4"/>
  <c r="AH60" i="4"/>
  <c r="AG60" i="4"/>
  <c r="AF60" i="4"/>
  <c r="AE60" i="4"/>
  <c r="U68" i="4"/>
  <c r="T68" i="4"/>
  <c r="S68" i="4"/>
  <c r="R68" i="4"/>
  <c r="Q68" i="4"/>
  <c r="U67" i="4"/>
  <c r="T67" i="4"/>
  <c r="S67" i="4"/>
  <c r="R67" i="4"/>
  <c r="Q67" i="4"/>
  <c r="U66" i="4"/>
  <c r="T66" i="4"/>
  <c r="S66" i="4"/>
  <c r="R66" i="4"/>
  <c r="Q66" i="4"/>
  <c r="U65" i="4"/>
  <c r="T65" i="4"/>
  <c r="S65" i="4"/>
  <c r="R65" i="4"/>
  <c r="Q65" i="4"/>
  <c r="U64" i="4"/>
  <c r="T64" i="4"/>
  <c r="S64" i="4"/>
  <c r="R64" i="4"/>
  <c r="Q64" i="4"/>
  <c r="U63" i="4"/>
  <c r="T63" i="4"/>
  <c r="S63" i="4"/>
  <c r="R63" i="4"/>
  <c r="Q63" i="4"/>
  <c r="U62" i="4"/>
  <c r="T62" i="4"/>
  <c r="S62" i="4"/>
  <c r="R62" i="4"/>
  <c r="Q62" i="4"/>
  <c r="U61" i="4"/>
  <c r="T61" i="4"/>
  <c r="S61" i="4"/>
  <c r="R61" i="4"/>
  <c r="Q61" i="4"/>
  <c r="U60" i="4"/>
  <c r="T60" i="4"/>
  <c r="S60" i="4"/>
  <c r="R60" i="4"/>
  <c r="Q60" i="4"/>
  <c r="AE59" i="4"/>
  <c r="AF59" i="4"/>
  <c r="AG59" i="4"/>
  <c r="AH59" i="4"/>
  <c r="AI59" i="4"/>
  <c r="F68" i="4"/>
  <c r="E68" i="4"/>
  <c r="D68" i="4"/>
  <c r="C68" i="4"/>
  <c r="F67" i="4"/>
  <c r="E67" i="4"/>
  <c r="D67" i="4"/>
  <c r="C67" i="4"/>
  <c r="F66" i="4"/>
  <c r="E66" i="4"/>
  <c r="D66" i="4"/>
  <c r="C66" i="4"/>
  <c r="F65" i="4"/>
  <c r="E65" i="4"/>
  <c r="D65" i="4"/>
  <c r="C65" i="4"/>
  <c r="F64" i="4"/>
  <c r="E64" i="4"/>
  <c r="D64" i="4"/>
  <c r="C64" i="4"/>
  <c r="F63" i="4"/>
  <c r="E63" i="4"/>
  <c r="D63" i="4"/>
  <c r="C63" i="4"/>
  <c r="F62" i="4"/>
  <c r="E62" i="4"/>
  <c r="D62" i="4"/>
  <c r="C62" i="4"/>
  <c r="F61" i="4"/>
  <c r="E61" i="4"/>
  <c r="D61" i="4"/>
  <c r="C61" i="4"/>
  <c r="F60" i="4"/>
  <c r="E60" i="4"/>
  <c r="D60" i="4"/>
  <c r="C60" i="4"/>
  <c r="AI58" i="4"/>
  <c r="AH58" i="4"/>
  <c r="AG58" i="4"/>
  <c r="AF58" i="4"/>
  <c r="U59" i="4"/>
  <c r="T59" i="4"/>
  <c r="S59" i="4"/>
  <c r="R59" i="4"/>
  <c r="U58" i="4"/>
  <c r="T58" i="4"/>
  <c r="S58" i="4"/>
  <c r="R58" i="4"/>
  <c r="Q59" i="4"/>
  <c r="Q58" i="4"/>
  <c r="AE58" i="4"/>
  <c r="F59" i="4"/>
  <c r="E59" i="4"/>
  <c r="D59" i="4"/>
  <c r="C59" i="4"/>
  <c r="F58" i="4"/>
  <c r="E58" i="4"/>
  <c r="D58" i="4"/>
  <c r="C58" i="4"/>
  <c r="AM55" i="4"/>
  <c r="Y86" i="4" s="1"/>
  <c r="AL55" i="4"/>
  <c r="X86" i="4" s="1"/>
  <c r="AK55" i="4"/>
  <c r="W86" i="4" s="1"/>
  <c r="AJ55" i="4"/>
  <c r="V86" i="4" s="1"/>
  <c r="AI55" i="4"/>
  <c r="U86" i="4" s="1"/>
  <c r="AH55" i="4"/>
  <c r="T86" i="4" s="1"/>
  <c r="AG55" i="4"/>
  <c r="S86" i="4" s="1"/>
  <c r="AF55" i="4"/>
  <c r="R86" i="4" s="1"/>
  <c r="AM54" i="4"/>
  <c r="K86" i="4" s="1"/>
  <c r="AL54" i="4"/>
  <c r="J86" i="4" s="1"/>
  <c r="AK54" i="4"/>
  <c r="I86" i="4" s="1"/>
  <c r="AJ54" i="4"/>
  <c r="H86" i="4" s="1"/>
  <c r="AI54" i="4"/>
  <c r="G86" i="4" s="1"/>
  <c r="AH54" i="4"/>
  <c r="F86" i="4" s="1"/>
  <c r="AG54" i="4"/>
  <c r="E86" i="4" s="1"/>
  <c r="AF54" i="4"/>
  <c r="D86" i="4" s="1"/>
  <c r="Y55" i="4"/>
  <c r="Y85" i="4" s="1"/>
  <c r="X55" i="4"/>
  <c r="X85" i="4" s="1"/>
  <c r="W55" i="4"/>
  <c r="W85" i="4" s="1"/>
  <c r="V55" i="4"/>
  <c r="V85" i="4" s="1"/>
  <c r="U55" i="4"/>
  <c r="U85" i="4" s="1"/>
  <c r="T55" i="4"/>
  <c r="T85" i="4" s="1"/>
  <c r="S55" i="4"/>
  <c r="S85" i="4" s="1"/>
  <c r="R55" i="4"/>
  <c r="R85" i="4" s="1"/>
  <c r="Y54" i="4"/>
  <c r="K85" i="4" s="1"/>
  <c r="X54" i="4"/>
  <c r="J85" i="4" s="1"/>
  <c r="W54" i="4"/>
  <c r="I85" i="4" s="1"/>
  <c r="V54" i="4"/>
  <c r="H85" i="4" s="1"/>
  <c r="U54" i="4"/>
  <c r="G85" i="4" s="1"/>
  <c r="T54" i="4"/>
  <c r="F85" i="4" s="1"/>
  <c r="S54" i="4"/>
  <c r="E85" i="4" s="1"/>
  <c r="R54" i="4"/>
  <c r="D85" i="4" s="1"/>
  <c r="AE55" i="4"/>
  <c r="Q86" i="4" s="1"/>
  <c r="AE54" i="4"/>
  <c r="C86" i="4" s="1"/>
  <c r="Q55" i="4"/>
  <c r="Q85" i="4" s="1"/>
  <c r="Q54" i="4"/>
  <c r="C85" i="4" s="1"/>
  <c r="K55" i="4"/>
  <c r="Y82" i="4" s="1"/>
  <c r="J55" i="4"/>
  <c r="X82" i="4" s="1"/>
  <c r="I55" i="4"/>
  <c r="W82" i="4" s="1"/>
  <c r="H55" i="4"/>
  <c r="V82" i="4" s="1"/>
  <c r="G55" i="4"/>
  <c r="U82" i="4" s="1"/>
  <c r="F55" i="4"/>
  <c r="T82" i="4" s="1"/>
  <c r="E55" i="4"/>
  <c r="S82" i="4" s="1"/>
  <c r="D55" i="4"/>
  <c r="R82" i="4" s="1"/>
  <c r="C55" i="4"/>
  <c r="K54" i="4"/>
  <c r="K82" i="4" s="1"/>
  <c r="J54" i="4"/>
  <c r="J82" i="4" s="1"/>
  <c r="I54" i="4"/>
  <c r="I82" i="4" s="1"/>
  <c r="H54" i="4"/>
  <c r="H82" i="4" s="1"/>
  <c r="G54" i="4"/>
  <c r="G82" i="4" s="1"/>
  <c r="F54" i="4"/>
  <c r="F82" i="4" s="1"/>
  <c r="E54" i="4"/>
  <c r="E82" i="4" s="1"/>
  <c r="D54" i="4"/>
  <c r="D82" i="4" s="1"/>
  <c r="C54" i="4"/>
  <c r="C82" i="4" s="1"/>
  <c r="AM40" i="4"/>
  <c r="AL40" i="4"/>
  <c r="AK40" i="4"/>
  <c r="AJ40" i="4"/>
  <c r="AI40" i="4"/>
  <c r="AH40" i="4"/>
  <c r="AG40" i="4"/>
  <c r="AF40" i="4"/>
  <c r="AM50" i="4"/>
  <c r="AL50" i="4"/>
  <c r="AK50" i="4"/>
  <c r="AJ50" i="4"/>
  <c r="AI50" i="4"/>
  <c r="AH50" i="4"/>
  <c r="AG50" i="4"/>
  <c r="AF50" i="4"/>
  <c r="AE50" i="4"/>
  <c r="AM49" i="4"/>
  <c r="AL49" i="4"/>
  <c r="AK49" i="4"/>
  <c r="AJ49" i="4"/>
  <c r="AI49" i="4"/>
  <c r="AH49" i="4"/>
  <c r="AG49" i="4"/>
  <c r="AF49" i="4"/>
  <c r="AE49" i="4"/>
  <c r="AM48" i="4"/>
  <c r="AL48" i="4"/>
  <c r="AK48" i="4"/>
  <c r="AJ48" i="4"/>
  <c r="AI48" i="4"/>
  <c r="AH48" i="4"/>
  <c r="AG48" i="4"/>
  <c r="AF48" i="4"/>
  <c r="AE48" i="4"/>
  <c r="AM47" i="4"/>
  <c r="AL47" i="4"/>
  <c r="AK47" i="4"/>
  <c r="AJ47" i="4"/>
  <c r="AI47" i="4"/>
  <c r="AH47" i="4"/>
  <c r="AG47" i="4"/>
  <c r="AF47" i="4"/>
  <c r="AE47" i="4"/>
  <c r="AM46" i="4"/>
  <c r="AL46" i="4"/>
  <c r="AK46" i="4"/>
  <c r="AJ46" i="4"/>
  <c r="AI46" i="4"/>
  <c r="AH46" i="4"/>
  <c r="AG46" i="4"/>
  <c r="AF46" i="4"/>
  <c r="AE46" i="4"/>
  <c r="AM45" i="4"/>
  <c r="AL45" i="4"/>
  <c r="AK45" i="4"/>
  <c r="AJ45" i="4"/>
  <c r="AI45" i="4"/>
  <c r="AH45" i="4"/>
  <c r="AG45" i="4"/>
  <c r="AF45" i="4"/>
  <c r="AE45" i="4"/>
  <c r="AM44" i="4"/>
  <c r="AL44" i="4"/>
  <c r="AK44" i="4"/>
  <c r="AJ44" i="4"/>
  <c r="AI44" i="4"/>
  <c r="AH44" i="4"/>
  <c r="AG44" i="4"/>
  <c r="AF44" i="4"/>
  <c r="AE44" i="4"/>
  <c r="AM43" i="4"/>
  <c r="AL43" i="4"/>
  <c r="AK43" i="4"/>
  <c r="AJ43" i="4"/>
  <c r="AI43" i="4"/>
  <c r="AH43" i="4"/>
  <c r="AG43" i="4"/>
  <c r="AF43" i="4"/>
  <c r="AE43" i="4"/>
  <c r="AM42" i="4"/>
  <c r="AL42" i="4"/>
  <c r="AK42" i="4"/>
  <c r="AJ42" i="4"/>
  <c r="AI42" i="4"/>
  <c r="AH42" i="4"/>
  <c r="AG42" i="4"/>
  <c r="AF42" i="4"/>
  <c r="AE42" i="4"/>
  <c r="AM41" i="4"/>
  <c r="AL41" i="4"/>
  <c r="AK41" i="4"/>
  <c r="AJ41" i="4"/>
  <c r="AI41" i="4"/>
  <c r="AH41" i="4"/>
  <c r="AG41" i="4"/>
  <c r="AF41" i="4"/>
  <c r="Y50" i="4"/>
  <c r="X50" i="4"/>
  <c r="W50" i="4"/>
  <c r="V50" i="4"/>
  <c r="U50" i="4"/>
  <c r="T50" i="4"/>
  <c r="S50" i="4"/>
  <c r="R50" i="4"/>
  <c r="Q50" i="4"/>
  <c r="Y49" i="4"/>
  <c r="X49" i="4"/>
  <c r="W49" i="4"/>
  <c r="V49" i="4"/>
  <c r="U49" i="4"/>
  <c r="T49" i="4"/>
  <c r="S49" i="4"/>
  <c r="R49" i="4"/>
  <c r="Q49" i="4"/>
  <c r="Y48" i="4"/>
  <c r="X48" i="4"/>
  <c r="W48" i="4"/>
  <c r="V48" i="4"/>
  <c r="U48" i="4"/>
  <c r="T48" i="4"/>
  <c r="S48" i="4"/>
  <c r="R48" i="4"/>
  <c r="Q48" i="4"/>
  <c r="Y47" i="4"/>
  <c r="X47" i="4"/>
  <c r="W47" i="4"/>
  <c r="V47" i="4"/>
  <c r="U47" i="4"/>
  <c r="T47" i="4"/>
  <c r="S47" i="4"/>
  <c r="R47" i="4"/>
  <c r="Q47" i="4"/>
  <c r="Y46" i="4"/>
  <c r="X46" i="4"/>
  <c r="W46" i="4"/>
  <c r="V46" i="4"/>
  <c r="U46" i="4"/>
  <c r="T46" i="4"/>
  <c r="S46" i="4"/>
  <c r="R46" i="4"/>
  <c r="Q46" i="4"/>
  <c r="Y45" i="4"/>
  <c r="X45" i="4"/>
  <c r="W45" i="4"/>
  <c r="V45" i="4"/>
  <c r="U45" i="4"/>
  <c r="T45" i="4"/>
  <c r="S45" i="4"/>
  <c r="R45" i="4"/>
  <c r="Q45" i="4"/>
  <c r="Y44" i="4"/>
  <c r="X44" i="4"/>
  <c r="W44" i="4"/>
  <c r="V44" i="4"/>
  <c r="U44" i="4"/>
  <c r="T44" i="4"/>
  <c r="S44" i="4"/>
  <c r="R44" i="4"/>
  <c r="Q44" i="4"/>
  <c r="Y43" i="4"/>
  <c r="X43" i="4"/>
  <c r="W43" i="4"/>
  <c r="V43" i="4"/>
  <c r="U43" i="4"/>
  <c r="T43" i="4"/>
  <c r="S43" i="4"/>
  <c r="R43" i="4"/>
  <c r="Q43" i="4"/>
  <c r="Y42" i="4"/>
  <c r="X42" i="4"/>
  <c r="W42" i="4"/>
  <c r="V42" i="4"/>
  <c r="U42" i="4"/>
  <c r="T42" i="4"/>
  <c r="S42" i="4"/>
  <c r="R42" i="4"/>
  <c r="Q42" i="4"/>
  <c r="Y41" i="4"/>
  <c r="X41" i="4"/>
  <c r="W41" i="4"/>
  <c r="V41" i="4"/>
  <c r="U41" i="4"/>
  <c r="T41" i="4"/>
  <c r="S41" i="4"/>
  <c r="R41" i="4"/>
  <c r="K50" i="4"/>
  <c r="J50" i="4"/>
  <c r="I50" i="4"/>
  <c r="H50" i="4"/>
  <c r="G50" i="4"/>
  <c r="F50" i="4"/>
  <c r="E50" i="4"/>
  <c r="D50" i="4"/>
  <c r="C50" i="4"/>
  <c r="K49" i="4"/>
  <c r="J49" i="4"/>
  <c r="I49" i="4"/>
  <c r="H49" i="4"/>
  <c r="G49" i="4"/>
  <c r="F49" i="4"/>
  <c r="E49" i="4"/>
  <c r="D49" i="4"/>
  <c r="C49" i="4"/>
  <c r="K48" i="4"/>
  <c r="J48" i="4"/>
  <c r="I48" i="4"/>
  <c r="H48" i="4"/>
  <c r="G48" i="4"/>
  <c r="F48" i="4"/>
  <c r="E48" i="4"/>
  <c r="D48" i="4"/>
  <c r="C48" i="4"/>
  <c r="K47" i="4"/>
  <c r="J47" i="4"/>
  <c r="I47" i="4"/>
  <c r="H47" i="4"/>
  <c r="G47" i="4"/>
  <c r="F47" i="4"/>
  <c r="E47" i="4"/>
  <c r="D47" i="4"/>
  <c r="C47" i="4"/>
  <c r="K46" i="4"/>
  <c r="J46" i="4"/>
  <c r="I46" i="4"/>
  <c r="H46" i="4"/>
  <c r="G46" i="4"/>
  <c r="F46" i="4"/>
  <c r="E46" i="4"/>
  <c r="D46" i="4"/>
  <c r="C46" i="4"/>
  <c r="K45" i="4"/>
  <c r="J45" i="4"/>
  <c r="I45" i="4"/>
  <c r="H45" i="4"/>
  <c r="G45" i="4"/>
  <c r="F45" i="4"/>
  <c r="E45" i="4"/>
  <c r="D45" i="4"/>
  <c r="C45" i="4"/>
  <c r="K44" i="4"/>
  <c r="J44" i="4"/>
  <c r="I44" i="4"/>
  <c r="H44" i="4"/>
  <c r="G44" i="4"/>
  <c r="F44" i="4"/>
  <c r="E44" i="4"/>
  <c r="D44" i="4"/>
  <c r="C44" i="4"/>
  <c r="K43" i="4"/>
  <c r="J43" i="4"/>
  <c r="I43" i="4"/>
  <c r="H43" i="4"/>
  <c r="G43" i="4"/>
  <c r="F43" i="4"/>
  <c r="E43" i="4"/>
  <c r="D43" i="4"/>
  <c r="C43" i="4"/>
  <c r="K42" i="4"/>
  <c r="J42" i="4"/>
  <c r="I42" i="4"/>
  <c r="H42" i="4"/>
  <c r="G42" i="4"/>
  <c r="F42" i="4"/>
  <c r="E42" i="4"/>
  <c r="D42" i="4"/>
  <c r="C42" i="4"/>
  <c r="K41" i="4"/>
  <c r="J41" i="4"/>
  <c r="I41" i="4"/>
  <c r="H41" i="4"/>
  <c r="G41" i="4"/>
  <c r="F41" i="4"/>
  <c r="E41" i="4"/>
  <c r="D41" i="4"/>
  <c r="AE41" i="4" l="1"/>
  <c r="AE40" i="4"/>
  <c r="Y40" i="4"/>
  <c r="X40" i="4"/>
  <c r="W40" i="4"/>
  <c r="V40" i="4"/>
  <c r="U40" i="4"/>
  <c r="T40" i="4"/>
  <c r="S40" i="4"/>
  <c r="R40" i="4"/>
  <c r="Q41" i="4"/>
  <c r="Q40" i="4"/>
  <c r="C41" i="4"/>
  <c r="K40" i="4"/>
  <c r="J40" i="4"/>
  <c r="I40" i="4"/>
  <c r="H40" i="4"/>
  <c r="G40" i="4"/>
  <c r="F40" i="4"/>
  <c r="E40" i="4"/>
  <c r="D40" i="4"/>
  <c r="C40" i="4"/>
  <c r="E123" i="5"/>
  <c r="H123" i="5" l="1"/>
  <c r="N119" i="5"/>
  <c r="N118" i="5"/>
  <c r="N117" i="5"/>
  <c r="L119" i="5"/>
  <c r="L118" i="5"/>
  <c r="L117" i="5"/>
  <c r="J119" i="5"/>
  <c r="J118" i="5"/>
  <c r="J117" i="5"/>
  <c r="H119" i="5"/>
  <c r="H118" i="5"/>
  <c r="H117" i="5"/>
  <c r="F119" i="5"/>
  <c r="F118" i="5"/>
  <c r="F117" i="5"/>
  <c r="N180" i="5"/>
  <c r="N164" i="5"/>
  <c r="N148" i="5"/>
  <c r="N132" i="5"/>
  <c r="L182" i="5"/>
  <c r="L166" i="5"/>
  <c r="L150" i="5"/>
  <c r="L134" i="5"/>
  <c r="J184" i="5"/>
  <c r="J168" i="5"/>
  <c r="J152" i="5"/>
  <c r="J136" i="5"/>
  <c r="H186" i="5"/>
  <c r="H170" i="5"/>
  <c r="H154" i="5"/>
  <c r="H138" i="5"/>
  <c r="F188" i="5"/>
  <c r="F172" i="5"/>
  <c r="F156" i="5"/>
  <c r="F140" i="5"/>
  <c r="N100" i="5"/>
  <c r="N88" i="5"/>
  <c r="N72" i="5"/>
  <c r="N63" i="5"/>
  <c r="N47" i="5"/>
  <c r="N31" i="5"/>
  <c r="N15" i="5"/>
  <c r="L101" i="5"/>
  <c r="L89" i="5"/>
  <c r="L73" i="5"/>
  <c r="L48" i="5"/>
  <c r="L32" i="5"/>
  <c r="L16" i="5"/>
  <c r="J102" i="5"/>
  <c r="J90" i="5"/>
  <c r="J74" i="5"/>
  <c r="J64" i="5"/>
  <c r="J49" i="5"/>
  <c r="J33" i="5"/>
  <c r="J17" i="5"/>
  <c r="H92" i="5"/>
  <c r="H78" i="5"/>
  <c r="H66" i="5"/>
  <c r="H53" i="5"/>
  <c r="H37" i="5"/>
  <c r="H21" i="5"/>
  <c r="H5" i="5"/>
  <c r="F96" i="5"/>
  <c r="F81" i="5"/>
  <c r="F68" i="5"/>
  <c r="F57" i="5"/>
  <c r="F41" i="5"/>
  <c r="F25" i="5"/>
  <c r="F9" i="5"/>
  <c r="N179" i="5"/>
  <c r="N163" i="5"/>
  <c r="N147" i="5"/>
  <c r="N131" i="5"/>
  <c r="L181" i="5"/>
  <c r="L165" i="5"/>
  <c r="L149" i="5"/>
  <c r="L133" i="5"/>
  <c r="J183" i="5"/>
  <c r="J167" i="5"/>
  <c r="J151" i="5"/>
  <c r="J135" i="5"/>
  <c r="H185" i="5"/>
  <c r="H169" i="5"/>
  <c r="H153" i="5"/>
  <c r="H137" i="5"/>
  <c r="F199" i="5"/>
  <c r="R199" i="5" s="1"/>
  <c r="F187" i="5"/>
  <c r="F171" i="5"/>
  <c r="F155" i="5"/>
  <c r="F139" i="5"/>
  <c r="N99" i="5"/>
  <c r="N84" i="5"/>
  <c r="N71" i="5"/>
  <c r="N62" i="5"/>
  <c r="N46" i="5"/>
  <c r="N30" i="5"/>
  <c r="N14" i="5"/>
  <c r="L100" i="5"/>
  <c r="L88" i="5"/>
  <c r="L72" i="5"/>
  <c r="L63" i="5"/>
  <c r="L47" i="5"/>
  <c r="L31" i="5"/>
  <c r="L15" i="5"/>
  <c r="J101" i="5"/>
  <c r="J89" i="5"/>
  <c r="J73" i="5"/>
  <c r="J48" i="5"/>
  <c r="J32" i="5"/>
  <c r="J16" i="5"/>
  <c r="H105" i="5"/>
  <c r="H77" i="5"/>
  <c r="H52" i="5"/>
  <c r="H36" i="5"/>
  <c r="H20" i="5"/>
  <c r="F95" i="5"/>
  <c r="F80" i="5"/>
  <c r="F56" i="5"/>
  <c r="F40" i="5"/>
  <c r="F24" i="5"/>
  <c r="F8" i="5"/>
  <c r="N178" i="5"/>
  <c r="N162" i="5"/>
  <c r="N146" i="5"/>
  <c r="L180" i="5"/>
  <c r="L164" i="5"/>
  <c r="L148" i="5"/>
  <c r="L132" i="5"/>
  <c r="J182" i="5"/>
  <c r="J166" i="5"/>
  <c r="J150" i="5"/>
  <c r="J134" i="5"/>
  <c r="H184" i="5"/>
  <c r="H168" i="5"/>
  <c r="H152" i="5"/>
  <c r="H136" i="5"/>
  <c r="F186" i="5"/>
  <c r="F170" i="5"/>
  <c r="F154" i="5"/>
  <c r="F138" i="5"/>
  <c r="N98" i="5"/>
  <c r="N70" i="5"/>
  <c r="N61" i="5"/>
  <c r="N45" i="5"/>
  <c r="N29" i="5"/>
  <c r="N13" i="5"/>
  <c r="L99" i="5"/>
  <c r="L84" i="5"/>
  <c r="L71" i="5"/>
  <c r="L62" i="5"/>
  <c r="L46" i="5"/>
  <c r="L30" i="5"/>
  <c r="L14" i="5"/>
  <c r="J100" i="5"/>
  <c r="J88" i="5"/>
  <c r="J72" i="5"/>
  <c r="J63" i="5"/>
  <c r="J47" i="5"/>
  <c r="J31" i="5"/>
  <c r="J15" i="5"/>
  <c r="H104" i="5"/>
  <c r="H91" i="5"/>
  <c r="H76" i="5"/>
  <c r="H51" i="5"/>
  <c r="H35" i="5"/>
  <c r="H19" i="5"/>
  <c r="F94" i="5"/>
  <c r="F79" i="5"/>
  <c r="F55" i="5"/>
  <c r="F39" i="5"/>
  <c r="F23" i="5"/>
  <c r="F7" i="5"/>
  <c r="N177" i="5"/>
  <c r="N161" i="5"/>
  <c r="N145" i="5"/>
  <c r="L179" i="5"/>
  <c r="L163" i="5"/>
  <c r="L147" i="5"/>
  <c r="L131" i="5"/>
  <c r="J181" i="5"/>
  <c r="J165" i="5"/>
  <c r="J149" i="5"/>
  <c r="J133" i="5"/>
  <c r="H183" i="5"/>
  <c r="H167" i="5"/>
  <c r="H151" i="5"/>
  <c r="H135" i="5"/>
  <c r="F185" i="5"/>
  <c r="F169" i="5"/>
  <c r="F153" i="5"/>
  <c r="F137" i="5"/>
  <c r="N83" i="5"/>
  <c r="N60" i="5"/>
  <c r="N44" i="5"/>
  <c r="N28" i="5"/>
  <c r="N12" i="5"/>
  <c r="L98" i="5"/>
  <c r="L70" i="5"/>
  <c r="L61" i="5"/>
  <c r="L45" i="5"/>
  <c r="L29" i="5"/>
  <c r="L13" i="5"/>
  <c r="J99" i="5"/>
  <c r="J84" i="5"/>
  <c r="J71" i="5"/>
  <c r="J62" i="5"/>
  <c r="J46" i="5"/>
  <c r="J30" i="5"/>
  <c r="J14" i="5"/>
  <c r="H103" i="5"/>
  <c r="H75" i="5"/>
  <c r="H65" i="5"/>
  <c r="H50" i="5"/>
  <c r="H34" i="5"/>
  <c r="H18" i="5"/>
  <c r="F93" i="5"/>
  <c r="F67" i="5"/>
  <c r="F54" i="5"/>
  <c r="F38" i="5"/>
  <c r="F22" i="5"/>
  <c r="F6" i="5"/>
  <c r="N176" i="5"/>
  <c r="N160" i="5"/>
  <c r="N144" i="5"/>
  <c r="L178" i="5"/>
  <c r="L162" i="5"/>
  <c r="L146" i="5"/>
  <c r="J180" i="5"/>
  <c r="J164" i="5"/>
  <c r="J148" i="5"/>
  <c r="J132" i="5"/>
  <c r="H182" i="5"/>
  <c r="H166" i="5"/>
  <c r="H150" i="5"/>
  <c r="H134" i="5"/>
  <c r="F197" i="5"/>
  <c r="R197" i="5" s="1"/>
  <c r="F184" i="5"/>
  <c r="F168" i="5"/>
  <c r="F152" i="5"/>
  <c r="F136" i="5"/>
  <c r="N69" i="5"/>
  <c r="N59" i="5"/>
  <c r="N43" i="5"/>
  <c r="N27" i="5"/>
  <c r="N11" i="5"/>
  <c r="L83" i="5"/>
  <c r="L60" i="5"/>
  <c r="L44" i="5"/>
  <c r="L28" i="5"/>
  <c r="L12" i="5"/>
  <c r="J98" i="5"/>
  <c r="J70" i="5"/>
  <c r="J61" i="5"/>
  <c r="J45" i="5"/>
  <c r="J29" i="5"/>
  <c r="J13" i="5"/>
  <c r="H102" i="5"/>
  <c r="H90" i="5"/>
  <c r="H74" i="5"/>
  <c r="H64" i="5"/>
  <c r="H49" i="5"/>
  <c r="H33" i="5"/>
  <c r="H17" i="5"/>
  <c r="F92" i="5"/>
  <c r="F78" i="5"/>
  <c r="F66" i="5"/>
  <c r="F53" i="5"/>
  <c r="F37" i="5"/>
  <c r="F21" i="5"/>
  <c r="F5" i="5"/>
  <c r="N175" i="5"/>
  <c r="N159" i="5"/>
  <c r="N143" i="5"/>
  <c r="L177" i="5"/>
  <c r="L161" i="5"/>
  <c r="L145" i="5"/>
  <c r="J179" i="5"/>
  <c r="J163" i="5"/>
  <c r="J147" i="5"/>
  <c r="J131" i="5"/>
  <c r="H181" i="5"/>
  <c r="H165" i="5"/>
  <c r="H149" i="5"/>
  <c r="H133" i="5"/>
  <c r="F183" i="5"/>
  <c r="F167" i="5"/>
  <c r="F151" i="5"/>
  <c r="F135" i="5"/>
  <c r="N97" i="5"/>
  <c r="N82" i="5"/>
  <c r="N58" i="5"/>
  <c r="N42" i="5"/>
  <c r="N26" i="5"/>
  <c r="N10" i="5"/>
  <c r="L69" i="5"/>
  <c r="L59" i="5"/>
  <c r="L43" i="5"/>
  <c r="L27" i="5"/>
  <c r="L11" i="5"/>
  <c r="J83" i="5"/>
  <c r="J60" i="5"/>
  <c r="J44" i="5"/>
  <c r="J28" i="5"/>
  <c r="J12" i="5"/>
  <c r="H101" i="5"/>
  <c r="H89" i="5"/>
  <c r="H73" i="5"/>
  <c r="H48" i="5"/>
  <c r="H32" i="5"/>
  <c r="H16" i="5"/>
  <c r="F105" i="5"/>
  <c r="F77" i="5"/>
  <c r="F52" i="5"/>
  <c r="F36" i="5"/>
  <c r="F20" i="5"/>
  <c r="N174" i="5"/>
  <c r="N158" i="5"/>
  <c r="N142" i="5"/>
  <c r="L176" i="5"/>
  <c r="L160" i="5"/>
  <c r="L144" i="5"/>
  <c r="J178" i="5"/>
  <c r="J162" i="5"/>
  <c r="J146" i="5"/>
  <c r="H180" i="5"/>
  <c r="H164" i="5"/>
  <c r="H148" i="5"/>
  <c r="H132" i="5"/>
  <c r="F196" i="5"/>
  <c r="R196" i="5" s="1"/>
  <c r="F182" i="5"/>
  <c r="F166" i="5"/>
  <c r="F150" i="5"/>
  <c r="F134" i="5"/>
  <c r="N96" i="5"/>
  <c r="N81" i="5"/>
  <c r="N68" i="5"/>
  <c r="N57" i="5"/>
  <c r="N41" i="5"/>
  <c r="N25" i="5"/>
  <c r="N9" i="5"/>
  <c r="L97" i="5"/>
  <c r="L82" i="5"/>
  <c r="L58" i="5"/>
  <c r="L42" i="5"/>
  <c r="L26" i="5"/>
  <c r="L10" i="5"/>
  <c r="J69" i="5"/>
  <c r="J59" i="5"/>
  <c r="J43" i="5"/>
  <c r="J27" i="5"/>
  <c r="J11" i="5"/>
  <c r="H100" i="5"/>
  <c r="H88" i="5"/>
  <c r="H72" i="5"/>
  <c r="H63" i="5"/>
  <c r="H47" i="5"/>
  <c r="H31" i="5"/>
  <c r="H15" i="5"/>
  <c r="F104" i="5"/>
  <c r="F91" i="5"/>
  <c r="F76" i="5"/>
  <c r="F51" i="5"/>
  <c r="F35" i="5"/>
  <c r="F19" i="5"/>
  <c r="N189" i="5"/>
  <c r="N173" i="5"/>
  <c r="N157" i="5"/>
  <c r="N141" i="5"/>
  <c r="L175" i="5"/>
  <c r="L159" i="5"/>
  <c r="L143" i="5"/>
  <c r="J177" i="5"/>
  <c r="J161" i="5"/>
  <c r="J145" i="5"/>
  <c r="H179" i="5"/>
  <c r="H163" i="5"/>
  <c r="H147" i="5"/>
  <c r="H131" i="5"/>
  <c r="F195" i="5"/>
  <c r="R195" i="5" s="1"/>
  <c r="F181" i="5"/>
  <c r="F165" i="5"/>
  <c r="F149" i="5"/>
  <c r="F133" i="5"/>
  <c r="N95" i="5"/>
  <c r="N80" i="5"/>
  <c r="N56" i="5"/>
  <c r="N40" i="5"/>
  <c r="N24" i="5"/>
  <c r="N8" i="5"/>
  <c r="L96" i="5"/>
  <c r="L81" i="5"/>
  <c r="L68" i="5"/>
  <c r="L57" i="5"/>
  <c r="L41" i="5"/>
  <c r="L25" i="5"/>
  <c r="L9" i="5"/>
  <c r="J97" i="5"/>
  <c r="J82" i="5"/>
  <c r="J58" i="5"/>
  <c r="J42" i="5"/>
  <c r="J26" i="5"/>
  <c r="J10" i="5"/>
  <c r="H99" i="5"/>
  <c r="H84" i="5"/>
  <c r="H71" i="5"/>
  <c r="H62" i="5"/>
  <c r="H46" i="5"/>
  <c r="H30" i="5"/>
  <c r="H14" i="5"/>
  <c r="F103" i="5"/>
  <c r="F75" i="5"/>
  <c r="F65" i="5"/>
  <c r="F50" i="5"/>
  <c r="F34" i="5"/>
  <c r="F18" i="5"/>
  <c r="N188" i="5"/>
  <c r="N172" i="5"/>
  <c r="N156" i="5"/>
  <c r="N140" i="5"/>
  <c r="L174" i="5"/>
  <c r="L158" i="5"/>
  <c r="L142" i="5"/>
  <c r="J176" i="5"/>
  <c r="J160" i="5"/>
  <c r="J144" i="5"/>
  <c r="H178" i="5"/>
  <c r="H162" i="5"/>
  <c r="H146" i="5"/>
  <c r="F194" i="5"/>
  <c r="R194" i="5" s="1"/>
  <c r="F180" i="5"/>
  <c r="F164" i="5"/>
  <c r="F148" i="5"/>
  <c r="F132" i="5"/>
  <c r="N94" i="5"/>
  <c r="N79" i="5"/>
  <c r="N55" i="5"/>
  <c r="N39" i="5"/>
  <c r="N23" i="5"/>
  <c r="N7" i="5"/>
  <c r="L95" i="5"/>
  <c r="L80" i="5"/>
  <c r="L56" i="5"/>
  <c r="L40" i="5"/>
  <c r="L24" i="5"/>
  <c r="L8" i="5"/>
  <c r="J96" i="5"/>
  <c r="J81" i="5"/>
  <c r="J68" i="5"/>
  <c r="J57" i="5"/>
  <c r="J41" i="5"/>
  <c r="J25" i="5"/>
  <c r="J9" i="5"/>
  <c r="H98" i="5"/>
  <c r="H70" i="5"/>
  <c r="H61" i="5"/>
  <c r="H45" i="5"/>
  <c r="H29" i="5"/>
  <c r="H13" i="5"/>
  <c r="F102" i="5"/>
  <c r="F90" i="5"/>
  <c r="F74" i="5"/>
  <c r="F64" i="5"/>
  <c r="F49" i="5"/>
  <c r="F33" i="5"/>
  <c r="F17" i="5"/>
  <c r="N187" i="5"/>
  <c r="N171" i="5"/>
  <c r="N155" i="5"/>
  <c r="N139" i="5"/>
  <c r="L189" i="5"/>
  <c r="L173" i="5"/>
  <c r="L157" i="5"/>
  <c r="L141" i="5"/>
  <c r="J175" i="5"/>
  <c r="J159" i="5"/>
  <c r="J143" i="5"/>
  <c r="H177" i="5"/>
  <c r="H161" i="5"/>
  <c r="H145" i="5"/>
  <c r="F203" i="5"/>
  <c r="R203" i="5" s="1"/>
  <c r="F193" i="5"/>
  <c r="R193" i="5" s="1"/>
  <c r="F179" i="5"/>
  <c r="F163" i="5"/>
  <c r="F147" i="5"/>
  <c r="F131" i="5"/>
  <c r="N93" i="5"/>
  <c r="N67" i="5"/>
  <c r="N54" i="5"/>
  <c r="N38" i="5"/>
  <c r="N22" i="5"/>
  <c r="N6" i="5"/>
  <c r="L94" i="5"/>
  <c r="L79" i="5"/>
  <c r="L55" i="5"/>
  <c r="L39" i="5"/>
  <c r="L23" i="5"/>
  <c r="L7" i="5"/>
  <c r="J95" i="5"/>
  <c r="J80" i="5"/>
  <c r="J56" i="5"/>
  <c r="J40" i="5"/>
  <c r="J24" i="5"/>
  <c r="J8" i="5"/>
  <c r="H83" i="5"/>
  <c r="H60" i="5"/>
  <c r="H44" i="5"/>
  <c r="H28" i="5"/>
  <c r="H12" i="5"/>
  <c r="F101" i="5"/>
  <c r="F89" i="5"/>
  <c r="F73" i="5"/>
  <c r="F48" i="5"/>
  <c r="F32" i="5"/>
  <c r="F16" i="5"/>
  <c r="N186" i="5"/>
  <c r="N170" i="5"/>
  <c r="N154" i="5"/>
  <c r="N138" i="5"/>
  <c r="L188" i="5"/>
  <c r="L172" i="5"/>
  <c r="L156" i="5"/>
  <c r="L140" i="5"/>
  <c r="J174" i="5"/>
  <c r="J158" i="5"/>
  <c r="J142" i="5"/>
  <c r="H176" i="5"/>
  <c r="H160" i="5"/>
  <c r="H144" i="5"/>
  <c r="F202" i="5"/>
  <c r="R202" i="5" s="1"/>
  <c r="F178" i="5"/>
  <c r="F162" i="5"/>
  <c r="F146" i="5"/>
  <c r="N92" i="5"/>
  <c r="N78" i="5"/>
  <c r="N66" i="5"/>
  <c r="N53" i="5"/>
  <c r="N37" i="5"/>
  <c r="N21" i="5"/>
  <c r="N5" i="5"/>
  <c r="L93" i="5"/>
  <c r="L67" i="5"/>
  <c r="L54" i="5"/>
  <c r="L38" i="5"/>
  <c r="L22" i="5"/>
  <c r="L6" i="5"/>
  <c r="J94" i="5"/>
  <c r="J79" i="5"/>
  <c r="J55" i="5"/>
  <c r="J39" i="5"/>
  <c r="J23" i="5"/>
  <c r="J7" i="5"/>
  <c r="H69" i="5"/>
  <c r="H59" i="5"/>
  <c r="H43" i="5"/>
  <c r="H27" i="5"/>
  <c r="H11" i="5"/>
  <c r="F100" i="5"/>
  <c r="R100" i="5" s="1"/>
  <c r="F88" i="5"/>
  <c r="R88" i="5" s="1"/>
  <c r="F72" i="5"/>
  <c r="F63" i="5"/>
  <c r="F47" i="5"/>
  <c r="F31" i="5"/>
  <c r="F15" i="5"/>
  <c r="R15" i="5" s="1"/>
  <c r="N185" i="5"/>
  <c r="N169" i="5"/>
  <c r="N153" i="5"/>
  <c r="N137" i="5"/>
  <c r="L187" i="5"/>
  <c r="L171" i="5"/>
  <c r="L155" i="5"/>
  <c r="L139" i="5"/>
  <c r="J189" i="5"/>
  <c r="J173" i="5"/>
  <c r="J157" i="5"/>
  <c r="J141" i="5"/>
  <c r="H175" i="5"/>
  <c r="H159" i="5"/>
  <c r="H143" i="5"/>
  <c r="F177" i="5"/>
  <c r="F161" i="5"/>
  <c r="F145" i="5"/>
  <c r="N105" i="5"/>
  <c r="N77" i="5"/>
  <c r="N52" i="5"/>
  <c r="N36" i="5"/>
  <c r="N20" i="5"/>
  <c r="L92" i="5"/>
  <c r="L78" i="5"/>
  <c r="L66" i="5"/>
  <c r="L53" i="5"/>
  <c r="L37" i="5"/>
  <c r="L21" i="5"/>
  <c r="L5" i="5"/>
  <c r="J93" i="5"/>
  <c r="J67" i="5"/>
  <c r="J54" i="5"/>
  <c r="J38" i="5"/>
  <c r="J22" i="5"/>
  <c r="J6" i="5"/>
  <c r="H97" i="5"/>
  <c r="H82" i="5"/>
  <c r="H58" i="5"/>
  <c r="H42" i="5"/>
  <c r="H26" i="5"/>
  <c r="H10" i="5"/>
  <c r="F99" i="5"/>
  <c r="R99" i="5" s="1"/>
  <c r="F84" i="5"/>
  <c r="F71" i="5"/>
  <c r="F62" i="5"/>
  <c r="F46" i="5"/>
  <c r="F30" i="5"/>
  <c r="R30" i="5" s="1"/>
  <c r="F14" i="5"/>
  <c r="R14" i="5" s="1"/>
  <c r="N184" i="5"/>
  <c r="N168" i="5"/>
  <c r="N152" i="5"/>
  <c r="N136" i="5"/>
  <c r="L186" i="5"/>
  <c r="L170" i="5"/>
  <c r="L154" i="5"/>
  <c r="L138" i="5"/>
  <c r="J188" i="5"/>
  <c r="J172" i="5"/>
  <c r="J156" i="5"/>
  <c r="J140" i="5"/>
  <c r="H174" i="5"/>
  <c r="H158" i="5"/>
  <c r="H142" i="5"/>
  <c r="F192" i="5"/>
  <c r="R192" i="5" s="1"/>
  <c r="F176" i="5"/>
  <c r="F160" i="5"/>
  <c r="F144" i="5"/>
  <c r="N104" i="5"/>
  <c r="N91" i="5"/>
  <c r="N76" i="5"/>
  <c r="N51" i="5"/>
  <c r="N35" i="5"/>
  <c r="N19" i="5"/>
  <c r="L105" i="5"/>
  <c r="L77" i="5"/>
  <c r="L52" i="5"/>
  <c r="L36" i="5"/>
  <c r="L20" i="5"/>
  <c r="J92" i="5"/>
  <c r="J78" i="5"/>
  <c r="J66" i="5"/>
  <c r="J53" i="5"/>
  <c r="J37" i="5"/>
  <c r="J21" i="5"/>
  <c r="J5" i="5"/>
  <c r="H96" i="5"/>
  <c r="H81" i="5"/>
  <c r="H68" i="5"/>
  <c r="H57" i="5"/>
  <c r="H41" i="5"/>
  <c r="H25" i="5"/>
  <c r="H9" i="5"/>
  <c r="F98" i="5"/>
  <c r="F70" i="5"/>
  <c r="F61" i="5"/>
  <c r="F45" i="5"/>
  <c r="F29" i="5"/>
  <c r="F13" i="5"/>
  <c r="N183" i="5"/>
  <c r="N167" i="5"/>
  <c r="N151" i="5"/>
  <c r="N135" i="5"/>
  <c r="L185" i="5"/>
  <c r="L169" i="5"/>
  <c r="L153" i="5"/>
  <c r="L137" i="5"/>
  <c r="J187" i="5"/>
  <c r="J171" i="5"/>
  <c r="J155" i="5"/>
  <c r="J139" i="5"/>
  <c r="H189" i="5"/>
  <c r="H173" i="5"/>
  <c r="H157" i="5"/>
  <c r="H141" i="5"/>
  <c r="F201" i="5"/>
  <c r="R201" i="5" s="1"/>
  <c r="F191" i="5"/>
  <c r="R191" i="5" s="1"/>
  <c r="F175" i="5"/>
  <c r="F159" i="5"/>
  <c r="F143" i="5"/>
  <c r="N103" i="5"/>
  <c r="N75" i="5"/>
  <c r="N65" i="5"/>
  <c r="N50" i="5"/>
  <c r="N34" i="5"/>
  <c r="N18" i="5"/>
  <c r="L104" i="5"/>
  <c r="L91" i="5"/>
  <c r="L76" i="5"/>
  <c r="L51" i="5"/>
  <c r="L35" i="5"/>
  <c r="L19" i="5"/>
  <c r="J105" i="5"/>
  <c r="J77" i="5"/>
  <c r="J52" i="5"/>
  <c r="J36" i="5"/>
  <c r="J20" i="5"/>
  <c r="H95" i="5"/>
  <c r="H80" i="5"/>
  <c r="H56" i="5"/>
  <c r="H40" i="5"/>
  <c r="H24" i="5"/>
  <c r="H8" i="5"/>
  <c r="F83" i="5"/>
  <c r="F60" i="5"/>
  <c r="F44" i="5"/>
  <c r="F28" i="5"/>
  <c r="F12" i="5"/>
  <c r="N182" i="5"/>
  <c r="N166" i="5"/>
  <c r="N150" i="5"/>
  <c r="N134" i="5"/>
  <c r="L184" i="5"/>
  <c r="L168" i="5"/>
  <c r="L152" i="5"/>
  <c r="L136" i="5"/>
  <c r="J186" i="5"/>
  <c r="J170" i="5"/>
  <c r="J154" i="5"/>
  <c r="J138" i="5"/>
  <c r="H188" i="5"/>
  <c r="H172" i="5"/>
  <c r="H156" i="5"/>
  <c r="H140" i="5"/>
  <c r="F200" i="5"/>
  <c r="R200" i="5" s="1"/>
  <c r="F190" i="5"/>
  <c r="R190" i="5" s="1"/>
  <c r="F174" i="5"/>
  <c r="F158" i="5"/>
  <c r="F142" i="5"/>
  <c r="N102" i="5"/>
  <c r="N90" i="5"/>
  <c r="N74" i="5"/>
  <c r="N64" i="5"/>
  <c r="N49" i="5"/>
  <c r="N33" i="5"/>
  <c r="N17" i="5"/>
  <c r="L103" i="5"/>
  <c r="L75" i="5"/>
  <c r="L65" i="5"/>
  <c r="L50" i="5"/>
  <c r="L34" i="5"/>
  <c r="L18" i="5"/>
  <c r="J104" i="5"/>
  <c r="J91" i="5"/>
  <c r="J76" i="5"/>
  <c r="J51" i="5"/>
  <c r="J35" i="5"/>
  <c r="J19" i="5"/>
  <c r="H94" i="5"/>
  <c r="H79" i="5"/>
  <c r="H55" i="5"/>
  <c r="H39" i="5"/>
  <c r="H23" i="5"/>
  <c r="H7" i="5"/>
  <c r="F69" i="5"/>
  <c r="F59" i="5"/>
  <c r="F43" i="5"/>
  <c r="F27" i="5"/>
  <c r="F11" i="5"/>
  <c r="N181" i="5"/>
  <c r="N165" i="5"/>
  <c r="N149" i="5"/>
  <c r="N133" i="5"/>
  <c r="L183" i="5"/>
  <c r="L167" i="5"/>
  <c r="L151" i="5"/>
  <c r="L135" i="5"/>
  <c r="J185" i="5"/>
  <c r="J169" i="5"/>
  <c r="J153" i="5"/>
  <c r="J137" i="5"/>
  <c r="H187" i="5"/>
  <c r="H171" i="5"/>
  <c r="H155" i="5"/>
  <c r="H139" i="5"/>
  <c r="F189" i="5"/>
  <c r="F173" i="5"/>
  <c r="F157" i="5"/>
  <c r="F141" i="5"/>
  <c r="N101" i="5"/>
  <c r="N89" i="5"/>
  <c r="N73" i="5"/>
  <c r="N48" i="5"/>
  <c r="N32" i="5"/>
  <c r="N16" i="5"/>
  <c r="L102" i="5"/>
  <c r="L90" i="5"/>
  <c r="L74" i="5"/>
  <c r="L64" i="5"/>
  <c r="L49" i="5"/>
  <c r="L33" i="5"/>
  <c r="L17" i="5"/>
  <c r="J103" i="5"/>
  <c r="J75" i="5"/>
  <c r="J65" i="5"/>
  <c r="J50" i="5"/>
  <c r="J34" i="5"/>
  <c r="J18" i="5"/>
  <c r="H93" i="5"/>
  <c r="H67" i="5"/>
  <c r="H54" i="5"/>
  <c r="H38" i="5"/>
  <c r="H22" i="5"/>
  <c r="H6" i="5"/>
  <c r="F97" i="5"/>
  <c r="F82" i="5"/>
  <c r="F58" i="5"/>
  <c r="F42" i="5"/>
  <c r="F26" i="5"/>
  <c r="F10" i="5"/>
  <c r="R10" i="5" s="1"/>
  <c r="R26" i="5" l="1"/>
  <c r="R42" i="5"/>
  <c r="R144" i="5"/>
  <c r="R178" i="5"/>
  <c r="R131" i="5"/>
  <c r="R29" i="5"/>
  <c r="R31" i="5"/>
  <c r="R175" i="5"/>
  <c r="R13" i="5"/>
  <c r="R28" i="5"/>
  <c r="R162" i="5"/>
  <c r="R58" i="5"/>
  <c r="R69" i="5"/>
  <c r="R141" i="5"/>
  <c r="R147" i="5"/>
  <c r="R89" i="5"/>
  <c r="R180" i="5"/>
  <c r="R149" i="5"/>
  <c r="R168" i="5"/>
  <c r="R118" i="5"/>
  <c r="R189" i="5"/>
  <c r="R158" i="5"/>
  <c r="R143" i="5"/>
  <c r="R11" i="5"/>
  <c r="R97" i="5"/>
  <c r="R43" i="5"/>
  <c r="R59" i="5"/>
  <c r="R12" i="5"/>
  <c r="R60" i="5"/>
  <c r="R146" i="5"/>
  <c r="R83" i="5"/>
  <c r="R61" i="5"/>
  <c r="R98" i="5"/>
  <c r="R71" i="5"/>
  <c r="R63" i="5"/>
  <c r="R84" i="5"/>
  <c r="R72" i="5"/>
  <c r="R167" i="5"/>
  <c r="R5" i="5"/>
  <c r="R153" i="5"/>
  <c r="R34" i="5"/>
  <c r="R64" i="5"/>
  <c r="R174" i="5"/>
  <c r="R159" i="5"/>
  <c r="R163" i="5"/>
  <c r="R132" i="5"/>
  <c r="R148" i="5"/>
  <c r="R177" i="5"/>
  <c r="R46" i="5"/>
  <c r="R179" i="5"/>
  <c r="R160" i="5"/>
  <c r="R145" i="5"/>
  <c r="R73" i="5"/>
  <c r="R49" i="5"/>
  <c r="R164" i="5"/>
  <c r="R18" i="5"/>
  <c r="R133" i="5"/>
  <c r="R151" i="5"/>
  <c r="R152" i="5"/>
  <c r="R137" i="5"/>
  <c r="R96" i="5"/>
  <c r="R117" i="5"/>
  <c r="R101" i="5"/>
  <c r="R74" i="5"/>
  <c r="R50" i="5"/>
  <c r="R165" i="5"/>
  <c r="R134" i="5"/>
  <c r="R183" i="5"/>
  <c r="R21" i="5"/>
  <c r="R184" i="5"/>
  <c r="R6" i="5"/>
  <c r="R169" i="5"/>
  <c r="R119" i="5"/>
  <c r="R173" i="5"/>
  <c r="R142" i="5"/>
  <c r="R90" i="5"/>
  <c r="R65" i="5"/>
  <c r="R181" i="5"/>
  <c r="R19" i="5"/>
  <c r="R150" i="5"/>
  <c r="R37" i="5"/>
  <c r="R22" i="5"/>
  <c r="R185" i="5"/>
  <c r="R7" i="5"/>
  <c r="R138" i="5"/>
  <c r="R102" i="5"/>
  <c r="R75" i="5"/>
  <c r="R35" i="5"/>
  <c r="R166" i="5"/>
  <c r="R20" i="5"/>
  <c r="R53" i="5"/>
  <c r="R38" i="5"/>
  <c r="R23" i="5"/>
  <c r="R154" i="5"/>
  <c r="R157" i="5"/>
  <c r="R103" i="5"/>
  <c r="R51" i="5"/>
  <c r="R182" i="5"/>
  <c r="R36" i="5"/>
  <c r="R66" i="5"/>
  <c r="R54" i="5"/>
  <c r="R39" i="5"/>
  <c r="R170" i="5"/>
  <c r="R139" i="5"/>
  <c r="R82" i="5"/>
  <c r="R27" i="5"/>
  <c r="R76" i="5"/>
  <c r="R52" i="5"/>
  <c r="R78" i="5"/>
  <c r="R67" i="5"/>
  <c r="R55" i="5"/>
  <c r="R186" i="5"/>
  <c r="R8" i="5"/>
  <c r="R155" i="5"/>
  <c r="R91" i="5"/>
  <c r="R77" i="5"/>
  <c r="R92" i="5"/>
  <c r="R93" i="5"/>
  <c r="R79" i="5"/>
  <c r="R24" i="5"/>
  <c r="R171" i="5"/>
  <c r="R104" i="5"/>
  <c r="R105" i="5"/>
  <c r="R94" i="5"/>
  <c r="R40" i="5"/>
  <c r="R187" i="5"/>
  <c r="R56" i="5"/>
  <c r="R44" i="5"/>
  <c r="R176" i="5"/>
  <c r="R80" i="5"/>
  <c r="R9" i="5"/>
  <c r="R45" i="5"/>
  <c r="R161" i="5"/>
  <c r="R95" i="5"/>
  <c r="R25" i="5"/>
  <c r="R41" i="5"/>
  <c r="R140" i="5"/>
  <c r="R70" i="5"/>
  <c r="R16" i="5"/>
  <c r="R57" i="5"/>
  <c r="R156" i="5"/>
  <c r="R62" i="5"/>
  <c r="R47" i="5"/>
  <c r="R32" i="5"/>
  <c r="R17" i="5"/>
  <c r="R68" i="5"/>
  <c r="R172" i="5"/>
  <c r="R48" i="5"/>
  <c r="R33" i="5"/>
  <c r="R135" i="5"/>
  <c r="R136" i="5"/>
  <c r="R81" i="5"/>
  <c r="R188" i="5"/>
  <c r="H207" i="5"/>
  <c r="N207" i="5"/>
  <c r="J207" i="5"/>
  <c r="F207" i="5"/>
  <c r="L207" i="5"/>
  <c r="F113" i="5"/>
  <c r="L113" i="5"/>
  <c r="J113" i="5"/>
  <c r="N113" i="5"/>
  <c r="H113" i="5"/>
  <c r="H120" i="5"/>
  <c r="J120" i="5"/>
  <c r="L120" i="5"/>
  <c r="N120" i="5"/>
  <c r="F120" i="5"/>
  <c r="E5" i="6"/>
  <c r="H88" i="2" s="1"/>
  <c r="E6" i="6"/>
  <c r="E7" i="6"/>
  <c r="E8" i="6"/>
  <c r="E9" i="6"/>
  <c r="E10" i="6"/>
  <c r="U227" i="1" s="1"/>
  <c r="E11" i="6"/>
  <c r="E12" i="6"/>
  <c r="E13" i="6"/>
  <c r="E14" i="6"/>
  <c r="E15" i="6"/>
  <c r="U482" i="1" s="1"/>
  <c r="E16" i="6"/>
  <c r="U309" i="1" s="1"/>
  <c r="E17" i="6"/>
  <c r="E18" i="6"/>
  <c r="E19" i="6"/>
  <c r="U503" i="1" s="1"/>
  <c r="E20" i="6"/>
  <c r="E21" i="6"/>
  <c r="U311" i="1" s="1"/>
  <c r="E22" i="6"/>
  <c r="E23" i="6"/>
  <c r="E24" i="6"/>
  <c r="E25" i="6"/>
  <c r="U555" i="1" s="1"/>
  <c r="E26" i="6"/>
  <c r="E27" i="6"/>
  <c r="E28" i="6"/>
  <c r="U506" i="1" s="1"/>
  <c r="E29" i="6"/>
  <c r="E30" i="6"/>
  <c r="E31" i="6"/>
  <c r="E32" i="6"/>
  <c r="E33" i="6"/>
  <c r="E34" i="6"/>
  <c r="U478" i="1" s="1"/>
  <c r="E35" i="6"/>
  <c r="E36" i="6"/>
  <c r="E37" i="6"/>
  <c r="E38" i="6"/>
  <c r="E39" i="6"/>
  <c r="E40" i="6"/>
  <c r="E41" i="6"/>
  <c r="U515" i="1" s="1"/>
  <c r="E42" i="6"/>
  <c r="E43" i="6"/>
  <c r="E44" i="6"/>
  <c r="H95" i="2" s="1"/>
  <c r="E45" i="6"/>
  <c r="E46" i="6"/>
  <c r="U19" i="1" s="1"/>
  <c r="E47" i="6"/>
  <c r="E48" i="6"/>
  <c r="U163" i="1" s="1"/>
  <c r="E49" i="6"/>
  <c r="E50" i="6"/>
  <c r="E51" i="6"/>
  <c r="U328" i="1" s="1"/>
  <c r="E52" i="6"/>
  <c r="U473" i="1" s="1"/>
  <c r="E53" i="6"/>
  <c r="E54" i="6"/>
  <c r="E55" i="6"/>
  <c r="E56" i="6"/>
  <c r="U465" i="1" s="1"/>
  <c r="E57" i="6"/>
  <c r="E58" i="6"/>
  <c r="E59" i="6"/>
  <c r="E60" i="6"/>
  <c r="H258" i="2" s="1"/>
  <c r="E61" i="6"/>
  <c r="U529" i="1" s="1"/>
  <c r="E62" i="6"/>
  <c r="U542" i="1" s="1"/>
  <c r="E63" i="6"/>
  <c r="E64" i="6"/>
  <c r="H142" i="2" s="1"/>
  <c r="E65" i="6"/>
  <c r="U269" i="1" s="1"/>
  <c r="E66" i="6"/>
  <c r="U116" i="1" s="1"/>
  <c r="E67" i="6"/>
  <c r="E68" i="6"/>
  <c r="E69" i="6"/>
  <c r="U34" i="1" s="1"/>
  <c r="E70" i="6"/>
  <c r="E71" i="6"/>
  <c r="H307" i="2" s="1"/>
  <c r="E72" i="6"/>
  <c r="U58" i="1" s="1"/>
  <c r="E73" i="6"/>
  <c r="H356" i="2" s="1"/>
  <c r="E74" i="6"/>
  <c r="E75" i="6"/>
  <c r="E76" i="6"/>
  <c r="H305" i="2" s="1"/>
  <c r="E77" i="6"/>
  <c r="U35" i="1" s="1"/>
  <c r="E78" i="6"/>
  <c r="E79" i="6"/>
  <c r="E80" i="6"/>
  <c r="U537" i="1" s="1"/>
  <c r="E81" i="6"/>
  <c r="U366" i="1" s="1"/>
  <c r="E82" i="6"/>
  <c r="E83" i="6"/>
  <c r="E84" i="6"/>
  <c r="E85" i="6"/>
  <c r="E86" i="6"/>
  <c r="H33" i="2" s="1"/>
  <c r="E87" i="6"/>
  <c r="E88" i="6"/>
  <c r="E89" i="6"/>
  <c r="E90" i="6"/>
  <c r="E91" i="6"/>
  <c r="H56" i="2" s="1"/>
  <c r="E92" i="6"/>
  <c r="E93" i="6"/>
  <c r="E94" i="6"/>
  <c r="E95" i="6"/>
  <c r="H115" i="2" s="1"/>
  <c r="E96" i="6"/>
  <c r="U543" i="1" s="1"/>
  <c r="E97" i="6"/>
  <c r="U127" i="1" s="1"/>
  <c r="E98" i="6"/>
  <c r="E99" i="6"/>
  <c r="E100" i="6"/>
  <c r="U106" i="1" s="1"/>
  <c r="E101" i="6"/>
  <c r="E102" i="6"/>
  <c r="E103" i="6"/>
  <c r="H35" i="2" s="1"/>
  <c r="E104" i="6"/>
  <c r="E105" i="6"/>
  <c r="E106" i="6"/>
  <c r="E107" i="6"/>
  <c r="H210" i="2" s="1"/>
  <c r="E108" i="6"/>
  <c r="E109" i="6"/>
  <c r="E110" i="6"/>
  <c r="E111" i="6"/>
  <c r="E112" i="6"/>
  <c r="U557" i="1" s="1"/>
  <c r="E113" i="6"/>
  <c r="E114" i="6"/>
  <c r="H354" i="2" s="1"/>
  <c r="E115" i="6"/>
  <c r="E116" i="6"/>
  <c r="E117" i="6"/>
  <c r="E118" i="6"/>
  <c r="U558" i="1" s="1"/>
  <c r="E119" i="6"/>
  <c r="E120" i="6"/>
  <c r="U561" i="1" s="1"/>
  <c r="E121" i="6"/>
  <c r="U145" i="1" s="1"/>
  <c r="E122" i="6"/>
  <c r="E123" i="6"/>
  <c r="U559" i="1" s="1"/>
  <c r="E124" i="6"/>
  <c r="E125" i="6"/>
  <c r="U550" i="1" s="1"/>
  <c r="E126" i="6"/>
  <c r="E127" i="6"/>
  <c r="E128" i="6"/>
  <c r="U380" i="1" s="1"/>
  <c r="E129" i="6"/>
  <c r="H309" i="2" s="1"/>
  <c r="E130" i="6"/>
  <c r="E4" i="6"/>
  <c r="R207" i="5" l="1"/>
  <c r="H318" i="2"/>
  <c r="U490" i="1"/>
  <c r="U489" i="1"/>
  <c r="U488" i="1"/>
  <c r="U495" i="1"/>
  <c r="U6" i="1"/>
  <c r="U560" i="1"/>
  <c r="U508" i="1"/>
  <c r="U509" i="1"/>
  <c r="U507" i="1"/>
  <c r="U483" i="1"/>
  <c r="U502" i="1"/>
  <c r="U484" i="1"/>
  <c r="U501" i="1"/>
  <c r="U191" i="1"/>
  <c r="U552" i="1"/>
  <c r="U540" i="1"/>
  <c r="U541" i="1"/>
  <c r="U534" i="1"/>
  <c r="U535" i="1"/>
  <c r="U525" i="1"/>
  <c r="U526" i="1"/>
  <c r="U548" i="1"/>
  <c r="U549" i="1"/>
  <c r="U415" i="1"/>
  <c r="U500" i="1"/>
  <c r="H114" i="2"/>
  <c r="U539" i="1"/>
  <c r="U492" i="1"/>
  <c r="U474" i="1"/>
  <c r="U516" i="1"/>
  <c r="U485" i="1"/>
  <c r="U499" i="1"/>
  <c r="U514" i="1"/>
  <c r="U513" i="1"/>
  <c r="U480" i="1"/>
  <c r="U505" i="1"/>
  <c r="H360" i="2"/>
  <c r="H364" i="2"/>
  <c r="H363" i="2"/>
  <c r="U533" i="1"/>
  <c r="U481" i="1"/>
  <c r="U504" i="1"/>
  <c r="U497" i="1"/>
  <c r="U546" i="1"/>
  <c r="U547" i="1"/>
  <c r="U523" i="1"/>
  <c r="U524" i="1"/>
  <c r="U522" i="1"/>
  <c r="U521" i="1"/>
  <c r="U518" i="1"/>
  <c r="U520" i="1"/>
  <c r="U519" i="1"/>
  <c r="H345" i="2"/>
  <c r="U498" i="1"/>
  <c r="U544" i="1"/>
  <c r="U545" i="1"/>
  <c r="H355" i="2"/>
  <c r="U538" i="1"/>
  <c r="U553" i="1"/>
  <c r="U554" i="1"/>
  <c r="U530" i="1"/>
  <c r="U531" i="1"/>
  <c r="U511" i="1"/>
  <c r="U512" i="1"/>
  <c r="U536" i="1"/>
  <c r="H321" i="2"/>
  <c r="U510" i="1"/>
  <c r="H267" i="2"/>
  <c r="H266" i="2"/>
  <c r="H337" i="2"/>
  <c r="H352" i="2"/>
  <c r="H343" i="2"/>
  <c r="H323" i="2"/>
  <c r="U395" i="1"/>
  <c r="U446" i="1"/>
  <c r="U461" i="1"/>
  <c r="H346" i="2"/>
  <c r="H314" i="2"/>
  <c r="H316" i="2"/>
  <c r="U462" i="1"/>
  <c r="H340" i="2"/>
  <c r="U374" i="1"/>
  <c r="H351" i="2"/>
  <c r="H333" i="2"/>
  <c r="H348" i="2"/>
  <c r="H347" i="2"/>
  <c r="U439" i="1"/>
  <c r="U438" i="1"/>
  <c r="U434" i="1"/>
  <c r="H357" i="2"/>
  <c r="H342" i="2"/>
  <c r="H330" i="2"/>
  <c r="H349" i="2"/>
  <c r="U142" i="1"/>
  <c r="H327" i="2"/>
  <c r="H329" i="2"/>
  <c r="U441" i="1"/>
  <c r="U442" i="1"/>
  <c r="H341" i="2"/>
  <c r="U479" i="1"/>
  <c r="H332" i="2"/>
  <c r="H338" i="2"/>
  <c r="U402" i="1"/>
  <c r="U430" i="1"/>
  <c r="U452" i="1"/>
  <c r="U450" i="1"/>
  <c r="U454" i="1"/>
  <c r="U456" i="1"/>
  <c r="U449" i="1"/>
  <c r="U451" i="1"/>
  <c r="U453" i="1"/>
  <c r="U455" i="1"/>
  <c r="H336" i="2"/>
  <c r="U463" i="1"/>
  <c r="H335" i="2"/>
  <c r="H358" i="2"/>
  <c r="U435" i="1"/>
  <c r="H324" i="2"/>
  <c r="H319" i="2"/>
  <c r="U464" i="1"/>
  <c r="H308" i="2"/>
  <c r="H350" i="2"/>
  <c r="H315" i="2"/>
  <c r="H322" i="2"/>
  <c r="H313" i="2"/>
  <c r="U280" i="1"/>
  <c r="U445" i="1"/>
  <c r="U475" i="1"/>
  <c r="U476" i="1"/>
  <c r="U457" i="1"/>
  <c r="H353" i="2"/>
  <c r="U466" i="1"/>
  <c r="U467" i="1"/>
  <c r="U377" i="1"/>
  <c r="U431" i="1"/>
  <c r="U436" i="1"/>
  <c r="U437" i="1"/>
  <c r="H320" i="2"/>
  <c r="H334" i="2"/>
  <c r="U470" i="1"/>
  <c r="U468" i="1"/>
  <c r="H326" i="2"/>
  <c r="U458" i="1"/>
  <c r="U469" i="1"/>
  <c r="H325" i="2"/>
  <c r="H317" i="2"/>
  <c r="U471" i="1"/>
  <c r="H328" i="2"/>
  <c r="U472" i="1"/>
  <c r="U346" i="1"/>
  <c r="U459" i="1"/>
  <c r="U460" i="1"/>
  <c r="U477" i="1"/>
  <c r="H331" i="2"/>
  <c r="U447" i="1"/>
  <c r="H339" i="2"/>
  <c r="H344" i="2"/>
  <c r="U448" i="1"/>
  <c r="U115" i="1"/>
  <c r="U178" i="1"/>
  <c r="U101" i="1"/>
  <c r="U205" i="1"/>
  <c r="U59" i="1"/>
  <c r="U149" i="1"/>
  <c r="U192" i="1"/>
  <c r="U175" i="1"/>
  <c r="U43" i="1"/>
  <c r="U7" i="1"/>
  <c r="U281" i="1"/>
  <c r="U282" i="1"/>
  <c r="U283" i="1"/>
  <c r="U32" i="1"/>
  <c r="U400" i="1"/>
  <c r="U61" i="1"/>
  <c r="U81" i="1"/>
  <c r="U314" i="1"/>
  <c r="U315" i="1"/>
  <c r="U238" i="1"/>
  <c r="U239" i="1"/>
  <c r="U410" i="1"/>
  <c r="U69" i="1"/>
  <c r="H2" i="2"/>
  <c r="U228" i="1"/>
  <c r="U307" i="1"/>
  <c r="U40" i="1"/>
  <c r="U406" i="1"/>
  <c r="U201" i="1"/>
  <c r="U306" i="1"/>
  <c r="U99" i="1"/>
  <c r="U2" i="1"/>
  <c r="U118" i="1"/>
  <c r="U98" i="1"/>
  <c r="U8" i="1"/>
  <c r="U79" i="1"/>
  <c r="U102" i="1"/>
  <c r="U271" i="1"/>
  <c r="U114" i="1"/>
  <c r="U272" i="1"/>
  <c r="U383" i="1"/>
  <c r="U354" i="1"/>
  <c r="U171" i="1"/>
  <c r="U273" i="1"/>
  <c r="U188" i="1"/>
  <c r="U355" i="1"/>
  <c r="U360" i="1"/>
  <c r="U62" i="1"/>
  <c r="U129" i="1"/>
  <c r="U150" i="1"/>
  <c r="U362" i="1"/>
  <c r="U351" i="1"/>
  <c r="U27" i="1"/>
  <c r="U132" i="1"/>
  <c r="U210" i="1"/>
  <c r="U51" i="1"/>
  <c r="U156" i="1"/>
  <c r="U352" i="1"/>
  <c r="U353" i="1"/>
  <c r="U83" i="1"/>
  <c r="U361" i="1"/>
  <c r="U16" i="1"/>
  <c r="U66" i="1"/>
  <c r="U217" i="1"/>
  <c r="U90" i="1"/>
  <c r="U356" i="1"/>
  <c r="U215" i="1"/>
  <c r="U220" i="1"/>
  <c r="U50" i="1"/>
  <c r="U165" i="1"/>
  <c r="U46" i="1"/>
  <c r="U357" i="1"/>
  <c r="U179" i="1"/>
  <c r="U358" i="1"/>
  <c r="U154" i="1"/>
  <c r="U180" i="1"/>
  <c r="U359" i="1"/>
  <c r="U225" i="1"/>
  <c r="U49" i="1"/>
  <c r="U52" i="1"/>
  <c r="U109" i="1"/>
  <c r="U206" i="1"/>
  <c r="U84" i="1"/>
  <c r="U124" i="1"/>
  <c r="U126" i="1"/>
  <c r="U263" i="1"/>
  <c r="U387" i="1"/>
  <c r="U89" i="1"/>
  <c r="U261" i="1"/>
  <c r="U262" i="1"/>
  <c r="U93" i="1"/>
  <c r="U340" i="1"/>
  <c r="U155" i="1"/>
  <c r="U182" i="1"/>
  <c r="U141" i="1"/>
  <c r="U3" i="1"/>
  <c r="U183" i="1"/>
  <c r="U36" i="1"/>
  <c r="U292" i="1"/>
  <c r="U187" i="1"/>
  <c r="U10" i="1"/>
  <c r="U293" i="1"/>
  <c r="U425" i="1"/>
  <c r="U371" i="1"/>
  <c r="U372" i="1"/>
  <c r="U151" i="1"/>
  <c r="U137" i="1"/>
  <c r="U177" i="1"/>
  <c r="U70" i="1"/>
  <c r="U222" i="1"/>
  <c r="U96" i="1"/>
  <c r="U381" i="1"/>
  <c r="U29" i="1"/>
  <c r="U91" i="1"/>
  <c r="U199" i="1"/>
  <c r="U303" i="1"/>
  <c r="U260" i="1"/>
  <c r="U67" i="1"/>
  <c r="U337" i="1"/>
  <c r="U414" i="1"/>
  <c r="U265" i="1"/>
  <c r="U236" i="1"/>
  <c r="U237" i="1"/>
  <c r="U390" i="1"/>
  <c r="U221" i="1"/>
  <c r="U120" i="1"/>
  <c r="U203" i="1"/>
  <c r="H293" i="2"/>
  <c r="U270" i="1"/>
  <c r="U348" i="1"/>
  <c r="U349" i="1"/>
  <c r="U350" i="1"/>
  <c r="U153" i="1"/>
  <c r="U212" i="1"/>
  <c r="U119" i="1"/>
  <c r="U417" i="1"/>
  <c r="U397" i="1"/>
  <c r="U4" i="1"/>
  <c r="U55" i="1"/>
  <c r="U312" i="1"/>
  <c r="U313" i="1"/>
  <c r="U20" i="1"/>
  <c r="U234" i="1"/>
  <c r="U164" i="1"/>
  <c r="U235" i="1"/>
  <c r="U423" i="1"/>
  <c r="U176" i="1"/>
  <c r="U196" i="1"/>
  <c r="U170" i="1"/>
  <c r="U389" i="1"/>
  <c r="H153" i="2"/>
  <c r="U291" i="1"/>
  <c r="U290" i="1"/>
  <c r="U117" i="1"/>
  <c r="U144" i="1"/>
  <c r="U347" i="1"/>
  <c r="U172" i="1"/>
  <c r="U152" i="1"/>
  <c r="U54" i="1"/>
  <c r="U166" i="1"/>
  <c r="U33" i="1"/>
  <c r="U125" i="1"/>
  <c r="U103" i="1"/>
  <c r="U252" i="1"/>
  <c r="U253" i="1"/>
  <c r="U68" i="1"/>
  <c r="U258" i="1"/>
  <c r="U11" i="1"/>
  <c r="U254" i="1"/>
  <c r="U332" i="1"/>
  <c r="U259" i="1"/>
  <c r="U13" i="1"/>
  <c r="U63" i="1"/>
  <c r="U213" i="1"/>
  <c r="U255" i="1"/>
  <c r="U333" i="1"/>
  <c r="U64" i="1"/>
  <c r="U256" i="1"/>
  <c r="U334" i="1"/>
  <c r="U386" i="1"/>
  <c r="U388" i="1"/>
  <c r="U219" i="1"/>
  <c r="U15" i="1"/>
  <c r="U133" i="1"/>
  <c r="U257" i="1"/>
  <c r="U335" i="1"/>
  <c r="U407" i="1"/>
  <c r="U28" i="1"/>
  <c r="U82" i="1"/>
  <c r="U211" i="1"/>
  <c r="U112" i="1"/>
  <c r="U336" i="1"/>
  <c r="U22" i="1"/>
  <c r="U121" i="1"/>
  <c r="U160" i="1"/>
  <c r="U56" i="1"/>
  <c r="U143" i="1"/>
  <c r="U399" i="1"/>
  <c r="U226" i="1"/>
  <c r="U305" i="1"/>
  <c r="U94" i="1"/>
  <c r="U48" i="1"/>
  <c r="U379" i="1"/>
  <c r="U413" i="1"/>
  <c r="U378" i="1"/>
  <c r="U24" i="1"/>
  <c r="U122" i="1"/>
  <c r="U289" i="1"/>
  <c r="U186" i="1"/>
  <c r="U288" i="1"/>
  <c r="U405" i="1"/>
  <c r="U14" i="1"/>
  <c r="U131" i="1"/>
  <c r="U223" i="1"/>
  <c r="U9" i="1"/>
  <c r="U123" i="1"/>
  <c r="U38" i="1"/>
  <c r="U296" i="1"/>
  <c r="U297" i="1"/>
  <c r="U295" i="1"/>
  <c r="U158" i="1"/>
  <c r="U47" i="1"/>
  <c r="U53" i="1"/>
  <c r="U404" i="1"/>
  <c r="U394" i="1"/>
  <c r="U321" i="1"/>
  <c r="U322" i="1"/>
  <c r="U251" i="1"/>
  <c r="U329" i="1"/>
  <c r="U330" i="1"/>
  <c r="U331" i="1"/>
  <c r="U193" i="1"/>
  <c r="U30" i="1"/>
  <c r="U17" i="1"/>
  <c r="U198" i="1"/>
  <c r="U95" i="1"/>
  <c r="U92" i="1"/>
  <c r="U224" i="1"/>
  <c r="U60" i="1"/>
  <c r="U37" i="1"/>
  <c r="U190" i="1"/>
  <c r="U195" i="1"/>
  <c r="U39" i="1"/>
  <c r="U246" i="1"/>
  <c r="U320" i="1"/>
  <c r="U104" i="1"/>
  <c r="U338" i="1"/>
  <c r="U339" i="1"/>
  <c r="U416" i="1"/>
  <c r="U248" i="1"/>
  <c r="U105" i="1"/>
  <c r="U136" i="1"/>
  <c r="U65" i="1"/>
  <c r="U325" i="1"/>
  <c r="U324" i="1"/>
  <c r="U247" i="1"/>
  <c r="U298" i="1"/>
  <c r="U299" i="1"/>
  <c r="U392" i="1"/>
  <c r="U375" i="1"/>
  <c r="U411" i="1"/>
  <c r="U363" i="1"/>
  <c r="U168" i="1"/>
  <c r="U364" i="1"/>
  <c r="U365" i="1"/>
  <c r="U184" i="1"/>
  <c r="U274" i="1"/>
  <c r="U21" i="1"/>
  <c r="U275" i="1"/>
  <c r="U276" i="1"/>
  <c r="U108" i="1"/>
  <c r="U111" i="1"/>
  <c r="U216" i="1"/>
  <c r="U139" i="1"/>
  <c r="U25" i="1"/>
  <c r="U382" i="1"/>
  <c r="U302" i="1"/>
  <c r="U159" i="1"/>
  <c r="U287" i="1"/>
  <c r="U279" i="1"/>
  <c r="U278" i="1"/>
  <c r="H23" i="2"/>
  <c r="U345" i="1"/>
  <c r="U344" i="1"/>
  <c r="U202" i="1"/>
  <c r="U181" i="1"/>
  <c r="U300" i="1"/>
  <c r="U319" i="1"/>
  <c r="U87" i="1"/>
  <c r="U245" i="1"/>
  <c r="U162" i="1"/>
  <c r="U310" i="1"/>
  <c r="U233" i="1"/>
  <c r="U138" i="1"/>
  <c r="U249" i="1"/>
  <c r="U208" i="1"/>
  <c r="U85" i="1"/>
  <c r="U173" i="1"/>
  <c r="U88" i="1"/>
  <c r="U197" i="1"/>
  <c r="U140" i="1"/>
  <c r="U326" i="1"/>
  <c r="U396" i="1"/>
  <c r="U420" i="1"/>
  <c r="U376" i="1"/>
  <c r="U419" i="1"/>
  <c r="U147" i="1"/>
  <c r="U207" i="1"/>
  <c r="U286" i="1"/>
  <c r="U194" i="1"/>
  <c r="U243" i="1"/>
  <c r="U5" i="1"/>
  <c r="U318" i="1"/>
  <c r="U418" i="1"/>
  <c r="U244" i="1"/>
  <c r="U323" i="1"/>
  <c r="U80" i="1"/>
  <c r="U113" i="1"/>
  <c r="U18" i="1"/>
  <c r="U385" i="1"/>
  <c r="U42" i="1"/>
  <c r="U409" i="1"/>
  <c r="U185" i="1"/>
  <c r="U403" i="1"/>
  <c r="U277" i="1"/>
  <c r="U391" i="1"/>
  <c r="H12" i="2"/>
  <c r="U189" i="1"/>
  <c r="U128" i="1"/>
  <c r="U218" i="1"/>
  <c r="U242" i="1"/>
  <c r="U26" i="1"/>
  <c r="U384" i="1"/>
  <c r="U421" i="1"/>
  <c r="U268" i="1"/>
  <c r="U342" i="1"/>
  <c r="U343" i="1"/>
  <c r="U266" i="1"/>
  <c r="U341" i="1"/>
  <c r="U267" i="1"/>
  <c r="U250" i="1"/>
  <c r="U148" i="1"/>
  <c r="U130" i="1"/>
  <c r="U214" i="1"/>
  <c r="U426" i="1"/>
  <c r="U427" i="1"/>
  <c r="U412" i="1"/>
  <c r="U327" i="1"/>
  <c r="U393" i="1"/>
  <c r="U232" i="1"/>
  <c r="U231" i="1"/>
  <c r="U367" i="1"/>
  <c r="U422" i="1"/>
  <c r="U370" i="1"/>
  <c r="U107" i="1"/>
  <c r="U368" i="1"/>
  <c r="U369" i="1"/>
  <c r="U284" i="1"/>
  <c r="U41" i="1"/>
  <c r="U424" i="1"/>
  <c r="U100" i="1"/>
  <c r="U285" i="1"/>
  <c r="H291" i="2"/>
  <c r="U31" i="1"/>
  <c r="U209" i="1"/>
  <c r="U301" i="1"/>
  <c r="U401" i="1"/>
  <c r="U57" i="1"/>
  <c r="U294" i="1"/>
  <c r="U134" i="1"/>
  <c r="U373" i="1"/>
  <c r="U97" i="1"/>
  <c r="H22" i="2"/>
  <c r="U264" i="1"/>
  <c r="U12" i="1"/>
  <c r="U146" i="1"/>
  <c r="U204" i="1"/>
  <c r="U316" i="1"/>
  <c r="U110" i="1"/>
  <c r="U174" i="1"/>
  <c r="U317" i="1"/>
  <c r="U408" i="1"/>
  <c r="U167" i="1"/>
  <c r="U240" i="1"/>
  <c r="U241" i="1"/>
  <c r="U398" i="1"/>
  <c r="U169" i="1"/>
  <c r="U229" i="1"/>
  <c r="U230" i="1"/>
  <c r="U23" i="1"/>
  <c r="U86" i="1"/>
  <c r="U308" i="1"/>
  <c r="U135" i="1"/>
  <c r="R120" i="5"/>
  <c r="H65" i="2"/>
  <c r="H124" i="2"/>
  <c r="H50" i="2"/>
  <c r="H188" i="2"/>
  <c r="H235" i="2"/>
  <c r="H159" i="2"/>
  <c r="H160" i="2"/>
  <c r="H264" i="2"/>
  <c r="H218" i="2"/>
  <c r="H237" i="2"/>
  <c r="H136" i="2"/>
  <c r="H134" i="2"/>
  <c r="H135" i="2"/>
  <c r="H214" i="2"/>
  <c r="H158" i="2"/>
  <c r="H41" i="2"/>
  <c r="H272" i="2"/>
  <c r="H226" i="2"/>
  <c r="H304" i="2"/>
  <c r="H277" i="2"/>
  <c r="H191" i="2"/>
  <c r="H229" i="2"/>
  <c r="H72" i="2"/>
  <c r="H253" i="2"/>
  <c r="H190" i="2"/>
  <c r="H74" i="2"/>
  <c r="H175" i="2"/>
  <c r="H73" i="2"/>
  <c r="H176" i="2"/>
  <c r="H273" i="2"/>
  <c r="H192" i="2"/>
  <c r="H140" i="2"/>
  <c r="H203" i="2"/>
  <c r="H141" i="2"/>
  <c r="H204" i="2"/>
  <c r="H173" i="2"/>
  <c r="H284" i="2"/>
  <c r="H132" i="2"/>
  <c r="H133" i="2"/>
  <c r="H130" i="2"/>
  <c r="H198" i="2"/>
  <c r="H265" i="2"/>
  <c r="H131" i="2"/>
  <c r="H287" i="2"/>
  <c r="H49" i="2"/>
  <c r="H11" i="2"/>
  <c r="F123" i="5" s="1"/>
  <c r="K123" i="5" s="1"/>
  <c r="H10" i="2"/>
  <c r="H215" i="2"/>
  <c r="H155" i="2"/>
  <c r="H147" i="2"/>
  <c r="H148" i="2"/>
  <c r="H113" i="2"/>
  <c r="H257" i="2"/>
  <c r="H199" i="2"/>
  <c r="H174" i="2"/>
  <c r="H306" i="2"/>
  <c r="H240" i="2"/>
  <c r="H150" i="2"/>
  <c r="H193" i="2"/>
  <c r="H151" i="2"/>
  <c r="H42" i="2"/>
  <c r="H244" i="2"/>
  <c r="H8" i="2"/>
  <c r="H286" i="2"/>
  <c r="H63" i="2"/>
  <c r="H7" i="2"/>
  <c r="H9" i="2"/>
  <c r="H288" i="2"/>
  <c r="H64" i="2"/>
  <c r="H123" i="2"/>
  <c r="H60" i="2"/>
  <c r="H122" i="2"/>
  <c r="H61" i="2"/>
  <c r="H6" i="2"/>
  <c r="H62" i="2"/>
  <c r="H230" i="2"/>
  <c r="H3" i="2"/>
  <c r="H58" i="2"/>
  <c r="H89" i="2"/>
  <c r="H117" i="2"/>
  <c r="H222" i="2"/>
  <c r="H4" i="2"/>
  <c r="H90" i="2"/>
  <c r="H289" i="2"/>
  <c r="H118" i="2"/>
  <c r="H260" i="2"/>
  <c r="H283" i="2"/>
  <c r="H46" i="2"/>
  <c r="H225" i="2"/>
  <c r="H120" i="2"/>
  <c r="H231" i="2"/>
  <c r="H48" i="2"/>
  <c r="H91" i="2"/>
  <c r="H121" i="2"/>
  <c r="H278" i="2"/>
  <c r="H274" i="2"/>
  <c r="H245" i="2"/>
  <c r="H189" i="2"/>
  <c r="H43" i="2"/>
  <c r="H53" i="2"/>
  <c r="H44" i="2"/>
  <c r="H107" i="2"/>
  <c r="H26" i="2"/>
  <c r="H108" i="2"/>
  <c r="H54" i="2"/>
  <c r="H106" i="2"/>
  <c r="H27" i="2"/>
  <c r="H109" i="2"/>
  <c r="H28" i="2"/>
  <c r="H87" i="2"/>
  <c r="H52" i="2"/>
  <c r="H69" i="2"/>
  <c r="H200" i="2"/>
  <c r="H139" i="2"/>
  <c r="H207" i="2"/>
  <c r="H102" i="2"/>
  <c r="H70" i="2"/>
  <c r="H20" i="2"/>
  <c r="H213" i="2"/>
  <c r="H187" i="2"/>
  <c r="H103" i="2"/>
  <c r="H21" i="2"/>
  <c r="H71" i="2"/>
  <c r="H251" i="2"/>
  <c r="H194" i="2"/>
  <c r="H57" i="2"/>
  <c r="H238" i="2"/>
  <c r="H254" i="2"/>
  <c r="H224" i="2"/>
  <c r="H154" i="2"/>
  <c r="H256" i="2"/>
  <c r="H219" i="2"/>
  <c r="H180" i="2"/>
  <c r="H93" i="2"/>
  <c r="H129" i="2"/>
  <c r="H295" i="2"/>
  <c r="H94" i="2"/>
  <c r="H67" i="2"/>
  <c r="H202" i="2"/>
  <c r="H301" i="2"/>
  <c r="H228" i="2"/>
  <c r="H232" i="2"/>
  <c r="H280" i="2"/>
  <c r="H296" i="2"/>
  <c r="H29" i="2"/>
  <c r="H111" i="2"/>
  <c r="H179" i="2"/>
  <c r="H112" i="2"/>
  <c r="H30" i="2"/>
  <c r="H145" i="2"/>
  <c r="H146" i="2"/>
  <c r="H261" i="2"/>
  <c r="H110" i="2"/>
  <c r="H178" i="2"/>
  <c r="H236" i="2"/>
  <c r="H247" i="2"/>
  <c r="H227" i="2"/>
  <c r="H184" i="2"/>
  <c r="H149" i="2"/>
  <c r="H38" i="2"/>
  <c r="H40" i="2"/>
  <c r="H39" i="2"/>
  <c r="H197" i="2"/>
  <c r="H157" i="2"/>
  <c r="H24" i="2"/>
  <c r="H25" i="2"/>
  <c r="H105" i="2"/>
  <c r="H144" i="2"/>
  <c r="H104" i="2"/>
  <c r="H242" i="2"/>
  <c r="H128" i="2"/>
  <c r="H92" i="2"/>
  <c r="H13" i="2"/>
  <c r="H116" i="2"/>
  <c r="H195" i="2"/>
  <c r="H80" i="2"/>
  <c r="H156" i="2"/>
  <c r="H37" i="2"/>
  <c r="H275" i="2"/>
  <c r="H294" i="2"/>
  <c r="H186" i="2"/>
  <c r="H250" i="2"/>
  <c r="H262" i="2"/>
  <c r="H310" i="2"/>
  <c r="H259" i="2"/>
  <c r="H216" i="2"/>
  <c r="H185" i="2"/>
  <c r="H311" i="2"/>
  <c r="H300" i="2"/>
  <c r="H312" i="2"/>
  <c r="H220" i="2"/>
  <c r="H5" i="2"/>
  <c r="H177" i="2"/>
  <c r="H182" i="2"/>
  <c r="H100" i="2"/>
  <c r="H18" i="2"/>
  <c r="H101" i="2"/>
  <c r="H19" i="2"/>
  <c r="H206" i="2"/>
  <c r="H298" i="2"/>
  <c r="H299" i="2"/>
  <c r="H279" i="2"/>
  <c r="H290" i="2"/>
  <c r="H281" i="2"/>
  <c r="H119" i="2"/>
  <c r="H297" i="2"/>
  <c r="H205" i="2"/>
  <c r="H241" i="2"/>
  <c r="H252" i="2"/>
  <c r="H68" i="2"/>
  <c r="H271" i="2"/>
  <c r="H14" i="2"/>
  <c r="H276" i="2"/>
  <c r="H285" i="2"/>
  <c r="H15" i="2"/>
  <c r="H263" i="2"/>
  <c r="H282" i="2"/>
  <c r="H137" i="2"/>
  <c r="H97" i="2"/>
  <c r="H212" i="2"/>
  <c r="H16" i="2"/>
  <c r="H181" i="2"/>
  <c r="H98" i="2"/>
  <c r="H201" i="2"/>
  <c r="H138" i="2"/>
  <c r="H17" i="2"/>
  <c r="H99" i="2"/>
  <c r="H51" i="2"/>
  <c r="H249" i="2"/>
  <c r="H209" i="2"/>
  <c r="H47" i="2"/>
  <c r="H59" i="2"/>
  <c r="H221" i="2"/>
  <c r="H302" i="2"/>
  <c r="H45" i="2"/>
  <c r="H183" i="2"/>
  <c r="H79" i="2"/>
  <c r="H246" i="2"/>
  <c r="H303" i="2"/>
  <c r="H269" i="2"/>
  <c r="H36" i="2"/>
  <c r="H217" i="2"/>
  <c r="H270" i="2"/>
  <c r="H78" i="2"/>
  <c r="H152" i="2"/>
  <c r="H75" i="2"/>
  <c r="H76" i="2"/>
  <c r="H77" i="2"/>
  <c r="H34" i="2"/>
  <c r="H31" i="2"/>
  <c r="H32" i="2"/>
  <c r="H55" i="2"/>
  <c r="H143" i="2"/>
  <c r="H223" i="2"/>
  <c r="H163" i="2"/>
  <c r="H84" i="2"/>
  <c r="H168" i="2"/>
  <c r="H164" i="2"/>
  <c r="H243" i="2"/>
  <c r="H196" i="2"/>
  <c r="H165" i="2"/>
  <c r="H85" i="2"/>
  <c r="H169" i="2"/>
  <c r="H208" i="2"/>
  <c r="H81" i="2"/>
  <c r="H248" i="2"/>
  <c r="H171" i="2"/>
  <c r="H86" i="2"/>
  <c r="H161" i="2"/>
  <c r="H172" i="2"/>
  <c r="H82" i="2"/>
  <c r="H166" i="2"/>
  <c r="H233" i="2"/>
  <c r="H170" i="2"/>
  <c r="H162" i="2"/>
  <c r="H83" i="2"/>
  <c r="H167" i="2"/>
  <c r="H96" i="2"/>
  <c r="H292" i="2"/>
  <c r="H211" i="2"/>
  <c r="H127" i="2"/>
  <c r="H239" i="2"/>
  <c r="H125" i="2"/>
  <c r="H255" i="2"/>
  <c r="H66" i="2"/>
  <c r="H126" i="2"/>
  <c r="H234" i="2"/>
  <c r="E16" i="5" l="1"/>
  <c r="G77" i="5"/>
  <c r="K74" i="5"/>
  <c r="K62" i="5"/>
  <c r="M102" i="5"/>
  <c r="I40" i="5"/>
  <c r="G18" i="5"/>
  <c r="I66" i="5"/>
  <c r="M21" i="5"/>
  <c r="E68" i="5"/>
  <c r="E54" i="5"/>
  <c r="G96" i="5"/>
  <c r="E35" i="5"/>
  <c r="G19" i="5"/>
  <c r="I67" i="5"/>
  <c r="K54" i="5"/>
  <c r="M96" i="5"/>
  <c r="K35" i="5"/>
  <c r="K16" i="5"/>
  <c r="G31" i="5"/>
  <c r="E52" i="5"/>
  <c r="G94" i="5"/>
  <c r="G36" i="5"/>
  <c r="I79" i="5"/>
  <c r="I20" i="5"/>
  <c r="G63" i="5"/>
  <c r="K52" i="5"/>
  <c r="M94" i="5"/>
  <c r="K33" i="5"/>
  <c r="M77" i="5"/>
  <c r="K14" i="5"/>
  <c r="M64" i="5"/>
  <c r="K43" i="5"/>
  <c r="M84" i="5"/>
  <c r="I21" i="5"/>
  <c r="M48" i="5"/>
  <c r="I11" i="5"/>
  <c r="E25" i="5"/>
  <c r="E6" i="5"/>
  <c r="G57" i="5"/>
  <c r="G38" i="5"/>
  <c r="I81" i="5"/>
  <c r="I22" i="5"/>
  <c r="K68" i="5"/>
  <c r="K6" i="5"/>
  <c r="M57" i="5"/>
  <c r="E98" i="5"/>
  <c r="M38" i="5"/>
  <c r="E82" i="5"/>
  <c r="M19" i="5"/>
  <c r="K92" i="5"/>
  <c r="G55" i="5"/>
  <c r="I97" i="5"/>
  <c r="I39" i="5"/>
  <c r="K82" i="5"/>
  <c r="K23" i="5"/>
  <c r="M80" i="5"/>
  <c r="M55" i="5"/>
  <c r="M36" i="5"/>
  <c r="E80" i="5"/>
  <c r="M17" i="5"/>
  <c r="E66" i="5"/>
  <c r="M8" i="5"/>
  <c r="M46" i="5"/>
  <c r="K24" i="5"/>
  <c r="M69" i="5"/>
  <c r="M40" i="5"/>
  <c r="I51" i="5"/>
  <c r="I30" i="5"/>
  <c r="G28" i="5"/>
  <c r="I72" i="5"/>
  <c r="G9" i="5"/>
  <c r="I60" i="5"/>
  <c r="K100" i="5"/>
  <c r="I41" i="5"/>
  <c r="K83" i="5"/>
  <c r="K25" i="5"/>
  <c r="M9" i="5"/>
  <c r="E61" i="5"/>
  <c r="G101" i="5"/>
  <c r="E42" i="5"/>
  <c r="E23" i="5"/>
  <c r="G7" i="5"/>
  <c r="I58" i="5"/>
  <c r="K98" i="5"/>
  <c r="K42" i="5"/>
  <c r="M26" i="5"/>
  <c r="E71" i="5"/>
  <c r="M7" i="5"/>
  <c r="E59" i="5"/>
  <c r="G99" i="5"/>
  <c r="E40" i="5"/>
  <c r="E21" i="5"/>
  <c r="I50" i="5"/>
  <c r="E50" i="5"/>
  <c r="G92" i="5"/>
  <c r="M27" i="5"/>
  <c r="E72" i="5"/>
  <c r="I31" i="5"/>
  <c r="K75" i="5"/>
  <c r="I12" i="5"/>
  <c r="K63" i="5"/>
  <c r="M103" i="5"/>
  <c r="K44" i="5"/>
  <c r="M88" i="5"/>
  <c r="M28" i="5"/>
  <c r="E73" i="5"/>
  <c r="E13" i="5"/>
  <c r="I104" i="5"/>
  <c r="G45" i="5"/>
  <c r="I89" i="5"/>
  <c r="G26" i="5"/>
  <c r="I70" i="5"/>
  <c r="I10" i="5"/>
  <c r="K61" i="5"/>
  <c r="M101" i="5"/>
  <c r="M45" i="5"/>
  <c r="E90" i="5"/>
  <c r="E30" i="5"/>
  <c r="G74" i="5"/>
  <c r="E11" i="5"/>
  <c r="G62" i="5"/>
  <c r="I102" i="5"/>
  <c r="G43" i="5"/>
  <c r="I84" i="5"/>
  <c r="G24" i="5"/>
  <c r="I69" i="5"/>
  <c r="I75" i="5"/>
  <c r="G53" i="5"/>
  <c r="I95" i="5"/>
  <c r="E31" i="5"/>
  <c r="G75" i="5"/>
  <c r="K76" i="5"/>
  <c r="K34" i="5"/>
  <c r="M78" i="5"/>
  <c r="K15" i="5"/>
  <c r="M65" i="5"/>
  <c r="G15" i="5"/>
  <c r="M47" i="5"/>
  <c r="E91" i="5"/>
  <c r="E32" i="5"/>
  <c r="G76" i="5"/>
  <c r="G16" i="5"/>
  <c r="K5" i="5"/>
  <c r="I48" i="5"/>
  <c r="K91" i="5"/>
  <c r="I29" i="5"/>
  <c r="K73" i="5"/>
  <c r="K13" i="5"/>
  <c r="E105" i="5"/>
  <c r="E49" i="5"/>
  <c r="G33" i="5"/>
  <c r="I77" i="5"/>
  <c r="G14" i="5"/>
  <c r="I64" i="5"/>
  <c r="K105" i="5"/>
  <c r="I46" i="5"/>
  <c r="K90" i="5"/>
  <c r="I27" i="5"/>
  <c r="K71" i="5"/>
  <c r="G5" i="5"/>
  <c r="I56" i="5"/>
  <c r="G34" i="5"/>
  <c r="I78" i="5"/>
  <c r="M37" i="5"/>
  <c r="E81" i="5"/>
  <c r="M18" i="5"/>
  <c r="E67" i="5"/>
  <c r="E60" i="5"/>
  <c r="E51" i="5"/>
  <c r="G93" i="5"/>
  <c r="G35" i="5"/>
  <c r="I19" i="5"/>
  <c r="K67" i="5"/>
  <c r="G47" i="5"/>
  <c r="K51" i="5"/>
  <c r="M93" i="5"/>
  <c r="K32" i="5"/>
  <c r="M76" i="5"/>
  <c r="M16" i="5"/>
  <c r="I34" i="5"/>
  <c r="G52" i="5"/>
  <c r="I94" i="5"/>
  <c r="I36" i="5"/>
  <c r="K79" i="5"/>
  <c r="I17" i="5"/>
  <c r="I18" i="5"/>
  <c r="K49" i="5"/>
  <c r="K30" i="5"/>
  <c r="M74" i="5"/>
  <c r="I8" i="5"/>
  <c r="K59" i="5"/>
  <c r="M99" i="5"/>
  <c r="I37" i="5"/>
  <c r="K80" i="5"/>
  <c r="E41" i="5"/>
  <c r="G83" i="5"/>
  <c r="E22" i="5"/>
  <c r="G68" i="5"/>
  <c r="I103" i="5"/>
  <c r="G54" i="5"/>
  <c r="I96" i="5"/>
  <c r="I38" i="5"/>
  <c r="K81" i="5"/>
  <c r="K22" i="5"/>
  <c r="M68" i="5"/>
  <c r="M95" i="5"/>
  <c r="M54" i="5"/>
  <c r="E97" i="5"/>
  <c r="M35" i="5"/>
  <c r="E79" i="5"/>
  <c r="E20" i="5"/>
  <c r="G88" i="5"/>
  <c r="I55" i="5"/>
  <c r="K97" i="5"/>
  <c r="K39" i="5"/>
  <c r="M82" i="5"/>
  <c r="K20" i="5"/>
  <c r="I65" i="5"/>
  <c r="M52" i="5"/>
  <c r="E95" i="5"/>
  <c r="M33" i="5"/>
  <c r="E78" i="5"/>
  <c r="K11" i="5"/>
  <c r="M62" i="5"/>
  <c r="E103" i="5"/>
  <c r="K40" i="5"/>
  <c r="M50" i="5"/>
  <c r="K93" i="5"/>
  <c r="I49" i="5"/>
  <c r="M119" i="5"/>
  <c r="I117" i="5"/>
  <c r="M118" i="5"/>
  <c r="G119" i="5"/>
  <c r="M117" i="5"/>
  <c r="G118" i="5"/>
  <c r="K119" i="5"/>
  <c r="G117" i="5"/>
  <c r="K118" i="5"/>
  <c r="K117" i="5"/>
  <c r="E119" i="5"/>
  <c r="E118" i="5"/>
  <c r="I119" i="5"/>
  <c r="E117" i="5"/>
  <c r="I118" i="5"/>
  <c r="G44" i="5"/>
  <c r="I88" i="5"/>
  <c r="G25" i="5"/>
  <c r="G6" i="5"/>
  <c r="I57" i="5"/>
  <c r="K41" i="5"/>
  <c r="M83" i="5"/>
  <c r="M25" i="5"/>
  <c r="E70" i="5"/>
  <c r="M6" i="5"/>
  <c r="E58" i="5"/>
  <c r="G98" i="5"/>
  <c r="E39" i="5"/>
  <c r="G82" i="5"/>
  <c r="G23" i="5"/>
  <c r="I7" i="5"/>
  <c r="K58" i="5"/>
  <c r="M98" i="5"/>
  <c r="M42" i="5"/>
  <c r="E84" i="5"/>
  <c r="M23" i="5"/>
  <c r="E69" i="5"/>
  <c r="K78" i="5"/>
  <c r="E56" i="5"/>
  <c r="E37" i="5"/>
  <c r="G80" i="5"/>
  <c r="M14" i="5"/>
  <c r="E65" i="5"/>
  <c r="M43" i="5"/>
  <c r="E88" i="5"/>
  <c r="E93" i="5"/>
  <c r="M104" i="5"/>
  <c r="I47" i="5"/>
  <c r="I28" i="5"/>
  <c r="K72" i="5"/>
  <c r="I9" i="5"/>
  <c r="K60" i="5"/>
  <c r="M100" i="5"/>
  <c r="M44" i="5"/>
  <c r="E89" i="5"/>
  <c r="E29" i="5"/>
  <c r="G73" i="5"/>
  <c r="E10" i="5"/>
  <c r="G61" i="5"/>
  <c r="I101" i="5"/>
  <c r="G42" i="5"/>
  <c r="I26" i="5"/>
  <c r="K70" i="5"/>
  <c r="K10" i="5"/>
  <c r="M61" i="5"/>
  <c r="E102" i="5"/>
  <c r="E46" i="5"/>
  <c r="G90" i="5"/>
  <c r="E27" i="5"/>
  <c r="G71" i="5"/>
  <c r="E8" i="5"/>
  <c r="G59" i="5"/>
  <c r="I99" i="5"/>
  <c r="G40" i="5"/>
  <c r="E18" i="5"/>
  <c r="G66" i="5"/>
  <c r="M24" i="5"/>
  <c r="E47" i="5"/>
  <c r="K50" i="5"/>
  <c r="M92" i="5"/>
  <c r="K31" i="5"/>
  <c r="M75" i="5"/>
  <c r="K12" i="5"/>
  <c r="M63" i="5"/>
  <c r="E104" i="5"/>
  <c r="E48" i="5"/>
  <c r="G91" i="5"/>
  <c r="G32" i="5"/>
  <c r="I76" i="5"/>
  <c r="G13" i="5"/>
  <c r="K104" i="5"/>
  <c r="I45" i="5"/>
  <c r="K89" i="5"/>
  <c r="K29" i="5"/>
  <c r="M73" i="5"/>
  <c r="M13" i="5"/>
  <c r="E64" i="5"/>
  <c r="G105" i="5"/>
  <c r="G49" i="5"/>
  <c r="G30" i="5"/>
  <c r="I74" i="5"/>
  <c r="G11" i="5"/>
  <c r="I62" i="5"/>
  <c r="K102" i="5"/>
  <c r="I43" i="5"/>
  <c r="K84" i="5"/>
  <c r="G21" i="5"/>
  <c r="K66" i="5"/>
  <c r="G50" i="5"/>
  <c r="I92" i="5"/>
  <c r="E76" i="5"/>
  <c r="E33" i="5"/>
  <c r="E28" i="5"/>
  <c r="M53" i="5"/>
  <c r="E96" i="5"/>
  <c r="M34" i="5"/>
  <c r="M15" i="5"/>
  <c r="K37" i="5"/>
  <c r="G51" i="5"/>
  <c r="I93" i="5"/>
  <c r="I35" i="5"/>
  <c r="I16" i="5"/>
  <c r="K21" i="5"/>
  <c r="K48" i="5"/>
  <c r="M91" i="5"/>
  <c r="M32" i="5"/>
  <c r="E77" i="5"/>
  <c r="E17" i="5"/>
  <c r="E44" i="5"/>
  <c r="I52" i="5"/>
  <c r="K94" i="5"/>
  <c r="I33" i="5"/>
  <c r="K77" i="5"/>
  <c r="I14" i="5"/>
  <c r="K64" i="5"/>
  <c r="M105" i="5"/>
  <c r="K46" i="5"/>
  <c r="M90" i="5"/>
  <c r="I24" i="5"/>
  <c r="K69" i="5"/>
  <c r="I53" i="5"/>
  <c r="K95" i="5"/>
  <c r="M66" i="5"/>
  <c r="M56" i="5"/>
  <c r="G17" i="5"/>
  <c r="M5" i="5"/>
  <c r="E57" i="5"/>
  <c r="E38" i="5"/>
  <c r="G81" i="5"/>
  <c r="E19" i="5"/>
  <c r="G67" i="5"/>
  <c r="G100" i="5"/>
  <c r="I54" i="5"/>
  <c r="K96" i="5"/>
  <c r="K38" i="5"/>
  <c r="M81" i="5"/>
  <c r="K19" i="5"/>
  <c r="M67" i="5"/>
  <c r="M51" i="5"/>
  <c r="E94" i="5"/>
  <c r="E36" i="5"/>
  <c r="G79" i="5"/>
  <c r="G20" i="5"/>
  <c r="K55" i="5"/>
  <c r="M97" i="5"/>
  <c r="K36" i="5"/>
  <c r="M79" i="5"/>
  <c r="K17" i="5"/>
  <c r="K53" i="5"/>
  <c r="M49" i="5"/>
  <c r="E92" i="5"/>
  <c r="K27" i="5"/>
  <c r="M71" i="5"/>
  <c r="I5" i="5"/>
  <c r="K56" i="5"/>
  <c r="K18" i="5"/>
  <c r="I13" i="5"/>
  <c r="E9" i="5"/>
  <c r="G60" i="5"/>
  <c r="I100" i="5"/>
  <c r="G41" i="5"/>
  <c r="I83" i="5"/>
  <c r="G22" i="5"/>
  <c r="I68" i="5"/>
  <c r="I6" i="5"/>
  <c r="K57" i="5"/>
  <c r="M41" i="5"/>
  <c r="M22" i="5"/>
  <c r="E83" i="5"/>
  <c r="E55" i="5"/>
  <c r="G97" i="5"/>
  <c r="G39" i="5"/>
  <c r="I82" i="5"/>
  <c r="I23" i="5"/>
  <c r="K7" i="5"/>
  <c r="M58" i="5"/>
  <c r="E99" i="5"/>
  <c r="M39" i="5"/>
  <c r="M20" i="5"/>
  <c r="G72" i="5"/>
  <c r="E53" i="5"/>
  <c r="G95" i="5"/>
  <c r="M30" i="5"/>
  <c r="E75" i="5"/>
  <c r="K8" i="5"/>
  <c r="M59" i="5"/>
  <c r="E100" i="5"/>
  <c r="M31" i="5"/>
  <c r="I32" i="5"/>
  <c r="E12" i="5"/>
  <c r="G12" i="5"/>
  <c r="I63" i="5"/>
  <c r="K103" i="5"/>
  <c r="I44" i="5"/>
  <c r="K88" i="5"/>
  <c r="I25" i="5"/>
  <c r="K9" i="5"/>
  <c r="M60" i="5"/>
  <c r="E101" i="5"/>
  <c r="E45" i="5"/>
  <c r="G89" i="5"/>
  <c r="E26" i="5"/>
  <c r="G70" i="5"/>
  <c r="E7" i="5"/>
  <c r="G58" i="5"/>
  <c r="I98" i="5"/>
  <c r="I42" i="5"/>
  <c r="K26" i="5"/>
  <c r="M70" i="5"/>
  <c r="M10" i="5"/>
  <c r="E62" i="5"/>
  <c r="G102" i="5"/>
  <c r="E43" i="5"/>
  <c r="G84" i="5"/>
  <c r="E24" i="5"/>
  <c r="G69" i="5"/>
  <c r="E5" i="5"/>
  <c r="G56" i="5"/>
  <c r="E34" i="5"/>
  <c r="Q34" i="5" s="1"/>
  <c r="G78" i="5"/>
  <c r="M11" i="5"/>
  <c r="E63" i="5"/>
  <c r="G103" i="5"/>
  <c r="I15" i="5"/>
  <c r="K65" i="5"/>
  <c r="K47" i="5"/>
  <c r="K28" i="5"/>
  <c r="M72" i="5"/>
  <c r="M12" i="5"/>
  <c r="G104" i="5"/>
  <c r="G48" i="5"/>
  <c r="I91" i="5"/>
  <c r="G29" i="5"/>
  <c r="I73" i="5"/>
  <c r="G10" i="5"/>
  <c r="I61" i="5"/>
  <c r="K101" i="5"/>
  <c r="K45" i="5"/>
  <c r="M89" i="5"/>
  <c r="M29" i="5"/>
  <c r="E74" i="5"/>
  <c r="E14" i="5"/>
  <c r="G64" i="5"/>
  <c r="I105" i="5"/>
  <c r="G46" i="5"/>
  <c r="I90" i="5"/>
  <c r="G27" i="5"/>
  <c r="I71" i="5"/>
  <c r="G8" i="5"/>
  <c r="I59" i="5"/>
  <c r="K99" i="5"/>
  <c r="G37" i="5"/>
  <c r="I80" i="5"/>
  <c r="E15" i="5"/>
  <c r="G65" i="5"/>
  <c r="E159" i="5"/>
  <c r="G159" i="5"/>
  <c r="I159" i="5"/>
  <c r="K159" i="5"/>
  <c r="M159" i="5"/>
  <c r="M155" i="5"/>
  <c r="M147" i="5"/>
  <c r="M180" i="5"/>
  <c r="E201" i="5"/>
  <c r="Q201" i="5" s="1"/>
  <c r="G156" i="5"/>
  <c r="G188" i="5"/>
  <c r="I148" i="5"/>
  <c r="I181" i="5"/>
  <c r="E200" i="5"/>
  <c r="Q200" i="5" s="1"/>
  <c r="K156" i="5"/>
  <c r="K188" i="5"/>
  <c r="M146" i="5"/>
  <c r="M179" i="5"/>
  <c r="G137" i="5"/>
  <c r="G170" i="5"/>
  <c r="I160" i="5"/>
  <c r="K133" i="5"/>
  <c r="K166" i="5"/>
  <c r="M149" i="5"/>
  <c r="M182" i="5"/>
  <c r="G158" i="5"/>
  <c r="I150" i="5"/>
  <c r="I183" i="5"/>
  <c r="K158" i="5"/>
  <c r="M148" i="5"/>
  <c r="M181" i="5"/>
  <c r="G139" i="5"/>
  <c r="G172" i="5"/>
  <c r="E193" i="5"/>
  <c r="Q193" i="5" s="1"/>
  <c r="I162" i="5"/>
  <c r="K135" i="5"/>
  <c r="K168" i="5"/>
  <c r="M151" i="5"/>
  <c r="M184" i="5"/>
  <c r="E197" i="5"/>
  <c r="Q197" i="5" s="1"/>
  <c r="G161" i="5"/>
  <c r="I152" i="5"/>
  <c r="E196" i="5"/>
  <c r="Q196" i="5" s="1"/>
  <c r="K161" i="5"/>
  <c r="M150" i="5"/>
  <c r="M183" i="5"/>
  <c r="G141" i="5"/>
  <c r="G174" i="5"/>
  <c r="I131" i="5"/>
  <c r="I164" i="5"/>
  <c r="K137" i="5"/>
  <c r="K170" i="5"/>
  <c r="E202" i="5"/>
  <c r="Q202" i="5" s="1"/>
  <c r="M153" i="5"/>
  <c r="M185" i="5"/>
  <c r="E192" i="5"/>
  <c r="Q192" i="5" s="1"/>
  <c r="G163" i="5"/>
  <c r="I154" i="5"/>
  <c r="I186" i="5"/>
  <c r="E190" i="5"/>
  <c r="Q190" i="5" s="1"/>
  <c r="K163" i="5"/>
  <c r="M152" i="5"/>
  <c r="G143" i="5"/>
  <c r="G176" i="5"/>
  <c r="I133" i="5"/>
  <c r="I166" i="5"/>
  <c r="K139" i="5"/>
  <c r="K172" i="5"/>
  <c r="M187" i="5"/>
  <c r="G132" i="5"/>
  <c r="G165" i="5"/>
  <c r="I156" i="5"/>
  <c r="I188" i="5"/>
  <c r="K132" i="5"/>
  <c r="K165" i="5"/>
  <c r="M154" i="5"/>
  <c r="M186" i="5"/>
  <c r="G145" i="5"/>
  <c r="G178" i="5"/>
  <c r="I135" i="5"/>
  <c r="I168" i="5"/>
  <c r="K141" i="5"/>
  <c r="K174" i="5"/>
  <c r="M157" i="5"/>
  <c r="M189" i="5"/>
  <c r="G134" i="5"/>
  <c r="G167" i="5"/>
  <c r="I158" i="5"/>
  <c r="K134" i="5"/>
  <c r="K167" i="5"/>
  <c r="M156" i="5"/>
  <c r="M188" i="5"/>
  <c r="G147" i="5"/>
  <c r="G180" i="5"/>
  <c r="I137" i="5"/>
  <c r="I170" i="5"/>
  <c r="K143" i="5"/>
  <c r="K176" i="5"/>
  <c r="M160" i="5"/>
  <c r="G136" i="5"/>
  <c r="G169" i="5"/>
  <c r="I161" i="5"/>
  <c r="K136" i="5"/>
  <c r="K169" i="5"/>
  <c r="M158" i="5"/>
  <c r="G149" i="5"/>
  <c r="G182" i="5"/>
  <c r="I139" i="5"/>
  <c r="I172" i="5"/>
  <c r="K145" i="5"/>
  <c r="K178" i="5"/>
  <c r="M162" i="5"/>
  <c r="G138" i="5"/>
  <c r="G171" i="5"/>
  <c r="E191" i="5"/>
  <c r="Q191" i="5" s="1"/>
  <c r="I163" i="5"/>
  <c r="K138" i="5"/>
  <c r="K171" i="5"/>
  <c r="E195" i="5"/>
  <c r="Q195" i="5" s="1"/>
  <c r="M161" i="5"/>
  <c r="G151" i="5"/>
  <c r="G184" i="5"/>
  <c r="I141" i="5"/>
  <c r="I174" i="5"/>
  <c r="K147" i="5"/>
  <c r="K180" i="5"/>
  <c r="M131" i="5"/>
  <c r="M164" i="5"/>
  <c r="G140" i="5"/>
  <c r="G173" i="5"/>
  <c r="I132" i="5"/>
  <c r="I165" i="5"/>
  <c r="K140" i="5"/>
  <c r="K173" i="5"/>
  <c r="E189" i="5"/>
  <c r="M163" i="5"/>
  <c r="G153" i="5"/>
  <c r="G185" i="5"/>
  <c r="I143" i="5"/>
  <c r="I176" i="5"/>
  <c r="K149" i="5"/>
  <c r="K182" i="5"/>
  <c r="M133" i="5"/>
  <c r="M166" i="5"/>
  <c r="G142" i="5"/>
  <c r="G175" i="5"/>
  <c r="I134" i="5"/>
  <c r="I167" i="5"/>
  <c r="K142" i="5"/>
  <c r="K175" i="5"/>
  <c r="M132" i="5"/>
  <c r="M165" i="5"/>
  <c r="G155" i="5"/>
  <c r="G187" i="5"/>
  <c r="I145" i="5"/>
  <c r="I178" i="5"/>
  <c r="K151" i="5"/>
  <c r="K184" i="5"/>
  <c r="M135" i="5"/>
  <c r="M168" i="5"/>
  <c r="G144" i="5"/>
  <c r="G177" i="5"/>
  <c r="I136" i="5"/>
  <c r="I169" i="5"/>
  <c r="K144" i="5"/>
  <c r="K177" i="5"/>
  <c r="M134" i="5"/>
  <c r="M167" i="5"/>
  <c r="G157" i="5"/>
  <c r="G189" i="5"/>
  <c r="I147" i="5"/>
  <c r="I180" i="5"/>
  <c r="E203" i="5"/>
  <c r="Q203" i="5" s="1"/>
  <c r="K153" i="5"/>
  <c r="K185" i="5"/>
  <c r="M137" i="5"/>
  <c r="M170" i="5"/>
  <c r="G146" i="5"/>
  <c r="G179" i="5"/>
  <c r="I138" i="5"/>
  <c r="I171" i="5"/>
  <c r="K146" i="5"/>
  <c r="K179" i="5"/>
  <c r="M136" i="5"/>
  <c r="M169" i="5"/>
  <c r="E199" i="5"/>
  <c r="Q199" i="5" s="1"/>
  <c r="G160" i="5"/>
  <c r="I149" i="5"/>
  <c r="I182" i="5"/>
  <c r="K155" i="5"/>
  <c r="K187" i="5"/>
  <c r="M139" i="5"/>
  <c r="M172" i="5"/>
  <c r="G148" i="5"/>
  <c r="G181" i="5"/>
  <c r="I140" i="5"/>
  <c r="I173" i="5"/>
  <c r="K148" i="5"/>
  <c r="K181" i="5"/>
  <c r="M138" i="5"/>
  <c r="M171" i="5"/>
  <c r="E194" i="5"/>
  <c r="Q194" i="5" s="1"/>
  <c r="G162" i="5"/>
  <c r="I151" i="5"/>
  <c r="I184" i="5"/>
  <c r="K157" i="5"/>
  <c r="K189" i="5"/>
  <c r="M141" i="5"/>
  <c r="M174" i="5"/>
  <c r="G150" i="5"/>
  <c r="G183" i="5"/>
  <c r="I142" i="5"/>
  <c r="I175" i="5"/>
  <c r="K150" i="5"/>
  <c r="K183" i="5"/>
  <c r="M140" i="5"/>
  <c r="M173" i="5"/>
  <c r="G131" i="5"/>
  <c r="G164" i="5"/>
  <c r="I153" i="5"/>
  <c r="I185" i="5"/>
  <c r="K160" i="5"/>
  <c r="M143" i="5"/>
  <c r="M176" i="5"/>
  <c r="G152" i="5"/>
  <c r="I144" i="5"/>
  <c r="I177" i="5"/>
  <c r="K152" i="5"/>
  <c r="M142" i="5"/>
  <c r="M175" i="5"/>
  <c r="G133" i="5"/>
  <c r="G166" i="5"/>
  <c r="I155" i="5"/>
  <c r="I187" i="5"/>
  <c r="K162" i="5"/>
  <c r="M145" i="5"/>
  <c r="M178" i="5"/>
  <c r="G154" i="5"/>
  <c r="G186" i="5"/>
  <c r="I146" i="5"/>
  <c r="I179" i="5"/>
  <c r="K154" i="5"/>
  <c r="K186" i="5"/>
  <c r="M144" i="5"/>
  <c r="M177" i="5"/>
  <c r="G135" i="5"/>
  <c r="G168" i="5"/>
  <c r="I157" i="5"/>
  <c r="I189" i="5"/>
  <c r="K131" i="5"/>
  <c r="K164" i="5"/>
  <c r="E166" i="5"/>
  <c r="E144" i="5"/>
  <c r="E135" i="5"/>
  <c r="E134" i="5"/>
  <c r="E149" i="5"/>
  <c r="E150" i="5"/>
  <c r="E170" i="5"/>
  <c r="E133" i="5"/>
  <c r="E151" i="5"/>
  <c r="E179" i="5"/>
  <c r="E178" i="5"/>
  <c r="E187" i="5"/>
  <c r="E173" i="5"/>
  <c r="E153" i="5"/>
  <c r="E184" i="5"/>
  <c r="E163" i="5"/>
  <c r="E162" i="5"/>
  <c r="E174" i="5"/>
  <c r="E156" i="5"/>
  <c r="E186" i="5"/>
  <c r="E137" i="5"/>
  <c r="E169" i="5"/>
  <c r="E146" i="5"/>
  <c r="E145" i="5"/>
  <c r="E157" i="5"/>
  <c r="E140" i="5"/>
  <c r="E172" i="5"/>
  <c r="E152" i="5"/>
  <c r="E141" i="5"/>
  <c r="E155" i="5"/>
  <c r="E185" i="5"/>
  <c r="E136" i="5"/>
  <c r="E139" i="5"/>
  <c r="E171" i="5"/>
  <c r="E161" i="5"/>
  <c r="E154" i="5"/>
  <c r="E138" i="5"/>
  <c r="E181" i="5"/>
  <c r="E143" i="5"/>
  <c r="E165" i="5"/>
  <c r="E142" i="5"/>
  <c r="E148" i="5"/>
  <c r="E132" i="5"/>
  <c r="E180" i="5"/>
  <c r="E188" i="5"/>
  <c r="E164" i="5"/>
  <c r="E176" i="5"/>
  <c r="E175" i="5"/>
  <c r="E183" i="5"/>
  <c r="E147" i="5"/>
  <c r="E177" i="5"/>
  <c r="E160" i="5"/>
  <c r="E158" i="5"/>
  <c r="E168" i="5"/>
  <c r="E167" i="5"/>
  <c r="E182" i="5"/>
  <c r="E131" i="5"/>
  <c r="Q55" i="5" l="1"/>
  <c r="Q62" i="5"/>
  <c r="Q188" i="5"/>
  <c r="Q158" i="5"/>
  <c r="Q156" i="5"/>
  <c r="Q139" i="5"/>
  <c r="Q15" i="5"/>
  <c r="Q63" i="5"/>
  <c r="Q141" i="5"/>
  <c r="Q43" i="5"/>
  <c r="Q145" i="5"/>
  <c r="Q174" i="5"/>
  <c r="Q7" i="5"/>
  <c r="Q94" i="5"/>
  <c r="Q176" i="5"/>
  <c r="Q180" i="5"/>
  <c r="Q154" i="5"/>
  <c r="Q162" i="5"/>
  <c r="Q164" i="5"/>
  <c r="Q152" i="5"/>
  <c r="Q119" i="5"/>
  <c r="Q140" i="5"/>
  <c r="Q157" i="5"/>
  <c r="Q83" i="5"/>
  <c r="Q172" i="5"/>
  <c r="Q178" i="5"/>
  <c r="Q53" i="5"/>
  <c r="Q78" i="5"/>
  <c r="Q50" i="5"/>
  <c r="Q61" i="5"/>
  <c r="Q98" i="5"/>
  <c r="Q132" i="5"/>
  <c r="Q179" i="5"/>
  <c r="Q29" i="5"/>
  <c r="Q37" i="5"/>
  <c r="Q70" i="5"/>
  <c r="Q66" i="5"/>
  <c r="Q131" i="5"/>
  <c r="Q182" i="5"/>
  <c r="Q165" i="5"/>
  <c r="Q167" i="5"/>
  <c r="Q143" i="5"/>
  <c r="Q170" i="5"/>
  <c r="Q181" i="5"/>
  <c r="Q137" i="5"/>
  <c r="Q149" i="5"/>
  <c r="Q136" i="5"/>
  <c r="Q163" i="5"/>
  <c r="Q26" i="5"/>
  <c r="Q147" i="5"/>
  <c r="Q183" i="5"/>
  <c r="Q184" i="5"/>
  <c r="Q5" i="5"/>
  <c r="Q185" i="5"/>
  <c r="Q75" i="5"/>
  <c r="Q92" i="5"/>
  <c r="Q173" i="5"/>
  <c r="Q187" i="5"/>
  <c r="Q189" i="5"/>
  <c r="Q10" i="5"/>
  <c r="Q58" i="5"/>
  <c r="Q148" i="5"/>
  <c r="Q142" i="5"/>
  <c r="Q151" i="5"/>
  <c r="Q8" i="5"/>
  <c r="Q89" i="5"/>
  <c r="Q56" i="5"/>
  <c r="Q95" i="5"/>
  <c r="Q32" i="5"/>
  <c r="Q21" i="5"/>
  <c r="Q35" i="5"/>
  <c r="Q133" i="5"/>
  <c r="Q14" i="5"/>
  <c r="Q19" i="5"/>
  <c r="Q48" i="5"/>
  <c r="Q91" i="5"/>
  <c r="Q13" i="5"/>
  <c r="Q40" i="5"/>
  <c r="Q80" i="5"/>
  <c r="Q146" i="5"/>
  <c r="Q74" i="5"/>
  <c r="Q99" i="5"/>
  <c r="Q104" i="5"/>
  <c r="Q27" i="5"/>
  <c r="Q69" i="5"/>
  <c r="Q73" i="5"/>
  <c r="Q54" i="5"/>
  <c r="Q168" i="5"/>
  <c r="Q169" i="5"/>
  <c r="Q150" i="5"/>
  <c r="Q159" i="5"/>
  <c r="Q38" i="5"/>
  <c r="Q51" i="5"/>
  <c r="Q59" i="5"/>
  <c r="Q68" i="5"/>
  <c r="Q138" i="5"/>
  <c r="Q57" i="5"/>
  <c r="Q96" i="5"/>
  <c r="Q46" i="5"/>
  <c r="Q84" i="5"/>
  <c r="Q60" i="5"/>
  <c r="Q11" i="5"/>
  <c r="Q160" i="5"/>
  <c r="Q186" i="5"/>
  <c r="Q134" i="5"/>
  <c r="Q12" i="5"/>
  <c r="Q9" i="5"/>
  <c r="Q102" i="5"/>
  <c r="Q67" i="5"/>
  <c r="Q71" i="5"/>
  <c r="Q161" i="5"/>
  <c r="Q135" i="5"/>
  <c r="Q36" i="5"/>
  <c r="Q44" i="5"/>
  <c r="Q28" i="5"/>
  <c r="Q64" i="5"/>
  <c r="Q49" i="5"/>
  <c r="Q30" i="5"/>
  <c r="Q6" i="5"/>
  <c r="Q177" i="5"/>
  <c r="Q171" i="5"/>
  <c r="Q144" i="5"/>
  <c r="Q17" i="5"/>
  <c r="Q33" i="5"/>
  <c r="Q22" i="5"/>
  <c r="Q81" i="5"/>
  <c r="Q105" i="5"/>
  <c r="Q90" i="5"/>
  <c r="Q25" i="5"/>
  <c r="Q166" i="5"/>
  <c r="Q100" i="5"/>
  <c r="Q77" i="5"/>
  <c r="Q76" i="5"/>
  <c r="Q52" i="5"/>
  <c r="Q47" i="5"/>
  <c r="Q93" i="5"/>
  <c r="Q117" i="5"/>
  <c r="Q20" i="5"/>
  <c r="Q41" i="5"/>
  <c r="Q175" i="5"/>
  <c r="Q88" i="5"/>
  <c r="Q79" i="5"/>
  <c r="Q31" i="5"/>
  <c r="Q155" i="5"/>
  <c r="Q153" i="5"/>
  <c r="Q45" i="5"/>
  <c r="Q39" i="5"/>
  <c r="Q118" i="5"/>
  <c r="Q103" i="5"/>
  <c r="Q72" i="5"/>
  <c r="Q23" i="5"/>
  <c r="Q24" i="5"/>
  <c r="Q101" i="5"/>
  <c r="Q18" i="5"/>
  <c r="Q65" i="5"/>
  <c r="Q97" i="5"/>
  <c r="Q42" i="5"/>
  <c r="Q82" i="5"/>
  <c r="Q16" i="5"/>
  <c r="E207" i="5"/>
  <c r="I207" i="5"/>
  <c r="M207" i="5"/>
  <c r="K207" i="5"/>
  <c r="G207" i="5"/>
  <c r="E113" i="5"/>
  <c r="K113" i="5"/>
  <c r="M113" i="5"/>
  <c r="I113" i="5"/>
  <c r="G113" i="5"/>
  <c r="E32" i="4"/>
  <c r="E113" i="4" s="1"/>
  <c r="M120" i="5"/>
  <c r="I120" i="5"/>
  <c r="K120" i="5"/>
  <c r="G120" i="5"/>
  <c r="E120" i="5"/>
  <c r="S17" i="4"/>
  <c r="E84" i="4" s="1"/>
  <c r="C18" i="4"/>
  <c r="Q83" i="4" s="1"/>
  <c r="T32" i="4"/>
  <c r="F114" i="4" s="1"/>
  <c r="C32" i="4"/>
  <c r="C113" i="4" s="1"/>
  <c r="C33" i="4"/>
  <c r="Q113" i="4" s="1"/>
  <c r="T17" i="4"/>
  <c r="F84" i="4" s="1"/>
  <c r="Y18" i="4"/>
  <c r="Y84" i="4" s="1"/>
  <c r="R17" i="4"/>
  <c r="D84" i="4" s="1"/>
  <c r="H4" i="6"/>
  <c r="U17" i="4"/>
  <c r="G84" i="4" s="1"/>
  <c r="V17" i="4"/>
  <c r="H84" i="4" s="1"/>
  <c r="R32" i="4"/>
  <c r="D114" i="4" s="1"/>
  <c r="R18" i="4"/>
  <c r="R84" i="4" s="1"/>
  <c r="U33" i="4"/>
  <c r="U114" i="4" s="1"/>
  <c r="W17" i="4"/>
  <c r="I84" i="4" s="1"/>
  <c r="S32" i="4"/>
  <c r="E114" i="4" s="1"/>
  <c r="D32" i="4"/>
  <c r="D113" i="4" s="1"/>
  <c r="C17" i="4"/>
  <c r="C83" i="4" s="1"/>
  <c r="T33" i="4"/>
  <c r="T114" i="4" s="1"/>
  <c r="Q33" i="4"/>
  <c r="Q114" i="4" s="1"/>
  <c r="U32" i="4"/>
  <c r="G114" i="4" s="1"/>
  <c r="H17" i="4"/>
  <c r="H83" i="4" s="1"/>
  <c r="R33" i="4"/>
  <c r="R114" i="4" s="1"/>
  <c r="S33" i="4"/>
  <c r="S114" i="4" s="1"/>
  <c r="S18" i="4"/>
  <c r="S84" i="4" s="1"/>
  <c r="T18" i="4"/>
  <c r="T84" i="4" s="1"/>
  <c r="U18" i="4"/>
  <c r="U84" i="4" s="1"/>
  <c r="X17" i="4"/>
  <c r="J84" i="4" s="1"/>
  <c r="W18" i="4"/>
  <c r="W84" i="4" s="1"/>
  <c r="Y17" i="4"/>
  <c r="K84" i="4" s="1"/>
  <c r="X18" i="4"/>
  <c r="X84" i="4" s="1"/>
  <c r="V18" i="4"/>
  <c r="V84" i="4" s="1"/>
  <c r="Q32" i="4"/>
  <c r="C114" i="4" s="1"/>
  <c r="Q18" i="4"/>
  <c r="Q84" i="4" s="1"/>
  <c r="G17" i="4"/>
  <c r="G83" i="4" s="1"/>
  <c r="F17" i="4"/>
  <c r="F83" i="4" s="1"/>
  <c r="I17" i="4"/>
  <c r="I83" i="4" s="1"/>
  <c r="D17" i="4"/>
  <c r="D83" i="4" s="1"/>
  <c r="E33" i="4"/>
  <c r="S113" i="4" s="1"/>
  <c r="G33" i="4"/>
  <c r="U113" i="4" s="1"/>
  <c r="F32" i="4"/>
  <c r="F113" i="4" s="1"/>
  <c r="D33" i="4"/>
  <c r="R113" i="4" s="1"/>
  <c r="F33" i="4"/>
  <c r="T113" i="4" s="1"/>
  <c r="G32" i="4"/>
  <c r="G113" i="4" s="1"/>
  <c r="I18" i="4"/>
  <c r="W83" i="4" s="1"/>
  <c r="G18" i="4"/>
  <c r="U83" i="4" s="1"/>
  <c r="E17" i="4"/>
  <c r="E83" i="4" s="1"/>
  <c r="K18" i="4"/>
  <c r="Y83" i="4" s="1"/>
  <c r="J17" i="4"/>
  <c r="J83" i="4" s="1"/>
  <c r="K17" i="4"/>
  <c r="K83" i="4" s="1"/>
  <c r="F18" i="4"/>
  <c r="T83" i="4" s="1"/>
  <c r="H18" i="4"/>
  <c r="V83" i="4" s="1"/>
  <c r="D18" i="4"/>
  <c r="R83" i="4" s="1"/>
  <c r="E18" i="4"/>
  <c r="S83" i="4" s="1"/>
  <c r="J18" i="4"/>
  <c r="X83" i="4" s="1"/>
  <c r="Q207" i="5" l="1"/>
  <c r="Q113" i="5"/>
  <c r="Q120" i="5"/>
  <c r="Q17" i="4"/>
  <c r="C84" i="4" s="1"/>
  <c r="D112" i="4" l="1"/>
  <c r="C112" i="4"/>
  <c r="G112" i="4"/>
  <c r="F112" i="4"/>
  <c r="E112" i="4"/>
  <c r="R112" i="4" l="1"/>
  <c r="T112" i="4"/>
  <c r="S112" i="4"/>
  <c r="U112" i="4"/>
  <c r="Q82" i="4"/>
  <c r="R113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David Martinez Osorio</author>
  </authors>
  <commentList>
    <comment ref="M155" authorId="0" shapeId="0" xr:uid="{A38BB518-A224-400C-BFEE-AA7783459D10}">
      <text>
        <r>
          <rPr>
            <b/>
            <sz val="9"/>
            <color indexed="81"/>
            <rFont val="Tahoma"/>
            <family val="2"/>
          </rPr>
          <t>Intercambio 
Doctorado</t>
        </r>
      </text>
    </comment>
  </commentList>
</comments>
</file>

<file path=xl/sharedStrings.xml><?xml version="1.0" encoding="utf-8"?>
<sst xmlns="http://schemas.openxmlformats.org/spreadsheetml/2006/main" count="16924" uniqueCount="4333">
  <si>
    <t>BASES DE DATOS MOVILIDAD INCOMING Y OUTGOING FACULTAD DE ADMINISTRACIÓN</t>
  </si>
  <si>
    <t>Información solicitada:</t>
  </si>
  <si>
    <t>Movildiad Outgoing</t>
  </si>
  <si>
    <t>Movildiad Incoming</t>
  </si>
  <si>
    <t>Requerimos todos los datos y detalles de los estudiantes que finalmente tuvieron movilidad internacional Outgoing y fueron postulados por la Facultad de Administración</t>
  </si>
  <si>
    <t>Requerimos todos los datos y detalles de los estudiantes extranjeros que fueron nominados a la Facultad de Administración, y tomaron como mínimo 1 curso de Administración</t>
  </si>
  <si>
    <t>Campos requeridos obligatorios</t>
  </si>
  <si>
    <t>Datos estudiantes</t>
  </si>
  <si>
    <t>Correo electrónico</t>
  </si>
  <si>
    <t>Código</t>
  </si>
  <si>
    <t>Código Uniandes</t>
  </si>
  <si>
    <t>Nombre</t>
  </si>
  <si>
    <t>First name</t>
  </si>
  <si>
    <t>Apellido</t>
  </si>
  <si>
    <t>Surname</t>
  </si>
  <si>
    <t>Cuenta Alterna</t>
  </si>
  <si>
    <t>Nombre completo</t>
  </si>
  <si>
    <t>Cuenta Uniandes</t>
  </si>
  <si>
    <t>Detalles académicos</t>
  </si>
  <si>
    <t>Programa1</t>
  </si>
  <si>
    <t>Detalles procedencia</t>
  </si>
  <si>
    <t>Año</t>
  </si>
  <si>
    <t>Facultad1</t>
  </si>
  <si>
    <t>Semestre de Movilidad</t>
  </si>
  <si>
    <t>Programa2</t>
  </si>
  <si>
    <t>Universidad</t>
  </si>
  <si>
    <t>Facultad2</t>
  </si>
  <si>
    <t>País</t>
  </si>
  <si>
    <t>Detalles postulación</t>
  </si>
  <si>
    <t>Año de Movilidad</t>
  </si>
  <si>
    <t>Tipo de Movilidad</t>
  </si>
  <si>
    <t>Período de Movilidad</t>
  </si>
  <si>
    <t>Detalles nominación</t>
  </si>
  <si>
    <t>Programa Nominación</t>
  </si>
  <si>
    <t>Es muy importante saber el programa al que se nominó el estudiante</t>
  </si>
  <si>
    <t>Convocatoria</t>
  </si>
  <si>
    <t>Nivel Nominación</t>
  </si>
  <si>
    <t>Nivel</t>
  </si>
  <si>
    <t>Programa Postulación</t>
  </si>
  <si>
    <t>Facultad de Postulación</t>
  </si>
  <si>
    <t>Periodo solicitud información movilidad Primer Semestre</t>
  </si>
  <si>
    <t>Finales de junio para las convocatorias -10</t>
  </si>
  <si>
    <t>Periodo solicitud información movilidad Segundo Semestre</t>
  </si>
  <si>
    <t>Finales de enero para las convocatorias -20</t>
  </si>
  <si>
    <t>UNDERGRADUATED EXCHANGE</t>
  </si>
  <si>
    <t>Total</t>
  </si>
  <si>
    <t>Universidad KPIs</t>
  </si>
  <si>
    <t>Outgoing</t>
  </si>
  <si>
    <t>Incoming</t>
  </si>
  <si>
    <t>C O N V E N I O S    E S P E C Í F I C O S</t>
  </si>
  <si>
    <t>A.B. Freeman School of Business, Tulane University</t>
  </si>
  <si>
    <t>United States</t>
  </si>
  <si>
    <t>Aalto University</t>
  </si>
  <si>
    <t>Finland</t>
  </si>
  <si>
    <t>Aston University</t>
  </si>
  <si>
    <t>United Kingdom</t>
  </si>
  <si>
    <t>Audencia. École de Management</t>
  </si>
  <si>
    <t>France</t>
  </si>
  <si>
    <t>BI Norwegian Business School</t>
  </si>
  <si>
    <t>Norway</t>
  </si>
  <si>
    <t>Catolica Lisbon Business &amp; Economics. Universidade Católica Portuguesa</t>
  </si>
  <si>
    <t>Portugal</t>
  </si>
  <si>
    <t xml:space="preserve">CBS- Copenhagen Business School  </t>
  </si>
  <si>
    <t>Denmark</t>
  </si>
  <si>
    <t>City University of Hong Kong</t>
  </si>
  <si>
    <t>China</t>
  </si>
  <si>
    <t>EDHEC Business School</t>
  </si>
  <si>
    <t>EM Strasbourg</t>
  </si>
  <si>
    <t>ESADE</t>
  </si>
  <si>
    <t>Spain</t>
  </si>
  <si>
    <t>ESC Rouen (NEOMA)</t>
  </si>
  <si>
    <t>ESCP</t>
  </si>
  <si>
    <t>ESSEC</t>
  </si>
  <si>
    <t>Faculté des Sciences de l'Administration. FSA Laval</t>
  </si>
  <si>
    <t>Canada</t>
  </si>
  <si>
    <t>Frankfurt School of Finance and Management</t>
  </si>
  <si>
    <t>Germany</t>
  </si>
  <si>
    <t>Fundação Getulio Vargas</t>
  </si>
  <si>
    <t>Brazil</t>
  </si>
  <si>
    <t>Grenoble. École de Management</t>
  </si>
  <si>
    <t>HEC Lausanne</t>
  </si>
  <si>
    <t>Switzerland</t>
  </si>
  <si>
    <t>HEC Montréal</t>
  </si>
  <si>
    <t>HEC Paris</t>
  </si>
  <si>
    <t>ICN Business School - Institut Commercial de Nancy</t>
  </si>
  <si>
    <t>IE Instituto Empresa</t>
  </si>
  <si>
    <t>ITAM - Instituto Tecnológico Autónomo de México</t>
  </si>
  <si>
    <t>Mexico</t>
  </si>
  <si>
    <t>ITESM-EGADE -Instituto tecnológico y de estudios superiores de Monterrey</t>
  </si>
  <si>
    <t>JIBS Jönköping International Business School</t>
  </si>
  <si>
    <t>Sweden</t>
  </si>
  <si>
    <t>KLU Kühne Logistics University</t>
  </si>
  <si>
    <t>Koc University</t>
  </si>
  <si>
    <t>Türkiye</t>
  </si>
  <si>
    <t>Maastricht University</t>
  </si>
  <si>
    <t>Netherlands</t>
  </si>
  <si>
    <t>McGill University</t>
  </si>
  <si>
    <t>NCCU- National Chengchi University</t>
  </si>
  <si>
    <t>Taiwan</t>
  </si>
  <si>
    <t>Nova School of Business and Economics</t>
  </si>
  <si>
    <t>NUCB- Nagoya University of commerce and business</t>
  </si>
  <si>
    <t>Japan</t>
  </si>
  <si>
    <t>Politecnico di Milano</t>
  </si>
  <si>
    <t>Italy</t>
  </si>
  <si>
    <t>Queens University School of Business</t>
  </si>
  <si>
    <t>Queensland University of Technology</t>
  </si>
  <si>
    <t>Australia</t>
  </si>
  <si>
    <t>Toulouse Business School</t>
  </si>
  <si>
    <t>Universidad de Chile</t>
  </si>
  <si>
    <t>Chile</t>
  </si>
  <si>
    <t>Universidad de Tilburg</t>
  </si>
  <si>
    <t>Universidad del Pacífico</t>
  </si>
  <si>
    <t>Peru</t>
  </si>
  <si>
    <t>Università Commerciale Luigi Bocconi</t>
  </si>
  <si>
    <t>Universiteit Utrecht</t>
  </si>
  <si>
    <t>University of Exeter</t>
  </si>
  <si>
    <t>University of Glasgow</t>
  </si>
  <si>
    <t>University of Ljubljana</t>
  </si>
  <si>
    <t>Slovenia</t>
  </si>
  <si>
    <t>University of Mannheim Business School</t>
  </si>
  <si>
    <t>University of Melbourne</t>
  </si>
  <si>
    <t>University of Saint Gallen</t>
  </si>
  <si>
    <t>Universidad de San Andrés</t>
  </si>
  <si>
    <t>Argentina</t>
  </si>
  <si>
    <t>University of San Diego</t>
  </si>
  <si>
    <t>Athens University of Economics and Business</t>
  </si>
  <si>
    <t>Greece</t>
  </si>
  <si>
    <t>IIMA - Indian Institute of Management Ahmedabad</t>
  </si>
  <si>
    <t>India</t>
  </si>
  <si>
    <t>Kozminski University</t>
  </si>
  <si>
    <t>Warsaw</t>
  </si>
  <si>
    <t>London Business School</t>
  </si>
  <si>
    <t>Radbound Univerity</t>
  </si>
  <si>
    <t>Nijmegen</t>
  </si>
  <si>
    <t>Solvay Brussels School of Economics and Management</t>
  </si>
  <si>
    <t>Brussels</t>
  </si>
  <si>
    <t>University of Cologne</t>
  </si>
  <si>
    <t>University of Kaiserslautern</t>
  </si>
  <si>
    <t>Warsaw School of Economics</t>
  </si>
  <si>
    <t>C O N V E N I O S    G E N E E R A L E S</t>
  </si>
  <si>
    <t>American University of Central Asia</t>
  </si>
  <si>
    <t>Kyrgyzstan</t>
  </si>
  <si>
    <t>Amherst College</t>
  </si>
  <si>
    <t>Curtin University</t>
  </si>
  <si>
    <t>CY Cergy Paris Université</t>
  </si>
  <si>
    <t>FHNW Fachhochschule Nordwestschweiz</t>
  </si>
  <si>
    <t>Institut d’Etudes Politiques de Paris</t>
  </si>
  <si>
    <t>Johannes Gutemberg - Universität Mainz</t>
  </si>
  <si>
    <t>Northumbria University, Newcastle</t>
  </si>
  <si>
    <t>Pontificia Universidad Católica de Chile</t>
  </si>
  <si>
    <t>Pontificia Universidad Católica del Perú</t>
  </si>
  <si>
    <t>Pontificia Universidade Católica do Rio Grande do Sul (PUCRS)</t>
  </si>
  <si>
    <t>Roskilde University</t>
  </si>
  <si>
    <t>St. John's University</t>
  </si>
  <si>
    <t>Technische Universität München</t>
  </si>
  <si>
    <t>Technische Universität München (TUM)</t>
  </si>
  <si>
    <t>Universidad Carlos III de Madrid</t>
  </si>
  <si>
    <t>Universidad Católica Boliviana "San Pablo"</t>
  </si>
  <si>
    <t>Bolivia</t>
  </si>
  <si>
    <t>Universidad de Alicante</t>
  </si>
  <si>
    <t>Universidad de Cantabria</t>
  </si>
  <si>
    <t>Universidad de Málaga</t>
  </si>
  <si>
    <t>Universidad de Tarapacá</t>
  </si>
  <si>
    <t>Kanagawa University</t>
  </si>
  <si>
    <t>Newcastle University</t>
  </si>
  <si>
    <t>Swinburne University of Technology</t>
  </si>
  <si>
    <t>Universidad Jean Moulin Lyon 3</t>
  </si>
  <si>
    <t>Universidad Nacional Autonoma de México (UNAM)</t>
  </si>
  <si>
    <t>Universidad Peruana de Ciencias Aplicadas</t>
  </si>
  <si>
    <t>Universidade do Porto</t>
  </si>
  <si>
    <t>Università degli Studi 'Ca' Foscari' di Venezia</t>
  </si>
  <si>
    <t>Università degli Studi di Bologna 'Alma Mater Studiorum'</t>
  </si>
  <si>
    <t>Università degli Studi di Genova</t>
  </si>
  <si>
    <t>UniversitÃ  Ca' Foscari Venezia</t>
  </si>
  <si>
    <t>Universitat Politècnica de Catalunya</t>
  </si>
  <si>
    <t>Universitat Politecnica de Valencia</t>
  </si>
  <si>
    <t>Université de Bordeaux</t>
  </si>
  <si>
    <t>Université de Genève</t>
  </si>
  <si>
    <t>Université Paris-Dauphine</t>
  </si>
  <si>
    <t>University College London</t>
  </si>
  <si>
    <t>University of Bristol</t>
  </si>
  <si>
    <t>University of New South Wales</t>
  </si>
  <si>
    <t>University of Oklahoma</t>
  </si>
  <si>
    <t>University of Sussex</t>
  </si>
  <si>
    <t>Université Libre de Bruxelles</t>
  </si>
  <si>
    <t>Belgium</t>
  </si>
  <si>
    <t>Universität zu Köln</t>
  </si>
  <si>
    <t>Universidade do Minho</t>
  </si>
  <si>
    <t>Universidad del País Vasco / Euskal Herriko Unibertsitatea</t>
  </si>
  <si>
    <t>Aix-Marseille Université</t>
  </si>
  <si>
    <t>Victoria University of Wellington</t>
  </si>
  <si>
    <t>New Zealand</t>
  </si>
  <si>
    <t>Erasmus Universiteit Rotterdam</t>
  </si>
  <si>
    <t>TOTAL</t>
  </si>
  <si>
    <t>UNDERGRADUATED DOUBLE DEGREE</t>
  </si>
  <si>
    <t>FREE MOVER INCOMING</t>
  </si>
  <si>
    <t>PASANTÍA DE INVESTIGACIÓN OUTGOING</t>
  </si>
  <si>
    <t>Cornell University</t>
  </si>
  <si>
    <t>GRADUATED EXCHANGE</t>
  </si>
  <si>
    <t>Aalborg University</t>
  </si>
  <si>
    <t>Central European University</t>
  </si>
  <si>
    <t>Austria</t>
  </si>
  <si>
    <t>Norges Handelshøyskole</t>
  </si>
  <si>
    <t>Stockholms universitet</t>
  </si>
  <si>
    <t>Universidad Adolfo Ibáñez</t>
  </si>
  <si>
    <t>Università Ca' Foscari Venezia</t>
  </si>
  <si>
    <t>Université Catholique de Louvain</t>
  </si>
  <si>
    <t>University of the Witwatersrand</t>
  </si>
  <si>
    <t>South Africa</t>
  </si>
  <si>
    <t>Wirtschaftsuniversität Wien</t>
  </si>
  <si>
    <t>Universität Bayreuth</t>
  </si>
  <si>
    <t>GRADUATED RESEARCH INTERNSHIP</t>
  </si>
  <si>
    <t>Aarhus Universitet</t>
  </si>
  <si>
    <t>Central European University - Private University</t>
  </si>
  <si>
    <t>George Washington University</t>
  </si>
  <si>
    <t>USA</t>
  </si>
  <si>
    <t>Canadá</t>
  </si>
  <si>
    <t>Instituto Politécnico Nacional</t>
  </si>
  <si>
    <t>México</t>
  </si>
  <si>
    <t>The Artificial Intelligence Finance Institute’s New York (AIFI)</t>
  </si>
  <si>
    <t>Estados Unidos</t>
  </si>
  <si>
    <t>Universidad Ca Foscari de Venecia</t>
  </si>
  <si>
    <t>Italia</t>
  </si>
  <si>
    <t>Universidad de Sao Pablo</t>
  </si>
  <si>
    <t>Brasil</t>
  </si>
  <si>
    <t>Universidad Estatal de California</t>
  </si>
  <si>
    <t>Universidad Nacional de Rosario</t>
  </si>
  <si>
    <t>Université de Limoges, Francia</t>
  </si>
  <si>
    <t>Francia</t>
  </si>
  <si>
    <t>Outgoing Mobility by Program</t>
  </si>
  <si>
    <t>Intercambio Internacional</t>
  </si>
  <si>
    <t>Doble Titulación</t>
  </si>
  <si>
    <t>Pasantía de Investigación</t>
  </si>
  <si>
    <t>Administration Bsc</t>
  </si>
  <si>
    <t>International Accounting Bsc</t>
  </si>
  <si>
    <t>Master in Development Management and Practice</t>
  </si>
  <si>
    <t>Master in Supply Chain Management</t>
  </si>
  <si>
    <t>Part - Time MBA</t>
  </si>
  <si>
    <t>Master in Finance</t>
  </si>
  <si>
    <t>Master in Environmental Management</t>
  </si>
  <si>
    <t>Master in Strategic Management</t>
  </si>
  <si>
    <t>Doctoral Program in Administration</t>
  </si>
  <si>
    <t>Undergraduate Mobility</t>
  </si>
  <si>
    <t>Graduate Mobility</t>
  </si>
  <si>
    <t>Incoming Mobility by Program</t>
  </si>
  <si>
    <t>Free Mover</t>
  </si>
  <si>
    <t>Pasantes de investigación</t>
  </si>
  <si>
    <t>Postgraduate / Master</t>
  </si>
  <si>
    <t>Full - Time MBA</t>
  </si>
  <si>
    <t>Doctorate</t>
  </si>
  <si>
    <t>Master in Marketing</t>
  </si>
  <si>
    <t>Master in International Management</t>
  </si>
  <si>
    <t>Master in Management</t>
  </si>
  <si>
    <t>Master in Research in Management</t>
  </si>
  <si>
    <t>Undergraduate / Bachelor</t>
  </si>
  <si>
    <t>Undergraduate Mobility Balance</t>
  </si>
  <si>
    <t>Graduate Mobility Balance</t>
  </si>
  <si>
    <t>Incoming UG</t>
  </si>
  <si>
    <t>Incoming GD</t>
  </si>
  <si>
    <t>Outgoing UG</t>
  </si>
  <si>
    <t>Outgoing GD</t>
  </si>
  <si>
    <t>Outgoing DT UG</t>
  </si>
  <si>
    <t>Outgoing DT GD</t>
  </si>
  <si>
    <t>Incoming DT UG</t>
  </si>
  <si>
    <t>Incoming DT GD</t>
  </si>
  <si>
    <t>Free Movers</t>
  </si>
  <si>
    <t>Modalidad</t>
  </si>
  <si>
    <t>Tipo de Convenio</t>
  </si>
  <si>
    <t>Tipo Convenio</t>
  </si>
  <si>
    <t>Continente</t>
  </si>
  <si>
    <t>Fecha Inicio</t>
  </si>
  <si>
    <t>Fecha Finalización</t>
  </si>
  <si>
    <t>Duration (DD)</t>
  </si>
  <si>
    <t>m.arangoa@uniandes.edu.co</t>
  </si>
  <si>
    <t>Manuela</t>
  </si>
  <si>
    <t>Arango Angel</t>
  </si>
  <si>
    <t>Manuela Arango Angel</t>
  </si>
  <si>
    <t>School of Management</t>
  </si>
  <si>
    <t>Presencial</t>
  </si>
  <si>
    <t>Pregrado</t>
  </si>
  <si>
    <t>Exchange Student Undergraduate</t>
  </si>
  <si>
    <t>Europe</t>
  </si>
  <si>
    <t>am.ariza@uniandes.edu.co</t>
  </si>
  <si>
    <t>Ana</t>
  </si>
  <si>
    <t>Ariza Ramírez</t>
  </si>
  <si>
    <t>Ana Ariza Ramírez</t>
  </si>
  <si>
    <t>NEOMA Business School</t>
  </si>
  <si>
    <t>d.ballesterosn@uniandes.edu.co</t>
  </si>
  <si>
    <t>Daniela</t>
  </si>
  <si>
    <t>Ballesteros Novoa</t>
  </si>
  <si>
    <t>Daniela Ballesteros Novoa</t>
  </si>
  <si>
    <t>North America</t>
  </si>
  <si>
    <t>lv.baron@uniandes.edu.co</t>
  </si>
  <si>
    <t>LauraValentina</t>
  </si>
  <si>
    <t>Baron Galindo</t>
  </si>
  <si>
    <t>LauraValentina Baron Galindo</t>
  </si>
  <si>
    <t>South America</t>
  </si>
  <si>
    <t>f.barreto@uniandes.edu.co</t>
  </si>
  <si>
    <t>Felipe</t>
  </si>
  <si>
    <t>Barreto Castaño</t>
  </si>
  <si>
    <t>Felipe Barreto Castaño</t>
  </si>
  <si>
    <t>mc.bohorquez@uniandes.edu.co</t>
  </si>
  <si>
    <t>MariaCamila</t>
  </si>
  <si>
    <t>Bohorquez Salas</t>
  </si>
  <si>
    <t>MariaCamila Bohorquez Salas</t>
  </si>
  <si>
    <t>Universidade Católica Portuguesa</t>
  </si>
  <si>
    <t>mp.briceno@uniandes.edu.co</t>
  </si>
  <si>
    <t>MariaPaula</t>
  </si>
  <si>
    <t>Briceño Rovira</t>
  </si>
  <si>
    <t>MariaPaula Briceño Rovira</t>
  </si>
  <si>
    <t>TOULOUSE BUSINESS SCHOOL</t>
  </si>
  <si>
    <t>ia.bustos@uniandes.edu.co</t>
  </si>
  <si>
    <t>IvanAndres</t>
  </si>
  <si>
    <t>Bustos Gonzalez</t>
  </si>
  <si>
    <t>IvanAndres Bustos Gonzalez</t>
  </si>
  <si>
    <t>Université de Lausanne</t>
  </si>
  <si>
    <t>s.carbone@uniandes.edu.co</t>
  </si>
  <si>
    <t>Simon</t>
  </si>
  <si>
    <t>Carbone Bracht</t>
  </si>
  <si>
    <t>Simon Carbone Bracht</t>
  </si>
  <si>
    <t>Universitat Ramon Llull</t>
  </si>
  <si>
    <t>g.cleves@uniandes.edu.co</t>
  </si>
  <si>
    <t>Guillermo</t>
  </si>
  <si>
    <t>Cleves Valencia</t>
  </si>
  <si>
    <t>Guillermo Cleves Valencia</t>
  </si>
  <si>
    <t>s.del14@uniandes.edu.co</t>
  </si>
  <si>
    <t>Santiago</t>
  </si>
  <si>
    <t>Del Castillo Suescun</t>
  </si>
  <si>
    <t>Santiago Del Castillo Suescun</t>
  </si>
  <si>
    <t>ESSEC Business School</t>
  </si>
  <si>
    <t>j.diazc1@uniandes.edu.co</t>
  </si>
  <si>
    <t>Juliana</t>
  </si>
  <si>
    <t>Diaz Castillo</t>
  </si>
  <si>
    <t>Juliana Diaz Castillo</t>
  </si>
  <si>
    <t>a.eraso@uniandes.edu.co</t>
  </si>
  <si>
    <t>Alejandra</t>
  </si>
  <si>
    <t>Eraso Lasso</t>
  </si>
  <si>
    <t>Alejandra Eraso Lasso</t>
  </si>
  <si>
    <t>Universität Mannheim</t>
  </si>
  <si>
    <t>m.francol@uniandes.edu.co</t>
  </si>
  <si>
    <t>Melissa</t>
  </si>
  <si>
    <t>Franco Losada</t>
  </si>
  <si>
    <t>Melissa Franco Losada</t>
  </si>
  <si>
    <t>dc.garciah@uniandes.edu.co</t>
  </si>
  <si>
    <t>DianaCarolina</t>
  </si>
  <si>
    <t>Garcia Hernandez</t>
  </si>
  <si>
    <t>DianaCarolina Garcia Hernandez</t>
  </si>
  <si>
    <t>js.garcial@uniandes.edu.co</t>
  </si>
  <si>
    <t>JuanSebastian</t>
  </si>
  <si>
    <t>Garcia Luna</t>
  </si>
  <si>
    <t>JuanSebastian Garcia Luna</t>
  </si>
  <si>
    <t>Kühne Logistics University</t>
  </si>
  <si>
    <t>am.giraldo@uniandes.edu.co</t>
  </si>
  <si>
    <t>AngelicaMaria</t>
  </si>
  <si>
    <t>Giraldo Lozano</t>
  </si>
  <si>
    <t>AngelicaMaria Giraldo Lozano</t>
  </si>
  <si>
    <t>Università Commerciale 'Luigi Bocconi' di Milano</t>
  </si>
  <si>
    <t>n.gomezd@uniandes.edu.co</t>
  </si>
  <si>
    <t>Nicolas</t>
  </si>
  <si>
    <t>Gomez De La Cruz</t>
  </si>
  <si>
    <t>Nicolas Gomez De La Cruz</t>
  </si>
  <si>
    <t>Instituto Tecnológico Autónomo de México</t>
  </si>
  <si>
    <t>ad.gomezp@uniandes.edu.co</t>
  </si>
  <si>
    <t>AndresDavid</t>
  </si>
  <si>
    <t>Gomez Perez</t>
  </si>
  <si>
    <t>AndresDavid Gomez Perez</t>
  </si>
  <si>
    <t>Ecole des Hautes Etudes Commerciales (HEC) de Montréal</t>
  </si>
  <si>
    <t>dl.gonzalez1@uniandes.edu.co</t>
  </si>
  <si>
    <t>DianaLucia</t>
  </si>
  <si>
    <t>Gonzalez Rodriguez</t>
  </si>
  <si>
    <t>DianaLucia Gonzalez Rodriguez</t>
  </si>
  <si>
    <t>Double Degree Master</t>
  </si>
  <si>
    <t>Tulane University</t>
  </si>
  <si>
    <t>lf.guzman@uniandes.edu.co</t>
  </si>
  <si>
    <t>LuisFernando</t>
  </si>
  <si>
    <t>Guzman Martinez</t>
  </si>
  <si>
    <t>LuisFernando Guzman Martinez</t>
  </si>
  <si>
    <t>jp.hernandez12@uniandes.edu.co</t>
  </si>
  <si>
    <t>JeanPaul</t>
  </si>
  <si>
    <t>Hernandez Sierra</t>
  </si>
  <si>
    <t>JeanPaul Hernandez Sierra</t>
  </si>
  <si>
    <t>Audencia Business School</t>
  </si>
  <si>
    <t>s.hernandezv@uniandes.edu.co</t>
  </si>
  <si>
    <t>Hernandez Vega</t>
  </si>
  <si>
    <t>Santiago Hernandez Vega</t>
  </si>
  <si>
    <t>Oceania</t>
  </si>
  <si>
    <t>s.llano1@uniandes.edu.co</t>
  </si>
  <si>
    <t>Llano Giraldo</t>
  </si>
  <si>
    <t>Simon Llano Giraldo</t>
  </si>
  <si>
    <t>s.londonon@uniandes.edu.co</t>
  </si>
  <si>
    <t>Sergio</t>
  </si>
  <si>
    <t>Londoño Neira</t>
  </si>
  <si>
    <t>Sergio Londoño Neira</t>
  </si>
  <si>
    <t>Frankfurt School of Finance &amp; Management</t>
  </si>
  <si>
    <t>v.lopeze@uniandes.edu.co</t>
  </si>
  <si>
    <t>Valentina</t>
  </si>
  <si>
    <t>Lopez Estefan</t>
  </si>
  <si>
    <t>Valentina Lopez Estefan</t>
  </si>
  <si>
    <t>d.martinezc@uniandes.edu.co</t>
  </si>
  <si>
    <t>Martinez Castillo</t>
  </si>
  <si>
    <t>Daniela Martinez Castillo</t>
  </si>
  <si>
    <t>la.moreno13@uniandes.edu.co</t>
  </si>
  <si>
    <t>LauraAlejandra</t>
  </si>
  <si>
    <t>Moreno Rodriguez</t>
  </si>
  <si>
    <t>LauraAlejandra Moreno Rodriguez</t>
  </si>
  <si>
    <t>Univerza v Ljubljani</t>
  </si>
  <si>
    <t>s.noriega@uniandes.edu.co</t>
  </si>
  <si>
    <t>Sebastian</t>
  </si>
  <si>
    <t>Noriega Montañez</t>
  </si>
  <si>
    <t>Sebastian Noriega Montañez</t>
  </si>
  <si>
    <t>nm.osorio10@uniandes.edu.co</t>
  </si>
  <si>
    <t>NathalyMichelle</t>
  </si>
  <si>
    <t>Osorio Salazar</t>
  </si>
  <si>
    <t>NathalyMichelle Osorio Salazar</t>
  </si>
  <si>
    <t>Université Laval</t>
  </si>
  <si>
    <t>a.pardo1@uniandes.edu.co</t>
  </si>
  <si>
    <t>Andrea</t>
  </si>
  <si>
    <t>Pardo Quiroga</t>
  </si>
  <si>
    <t>Andrea Pardo Quiroga</t>
  </si>
  <si>
    <t>ESCP Europe</t>
  </si>
  <si>
    <t>ns.pardo@uniandes.edu.co</t>
  </si>
  <si>
    <t>NayibSantiago</t>
  </si>
  <si>
    <t>Pardo Shaker</t>
  </si>
  <si>
    <t>NayibSantiago Pardo Shaker</t>
  </si>
  <si>
    <t>jp.parra@uniandes.edu.co</t>
  </si>
  <si>
    <t>JuanPablo</t>
  </si>
  <si>
    <t>Parra Carrasco</t>
  </si>
  <si>
    <t>JuanPablo Parra Carrasco</t>
  </si>
  <si>
    <t>Roskilde Universitet</t>
  </si>
  <si>
    <t>v.perea@uniandes.edu.co</t>
  </si>
  <si>
    <t>Perea Silva</t>
  </si>
  <si>
    <t>Valentina Perea Silva</t>
  </si>
  <si>
    <t>Study Abroad</t>
  </si>
  <si>
    <t>m.quinterog@uniandes.edu.co</t>
  </si>
  <si>
    <t>Mariana</t>
  </si>
  <si>
    <t>Quintero Guevara</t>
  </si>
  <si>
    <t>Mariana Quintero Guevara</t>
  </si>
  <si>
    <t>jf.ibarra@uniandes.edu.co</t>
  </si>
  <si>
    <t>JuanFelipe</t>
  </si>
  <si>
    <t>Ibarra Kure</t>
  </si>
  <si>
    <t>JuanFelipe Ibarra Kure</t>
  </si>
  <si>
    <t>Handelshøjskolen i København</t>
  </si>
  <si>
    <t>d.rugec@uniandes.edu.co</t>
  </si>
  <si>
    <t>Ruge Contreras</t>
  </si>
  <si>
    <t>Daniela Ruge Contreras</t>
  </si>
  <si>
    <t>s.saad@uniandes.edu.co</t>
  </si>
  <si>
    <t>Saad Giovannetti</t>
  </si>
  <si>
    <t>Sebastian Saad Giovannetti</t>
  </si>
  <si>
    <t>jf.tobar@uniandes.edu.co</t>
  </si>
  <si>
    <t>Tobar Velandia</t>
  </si>
  <si>
    <t>JuanFelipe Tobar Velandia</t>
  </si>
  <si>
    <t>v.torres11@uniandes.edu.co</t>
  </si>
  <si>
    <t>Valeria</t>
  </si>
  <si>
    <t>Torres Rodriguez</t>
  </si>
  <si>
    <t>Valeria Torres Rodriguez</t>
  </si>
  <si>
    <t>Universidade Nova de Lisboa</t>
  </si>
  <si>
    <t>c.velasquezg@uniandes.edu.co</t>
  </si>
  <si>
    <t>Catalina</t>
  </si>
  <si>
    <t>Velasquez Garcia</t>
  </si>
  <si>
    <t>Catalina Velasquez Garcia</t>
  </si>
  <si>
    <t>n.velezq@uniandes.edu.co</t>
  </si>
  <si>
    <t>Nathalia</t>
  </si>
  <si>
    <t>Velez Quintero</t>
  </si>
  <si>
    <t>Nathalia Velez Quintero</t>
  </si>
  <si>
    <t>d.andradeg@uniandes.edu.co</t>
  </si>
  <si>
    <t>Daniel</t>
  </si>
  <si>
    <t>Andrade Gaitán</t>
  </si>
  <si>
    <t>Daniel Andrade Gaitán</t>
  </si>
  <si>
    <t>SURF</t>
  </si>
  <si>
    <t>jr.montenegro10@uniandes.edu.co</t>
  </si>
  <si>
    <t>JavierRicardo</t>
  </si>
  <si>
    <t>Montenegro Cortes</t>
  </si>
  <si>
    <t>JavierRicardo Montenegro Cortes</t>
  </si>
  <si>
    <t>n.adaime@uniandes.edu.co</t>
  </si>
  <si>
    <t>Natalia</t>
  </si>
  <si>
    <t>Adaime Cuellar</t>
  </si>
  <si>
    <t>Natalia Adaime Cuellar</t>
  </si>
  <si>
    <t>Double Degree</t>
  </si>
  <si>
    <t>la.forero@uniandes.edu.co</t>
  </si>
  <si>
    <t>LuisAlejandro</t>
  </si>
  <si>
    <t>Forero Silva</t>
  </si>
  <si>
    <t>LuisAlejandro Forero Silva</t>
  </si>
  <si>
    <t>af.galvis@uniandes.edu.co</t>
  </si>
  <si>
    <t>AndresFernando</t>
  </si>
  <si>
    <t>Galvis Correa</t>
  </si>
  <si>
    <t>AndresFernando Galvis Correa</t>
  </si>
  <si>
    <t>[no longer existing] Aalto-yliopisto</t>
  </si>
  <si>
    <t>nc.lozano@uniandes.edu.co</t>
  </si>
  <si>
    <t>NelsonCamilo</t>
  </si>
  <si>
    <t>Lozano Martinez</t>
  </si>
  <si>
    <t>NelsonCamilo Lozano Martinez</t>
  </si>
  <si>
    <t>Economics Bsc</t>
  </si>
  <si>
    <t>School of Economics</t>
  </si>
  <si>
    <t>dr.rachez@uniandes.edu.co</t>
  </si>
  <si>
    <t>David Ricardo</t>
  </si>
  <si>
    <t>Rachez Dueñas</t>
  </si>
  <si>
    <t>David Ricardo Rachez Dueñas</t>
  </si>
  <si>
    <t>Government and Public Policy Bsc</t>
  </si>
  <si>
    <t>Government School Alberto Lleras Camargo</t>
  </si>
  <si>
    <t>Juan Felipe</t>
  </si>
  <si>
    <t>Juan Felipe Ibarra Kure</t>
  </si>
  <si>
    <t/>
  </si>
  <si>
    <t>jf.zuleta@uniandes.edu.co</t>
  </si>
  <si>
    <t>Zuleta Pulido</t>
  </si>
  <si>
    <t>Juan Felipe Zuleta Pulido</t>
  </si>
  <si>
    <t>a.gutierrezp@uniandes.edu.co</t>
  </si>
  <si>
    <t>Alejandro</t>
  </si>
  <si>
    <t>Gutierrez Perico Ramirez</t>
  </si>
  <si>
    <t>Alejandro Gutierrez Perico Ramirez</t>
  </si>
  <si>
    <t>d.montoyar@uniandes.edu.co</t>
  </si>
  <si>
    <t>Montoya Robledo</t>
  </si>
  <si>
    <t>Daniela Montoya Robledo</t>
  </si>
  <si>
    <t>hs.ayala@uniandes.edu.co</t>
  </si>
  <si>
    <t>Hermes Steve</t>
  </si>
  <si>
    <t>Ayala Calvo</t>
  </si>
  <si>
    <t>Hermes Steve Ayala Calvo</t>
  </si>
  <si>
    <t>jc.restrepoc@uniandes.edu.co</t>
  </si>
  <si>
    <t>Juan Camilo</t>
  </si>
  <si>
    <t>Restrepo Camargo</t>
  </si>
  <si>
    <t>Juan Camilo Restrepo Camargo</t>
  </si>
  <si>
    <t>la.tamayot@uniandes.edu.co</t>
  </si>
  <si>
    <t>Leonardo Alberto</t>
  </si>
  <si>
    <t>Tamayo Tamayo</t>
  </si>
  <si>
    <t>Leonardo Alberto Tamayo Tamayo</t>
  </si>
  <si>
    <t>Universität St. Gallen</t>
  </si>
  <si>
    <t>ca.berdugo@uniandes.edu.co</t>
  </si>
  <si>
    <t>Camilo Andres</t>
  </si>
  <si>
    <t>Berdugo Roa</t>
  </si>
  <si>
    <t>Camilo Andres Berdugo Roa</t>
  </si>
  <si>
    <t>s.lopezw@uniandes.edu.co</t>
  </si>
  <si>
    <t>Stefania</t>
  </si>
  <si>
    <t>Lopez Wilches</t>
  </si>
  <si>
    <t>Stefania Lopez Wilches</t>
  </si>
  <si>
    <t>p.arango@uniandes.edu.co</t>
  </si>
  <si>
    <t>Pablo</t>
  </si>
  <si>
    <t>Arango Ramirez</t>
  </si>
  <si>
    <t>Pablo Arango Ramirez</t>
  </si>
  <si>
    <t>Systems and Computing Engineering Bsc</t>
  </si>
  <si>
    <t>School of Engineering</t>
  </si>
  <si>
    <t>s.duarter@uniandes.edu.co</t>
  </si>
  <si>
    <t>Sofia</t>
  </si>
  <si>
    <t>Duarte Rosas</t>
  </si>
  <si>
    <t>Sofia Duarte Rosas</t>
  </si>
  <si>
    <t>Design Bsc</t>
  </si>
  <si>
    <t>School of Architecture and Design</t>
  </si>
  <si>
    <t>s.escalante@uniandes.edu.co</t>
  </si>
  <si>
    <t>Escalante Lenis</t>
  </si>
  <si>
    <t>Simon Escalante Lenis</t>
  </si>
  <si>
    <t>m.freydell@uniandes.edu.co</t>
  </si>
  <si>
    <t>Freydell Lizcano</t>
  </si>
  <si>
    <t>Mariana Freydell Lizcano</t>
  </si>
  <si>
    <t>ej.gonzalezg@uniandes.edu.co</t>
  </si>
  <si>
    <t>Erick Julian</t>
  </si>
  <si>
    <t>Gonzalez Gonzalez</t>
  </si>
  <si>
    <t>Erick Julian Gonzalez Gonzalez</t>
  </si>
  <si>
    <t>jf.lopeze@uniandes.edu.co</t>
  </si>
  <si>
    <t>Juan Fernando</t>
  </si>
  <si>
    <t>Lopez Escobar</t>
  </si>
  <si>
    <t>Juan Fernando Lopez Escobar</t>
  </si>
  <si>
    <t>ICN Business School</t>
  </si>
  <si>
    <t>d.roav@uniandes.edu.co</t>
  </si>
  <si>
    <t>Roa Villa</t>
  </si>
  <si>
    <t>Daniel Roa Villa</t>
  </si>
  <si>
    <t>a.rodriguezc1@uniandes.edu.co</t>
  </si>
  <si>
    <t>Rodriguez Cordoba</t>
  </si>
  <si>
    <t>Alejandra Rodriguez Cordoba</t>
  </si>
  <si>
    <t>Virtual</t>
  </si>
  <si>
    <t>Nagoya University of Commerce and Business</t>
  </si>
  <si>
    <t>Asia</t>
  </si>
  <si>
    <t>gf.silva@uniandes.edu.co</t>
  </si>
  <si>
    <t>German Felipe</t>
  </si>
  <si>
    <t>Silva Baquero</t>
  </si>
  <si>
    <t>German Felipe Silva Baquero</t>
  </si>
  <si>
    <t>f.torrente@uniandes.edu.co</t>
  </si>
  <si>
    <t>Torrente Rodriguez</t>
  </si>
  <si>
    <t>Felipe Torrente Rodriguez</t>
  </si>
  <si>
    <t>j.zapatab@uniandes.edu.co</t>
  </si>
  <si>
    <t>Juanita</t>
  </si>
  <si>
    <t>Zapata Betancur</t>
  </si>
  <si>
    <t>Juanita Zapata Betancur</t>
  </si>
  <si>
    <t>jj.rojasm@uniandes.edu.co</t>
  </si>
  <si>
    <t>Juan Jaime</t>
  </si>
  <si>
    <t>Rojas Muñoz</t>
  </si>
  <si>
    <t>Juan Jaime Rojas Muñoz</t>
  </si>
  <si>
    <t>Pasantía de investigación</t>
  </si>
  <si>
    <t>jp.borda@uniandes.edu.co</t>
  </si>
  <si>
    <t>Juan Pablo</t>
  </si>
  <si>
    <t>Borda Kuhlmann</t>
  </si>
  <si>
    <t>Juan Pablo Borda Kuhlmann</t>
  </si>
  <si>
    <t>jp.figueroa@uniandes.edu.co</t>
  </si>
  <si>
    <t>Figueroa Morales</t>
  </si>
  <si>
    <t>Juan Pablo Figueroa Morales</t>
  </si>
  <si>
    <t>lj.vanegas@uniandes.edu.co</t>
  </si>
  <si>
    <t>Laura Juliana</t>
  </si>
  <si>
    <t>Vanegas Medina</t>
  </si>
  <si>
    <t>Laura Juliana Vanegas Medina</t>
  </si>
  <si>
    <t>m.bautista@uniandes.edu.co</t>
  </si>
  <si>
    <t>Bautista Castro</t>
  </si>
  <si>
    <t>Manuela Bautista Castro</t>
  </si>
  <si>
    <t>ma.perezj@uniandes.edu.co</t>
  </si>
  <si>
    <t>Maria Alejandra</t>
  </si>
  <si>
    <t>Perez Jurado</t>
  </si>
  <si>
    <t>Maria Alejandra Perez Jurado</t>
  </si>
  <si>
    <t>mj.aragon@uniandes.edu.co</t>
  </si>
  <si>
    <t>Mauricio Jose</t>
  </si>
  <si>
    <t>Aragon Ramirez</t>
  </si>
  <si>
    <t>Mauricio Jose Aragon Ramirez</t>
  </si>
  <si>
    <t>n.jaramilloe@uniandes.edu.co</t>
  </si>
  <si>
    <t xml:space="preserve">Jaramillo Erazo </t>
  </si>
  <si>
    <t xml:space="preserve">Natalia Jaramillo Erazo </t>
  </si>
  <si>
    <t>ma.bastidas@uniandes.edu.co</t>
  </si>
  <si>
    <t>Manuel Alejandro</t>
  </si>
  <si>
    <t>Bastidas Infante</t>
  </si>
  <si>
    <t>Manuel Alejandro Bastidas Infante</t>
  </si>
  <si>
    <t>m.olave@uniandes.edu.co</t>
  </si>
  <si>
    <t>Maria De Los Angeles</t>
  </si>
  <si>
    <t>Olave Solano</t>
  </si>
  <si>
    <t>Maria De Los Angeles Olave Solano</t>
  </si>
  <si>
    <t>Maestría</t>
  </si>
  <si>
    <t>Exchange Student Master</t>
  </si>
  <si>
    <t>Högskolan i Jönköping</t>
  </si>
  <si>
    <t>c.artunduaga@uniandes.edu.co</t>
  </si>
  <si>
    <t>Artunduaga Borda</t>
  </si>
  <si>
    <t>Catalina Artunduaga Borda</t>
  </si>
  <si>
    <t>c.samper@uniandes.edu.co</t>
  </si>
  <si>
    <t>Samper Murillo</t>
  </si>
  <si>
    <t>Catalina Samper Murillo</t>
  </si>
  <si>
    <t>ce.orozcos@uniandes.edu.co</t>
  </si>
  <si>
    <t>Cristian Elias</t>
  </si>
  <si>
    <t>Orozco Sicacha</t>
  </si>
  <si>
    <t>Cristian Elias Orozco Sicacha</t>
  </si>
  <si>
    <t>Mechanical Engineering Bsc</t>
  </si>
  <si>
    <t>df.arrieta@uniandes.edu.co</t>
  </si>
  <si>
    <t>Daniel Felipe</t>
  </si>
  <si>
    <t>Arrieta Castilla</t>
  </si>
  <si>
    <t>Daniel Felipe Arrieta Castilla</t>
  </si>
  <si>
    <t>df.pelaezk@uniandes.edu.co</t>
  </si>
  <si>
    <t>Pelaez Kwan</t>
  </si>
  <si>
    <t>Daniel Felipe Pelaez Kwan</t>
  </si>
  <si>
    <t>IE Universidad</t>
  </si>
  <si>
    <t>ed.ortegon@uniandes.edu.co</t>
  </si>
  <si>
    <t>Ericka Daniela</t>
  </si>
  <si>
    <t>Ortegon Ayala</t>
  </si>
  <si>
    <t>Ericka Daniela Ortegon Ayala</t>
  </si>
  <si>
    <t>Audencia Nantes - Ecole de Management</t>
  </si>
  <si>
    <t>f.ortiz@uniandes.edu.co</t>
  </si>
  <si>
    <t>Ortiz Quijano</t>
  </si>
  <si>
    <t>Felipe Ortiz Quijano</t>
  </si>
  <si>
    <t>Psychology Bsc</t>
  </si>
  <si>
    <t>School of Social Sciences</t>
  </si>
  <si>
    <t>Grenoble Ecole de Management</t>
  </si>
  <si>
    <t>fa.saenz@uniandes.edu.co</t>
  </si>
  <si>
    <t>Felipe Andres</t>
  </si>
  <si>
    <t>Saenz Leguizamo</t>
  </si>
  <si>
    <t>Felipe Andres Saenz Leguizamo</t>
  </si>
  <si>
    <t>g.uruena@uniandes.edu.co</t>
  </si>
  <si>
    <t>Gabriela</t>
  </si>
  <si>
    <t>Urueña Gaitan</t>
  </si>
  <si>
    <t>Gabriela Urueña Gaitan</t>
  </si>
  <si>
    <t>ja.perezr1@uniandes.edu.co</t>
  </si>
  <si>
    <t>Jessica Andrea</t>
  </si>
  <si>
    <t>Perez Rondon</t>
  </si>
  <si>
    <t>Jessica Andrea Perez Rondon</t>
  </si>
  <si>
    <t>jp.angel@uniandes.edu.co</t>
  </si>
  <si>
    <t>Angel Botero</t>
  </si>
  <si>
    <t>Juan Pablo Angel Botero</t>
  </si>
  <si>
    <t>a.bradford@uniandes.edu.co</t>
  </si>
  <si>
    <t>Andres</t>
  </si>
  <si>
    <t>Bradford Valero</t>
  </si>
  <si>
    <t>Andres Bradford Valero</t>
  </si>
  <si>
    <t>j.amador@uniandes.edu.co</t>
  </si>
  <si>
    <t>Amador Cuenca</t>
  </si>
  <si>
    <t>Juliana Amador Cuenca</t>
  </si>
  <si>
    <t>km.orozco@uniandes.edu.co</t>
  </si>
  <si>
    <t>Ketty Milena</t>
  </si>
  <si>
    <t>Orozco Serrano</t>
  </si>
  <si>
    <t>Ketty Milena Orozco Serrano</t>
  </si>
  <si>
    <t>Aalto-yliopisto</t>
  </si>
  <si>
    <t>jp.garces@uniandes.edu.co</t>
  </si>
  <si>
    <t>Garces Mejia</t>
  </si>
  <si>
    <t>Juan Pablo Garces Mejia</t>
  </si>
  <si>
    <t>m.penalosa@uniandes.edu.co</t>
  </si>
  <si>
    <t>María</t>
  </si>
  <si>
    <t>Peñalosa Concha</t>
  </si>
  <si>
    <t>María Peñalosa Concha</t>
  </si>
  <si>
    <t>ma.cuervo@uniandes.edu.co</t>
  </si>
  <si>
    <t>Maria Antonia</t>
  </si>
  <si>
    <t>Cuervo Calero</t>
  </si>
  <si>
    <t>Maria Antonia Cuervo Calero</t>
  </si>
  <si>
    <t>mc.ortiz@uniandes.edu.co</t>
  </si>
  <si>
    <t>Maria Camila</t>
  </si>
  <si>
    <t>Ortiz Gomez</t>
  </si>
  <si>
    <t>Maria Camila Ortiz Gomez</t>
  </si>
  <si>
    <t>mj.rodrigueza@uniandes.edu.co</t>
  </si>
  <si>
    <t>Maria Jose</t>
  </si>
  <si>
    <t>Rodriguez Araujo</t>
  </si>
  <si>
    <t>Maria Jose Rodriguez Araujo</t>
  </si>
  <si>
    <t>mp.marin@uniandes.edu.co</t>
  </si>
  <si>
    <t>Maria Paula</t>
  </si>
  <si>
    <t>Marin Araujo</t>
  </si>
  <si>
    <t>Maria Paula Marin Araujo</t>
  </si>
  <si>
    <t>m.moralesc@uniandes.edu.co</t>
  </si>
  <si>
    <t>Morales Caldas</t>
  </si>
  <si>
    <t>Mariana Morales Caldas</t>
  </si>
  <si>
    <t>lm.restrepo12@uniandes.edu.co</t>
  </si>
  <si>
    <t>Laura Maria</t>
  </si>
  <si>
    <t>Restrepo Grisales</t>
  </si>
  <si>
    <t>Laura Maria Restrepo Grisales</t>
  </si>
  <si>
    <t>ma.valenciae@uniandes.edu.co</t>
  </si>
  <si>
    <t>Mario Andres</t>
  </si>
  <si>
    <t>Valencia Escobar</t>
  </si>
  <si>
    <t>Mario Andres Valencia Escobar</t>
  </si>
  <si>
    <t>m.leibovich@uniandes.edu.co</t>
  </si>
  <si>
    <t>Maurice</t>
  </si>
  <si>
    <t>Leibovich Lopez</t>
  </si>
  <si>
    <t>Maurice Leibovich Lopez</t>
  </si>
  <si>
    <t>p.lozano@uniandes.edu.co</t>
  </si>
  <si>
    <t>Lozano Concha</t>
  </si>
  <si>
    <t>Pablo Lozano Concha</t>
  </si>
  <si>
    <t>a.ramirezp1@uniandes.edu.co</t>
  </si>
  <si>
    <t>Amalia</t>
  </si>
  <si>
    <t>Ramirez Perilla</t>
  </si>
  <si>
    <t>Amalia Ramirez Perilla</t>
  </si>
  <si>
    <t>s.ospinan@uniandes.edu.co</t>
  </si>
  <si>
    <t>Ospina Naranjo</t>
  </si>
  <si>
    <t>Santiago Ospina Naranjo</t>
  </si>
  <si>
    <t>s.gonzaleza1@uniandes.edu.co</t>
  </si>
  <si>
    <t>Gonzalez Acevedo</t>
  </si>
  <si>
    <t>Sebastian Gonzalez Acevedo</t>
  </si>
  <si>
    <t>sa.arciniegas@uniandes.edu.co</t>
  </si>
  <si>
    <t>Simon Andres</t>
  </si>
  <si>
    <t>Arciniegas Hurtado</t>
  </si>
  <si>
    <t>Simon Andres Arciniegas Hurtado</t>
  </si>
  <si>
    <t>t.giraldor@uniandes.edu.co</t>
  </si>
  <si>
    <t>Tomas</t>
  </si>
  <si>
    <t>Giraldo Restrepo</t>
  </si>
  <si>
    <t>Tomas Giraldo Restrepo</t>
  </si>
  <si>
    <t>v.vargasm@uniandes.edu.co</t>
  </si>
  <si>
    <t>Vargas Medina</t>
  </si>
  <si>
    <t>Valentina Vargas Medina</t>
  </si>
  <si>
    <t>v.sanchezl@uniandes.edu.co</t>
  </si>
  <si>
    <t>Sanchez Lastra</t>
  </si>
  <si>
    <t>Valentina Sanchez Lastra</t>
  </si>
  <si>
    <t>l.supelano@uniandes.edu.co</t>
  </si>
  <si>
    <t>Laura</t>
  </si>
  <si>
    <t>Supelano Tajc</t>
  </si>
  <si>
    <t>Laura Supelano Tajc</t>
  </si>
  <si>
    <t>m.varelar@uniandes.edu.co</t>
  </si>
  <si>
    <t>Varela Restrepo</t>
  </si>
  <si>
    <t>Mariana Varela Restrepo</t>
  </si>
  <si>
    <t>jj.ardilah@uniandes.edu.co</t>
  </si>
  <si>
    <t>Juan Jose</t>
  </si>
  <si>
    <t>Ardila Hidalgo</t>
  </si>
  <si>
    <t>Juan Jose Ardila Hidalgo</t>
  </si>
  <si>
    <t>ae.arenas@uniandes.edu.co</t>
  </si>
  <si>
    <t>Andres Enrique</t>
  </si>
  <si>
    <t>Arenas Restrepo</t>
  </si>
  <si>
    <t>Andres Enrique Arenas Restrepo</t>
  </si>
  <si>
    <t>a.arguello@uniandes.edu.co</t>
  </si>
  <si>
    <t>Andres Felipe</t>
  </si>
  <si>
    <t>Arguello Muñoz</t>
  </si>
  <si>
    <t>Andres Felipe Arguello Muñoz</t>
  </si>
  <si>
    <t>jd.arrazola@uniandes.edu.co</t>
  </si>
  <si>
    <t>Jose Daniel</t>
  </si>
  <si>
    <t>Arrazola Alviz</t>
  </si>
  <si>
    <t>Jose Daniel Arrazola Alviz</t>
  </si>
  <si>
    <t>s.arturof@uniandes.edu.co</t>
  </si>
  <si>
    <t>Arturo Forero</t>
  </si>
  <si>
    <t>Sebastian Arturo Forero</t>
  </si>
  <si>
    <t>Tilburg University</t>
  </si>
  <si>
    <t>ja.baron@uniandes.edu.co</t>
  </si>
  <si>
    <t>Juan Andres</t>
  </si>
  <si>
    <t>Baron Pastran</t>
  </si>
  <si>
    <t>Juan Andres Baron Pastran</t>
  </si>
  <si>
    <t>mp.bautistal@uniandes.edu.co</t>
  </si>
  <si>
    <t>Bautista Lopez</t>
  </si>
  <si>
    <t>Maria Paula Bautista Lopez</t>
  </si>
  <si>
    <t>nm.bermudez@uniandes.edu.co</t>
  </si>
  <si>
    <t>Nestor Mateo</t>
  </si>
  <si>
    <t>Bermudez Vargas</t>
  </si>
  <si>
    <t>Nestor Mateo Bermudez Vargas</t>
  </si>
  <si>
    <t>as.bernal@uniandes.edu.co</t>
  </si>
  <si>
    <t>Ana Sofia</t>
  </si>
  <si>
    <t>Bernal Bejarano</t>
  </si>
  <si>
    <t>Ana Sofia Bernal Bejarano</t>
  </si>
  <si>
    <t xml:space="preserve">Université de Lausanne </t>
  </si>
  <si>
    <t>jn.betancourt@uniandes.edu.co</t>
  </si>
  <si>
    <t>Jose Nicolas</t>
  </si>
  <si>
    <t>Betancourt Ferrucho</t>
  </si>
  <si>
    <t>Jose Nicolas Betancourt Ferrucho</t>
  </si>
  <si>
    <t>f.bocanegra@uniandes.edu.co</t>
  </si>
  <si>
    <t>Bocanegra Polanco</t>
  </si>
  <si>
    <t>Felipe Bocanegra Polanco</t>
  </si>
  <si>
    <t>v.calderong@uniandes.edu.co</t>
  </si>
  <si>
    <t>Calderon Gutierrez</t>
  </si>
  <si>
    <t>Valentina Calderon Gutierrez</t>
  </si>
  <si>
    <t>s.calderonh@uniandes.edu.co</t>
  </si>
  <si>
    <t>Susana</t>
  </si>
  <si>
    <t>Calderon Henao</t>
  </si>
  <si>
    <t>Susana Calderon Henao</t>
  </si>
  <si>
    <t>n.calderonv@uniandes.edu.co</t>
  </si>
  <si>
    <t>Calderon Vallejo</t>
  </si>
  <si>
    <t>Natalia Calderon Vallejo</t>
  </si>
  <si>
    <t>f.camargo@uniandes.edu.co</t>
  </si>
  <si>
    <t>Camargo Quintanilla</t>
  </si>
  <si>
    <t>Felipe Camargo Quintanilla</t>
  </si>
  <si>
    <t>da.campos@uniandes.edu.co</t>
  </si>
  <si>
    <t>Diego Alejandro</t>
  </si>
  <si>
    <t>Campos Mallungo</t>
  </si>
  <si>
    <t>Diego Alejandro Campos Mallungo</t>
  </si>
  <si>
    <t>Law Bsc</t>
  </si>
  <si>
    <t>School of Law</t>
  </si>
  <si>
    <t>Instituto Tecnológico y de Estudios Superiores de Monterrey (ITESM)</t>
  </si>
  <si>
    <t>s.carrenop@uniandes.edu.co</t>
  </si>
  <si>
    <t>Samuel</t>
  </si>
  <si>
    <t>Carreño Perez</t>
  </si>
  <si>
    <t>Samuel Carreño Perez</t>
  </si>
  <si>
    <t>lf.carrillop@uniandes.edu.co</t>
  </si>
  <si>
    <t>Luis Felipe</t>
  </si>
  <si>
    <t>Carrillo Pico</t>
  </si>
  <si>
    <t>Luis Felipe Carrillo Pico</t>
  </si>
  <si>
    <t>j.carvajalc@uniandes.edu.co</t>
  </si>
  <si>
    <t>Carvajal Carvajal</t>
  </si>
  <si>
    <t>Juliana Carvajal Carvajal</t>
  </si>
  <si>
    <t>c.castellanosv@uniandes.edu.co</t>
  </si>
  <si>
    <t>Castellanos Valero</t>
  </si>
  <si>
    <t>Catalina Castellanos Valero</t>
  </si>
  <si>
    <t>m.castrog@uniandes.edu.co</t>
  </si>
  <si>
    <t>Castro Giraldo</t>
  </si>
  <si>
    <t>Mariana Castro Giraldo</t>
  </si>
  <si>
    <t>va.castrop@uniandes.edu.co</t>
  </si>
  <si>
    <t>Vanessa Alexandra</t>
  </si>
  <si>
    <t>Castro Patiño</t>
  </si>
  <si>
    <t>Vanessa Alexandra Castro Patiño</t>
  </si>
  <si>
    <t>jm.castrop@uniandes.edu.co</t>
  </si>
  <si>
    <t>Juan Miguel Jose</t>
  </si>
  <si>
    <t>Castro Pepin</t>
  </si>
  <si>
    <t>Juan Miguel Jose Castro Pepin</t>
  </si>
  <si>
    <t>k.chacon@uniandes.edu.co</t>
  </si>
  <si>
    <t>Karen Valentina</t>
  </si>
  <si>
    <t>Chacon Padilla</t>
  </si>
  <si>
    <t>Karen Valentina Chacon Padilla</t>
  </si>
  <si>
    <t>pa.cordoba@uniandes.edu.co</t>
  </si>
  <si>
    <t>Pablo Alejandro</t>
  </si>
  <si>
    <t>Cordoba Ruiz</t>
  </si>
  <si>
    <t>Pablo Alejandro Cordoba Ruiz</t>
  </si>
  <si>
    <t>ma.correaa1@uniandes.edu.co</t>
  </si>
  <si>
    <t>Correa Acosta</t>
  </si>
  <si>
    <t>Maria Antonia Correa Acosta</t>
  </si>
  <si>
    <t>ja.cruzv@uniandes.edu.co</t>
  </si>
  <si>
    <t>Johan Alfonso</t>
  </si>
  <si>
    <t>Cruz Vega</t>
  </si>
  <si>
    <t>Johan Alfonso Cruz Vega</t>
  </si>
  <si>
    <t>sj.cuervo@uniandes.edu.co</t>
  </si>
  <si>
    <t>Sara Jimena</t>
  </si>
  <si>
    <t>Cuervo Villanueva</t>
  </si>
  <si>
    <t>Sara Jimena Cuervo Villanueva</t>
  </si>
  <si>
    <t>ja.durang@uniandes.edu.co</t>
  </si>
  <si>
    <t>Jorge Andres</t>
  </si>
  <si>
    <t>Duran Gasca</t>
  </si>
  <si>
    <t>Jorge Andres Duran Gasca</t>
  </si>
  <si>
    <t>a.ehrlich@uniandes.edu.co</t>
  </si>
  <si>
    <t>Antonio</t>
  </si>
  <si>
    <t>Ehrlich Martinez</t>
  </si>
  <si>
    <t>Antonio Ehrlich Martinez</t>
  </si>
  <si>
    <t>CINDA</t>
  </si>
  <si>
    <t>ce.fernandezv@uniandes.edu.co</t>
  </si>
  <si>
    <t>Carlos Eduardo</t>
  </si>
  <si>
    <t>Fernandez Vega</t>
  </si>
  <si>
    <t>Carlos Eduardo Fernandez Vega</t>
  </si>
  <si>
    <t>University of London</t>
  </si>
  <si>
    <t>af.garces@uniandes.edu.co</t>
  </si>
  <si>
    <t>Andres Felipe Garces Mejia</t>
  </si>
  <si>
    <t>tm.garcia@uniandes.edu.co</t>
  </si>
  <si>
    <t>Tania Marcela</t>
  </si>
  <si>
    <t>Garcia Gonzalez</t>
  </si>
  <si>
    <t>Tania Marcela Garcia Gonzalez</t>
  </si>
  <si>
    <t>s.giraldod@uniandes.edu.co</t>
  </si>
  <si>
    <t>Giraldo Duque</t>
  </si>
  <si>
    <t>Santiago Giraldo Duque</t>
  </si>
  <si>
    <t>d.giraldoq@uniandes.edu.co</t>
  </si>
  <si>
    <t>Giraldo Quintero</t>
  </si>
  <si>
    <t>Daniela Giraldo Quintero</t>
  </si>
  <si>
    <t>c.gomezg2@uniandes.edu.co</t>
  </si>
  <si>
    <t>Camilo</t>
  </si>
  <si>
    <t>Gomez Gomez</t>
  </si>
  <si>
    <t>Camilo Gomez Gomez</t>
  </si>
  <si>
    <t>n.gomezo@uniandes.edu.co</t>
  </si>
  <si>
    <t>Gomez Ocampo</t>
  </si>
  <si>
    <t>Nicolas Gomez Ocampo</t>
  </si>
  <si>
    <t>s.gomezr2@uniandes.edu.co</t>
  </si>
  <si>
    <t>Gomez Ramirez</t>
  </si>
  <si>
    <t>Sebastian Gomez Ramirez</t>
  </si>
  <si>
    <t>ma.gomezs@uniandes.edu.co</t>
  </si>
  <si>
    <t>Gomez Sepulveda</t>
  </si>
  <si>
    <t>Maria Alejandra Gomez Sepulveda</t>
  </si>
  <si>
    <t>i.gonzalezc1@uniandes.edu.co</t>
  </si>
  <si>
    <t>Isabella</t>
  </si>
  <si>
    <t>Gonzalez Cortes</t>
  </si>
  <si>
    <t>Isabella Gonzalez Cortes</t>
  </si>
  <si>
    <t>j.guerreros@uniandes.edu.co</t>
  </si>
  <si>
    <t>Juan David</t>
  </si>
  <si>
    <t>Guerrero Silva</t>
  </si>
  <si>
    <t>Juan David Guerrero Silva</t>
  </si>
  <si>
    <t>f.herrera11@uniandes.edu.co</t>
  </si>
  <si>
    <t>Federico</t>
  </si>
  <si>
    <t>Herrera Duran</t>
  </si>
  <si>
    <t>Federico Herrera Duran</t>
  </si>
  <si>
    <t>ds.herrera@uniandes.edu.co</t>
  </si>
  <si>
    <t>Daniel Santiago</t>
  </si>
  <si>
    <t>Herrera Quiroga</t>
  </si>
  <si>
    <t>Daniel Santiago Herrera Quiroga</t>
  </si>
  <si>
    <t>jp.izquierdo@uniandes.edu.co</t>
  </si>
  <si>
    <t>Izquierdo Camacho</t>
  </si>
  <si>
    <t>Juan Pablo Izquierdo Camacho</t>
  </si>
  <si>
    <t>Jaramillo Erazo</t>
  </si>
  <si>
    <t>Natalia Jaramillo Erazo</t>
  </si>
  <si>
    <t>jd.neira@uniandes.edu.co</t>
  </si>
  <si>
    <t>Neira Ahumada</t>
  </si>
  <si>
    <t>Neira Ahumada Juan David</t>
  </si>
  <si>
    <t>d.kalozdi@uniandes.edu.co</t>
  </si>
  <si>
    <t>Kalozdi Castro</t>
  </si>
  <si>
    <t>Daniel Kalozdi Castro</t>
  </si>
  <si>
    <t>Johannes Gutenberg-Universität Mainz</t>
  </si>
  <si>
    <t>v.ladino@uniandes.edu.co</t>
  </si>
  <si>
    <t>Ladino Piñeros</t>
  </si>
  <si>
    <t>Valentina Ladino Piñeros</t>
  </si>
  <si>
    <t>c.leon10@uniandes.edu.co</t>
  </si>
  <si>
    <t>Camila</t>
  </si>
  <si>
    <t>Leon Gil</t>
  </si>
  <si>
    <t>Camila Leon Gil</t>
  </si>
  <si>
    <t>sd.lobo251@uniandes.edu.co</t>
  </si>
  <si>
    <t>Sergio David</t>
  </si>
  <si>
    <t>Lobo Bolaño</t>
  </si>
  <si>
    <t>Sergio David Lobo Bolaño</t>
  </si>
  <si>
    <t>n.lombana@uniandes.edu.co</t>
  </si>
  <si>
    <t>Lombana Rodriguez</t>
  </si>
  <si>
    <t>Nicolas Lombana Rodriguez</t>
  </si>
  <si>
    <t>v.losada@uniandes.edu.co</t>
  </si>
  <si>
    <t>Losada Valderrama</t>
  </si>
  <si>
    <t>Valentina Losada Valderrama</t>
  </si>
  <si>
    <t>l.madero@uniandes.edu.co</t>
  </si>
  <si>
    <t>Laura Valentina</t>
  </si>
  <si>
    <t>Madero Olaya</t>
  </si>
  <si>
    <t>Laura Valentina Madero Olaya</t>
  </si>
  <si>
    <t>Université Jean Moulin Lyon 3</t>
  </si>
  <si>
    <t>l.madrinan@uniandes.edu.co</t>
  </si>
  <si>
    <t>Madriñan Serna</t>
  </si>
  <si>
    <t>Laura Madriñan Serna</t>
  </si>
  <si>
    <t>j.morales@uniandes.edu.co</t>
  </si>
  <si>
    <t>Morales Cardenas</t>
  </si>
  <si>
    <t>Juliana Morales Cardenas</t>
  </si>
  <si>
    <t>ac.munoz@uniandes.edu.co</t>
  </si>
  <si>
    <t>Andrea Catalina</t>
  </si>
  <si>
    <t>Muñoz Gomez</t>
  </si>
  <si>
    <t>Andrea Catalina Muñoz Gomez</t>
  </si>
  <si>
    <t>and-murc@uniandes.edu.co</t>
  </si>
  <si>
    <t>Andres Fernando</t>
  </si>
  <si>
    <t>Murcia Matallana</t>
  </si>
  <si>
    <t>Andres Fernando Murcia Matallana</t>
  </si>
  <si>
    <t>s.navasv@uniandes.edu.co</t>
  </si>
  <si>
    <t>Navas Vargas</t>
  </si>
  <si>
    <t>Santiago Navas Vargas</t>
  </si>
  <si>
    <t>ab.obregon10@uniandes.edu.co</t>
  </si>
  <si>
    <t>Andres Bernardo</t>
  </si>
  <si>
    <t>Obregon Ramirez</t>
  </si>
  <si>
    <t>Andres Bernardo Obregon Ramirez</t>
  </si>
  <si>
    <t>n.ome@uniandes.edu.co</t>
  </si>
  <si>
    <t>Ome Alvarez</t>
  </si>
  <si>
    <t>Nicolas Ome Alvarez</t>
  </si>
  <si>
    <t>j.ovalle@uniandes.edu.co</t>
  </si>
  <si>
    <t>Ovalle Gonzalez</t>
  </si>
  <si>
    <t>Juan Jose Ovalle Gonzalez</t>
  </si>
  <si>
    <t>j.parral@uniandes.edu.co</t>
  </si>
  <si>
    <t>Parra Lozada</t>
  </si>
  <si>
    <t>Jose Daniel Parra Lozada</t>
  </si>
  <si>
    <t>je.parral@uniandes.edu.co</t>
  </si>
  <si>
    <t>Juan Esteban</t>
  </si>
  <si>
    <t>Juan Esteban Parra Lozada</t>
  </si>
  <si>
    <t>i.parram@uniandes.edu.co</t>
  </si>
  <si>
    <t>Isabela</t>
  </si>
  <si>
    <t>Parra Mesa</t>
  </si>
  <si>
    <t>Isabela Parra Mesa</t>
  </si>
  <si>
    <t>Queen's University</t>
  </si>
  <si>
    <t>j.pava@uniandes.edu.co</t>
  </si>
  <si>
    <t>Pava Martinez</t>
  </si>
  <si>
    <t>Juanita Pava Martinez</t>
  </si>
  <si>
    <t>mc.pinzonp@uniandes.edu.co</t>
  </si>
  <si>
    <t>Pinzon Perez</t>
  </si>
  <si>
    <t>Maria Camila Pinzon Perez</t>
  </si>
  <si>
    <t>Industrial Engineering Bsc</t>
  </si>
  <si>
    <t>js.pulidob@uniandes.edu.co</t>
  </si>
  <si>
    <t>Juan Sebastian</t>
  </si>
  <si>
    <t>Pulido Becerra</t>
  </si>
  <si>
    <t>Juan Sebastian Pulido Becerra</t>
  </si>
  <si>
    <t>ls.pulidoo@uniandes.edu.co</t>
  </si>
  <si>
    <t>Laura Salome</t>
  </si>
  <si>
    <t>Pulido Ortiz</t>
  </si>
  <si>
    <t>Laura Salome Pulido Ortiz</t>
  </si>
  <si>
    <t>aa.quinteroa@uniandes.edu.co</t>
  </si>
  <si>
    <t>Alvaro Alejandro</t>
  </si>
  <si>
    <t>Quintero Alzate</t>
  </si>
  <si>
    <t>Alvaro Alejandro Quintero Alzate</t>
  </si>
  <si>
    <t>c.quinterom@uniandes.edu.co</t>
  </si>
  <si>
    <t>Quintero Martelo</t>
  </si>
  <si>
    <t>Camilo Quintero Martelo</t>
  </si>
  <si>
    <t>a.quirama@uniandes.edu.co</t>
  </si>
  <si>
    <t>Andrea Carolina</t>
  </si>
  <si>
    <t>Quirama Triana</t>
  </si>
  <si>
    <t>Andrea Carolina Quirama Triana</t>
  </si>
  <si>
    <t>ji.ramirezb@uniandes.edu.co</t>
  </si>
  <si>
    <t>Juanita Isabella</t>
  </si>
  <si>
    <t>Ramirez Barrera</t>
  </si>
  <si>
    <t>Juanita Isabella Ramirez Barrera</t>
  </si>
  <si>
    <t>af.rangel@uniandes.edu.co</t>
  </si>
  <si>
    <t>Rangel Mora</t>
  </si>
  <si>
    <t>Andres Felipe Rangel Mora</t>
  </si>
  <si>
    <t>s.realpe@uniandes.edu.co</t>
  </si>
  <si>
    <t>Santiago David</t>
  </si>
  <si>
    <t>Realpe Morillo</t>
  </si>
  <si>
    <t>Santiago David Realpe Morillo</t>
  </si>
  <si>
    <t>sm.restrepop@uniandes.edu.co</t>
  </si>
  <si>
    <t>Sara Manuela</t>
  </si>
  <si>
    <t>Restrepo Pachon</t>
  </si>
  <si>
    <t>Sara Manuela Restrepo Pachon</t>
  </si>
  <si>
    <t>Music Bsc</t>
  </si>
  <si>
    <t>School of Arts and Humanities</t>
  </si>
  <si>
    <t>x.rico@uniandes.edu.co</t>
  </si>
  <si>
    <t>Ximena Esperanza</t>
  </si>
  <si>
    <t>Rico Molano</t>
  </si>
  <si>
    <t>Ximena Esperanza Rico Molano</t>
  </si>
  <si>
    <t>d.robledo1@uniandes.edu.co</t>
  </si>
  <si>
    <t>Robledo Neira</t>
  </si>
  <si>
    <t>Daniela Robledo Neira</t>
  </si>
  <si>
    <t>j.roblesa@uniandes.edu.co</t>
  </si>
  <si>
    <t>Robles Arciniegas</t>
  </si>
  <si>
    <t>Juan Sebastian Robles Arciniegas</t>
  </si>
  <si>
    <t>af.rodrigueza1@uniandes.edu.co</t>
  </si>
  <si>
    <t>Rodriguez Alarcon</t>
  </si>
  <si>
    <t>Andres Felipe Rodriguez Alarcon</t>
  </si>
  <si>
    <t>sm.rodriguezc@uniandes.edu.co</t>
  </si>
  <si>
    <t>Sara Maria</t>
  </si>
  <si>
    <t>Rodriguez Ceron</t>
  </si>
  <si>
    <t>Sara Maria Rodriguez Ceron</t>
  </si>
  <si>
    <t>am.rodriguez30@uniandes.edu.co</t>
  </si>
  <si>
    <t>Ana Maria</t>
  </si>
  <si>
    <t>Rodriguez Sandoval</t>
  </si>
  <si>
    <t>Ana Maria Rodriguez Sandoval</t>
  </si>
  <si>
    <t>p.rubio@uniandes.edu.co</t>
  </si>
  <si>
    <t>Paula Daniela</t>
  </si>
  <si>
    <t>Rubio Daza</t>
  </si>
  <si>
    <t>Paula Daniela Rubio Daza</t>
  </si>
  <si>
    <t>s.saenza@uniandes.edu.co</t>
  </si>
  <si>
    <t>Saenz Ariza</t>
  </si>
  <si>
    <t>Santiago Saenz Ariza</t>
  </si>
  <si>
    <t>s.salazar6@uniandes.edu.co</t>
  </si>
  <si>
    <t>Salazar Meza</t>
  </si>
  <si>
    <t>Simon Salazar Meza</t>
  </si>
  <si>
    <t>da.salazars@uniandes.edu.co</t>
  </si>
  <si>
    <t>Daniel Alberto</t>
  </si>
  <si>
    <t>Salazar Sfeir</t>
  </si>
  <si>
    <t>Daniel Alberto Salazar Sfeir</t>
  </si>
  <si>
    <t>lc.sanabria@uniandes.edu.co</t>
  </si>
  <si>
    <t>Laura Catalina</t>
  </si>
  <si>
    <t>Sanabria Jimenez</t>
  </si>
  <si>
    <t>Laura Catalina Sanabria Jimenez</t>
  </si>
  <si>
    <t>n.sanchezr@uniandes.edu.co</t>
  </si>
  <si>
    <t>Sanchez Rodriguez</t>
  </si>
  <si>
    <t>Nicolas Sanchez Rodriguez</t>
  </si>
  <si>
    <t>Civil Engineering Bsc</t>
  </si>
  <si>
    <t>a.sandoval@uniandes.edu.co</t>
  </si>
  <si>
    <t>Antonia</t>
  </si>
  <si>
    <t>Sandoval Devis</t>
  </si>
  <si>
    <t>Antonia Sandoval Devis</t>
  </si>
  <si>
    <t>sa.cubillos@uniandes.edu.co</t>
  </si>
  <si>
    <t>Cubillos Delgado</t>
  </si>
  <si>
    <t>Santiago Alberto</t>
  </si>
  <si>
    <t>Cubillos Delgado Santiago Alberto</t>
  </si>
  <si>
    <t>d.sierrav@uniandes.edu.co</t>
  </si>
  <si>
    <t>Diego Andres</t>
  </si>
  <si>
    <t>Sierra Vargas</t>
  </si>
  <si>
    <t>Diego Andres Sierra Vargas</t>
  </si>
  <si>
    <t>mm.sotop@uniandes.edu.co</t>
  </si>
  <si>
    <t>Manuela Maria</t>
  </si>
  <si>
    <t>Soto Peñalosa</t>
  </si>
  <si>
    <t>Manuela Maria Soto Peñalosa</t>
  </si>
  <si>
    <t>mp.suarez20@uniandes.edu.co</t>
  </si>
  <si>
    <t>Suarez Bonilla</t>
  </si>
  <si>
    <t>Maria Paula Suarez Bonilla</t>
  </si>
  <si>
    <t>f.tellez@uniandes.edu.co</t>
  </si>
  <si>
    <t>Tellez Zuluaga</t>
  </si>
  <si>
    <t>Felipe Tellez Zuluaga</t>
  </si>
  <si>
    <t>n.toro@uniandes.edu.co</t>
  </si>
  <si>
    <t>Toro Sarmiento</t>
  </si>
  <si>
    <t>Nicolas Toro Sarmiento</t>
  </si>
  <si>
    <t>l.torresv@uniandes.edu.co</t>
  </si>
  <si>
    <t>Lucas</t>
  </si>
  <si>
    <t>Torres Villegas</t>
  </si>
  <si>
    <t>Lucas Torres Villegas</t>
  </si>
  <si>
    <t>g.trujillo@uniandes.edu.co</t>
  </si>
  <si>
    <t>Gabriel</t>
  </si>
  <si>
    <t>Trujillo Palacios</t>
  </si>
  <si>
    <t>Gabriel Trujillo Palacios</t>
  </si>
  <si>
    <t>t.trujillo@uniandes.edu.co</t>
  </si>
  <si>
    <t>Thomas</t>
  </si>
  <si>
    <t>Trujillo Velez</t>
  </si>
  <si>
    <t>Thomas Trujillo Velez</t>
  </si>
  <si>
    <t>s.umana@uniandes.edu.co</t>
  </si>
  <si>
    <t>Umaña Jimenez</t>
  </si>
  <si>
    <t>Sebastian Umaña Jimenez</t>
  </si>
  <si>
    <t>j.umanam@uniandes.edu.co</t>
  </si>
  <si>
    <t>Juan Antonio</t>
  </si>
  <si>
    <t>Umaña Malo</t>
  </si>
  <si>
    <t>Juan Antonio Umaña Malo</t>
  </si>
  <si>
    <t>Digital Narrative Bsc</t>
  </si>
  <si>
    <t>d.valenzuela@uniandes.edu.co</t>
  </si>
  <si>
    <t>Valenzuela Ariza</t>
  </si>
  <si>
    <t>Daniel Valenzuela Ariza</t>
  </si>
  <si>
    <t>ca.varela102@uniandes.edu.co</t>
  </si>
  <si>
    <t>Varela Garcia</t>
  </si>
  <si>
    <t>Camilo Andres Varela Garcia</t>
  </si>
  <si>
    <t>v.vargasr@uniandes.edu.co</t>
  </si>
  <si>
    <t>Vargas Rincon</t>
  </si>
  <si>
    <t>Valentina Vargas Rincon</t>
  </si>
  <si>
    <t>ds.vargasv@uniandes.edu.co</t>
  </si>
  <si>
    <t>Vargas Venegas</t>
  </si>
  <si>
    <t>Daniel Vargas Venegas</t>
  </si>
  <si>
    <t>dc.vasquezb@uniandes.edu.co</t>
  </si>
  <si>
    <t>Dana Catalina</t>
  </si>
  <si>
    <t>Vasquez Ballesteros</t>
  </si>
  <si>
    <t>Dana Catalina Vasquez Ballesteros</t>
  </si>
  <si>
    <t>av.vega@uniandes.edu.co</t>
  </si>
  <si>
    <t>Andrea Vanessa</t>
  </si>
  <si>
    <t>Vega Hernandez</t>
  </si>
  <si>
    <t>Andrea Vanessa Vega Hernandez</t>
  </si>
  <si>
    <t>a.velasquez@uniandes.edu.co</t>
  </si>
  <si>
    <t>Velasquez Acosta</t>
  </si>
  <si>
    <t>Andres Velasquez Acosta</t>
  </si>
  <si>
    <t>s.velasquezm@uniandes.edu.co</t>
  </si>
  <si>
    <t>Velasquez Mejia</t>
  </si>
  <si>
    <t>Sofia Velasquez Mejia</t>
  </si>
  <si>
    <t>j.villate@uniandes.edu.co</t>
  </si>
  <si>
    <t>Juana</t>
  </si>
  <si>
    <t>Villate Ricardo</t>
  </si>
  <si>
    <t>Juana Villate Ricardo</t>
  </si>
  <si>
    <t>c.martinez27@uniandes.edu.co</t>
  </si>
  <si>
    <t>Carlos Alberto</t>
  </si>
  <si>
    <t>Martinez Herrera</t>
  </si>
  <si>
    <t>Carlos Alberto Martinez Herrera</t>
  </si>
  <si>
    <t>s.figueroaj@uniandes.edu.co</t>
  </si>
  <si>
    <t>Figueroa Jaramillo</t>
  </si>
  <si>
    <t>Sofia Figueroa Jaramillo</t>
  </si>
  <si>
    <t>OSUN</t>
  </si>
  <si>
    <t>ks.reyes@uniandes.edu.co</t>
  </si>
  <si>
    <t>Kevin Steven</t>
  </si>
  <si>
    <t>Reyes Hernandez</t>
  </si>
  <si>
    <t>Kevin Steven Reyes Hernandez</t>
  </si>
  <si>
    <t>m.mejiag@uniandes.edu.co</t>
  </si>
  <si>
    <t>Miguel Angel</t>
  </si>
  <si>
    <t>Mejia Gomez</t>
  </si>
  <si>
    <t>Miguel Angel Mejia Gomez</t>
  </si>
  <si>
    <t>n.blancoa@uniandes.edu.co</t>
  </si>
  <si>
    <t>Natalia Maria</t>
  </si>
  <si>
    <t>Blanco Angulo</t>
  </si>
  <si>
    <t>Natalia Maria Blanco Angulo</t>
  </si>
  <si>
    <t>ca.martinezm1@uniandes.edu.co</t>
  </si>
  <si>
    <t>Cesar Andres</t>
  </si>
  <si>
    <t>Martinez Medina</t>
  </si>
  <si>
    <t>Cesar Andres Martinez Medina</t>
  </si>
  <si>
    <t>BI Handelshøyskolen</t>
  </si>
  <si>
    <t>c.puentesg@uniandes.edu.co</t>
  </si>
  <si>
    <t>Puentes Giraldo</t>
  </si>
  <si>
    <t>Catalina Puentes Giraldo</t>
  </si>
  <si>
    <t>m.jaramillom@uniandes.edu.co</t>
  </si>
  <si>
    <t>Miguel</t>
  </si>
  <si>
    <t>Jaramillo Molano</t>
  </si>
  <si>
    <t>Miguel Jaramillo Molano</t>
  </si>
  <si>
    <t>j.alzateo@uniandes.edu.co</t>
  </si>
  <si>
    <t>Alzate Ordoñez</t>
  </si>
  <si>
    <t>Juliana Alzate Ordoñez</t>
  </si>
  <si>
    <t>pa.tapia@uniandes.edu.co</t>
  </si>
  <si>
    <t>Paula Alejandra</t>
  </si>
  <si>
    <t>Tapia Esteban</t>
  </si>
  <si>
    <t>Paula Alejandra Tapia Esteban</t>
  </si>
  <si>
    <t>Lf.daniels@uniandes.edu.co</t>
  </si>
  <si>
    <t>Lina Fernanda</t>
  </si>
  <si>
    <t>Daniels Hernandez</t>
  </si>
  <si>
    <t>Lina Fernanda Daniels Hernandez</t>
  </si>
  <si>
    <t>j.paez2@uniandes.edu.co</t>
  </si>
  <si>
    <t>Paez Velez</t>
  </si>
  <si>
    <t>Juliana Paez Velez</t>
  </si>
  <si>
    <t>n.nino3@uniandes.edu.co</t>
  </si>
  <si>
    <t>Niño Gomez</t>
  </si>
  <si>
    <t>Nicolas Niño Gomez</t>
  </si>
  <si>
    <t>v.soler@uniandes.edu.co</t>
  </si>
  <si>
    <t>Soler Salomon</t>
  </si>
  <si>
    <t>Valentina Soler Salomon</t>
  </si>
  <si>
    <t>j.joleanis@uniandes.edu.co</t>
  </si>
  <si>
    <t>Joleanis Caycedo</t>
  </si>
  <si>
    <t>Juan Esteban Joleanis Caycedo</t>
  </si>
  <si>
    <t>m.penaa@uniandes.edu.co</t>
  </si>
  <si>
    <t>Peña Agudelo</t>
  </si>
  <si>
    <t>Maria Jose Peña Agudelo</t>
  </si>
  <si>
    <t>oc.mayorga@uniandes.edu.co</t>
  </si>
  <si>
    <t>Oscar Camilo</t>
  </si>
  <si>
    <t>Mayorga Segura</t>
  </si>
  <si>
    <t>Oscar Camilo Mayorga Segura</t>
  </si>
  <si>
    <t>j.arce@uniandes.edu.co</t>
  </si>
  <si>
    <t>Jenifer Alejandra</t>
  </si>
  <si>
    <t>Arce Caceres</t>
  </si>
  <si>
    <t>Jenifer Alejandra Arce Caceres</t>
  </si>
  <si>
    <t>s.bernal3@uniandes.edu.co</t>
  </si>
  <si>
    <t>Sabrina</t>
  </si>
  <si>
    <t>Bernal Gomez</t>
  </si>
  <si>
    <t>Sabrina Bernal Gomez</t>
  </si>
  <si>
    <t>jp.diazg1@uniandes.edu.co</t>
  </si>
  <si>
    <t>Diaz Gamboa</t>
  </si>
  <si>
    <t>Juan Pablo Diaz Gamboa</t>
  </si>
  <si>
    <t>bn.rivera11@uniandes.edu.co</t>
  </si>
  <si>
    <t>Brayan Nicolas</t>
  </si>
  <si>
    <t>Rivera Chiappe</t>
  </si>
  <si>
    <t>Brayan Nicolas Rivera Chiappe</t>
  </si>
  <si>
    <t>jp.gutierrezp1@uniandes.edu.co</t>
  </si>
  <si>
    <t>Gutierrez Pineda</t>
  </si>
  <si>
    <t>Juan Pablo Gutierrez Pineda</t>
  </si>
  <si>
    <t>d.romerom@uniandes.edu.co</t>
  </si>
  <si>
    <t>Romero Muriel</t>
  </si>
  <si>
    <t>Daniela Romero Muriel</t>
  </si>
  <si>
    <t>i.camejo@uniandes.edu.co</t>
  </si>
  <si>
    <t>Camejo Jaimes</t>
  </si>
  <si>
    <t>Isabella Camejo Jaimes</t>
  </si>
  <si>
    <t>af.blanco@uniandes.edu.co</t>
  </si>
  <si>
    <t>Blanco Ibarra</t>
  </si>
  <si>
    <t>Andres Felipe Blanco Ibarra</t>
  </si>
  <si>
    <t>j.robayoh@uniandes.edu.co</t>
  </si>
  <si>
    <t>Robayo Herrera</t>
  </si>
  <si>
    <t>Juanita Robayo Herrera</t>
  </si>
  <si>
    <t>jf.agudelo@uniandes.edu.co</t>
  </si>
  <si>
    <t>Agudelo Silva</t>
  </si>
  <si>
    <t>Juan Felipe Agudelo Silva</t>
  </si>
  <si>
    <t>m.aristizabalr@uniandes.edu.co</t>
  </si>
  <si>
    <t>Aristizabal Rojas</t>
  </si>
  <si>
    <t>Maria Alejandra Aristizabal Rojas</t>
  </si>
  <si>
    <t>n.clavijo@uniandes.edu.co</t>
  </si>
  <si>
    <t>Clavijo Valencia</t>
  </si>
  <si>
    <t>Nicolas Clavijo Valencia</t>
  </si>
  <si>
    <t>mj.contreras@uniandes.edu.co</t>
  </si>
  <si>
    <t>Marcos Jose</t>
  </si>
  <si>
    <t>Contreras Serrano</t>
  </si>
  <si>
    <t>Marcos Jose Contreras Serrano</t>
  </si>
  <si>
    <t>Architecture Bsc</t>
  </si>
  <si>
    <t>e.duquee@uniandes.edu.co</t>
  </si>
  <si>
    <t>Emilio</t>
  </si>
  <si>
    <t>Duque Escobar</t>
  </si>
  <si>
    <t>Emilio Duque Escobar</t>
  </si>
  <si>
    <t>Mj.hernandezp@uniandes.Edu.co</t>
  </si>
  <si>
    <t>Hernandez Perez</t>
  </si>
  <si>
    <t>Maria Jose Hernandez Perez</t>
  </si>
  <si>
    <t>dc.ortizr@uniandes.edu.co</t>
  </si>
  <si>
    <t>Diana Camila</t>
  </si>
  <si>
    <t>Ortiz Rocha</t>
  </si>
  <si>
    <t>Diana Camila Ortiz Rocha</t>
  </si>
  <si>
    <t>m.pardog@uniandes.edu.co</t>
  </si>
  <si>
    <t>Pardo Gaviria</t>
  </si>
  <si>
    <t>Mariana Pardo Gaviria</t>
  </si>
  <si>
    <t>s.maestre@uniandes.edu.co</t>
  </si>
  <si>
    <t>Maestre Toro</t>
  </si>
  <si>
    <t>Simon Maestre Toro</t>
  </si>
  <si>
    <t>js.lopezc1@uniandes.edu.co</t>
  </si>
  <si>
    <t>Lopez Cubillos</t>
  </si>
  <si>
    <t>Juan Sebastian Lopez Cubillos</t>
  </si>
  <si>
    <t>j.novoaw@uniandes.edu.co</t>
  </si>
  <si>
    <t>Novoa Wilches</t>
  </si>
  <si>
    <t>Juan Felipe Novoa Wilches</t>
  </si>
  <si>
    <t>j.rodriguezl@uniandes.edu.co</t>
  </si>
  <si>
    <t>Rodriguez Leon</t>
  </si>
  <si>
    <t>Juliana Rodriguez Leon</t>
  </si>
  <si>
    <t>ja.velasquez@uniandes.edu.co</t>
  </si>
  <si>
    <t>Velasquez Fierro</t>
  </si>
  <si>
    <t>Juan Andres Velasquez Fierro</t>
  </si>
  <si>
    <t>p.villegasq@uniandes.edu.co</t>
  </si>
  <si>
    <t>Villegas Quintana</t>
  </si>
  <si>
    <t>Pablo Villegas Quintana</t>
  </si>
  <si>
    <t>v.leon@uniandes.edu.co</t>
  </si>
  <si>
    <t>Leon Niño</t>
  </si>
  <si>
    <t>Valeria Leon Niño</t>
  </si>
  <si>
    <t>cc.mojica@uniandes.edu.co</t>
  </si>
  <si>
    <t>Cristhian Camilo</t>
  </si>
  <si>
    <t>Mojica Sandoval</t>
  </si>
  <si>
    <t>Cristhian Camilo Mojica Sandoval</t>
  </si>
  <si>
    <t>pa.quintana@uniandes.edu.co</t>
  </si>
  <si>
    <t>Quintana Amores</t>
  </si>
  <si>
    <t>Paula Alejandra Quintana Amores</t>
  </si>
  <si>
    <t>sa.pinerosg@uniandes.edu.co</t>
  </si>
  <si>
    <t>Santiago Alejandro</t>
  </si>
  <si>
    <t>Piñeros Guzman</t>
  </si>
  <si>
    <t>Santiago Alejandro Piñeros Guzman</t>
  </si>
  <si>
    <t>a.spadei@uniandes.edu.co</t>
  </si>
  <si>
    <t>Angelina</t>
  </si>
  <si>
    <t>Spadei Escalante</t>
  </si>
  <si>
    <t>Angelina Spadei Escalante</t>
  </si>
  <si>
    <t>v.cifuenteso@uniandes.edu.co</t>
  </si>
  <si>
    <t>Verónica</t>
  </si>
  <si>
    <t>Cifuentes Ortega</t>
  </si>
  <si>
    <t>Verónica Cifuentes Ortega</t>
  </si>
  <si>
    <t>s.torresc1@uniandes.edu.co</t>
  </si>
  <si>
    <t>Torres Carvajal</t>
  </si>
  <si>
    <t>Sebastian Torres Carvajal</t>
  </si>
  <si>
    <t>m.vacca@uniandes.edu.co</t>
  </si>
  <si>
    <t>Vacca Parada</t>
  </si>
  <si>
    <t>Maria Alejandra Vacca Parada</t>
  </si>
  <si>
    <t>s.fernandez4@uniandes.edu.co</t>
  </si>
  <si>
    <t>Sophie</t>
  </si>
  <si>
    <t>Fernandez Leal</t>
  </si>
  <si>
    <t>Sophie Fernandez Leal</t>
  </si>
  <si>
    <t>jd.osso@uniandes.edu.co</t>
  </si>
  <si>
    <t>Juan Diego</t>
  </si>
  <si>
    <t>Osso Rodriguez</t>
  </si>
  <si>
    <t>Juan Diego Osso Rodriguez</t>
  </si>
  <si>
    <t>a.pardoa@uniandes.edu.co</t>
  </si>
  <si>
    <t>Pardo Agudelo</t>
  </si>
  <si>
    <t>Andrea Catalina Pardo Agudelo</t>
  </si>
  <si>
    <t>lg.giraldo@uniandes.edu.co</t>
  </si>
  <si>
    <t>Luna Gabriela</t>
  </si>
  <si>
    <t>Giraldo Sabogal</t>
  </si>
  <si>
    <t>Luna Gabriela Giraldo Sabogal</t>
  </si>
  <si>
    <t>Arts Bsc</t>
  </si>
  <si>
    <t>t.camacho@uniandes.edu.co</t>
  </si>
  <si>
    <t>Camacho Bustamante</t>
  </si>
  <si>
    <t>Tomas Camacho Bustamante</t>
  </si>
  <si>
    <t>v.silvac@uniandes.edu.co</t>
  </si>
  <si>
    <t>Silva Coa</t>
  </si>
  <si>
    <t>Valentina Silva Coa</t>
  </si>
  <si>
    <t>m.nicholls@uniandes.edu.co</t>
  </si>
  <si>
    <t>Marianne</t>
  </si>
  <si>
    <t>Nicholls Franco</t>
  </si>
  <si>
    <t>Marianne Nicholls Franco</t>
  </si>
  <si>
    <t>Universidad del Pacífico, Lima</t>
  </si>
  <si>
    <t>j.arangod@uniandes.edu.co</t>
  </si>
  <si>
    <t>Arango Diaz</t>
  </si>
  <si>
    <t>Juliana Arango Diaz</t>
  </si>
  <si>
    <t>s.lopez1@uniandes.edu.co</t>
  </si>
  <si>
    <t>Lopez Orrego</t>
  </si>
  <si>
    <t>Simon Lopez Orrego</t>
  </si>
  <si>
    <t>s.tamayob@uniandes.edu.co</t>
  </si>
  <si>
    <t>Sara Alejandra</t>
  </si>
  <si>
    <t>Tamayo Barrios</t>
  </si>
  <si>
    <t>Sara Alejandra Tamayo Barrios</t>
  </si>
  <si>
    <t>j.ortizc@uniandes.edu.co</t>
  </si>
  <si>
    <t>Juanita Catalina</t>
  </si>
  <si>
    <t>Ortiz Caballero</t>
  </si>
  <si>
    <t>Juanita Catalina Ortiz Caballero</t>
  </si>
  <si>
    <t>m.vargas21@uniandes.edu.co</t>
  </si>
  <si>
    <t>Vargas Carrizosa</t>
  </si>
  <si>
    <t>Mariana Vargas Carrizosa</t>
  </si>
  <si>
    <t>a.villadiego@uniandes.edu.co</t>
  </si>
  <si>
    <t>Villadiego Barreto</t>
  </si>
  <si>
    <t>Alejandro Villadiego Barreto</t>
  </si>
  <si>
    <t>s.zuluagam@uniandes.edu.co</t>
  </si>
  <si>
    <t>Sofía</t>
  </si>
  <si>
    <t>Zuluaga Montoya</t>
  </si>
  <si>
    <t>Sofía Zuluaga Montoya</t>
  </si>
  <si>
    <t>m.gonzalez44@uniandes.edu.co</t>
  </si>
  <si>
    <t>Mateo</t>
  </si>
  <si>
    <t>González Granados</t>
  </si>
  <si>
    <t>Mateo González Granados</t>
  </si>
  <si>
    <t>l.millanp@uniandes.edu.co</t>
  </si>
  <si>
    <t>Laura Camila</t>
  </si>
  <si>
    <t>Millán Patiño</t>
  </si>
  <si>
    <t>Laura Camila Millán Patiño</t>
  </si>
  <si>
    <t>da.avilaa@uniandes.edu.co</t>
  </si>
  <si>
    <t>Avila Avila</t>
  </si>
  <si>
    <t>Diego Alejandro Avila Avila</t>
  </si>
  <si>
    <t>t.morenog@uniandes.edu.co</t>
  </si>
  <si>
    <t>Tomás</t>
  </si>
  <si>
    <t>Moreno Garces</t>
  </si>
  <si>
    <t>Tomás Moreno Garces</t>
  </si>
  <si>
    <t>a.portillao@uniandes.edu.co</t>
  </si>
  <si>
    <t>Andres Mauricio</t>
  </si>
  <si>
    <t>Portilla Ossa</t>
  </si>
  <si>
    <t>Andres Mauricio Portilla Ossa</t>
  </si>
  <si>
    <t>I.rodriguez5@uniandes.edu.co</t>
  </si>
  <si>
    <t>Rodriguez Padilla</t>
  </si>
  <si>
    <t>Isabela Rodriguez Padilla</t>
  </si>
  <si>
    <t>j.diaz39@uniandes.edu.co</t>
  </si>
  <si>
    <t>Diaz Riaño</t>
  </si>
  <si>
    <t>Juan Sebastian Diaz Riaño</t>
  </si>
  <si>
    <t>mc.angel@uniandes.edu.co</t>
  </si>
  <si>
    <t>Angel Jimenez</t>
  </si>
  <si>
    <t>Maria Camila Angel Jimenez</t>
  </si>
  <si>
    <t>p.estrada@uniandes.edu.co</t>
  </si>
  <si>
    <t>Estrada Chaves</t>
  </si>
  <si>
    <t>Pablo Estrada Chaves</t>
  </si>
  <si>
    <t>m.perdomoh@uniandes.edu.co</t>
  </si>
  <si>
    <t>Perdomo Henao</t>
  </si>
  <si>
    <t>Mariana Perdomo Henao</t>
  </si>
  <si>
    <t>c.arrazola@uniandes.edu.co</t>
  </si>
  <si>
    <t>Cristina</t>
  </si>
  <si>
    <t>Arrazola Davidson</t>
  </si>
  <si>
    <t>Cristina Arrazola Davidson</t>
  </si>
  <si>
    <t>Université de Strasbourg</t>
  </si>
  <si>
    <t>m.molinar@uniandes.edu.co</t>
  </si>
  <si>
    <t>Molina Restrepo</t>
  </si>
  <si>
    <t>Maria Camila Molina Restrepo</t>
  </si>
  <si>
    <t>ga.amado@uniandes.edu.co</t>
  </si>
  <si>
    <t>Gabriel Alonso</t>
  </si>
  <si>
    <t>Amado Carvajalino</t>
  </si>
  <si>
    <t>Gabriel Alonso Amado Carvajalino</t>
  </si>
  <si>
    <t>Université Grenoble Alpes</t>
  </si>
  <si>
    <t>me.palacio@uniandes.edu.co</t>
  </si>
  <si>
    <t>Mateo Esteban</t>
  </si>
  <si>
    <t>Palacio Martinez</t>
  </si>
  <si>
    <t>Mateo Esteban Palacio Martinez</t>
  </si>
  <si>
    <t>d.gomez29@uniandes.edu.co</t>
  </si>
  <si>
    <t>Gomez Vega</t>
  </si>
  <si>
    <t>Daniel Gomez Vega</t>
  </si>
  <si>
    <t>s.martinez39@uniandes.edu.co</t>
  </si>
  <si>
    <t>Martinez Hernandez</t>
  </si>
  <si>
    <t>Santiago Martinez Hernandez</t>
  </si>
  <si>
    <t>s.molinao@uniandes.edu.co</t>
  </si>
  <si>
    <t>Molina Ortiz</t>
  </si>
  <si>
    <t>Sebastian Molina Ortiz</t>
  </si>
  <si>
    <t>g.becerrag@uniandes.edu.co</t>
  </si>
  <si>
    <t>Gabriel Alejandro</t>
  </si>
  <si>
    <t>Becerra Giraldo</t>
  </si>
  <si>
    <t>Gabriel Alejandro Becerra Giraldo</t>
  </si>
  <si>
    <t>s.martinezt@uniandes.edu.co</t>
  </si>
  <si>
    <t>Martinez Talero</t>
  </si>
  <si>
    <t>Simon Andres Martinez Talero</t>
  </si>
  <si>
    <t>j.jimenez20@uniandes.edu.co</t>
  </si>
  <si>
    <t xml:space="preserve">Joaquín </t>
  </si>
  <si>
    <t>Jiménez Rubio</t>
  </si>
  <si>
    <t>Joaquín  Jiménez Rubio</t>
  </si>
  <si>
    <t>p.lopezz@uniandes.edu.co</t>
  </si>
  <si>
    <t>Paula Sophia</t>
  </si>
  <si>
    <t>Lopez Zaldua</t>
  </si>
  <si>
    <t>Paula Sophia Lopez Zaldua</t>
  </si>
  <si>
    <t>lj.pereza1@uniandes.edu.co</t>
  </si>
  <si>
    <t>Leydy Johana</t>
  </si>
  <si>
    <t>Perez Alzate</t>
  </si>
  <si>
    <t>Leydy Johana Perez Alzate</t>
  </si>
  <si>
    <t xml:space="preserve">Master in Supply Chain Management	</t>
  </si>
  <si>
    <t>s.vallejog@uniandes.edu.co</t>
  </si>
  <si>
    <t xml:space="preserve">Samuel </t>
  </si>
  <si>
    <t>Vallejo Gomez</t>
  </si>
  <si>
    <t>Samuel  Vallejo Gomez</t>
  </si>
  <si>
    <t>da.cotrino@uniandes.edu.co</t>
  </si>
  <si>
    <t>Daniela Antonia</t>
  </si>
  <si>
    <t>Cotrino Venegas</t>
  </si>
  <si>
    <t>Daniela Antonia Cotrino Venegas</t>
  </si>
  <si>
    <t>s.escobar20@uniandes.edu.co</t>
  </si>
  <si>
    <t xml:space="preserve">Stephania </t>
  </si>
  <si>
    <t>Escobar Mejia</t>
  </si>
  <si>
    <t>Stephania  Escobar Mejia</t>
  </si>
  <si>
    <t>s.garcia2@uniandes.edu.co</t>
  </si>
  <si>
    <t>Garcia Velasquez</t>
  </si>
  <si>
    <t>Santiago Garcia Velasquez</t>
  </si>
  <si>
    <t>v.munoz5@uniandes.edu.co</t>
  </si>
  <si>
    <t xml:space="preserve">Valentina </t>
  </si>
  <si>
    <t>Muñoz Moreno</t>
  </si>
  <si>
    <t>Valentina  Muñoz Moreno</t>
  </si>
  <si>
    <t>s.fonsecar@uniandes.edu.co</t>
  </si>
  <si>
    <t xml:space="preserve">Sofia </t>
  </si>
  <si>
    <t>Fonseca Rozo</t>
  </si>
  <si>
    <t>Sofia  Fonseca Rozo</t>
  </si>
  <si>
    <t>m.duperly@uniandes.edu.co</t>
  </si>
  <si>
    <t xml:space="preserve">Maria </t>
  </si>
  <si>
    <t>Duperly Bonilla</t>
  </si>
  <si>
    <t>Maria  Duperly Bonilla</t>
  </si>
  <si>
    <t>s.ortiz6@uniandes.edu.co</t>
  </si>
  <si>
    <t>Ortiz Prada</t>
  </si>
  <si>
    <t>Samuel  Ortiz Prada</t>
  </si>
  <si>
    <t>de.rojasr1@uniandes.edu.co</t>
  </si>
  <si>
    <t>Daniel Eduardo</t>
  </si>
  <si>
    <t>Rojas Rocha</t>
  </si>
  <si>
    <t>Daniel Eduardo Rojas Rocha</t>
  </si>
  <si>
    <t>lc.ortizb1@uniandes.edu.co</t>
  </si>
  <si>
    <t>Ortiz Betancourt</t>
  </si>
  <si>
    <t>Laura Camila Ortiz Betancourt</t>
  </si>
  <si>
    <t>j.aguirre@uniandes.edu.co</t>
  </si>
  <si>
    <t>Aguirre Colorado</t>
  </si>
  <si>
    <t>Juan Pablo Aguirre Colorado</t>
  </si>
  <si>
    <t>j.navia@uniandes.edu.co</t>
  </si>
  <si>
    <t>Navia Giraldo</t>
  </si>
  <si>
    <t>Juan Felipe Navia Giraldo</t>
  </si>
  <si>
    <t>HEC School of Management</t>
  </si>
  <si>
    <t>m.erdogan@uniandes.edu.co</t>
  </si>
  <si>
    <t>Melis Sofia</t>
  </si>
  <si>
    <t>Erdogan Rodriguez</t>
  </si>
  <si>
    <t>Melis Sofia Erdogan Rodriguez</t>
  </si>
  <si>
    <t>l.silvas@uniandes.edu.co</t>
  </si>
  <si>
    <t>Laura Alejandra</t>
  </si>
  <si>
    <t>Silva Sanchez</t>
  </si>
  <si>
    <t>Laura Alejandra Silva Sanchez</t>
  </si>
  <si>
    <t>v.gaitan@uniandes.edu.co</t>
  </si>
  <si>
    <t>Gaitan Amortegui</t>
  </si>
  <si>
    <t>Valentina  Gaitan Amortegui</t>
  </si>
  <si>
    <t>ja.cortesm1@uniandes.edu.co</t>
  </si>
  <si>
    <t>Cortes Muelle</t>
  </si>
  <si>
    <t>Juan Andres Cortes Muelle</t>
  </si>
  <si>
    <t>c.moores@uniandes.edu.co</t>
  </si>
  <si>
    <t xml:space="preserve">Christine </t>
  </si>
  <si>
    <t>Moore Santamaria</t>
  </si>
  <si>
    <t>Christine  Moore Santamaria</t>
  </si>
  <si>
    <t>m.ochoac@uniandes.edu.co</t>
  </si>
  <si>
    <t>Ochoa Castelblanco</t>
  </si>
  <si>
    <t>Miguel Angel Ochoa Castelblanco</t>
  </si>
  <si>
    <t>j.correal@uniandes.edu.co</t>
  </si>
  <si>
    <t>Correal Bohórquez</t>
  </si>
  <si>
    <t>Juan Camilo Correal Bohórquez</t>
  </si>
  <si>
    <t>j.arenasr@uniandes.edu.co</t>
  </si>
  <si>
    <t>Juan Emilio</t>
  </si>
  <si>
    <t>Arenas Rey</t>
  </si>
  <si>
    <t>Juan Emilio Arenas Rey</t>
  </si>
  <si>
    <t>p.cruzi@uniandes.edu.co</t>
  </si>
  <si>
    <t xml:space="preserve">Pablo </t>
  </si>
  <si>
    <t>Cruz Izquierdo</t>
  </si>
  <si>
    <t>Pablo  Cruz Izquierdo</t>
  </si>
  <si>
    <t>r.bermudezh@uniandes.edu.co</t>
  </si>
  <si>
    <t>Ricardo Jose</t>
  </si>
  <si>
    <t>Bermudez Henriquez</t>
  </si>
  <si>
    <t>Ricardo Jose Bermudez Henriquez</t>
  </si>
  <si>
    <t>Exchange Master Student</t>
  </si>
  <si>
    <t>s.alvaradom@uniandes.edu.co</t>
  </si>
  <si>
    <t>Alvarado Morales</t>
  </si>
  <si>
    <t>Sergio David Alvarado Morales</t>
  </si>
  <si>
    <t>d.arias2@uniandes.edu.co</t>
  </si>
  <si>
    <t xml:space="preserve">Daniela </t>
  </si>
  <si>
    <t>Arias Rayo</t>
  </si>
  <si>
    <t>Daniela  Arias Rayo</t>
  </si>
  <si>
    <t>m.bonivento@uniandes.edu.co</t>
  </si>
  <si>
    <t>Bonivento Cruz</t>
  </si>
  <si>
    <t>Maria Jose Bonivento Cruz</t>
  </si>
  <si>
    <t>m.libosa@uniandes.edu.co</t>
  </si>
  <si>
    <t>Libos Ardila</t>
  </si>
  <si>
    <t>Maria  Libos Ardila</t>
  </si>
  <si>
    <t>s.munozb@uniandes.edu.co</t>
  </si>
  <si>
    <t xml:space="preserve">Santiago </t>
  </si>
  <si>
    <t>Muñoz Beltran</t>
  </si>
  <si>
    <t>Santiago  Muñoz Beltran</t>
  </si>
  <si>
    <t>ja.garciag@uniandes.edu.co</t>
  </si>
  <si>
    <t>Jose Alfredo</t>
  </si>
  <si>
    <t>Garcia Golondrino</t>
  </si>
  <si>
    <t>Jose Alfredo Garcia Golondrino</t>
  </si>
  <si>
    <t>Nagoya University of Commerce and Business Administration</t>
  </si>
  <si>
    <t>a.mejia20@uniandes.edu.co</t>
  </si>
  <si>
    <t>Mejia Vasquez</t>
  </si>
  <si>
    <t>Andrea Mejia Vasquez</t>
  </si>
  <si>
    <t>National Chengchi University</t>
  </si>
  <si>
    <t>m.silvae@uniandes.edu.co</t>
  </si>
  <si>
    <t>Silva Escallon</t>
  </si>
  <si>
    <t>Manuela Silva Escallon</t>
  </si>
  <si>
    <t>a.santamaria@uniandes.edu.co</t>
  </si>
  <si>
    <t xml:space="preserve">Antonia </t>
  </si>
  <si>
    <t>Santamaría Rojas</t>
  </si>
  <si>
    <t>Antonia  Santamaría Rojas</t>
  </si>
  <si>
    <t>c.perdomo@uniandes.edu.co</t>
  </si>
  <si>
    <t>Catalina Maria</t>
  </si>
  <si>
    <t>Perdomo Garcia</t>
  </si>
  <si>
    <t>Catalina Maria Perdomo Garcia</t>
  </si>
  <si>
    <t>r.hernandezb@uniandes.edu.co</t>
  </si>
  <si>
    <t xml:space="preserve">Rachel </t>
  </si>
  <si>
    <t>Hernandez Barreto</t>
  </si>
  <si>
    <t>Rachel  Hernandez Barreto</t>
  </si>
  <si>
    <t>n.ramirezs@uniandes.edu.co</t>
  </si>
  <si>
    <t xml:space="preserve">Natalia </t>
  </si>
  <si>
    <t>Ramirez Suarez</t>
  </si>
  <si>
    <t>Natalia  Ramirez Suarez</t>
  </si>
  <si>
    <t>n.celise@uniandes.edu.co</t>
  </si>
  <si>
    <t>Nicolas David</t>
  </si>
  <si>
    <t>Celis Eslava</t>
  </si>
  <si>
    <t>Nicolas David Celis Eslava</t>
  </si>
  <si>
    <t>e.ramirezl@uniandes.edu.co</t>
  </si>
  <si>
    <t xml:space="preserve">Enrique </t>
  </si>
  <si>
    <t>Ramirez Londoño</t>
  </si>
  <si>
    <t>Enrique  Ramirez Londoño</t>
  </si>
  <si>
    <t>a.afanadorp@uniandes.edu.co</t>
  </si>
  <si>
    <t xml:space="preserve">Antonio </t>
  </si>
  <si>
    <t>Afanador Posada</t>
  </si>
  <si>
    <t>Antonio  Afanador Posada</t>
  </si>
  <si>
    <t>a.rodriguez64@uniandes.edu.co</t>
  </si>
  <si>
    <t xml:space="preserve">Alejandra </t>
  </si>
  <si>
    <t>Rodriguez Casallas</t>
  </si>
  <si>
    <t>Alejandra  Rodriguez Casallas</t>
  </si>
  <si>
    <t>g.montoyas@uniandes.edu.co</t>
  </si>
  <si>
    <t>Montoya Sanchez</t>
  </si>
  <si>
    <t>Gabriela Montoya Sanchez</t>
  </si>
  <si>
    <t>s.pardoa@uniandes.edu.co</t>
  </si>
  <si>
    <t>Pardo Abril</t>
  </si>
  <si>
    <t>Sofia Pardo Abril</t>
  </si>
  <si>
    <t>vj.parra@uniandes.edu.co</t>
  </si>
  <si>
    <t>Valery Johanna</t>
  </si>
  <si>
    <t>Parra Girata</t>
  </si>
  <si>
    <t>Valery Johanna Parra Girata</t>
  </si>
  <si>
    <t>mj.pachon1652@uniandes.edu.co</t>
  </si>
  <si>
    <t>Pachon Melo</t>
  </si>
  <si>
    <t>Maria Jose Pachon Melo</t>
  </si>
  <si>
    <t>jc.montenegro@uniandes.edu.co</t>
  </si>
  <si>
    <t>Montenegro Blanco</t>
  </si>
  <si>
    <t>Juan Camilo Montenegro Blanco</t>
  </si>
  <si>
    <t>j.torresr@uniandes.edu.co</t>
  </si>
  <si>
    <t xml:space="preserve">Juliette </t>
  </si>
  <si>
    <t>Juliette  Torres Rodriguez</t>
  </si>
  <si>
    <t>ca.ruizc@uniandes.edu.co</t>
  </si>
  <si>
    <t>CAMILO ANDRES</t>
  </si>
  <si>
    <t>RUIZ CASALLAS</t>
  </si>
  <si>
    <t>CAMILO ANDRES RUIZ CASALLAS</t>
  </si>
  <si>
    <t>t.ortizo@uniandes.edu.co</t>
  </si>
  <si>
    <t xml:space="preserve">Tomás </t>
  </si>
  <si>
    <t>Ortiz Ortiz</t>
  </si>
  <si>
    <t>Tomás  Ortiz Ortiz</t>
  </si>
  <si>
    <t>m.herrerar@uniandes.edu.co</t>
  </si>
  <si>
    <t>Herrera Rodriguez</t>
  </si>
  <si>
    <t>Maria Paula Herrera Rodriguez</t>
  </si>
  <si>
    <t>j.estupinan@uniandes.edu.co</t>
  </si>
  <si>
    <t>Estupiñan Ospina</t>
  </si>
  <si>
    <t>Juan Diego Estupiñan Ospina</t>
  </si>
  <si>
    <t>a.giraldos@uniandes.edu.co</t>
  </si>
  <si>
    <t>Ana María</t>
  </si>
  <si>
    <t>Giraldo Sánchez</t>
  </si>
  <si>
    <t>Ana María Giraldo Sánchez</t>
  </si>
  <si>
    <t>p.florezd@uniandes.edu.co</t>
  </si>
  <si>
    <t>Florez Dowse</t>
  </si>
  <si>
    <t>Pablo  Florez Dowse</t>
  </si>
  <si>
    <t>m.ruizl@uniandes.edu.co</t>
  </si>
  <si>
    <t xml:space="preserve">Mariana </t>
  </si>
  <si>
    <t>Ruiz Lopez</t>
  </si>
  <si>
    <t>Mariana  Ruiz Lopez</t>
  </si>
  <si>
    <t>m.quiroz@uniandes.edu.co</t>
  </si>
  <si>
    <t>Quiroz Cordoba</t>
  </si>
  <si>
    <t>Miguel Angel Quiroz Cordoba</t>
  </si>
  <si>
    <t>c.arevalom@uniandes.edu.co</t>
  </si>
  <si>
    <t xml:space="preserve">Camilo </t>
  </si>
  <si>
    <t>Arevalo Mejia</t>
  </si>
  <si>
    <t>Camilo  Arevalo Mejia</t>
  </si>
  <si>
    <t>d.fajardog@uniandes.edu.co</t>
  </si>
  <si>
    <t xml:space="preserve">Daniel </t>
  </si>
  <si>
    <t>Fajardo Gonzalez</t>
  </si>
  <si>
    <t>Daniel  Fajardo Gonzalez</t>
  </si>
  <si>
    <t>lm.ramirezc@uniandes.edu.co</t>
  </si>
  <si>
    <t>Ramirez Ceballos</t>
  </si>
  <si>
    <t>Laura Maria Ramirez Ceballos</t>
  </si>
  <si>
    <t>ne.gonzalezc1@uniandes.edu.co</t>
  </si>
  <si>
    <t>Nicole Estefania</t>
  </si>
  <si>
    <t>Nicole Estefania Gonzalez Cortes</t>
  </si>
  <si>
    <t>ca.castano11@uniandes.edu.co</t>
  </si>
  <si>
    <t>Camila Andrea</t>
  </si>
  <si>
    <t>Castaño Lozano</t>
  </si>
  <si>
    <t>Camila Andrea Castaño Lozano</t>
  </si>
  <si>
    <t>l.velezr@uniandes.edu.co</t>
  </si>
  <si>
    <t>Velez Roman</t>
  </si>
  <si>
    <t>Laura Maria Velez Roman</t>
  </si>
  <si>
    <t>m.venegas@uniandes.edu.co</t>
  </si>
  <si>
    <t>Venegas Pulido</t>
  </si>
  <si>
    <t>Mariana  Venegas Pulido</t>
  </si>
  <si>
    <t>m.sachica@uniandes.edu.co</t>
  </si>
  <si>
    <t>Sachica Kure</t>
  </si>
  <si>
    <t>Mariana  Sachica Kure</t>
  </si>
  <si>
    <t>v.navarroa@uniandes.edu.co</t>
  </si>
  <si>
    <t>Navarro Alvarez</t>
  </si>
  <si>
    <t>Valentina  Navarro Alvarez</t>
  </si>
  <si>
    <t>i.martin@uniandes.edu.co</t>
  </si>
  <si>
    <t xml:space="preserve">Isabella </t>
  </si>
  <si>
    <t>Martin Paez</t>
  </si>
  <si>
    <t>Isabella  Martin Paez</t>
  </si>
  <si>
    <t>dv.perez10@uniandes.edu.co</t>
  </si>
  <si>
    <t>Danna Valentina</t>
  </si>
  <si>
    <t>Perez Garcia</t>
  </si>
  <si>
    <t>Danna Valentina Perez Garcia</t>
  </si>
  <si>
    <t>l.aguirrem@uniandes.edu.co</t>
  </si>
  <si>
    <t>Luis Angel</t>
  </si>
  <si>
    <t>Aguirre Monroy</t>
  </si>
  <si>
    <t>Luis Angel Aguirre Monroy</t>
  </si>
  <si>
    <t>s.santander@uniandes.edu.co</t>
  </si>
  <si>
    <t>Salome Maria</t>
  </si>
  <si>
    <t>Santander Castillo</t>
  </si>
  <si>
    <t>Salome Maria Santander Castillo</t>
  </si>
  <si>
    <t>Education Bsc / Early Childhood</t>
  </si>
  <si>
    <t>School of Education</t>
  </si>
  <si>
    <t>p.rojasz@uniandes.edu.co</t>
  </si>
  <si>
    <t>Pablo Andres</t>
  </si>
  <si>
    <t>Rojas Zambrano</t>
  </si>
  <si>
    <t>Pablo Andres Rojas Zambrano</t>
  </si>
  <si>
    <t>j.jaramillo1@uniandes.edu.co</t>
  </si>
  <si>
    <t>John Paul</t>
  </si>
  <si>
    <t>Jaramillo Cubillos</t>
  </si>
  <si>
    <t>John Paul Jaramillo Cubillos</t>
  </si>
  <si>
    <t>r.cubillan@uniandes.edu.co</t>
  </si>
  <si>
    <t>Rafael Andres</t>
  </si>
  <si>
    <t>Cubillan Palma</t>
  </si>
  <si>
    <t>Rafael Andres Cubillan Palma</t>
  </si>
  <si>
    <t>m.ferrey@uniandes.edu.co</t>
  </si>
  <si>
    <t>Monica Alejandra</t>
  </si>
  <si>
    <t>Ferrey Mayorga</t>
  </si>
  <si>
    <t>Monica Alejandra Ferrey Mayorga</t>
  </si>
  <si>
    <t>Africa</t>
  </si>
  <si>
    <t>j.olmoss@uniandes.edu.co</t>
  </si>
  <si>
    <t>Olmos Salas</t>
  </si>
  <si>
    <t>Juan David Olmos Salas</t>
  </si>
  <si>
    <t>vva.sandovalsa@uniandes.edu.co</t>
  </si>
  <si>
    <t>Sandoval Quintero</t>
  </si>
  <si>
    <t>Valentina Sandoval Quintero</t>
  </si>
  <si>
    <t>sd.gaete@uniandes.edu.co</t>
  </si>
  <si>
    <t>Susan Daniela</t>
  </si>
  <si>
    <t>Gaete Carrillo</t>
  </si>
  <si>
    <t>Susan Daniela Gaete Carrillo</t>
  </si>
  <si>
    <t>sd.duqueg@uniandes.edu.co</t>
  </si>
  <si>
    <t>Sebastian Dario</t>
  </si>
  <si>
    <t>Duque Guzman</t>
  </si>
  <si>
    <t>Sebastian Dario Duque Guzman</t>
  </si>
  <si>
    <t>s.borrero3@uniandes.edu.co</t>
  </si>
  <si>
    <t>Borrero Pombo</t>
  </si>
  <si>
    <t>Sebastian Borrero Pombo</t>
  </si>
  <si>
    <t>s.schmalbach@uniandes.edu.co</t>
  </si>
  <si>
    <t>Scarlett</t>
  </si>
  <si>
    <t>Schmalbach Gomez</t>
  </si>
  <si>
    <t>Scarlett Schmalbach Gomez</t>
  </si>
  <si>
    <t>sm.patino@uniandes.edu.co</t>
  </si>
  <si>
    <t>Patiño Ayala</t>
  </si>
  <si>
    <t>Sara Maria Patiño Ayala</t>
  </si>
  <si>
    <t>s.parras@uniandes.edu.co</t>
  </si>
  <si>
    <t>Parra Suarez</t>
  </si>
  <si>
    <t>Santiago Parra Suarez</t>
  </si>
  <si>
    <t>s.herreraa@uniandes.edu.co</t>
  </si>
  <si>
    <t>Herrera Akers</t>
  </si>
  <si>
    <t>Santiago Herrera Akers</t>
  </si>
  <si>
    <t>s.porrass@uniandes.edu.co</t>
  </si>
  <si>
    <t>Santiago Andres</t>
  </si>
  <si>
    <t>Porras Salinas</t>
  </si>
  <si>
    <t>Santiago Andres Porras Salinas</t>
  </si>
  <si>
    <t>n.ortegon@uniandes.edu.co</t>
  </si>
  <si>
    <t>Ortegon Duarte</t>
  </si>
  <si>
    <t>Nicolas Ortegon Duarte</t>
  </si>
  <si>
    <t>n.lugo@uniandes.edu.co</t>
  </si>
  <si>
    <t>Lugo Duque</t>
  </si>
  <si>
    <t>Nicolas Lugo Duque</t>
  </si>
  <si>
    <t>n.pavajeau@uniandes.edu.co</t>
  </si>
  <si>
    <t>Nicolas Guillermo</t>
  </si>
  <si>
    <t>Pavajeau Fuentes</t>
  </si>
  <si>
    <t>Nicolas Guillermo Pavajeau Fuentes</t>
  </si>
  <si>
    <t>n.melol@uniandes.edu.co</t>
  </si>
  <si>
    <t>Natalia Andrea</t>
  </si>
  <si>
    <t>Melo Lozano</t>
  </si>
  <si>
    <t>Natalia Andrea Melo Lozano</t>
  </si>
  <si>
    <t>m.castiblancog@uniandes.edu.co</t>
  </si>
  <si>
    <t>Castiblanco Guerrero</t>
  </si>
  <si>
    <t>Mariana Castiblanco Guerrero</t>
  </si>
  <si>
    <t>m.bacca@uniandes.edu.co</t>
  </si>
  <si>
    <t>Bacca Baños</t>
  </si>
  <si>
    <t>Mariana Bacca Baños</t>
  </si>
  <si>
    <t>mp.buitragor@uniandes.edu.co</t>
  </si>
  <si>
    <t>Buitrago Renteria</t>
  </si>
  <si>
    <t>Maria Paula Buitrago Renteria</t>
  </si>
  <si>
    <t>mc.pelaezp@uniandes.edu.co</t>
  </si>
  <si>
    <t>Pelaez Pardo</t>
  </si>
  <si>
    <t>Maria Camila Pelaez Pardo</t>
  </si>
  <si>
    <t>m.jaimesb@uniandes.edu.co</t>
  </si>
  <si>
    <t>Jaimes Baron</t>
  </si>
  <si>
    <t>Maria Camila Jaimes Baron</t>
  </si>
  <si>
    <t>l.ibarrah@uniandes.edu.co</t>
  </si>
  <si>
    <t>Ibarra Hurtado</t>
  </si>
  <si>
    <t>Laura Alejandra Ibarra Hurtado</t>
  </si>
  <si>
    <t>k.angel@uniandes.edu.co</t>
  </si>
  <si>
    <t>Kevin Alejandro</t>
  </si>
  <si>
    <t>Angel Merchan</t>
  </si>
  <si>
    <t>Kevin Alejandro Angel Merchan</t>
  </si>
  <si>
    <t>jc.torresc1@uniandes.edu.co</t>
  </si>
  <si>
    <t>Julián Camilo</t>
  </si>
  <si>
    <t>Torres Cardozo</t>
  </si>
  <si>
    <t>Julián Camilo Torres Cardozo</t>
  </si>
  <si>
    <t>j.stanich@uniandes.edu.co</t>
  </si>
  <si>
    <t>Stanich Rebolledo</t>
  </si>
  <si>
    <t>Juan Sebastian Stanich Rebolledo</t>
  </si>
  <si>
    <t>jf.sanchezc@uniandes.edu.co</t>
  </si>
  <si>
    <t>Sanchez Cardona</t>
  </si>
  <si>
    <t>Juan Felipe Sanchez Cardona</t>
  </si>
  <si>
    <t>jf.gomezr12@uniandes.edu.co</t>
  </si>
  <si>
    <t>Gomez Ruiz</t>
  </si>
  <si>
    <t>Juan Felipe Gomez Ruiz</t>
  </si>
  <si>
    <t>j.ramirezt@uniandes.edu.co</t>
  </si>
  <si>
    <t>Ramirez Triana</t>
  </si>
  <si>
    <t>Juan Esteban Ramirez Triana</t>
  </si>
  <si>
    <t>j.cuadrosm@uniandes.edu.co</t>
  </si>
  <si>
    <t>Cuadros Mariño</t>
  </si>
  <si>
    <t>Juan Diego Cuadros Mariño</t>
  </si>
  <si>
    <t>j.ballenc@uniandes.edu.co</t>
  </si>
  <si>
    <t>Ballen Castañeda</t>
  </si>
  <si>
    <t>Juan David Ballen Castañeda</t>
  </si>
  <si>
    <t>j.escamilla@uniandes.edu.co</t>
  </si>
  <si>
    <t>Escamilla Atehortua</t>
  </si>
  <si>
    <t>Jose Daniel Escamilla Atehortua</t>
  </si>
  <si>
    <t>jd.mejiag1@uniandes.edu.co</t>
  </si>
  <si>
    <t>Jorge David</t>
  </si>
  <si>
    <t>Mejia Garcia</t>
  </si>
  <si>
    <t>Jorge David Mejia Garcia</t>
  </si>
  <si>
    <t>i.hernandezp1@uniandes.edu.co</t>
  </si>
  <si>
    <t>Hernandez Pinilla</t>
  </si>
  <si>
    <t>Isabella Hernandez Pinilla</t>
  </si>
  <si>
    <t>g.samper@uniandes.edu.co</t>
  </si>
  <si>
    <t>Samper Villegas</t>
  </si>
  <si>
    <t>Gabriela Samper Villegas</t>
  </si>
  <si>
    <t>ea.garay@uniandes.edu.co</t>
  </si>
  <si>
    <t>Edgar Andres</t>
  </si>
  <si>
    <t>Garay Ospina</t>
  </si>
  <si>
    <t>Edgar Andres Garay Ospina</t>
  </si>
  <si>
    <t>dj.martinezg1@uniandes.edu.co</t>
  </si>
  <si>
    <t>Dimas Jose</t>
  </si>
  <si>
    <t>Martinez Gomez</t>
  </si>
  <si>
    <t>Dimas Jose Martinez Gomez</t>
  </si>
  <si>
    <t>dc.arias@uniandes.edu.co</t>
  </si>
  <si>
    <t>Diana Carolina</t>
  </si>
  <si>
    <t>Arias Legarda</t>
  </si>
  <si>
    <t>Diana Carolina Arias Legarda</t>
  </si>
  <si>
    <t>d.soto@uniandes.edu.co</t>
  </si>
  <si>
    <t>Soto Grisales</t>
  </si>
  <si>
    <t>Daniela Soto Grisales</t>
  </si>
  <si>
    <t>d.lozanos@uniandes.edu.co</t>
  </si>
  <si>
    <t>Lozano Sánchez</t>
  </si>
  <si>
    <t>Daniel Santiago Lozano Sánchez</t>
  </si>
  <si>
    <t>de.ortegon@uniandes.edu.co</t>
  </si>
  <si>
    <t>Daniel Esteban</t>
  </si>
  <si>
    <t>Ortegon Barrera</t>
  </si>
  <si>
    <t>Daniel Esteban Ortegon Barrera</t>
  </si>
  <si>
    <t>Biology Bsc</t>
  </si>
  <si>
    <t>School of Sciences</t>
  </si>
  <si>
    <t>c.marquezt@uniandes.edu.co</t>
  </si>
  <si>
    <t>Marquez Tavera</t>
  </si>
  <si>
    <t>Cesar Andres Marquez Tavera</t>
  </si>
  <si>
    <t>c.rincons@uniandes.edu.co</t>
  </si>
  <si>
    <t>Camilo Alexander</t>
  </si>
  <si>
    <t>Rincon Santos</t>
  </si>
  <si>
    <t>Camilo Alexander Rincon Santos</t>
  </si>
  <si>
    <t>jc.celis@uniandes.edu.co</t>
  </si>
  <si>
    <t>Celis Rengifo</t>
  </si>
  <si>
    <t>Juan Camilo Celis Rengifo</t>
  </si>
  <si>
    <t>aj.salazarc1@uniandes.edu.co</t>
  </si>
  <si>
    <t>Alvaro Jose</t>
  </si>
  <si>
    <t>Salazar Cogollo</t>
  </si>
  <si>
    <t>Alvaro Jose Salazar Cogollo</t>
  </si>
  <si>
    <t>d.benjumea@uniandes.edu.co</t>
  </si>
  <si>
    <t>Daniel Jose</t>
  </si>
  <si>
    <t>Benjumea Silva</t>
  </si>
  <si>
    <t>Daniel Jose Benjumea Silva</t>
  </si>
  <si>
    <t>a.cuellarp@uniandes.edu.co</t>
  </si>
  <si>
    <t>Cuellar Paez</t>
  </si>
  <si>
    <t>Alejandra Cuellar Paez</t>
  </si>
  <si>
    <t>kd.quintero44@uniandes.edu.co</t>
  </si>
  <si>
    <t>Karol De La Paz</t>
  </si>
  <si>
    <t>Quintero Rodriguez</t>
  </si>
  <si>
    <t>Karol De La Paz Quintero Rodriguez</t>
  </si>
  <si>
    <t>Doctorado</t>
  </si>
  <si>
    <t>Triada</t>
  </si>
  <si>
    <t>y.francog@uniandes.edu.co</t>
  </si>
  <si>
    <t>Yuly Andrea</t>
  </si>
  <si>
    <t>Franco Gomez</t>
  </si>
  <si>
    <t>Yuly Andrea Franco Gomez</t>
  </si>
  <si>
    <t>Research Internship</t>
  </si>
  <si>
    <t>v.corredort@uniandes.edu.co</t>
  </si>
  <si>
    <t>Valeria Andrea</t>
  </si>
  <si>
    <t>Corredor Tovar</t>
  </si>
  <si>
    <t>Valeria Andrea Corredor Tovar</t>
  </si>
  <si>
    <t>l.anayaj@uniandes.edu.co</t>
  </si>
  <si>
    <t>Anaya Jimenez</t>
  </si>
  <si>
    <t>Laura Alejandra Anaya Jimenez</t>
  </si>
  <si>
    <t>s.velezs2@uniandes.edu.co</t>
  </si>
  <si>
    <t>Velez Stiefken</t>
  </si>
  <si>
    <t>Sofia Velez Stiefken</t>
  </si>
  <si>
    <t>m.sampedros@uniandes.edu.co</t>
  </si>
  <si>
    <t>Martin</t>
  </si>
  <si>
    <t>Sampedro Sanchez</t>
  </si>
  <si>
    <t>Martin Sampedro Sanchez</t>
  </si>
  <si>
    <t>n.duqueg@uniandes.edu.co</t>
  </si>
  <si>
    <t>Duque Gutierrez</t>
  </si>
  <si>
    <t>Natalia Duque Gutierrez</t>
  </si>
  <si>
    <t>ja.sanabriag1@uniandes.edu.co</t>
  </si>
  <si>
    <t>Sanabria Garcia</t>
  </si>
  <si>
    <t>Juan Andres Sanabria Garcia</t>
  </si>
  <si>
    <t>i.guillermety@uniandes.edu.co</t>
  </si>
  <si>
    <t>Isabel Maria</t>
  </si>
  <si>
    <t>Guillermety Cubillos</t>
  </si>
  <si>
    <t>Isabel Maria Guillermety Cubillos</t>
  </si>
  <si>
    <t>m.daunas@uniandes.edu.co</t>
  </si>
  <si>
    <t>María José</t>
  </si>
  <si>
    <t>Daunas Castro</t>
  </si>
  <si>
    <t>María José Daunas Castro</t>
  </si>
  <si>
    <t>h.martinezs@uniandes.edu.co</t>
  </si>
  <si>
    <t>Henry Alejandro</t>
  </si>
  <si>
    <t>Martinez Sanchez</t>
  </si>
  <si>
    <t>Henry Alejandro Martinez Sanchez</t>
  </si>
  <si>
    <t>s.higueraa@uniandes.edu.co</t>
  </si>
  <si>
    <t>Higuera Aristizabal</t>
  </si>
  <si>
    <t>Simon Andres Higuera Aristizabal</t>
  </si>
  <si>
    <t>i.mateuso2@uniandes.edu.co</t>
  </si>
  <si>
    <t>Isabella María</t>
  </si>
  <si>
    <t>Mateus Ortega</t>
  </si>
  <si>
    <t>Isabella María Mateus Ortega</t>
  </si>
  <si>
    <t>g.parrado@uniandes.edu.co</t>
  </si>
  <si>
    <t xml:space="preserve">Gabriela </t>
  </si>
  <si>
    <t xml:space="preserve">Parrado Beltran </t>
  </si>
  <si>
    <t xml:space="preserve">Gabriela  Parrado Beltran </t>
  </si>
  <si>
    <t>m.floresc@uniandes.edu.co</t>
  </si>
  <si>
    <t>Maria Corina</t>
  </si>
  <si>
    <t>Flores Calcaño</t>
  </si>
  <si>
    <t>Maria Corina Flores Calcaño</t>
  </si>
  <si>
    <t>a.rengifoc@uniandes.edu.co</t>
  </si>
  <si>
    <t>Rengifo Chaves</t>
  </si>
  <si>
    <t>Ana Sofia Rengifo Chaves</t>
  </si>
  <si>
    <t>ja.latorre@uniandes.edu.co</t>
  </si>
  <si>
    <t>Jairo Andres</t>
  </si>
  <si>
    <t>Latorre Vela</t>
  </si>
  <si>
    <t>Jairo Andres Latorre Vela</t>
  </si>
  <si>
    <t>j.romerol2@uniandes.edu.co</t>
  </si>
  <si>
    <t>Johana</t>
  </si>
  <si>
    <t>Romero Lopez</t>
  </si>
  <si>
    <t>Johana Romero Lopez</t>
  </si>
  <si>
    <t>d.zapatah@uniandes.edu.co</t>
  </si>
  <si>
    <t>David Alejandro</t>
  </si>
  <si>
    <t>Zapata Hernandez</t>
  </si>
  <si>
    <t>David Alejandro Zapata Hernandez</t>
  </si>
  <si>
    <t>jd.rodrigueza123@uniandes.edu.co</t>
  </si>
  <si>
    <t>Rodriguez Arango</t>
  </si>
  <si>
    <t>Juan Diego Rodriguez Arango</t>
  </si>
  <si>
    <t>a.lunas@uniandes.edu.co</t>
  </si>
  <si>
    <t>Luna Silva</t>
  </si>
  <si>
    <t>Alejandro Luna Silva</t>
  </si>
  <si>
    <t>d.rodriguezr2@uniandes.edu.co</t>
  </si>
  <si>
    <t>Rodriguez Rincon</t>
  </si>
  <si>
    <t>Daniel Rodriguez Rincon</t>
  </si>
  <si>
    <t>m.amadorg@uniandes.edu.co</t>
  </si>
  <si>
    <t>Maria Fernanda</t>
  </si>
  <si>
    <t>Amador Gonzalez</t>
  </si>
  <si>
    <t>Maria Fernanda Amador Gonzalez</t>
  </si>
  <si>
    <t>ma.camargoc@uniandes.edu.co</t>
  </si>
  <si>
    <t>Maria Angelica</t>
  </si>
  <si>
    <t>Camargo Cruz</t>
  </si>
  <si>
    <t>Maria Angelica Camargo Cruz</t>
  </si>
  <si>
    <t>l.clavijo@uniandes.edu.co</t>
  </si>
  <si>
    <t>Laura Ximena</t>
  </si>
  <si>
    <t>Clavijo Vanegas</t>
  </si>
  <si>
    <t>Laura Ximena Clavijo Vanegas</t>
  </si>
  <si>
    <t>s.gutierrez7@uniandes.edu.co</t>
  </si>
  <si>
    <t>Gutierrez Cuenca</t>
  </si>
  <si>
    <t>Sebastian Gutierrez Cuenca</t>
  </si>
  <si>
    <t>c.mejiaq@uniandes.edu.co</t>
  </si>
  <si>
    <t>Mejia Quintero</t>
  </si>
  <si>
    <t>Camilo Mejia Quintero</t>
  </si>
  <si>
    <t>da.reyesh@uniandes.edu.co</t>
  </si>
  <si>
    <t>Reyes Herrera</t>
  </si>
  <si>
    <t>Daniel Alberto Reyes Herrera</t>
  </si>
  <si>
    <t>j.tobona@uniandes.edu.co</t>
  </si>
  <si>
    <t>Tobon Arango</t>
  </si>
  <si>
    <t>Juan Jose Tobon Arango</t>
  </si>
  <si>
    <t>c.perez8@uniandes.edu.co</t>
  </si>
  <si>
    <t>Perez Bedoya</t>
  </si>
  <si>
    <t>Camilo Perez Bedoya</t>
  </si>
  <si>
    <t>y.penaa@uniandes.edu.co</t>
  </si>
  <si>
    <t>Yuli Paola</t>
  </si>
  <si>
    <t>Peña Aranguena</t>
  </si>
  <si>
    <t>Yuli Paola Peña Aranguena</t>
  </si>
  <si>
    <t>a.cuberos@uniandes.edu.co</t>
  </si>
  <si>
    <t>Alicia</t>
  </si>
  <si>
    <t>Cuberos Arboleda</t>
  </si>
  <si>
    <t>Alicia Cuberos Arboleda</t>
  </si>
  <si>
    <t>je.sanchezc1@uniandes.edu.co</t>
  </si>
  <si>
    <t>Sanchez Cruz</t>
  </si>
  <si>
    <t>Juan Esteban Sanchez Cruz</t>
  </si>
  <si>
    <t>j.lealm@uniandes.edu.co</t>
  </si>
  <si>
    <t>Leal Martinez</t>
  </si>
  <si>
    <t>Juanita Leal Martinez</t>
  </si>
  <si>
    <t>m.padillaj@uniandes.edu.co</t>
  </si>
  <si>
    <t>Padilla Jaimes</t>
  </si>
  <si>
    <t>Maria Fernanda Padilla Jaimes</t>
  </si>
  <si>
    <t>a.maldonadoc@uniandes.edu.co</t>
  </si>
  <si>
    <t>Maldonado Corredor</t>
  </si>
  <si>
    <t>Andres Felipe Maldonado Corredor</t>
  </si>
  <si>
    <t>n.magdalena@uniandes.edu.co</t>
  </si>
  <si>
    <t>Nicolás</t>
  </si>
  <si>
    <t>Magdalena Osorio</t>
  </si>
  <si>
    <t>Nicolás Magdalena Osorio</t>
  </si>
  <si>
    <t>s.vallejob@uniandes.edu.co</t>
  </si>
  <si>
    <t>Sara</t>
  </si>
  <si>
    <t>Vallejo Baena</t>
  </si>
  <si>
    <t>Sara Vallejo Baena</t>
  </si>
  <si>
    <t>l.corredorm@uniandes.edu.co</t>
  </si>
  <si>
    <t>Corredor Muñoz</t>
  </si>
  <si>
    <t>Laura Corredor Muñoz</t>
  </si>
  <si>
    <t>d.ferreira@uniandes.edu.co</t>
  </si>
  <si>
    <t>Ferreira Figueroa</t>
  </si>
  <si>
    <t>Daniel Ferreira Figueroa</t>
  </si>
  <si>
    <t>m.alzatec@uniandes.edu.co</t>
  </si>
  <si>
    <t>Alzate Cardenas</t>
  </si>
  <si>
    <t>Manuela Alzate Cardenas</t>
  </si>
  <si>
    <t>s.aparicioe@uniandes.edu.co</t>
  </si>
  <si>
    <t>Aparicio Escobar</t>
  </si>
  <si>
    <t>Santiago Aparicio Escobar</t>
  </si>
  <si>
    <t>m.road@uniandes.edu.co</t>
  </si>
  <si>
    <t>Roa Dueñas</t>
  </si>
  <si>
    <t>Maria Camila Roa Dueñas</t>
  </si>
  <si>
    <t>a.rosasm@uniandes.edu.co</t>
  </si>
  <si>
    <t>Rosas Moreno</t>
  </si>
  <si>
    <t>Andrea Rosas Moreno</t>
  </si>
  <si>
    <t>a.sagra@uniandes.edu.co</t>
  </si>
  <si>
    <t>Sagra Fuentes</t>
  </si>
  <si>
    <t>Andres Felipe Sagra Fuentes</t>
  </si>
  <si>
    <t>i.puccini@uniandes.edu.co</t>
  </si>
  <si>
    <t>Puccini Quintero</t>
  </si>
  <si>
    <t>Isabella Puccini Quintero</t>
  </si>
  <si>
    <t>l.pabona@uniandes.edu.co</t>
  </si>
  <si>
    <t>Pabon Avila</t>
  </si>
  <si>
    <t>Laura Pabon Avila</t>
  </si>
  <si>
    <t>ne.rincons1@uniandes.edu.co</t>
  </si>
  <si>
    <t>Nelson Esteban</t>
  </si>
  <si>
    <t>Rincon Sosa</t>
  </si>
  <si>
    <t>Nelson Esteban Rincon Sosa</t>
  </si>
  <si>
    <t>ma.rojasc1@uniandes.edu.co</t>
  </si>
  <si>
    <t>Mario Alejandro</t>
  </si>
  <si>
    <t>Rojas Cañon</t>
  </si>
  <si>
    <t>Mario Alejandro Rojas Cañon</t>
  </si>
  <si>
    <t>s.estradac2@uniandes.edu.co</t>
  </si>
  <si>
    <t>Estrada Carranza</t>
  </si>
  <si>
    <t>Sebastian Estrada Carranza</t>
  </si>
  <si>
    <t>a.bricenoc@uniandes.edu.co</t>
  </si>
  <si>
    <t>Briceño Carrillo</t>
  </si>
  <si>
    <t>Alejandro Briceño Carrillo</t>
  </si>
  <si>
    <t>m.martinezo@uniandes.edu.co</t>
  </si>
  <si>
    <t>Martinez Ojeda</t>
  </si>
  <si>
    <t>Maria Jose Martinez Ojeda</t>
  </si>
  <si>
    <t>jf.lopezg@uniandes.edu.co</t>
  </si>
  <si>
    <t>Lopez Gualdron</t>
  </si>
  <si>
    <t>Juan Felipe Lopez Gualdron</t>
  </si>
  <si>
    <t>m.maciasa@uniandes.edu.co</t>
  </si>
  <si>
    <t>Macias Acosta</t>
  </si>
  <si>
    <t>Maria Angelica Macias Acosta</t>
  </si>
  <si>
    <t>j.reye@uniandes.edu.co</t>
  </si>
  <si>
    <t>Rey Estupiñan</t>
  </si>
  <si>
    <t>Juanita Rey Estupiñan</t>
  </si>
  <si>
    <t>c.polaniaa@uniandes.edu.co</t>
  </si>
  <si>
    <t>Carolina</t>
  </si>
  <si>
    <t>Polania Ayala</t>
  </si>
  <si>
    <t>Carolina Polania Ayala</t>
  </si>
  <si>
    <t>d.rinconv@uniandes.edu.co</t>
  </si>
  <si>
    <t>Rincon Vega</t>
  </si>
  <si>
    <t>Daniel Rincon Vega</t>
  </si>
  <si>
    <t>n.garay@uniandes.edu.co</t>
  </si>
  <si>
    <t>Garay Mendez</t>
  </si>
  <si>
    <t>Nicolas Garay Mendez</t>
  </si>
  <si>
    <t>dc.andres10@uniandes.edu.co</t>
  </si>
  <si>
    <t>Andrés Fernando</t>
  </si>
  <si>
    <t>Durán Cortés </t>
  </si>
  <si>
    <t>Andrés Fernando Durán Cortés </t>
  </si>
  <si>
    <t>a.canoc2@uniandes.edu.co</t>
  </si>
  <si>
    <t>Adriano</t>
  </si>
  <si>
    <t>Cano</t>
  </si>
  <si>
    <t>Adriano Cano</t>
  </si>
  <si>
    <t>universidad Estatal de California</t>
  </si>
  <si>
    <t>sl.tovar@uniandes.edu.co</t>
  </si>
  <si>
    <t>Sandra Lorena</t>
  </si>
  <si>
    <t>Tovar Gasca</t>
  </si>
  <si>
    <t>Sandra Lorena Tovar Gasca</t>
  </si>
  <si>
    <t>EGADE Business School, sede Campus Santa Fe, Ciudad de México,</t>
  </si>
  <si>
    <t>l.santanav@uniandes.edu.co</t>
  </si>
  <si>
    <t>Leonardo</t>
  </si>
  <si>
    <t>Santana</t>
  </si>
  <si>
    <t>Leonardo Santana</t>
  </si>
  <si>
    <t>EGADE - Tecnológico de Monterrey</t>
  </si>
  <si>
    <t>ga.arevalo@uniandes.edu.co</t>
  </si>
  <si>
    <t>Guillermo Alejandro</t>
  </si>
  <si>
    <t>Arevalo</t>
  </si>
  <si>
    <t>Guillermo Alejandro Arevalo</t>
  </si>
  <si>
    <t>Campus Santa Fe del Instituto Tecnológico y de Estudios Superiores de Monterrey</t>
  </si>
  <si>
    <t>r.munozv@uniandes.edu.co</t>
  </si>
  <si>
    <t>Rosa Milena</t>
  </si>
  <si>
    <t>Muñoz</t>
  </si>
  <si>
    <t>Rosa Milena Muñoz</t>
  </si>
  <si>
    <t>ar.cruz@uniandes.edu.co</t>
  </si>
  <si>
    <t>Andres Raul</t>
  </si>
  <si>
    <t>Cruz Hernandez</t>
  </si>
  <si>
    <t>Andres Raul Cruz Hernandez</t>
  </si>
  <si>
    <t>Universidad Autonoma de Mexico</t>
  </si>
  <si>
    <t>en.vanegas34@uniandes.edu.co</t>
  </si>
  <si>
    <t>Esteban Nicolás</t>
  </si>
  <si>
    <t>Vanegas Herrera</t>
  </si>
  <si>
    <t>Esteban Nicolás Vanegas Herrera</t>
  </si>
  <si>
    <t>ja.perezl@uniandes.edu.co</t>
  </si>
  <si>
    <t>Jonathan Andrés</t>
  </si>
  <si>
    <t>Pérez López</t>
  </si>
  <si>
    <t>Jonathan Andrés Pérez López</t>
  </si>
  <si>
    <t>he.godoy@uniandes.edu.co</t>
  </si>
  <si>
    <t>Héctor Erlendy</t>
  </si>
  <si>
    <t>Godoy Hernández</t>
  </si>
  <si>
    <t>Héctor Erlendy Godoy Hernández</t>
  </si>
  <si>
    <t>ma.martinezp12@uniandes.edu.co</t>
  </si>
  <si>
    <t>Manuel Andrés</t>
  </si>
  <si>
    <t>Marínez Patiño</t>
  </si>
  <si>
    <t>Manuel Andrés Marínez Patiño</t>
  </si>
  <si>
    <t>da.rosales@uniandes.edu.co</t>
  </si>
  <si>
    <t>Daniela Andrea</t>
  </si>
  <si>
    <t>Rosales Díaz</t>
  </si>
  <si>
    <t>Daniela Andrea Rosales Díaz</t>
  </si>
  <si>
    <t>École des Hautes Études Commerciales, HEC de Montreal</t>
  </si>
  <si>
    <t>j.acevedop@uniandes.edu.co</t>
  </si>
  <si>
    <t>Acevedo Perez</t>
  </si>
  <si>
    <t>Juan Emilio Acevedo Perez</t>
  </si>
  <si>
    <t>Intercambio internacional</t>
  </si>
  <si>
    <t>p.canonc@uniandes.edu.co</t>
  </si>
  <si>
    <t>Paula Andrea</t>
  </si>
  <si>
    <t>Cañon Camelo</t>
  </si>
  <si>
    <t>Paula Andrea Cañon Camelo</t>
  </si>
  <si>
    <t>e.osorio11@uniandes.edu.co</t>
  </si>
  <si>
    <t>Osorio Angel</t>
  </si>
  <si>
    <t>Emilio Osorio Angel</t>
  </si>
  <si>
    <t>v.lopezu@uniandes.edu.co</t>
  </si>
  <si>
    <t>Lopez Urrutia</t>
  </si>
  <si>
    <t>Valeria Lopez Urrutia</t>
  </si>
  <si>
    <t>d.valdivieso@uniandes.edu.co</t>
  </si>
  <si>
    <t>Dionisio</t>
  </si>
  <si>
    <t>Valdivieso Wilches</t>
  </si>
  <si>
    <t>Dionisio Valdivieso Wilches</t>
  </si>
  <si>
    <t>e.ramirezp@uniandes.edu.co</t>
  </si>
  <si>
    <t>Emilio Ramirez Perilla</t>
  </si>
  <si>
    <t>n.gonzalezp@uniandes.edu.co</t>
  </si>
  <si>
    <t>Gonzalez Picon</t>
  </si>
  <si>
    <t>Nicolas Gonzalez Picon</t>
  </si>
  <si>
    <t>pj.vargas2@uniandes.edu.co</t>
  </si>
  <si>
    <t>Pablo José</t>
  </si>
  <si>
    <t>Vargas Rodríguez</t>
  </si>
  <si>
    <t>Pablo José Vargas Rodríguez</t>
  </si>
  <si>
    <t>i.guillen@uniandes.edu.co</t>
  </si>
  <si>
    <t>Guillén Uribe</t>
  </si>
  <si>
    <t>Isabela Guillén Uribe</t>
  </si>
  <si>
    <t>m.maring2@uniandes.edu.co</t>
  </si>
  <si>
    <t>Marin Galvis</t>
  </si>
  <si>
    <t>Manuela Marin Galvis</t>
  </si>
  <si>
    <t>s.salazarl@uniandes.edu.co</t>
  </si>
  <si>
    <t>Salazar Londoño</t>
  </si>
  <si>
    <t>Samuel Salazar Londoño</t>
  </si>
  <si>
    <t>g.bermudezw@uniandes.edu.co</t>
  </si>
  <si>
    <t>Bermudez Wuilleumier</t>
  </si>
  <si>
    <t>Gabriela Bermudez Wuilleumier</t>
  </si>
  <si>
    <t>m.galvez@uniandes.edu.co</t>
  </si>
  <si>
    <t>Galvez Jimenez</t>
  </si>
  <si>
    <t>Mariana Galvez Jimenez</t>
  </si>
  <si>
    <t>v.pinzon3@uniandes.edu.co</t>
  </si>
  <si>
    <t>Pinzon Sierra</t>
  </si>
  <si>
    <t>Valeria Pinzon Sierra</t>
  </si>
  <si>
    <t>as.montero@uniandes.edu.co</t>
  </si>
  <si>
    <t>Montero Angulo</t>
  </si>
  <si>
    <t>Ana Sofia Montero Angulo</t>
  </si>
  <si>
    <t>c.gomezt2@uniandes.edu.co</t>
  </si>
  <si>
    <t>Gomez Torres</t>
  </si>
  <si>
    <t>Catalina Gomez Torres</t>
  </si>
  <si>
    <t>m.isazal@uniandes.edu.co</t>
  </si>
  <si>
    <t>Isaza Londoño</t>
  </si>
  <si>
    <t>Mariana Isaza Londoño</t>
  </si>
  <si>
    <t>a.acunaq@uniandes.edu.co</t>
  </si>
  <si>
    <t>Arturo</t>
  </si>
  <si>
    <t>Acuña Quiroga</t>
  </si>
  <si>
    <t>Arturo Acuña Quiroga</t>
  </si>
  <si>
    <t>d.tafura@uniandes.edu.co</t>
  </si>
  <si>
    <t>Tafur Acosta</t>
  </si>
  <si>
    <t>Daniel Tafur Acosta</t>
  </si>
  <si>
    <t>a.stocker@uniandes.edu.co</t>
  </si>
  <si>
    <t>Stocker Tobler</t>
  </si>
  <si>
    <t>Alicia Stocker Tobler</t>
  </si>
  <si>
    <t>d.garciaf@uniandes.edu.co</t>
  </si>
  <si>
    <t>David</t>
  </si>
  <si>
    <t>Garcia Franco</t>
  </si>
  <si>
    <t>David Garcia Franco</t>
  </si>
  <si>
    <t>e.navas@uniandes.edu.co</t>
  </si>
  <si>
    <t>Eduardo</t>
  </si>
  <si>
    <t>Navas Cubides</t>
  </si>
  <si>
    <t>Eduardo Navas Cubides</t>
  </si>
  <si>
    <t>t.sabogal@uniandes.edu.co</t>
  </si>
  <si>
    <t>Thomas Alexander</t>
  </si>
  <si>
    <t>Sabogal Buitrago</t>
  </si>
  <si>
    <t>Thomas Alexander Sabogal Buitrago</t>
  </si>
  <si>
    <t>jd.hernandezh1@uniandes.edu.co</t>
  </si>
  <si>
    <t>Hernandez Hernandez</t>
  </si>
  <si>
    <t>Juan Diego Hernandez Hernandez</t>
  </si>
  <si>
    <t>m.pedrazag@uniandes.edu.co</t>
  </si>
  <si>
    <t>Pedraza Garcia</t>
  </si>
  <si>
    <t>Martin Pedraza Garcia</t>
  </si>
  <si>
    <t>m.galindo1@uniandes.edu.co</t>
  </si>
  <si>
    <t>Galindo Castro</t>
  </si>
  <si>
    <t>Mariana Galindo Castro</t>
  </si>
  <si>
    <t>a.beltrano@uniandes.edu.co</t>
  </si>
  <si>
    <t>Alejandra Maria</t>
  </si>
  <si>
    <t>Beltran Ortiz</t>
  </si>
  <si>
    <t>Alejandra Maria Beltran Ortiz</t>
  </si>
  <si>
    <t>a.menesesr@uniandes.edu.co</t>
  </si>
  <si>
    <t>Meneses Rodriguez</t>
  </si>
  <si>
    <t>Andres Felipe Meneses Rodriguez</t>
  </si>
  <si>
    <t>a.urrea@uniandes.edu.co</t>
  </si>
  <si>
    <t>Urrea Rodriguez</t>
  </si>
  <si>
    <t>Ana Sofia Urrea Rodriguez</t>
  </si>
  <si>
    <t>r.bochmann@uniandes.edu.co</t>
  </si>
  <si>
    <t>Renate</t>
  </si>
  <si>
    <t>Bochmann Cardenas</t>
  </si>
  <si>
    <t>Renate Bochmann Cardenas</t>
  </si>
  <si>
    <t>p.gutierrezc@uniandes.edu.co</t>
  </si>
  <si>
    <t>Gutierrez Chaves</t>
  </si>
  <si>
    <t>Pablo Gutierrez Chaves</t>
  </si>
  <si>
    <t>t.mejiar@uniandes.edu.co</t>
  </si>
  <si>
    <t>Mejia Riveros</t>
  </si>
  <si>
    <t>Tomas Mejia Riveros</t>
  </si>
  <si>
    <t>v.martinezr2@uniandes.edu.co</t>
  </si>
  <si>
    <t>Martinez Rozo</t>
  </si>
  <si>
    <t>Valentina Martinez Rozo</t>
  </si>
  <si>
    <t>e.rodriguezp@uniandes.edu.co</t>
  </si>
  <si>
    <t>Rodriguez Pico</t>
  </si>
  <si>
    <t>Emilio Rodriguez Pico</t>
  </si>
  <si>
    <t>a.garciar23@uniandes.edu.co</t>
  </si>
  <si>
    <t>Garcia Rojas</t>
  </si>
  <si>
    <t>Alejandro Garcia Rojas</t>
  </si>
  <si>
    <t>d.garciag2@uniandes.edu.co</t>
  </si>
  <si>
    <t>Garcia Garcia</t>
  </si>
  <si>
    <t>David Garcia Garcia</t>
  </si>
  <si>
    <t>j.gutierrez112@uniandes.edu.co</t>
  </si>
  <si>
    <t>Gutiérrez García</t>
  </si>
  <si>
    <t>Juanita Gutiérrez García</t>
  </si>
  <si>
    <t>i.acostam@uniandes.edu.co</t>
  </si>
  <si>
    <t>Acosta Moreno</t>
  </si>
  <si>
    <t>Isabella Acosta Moreno</t>
  </si>
  <si>
    <t>a.pinzonu@uniandes.edu.co</t>
  </si>
  <si>
    <t>Pinzon Useche</t>
  </si>
  <si>
    <t>Andres Pinzon Useche</t>
  </si>
  <si>
    <t>n.guzmanu@uniandes.edu.co</t>
  </si>
  <si>
    <t>Guzman Urueña</t>
  </si>
  <si>
    <t>Natalia Andrea Guzman Urueña</t>
  </si>
  <si>
    <t>dr.trujillo@uniandes.edu.co</t>
  </si>
  <si>
    <t>Daniel Raul</t>
  </si>
  <si>
    <t>Trujillo Marquez</t>
  </si>
  <si>
    <t>Daniel Raul Trujillo Marquez</t>
  </si>
  <si>
    <t>Maestría en Gerencia Estratégica</t>
  </si>
  <si>
    <t>Universidad Nacional Autónoma de México</t>
  </si>
  <si>
    <t>j.ruizg@uniandes.edu.co</t>
  </si>
  <si>
    <t>Ruiz Guayara</t>
  </si>
  <si>
    <t>Juanita Ruiz Guayara</t>
  </si>
  <si>
    <t>s.herrerap2@uniandes.edu.co</t>
  </si>
  <si>
    <t>Herrera Pereira</t>
  </si>
  <si>
    <t>Sofia Herrera Pereira</t>
  </si>
  <si>
    <t>e.tobo@uniandes.edu.co</t>
  </si>
  <si>
    <t>Estefania</t>
  </si>
  <si>
    <t>Tobo Hurtado</t>
  </si>
  <si>
    <t>Estefania Tobo Hurtado</t>
  </si>
  <si>
    <t>c.sanchezc2@uniandes.edu.co</t>
  </si>
  <si>
    <t>Sanchez Caro</t>
  </si>
  <si>
    <t>Camila Sanchez Caro</t>
  </si>
  <si>
    <t>v.salazars2@uniandes.edu.co</t>
  </si>
  <si>
    <t>Valentina Salazar Sfeir</t>
  </si>
  <si>
    <t>n.herrerag@uniandes.edu.co</t>
  </si>
  <si>
    <t>Herrera Gomez</t>
  </si>
  <si>
    <t>Nicolas Herrera Gomez</t>
  </si>
  <si>
    <t>jc.delgadov1@uniandes.edu.co</t>
  </si>
  <si>
    <t>Juan Carlos</t>
  </si>
  <si>
    <t>Delgado</t>
  </si>
  <si>
    <t>Juan Carlos Delgado</t>
  </si>
  <si>
    <t>m.delao@uniandes.edu.co</t>
  </si>
  <si>
    <t>Montserrat</t>
  </si>
  <si>
    <t>De La Ossa Jordan</t>
  </si>
  <si>
    <t>Montserrat De La Ossa Jordan</t>
  </si>
  <si>
    <t>p.glauser@uniandes.edu.co</t>
  </si>
  <si>
    <t>Philippe</t>
  </si>
  <si>
    <t>Glauser Wolff</t>
  </si>
  <si>
    <t>Philippe Glauser Wolff</t>
  </si>
  <si>
    <t>s.rinconr2@uniandes.edu.co</t>
  </si>
  <si>
    <t>Rincon Rojas</t>
  </si>
  <si>
    <t>Samuel Rincon Rojas</t>
  </si>
  <si>
    <t>a.bojaca@uniandes.edu.co</t>
  </si>
  <si>
    <t>Amelhi Sofia</t>
  </si>
  <si>
    <t>Bojaca Pinzon</t>
  </si>
  <si>
    <t>Amelhi Sofia Bojaca Pinzon</t>
  </si>
  <si>
    <t>s.mottae@uniandes.edu.co</t>
  </si>
  <si>
    <t>Motta Espinosa</t>
  </si>
  <si>
    <t>Santiago Motta Espinosa</t>
  </si>
  <si>
    <t>d.gomezn2@uniandes.edu.co</t>
  </si>
  <si>
    <t>Gómez Navarrete</t>
  </si>
  <si>
    <t>Daniela Gómez Navarrete</t>
  </si>
  <si>
    <t>s.camacho3@uniandes.edu.co</t>
  </si>
  <si>
    <t>Camacho Domínguez</t>
  </si>
  <si>
    <t>Samuel Camacho Domínguez</t>
  </si>
  <si>
    <t>ss.rodriguezf1@uniandes.edu.co</t>
  </si>
  <si>
    <t>Sara Sofia</t>
  </si>
  <si>
    <t>Rodriguez Fandiño</t>
  </si>
  <si>
    <t>Sara Sofia Rodriguez Fandiño</t>
  </si>
  <si>
    <t>ls.gonzalezg1@uniandes.edu.co</t>
  </si>
  <si>
    <t>Laura Sofia</t>
  </si>
  <si>
    <t>Gonzalez Garcia</t>
  </si>
  <si>
    <t>Laura Sofia Gonzalez Garcia</t>
  </si>
  <si>
    <t>d.santos1@uniandes.edu.co</t>
  </si>
  <si>
    <t>Santos Ardila</t>
  </si>
  <si>
    <t>Daniela Santos Ardila</t>
  </si>
  <si>
    <t>m.gomez112@uniandes.edu.co</t>
  </si>
  <si>
    <t>Gomez Hoyos</t>
  </si>
  <si>
    <t>Manuela Gomez Hoyos</t>
  </si>
  <si>
    <t>Université Paris Dauphine-PSL</t>
  </si>
  <si>
    <t>f.pinillos@uniandes.edu.co</t>
  </si>
  <si>
    <t>Pinillos Garces</t>
  </si>
  <si>
    <t>Felipe Pinillos Garces</t>
  </si>
  <si>
    <t>l.santosa2@uniandes.edu.co</t>
  </si>
  <si>
    <t>Lorenzo</t>
  </si>
  <si>
    <t>Santos Aparicio</t>
  </si>
  <si>
    <t>Lorenzo Santos Aparicio</t>
  </si>
  <si>
    <t>s.aristizabalm2@uniandes.edu.co</t>
  </si>
  <si>
    <t>Stephanie</t>
  </si>
  <si>
    <t>Aristizábal Mejía</t>
  </si>
  <si>
    <t>Stephanie Aristizábal Mejía</t>
  </si>
  <si>
    <t>jj.hernandezr1@uniandes.edu.co</t>
  </si>
  <si>
    <t>Hernandez Rojas</t>
  </si>
  <si>
    <t>Juan Jose Hernandez Rojas</t>
  </si>
  <si>
    <t>Grupo Banner</t>
  </si>
  <si>
    <t>Cruce de Programa</t>
  </si>
  <si>
    <t>Total Cursos</t>
  </si>
  <si>
    <t>Curso 1</t>
  </si>
  <si>
    <t>Curso 2</t>
  </si>
  <si>
    <t>Curso 3</t>
  </si>
  <si>
    <t>Curso 4</t>
  </si>
  <si>
    <t>Curso 5</t>
  </si>
  <si>
    <t>Curso 6</t>
  </si>
  <si>
    <t>Curso 7</t>
  </si>
  <si>
    <t>Curso 8</t>
  </si>
  <si>
    <t>Curso 9</t>
  </si>
  <si>
    <t>Curso 10</t>
  </si>
  <si>
    <t>Curso 11</t>
  </si>
  <si>
    <t>Curso 12</t>
  </si>
  <si>
    <t>Steve</t>
  </si>
  <si>
    <t>Guevara Marin</t>
  </si>
  <si>
    <t>s.guevaramarin1@gmail.com</t>
  </si>
  <si>
    <t>s.guevara2@uniandes.edu.co</t>
  </si>
  <si>
    <t>EGIN</t>
  </si>
  <si>
    <t>ESTUDIOS GENER.DE INTERCAMBIO</t>
  </si>
  <si>
    <t>ADMI-2301</t>
  </si>
  <si>
    <t>ADMI-2104</t>
  </si>
  <si>
    <t>ADMI-2605</t>
  </si>
  <si>
    <t>Armand Vincent</t>
  </si>
  <si>
    <t>Drouin</t>
  </si>
  <si>
    <t>armand.drouin@audencia.com</t>
  </si>
  <si>
    <t>av.drouin@uniandes.edu.co</t>
  </si>
  <si>
    <t>ADMI-3110</t>
  </si>
  <si>
    <t>ADMI-3502</t>
  </si>
  <si>
    <t>ADMI-3606</t>
  </si>
  <si>
    <t>ADMI-2557</t>
  </si>
  <si>
    <t>Yanis Aissa</t>
  </si>
  <si>
    <t>Khadir</t>
  </si>
  <si>
    <t>yanis.khadir@audencia.com</t>
  </si>
  <si>
    <t>y.khadir@uniandes.edu.co</t>
  </si>
  <si>
    <t>DEPO-1242</t>
  </si>
  <si>
    <t>Martial Jean-Claude</t>
  </si>
  <si>
    <t>Laguerre</t>
  </si>
  <si>
    <t>martial.laguerre@edhec.com</t>
  </si>
  <si>
    <t>m.laguerre@uniandes.edu.co</t>
  </si>
  <si>
    <t>ADMI-3139</t>
  </si>
  <si>
    <t>ADMI-3133</t>
  </si>
  <si>
    <t>ADMI-3503</t>
  </si>
  <si>
    <t>Karim</t>
  </si>
  <si>
    <t>Bouayad Amine</t>
  </si>
  <si>
    <t>karim.bouayadamine@essec.edu</t>
  </si>
  <si>
    <t>k.bouayad@uniandes.edu.co</t>
  </si>
  <si>
    <t>ADMI-2207</t>
  </si>
  <si>
    <t>ADMI-1603</t>
  </si>
  <si>
    <t>ADMI-3701</t>
  </si>
  <si>
    <t>Matthieu Kevin</t>
  </si>
  <si>
    <t>Dutreuil</t>
  </si>
  <si>
    <t>matthieu.dutreuil@essec.edu</t>
  </si>
  <si>
    <t>m.dutreuil@uniandes.edu.co</t>
  </si>
  <si>
    <t>EGMA</t>
  </si>
  <si>
    <t>ESTUD.GENER.INTERCAMB.MAESTRIA</t>
  </si>
  <si>
    <t>ARTE-1230</t>
  </si>
  <si>
    <t>MADM-4152</t>
  </si>
  <si>
    <t>MGPD-4444</t>
  </si>
  <si>
    <t>MADM-4701</t>
  </si>
  <si>
    <t>MMER-4337</t>
  </si>
  <si>
    <t>Auriane Elodie</t>
  </si>
  <si>
    <t>Jolivet</t>
  </si>
  <si>
    <t>auriane.j@gmail.com</t>
  </si>
  <si>
    <t>a.jolivet@uniandes.edu.co</t>
  </si>
  <si>
    <t>MGAP-4406</t>
  </si>
  <si>
    <t>MGAD-4602</t>
  </si>
  <si>
    <t>DEPO-1222</t>
  </si>
  <si>
    <t>DEPO-1260</t>
  </si>
  <si>
    <t>Benoît Louis Guillaume</t>
  </si>
  <si>
    <t>Martinez-Maure</t>
  </si>
  <si>
    <t>b00705397@essec.edu</t>
  </si>
  <si>
    <t>bl.martinez@uniandes.edu.co</t>
  </si>
  <si>
    <t>MADM-4653</t>
  </si>
  <si>
    <t>MFIN-4252</t>
  </si>
  <si>
    <t>MFIN-4208</t>
  </si>
  <si>
    <t>MADM-4051</t>
  </si>
  <si>
    <t>DEPO-1220</t>
  </si>
  <si>
    <t>Luc</t>
  </si>
  <si>
    <t>Dietrich</t>
  </si>
  <si>
    <t>luc.dietrich@gmx.ch</t>
  </si>
  <si>
    <t>l.dietrich@uniandes.edu.co</t>
  </si>
  <si>
    <t>CISO-1505</t>
  </si>
  <si>
    <t>LENG-1573</t>
  </si>
  <si>
    <t>Kevin Siva</t>
  </si>
  <si>
    <t>Kanagalingam</t>
  </si>
  <si>
    <t>kevin.kanagalingam@students.fhnw.ch</t>
  </si>
  <si>
    <t>k.kanagalingam@uniandes.edu.co</t>
  </si>
  <si>
    <t>EXTENSION</t>
  </si>
  <si>
    <t>ADMI-3431</t>
  </si>
  <si>
    <t>ADMI-2403</t>
  </si>
  <si>
    <t>Friedrich</t>
  </si>
  <si>
    <t>von Papen</t>
  </si>
  <si>
    <t>friedrichpapen@gmail.com</t>
  </si>
  <si>
    <t>f.von@uniandes.edu.co</t>
  </si>
  <si>
    <t>MADM-4303</t>
  </si>
  <si>
    <t>MADM-4652</t>
  </si>
  <si>
    <t>Edouard Jean-Francois Rene-Marie</t>
  </si>
  <si>
    <t>Gosselin</t>
  </si>
  <si>
    <t>gosselin.edouard@gmail.com</t>
  </si>
  <si>
    <t>e.gosselin@uniandes.edu.co</t>
  </si>
  <si>
    <t>ARTE-2454</t>
  </si>
  <si>
    <t>LENG-1572</t>
  </si>
  <si>
    <t>Maïva Viviane O</t>
  </si>
  <si>
    <t>Bastin</t>
  </si>
  <si>
    <t>mv.bastin@student.maastrichtuniversity.nl</t>
  </si>
  <si>
    <t>m.bastin@uniandes.edu.co</t>
  </si>
  <si>
    <t>ADMI-3407</t>
  </si>
  <si>
    <t>ADMI-1190</t>
  </si>
  <si>
    <t>Thomas Pascal Delphin</t>
  </si>
  <si>
    <t>Girard</t>
  </si>
  <si>
    <t>t.girard@student.maastrichtuniversity.nl</t>
  </si>
  <si>
    <t>t.girard@uniandes.edu.co</t>
  </si>
  <si>
    <t>EGOB-3113</t>
  </si>
  <si>
    <t>ADMI-3745</t>
  </si>
  <si>
    <t>Maximilien Laurent P</t>
  </si>
  <si>
    <t>Lob</t>
  </si>
  <si>
    <t>maximilien.lob@gmail.com</t>
  </si>
  <si>
    <t>m.lob@uniandes.edu.co</t>
  </si>
  <si>
    <t>INLE-</t>
  </si>
  <si>
    <t>LENG-2999</t>
  </si>
  <si>
    <t>Victoria Sophie</t>
  </si>
  <si>
    <t>Pfaff</t>
  </si>
  <si>
    <t>v.pfaff@student.maastrichtuniversity.nl</t>
  </si>
  <si>
    <t>v.pfaff@uniandes.edu.co</t>
  </si>
  <si>
    <t>ADMI-2206</t>
  </si>
  <si>
    <t>ADMI-3237</t>
  </si>
  <si>
    <t>ADMI-2106</t>
  </si>
  <si>
    <t xml:space="preserve">Guenola Christiane Marie </t>
  </si>
  <si>
    <t>Bouhier</t>
  </si>
  <si>
    <t>guenola.bouhier1999@gmail.com</t>
  </si>
  <si>
    <t>g.bouhier@uniandes.edu.co</t>
  </si>
  <si>
    <t>ADMI-2204</t>
  </si>
  <si>
    <t>Mateo Pierre</t>
  </si>
  <si>
    <t>Jeanneau</t>
  </si>
  <si>
    <t>mateo.jeanneau@gmail.com</t>
  </si>
  <si>
    <t>m.jeanneau@uniandes.edu.co</t>
  </si>
  <si>
    <t>ECON-2501</t>
  </si>
  <si>
    <t>ARTE-1105</t>
  </si>
  <si>
    <t>Coline</t>
  </si>
  <si>
    <t>AIRAUDO</t>
  </si>
  <si>
    <t>coline.airaudo.17@neoma-bs.com</t>
  </si>
  <si>
    <t>c.airaudo@uniandes.edu.co</t>
  </si>
  <si>
    <t>ADMI-3137</t>
  </si>
  <si>
    <t>Florine Lucile Marie</t>
  </si>
  <si>
    <t>Jacques-Jean</t>
  </si>
  <si>
    <t>jacquesjean.florine@gmail.com</t>
  </si>
  <si>
    <t>f.jacques@uniandes.edu.co</t>
  </si>
  <si>
    <t>MADM-4154</t>
  </si>
  <si>
    <t>Rufus Michael</t>
  </si>
  <si>
    <t>Langton-Gilks</t>
  </si>
  <si>
    <t>rufus.langton-gilks@northumbria.ac.uk</t>
  </si>
  <si>
    <t>r.langton@uniandes.edu.co</t>
  </si>
  <si>
    <t>CBCA-1037</t>
  </si>
  <si>
    <t>LITE-1621</t>
  </si>
  <si>
    <t>LENG-1701</t>
  </si>
  <si>
    <t>Euan Douglas</t>
  </si>
  <si>
    <t>Hannigan</t>
  </si>
  <si>
    <t>euan.hannigan@queensu.ca</t>
  </si>
  <si>
    <t>e.hannigan@uniandes.edu.co</t>
  </si>
  <si>
    <t>HIST-2211</t>
  </si>
  <si>
    <t>ADMI-3210</t>
  </si>
  <si>
    <t>DEPO-1240</t>
  </si>
  <si>
    <t>Camillo Kurt Harry</t>
  </si>
  <si>
    <t>Banfi</t>
  </si>
  <si>
    <t>camillo.banfi@gmail.com</t>
  </si>
  <si>
    <t>c.banfi@uniandes.edu.co</t>
  </si>
  <si>
    <t>Polina</t>
  </si>
  <si>
    <t>Fefelova</t>
  </si>
  <si>
    <t>ga92xag@mytum.de</t>
  </si>
  <si>
    <t>p.fefelova@uniandes.edu.co</t>
  </si>
  <si>
    <t>ADMI-2302</t>
  </si>
  <si>
    <t>Justine, Clémence</t>
  </si>
  <si>
    <t>Bourdeau</t>
  </si>
  <si>
    <t>j.bourdeau@tbs-education.org</t>
  </si>
  <si>
    <t>j.bourdeau@uniandes.edu.co</t>
  </si>
  <si>
    <t>ADMI-3601</t>
  </si>
  <si>
    <t>Camille Mohamed Nagui</t>
  </si>
  <si>
    <t>El Wakil</t>
  </si>
  <si>
    <t>c.el-wakil@tbs-education.org</t>
  </si>
  <si>
    <t>c.el@uniandes.edu.co</t>
  </si>
  <si>
    <t>HIST-3240</t>
  </si>
  <si>
    <t>ANTR-1106</t>
  </si>
  <si>
    <t>DEPO-1256</t>
  </si>
  <si>
    <t>DEPO-1218</t>
  </si>
  <si>
    <t>Guillaume Eric Alexandre</t>
  </si>
  <si>
    <t>Frat</t>
  </si>
  <si>
    <t>g.frat@tbs-education.org</t>
  </si>
  <si>
    <t>g.frat@uniandes.edu.co</t>
  </si>
  <si>
    <t>ADMI-3128</t>
  </si>
  <si>
    <t>LENG-1601</t>
  </si>
  <si>
    <t>Alec Joseph</t>
  </si>
  <si>
    <t>Devaprasad</t>
  </si>
  <si>
    <t>adevaprasad@tulane.edu</t>
  </si>
  <si>
    <t>a.devaprasad@uniandes.edu.co</t>
  </si>
  <si>
    <t>ADMI-3611</t>
  </si>
  <si>
    <t>Alyssa Danielle</t>
  </si>
  <si>
    <t>Greenfield</t>
  </si>
  <si>
    <t>agreenfield@tulane.edu</t>
  </si>
  <si>
    <t>a.greenfield@uniandes.edu.co</t>
  </si>
  <si>
    <t>ADMI-2556</t>
  </si>
  <si>
    <t>Vanessa</t>
  </si>
  <si>
    <t>Tejada</t>
  </si>
  <si>
    <t>vanessatejada25@gmail.com</t>
  </si>
  <si>
    <t>v.tejada@uniandes.edu.co</t>
  </si>
  <si>
    <t>MFIN-4253</t>
  </si>
  <si>
    <t>MMER-4341</t>
  </si>
  <si>
    <t>Kattia Fiorella</t>
  </si>
  <si>
    <t>Tenorio Perez</t>
  </si>
  <si>
    <t>kattiatenoriop@gmail.com</t>
  </si>
  <si>
    <t>k.tenorio@uniandes.edu.co</t>
  </si>
  <si>
    <t>MMER-4339</t>
  </si>
  <si>
    <t>Bianzi Clemencia</t>
  </si>
  <si>
    <t>Santos Mamani</t>
  </si>
  <si>
    <t>bianzysantos@gmail.com</t>
  </si>
  <si>
    <t>b.santosm@uniandes.edu.co</t>
  </si>
  <si>
    <t>ADMI-2107</t>
  </si>
  <si>
    <t>CBCA-1201</t>
  </si>
  <si>
    <t>Jonathan Friedrich</t>
  </si>
  <si>
    <t>Salzmann</t>
  </si>
  <si>
    <t>jonathansalzmann@gmail.com</t>
  </si>
  <si>
    <t>j.salzmann@uniandes.edu.co</t>
  </si>
  <si>
    <t>DEPO-1221</t>
  </si>
  <si>
    <t>MSCM-4030</t>
  </si>
  <si>
    <t>MSCM-4005</t>
  </si>
  <si>
    <t>Marvin Andrés</t>
  </si>
  <si>
    <t>Murillo Cabezas</t>
  </si>
  <si>
    <t>Universitat Politècnica de València</t>
  </si>
  <si>
    <t>Marbucho@gmail.com</t>
  </si>
  <si>
    <t>m.murillo@uniandes.edu.co</t>
  </si>
  <si>
    <t>DEPO-1231</t>
  </si>
  <si>
    <t>ADMI-3122</t>
  </si>
  <si>
    <t>Veit Julius</t>
  </si>
  <si>
    <t>Henneberger</t>
  </si>
  <si>
    <t>veit.henneberger@student.unisg.ch</t>
  </si>
  <si>
    <t>v.henneberger@uniandes.edu.co</t>
  </si>
  <si>
    <t>MFIN-4200</t>
  </si>
  <si>
    <t>MADM-4206</t>
  </si>
  <si>
    <t>DEPO-1214</t>
  </si>
  <si>
    <t>Théo Marin Jean</t>
  </si>
  <si>
    <t>Sibiodon</t>
  </si>
  <si>
    <t>theo.sibiodon@em-strasbourg.eu</t>
  </si>
  <si>
    <t>t.sibiodon@uniandes.edu.co</t>
  </si>
  <si>
    <t>LENG-1301</t>
  </si>
  <si>
    <t>ECON-2104</t>
  </si>
  <si>
    <t>ADMI-1203</t>
  </si>
  <si>
    <t>Camille Fanny</t>
  </si>
  <si>
    <t>HENQUINET</t>
  </si>
  <si>
    <t>henquinet.camille@gmail.com</t>
  </si>
  <si>
    <t>c.henquinet@uniandes.edu.co</t>
  </si>
  <si>
    <t>MUSI-1819</t>
  </si>
  <si>
    <t>Carlotta Marie Angele</t>
  </si>
  <si>
    <t>Henry</t>
  </si>
  <si>
    <t>carlotta.henry@hotmail.fr</t>
  </si>
  <si>
    <t>c.henry@uniandes.edu.co</t>
  </si>
  <si>
    <t>ADMI-1590</t>
  </si>
  <si>
    <t>Alexis Cheikhou</t>
  </si>
  <si>
    <t>Mbaye</t>
  </si>
  <si>
    <t>mbaye.alexis@gmail.com</t>
  </si>
  <si>
    <t>a.mbaye@uniandes.edu.co</t>
  </si>
  <si>
    <t>CBPC-1235</t>
  </si>
  <si>
    <t>CBCA-1112</t>
  </si>
  <si>
    <t>CPER-1701</t>
  </si>
  <si>
    <t>Capucine, Marie, Astrid</t>
  </si>
  <si>
    <t>Varnier</t>
  </si>
  <si>
    <t>capucinevarnier@hotmail.com</t>
  </si>
  <si>
    <t>c.varnier@uniandes.edu.co</t>
  </si>
  <si>
    <t>Rohan Russell</t>
  </si>
  <si>
    <t>Redican</t>
  </si>
  <si>
    <t>rr303@sussex.ac.uk</t>
  </si>
  <si>
    <t>r.redican@uniandes.edu.co</t>
  </si>
  <si>
    <t>CBCA-1144</t>
  </si>
  <si>
    <t>CBCA-1275</t>
  </si>
  <si>
    <t>Julie Liliane Annie</t>
  </si>
  <si>
    <t>Guez</t>
  </si>
  <si>
    <t>j.guez@tbs-education.org</t>
  </si>
  <si>
    <t>j.guez@uniandes.edu.co</t>
  </si>
  <si>
    <t>DERE-1300</t>
  </si>
  <si>
    <t>CBCO-1179</t>
  </si>
  <si>
    <t>CBCC-1177</t>
  </si>
  <si>
    <t>LENG-1511</t>
  </si>
  <si>
    <t>LITE-1622</t>
  </si>
  <si>
    <t>LENG-3999</t>
  </si>
  <si>
    <t>Timothée Paul</t>
  </si>
  <si>
    <t>Legré</t>
  </si>
  <si>
    <t>tim.legre@gmail.com</t>
  </si>
  <si>
    <t>t.legre@uniandes.edu.co</t>
  </si>
  <si>
    <t>CBCA-1250</t>
  </si>
  <si>
    <t>CBCO-1234</t>
  </si>
  <si>
    <t>Niklas</t>
  </si>
  <si>
    <t>Helineva</t>
  </si>
  <si>
    <t>niklas.helineva@aalto.fi</t>
  </si>
  <si>
    <t>n.helineva@uniandes.edu.co</t>
  </si>
  <si>
    <t>Victor</t>
  </si>
  <si>
    <t>Lambert</t>
  </si>
  <si>
    <t>victor.lambert97@audencia.com</t>
  </si>
  <si>
    <t>v.lambert@uniandes.edu.co</t>
  </si>
  <si>
    <t>ADMI-1102</t>
  </si>
  <si>
    <t>ADMI-3705</t>
  </si>
  <si>
    <t>luna</t>
  </si>
  <si>
    <t>paez</t>
  </si>
  <si>
    <t>lunapaez16@yahoo.com</t>
  </si>
  <si>
    <t>l.paezl@uniandes.edu.co</t>
  </si>
  <si>
    <t>LENG-1405</t>
  </si>
  <si>
    <t>LITE-1328</t>
  </si>
  <si>
    <t>Ezéchiel</t>
  </si>
  <si>
    <t>Le Guay</t>
  </si>
  <si>
    <t>ezechiel.le_guay@edu.escp.eu</t>
  </si>
  <si>
    <t>e.le@uniandes.edu.co</t>
  </si>
  <si>
    <t>MGAD-4401</t>
  </si>
  <si>
    <t>MGAP-4414</t>
  </si>
  <si>
    <t>Andreas</t>
  </si>
  <si>
    <t>Lustenberger</t>
  </si>
  <si>
    <t>andreas.lustenberger@students.fhnw.ch</t>
  </si>
  <si>
    <t>a.lustenberger@uniandes.edu.co</t>
  </si>
  <si>
    <t>LENG-1575</t>
  </si>
  <si>
    <t>Hugo</t>
  </si>
  <si>
    <t>VANNESSON</t>
  </si>
  <si>
    <t>hugo.vannesson@grenoble-em.com</t>
  </si>
  <si>
    <t>h.vanesson@uniandes.edu.co</t>
  </si>
  <si>
    <t>ADMI-2501</t>
  </si>
  <si>
    <t>ADMI-3341</t>
  </si>
  <si>
    <t>Diaz</t>
  </si>
  <si>
    <t>antidiazc@yahoo.de</t>
  </si>
  <si>
    <t>a.diazc2@uniandes.edu.co</t>
  </si>
  <si>
    <t>Claire-Marie</t>
  </si>
  <si>
    <t>COLIN</t>
  </si>
  <si>
    <t>claire-marie.colin.19@neoma-bs.com</t>
  </si>
  <si>
    <t>c.colin@uniandes.edu.co</t>
  </si>
  <si>
    <t>ADMI-1602</t>
  </si>
  <si>
    <t>ADMI-1401</t>
  </si>
  <si>
    <t>Célestine</t>
  </si>
  <si>
    <t>Prado</t>
  </si>
  <si>
    <t>c.prado@tbs-education.org</t>
  </si>
  <si>
    <t>c.prado@uniandes.edu.co</t>
  </si>
  <si>
    <t>Eleanor</t>
  </si>
  <si>
    <t>SOHIER</t>
  </si>
  <si>
    <t>eleanor.fly@gmail.com</t>
  </si>
  <si>
    <t>e.sohier@uniandes.edu.co</t>
  </si>
  <si>
    <t>Amaya Méndez</t>
  </si>
  <si>
    <t>vamayamendez@outlook.com</t>
  </si>
  <si>
    <t>v.amayam@uniandes.edu.co</t>
  </si>
  <si>
    <t>GEST-4039</t>
  </si>
  <si>
    <t>MADM-4929</t>
  </si>
  <si>
    <t>ROMEL YHON</t>
  </si>
  <si>
    <t>CHAVEZ QUISPE</t>
  </si>
  <si>
    <t>Rommel.07r@gmail.com</t>
  </si>
  <si>
    <t>r.chavezq@uniandes.edu.co</t>
  </si>
  <si>
    <t>Ada</t>
  </si>
  <si>
    <t>Perera</t>
  </si>
  <si>
    <t>ada.perera@alumni.esade.edu</t>
  </si>
  <si>
    <t>a.perera@uniandes.edu.co</t>
  </si>
  <si>
    <t>ADMI-3336</t>
  </si>
  <si>
    <t>Johann</t>
  </si>
  <si>
    <t>Maquignon</t>
  </si>
  <si>
    <t>johann.maquignon@audencia.com</t>
  </si>
  <si>
    <t>j.maquignon@uniandes.edu.co</t>
  </si>
  <si>
    <t>Pinson</t>
  </si>
  <si>
    <t>davidpinson77@gmail.com</t>
  </si>
  <si>
    <t>d.pinson@uniandes.edu.co</t>
  </si>
  <si>
    <t>CPOL-2152</t>
  </si>
  <si>
    <t>CPOL-1000</t>
  </si>
  <si>
    <t>LENG-2588</t>
  </si>
  <si>
    <t>Maylis</t>
  </si>
  <si>
    <t>de Bouët du Portal</t>
  </si>
  <si>
    <t>b00730040@essec.edu</t>
  </si>
  <si>
    <t>m.debouetdu@uniandes.edu.co</t>
  </si>
  <si>
    <t>ADMI-3211</t>
  </si>
  <si>
    <t>emmanuelle</t>
  </si>
  <si>
    <t>huet</t>
  </si>
  <si>
    <t>emmanuelle.huet@essec.edu</t>
  </si>
  <si>
    <t>e.huet@uniandes.edu.co</t>
  </si>
  <si>
    <t>MGAD-4103</t>
  </si>
  <si>
    <t>MGAP-4418</t>
  </si>
  <si>
    <t>MGAP-4434</t>
  </si>
  <si>
    <t>Lamia</t>
  </si>
  <si>
    <t>Ouederni</t>
  </si>
  <si>
    <t>lamia.ouederni@essec.edu</t>
  </si>
  <si>
    <t>l.ouederni@uniandes.edu.co</t>
  </si>
  <si>
    <t>MGPD-4446</t>
  </si>
  <si>
    <t>MGAD-4606</t>
  </si>
  <si>
    <t>Agathe</t>
  </si>
  <si>
    <t>Saulot</t>
  </si>
  <si>
    <t>agathe.saulot@gmail.com</t>
  </si>
  <si>
    <t>a.saulot@uniandes.edu.co</t>
  </si>
  <si>
    <t>Jean</t>
  </si>
  <si>
    <t>Tawil</t>
  </si>
  <si>
    <t>jean.tawil@essec.edu</t>
  </si>
  <si>
    <t>j.tawil@uniandes.edu.co</t>
  </si>
  <si>
    <t>MADM-4250</t>
  </si>
  <si>
    <t>MADM-4459</t>
  </si>
  <si>
    <t>MFIN-4261</t>
  </si>
  <si>
    <t>MFIN-4206</t>
  </si>
  <si>
    <t>Victoire</t>
  </si>
  <si>
    <t>Herbeau</t>
  </si>
  <si>
    <t>victoire.herbeau@grenoble-em.com</t>
  </si>
  <si>
    <t>v.herbeau@uniandes.edu.co</t>
  </si>
  <si>
    <t>Romeo Fernando Stig</t>
  </si>
  <si>
    <t>Moro-lin</t>
  </si>
  <si>
    <t>romo19ac@student.cbs.dk</t>
  </si>
  <si>
    <t>r.moro@uniandes.edu.co</t>
  </si>
  <si>
    <t>ADMI-2801</t>
  </si>
  <si>
    <t>Joseph</t>
  </si>
  <si>
    <t>Panijel</t>
  </si>
  <si>
    <t>jpanijel.ieu2018@student.ie.edu</t>
  </si>
  <si>
    <t>j.panijel@uniandes.edu.co</t>
  </si>
  <si>
    <t>Pinar</t>
  </si>
  <si>
    <t>Dönmüs</t>
  </si>
  <si>
    <t>pinardnms@hotmail.com</t>
  </si>
  <si>
    <t>p.donmus@uniandes.edu.co</t>
  </si>
  <si>
    <t>ADMI-3884</t>
  </si>
  <si>
    <t>Elsa</t>
  </si>
  <si>
    <t>Calleja</t>
  </si>
  <si>
    <t>elsa.2209@orange.fr</t>
  </si>
  <si>
    <t>e.calleja@uniandes.edu.co</t>
  </si>
  <si>
    <t>MFIN-4100</t>
  </si>
  <si>
    <t>MFIN-4216</t>
  </si>
  <si>
    <t>CBCO-1165</t>
  </si>
  <si>
    <t>Rayan</t>
  </si>
  <si>
    <t>Milotic</t>
  </si>
  <si>
    <t>R.Milotic@hotmail.com</t>
  </si>
  <si>
    <t>r.milotic@uniandes.edu.co</t>
  </si>
  <si>
    <t>MGIT-4104</t>
  </si>
  <si>
    <t>Pierre</t>
  </si>
  <si>
    <t>Pochet</t>
  </si>
  <si>
    <t>pierre.pochet.20@neoma-bs.com</t>
  </si>
  <si>
    <t>p.pochet@uniandes.edu.co</t>
  </si>
  <si>
    <t>MFIN-4256</t>
  </si>
  <si>
    <t>MGAP-4447</t>
  </si>
  <si>
    <t>MBIT-4211</t>
  </si>
  <si>
    <t>CONT-3114</t>
  </si>
  <si>
    <t>Mattia</t>
  </si>
  <si>
    <t>Del Treste</t>
  </si>
  <si>
    <t>mattia.deltreste@mail.polimi.it</t>
  </si>
  <si>
    <t>m.del@uniandes.edu.co</t>
  </si>
  <si>
    <t>MADM-4999</t>
  </si>
  <si>
    <t>MIFI-4004</t>
  </si>
  <si>
    <t>IIND-4406</t>
  </si>
  <si>
    <t>Flaminia</t>
  </si>
  <si>
    <t>Galeani</t>
  </si>
  <si>
    <t>flaminia.galeani@mail.polimi.it</t>
  </si>
  <si>
    <t>f.galeani@uniandes.edu.co</t>
  </si>
  <si>
    <t>MSCM-4014</t>
  </si>
  <si>
    <t>MSCM-4016</t>
  </si>
  <si>
    <t>MGIT-4103</t>
  </si>
  <si>
    <t>DEPO-3248</t>
  </si>
  <si>
    <t>Simone</t>
  </si>
  <si>
    <t>Gentili</t>
  </si>
  <si>
    <t>simone.gentili@mail.polimi.it</t>
  </si>
  <si>
    <t>s.gentili@uniandes.edu.co</t>
  </si>
  <si>
    <t>MIFI-4001</t>
  </si>
  <si>
    <t>MIFI-4002</t>
  </si>
  <si>
    <t>ADMI-3406</t>
  </si>
  <si>
    <t>MGLO-4005</t>
  </si>
  <si>
    <t>Franken Villa</t>
  </si>
  <si>
    <t>da.frankenvilla@gmail.com</t>
  </si>
  <si>
    <t>d.franken@uniandes.edu.co</t>
  </si>
  <si>
    <t>Heckmann</t>
  </si>
  <si>
    <t>nani.heckmann@gmail.com</t>
  </si>
  <si>
    <t>d.heckman@uniandes.edu.co</t>
  </si>
  <si>
    <t>ECON-1501</t>
  </si>
  <si>
    <t>Leon</t>
  </si>
  <si>
    <t>Seubert</t>
  </si>
  <si>
    <t>seubertleon@gmail.com</t>
  </si>
  <si>
    <t>l.seubert@uniandes.edu.co</t>
  </si>
  <si>
    <t>ADMI-3604</t>
  </si>
  <si>
    <t>ISIS-3710</t>
  </si>
  <si>
    <t>Paulina</t>
  </si>
  <si>
    <t>Sonntag</t>
  </si>
  <si>
    <t>psonntag@mail.uni-mannheim.de</t>
  </si>
  <si>
    <t>p.sonntag@uniandes.edu.co</t>
  </si>
  <si>
    <t>Markus Simon</t>
  </si>
  <si>
    <t>Mitterhofer</t>
  </si>
  <si>
    <t>markus.mitterhofer@student.unisg.ch</t>
  </si>
  <si>
    <t>m.mitterhofer@uniandes.edu.co</t>
  </si>
  <si>
    <t>CPOL-2247</t>
  </si>
  <si>
    <t>HIST-2210</t>
  </si>
  <si>
    <t>MFIN-4251</t>
  </si>
  <si>
    <t>MADM-4204</t>
  </si>
  <si>
    <t>DEPO-1229</t>
  </si>
  <si>
    <t>CHLOE</t>
  </si>
  <si>
    <t>ENDENE NDEMA</t>
  </si>
  <si>
    <t>chloe.endene-ndema@em-strasbourg.eu</t>
  </si>
  <si>
    <t>c.endene@uniandes.edu.co</t>
  </si>
  <si>
    <t>CBCO-1293</t>
  </si>
  <si>
    <t>CAROLINA</t>
  </si>
  <si>
    <t>ALZATE QUIROGA</t>
  </si>
  <si>
    <t>c.alzateq@uniandes.edu.co</t>
  </si>
  <si>
    <t>MGLO-4001</t>
  </si>
  <si>
    <t>MGLO-4003</t>
  </si>
  <si>
    <t>DANIEL</t>
  </si>
  <si>
    <t>D'ELIA DA COSTA</t>
  </si>
  <si>
    <t>d.delia@uniandes.edu.co</t>
  </si>
  <si>
    <t>NIKA</t>
  </si>
  <si>
    <t>DULEVICH</t>
  </si>
  <si>
    <t>n.dulevich@uniandes.edu.co</t>
  </si>
  <si>
    <t>NICOLAS</t>
  </si>
  <si>
    <t>LOPEZ CANO</t>
  </si>
  <si>
    <t>n.lopez3@uniandes.edu.co</t>
  </si>
  <si>
    <t>LUKAS</t>
  </si>
  <si>
    <t>TANZMAYR</t>
  </si>
  <si>
    <t>l.tanzmayr@uniandes.edu.co</t>
  </si>
  <si>
    <t>ELLA SOPHIE</t>
  </si>
  <si>
    <t>WEBER</t>
  </si>
  <si>
    <t>es.weber@uniandes.edu.co</t>
  </si>
  <si>
    <t>Soryane</t>
  </si>
  <si>
    <t>Thiam</t>
  </si>
  <si>
    <t>s.thiam@tbs-education.org</t>
  </si>
  <si>
    <t>CBCA-1234</t>
  </si>
  <si>
    <t>CBPC-1099</t>
  </si>
  <si>
    <t>Dominika Aleksandra</t>
  </si>
  <si>
    <t>Miazek</t>
  </si>
  <si>
    <t>Aalborg Universitet</t>
  </si>
  <si>
    <t>dominika.miazek@gmail.com</t>
  </si>
  <si>
    <t>d.miazek@uniandes.edu.co</t>
  </si>
  <si>
    <t>MADM-4930</t>
  </si>
  <si>
    <t>Charlotte Sylvie</t>
  </si>
  <si>
    <t>Paolantoni</t>
  </si>
  <si>
    <t>charlotte.paolantoni@audencia.com</t>
  </si>
  <si>
    <t>c.paolantoni@uniandes.edu.co</t>
  </si>
  <si>
    <t>Léa Angele</t>
  </si>
  <si>
    <t>Renaudin</t>
  </si>
  <si>
    <t>lea.renaudin@audencia.com</t>
  </si>
  <si>
    <t>l.renaudin@uniandes.edu.co</t>
  </si>
  <si>
    <t>Patrouillard</t>
  </si>
  <si>
    <t>nicolas.patrouillard@edu.escp.eu</t>
  </si>
  <si>
    <t>n.patrouillard@uniandes.edu.co</t>
  </si>
  <si>
    <t>MFIN-4210</t>
  </si>
  <si>
    <t>David Yavar</t>
  </si>
  <si>
    <t>Malet</t>
  </si>
  <si>
    <t>david.malet@myicn.fr</t>
  </si>
  <si>
    <t>d.malet@uniandes.edu.co</t>
  </si>
  <si>
    <t>Léopold Marie Yorick</t>
  </si>
  <si>
    <t>Domange</t>
  </si>
  <si>
    <t>ldomange.ieu2019@student.ie.edu</t>
  </si>
  <si>
    <t>l.domange@uniandes.edu.co</t>
  </si>
  <si>
    <t>ECON-2205</t>
  </si>
  <si>
    <t>ECON-3672</t>
  </si>
  <si>
    <t>LENG-2130</t>
  </si>
  <si>
    <t>Paul</t>
  </si>
  <si>
    <t>Westpfahl</t>
  </si>
  <si>
    <t>paulwfl@outlook.fr</t>
  </si>
  <si>
    <t>p.westpfahl@uniandes.edu.co</t>
  </si>
  <si>
    <t>Boris Lee F</t>
  </si>
  <si>
    <t>Regnault de Maulmin</t>
  </si>
  <si>
    <t>Boris.regnaultdemaulmin@sciencespo.fr</t>
  </si>
  <si>
    <t>b.regnault@uniandes.edu.co</t>
  </si>
  <si>
    <t>HIST-2800</t>
  </si>
  <si>
    <t>HIST-2111</t>
  </si>
  <si>
    <t>HIST-1110</t>
  </si>
  <si>
    <t>DEPO-3114</t>
  </si>
  <si>
    <t>Leon Patrick</t>
  </si>
  <si>
    <t>Methner</t>
  </si>
  <si>
    <t>l.methner@gmx.de</t>
  </si>
  <si>
    <t>l.methner@uniandes.edu.co</t>
  </si>
  <si>
    <t>Franziskus Lucius Constantin Jens</t>
  </si>
  <si>
    <t>Graf von Saurma-Jeltsch</t>
  </si>
  <si>
    <t>f.grafvonsaurma-jeltsch@student.maastrichtuniversity.nl</t>
  </si>
  <si>
    <t>f.graf@uniandes.edu.co</t>
  </si>
  <si>
    <t>CPOL-3203</t>
  </si>
  <si>
    <t>Delal</t>
  </si>
  <si>
    <t>Karabulut</t>
  </si>
  <si>
    <t>Delal.karabulut97@gmail.com</t>
  </si>
  <si>
    <t>d.karabulut@uniandes.edu.co</t>
  </si>
  <si>
    <t>EGOB-3541</t>
  </si>
  <si>
    <t>DERE-3601</t>
  </si>
  <si>
    <t>Louise Philippa</t>
  </si>
  <si>
    <t>Koenig</t>
  </si>
  <si>
    <t>lp.konig@student.maastrichtuniversity.nl</t>
  </si>
  <si>
    <t>l.koenig@uniandes.edu.co</t>
  </si>
  <si>
    <t>Gaspard Louis Marie</t>
  </si>
  <si>
    <t>Madelin</t>
  </si>
  <si>
    <t>gaspard.madelin@mail.mcgill.ca</t>
  </si>
  <si>
    <t>g.madelin@uniandes.edu.co</t>
  </si>
  <si>
    <t>MMER-4351</t>
  </si>
  <si>
    <t>Antoine Patrick H</t>
  </si>
  <si>
    <t>Vander Elst</t>
  </si>
  <si>
    <t>antoine.vde26@gmail.com</t>
  </si>
  <si>
    <t>a.vander@uniandes.edu.co</t>
  </si>
  <si>
    <t>ADMI-3208</t>
  </si>
  <si>
    <t>LENG-1574</t>
  </si>
  <si>
    <t>Lila Alice</t>
  </si>
  <si>
    <t>Claudot</t>
  </si>
  <si>
    <t>lila.claudot.19@neoma-bs.com</t>
  </si>
  <si>
    <t>l.claudot@uniandes.edu.co</t>
  </si>
  <si>
    <t>Lounis</t>
  </si>
  <si>
    <t>Hariche</t>
  </si>
  <si>
    <t>lounis.hariche@gmail.com</t>
  </si>
  <si>
    <t>l.hariche@uniandes.edu.co</t>
  </si>
  <si>
    <t>MFIN-4000</t>
  </si>
  <si>
    <t>ADMI-2205</t>
  </si>
  <si>
    <t>Andreas Sebastian</t>
  </si>
  <si>
    <t>Rank</t>
  </si>
  <si>
    <t>andreas.rank@tum.de</t>
  </si>
  <si>
    <t>a.rank@uniandes.edu.co</t>
  </si>
  <si>
    <t>MBIT-4102</t>
  </si>
  <si>
    <t>Joshua Martin</t>
  </si>
  <si>
    <t>Riederle</t>
  </si>
  <si>
    <t>joshua.riederle@tum.de</t>
  </si>
  <si>
    <t>j.riederle@uniandes.edu.co</t>
  </si>
  <si>
    <t>ARTE-1143</t>
  </si>
  <si>
    <t>ARTE-1141</t>
  </si>
  <si>
    <t>MMER-4009</t>
  </si>
  <si>
    <t>Romain Lionel Jules</t>
  </si>
  <si>
    <t>Berezaie</t>
  </si>
  <si>
    <t>r.berezaie@tbs-education.org</t>
  </si>
  <si>
    <t>r.berezaie@uniandes.edu.co</t>
  </si>
  <si>
    <t>ADMI-3241</t>
  </si>
  <si>
    <t>ADMI-3398</t>
  </si>
  <si>
    <t>ADMI-3405</t>
  </si>
  <si>
    <t>Noémie Johanna</t>
  </si>
  <si>
    <t>Forson</t>
  </si>
  <si>
    <t>n.forson@tbs-education.org</t>
  </si>
  <si>
    <t>n.forson@uniandes.edu.co</t>
  </si>
  <si>
    <t>Guillaume Eric Julien</t>
  </si>
  <si>
    <t>Germond</t>
  </si>
  <si>
    <t>g.germond@tbs-education.org</t>
  </si>
  <si>
    <t>g.germond@uniandes.edu.co</t>
  </si>
  <si>
    <t>Jade Lyliane Michele</t>
  </si>
  <si>
    <t>Moulin</t>
  </si>
  <si>
    <t>jade.moulin@tbs-education.org</t>
  </si>
  <si>
    <t>j.moulin@uniandes.edu.co</t>
  </si>
  <si>
    <t>Maxwell James</t>
  </si>
  <si>
    <t>Murphy</t>
  </si>
  <si>
    <t>mmurphy11@tulane.edu</t>
  </si>
  <si>
    <t>m.murphy@uniandes.edu.co</t>
  </si>
  <si>
    <t>Kelsey Ann</t>
  </si>
  <si>
    <t>Worley</t>
  </si>
  <si>
    <t>kworley@tulane.edu</t>
  </si>
  <si>
    <t>k.worley@uniandes.edu.co</t>
  </si>
  <si>
    <t>Paul Joseph</t>
  </si>
  <si>
    <t>Yermish</t>
  </si>
  <si>
    <t>pyermish@tulane.edu</t>
  </si>
  <si>
    <t>p.yermish@uniandes.edu.co</t>
  </si>
  <si>
    <t>Alejandria</t>
  </si>
  <si>
    <t>Caicedo Rivera</t>
  </si>
  <si>
    <t>Universidad Católica Boliviana 'San Pablo'</t>
  </si>
  <si>
    <t>alejandria.caicedo@ucb.edu.bo</t>
  </si>
  <si>
    <t>a.caicedor@uniandes.edu.co</t>
  </si>
  <si>
    <t>CHNA-1801</t>
  </si>
  <si>
    <t>LENG-1201</t>
  </si>
  <si>
    <t>DEPO-1230</t>
  </si>
  <si>
    <t>DEPO-1212</t>
  </si>
  <si>
    <t>Itzel Alexandra</t>
  </si>
  <si>
    <t>Hernández Garcia</t>
  </si>
  <si>
    <t>itzelalexahg63@gmail.com</t>
  </si>
  <si>
    <t>i.hernandezg@uniandes.edu.co</t>
  </si>
  <si>
    <t>CISO-4007</t>
  </si>
  <si>
    <t>CBPC-1281</t>
  </si>
  <si>
    <t>Romano</t>
  </si>
  <si>
    <t>lorenzoromano1511@gmail.com</t>
  </si>
  <si>
    <t>l.romano@uniandes.edu.co</t>
  </si>
  <si>
    <t>MMER-4300</t>
  </si>
  <si>
    <t>MMER-4302</t>
  </si>
  <si>
    <t>MMER-4307</t>
  </si>
  <si>
    <t>DEPO-1235</t>
  </si>
  <si>
    <t>ECON-1701</t>
  </si>
  <si>
    <t>CPOL-2255</t>
  </si>
  <si>
    <t>CPOL-2351</t>
  </si>
  <si>
    <t>Louise</t>
  </si>
  <si>
    <t>Dorin</t>
  </si>
  <si>
    <t>louise.dorin@audencia.com</t>
  </si>
  <si>
    <t>l.dorin@uniandes.edu.co</t>
  </si>
  <si>
    <t>MGAD-4609</t>
  </si>
  <si>
    <t>MGAD-4201</t>
  </si>
  <si>
    <t>Julia</t>
  </si>
  <si>
    <t>PERRIN</t>
  </si>
  <si>
    <t>juliamaria.perrin@audencia.com</t>
  </si>
  <si>
    <t>j.perrin@uniandes.edu.co</t>
  </si>
  <si>
    <t>Enzo</t>
  </si>
  <si>
    <t>Thorel Delille</t>
  </si>
  <si>
    <t>enzo.thorel-delille@hec.ca</t>
  </si>
  <si>
    <t>e.thorel@uniandes.edu.co</t>
  </si>
  <si>
    <t>Pietro Maria</t>
  </si>
  <si>
    <t>Rossi</t>
  </si>
  <si>
    <t>pietromrossi@gmail.com</t>
  </si>
  <si>
    <t>p.rossi@uniandes.edu.co</t>
  </si>
  <si>
    <t>MADM-4153</t>
  </si>
  <si>
    <t>MADM-4372</t>
  </si>
  <si>
    <t>Noemie</t>
  </si>
  <si>
    <t>SEH</t>
  </si>
  <si>
    <t>noemie.seh@edu.escp.eu</t>
  </si>
  <si>
    <t>n.seh@uniandes.edu.co</t>
  </si>
  <si>
    <t>MGPD-4454</t>
  </si>
  <si>
    <t>MGAD-4605</t>
  </si>
  <si>
    <t>MGAD-4302</t>
  </si>
  <si>
    <t>Tom</t>
  </si>
  <si>
    <t>DUCOURANT</t>
  </si>
  <si>
    <t>tom.ducourant@essec.edu</t>
  </si>
  <si>
    <t>t.ducourant@uniandes.edu.co</t>
  </si>
  <si>
    <t>Clement</t>
  </si>
  <si>
    <t>Flaherty</t>
  </si>
  <si>
    <t>b00773706@essec.edu</t>
  </si>
  <si>
    <t>c.flaherty@uniandes.edu.co</t>
  </si>
  <si>
    <t>MADM-4412</t>
  </si>
  <si>
    <t>Mathieu</t>
  </si>
  <si>
    <t>Cadet</t>
  </si>
  <si>
    <t>mathieu.cadet@grenoble-em.com</t>
  </si>
  <si>
    <t>m.cadet@uniandes.edu.co</t>
  </si>
  <si>
    <t>Johanne Juhl</t>
  </si>
  <si>
    <t>Jensen</t>
  </si>
  <si>
    <t>joje20ai@student.cbs.dk</t>
  </si>
  <si>
    <t>j.jensen@uniandes.edu.co</t>
  </si>
  <si>
    <t>GLOB-2300</t>
  </si>
  <si>
    <t>DERE-1202</t>
  </si>
  <si>
    <t>Rui</t>
  </si>
  <si>
    <t>Machado De Araujo</t>
  </si>
  <si>
    <t>rui.machado@hotmail.it</t>
  </si>
  <si>
    <t>r.machado@uniandes.edu.co</t>
  </si>
  <si>
    <t>Nielsen</t>
  </si>
  <si>
    <t>Sebastian Kim Bjerring</t>
  </si>
  <si>
    <t>seni20ab@student.cbs.dk</t>
  </si>
  <si>
    <t>s.nielsen@uniandes.edu.co</t>
  </si>
  <si>
    <t>Jessy-Jacques</t>
  </si>
  <si>
    <t>Mutombo</t>
  </si>
  <si>
    <t>jj.mutombo@outlook.fr</t>
  </si>
  <si>
    <t>j.mutombo@uniandes.edu.co</t>
  </si>
  <si>
    <t>LENG-1571</t>
  </si>
  <si>
    <t>Emma</t>
  </si>
  <si>
    <t>Gettliffe</t>
  </si>
  <si>
    <t>egettliffe.ieu2019@student.ie.edu</t>
  </si>
  <si>
    <t>e.gettliffe@uniandes.edu.co</t>
  </si>
  <si>
    <t>EGOB-3115</t>
  </si>
  <si>
    <t>CPOL-1300</t>
  </si>
  <si>
    <t>GLOB-3200</t>
  </si>
  <si>
    <t>Esmeralda</t>
  </si>
  <si>
    <t>Hernandez Contreras</t>
  </si>
  <si>
    <t>A01246519@tec.mx</t>
  </si>
  <si>
    <t>e.hernandezc2@uniandes.edu.co</t>
  </si>
  <si>
    <t>Jatziri Meylim</t>
  </si>
  <si>
    <t>Ortiz Trujillo</t>
  </si>
  <si>
    <t>A0142528@tec.mx</t>
  </si>
  <si>
    <t>jm.ortizt1@uniandes.edu.co</t>
  </si>
  <si>
    <t>Jesús</t>
  </si>
  <si>
    <t>Romero Rodríguez</t>
  </si>
  <si>
    <t>jesusr1204d@gmail.com</t>
  </si>
  <si>
    <t>j.romeror23@uniandes.edu.co</t>
  </si>
  <si>
    <t>DEPO-1207</t>
  </si>
  <si>
    <t>Fredi</t>
  </si>
  <si>
    <t>Toledo Villavicencio</t>
  </si>
  <si>
    <t>A01552592@tec.mx</t>
  </si>
  <si>
    <t>f.toledo@uniandes.edu.co</t>
  </si>
  <si>
    <t>ADMI-3205</t>
  </si>
  <si>
    <t>de Geus</t>
  </si>
  <si>
    <t>Jönköping University</t>
  </si>
  <si>
    <t>juliadegeus1999@live.nl</t>
  </si>
  <si>
    <t>j.deg@uniandes.edu.co</t>
  </si>
  <si>
    <t>Johannes</t>
  </si>
  <si>
    <t>Keil</t>
  </si>
  <si>
    <t>johannes.keil@aol.de</t>
  </si>
  <si>
    <t>j.keil@uniandes.edu.co</t>
  </si>
  <si>
    <t>Twan</t>
  </si>
  <si>
    <t>van den Heuvel</t>
  </si>
  <si>
    <t>twanheuvel@gmail.com</t>
  </si>
  <si>
    <t>t.vand@uniandes.edu.co</t>
  </si>
  <si>
    <t>Helena</t>
  </si>
  <si>
    <t>Back</t>
  </si>
  <si>
    <t>h.back@student.maastrichtuniversity.nl</t>
  </si>
  <si>
    <t>h.back@uniandes.edu.co</t>
  </si>
  <si>
    <t>Sacha</t>
  </si>
  <si>
    <t>Servais</t>
  </si>
  <si>
    <t>scsrvsacha@gmail.com</t>
  </si>
  <si>
    <t>s.servais@uniandes.edu.co</t>
  </si>
  <si>
    <t>MMER-4301</t>
  </si>
  <si>
    <t>MADM-4200</t>
  </si>
  <si>
    <t>MMER-4334</t>
  </si>
  <si>
    <t>MMER-4346</t>
  </si>
  <si>
    <t>Ramezani</t>
  </si>
  <si>
    <t>nicolas.ramezani.20@neoma-bs.com</t>
  </si>
  <si>
    <t>n.ramezani@uniandes.edu.co</t>
  </si>
  <si>
    <t>MMER-4354</t>
  </si>
  <si>
    <t>MFIN-4249</t>
  </si>
  <si>
    <t>Alessandro</t>
  </si>
  <si>
    <t>Campa</t>
  </si>
  <si>
    <t>alessandro1.campa@mail.polimi.it</t>
  </si>
  <si>
    <t>a.campa@uniandes.edu.co</t>
  </si>
  <si>
    <t>IALI-3111</t>
  </si>
  <si>
    <t>Rebecca</t>
  </si>
  <si>
    <t>Gennaccari</t>
  </si>
  <si>
    <t>rebecca.gennaccari@mail.polimi.it</t>
  </si>
  <si>
    <t>r.gennaccari@uniandes.edu.co</t>
  </si>
  <si>
    <t>Antonia Isidora</t>
  </si>
  <si>
    <t>Mena Quevedo</t>
  </si>
  <si>
    <t>menaantonia@uc.cl</t>
  </si>
  <si>
    <t>a.menaq@uniandes.edu.co</t>
  </si>
  <si>
    <t>MUSI-1139</t>
  </si>
  <si>
    <t>FILO-1063</t>
  </si>
  <si>
    <t>Caroline</t>
  </si>
  <si>
    <t>Lerdahl</t>
  </si>
  <si>
    <t>carolinekjedler@gmail.com</t>
  </si>
  <si>
    <t>c.lerdahl@uniandes.edu.co</t>
  </si>
  <si>
    <t>Felix Neo</t>
  </si>
  <si>
    <t>Rieder</t>
  </si>
  <si>
    <t>felix.rieder@tum.de</t>
  </si>
  <si>
    <t>f.rieder@uniandes.edu.co</t>
  </si>
  <si>
    <t>DEPO-1233</t>
  </si>
  <si>
    <t>Duffner</t>
  </si>
  <si>
    <t>sduffner@tulane.edu</t>
  </si>
  <si>
    <t>s.duffner@uniandes.edu.co</t>
  </si>
  <si>
    <t>Vaishnavi</t>
  </si>
  <si>
    <t>Kandala</t>
  </si>
  <si>
    <t>vkandala@tulane.edu</t>
  </si>
  <si>
    <t>v.kandala@uniandes.edu.co</t>
  </si>
  <si>
    <t>DERE-2601</t>
  </si>
  <si>
    <t>LITE-3108</t>
  </si>
  <si>
    <t>LENG-1202</t>
  </si>
  <si>
    <t>Paola Luz Fatima</t>
  </si>
  <si>
    <t>Medina Segovia</t>
  </si>
  <si>
    <t>paola.medina@ucb.edu.bo</t>
  </si>
  <si>
    <t>p.medinas@uniandes.edu.co</t>
  </si>
  <si>
    <t>Frederico Maria</t>
  </si>
  <si>
    <t>Correia de Barros Mendes de Almeida</t>
  </si>
  <si>
    <t>fredericoma2002@hotmail.com</t>
  </si>
  <si>
    <t>f.correia@uniandes.edu.co</t>
  </si>
  <si>
    <t>ECON-2107</t>
  </si>
  <si>
    <t>Gonçalo</t>
  </si>
  <si>
    <t>Ministro</t>
  </si>
  <si>
    <t>47106@novasbe.pt</t>
  </si>
  <si>
    <t>g.malho@uniandes.edu.co</t>
  </si>
  <si>
    <t>Maria do Mar</t>
  </si>
  <si>
    <t>Seabra</t>
  </si>
  <si>
    <t>mariadomarseabra@gmail.com</t>
  </si>
  <si>
    <t>m.sousa@uniandes.edu.co</t>
  </si>
  <si>
    <t>Rebekka</t>
  </si>
  <si>
    <t>Rasi</t>
  </si>
  <si>
    <t>rebekka.rasi@gmail.com</t>
  </si>
  <si>
    <t>r.rasi@uniandes.edu.co</t>
  </si>
  <si>
    <t>MADM-4450</t>
  </si>
  <si>
    <t>MMER-4362</t>
  </si>
  <si>
    <t>José Antonio</t>
  </si>
  <si>
    <t>Ramírez Valero</t>
  </si>
  <si>
    <t>jose.antonio.ramirez@euncet.es</t>
  </si>
  <si>
    <t>j.ramirezv@uniandes.edu.co</t>
  </si>
  <si>
    <t>ECON-2211</t>
  </si>
  <si>
    <t>Alice</t>
  </si>
  <si>
    <t>alicemariecharlotte.perrin@alumni.esade.edu</t>
  </si>
  <si>
    <t>a.perrin@uniandes.edu.co</t>
  </si>
  <si>
    <t>Shauna</t>
  </si>
  <si>
    <t>Rollier</t>
  </si>
  <si>
    <t>shauna.rollier@etu.unige.ch</t>
  </si>
  <si>
    <t>s.rollier@uniandes.edu.co</t>
  </si>
  <si>
    <t>Ines</t>
  </si>
  <si>
    <t>Zakoum</t>
  </si>
  <si>
    <t>ines.zakoum@gmail.com</t>
  </si>
  <si>
    <t>i.zakoum@uniandes.edu.co</t>
  </si>
  <si>
    <t>ARTE-1151</t>
  </si>
  <si>
    <t>CBCA-1024</t>
  </si>
  <si>
    <t>ARTE-1140</t>
  </si>
  <si>
    <t>Matthieu</t>
  </si>
  <si>
    <t>Delattre</t>
  </si>
  <si>
    <t>matthieu6969@icloud.com</t>
  </si>
  <si>
    <t>m.delattre@uniandes.edu.co</t>
  </si>
  <si>
    <t>Fleur</t>
  </si>
  <si>
    <t>Lajouanie</t>
  </si>
  <si>
    <t>fleur.lajouanie@dauphine.eu</t>
  </si>
  <si>
    <t>f.lajouanie@uniandes.edu.co</t>
  </si>
  <si>
    <t>DEPO-1245</t>
  </si>
  <si>
    <t>Daan</t>
  </si>
  <si>
    <t>Bozon</t>
  </si>
  <si>
    <t>d.a.h.bozon@students.uu.nl</t>
  </si>
  <si>
    <t>d.bozon@uniandes.edu.co</t>
  </si>
  <si>
    <t>Nout</t>
  </si>
  <si>
    <t>Gerhards</t>
  </si>
  <si>
    <t>ngerhards27@gmail.com</t>
  </si>
  <si>
    <t>n.gerhards@uniandes.edu.co</t>
  </si>
  <si>
    <t>MGLO-4004</t>
  </si>
  <si>
    <t>JONATHAN</t>
  </si>
  <si>
    <t>AMON</t>
  </si>
  <si>
    <t>jonny.amon@gmail.com</t>
  </si>
  <si>
    <t>j.amon@uniandes.edu.co</t>
  </si>
  <si>
    <t>MGLO-4006</t>
  </si>
  <si>
    <t>NATASHA</t>
  </si>
  <si>
    <t>BRIGUET</t>
  </si>
  <si>
    <t>2486004b@student.gla.ac.uk</t>
  </si>
  <si>
    <t>n.briguet@uniandes.edu.co</t>
  </si>
  <si>
    <t>JOSE GERARDO</t>
  </si>
  <si>
    <t>CASTILLO BERMUDEZ</t>
  </si>
  <si>
    <t>2449137c@student.gla.ac.uk</t>
  </si>
  <si>
    <t>jg.castillob1@uniandes.edu.co</t>
  </si>
  <si>
    <t>SZUTUNG</t>
  </si>
  <si>
    <t>CHEN</t>
  </si>
  <si>
    <t>szutungchen@gmail.com</t>
  </si>
  <si>
    <t>s.chen@uniandes.edu.co</t>
  </si>
  <si>
    <t>ALEJANDRA</t>
  </si>
  <si>
    <t>CRUZ FIGUEROA</t>
  </si>
  <si>
    <t>alejandra.cruzf@outlook.com</t>
  </si>
  <si>
    <t>a.cruzf2@uniandes.edu.co</t>
  </si>
  <si>
    <t>GABRIELA</t>
  </si>
  <si>
    <t>FERREIRA VAREJAO</t>
  </si>
  <si>
    <t>gf.varejao@gmail.com</t>
  </si>
  <si>
    <t>g.ferreirav@uniandes.edu.co</t>
  </si>
  <si>
    <t>MARIE DOMINIQUE E</t>
  </si>
  <si>
    <t>GILSON</t>
  </si>
  <si>
    <t>gilson.marie@hotmail.be</t>
  </si>
  <si>
    <t>m.gilson@uniandes.edu.co</t>
  </si>
  <si>
    <t>KEN OSKAR</t>
  </si>
  <si>
    <t>GOIGNER</t>
  </si>
  <si>
    <t>ken.goigner@gmail.com</t>
  </si>
  <si>
    <t>k.goigner@uniandes.edu.co</t>
  </si>
  <si>
    <t>KARLIJN LOUISE</t>
  </si>
  <si>
    <t>LOEVEN</t>
  </si>
  <si>
    <t>karlijnloeven@gmail.com</t>
  </si>
  <si>
    <t>k.loeven@uniandes.edu.co</t>
  </si>
  <si>
    <t>SPENCER TAMBLYN</t>
  </si>
  <si>
    <t>LONG</t>
  </si>
  <si>
    <t>spencerlong2018@gmail.com</t>
  </si>
  <si>
    <t>s.long@uniandes.edu.co</t>
  </si>
  <si>
    <t>Meszaros Ortiz</t>
  </si>
  <si>
    <t>Maria Lusia</t>
  </si>
  <si>
    <t>2684579M@student.gla.ac.uk</t>
  </si>
  <si>
    <t>m.meszaros@uniandes.edu.co</t>
  </si>
  <si>
    <t>CHAU CONG ANH</t>
  </si>
  <si>
    <t>NGUYEN</t>
  </si>
  <si>
    <t>conganh19991211@gmail.com</t>
  </si>
  <si>
    <t>c.nguyen@uniandes.edu.co</t>
  </si>
  <si>
    <t>Adams</t>
  </si>
  <si>
    <t>davidmichael.adams@mail.polimi.it</t>
  </si>
  <si>
    <t>d.adams@uniandes.edu.co</t>
  </si>
  <si>
    <t>Intercambio</t>
  </si>
  <si>
    <t>ADMI-3620</t>
  </si>
  <si>
    <t>LENG-1570</t>
  </si>
  <si>
    <t>Mariana Do Carmo</t>
  </si>
  <si>
    <t>Aguas Gomes Batalha</t>
  </si>
  <si>
    <t>46840@novasbe.pt</t>
  </si>
  <si>
    <t>m.aguas@uniandes.edu.co</t>
  </si>
  <si>
    <t>Filippo</t>
  </si>
  <si>
    <t>Badalotti</t>
  </si>
  <si>
    <t>filippo.badalotti@mail.polimi.it</t>
  </si>
  <si>
    <t>f.badalotti@uniandes.edu.co</t>
  </si>
  <si>
    <t>MSCM-4029</t>
  </si>
  <si>
    <t>MSCM-4027</t>
  </si>
  <si>
    <t>ADMI-3411</t>
  </si>
  <si>
    <t>IIND-3221</t>
  </si>
  <si>
    <t>IIND-4307</t>
  </si>
  <si>
    <t>IIND-3221T</t>
  </si>
  <si>
    <t>MMER-4348</t>
  </si>
  <si>
    <t>MSCM-4032</t>
  </si>
  <si>
    <t>DEPO-1206</t>
  </si>
  <si>
    <t>DEPO-1219</t>
  </si>
  <si>
    <t>DEPO-1258</t>
  </si>
  <si>
    <t>ECON-1305</t>
  </si>
  <si>
    <t>MADM-4340</t>
  </si>
  <si>
    <t>Mathilde Emma Julia Simone</t>
  </si>
  <si>
    <t>Beau</t>
  </si>
  <si>
    <t>mathilde.beau@edhec.com</t>
  </si>
  <si>
    <t>m.beau@uniandes.edu.co</t>
  </si>
  <si>
    <t>DERE-1301</t>
  </si>
  <si>
    <t>Alexander</t>
  </si>
  <si>
    <t>Belaire</t>
  </si>
  <si>
    <t>abelaire@tulane.edu</t>
  </si>
  <si>
    <t>a.belaire@uniandes.edu.co</t>
  </si>
  <si>
    <t>DEPO-1100</t>
  </si>
  <si>
    <t>DEPO-1200</t>
  </si>
  <si>
    <t>Joshua Michael</t>
  </si>
  <si>
    <t>Belew</t>
  </si>
  <si>
    <t>jbelew@tulane.edu</t>
  </si>
  <si>
    <t>j.belew@uniandes.edu.co</t>
  </si>
  <si>
    <t>Paul-Aaron Meyer Philippe</t>
  </si>
  <si>
    <t>Benharrouch</t>
  </si>
  <si>
    <t>pbenharrouch.ieu2020@student.ie.edu</t>
  </si>
  <si>
    <t>p.benharrouch@uniandes.edu.co</t>
  </si>
  <si>
    <t>Robert Francis</t>
  </si>
  <si>
    <t>Bermingham</t>
  </si>
  <si>
    <t>r.bermingham@student.maastrichtuniversity.nl</t>
  </si>
  <si>
    <t>r.bermingham@uniandes.edu.co</t>
  </si>
  <si>
    <t>Blanche Prune</t>
  </si>
  <si>
    <t>Blanchart</t>
  </si>
  <si>
    <t>blancheblanchart@gmail.com</t>
  </si>
  <si>
    <t>b.blanchart@uniandes.edu.co</t>
  </si>
  <si>
    <t>ECON-3620</t>
  </si>
  <si>
    <t>DERE-1101</t>
  </si>
  <si>
    <t xml:space="preserve">Silas Yannick </t>
  </si>
  <si>
    <t>BLEISCH</t>
  </si>
  <si>
    <t>silas.bleisch@gmail.com</t>
  </si>
  <si>
    <t>s.bleisch@uniandes.edu.co</t>
  </si>
  <si>
    <t>MIMC-4003</t>
  </si>
  <si>
    <t>MADM-4410</t>
  </si>
  <si>
    <t>MIMC-4002</t>
  </si>
  <si>
    <t>MIMC-4001</t>
  </si>
  <si>
    <t>MIMC-4004</t>
  </si>
  <si>
    <t>João</t>
  </si>
  <si>
    <t>Bruno Da Costa</t>
  </si>
  <si>
    <t>joaomariacosta11@Gmail.com</t>
  </si>
  <si>
    <t>j.marcal@uniandes.edu.co</t>
  </si>
  <si>
    <t>ECON-3212</t>
  </si>
  <si>
    <t>Paul Marie Martin</t>
  </si>
  <si>
    <t>Bustarret</t>
  </si>
  <si>
    <t>paul.bustarret@hec.edu</t>
  </si>
  <si>
    <t>p.bustarret@uniandes.edu.co</t>
  </si>
  <si>
    <t>ECON-3744</t>
  </si>
  <si>
    <t>Stefanie Katherine</t>
  </si>
  <si>
    <t>Cesti Palomino</t>
  </si>
  <si>
    <t>sk.cestip@alum.up.edu.pe</t>
  </si>
  <si>
    <t>s.cesti@uniandes.edu.co</t>
  </si>
  <si>
    <t>Solveig Manon Catherine</t>
  </si>
  <si>
    <t>Chaxel</t>
  </si>
  <si>
    <t>solveig.chaxel.20@neoma-bs.com</t>
  </si>
  <si>
    <t>s.chaxel@uniandes.edu.co</t>
  </si>
  <si>
    <t>Julie</t>
  </si>
  <si>
    <t>Cholley</t>
  </si>
  <si>
    <t>julie-cholley@hotmail.fr</t>
  </si>
  <si>
    <t>j.cholley@uniandes.edu.co</t>
  </si>
  <si>
    <t>MUSI-1017</t>
  </si>
  <si>
    <t>MUSI-1126</t>
  </si>
  <si>
    <t>Constantin</t>
  </si>
  <si>
    <t>Chryssostalis</t>
  </si>
  <si>
    <t>constantin.chryssostalis@edu.escp.eu</t>
  </si>
  <si>
    <t>c.chryssostalis@uniandes.edu.co</t>
  </si>
  <si>
    <t>MADM-4413</t>
  </si>
  <si>
    <t>MGAD-4454</t>
  </si>
  <si>
    <t>roan</t>
  </si>
  <si>
    <t>coli</t>
  </si>
  <si>
    <t>roan.coli@mail.polimi.it</t>
  </si>
  <si>
    <t>r.coli@uniandes.edu.co</t>
  </si>
  <si>
    <t>CBPC-1299</t>
  </si>
  <si>
    <t>ECON-3770</t>
  </si>
  <si>
    <t>Federico Maria</t>
  </si>
  <si>
    <t>Colombo</t>
  </si>
  <si>
    <t>f_colombo@studbocconi.it</t>
  </si>
  <si>
    <t>f.colombo@uniandes.edu.co</t>
  </si>
  <si>
    <t>MGLO-4002</t>
  </si>
  <si>
    <t>Andrea Lorenzo</t>
  </si>
  <si>
    <t>Conti</t>
  </si>
  <si>
    <t>andrealorenzo.conti@mail.polimi.it</t>
  </si>
  <si>
    <t>a.conti@uniandes.edu.co</t>
  </si>
  <si>
    <t>António Maria</t>
  </si>
  <si>
    <t>Da Cunha Jorge Payan Martins</t>
  </si>
  <si>
    <t>apayanmartins@gmail.com</t>
  </si>
  <si>
    <t>a.dac@uniandes.edu.co</t>
  </si>
  <si>
    <t>ADMI-3309</t>
  </si>
  <si>
    <t>Gaspard</t>
  </si>
  <si>
    <t>d'Arthuys</t>
  </si>
  <si>
    <t>gdarthuys@gmail.com</t>
  </si>
  <si>
    <t>g.d@uniandes.edu.co</t>
  </si>
  <si>
    <t>charlotte</t>
  </si>
  <si>
    <t>davau</t>
  </si>
  <si>
    <t>charliloute@gmail.com</t>
  </si>
  <si>
    <t>c.davau@uniandes.edu.co</t>
  </si>
  <si>
    <t>CISO-4029</t>
  </si>
  <si>
    <t>Maria Alejandra Miyuki</t>
  </si>
  <si>
    <t>Davila Nagamine</t>
  </si>
  <si>
    <t>2726163D@student.gla.ac.uk</t>
  </si>
  <si>
    <t>m.davilan@uniandes.edu.co</t>
  </si>
  <si>
    <t>GLOCAL</t>
  </si>
  <si>
    <t>Diaz Reyes</t>
  </si>
  <si>
    <t>danield75516@gmail.com</t>
  </si>
  <si>
    <t>d.diazr2@uniandes.edu.co</t>
  </si>
  <si>
    <t>Andreea-Monica</t>
  </si>
  <si>
    <t>DINKLAGE</t>
  </si>
  <si>
    <t>andreea.dinklage@gmail.com</t>
  </si>
  <si>
    <t>a.dinklage@uniandes.edu.co</t>
  </si>
  <si>
    <t>Rahmata</t>
  </si>
  <si>
    <t>DIOP</t>
  </si>
  <si>
    <t>rahmata.diop.21@neoma-bs.com</t>
  </si>
  <si>
    <t>r.diop@uniandes.edu.co</t>
  </si>
  <si>
    <t>Pierre Alexander</t>
  </si>
  <si>
    <t>East</t>
  </si>
  <si>
    <t>p.east@student.maastrichtuniversity.nl</t>
  </si>
  <si>
    <t>p.east@uniandes.edu.co</t>
  </si>
  <si>
    <t>Alexia Charlotte</t>
  </si>
  <si>
    <t>Farman-Perrin</t>
  </si>
  <si>
    <t>afarmanperri.ieu2020@student.ie.edu</t>
  </si>
  <si>
    <t>a.farman@uniandes.edu.co</t>
  </si>
  <si>
    <t>CBPC-1075</t>
  </si>
  <si>
    <t>Carlotta</t>
  </si>
  <si>
    <t>Fattarelli</t>
  </si>
  <si>
    <t>carlotta.fattarelli@mail.polimi.it</t>
  </si>
  <si>
    <t>c.fattarelli@uniandes.edu.co</t>
  </si>
  <si>
    <t>DEPO-1227</t>
  </si>
  <si>
    <t>Dennis</t>
  </si>
  <si>
    <t>Fischer</t>
  </si>
  <si>
    <t>dennis.fischer@student.maastrichtuniversity.nl</t>
  </si>
  <si>
    <t>d.fischer@uniandes.edu.co</t>
  </si>
  <si>
    <t>Thomas Bruno Laurent</t>
  </si>
  <si>
    <t>Garnier Usage Garnier - Tuck - Sherman</t>
  </si>
  <si>
    <t>thomas.garnier2@mail.mcgill.ca</t>
  </si>
  <si>
    <t>t.garnier@uniandes.edu.co</t>
  </si>
  <si>
    <t>Kévin</t>
  </si>
  <si>
    <t>Garriet</t>
  </si>
  <si>
    <t>kevin.garriet.21@neoma-bs.com</t>
  </si>
  <si>
    <t>k.garriet@uniandes.edu.co</t>
  </si>
  <si>
    <t>Leilt Assefa</t>
  </si>
  <si>
    <t>Gebeyehu</t>
  </si>
  <si>
    <t>2769982G@student.gla.ac.uk</t>
  </si>
  <si>
    <t>l.gebeyehu@uniandes.edu.co</t>
  </si>
  <si>
    <t>Alexandra</t>
  </si>
  <si>
    <t>Ghysen</t>
  </si>
  <si>
    <t>junioralexghysen@gmail.com</t>
  </si>
  <si>
    <t>a.ghysen@uniandes.edu.co</t>
  </si>
  <si>
    <t>Augustin Cédric Y</t>
  </si>
  <si>
    <t>Gilliot</t>
  </si>
  <si>
    <t>augustin.gilliot@gmail.com</t>
  </si>
  <si>
    <t>a.gilliot@uniandes.edu.co</t>
  </si>
  <si>
    <t>CEMS</t>
  </si>
  <si>
    <t>MIMC-4006</t>
  </si>
  <si>
    <t>MIMC-4007</t>
  </si>
  <si>
    <t>MIMC-4005</t>
  </si>
  <si>
    <t>Hendrik</t>
  </si>
  <si>
    <t>Götz</t>
  </si>
  <si>
    <t>hendrik.goetz@stud.the-klu.org</t>
  </si>
  <si>
    <t>h.gotz@uniandes.edu.co</t>
  </si>
  <si>
    <t>CBCA-1245</t>
  </si>
  <si>
    <t>Karolin</t>
  </si>
  <si>
    <t>Grunewald</t>
  </si>
  <si>
    <t>k.grunewald@student.maastrichtuniversity.nl</t>
  </si>
  <si>
    <t>k.grunewald@uniandes.edu.co</t>
  </si>
  <si>
    <t>Lola Alice Angéle</t>
  </si>
  <si>
    <t>Habran</t>
  </si>
  <si>
    <t>lola.habran.20.2@neoma-bs.com</t>
  </si>
  <si>
    <t>l.habran@uniandes.edu.co</t>
  </si>
  <si>
    <t>Anton</t>
  </si>
  <si>
    <t>Hahnewald</t>
  </si>
  <si>
    <t>anton.hahnewald@web.de</t>
  </si>
  <si>
    <t>a.hahnewald@uniandes.edu.co</t>
  </si>
  <si>
    <t>Dana</t>
  </si>
  <si>
    <t>Hammerich</t>
  </si>
  <si>
    <t>danahammerich@gmail.com</t>
  </si>
  <si>
    <t>d.hammerich@uniandes.edu.co</t>
  </si>
  <si>
    <t>Ambre Bertille Marie Sophie</t>
  </si>
  <si>
    <t>HENNION</t>
  </si>
  <si>
    <t>ambre.hennion@hec.edu</t>
  </si>
  <si>
    <t>a.hennion@uniandes.edu.co</t>
  </si>
  <si>
    <t>Alexandre</t>
  </si>
  <si>
    <t>Hess</t>
  </si>
  <si>
    <t>alexandre.hess@student.unisg.ch</t>
  </si>
  <si>
    <t>a.hess@uniandes.edu.co</t>
  </si>
  <si>
    <t>MIFI-4003</t>
  </si>
  <si>
    <t>MFIN-4203</t>
  </si>
  <si>
    <t>CBCO-1294</t>
  </si>
  <si>
    <t>CBCO-1411</t>
  </si>
  <si>
    <t>Hilgenga</t>
  </si>
  <si>
    <t>l.e.hilgenga@students.uu.nl</t>
  </si>
  <si>
    <t>l.hilgenga@uniandes.edu.co</t>
  </si>
  <si>
    <t>GEOC-1002</t>
  </si>
  <si>
    <t>Marta</t>
  </si>
  <si>
    <t>Inocéncio</t>
  </si>
  <si>
    <t>marta.inocencio@hotmail.com</t>
  </si>
  <si>
    <t>m.deoliveiramartins@uniandes.edu.co</t>
  </si>
  <si>
    <t>Jeanne</t>
  </si>
  <si>
    <t>Jestin</t>
  </si>
  <si>
    <t>jeanne.jestin@hec.edu</t>
  </si>
  <si>
    <t>j.jestin@uniandes.edu.co</t>
  </si>
  <si>
    <t>ECON-1001</t>
  </si>
  <si>
    <t>Iiro Aleksanteri</t>
  </si>
  <si>
    <t>Korhonen</t>
  </si>
  <si>
    <t>iiro.korhonen@aalto.fi</t>
  </si>
  <si>
    <t>i.korhonen@uniandes.edu.co</t>
  </si>
  <si>
    <t>GLOB-2101</t>
  </si>
  <si>
    <t>Julia Marguerite Cornélie</t>
  </si>
  <si>
    <t>kotlar</t>
  </si>
  <si>
    <t>julia.kotlar@audencia.com</t>
  </si>
  <si>
    <t>j.kotlar@uniandes.edu.co</t>
  </si>
  <si>
    <t>Lívia</t>
  </si>
  <si>
    <t>Lakatos</t>
  </si>
  <si>
    <t>livial@ruc.dk</t>
  </si>
  <si>
    <t>l.lakatos@uniandes.edu.co</t>
  </si>
  <si>
    <t>Rosana</t>
  </si>
  <si>
    <t>Lemaire</t>
  </si>
  <si>
    <t>rosanalmr@gmail.com</t>
  </si>
  <si>
    <t>r.lemaire@uniandes.edu.co</t>
  </si>
  <si>
    <t>Margot</t>
  </si>
  <si>
    <t>Lemoine</t>
  </si>
  <si>
    <t>margot.lemoine@audencia.com</t>
  </si>
  <si>
    <t>m.lemoine@uniandes.edu.co</t>
  </si>
  <si>
    <t>Nicola</t>
  </si>
  <si>
    <t>Letizia</t>
  </si>
  <si>
    <t>nicola.letizia@studbocconi.it</t>
  </si>
  <si>
    <t>n.letizia@uniandes.edu.co</t>
  </si>
  <si>
    <t>EGOB-1601</t>
  </si>
  <si>
    <t>Manuel</t>
  </si>
  <si>
    <t>Magalhães</t>
  </si>
  <si>
    <t>manuellimamagalhaes@gmail.com</t>
  </si>
  <si>
    <t>m.coutinho@uniandes.edu.co</t>
  </si>
  <si>
    <t>ECON-2112</t>
  </si>
  <si>
    <t>Zharkynai</t>
  </si>
  <si>
    <t>Maratbek kyzy</t>
  </si>
  <si>
    <t>maratbek_z@auca.kg</t>
  </si>
  <si>
    <t>z.maratbek@uniandes.edu.co</t>
  </si>
  <si>
    <t>Francesco Maria</t>
  </si>
  <si>
    <t>Messina</t>
  </si>
  <si>
    <t>francesco.messina2@studbocconi.it</t>
  </si>
  <si>
    <t>f.messina@uniandes.edu.co</t>
  </si>
  <si>
    <t>Juliette Suzanne Lisa</t>
  </si>
  <si>
    <t>Missioux</t>
  </si>
  <si>
    <t>juliette.missioux@audencia.com</t>
  </si>
  <si>
    <t>j.missioux@uniandes.edu.co</t>
  </si>
  <si>
    <t>Ahmed</t>
  </si>
  <si>
    <t>Mougou</t>
  </si>
  <si>
    <t>ahmed.mougou@edu.escp.eu</t>
  </si>
  <si>
    <t>a.mougou@uniandes.edu.co</t>
  </si>
  <si>
    <t>MADM-4338</t>
  </si>
  <si>
    <t>MADM-4113</t>
  </si>
  <si>
    <t>MADM-4936</t>
  </si>
  <si>
    <t>Amniya</t>
  </si>
  <si>
    <t>Muminshoeva</t>
  </si>
  <si>
    <t>muminshoeva_a@auca.kg</t>
  </si>
  <si>
    <t>a.muminshoeva@uniandes.edu.co</t>
  </si>
  <si>
    <t>CBPC-1435</t>
  </si>
  <si>
    <t>Neill</t>
  </si>
  <si>
    <t>lauraneill@live.co.uk</t>
  </si>
  <si>
    <t>l.neill@uniandes.edu.co</t>
  </si>
  <si>
    <t>Karl Axel</t>
  </si>
  <si>
    <t>NORDLIN</t>
  </si>
  <si>
    <t>axel@nordlin.com</t>
  </si>
  <si>
    <t>k.nordlin@uniandes.edu.co</t>
  </si>
  <si>
    <t>MADM-4939</t>
  </si>
  <si>
    <t>MADM-4462</t>
  </si>
  <si>
    <t>Pauline</t>
  </si>
  <si>
    <t>NUSSLE</t>
  </si>
  <si>
    <t>pauline.nussle@grenoble-em.com</t>
  </si>
  <si>
    <t>p.nussle@uniandes.edu.co</t>
  </si>
  <si>
    <t>ARTE-1144</t>
  </si>
  <si>
    <t>Mafalda</t>
  </si>
  <si>
    <t>Paixão</t>
  </si>
  <si>
    <t>paixaomafalda@gmail.com</t>
  </si>
  <si>
    <t>m.garciap23@uniandes.edu.co</t>
  </si>
  <si>
    <t>Plail</t>
  </si>
  <si>
    <t>plth22wq@student.ju.se</t>
  </si>
  <si>
    <t>t.plail@uniandes.edu.co</t>
  </si>
  <si>
    <t>Loay</t>
  </si>
  <si>
    <t>Rabky</t>
  </si>
  <si>
    <t>re.loay@gmail.com</t>
  </si>
  <si>
    <t>l.rabky@uniandes.edu.co</t>
  </si>
  <si>
    <t>ECON-1502</t>
  </si>
  <si>
    <t>Bennet</t>
  </si>
  <si>
    <t>Rauno</t>
  </si>
  <si>
    <t>raunobennet@gmail.com</t>
  </si>
  <si>
    <t>b.rauno@uniandes.edu.co</t>
  </si>
  <si>
    <t>Manuel Pedro</t>
  </si>
  <si>
    <t>Rufino Oliveira Machado Pimenta</t>
  </si>
  <si>
    <t>52167@novasbe.pt</t>
  </si>
  <si>
    <t>m.rufino@uniandes.edu.co</t>
  </si>
  <si>
    <t>Fynn</t>
  </si>
  <si>
    <t>Schaefer</t>
  </si>
  <si>
    <t>fynn@schaefer-moringen.de</t>
  </si>
  <si>
    <t>f.schaefer@uniandes.edu.co</t>
  </si>
  <si>
    <t>Lucie</t>
  </si>
  <si>
    <t>Schorderet</t>
  </si>
  <si>
    <t>lucie.schorderet@icn-artem.com</t>
  </si>
  <si>
    <t>l.schorderet@uniandes.edu.co</t>
  </si>
  <si>
    <t>Nadine</t>
  </si>
  <si>
    <t>Schuller</t>
  </si>
  <si>
    <t>nadine.schuller.art@gmail.com</t>
  </si>
  <si>
    <t>n.schuller@uniandes.edu.co</t>
  </si>
  <si>
    <t>Gypsy</t>
  </si>
  <si>
    <t>Scott</t>
  </si>
  <si>
    <t>gypsyscottany@gmail.com</t>
  </si>
  <si>
    <t>g.scott@uniandes.edu.co</t>
  </si>
  <si>
    <t>Lotfi</t>
  </si>
  <si>
    <t>Semmar</t>
  </si>
  <si>
    <t>lotfi.semmar@edu.escp.eu</t>
  </si>
  <si>
    <t>l.semmar@uniandes.edu.co</t>
  </si>
  <si>
    <t>Renzo Adriano</t>
  </si>
  <si>
    <t>STAUBLI</t>
  </si>
  <si>
    <t>renzo.staubli@student.unisg.ch</t>
  </si>
  <si>
    <t>r.staubli@uniandes.edu.co</t>
  </si>
  <si>
    <t>Guadalupe</t>
  </si>
  <si>
    <t>Tabot</t>
  </si>
  <si>
    <t>s-gtabot@ucp.pt</t>
  </si>
  <si>
    <t>g.zilhao@uniandes.edu.co</t>
  </si>
  <si>
    <t>Johanna</t>
  </si>
  <si>
    <t>Tesch</t>
  </si>
  <si>
    <t>2785604t@student.gla.ac.uk</t>
  </si>
  <si>
    <t>j.tesch@uniandes.edu.co</t>
  </si>
  <si>
    <t>Marie-Zoe Senta Rita</t>
  </si>
  <si>
    <t>Teschauer</t>
  </si>
  <si>
    <t>teschauermarie@gmail.com</t>
  </si>
  <si>
    <t>m.teschauer@uniandes.edu.co</t>
  </si>
  <si>
    <t>Apolline, Cassiopee, Marie</t>
  </si>
  <si>
    <t>Thaler</t>
  </si>
  <si>
    <t>apolline.thaler@hec.edu</t>
  </si>
  <si>
    <t>a.thaler@uniandes.edu.co</t>
  </si>
  <si>
    <t>Parchap</t>
  </si>
  <si>
    <t>thomas.parchap.21@neoma-bs.com</t>
  </si>
  <si>
    <t>t.parchap@uniandes.edu.co</t>
  </si>
  <si>
    <t>Emma Marie Benédicte</t>
  </si>
  <si>
    <t>Tiberghien</t>
  </si>
  <si>
    <t>emma.tiberghien@gmail.com</t>
  </si>
  <si>
    <t>e.tiberghien@uniandes.edu.co</t>
  </si>
  <si>
    <t>Carlo</t>
  </si>
  <si>
    <t>Tonoli</t>
  </si>
  <si>
    <t>carlo.tonoli@mail.polimi.it</t>
  </si>
  <si>
    <t>c.tonoli@uniandes.edu.co</t>
  </si>
  <si>
    <t>MGAP-4445</t>
  </si>
  <si>
    <t>Toulemonde</t>
  </si>
  <si>
    <t>paul.toulemonde@alumni.esade.edu</t>
  </si>
  <si>
    <t>p.toulemonde@uniandes.edu.co</t>
  </si>
  <si>
    <t>Andreas Erik</t>
  </si>
  <si>
    <t>Toustrup-Høegh</t>
  </si>
  <si>
    <t>anto19ac@student.cbs.dk</t>
  </si>
  <si>
    <t>a.toustrup@uniandes.edu.co</t>
  </si>
  <si>
    <t>TROUSSICOT</t>
  </si>
  <si>
    <t>paultroussicot@gmail.com</t>
  </si>
  <si>
    <t>p.troussicot@uniandes.edu.co</t>
  </si>
  <si>
    <t>Frederico</t>
  </si>
  <si>
    <t>Vale Pereira</t>
  </si>
  <si>
    <t>52056@novasbe.pt</t>
  </si>
  <si>
    <t>f.thumann@uniandes.edu.co</t>
  </si>
  <si>
    <t>Stijn Jan Christiaan</t>
  </si>
  <si>
    <t>VAN OORSCHOT</t>
  </si>
  <si>
    <t>stijn.v.oorschot@gmail.com</t>
  </si>
  <si>
    <t>s.vano@uniandes.edu.co</t>
  </si>
  <si>
    <t>Enguerrand Nicolas Marie</t>
  </si>
  <si>
    <t>Verspieren</t>
  </si>
  <si>
    <t>enguerrand.verspieren@hec.edu</t>
  </si>
  <si>
    <t>e.verspieren@uniandes.edu.co</t>
  </si>
  <si>
    <t>VIDAL</t>
  </si>
  <si>
    <t>samuel.vidal@audencia.com</t>
  </si>
  <si>
    <t>sf.vidal@uniandes.edu.co</t>
  </si>
  <si>
    <t>Ariana</t>
  </si>
  <si>
    <t>Virani</t>
  </si>
  <si>
    <t>avirani@tulane.edu</t>
  </si>
  <si>
    <t>a.virani@uniandes.edu.co</t>
  </si>
  <si>
    <t>Colin</t>
  </si>
  <si>
    <t>Vogel</t>
  </si>
  <si>
    <t>colin.vogel@hec.edu</t>
  </si>
  <si>
    <t>c.vogel@uniandes.edu.co</t>
  </si>
  <si>
    <t>Kim Lisa</t>
  </si>
  <si>
    <t>Voggel</t>
  </si>
  <si>
    <t>k.voggel@student.maastrichtuniversity.nl</t>
  </si>
  <si>
    <t>k.voggel@uniandes.edu.co</t>
  </si>
  <si>
    <t>Witteveen</t>
  </si>
  <si>
    <t>v.m.r.witteveen@students.uu.nl</t>
  </si>
  <si>
    <t>v.witteveen@uniandes.edu.co</t>
  </si>
  <si>
    <t>ARTE-1152</t>
  </si>
  <si>
    <t>Fatima</t>
  </si>
  <si>
    <t>Zarco</t>
  </si>
  <si>
    <t>A01640256@tec.mx</t>
  </si>
  <si>
    <t>f.zarco@uniandes.edu.co</t>
  </si>
  <si>
    <t>DEPO-2202</t>
  </si>
  <si>
    <t>Kesar</t>
  </si>
  <si>
    <t>Antonia Helena</t>
  </si>
  <si>
    <t>antoniakesar@gmail.com</t>
  </si>
  <si>
    <t>a.kesar@uniandes.edu.co</t>
  </si>
  <si>
    <t>Supply Chain Managment</t>
  </si>
  <si>
    <t>Toernqvist</t>
  </si>
  <si>
    <t>Maja Elin Margit</t>
  </si>
  <si>
    <t>maja.tornqvist@outlook.com</t>
  </si>
  <si>
    <t>m.toernqvist@uniandes.edu.co</t>
  </si>
  <si>
    <t>Roizarena</t>
  </si>
  <si>
    <t>roizarenasofia@gmail.com</t>
  </si>
  <si>
    <t>s.roizarena@uniandes.edu.co</t>
  </si>
  <si>
    <t>Salome Yael Sammie</t>
  </si>
  <si>
    <t>AESCHLIMANN</t>
  </si>
  <si>
    <t>salome.aeschlimann@student.unisg.ch</t>
  </si>
  <si>
    <t>s.aeschlimann@uniandes.edu.co</t>
  </si>
  <si>
    <t>EXTE</t>
  </si>
  <si>
    <t>CBCO-1013</t>
  </si>
  <si>
    <t>MGIT-4101</t>
  </si>
  <si>
    <t>CBCO-1032</t>
  </si>
  <si>
    <t>Lea</t>
  </si>
  <si>
    <t>BARTRAM</t>
  </si>
  <si>
    <t>lea@bartram-online.de</t>
  </si>
  <si>
    <t>l.bartram@uniandes.edu.co</t>
  </si>
  <si>
    <t>Michel Felix N</t>
  </si>
  <si>
    <t>BEHAGHEL DE BUEREN ECUYER</t>
  </si>
  <si>
    <t>m.behagheldebueren@student.maastrichtuniversity.nl</t>
  </si>
  <si>
    <t>m.behaghel@uniandes.edu.co</t>
  </si>
  <si>
    <t>DEPO-3502</t>
  </si>
  <si>
    <t>Sophie Ana Magdeleine</t>
  </si>
  <si>
    <t>CASTRO ROLDAN</t>
  </si>
  <si>
    <t>sophie.castro-roldan@dauphine.eu</t>
  </si>
  <si>
    <t>sa.castror1@uniandes.edu.co</t>
  </si>
  <si>
    <t>Lisa</t>
  </si>
  <si>
    <t>CORNACCHIA</t>
  </si>
  <si>
    <t>lisa.cornacchia@mail.polimi.it</t>
  </si>
  <si>
    <t>l.cornacchia@uniandes.edu.co</t>
  </si>
  <si>
    <t>Cyril</t>
  </si>
  <si>
    <t>COUDRAIS</t>
  </si>
  <si>
    <t>cyril.coudrais@edu.escp.eu</t>
  </si>
  <si>
    <t>c.coudrais@uniandes.edu.co</t>
  </si>
  <si>
    <t>DAVAU</t>
  </si>
  <si>
    <t>CISO-4887</t>
  </si>
  <si>
    <t>Caspar Leopold Albrecht Christian Maria</t>
  </si>
  <si>
    <t>FREIHERR VON MYLIUS</t>
  </si>
  <si>
    <t>c.vonmylius@student.maastrichtuniversity.nl</t>
  </si>
  <si>
    <t>c.freiherr@uniandes.edu.co</t>
  </si>
  <si>
    <t>Gabriele</t>
  </si>
  <si>
    <t>GERVASI</t>
  </si>
  <si>
    <t>gabrielegervasi2000@gmail.com</t>
  </si>
  <si>
    <t>g.gervasi@uniandes.edu.co</t>
  </si>
  <si>
    <t>CPOL-1100</t>
  </si>
  <si>
    <t>Briac Fernad Leon</t>
  </si>
  <si>
    <t>GISSEROT</t>
  </si>
  <si>
    <t>briacgisserot@yahoo.fr</t>
  </si>
  <si>
    <t>b.gisserot@uniandes.edu.co</t>
  </si>
  <si>
    <t>Alice Marie</t>
  </si>
  <si>
    <t>KERGALL</t>
  </si>
  <si>
    <t>alicekergall2003@gmail.com</t>
  </si>
  <si>
    <t>a.kergall@uniandes.edu.co</t>
  </si>
  <si>
    <t>ECON-3777</t>
  </si>
  <si>
    <t>Yujin</t>
  </si>
  <si>
    <t>KIM</t>
  </si>
  <si>
    <t>kim_y@auca.kg</t>
  </si>
  <si>
    <t>y.kim1@uniandes.edu.co</t>
  </si>
  <si>
    <t xml:space="preserve">Adrien Claude Gaston Marie Joseph </t>
  </si>
  <si>
    <t>LANGE</t>
  </si>
  <si>
    <t>adrien.lange@hec.ca</t>
  </si>
  <si>
    <t>a.lange@uniandes.edu.co</t>
  </si>
  <si>
    <t>Oscar</t>
  </si>
  <si>
    <t>Liegeois</t>
  </si>
  <si>
    <t>o.liegeois@student.maastrichtuniversity.nl</t>
  </si>
  <si>
    <t>o.liegeois@uniandes.edu.co</t>
  </si>
  <si>
    <t>Vanessa Elise Marie</t>
  </si>
  <si>
    <t>MARTIN</t>
  </si>
  <si>
    <t>vanessa.martin@audencia.com</t>
  </si>
  <si>
    <t>ve.martin@uniandes.edu.co</t>
  </si>
  <si>
    <t>MASSARI</t>
  </si>
  <si>
    <t>carlo.massari@mail.polimi.it</t>
  </si>
  <si>
    <t>c.massari@uniandes.edu.co</t>
  </si>
  <si>
    <t>Maurice Julien R</t>
  </si>
  <si>
    <t>MOT</t>
  </si>
  <si>
    <t>Mauricemot12@gmail.com</t>
  </si>
  <si>
    <t>m.mot@uniandes.edu.co</t>
  </si>
  <si>
    <t>Hector Francois Sebastien</t>
  </si>
  <si>
    <t>MOTTE</t>
  </si>
  <si>
    <t>hector.motte@gmail.com</t>
  </si>
  <si>
    <t>h.motte@uniandes.edu.co</t>
  </si>
  <si>
    <t>DEPO-1010</t>
  </si>
  <si>
    <t>DEPO-3103</t>
  </si>
  <si>
    <t>Joel Andrea</t>
  </si>
  <si>
    <t>MULLER</t>
  </si>
  <si>
    <t>joel.mueller1@students.fhnw.ch</t>
  </si>
  <si>
    <t>j.muller@uniandes.edu.co</t>
  </si>
  <si>
    <t>Antoine Patrice Jean Marie</t>
  </si>
  <si>
    <t>OLIVIERO</t>
  </si>
  <si>
    <t>antoine.oliviero@essec.edu</t>
  </si>
  <si>
    <t>a.oliviero@uniandes.edu.co</t>
  </si>
  <si>
    <t>Felix Andre Joseph</t>
  </si>
  <si>
    <t>PERRUCHOT TRIBOULET</t>
  </si>
  <si>
    <t>felix.perruchot@audencia.com</t>
  </si>
  <si>
    <t>f.perruchot@uniandes.edu.co</t>
  </si>
  <si>
    <t>PODOLSKY</t>
  </si>
  <si>
    <t>gabriel.podolsky@mail.mcgill.ca</t>
  </si>
  <si>
    <t>g.podolsky@uniandes.edu.co</t>
  </si>
  <si>
    <t>ADMI-3207</t>
  </si>
  <si>
    <t>Yente</t>
  </si>
  <si>
    <t>REYNS</t>
  </si>
  <si>
    <t>yentereyns@icloud.com</t>
  </si>
  <si>
    <t>y.reyns@uniandes.edu.co</t>
  </si>
  <si>
    <t>MMER-4366</t>
  </si>
  <si>
    <t xml:space="preserve">Niklas Esben </t>
  </si>
  <si>
    <t>ROHWER</t>
  </si>
  <si>
    <t>niklas.rohwer@stud.the-klu.org</t>
  </si>
  <si>
    <t>n.rohwer@uniandes.edu.co</t>
  </si>
  <si>
    <t xml:space="preserve">Federico Jose </t>
  </si>
  <si>
    <t>SPIERTZ</t>
  </si>
  <si>
    <t>federicospiertz@gmail.com</t>
  </si>
  <si>
    <t>f.spiertz@uniandes.edu.co</t>
  </si>
  <si>
    <t xml:space="preserve">Ana Lucia </t>
  </si>
  <si>
    <t>SUCLUPE MARTINEZ</t>
  </si>
  <si>
    <t>AL.SuclupeM@alum.up.edu.pe</t>
  </si>
  <si>
    <t>a.suclupe@uniandes.edu.co</t>
  </si>
  <si>
    <t>Gaspard Arthur Iban</t>
  </si>
  <si>
    <t>SUSINI</t>
  </si>
  <si>
    <t>gsusini.ieu2021@student.ie.edu</t>
  </si>
  <si>
    <t>g.susini@uniandes.edu.co</t>
  </si>
  <si>
    <t>Sabina</t>
  </si>
  <si>
    <t>TALANTBEK KYZY</t>
  </si>
  <si>
    <t>talantbek_s@auca.kg</t>
  </si>
  <si>
    <t>s.talantbek@uniandes.edu.co</t>
  </si>
  <si>
    <t>Alexander Christophe A</t>
  </si>
  <si>
    <t>VANDEPUTTE</t>
  </si>
  <si>
    <t>alexander-vandeputte@hotmail.com</t>
  </si>
  <si>
    <t>a.vandeputte@uniandes.edu.co</t>
  </si>
  <si>
    <t>VELASCO BOADA</t>
  </si>
  <si>
    <t>maria.velascoboada@mail.mcgill.ca</t>
  </si>
  <si>
    <t>m.velascob@uniandes.edu.co</t>
  </si>
  <si>
    <t>CPOL-2104</t>
  </si>
  <si>
    <t>LENG-2552</t>
  </si>
  <si>
    <t>Victor James Stephanie H</t>
  </si>
  <si>
    <t>VERHELST</t>
  </si>
  <si>
    <t>victor-james.verhelst@mail.mcgill.ca</t>
  </si>
  <si>
    <t>v.verhelst@uniandes.edu.co</t>
  </si>
  <si>
    <t>Capucine Louise</t>
  </si>
  <si>
    <t>capucinevidaal@gmail.com</t>
  </si>
  <si>
    <t>cl.vidal@uniandes.edu.co</t>
  </si>
  <si>
    <t>PSIG-1112</t>
  </si>
  <si>
    <t>Leopold Etienne Lucien</t>
  </si>
  <si>
    <t>VUCHOT REMY DE CAMPEAU</t>
  </si>
  <si>
    <t>leopold.vuchot@gmail.com</t>
  </si>
  <si>
    <t>l.vuchot@uniandes.edu.co</t>
  </si>
  <si>
    <t>Jaakko Matias</t>
  </si>
  <si>
    <t>VUORENKOSKI</t>
  </si>
  <si>
    <t>jaakko.vuorenkoski@gmail.com</t>
  </si>
  <si>
    <t>j.vuorenkoski@uniandes.edu.co</t>
  </si>
  <si>
    <t>GLOB-2007</t>
  </si>
  <si>
    <t>CBCA-1376</t>
  </si>
  <si>
    <t>CBCA-1000</t>
  </si>
  <si>
    <t>CASCAIS DA COSTA</t>
  </si>
  <si>
    <t>c.cascaisdacosta@gmail.com</t>
  </si>
  <si>
    <t>c.cascais@uniandes.edu.co</t>
  </si>
  <si>
    <t>MIMC-4008</t>
  </si>
  <si>
    <t>Giuliana</t>
  </si>
  <si>
    <t>DALESSANDRO</t>
  </si>
  <si>
    <t>giuliana.dalessandro@studbocconi.it</t>
  </si>
  <si>
    <t>g.dalessandro@uniandes.edu.co</t>
  </si>
  <si>
    <t>Natascha Yuki</t>
  </si>
  <si>
    <t>HAHN</t>
  </si>
  <si>
    <t>nataschayhahn@gmail.com</t>
  </si>
  <si>
    <t>n.hahn@uniandes.edu.co</t>
  </si>
  <si>
    <t>Mortiz Valentin</t>
  </si>
  <si>
    <t>HERWEH</t>
  </si>
  <si>
    <t>moritzherweh@t-online.de</t>
  </si>
  <si>
    <t>m.herweh@uniandes.edu.co</t>
  </si>
  <si>
    <t>Andre Jonathan</t>
  </si>
  <si>
    <t>OLSSON</t>
  </si>
  <si>
    <t>jonathanolsson1997@gmail.com</t>
  </si>
  <si>
    <t>a.olsson@uniandes.edu.co</t>
  </si>
  <si>
    <t>Valentin Leonard Jean Claude</t>
  </si>
  <si>
    <t>VAN WERSCH</t>
  </si>
  <si>
    <t>valentinvanwersch@hotmail.com</t>
  </si>
  <si>
    <t>v.van@uniandes.edu.co</t>
  </si>
  <si>
    <t>DEPO-1228</t>
  </si>
  <si>
    <t>Florian Rudolf</t>
  </si>
  <si>
    <t>WANDL</t>
  </si>
  <si>
    <t>Florian.wandl1@gmail.com</t>
  </si>
  <si>
    <t>f.wandl@uniandes.edu.co</t>
  </si>
  <si>
    <t>Pauline Suzanne Marie</t>
  </si>
  <si>
    <t>BITOUZET</t>
  </si>
  <si>
    <t>pauline.bitouzet@gmail.com</t>
  </si>
  <si>
    <t>p.bitouzet@uniandes.edu.co</t>
  </si>
  <si>
    <t>Myriam</t>
  </si>
  <si>
    <t>MSEDDI</t>
  </si>
  <si>
    <t>myriam.mseddi@hec.edu</t>
  </si>
  <si>
    <t>m.mseddi@uniandes.edu.co</t>
  </si>
  <si>
    <t>Lou Monique Gisele</t>
  </si>
  <si>
    <t>TORINEAU</t>
  </si>
  <si>
    <t>lou.torineau@hec.edu</t>
  </si>
  <si>
    <t>l.torineau@uniandes.edu.co</t>
  </si>
  <si>
    <t>Adel</t>
  </si>
  <si>
    <t>ADMED YAHIA</t>
  </si>
  <si>
    <t>adel.ay@hotmail.fr</t>
  </si>
  <si>
    <t>a.admed@uniandes.edu.co</t>
  </si>
  <si>
    <t>MMBA-4300</t>
  </si>
  <si>
    <t>MIMC-4021</t>
  </si>
  <si>
    <t>MMER-4360</t>
  </si>
  <si>
    <t>Giovanni</t>
  </si>
  <si>
    <t>ALETTI</t>
  </si>
  <si>
    <t>giovanni1.aletti@mail.polimi.it</t>
  </si>
  <si>
    <t>g.aletti@uniandes.edu.co</t>
  </si>
  <si>
    <t>Boldizsar</t>
  </si>
  <si>
    <t>BAKONYI</t>
  </si>
  <si>
    <t>bakonyi2017@gmail.com</t>
  </si>
  <si>
    <t>b.bakonyi@uniandes.edu.co</t>
  </si>
  <si>
    <t>DEPO-3110</t>
  </si>
  <si>
    <t>DEPO-3888</t>
  </si>
  <si>
    <t>Claudia</t>
  </si>
  <si>
    <t>BARATTO</t>
  </si>
  <si>
    <t>claudia.baratto@mail.polimi.it</t>
  </si>
  <si>
    <t>c.baratto@uniandes.edu.co</t>
  </si>
  <si>
    <t>Carlota</t>
  </si>
  <si>
    <t>BARTOLOME SEUMA</t>
  </si>
  <si>
    <t>bartolomecarlota1@gmail.com</t>
  </si>
  <si>
    <t>c.bartolome@uniandes.edu.co</t>
  </si>
  <si>
    <t>MIMC-4023</t>
  </si>
  <si>
    <t>GLOB-2104</t>
  </si>
  <si>
    <t>Litzy Cristina</t>
  </si>
  <si>
    <t>CASAS MUNOZ</t>
  </si>
  <si>
    <t>a01235903@tec.mx</t>
  </si>
  <si>
    <t>lc.casas@uniandes.edu.co</t>
  </si>
  <si>
    <t>Yin Chen</t>
  </si>
  <si>
    <t>CHIU</t>
  </si>
  <si>
    <t>109509319@g.nccu.edu.tw</t>
  </si>
  <si>
    <t>y.chiu@uniandes.edu.co</t>
  </si>
  <si>
    <t>LENG-1401</t>
  </si>
  <si>
    <t>Stijn Arthur Roy</t>
  </si>
  <si>
    <t>CLAASSENS</t>
  </si>
  <si>
    <t>s.claassens@student.maastrichtuniversity.nl</t>
  </si>
  <si>
    <t>s.claassens@uniandes.edu.co</t>
  </si>
  <si>
    <t>Clelia Nathalie</t>
  </si>
  <si>
    <t>CORDIER</t>
  </si>
  <si>
    <t>clelia.cordier@grenoble-em.com</t>
  </si>
  <si>
    <t>c.cordier@uniandes.edu.co</t>
  </si>
  <si>
    <t>Antton Marc</t>
  </si>
  <si>
    <t>COURTOIS</t>
  </si>
  <si>
    <t>antton.courtois@gmail.com</t>
  </si>
  <si>
    <t>a.courtois@uniandes.edu.co</t>
  </si>
  <si>
    <t>Edoardo Maurizio</t>
  </si>
  <si>
    <t>DE LEO</t>
  </si>
  <si>
    <t>edoardo.deleo2@studbocconi.it</t>
  </si>
  <si>
    <t>e.del@uniandes.edu.co</t>
  </si>
  <si>
    <t>ADMI-3236</t>
  </si>
  <si>
    <t>MADM-4151</t>
  </si>
  <si>
    <t>Romain Thomas Marie</t>
  </si>
  <si>
    <t>DELAIRE</t>
  </si>
  <si>
    <t>romaindelaire03@gmail.com</t>
  </si>
  <si>
    <t>r.delaire@uniandes.edu.co</t>
  </si>
  <si>
    <t>ECON-1001C</t>
  </si>
  <si>
    <t>Sami</t>
  </si>
  <si>
    <t>EL BOUSSELMI</t>
  </si>
  <si>
    <t>s.elbousselmi@student.maastrichtuniversity.nl</t>
  </si>
  <si>
    <t>s.el@uniandes.edu.co</t>
  </si>
  <si>
    <t>MGPD-4447</t>
  </si>
  <si>
    <t>MIIA-4400</t>
  </si>
  <si>
    <t>Karolina</t>
  </si>
  <si>
    <t>FREYER</t>
  </si>
  <si>
    <t>karolinka.freyer@gmail.com</t>
  </si>
  <si>
    <t>k.freyer@uniandes.edu.co</t>
  </si>
  <si>
    <t>Lou Mai Chi</t>
  </si>
  <si>
    <t>GANDOLPHE</t>
  </si>
  <si>
    <t>lou.gandolphe@dauphine.eu</t>
  </si>
  <si>
    <t>l.gandolphe@uniandes.edu.co</t>
  </si>
  <si>
    <t>Oskar</t>
  </si>
  <si>
    <t>GIEBICHENSTEIN</t>
  </si>
  <si>
    <t>o.giebichenstein@student.maastrichtuniversity.nl</t>
  </si>
  <si>
    <t>o.giebichenstein@uniandes.edu.co</t>
  </si>
  <si>
    <t>GOULAO RIBEIRO CRISPIM</t>
  </si>
  <si>
    <t>carolcrispim2004@gmail.com</t>
  </si>
  <si>
    <t>c.goulao@uniandes.edu.co</t>
  </si>
  <si>
    <t>Juliette Nicole Dominique</t>
  </si>
  <si>
    <t>HAMERY</t>
  </si>
  <si>
    <t>juliette.hamery@essec.edu</t>
  </si>
  <si>
    <t>j.hamery@uniandes.edu.co</t>
  </si>
  <si>
    <t>MGAD-4451</t>
  </si>
  <si>
    <t>Harry</t>
  </si>
  <si>
    <t>HELLBERG YANCI</t>
  </si>
  <si>
    <t>harryhellberg@outlook.com</t>
  </si>
  <si>
    <t>h.hellberg@uniandes.edu.co</t>
  </si>
  <si>
    <t>GLOB-1200</t>
  </si>
  <si>
    <t>Eugenie Marie</t>
  </si>
  <si>
    <t>HENAUT</t>
  </si>
  <si>
    <t>eugenie.henaut@edu.escp.eu</t>
  </si>
  <si>
    <t>e.henaut@uniandes.edu.co</t>
  </si>
  <si>
    <t>Teimo Tanaphorn</t>
  </si>
  <si>
    <t>ISARASAKDATIKUL</t>
  </si>
  <si>
    <t>teimo.isarasakdatikul@etu.unige.ch</t>
  </si>
  <si>
    <t>t.isarasakdatikul@uniandes.edu.co</t>
  </si>
  <si>
    <t>Tobias Leonard Hubert</t>
  </si>
  <si>
    <t>JACOBS</t>
  </si>
  <si>
    <t>tobiasjacobs02@gmail.com</t>
  </si>
  <si>
    <t>t.jacobs@uniandes.edu.co</t>
  </si>
  <si>
    <t>Ines Juliette Brigitte</t>
  </si>
  <si>
    <t>LARCENET</t>
  </si>
  <si>
    <t>ines.larcenet.22@neoma-bs.com</t>
  </si>
  <si>
    <t>i.larcenet@uniandes.edu.co</t>
  </si>
  <si>
    <t>Adelaïde Marie</t>
  </si>
  <si>
    <t>MADET USAGE MA</t>
  </si>
  <si>
    <t>adel.madet@gmail.com</t>
  </si>
  <si>
    <t>a.madet@uniandes.edu.co</t>
  </si>
  <si>
    <t>Giorgio</t>
  </si>
  <si>
    <t>MARINO</t>
  </si>
  <si>
    <t>giorgio.marino@studbocconi.it</t>
  </si>
  <si>
    <t>g.marino1@uniandes.edu.co</t>
  </si>
  <si>
    <t>Fiona Manon Benedicte</t>
  </si>
  <si>
    <t>fiona.martin@edu.escp.eu</t>
  </si>
  <si>
    <t>f.martin@uniandes.edu.co</t>
  </si>
  <si>
    <t>Charles True Barger</t>
  </si>
  <si>
    <t>MCGINLEY</t>
  </si>
  <si>
    <t>cmcginley@tulane.edu</t>
  </si>
  <si>
    <t>c.mcginley@uniandes.edu.co</t>
  </si>
  <si>
    <t>Francesco</t>
  </si>
  <si>
    <t>PATRIZI</t>
  </si>
  <si>
    <t>francesco.patrizi@mail.polimi.it</t>
  </si>
  <si>
    <t>f.patrizi@uniandes.edu.co</t>
  </si>
  <si>
    <t>DEPO-1255</t>
  </si>
  <si>
    <t>PORTUGAL COSTA TAVARES DOS REIS</t>
  </si>
  <si>
    <t>s-mpcreis@ucp.pt</t>
  </si>
  <si>
    <t>m.portugal@uniandes.edu.co</t>
  </si>
  <si>
    <t>Marine Cerise Philippine Zoe</t>
  </si>
  <si>
    <t>PRIETO</t>
  </si>
  <si>
    <t>b00806868@essec.edu</t>
  </si>
  <si>
    <t>mc.prieto23@uniandes.edu.co</t>
  </si>
  <si>
    <t>CISO-1303</t>
  </si>
  <si>
    <t>CBCA-1223</t>
  </si>
  <si>
    <t>CBCO-1080</t>
  </si>
  <si>
    <t>Jacopo Giulio Michele</t>
  </si>
  <si>
    <t>RASO</t>
  </si>
  <si>
    <t>jacopo.raso@outlook.it</t>
  </si>
  <si>
    <t>j.raso@uniandes.edu.co</t>
  </si>
  <si>
    <t>Alec James</t>
  </si>
  <si>
    <t>RILEY</t>
  </si>
  <si>
    <t>ariley5@tulane.edu</t>
  </si>
  <si>
    <t>a.riley@uniandes.edu.co</t>
  </si>
  <si>
    <t>CPOL-2448</t>
  </si>
  <si>
    <t>GLOB-2010</t>
  </si>
  <si>
    <t>CBCA-1465</t>
  </si>
  <si>
    <t>Saku Petteri</t>
  </si>
  <si>
    <t>RISTOLAINEN</t>
  </si>
  <si>
    <t>saku.ristolainen@aalto.fi</t>
  </si>
  <si>
    <t>s.ristolainen@uniandes.edu.co</t>
  </si>
  <si>
    <t>GEOC-3504</t>
  </si>
  <si>
    <t>Camillo</t>
  </si>
  <si>
    <t>ROSSETTI</t>
  </si>
  <si>
    <t>camillo1.rossetti@mail.polimi.it</t>
  </si>
  <si>
    <t>c.rossetti@uniandes.edu.co</t>
  </si>
  <si>
    <t>IIND-4200</t>
  </si>
  <si>
    <t>ROVIRA SCHMITT</t>
  </si>
  <si>
    <t>carolina.rovira@etu.unige.ch</t>
  </si>
  <si>
    <t>c.rovira@uniandes.edu.co</t>
  </si>
  <si>
    <t>MADM-4934</t>
  </si>
  <si>
    <t>ECON-3772</t>
  </si>
  <si>
    <t>ARTE-1142</t>
  </si>
  <si>
    <t>Defne</t>
  </si>
  <si>
    <t>SALLI</t>
  </si>
  <si>
    <t>defne.salli@etu.unige.ch</t>
  </si>
  <si>
    <t>d.salli@uniandes.edu.co</t>
  </si>
  <si>
    <t>EGOB-4006</t>
  </si>
  <si>
    <t>GEOC-1006</t>
  </si>
  <si>
    <t>Quentin Pierre Louis</t>
  </si>
  <si>
    <t>SOUBRANE</t>
  </si>
  <si>
    <t>quentin.soubrane@essec.edu</t>
  </si>
  <si>
    <t>q.soubrane@uniandes.edu.co</t>
  </si>
  <si>
    <t>Hana</t>
  </si>
  <si>
    <t>STOLLAROVA</t>
  </si>
  <si>
    <t>hanastollarova@gmail.com</t>
  </si>
  <si>
    <t>h.stollarova@uniandes.edu.co</t>
  </si>
  <si>
    <t>SYDOW</t>
  </si>
  <si>
    <t>lisa.sydow@etu.unige.ch</t>
  </si>
  <si>
    <t>l.sydow@uniandes.edu.co</t>
  </si>
  <si>
    <t>CIDE-4309</t>
  </si>
  <si>
    <t>CISO-4035</t>
  </si>
  <si>
    <t>CISO-4616</t>
  </si>
  <si>
    <t>Giulia</t>
  </si>
  <si>
    <t>TORNIAMENTI</t>
  </si>
  <si>
    <t>giulia.torniamenti2@studbocconi.it</t>
  </si>
  <si>
    <t>g.torniamenti@uniandes.edu.co</t>
  </si>
  <si>
    <t>IIND-3400</t>
  </si>
  <si>
    <t>Cas</t>
  </si>
  <si>
    <t>VAN BERKOM</t>
  </si>
  <si>
    <t>casvanberkom@gmail.com</t>
  </si>
  <si>
    <t>c.van@uniandes.edu.co</t>
  </si>
  <si>
    <t>Velislava Yosifova</t>
  </si>
  <si>
    <t>VASILEVA</t>
  </si>
  <si>
    <t>v.vasileva@uu.nl</t>
  </si>
  <si>
    <t>v.vasileva@uniandes.edu.co</t>
  </si>
  <si>
    <t>Maria Agustina</t>
  </si>
  <si>
    <t>VEGA</t>
  </si>
  <si>
    <t>vegam@udesa.edu.ar</t>
  </si>
  <si>
    <t>ma.vega2@uniandes.edu.co</t>
  </si>
  <si>
    <t>MMER-4335</t>
  </si>
  <si>
    <t>MMER-4345</t>
  </si>
  <si>
    <t>LENG-2107</t>
  </si>
  <si>
    <t>LENG-2109</t>
  </si>
  <si>
    <t>MMER-4200</t>
  </si>
  <si>
    <t>MMER-4370</t>
  </si>
  <si>
    <t>Luis Cedric</t>
  </si>
  <si>
    <t>VERING</t>
  </si>
  <si>
    <t>luis.vering@tum.de</t>
  </si>
  <si>
    <t>l.vering@uniandes.edu.co</t>
  </si>
  <si>
    <t>Noa Niclas</t>
  </si>
  <si>
    <t>WEDEKIND</t>
  </si>
  <si>
    <t>noaniclas.wedekind@student.unisg.ch</t>
  </si>
  <si>
    <t>n.wedekind@uniandes.edu.co</t>
  </si>
  <si>
    <t>ARTE-2242</t>
  </si>
  <si>
    <t>MBIT-4201</t>
  </si>
  <si>
    <t>MIMC-4022</t>
  </si>
  <si>
    <t>Anastasia Violetta</t>
  </si>
  <si>
    <t>WLASCHEK</t>
  </si>
  <si>
    <t>anastasiavioletta.wlaschek@alumni.esade.edu</t>
  </si>
  <si>
    <t>a.wlaschek@uniandes.edu.co</t>
  </si>
  <si>
    <t>Jorge Mario</t>
  </si>
  <si>
    <t>Caceres Rincon</t>
  </si>
  <si>
    <t>jorge@mgmt.au.dk</t>
  </si>
  <si>
    <t>jm.caceres@uniandes.edu.co</t>
  </si>
  <si>
    <t>Hedda Ingrid Louise</t>
  </si>
  <si>
    <t>Thomson EK</t>
  </si>
  <si>
    <t>hedda.thomson@mespom.eu</t>
  </si>
  <si>
    <t>h.thomson@uniandes.edu.co</t>
  </si>
  <si>
    <t>CODS - Centro de Desarrollo Sostenible para América Latina</t>
  </si>
  <si>
    <t>Dulsse Maria</t>
  </si>
  <si>
    <t>Luna Amigot</t>
  </si>
  <si>
    <t>dulsse.amigot@gmail.com</t>
  </si>
  <si>
    <t>d.lunaa@uniandes.edu.co</t>
  </si>
  <si>
    <t>Escuela de Posgrados</t>
  </si>
  <si>
    <t>Carter</t>
  </si>
  <si>
    <t>Joseph Timothy</t>
  </si>
  <si>
    <t>joseph.carter996@gmail.com</t>
  </si>
  <si>
    <t>j.carter@uniandes.edu.co</t>
  </si>
  <si>
    <t>Zlatar de Rossi</t>
  </si>
  <si>
    <t>Fiorenza Carolina</t>
  </si>
  <si>
    <t>fiorenza.zderossi@gmail.com</t>
  </si>
  <si>
    <t>f.zlatar@uniandes.edu.co</t>
  </si>
  <si>
    <t>Carla</t>
  </si>
  <si>
    <t>Amalou Usage Amalou Elmaleh</t>
  </si>
  <si>
    <t>carla.amalou@audencia.com</t>
  </si>
  <si>
    <t>c.amalou@uniandes.edu.co</t>
  </si>
  <si>
    <t>Mathis</t>
  </si>
  <si>
    <t>Bourguet</t>
  </si>
  <si>
    <t>mathis.bourguet@hec.edu</t>
  </si>
  <si>
    <t>m.bourguet@uniandes.edu.co</t>
  </si>
  <si>
    <t>CBCA-1406</t>
  </si>
  <si>
    <t>MDER-4503</t>
  </si>
  <si>
    <t>EGOB-4545</t>
  </si>
  <si>
    <t>CBPC-1380</t>
  </si>
  <si>
    <t>Jade Adèle Marie</t>
  </si>
  <si>
    <t>Lange</t>
  </si>
  <si>
    <t>jade.lange@hec.edu</t>
  </si>
  <si>
    <t>j.lange@uniandes.edu.co</t>
  </si>
  <si>
    <t>Lola Josiane</t>
  </si>
  <si>
    <t>Sberro</t>
  </si>
  <si>
    <t>lolasberro@yahoo.com</t>
  </si>
  <si>
    <t>l.sberro@uniandes.edu.co</t>
  </si>
  <si>
    <t>DEIN-4855</t>
  </si>
  <si>
    <t>Juliette Marie Helene</t>
  </si>
  <si>
    <t>Berthier</t>
  </si>
  <si>
    <t>juliette.berthier@hec.edu</t>
  </si>
  <si>
    <t>j.berthier@uniandes.edu.co</t>
  </si>
  <si>
    <t>Virginia</t>
  </si>
  <si>
    <t>Rodriguez Rodriguez</t>
  </si>
  <si>
    <t>a01737501@tec.mx</t>
  </si>
  <si>
    <t>v.rodriguezr@uniandes.edu.co</t>
  </si>
  <si>
    <t>ADMI-3109</t>
  </si>
  <si>
    <t>Illia</t>
  </si>
  <si>
    <t>Kazakov</t>
  </si>
  <si>
    <t>illia.kazakov@stud.klu.org</t>
  </si>
  <si>
    <t>i.kazakov@uniandes.edu.co</t>
  </si>
  <si>
    <t>Nikita</t>
  </si>
  <si>
    <t>Zaplavskyi</t>
  </si>
  <si>
    <t>nikita.zaplavskyi@stud.klu.org</t>
  </si>
  <si>
    <t>n.zaplavskyi@uniandes.edu.co</t>
  </si>
  <si>
    <t>Maximilien Philippe L</t>
  </si>
  <si>
    <t>Francois</t>
  </si>
  <si>
    <t>maxmaxfrancois@yahoo.com</t>
  </si>
  <si>
    <t>m.francois@uniandes.edu.co</t>
  </si>
  <si>
    <t>Nikolaus Wolf Ludwig Antonius</t>
  </si>
  <si>
    <t>Freiherr Von Salmuth</t>
  </si>
  <si>
    <t>n.freiherrvonsalmuth@student.maastrichtuniversity.nl</t>
  </si>
  <si>
    <t>n.freiherrv@uniandes.edu.co</t>
  </si>
  <si>
    <t>Luise Cecilie Margarethe</t>
  </si>
  <si>
    <t>Krawinkel</t>
  </si>
  <si>
    <t>l.krawinkel@student.maastrichtuniversity.nl</t>
  </si>
  <si>
    <t>l.krawinkel@uniandes.edu.co</t>
  </si>
  <si>
    <t>Chloé Anna Claude</t>
  </si>
  <si>
    <t>Leplâtre</t>
  </si>
  <si>
    <t>chloeleplatre@gmail.com</t>
  </si>
  <si>
    <t>c.leplatre@uniandes.edu.co</t>
  </si>
  <si>
    <t>Anaelle Ines Marielle</t>
  </si>
  <si>
    <t>Moreau</t>
  </si>
  <si>
    <t>anaellemoreau@orange.fr</t>
  </si>
  <si>
    <t>a.moreau@uniandes.edu.co</t>
  </si>
  <si>
    <t>Maximilian</t>
  </si>
  <si>
    <t>Paasen</t>
  </si>
  <si>
    <t>maximilian.paasen@student.maastrichtuniversity.nl</t>
  </si>
  <si>
    <t>m.paasen@uniandes.edu.co</t>
  </si>
  <si>
    <t>Jo Pauline</t>
  </si>
  <si>
    <t>Pfitzenmaier</t>
  </si>
  <si>
    <t>jo.pfitzenmaier@gmail.com</t>
  </si>
  <si>
    <t>j.pfitzenmaier@uniandes.edu.co</t>
  </si>
  <si>
    <t>Edouard Denis</t>
  </si>
  <si>
    <t>Vanesse</t>
  </si>
  <si>
    <t>edouard.vanesse@gmail.com</t>
  </si>
  <si>
    <t>e.vanesse@uniandes.edu.co</t>
  </si>
  <si>
    <t>Martin Jean Joseph</t>
  </si>
  <si>
    <t>Rouviere</t>
  </si>
  <si>
    <t>martin.rouviere@mail.mcgill.ca</t>
  </si>
  <si>
    <t>m.rouviere@uniandes.edu.co</t>
  </si>
  <si>
    <t>Lina Martine Madeleine</t>
  </si>
  <si>
    <t>Delion</t>
  </si>
  <si>
    <t>lina.delion2@gmail.com</t>
  </si>
  <si>
    <t>l.delion@uniandes.edu.co</t>
  </si>
  <si>
    <t>ADMI-3311</t>
  </si>
  <si>
    <t>Monticelli</t>
  </si>
  <si>
    <t>carlo1.monticelli@mail.polimi.it</t>
  </si>
  <si>
    <t>c.monticelli@uniandes.edu.co</t>
  </si>
  <si>
    <t>ADMI-2554</t>
  </si>
  <si>
    <t>Rebecca Bailey Maliwan</t>
  </si>
  <si>
    <t>Bollich</t>
  </si>
  <si>
    <t>rbollich1@tulane.edu</t>
  </si>
  <si>
    <t>r.bollich@uniandes.edu.co</t>
  </si>
  <si>
    <t>Ian David</t>
  </si>
  <si>
    <t>Carstairs</t>
  </si>
  <si>
    <t>icarstairs@tulane.edu</t>
  </si>
  <si>
    <t>i.carstairs@uniandes.edu.co</t>
  </si>
  <si>
    <t>Mitchell Ari</t>
  </si>
  <si>
    <t>Spector</t>
  </si>
  <si>
    <t>mspector2@tulane.edu</t>
  </si>
  <si>
    <t>m.spector@uniandes.edu.co</t>
  </si>
  <si>
    <t>HIST-3326</t>
  </si>
  <si>
    <t>PSIG-2304</t>
  </si>
  <si>
    <t>Llusco Mamani</t>
  </si>
  <si>
    <t>fatimalluscomamani@gmail.com</t>
  </si>
  <si>
    <t>f.llusco@uniandes.edu.co</t>
  </si>
  <si>
    <t>ADMI-3138</t>
  </si>
  <si>
    <t>Daniel Caleb</t>
  </si>
  <si>
    <t>Herrera Allca</t>
  </si>
  <si>
    <t>dc.herreraa@alum.up.edu.pe</t>
  </si>
  <si>
    <t>dc.herrera@uniandes.edu.co</t>
  </si>
  <si>
    <t>Inès Aurore</t>
  </si>
  <si>
    <t>Lecapitaine</t>
  </si>
  <si>
    <t>ines.lecapitaine@dauphine.eu</t>
  </si>
  <si>
    <t>i.lecapitaine@uniandes.edu.co</t>
  </si>
  <si>
    <t>Mohammad Faris Bin</t>
  </si>
  <si>
    <t>Mohd Fairusham</t>
  </si>
  <si>
    <t>farisfair@gmail.com</t>
  </si>
  <si>
    <t>f.fairusham@uniandes.edu.co</t>
  </si>
  <si>
    <t>DEPO-1243</t>
  </si>
  <si>
    <t>Clara Ruth Maria</t>
  </si>
  <si>
    <t>Ritzenhoff</t>
  </si>
  <si>
    <t>Zeppelin Universität</t>
  </si>
  <si>
    <t>c.ritzenhoff@zeppelin-university.net</t>
  </si>
  <si>
    <t>c.ritzenhoff@uniandes.edu.co</t>
  </si>
  <si>
    <t>Lorenz Carl Nicolaus  Maria Melchior Marcus</t>
  </si>
  <si>
    <t>Habsburg-Lothringen</t>
  </si>
  <si>
    <t>lorenz.vhbg@gmail.com</t>
  </si>
  <si>
    <t>l.habsburg@uniandes.edu.co</t>
  </si>
  <si>
    <t>Carl</t>
  </si>
  <si>
    <t>Jacobi</t>
  </si>
  <si>
    <t>carl.jacobi@students.uni-mannheim.de</t>
  </si>
  <si>
    <t>c.jacobi@uniandes.edu.co</t>
  </si>
  <si>
    <t>MFIN-4213</t>
  </si>
  <si>
    <t>MFIN-4218</t>
  </si>
  <si>
    <t>Robillard</t>
  </si>
  <si>
    <t>l.robillard@audencia.com</t>
  </si>
  <si>
    <t>l.robillard@uniandes.edu.co</t>
  </si>
  <si>
    <t>ADMI-1412</t>
  </si>
  <si>
    <t>Philippe Christian Andre Marie</t>
  </si>
  <si>
    <t>Boinet</t>
  </si>
  <si>
    <t>philippe.boinet@edu.escp.eu</t>
  </si>
  <si>
    <t>p.boinet@uniandes.edu.co</t>
  </si>
  <si>
    <t>MGPD-4448</t>
  </si>
  <si>
    <t>Esteban Paul Enzo</t>
  </si>
  <si>
    <t>Delahaye</t>
  </si>
  <si>
    <t>esteban.delahaye@edu.escp.eu</t>
  </si>
  <si>
    <t>e.delahaye@uniandes.edu.co</t>
  </si>
  <si>
    <t>Alan Gabriel</t>
  </si>
  <si>
    <t>Cheneval Escobar</t>
  </si>
  <si>
    <t>alan.chenevalescobar@gmail.com</t>
  </si>
  <si>
    <t>a.cheneval@uniandes.edu.co</t>
  </si>
  <si>
    <t>Nik</t>
  </si>
  <si>
    <t>Bartel</t>
  </si>
  <si>
    <t>57532@novasbe.pt</t>
  </si>
  <si>
    <t>n.bartel@uniandes.edu.co</t>
  </si>
  <si>
    <t>Piazzini</t>
  </si>
  <si>
    <t>lorenzopiazzini@icloud.com</t>
  </si>
  <si>
    <t>l.piazzini@uniandes.edu.co</t>
  </si>
  <si>
    <t>MMBA-4602</t>
  </si>
  <si>
    <t>MMBA-4503</t>
  </si>
  <si>
    <t>EGOB-4105</t>
  </si>
  <si>
    <t>Mohsin</t>
  </si>
  <si>
    <t>Abrar</t>
  </si>
  <si>
    <t>mohsin.abrar@uni-bayreuth.de</t>
  </si>
  <si>
    <t>m.abrar@uniandes.edu.co</t>
  </si>
  <si>
    <t>LENG-2613</t>
  </si>
  <si>
    <t>Elia</t>
  </si>
  <si>
    <t>Brambilla</t>
  </si>
  <si>
    <t>eliabrambilla27@gmail.com</t>
  </si>
  <si>
    <t>e.brambilla@uniandes.edu.co</t>
  </si>
  <si>
    <t>MMER-4303</t>
  </si>
  <si>
    <t>Conversión Nombres Universidades a KPIs</t>
  </si>
  <si>
    <t>Nombres convenios específicos 2024</t>
  </si>
  <si>
    <t>Códigos de programas</t>
  </si>
  <si>
    <t>Pais</t>
  </si>
  <si>
    <t>Convenio</t>
  </si>
  <si>
    <t>Movilidad?</t>
  </si>
  <si>
    <t>ADMI</t>
  </si>
  <si>
    <t>Específico</t>
  </si>
  <si>
    <t>MADM</t>
  </si>
  <si>
    <t>MGAP</t>
  </si>
  <si>
    <t>MSCM</t>
  </si>
  <si>
    <t>MMER</t>
  </si>
  <si>
    <t>MFIN</t>
  </si>
  <si>
    <t>MIFI</t>
  </si>
  <si>
    <t>Master in International Finance</t>
  </si>
  <si>
    <t>MIMC</t>
  </si>
  <si>
    <t>Master in international Management</t>
  </si>
  <si>
    <t>MGPD</t>
  </si>
  <si>
    <t>MBAFT</t>
  </si>
  <si>
    <t>Centro de Investigación y Docencia Económicas</t>
  </si>
  <si>
    <t>Chung-Ang University</t>
  </si>
  <si>
    <t>Korea, Republic of</t>
  </si>
  <si>
    <t>MBA Part Time</t>
  </si>
  <si>
    <t>Fundação Dom Cabral</t>
  </si>
  <si>
    <t>MSM</t>
  </si>
  <si>
    <t>École nationale supérieure d’Arts et Métiers</t>
  </si>
  <si>
    <t>MIA</t>
  </si>
  <si>
    <t>Freie Universität Berlin</t>
  </si>
  <si>
    <t>IMT Atlantique</t>
  </si>
  <si>
    <t>Institut National Polytechnique de Toulouse</t>
  </si>
  <si>
    <t>Universidade Federal Rural de Rio de Janeiro</t>
  </si>
  <si>
    <t>Kungliga Tekniska högskolan (KTH)</t>
  </si>
  <si>
    <t>University of Nottingham</t>
  </si>
  <si>
    <t>University of Sofia</t>
  </si>
  <si>
    <t>Technische Universiteit Eindhoven</t>
  </si>
  <si>
    <t>Universidad de Lima</t>
  </si>
  <si>
    <t>Universidad de Monterrey</t>
  </si>
  <si>
    <t>Universidade de Lisboa</t>
  </si>
  <si>
    <t>Universität Potsdam</t>
  </si>
  <si>
    <t>Universität Stuttgart</t>
  </si>
  <si>
    <t>Université Bordeaux Montaigne</t>
  </si>
  <si>
    <t>Université de Fribourg</t>
  </si>
  <si>
    <t>Université de Montpellier</t>
  </si>
  <si>
    <t>University of California, Los Angeles</t>
  </si>
  <si>
    <t>Zeppelin University</t>
  </si>
  <si>
    <t>Total UG</t>
  </si>
  <si>
    <t>Total GD</t>
  </si>
  <si>
    <t>Undergraduate</t>
  </si>
  <si>
    <t>Graduate</t>
  </si>
  <si>
    <t>(Varios elementos)</t>
  </si>
  <si>
    <t>Etiquetas de fila</t>
  </si>
  <si>
    <t>Cuenta de Código</t>
  </si>
  <si>
    <t>Total general</t>
  </si>
  <si>
    <t>Student Mobility by Program</t>
  </si>
  <si>
    <t>Exchange program</t>
  </si>
  <si>
    <t>UG Management</t>
  </si>
  <si>
    <t>International Accounting</t>
  </si>
  <si>
    <t>MBA FT</t>
  </si>
  <si>
    <t>Cuenta de Código Uniandes</t>
  </si>
  <si>
    <t>MDP</t>
  </si>
  <si>
    <t>MF</t>
  </si>
  <si>
    <t>MM</t>
  </si>
  <si>
    <t>MEM</t>
  </si>
  <si>
    <t>MBA PT</t>
  </si>
  <si>
    <t>Double-Degree program</t>
  </si>
  <si>
    <t>Pasaporte</t>
  </si>
  <si>
    <t>Nacionalidad</t>
  </si>
  <si>
    <t>Pais Universidad</t>
  </si>
  <si>
    <t>Cuenta alterna</t>
  </si>
  <si>
    <t xml:space="preserve">Población </t>
  </si>
  <si>
    <t>Grupo banner</t>
  </si>
  <si>
    <t>Facultad</t>
  </si>
  <si>
    <t>Programa</t>
  </si>
  <si>
    <t>Profesor</t>
  </si>
  <si>
    <t>Mail profesor</t>
  </si>
  <si>
    <t>Fecha inicio</t>
  </si>
  <si>
    <t>Fecha Fin</t>
  </si>
  <si>
    <t>Duración (DD)</t>
  </si>
  <si>
    <t>Facultad de Administración</t>
  </si>
  <si>
    <t>Marcus Thiell</t>
  </si>
  <si>
    <t>elvira.kaneberg@ju.se</t>
  </si>
  <si>
    <t>N/A</t>
  </si>
  <si>
    <t>AA0145481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</si>
</sst>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  <font>
      <sz val="11"/>
      <color rgb="FF52525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50652D"/>
      <name val="Calibri"/>
      <family val="2"/>
    </font>
    <font>
      <sz val="11"/>
      <color rgb="FF000000"/>
      <name val="Aptos Narrow"/>
      <family val="2"/>
    </font>
    <font>
      <sz val="11"/>
      <color rgb="FF242424"/>
      <name val="Inherit"/>
    </font>
  </fonts>
  <fills count="41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theme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CCCCFF"/>
        <bgColor indexed="64"/>
      </patternFill>
    </fill>
    <fill>
      <patternFill patternType="solid">
        <fgColor rgb="FFCCCCFF"/>
        <bgColor theme="0" tint="-0.14999847407452621"/>
      </patternFill>
    </fill>
    <fill>
      <patternFill patternType="solid">
        <fgColor theme="5" tint="0.79998168889431442"/>
        <bgColor theme="0" tint="-0.149998474074526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rgb="FFD8EDEE"/>
        <bgColor indexed="64"/>
      </patternFill>
    </fill>
    <fill>
      <patternFill patternType="solid">
        <fgColor rgb="FFD8EDEE"/>
        <bgColor theme="0" tint="-0.14999847407452621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8D7E9"/>
        <bgColor theme="0" tint="-0.14999847407452621"/>
      </patternFill>
    </fill>
    <fill>
      <patternFill patternType="solid">
        <fgColor rgb="FFE8D7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theme="0" tint="-0.14999847407452621"/>
      </patternFill>
    </fill>
    <fill>
      <patternFill patternType="solid">
        <fgColor theme="3" tint="9.9978637043366805E-2"/>
        <bgColor theme="4"/>
      </patternFill>
    </fill>
    <fill>
      <patternFill patternType="solid">
        <fgColor theme="7" tint="-0.499984740745262"/>
        <bgColor theme="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theme="8"/>
      </patternFill>
    </fill>
    <fill>
      <patternFill patternType="solid">
        <fgColor rgb="FFFFFF00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FFFFFF"/>
        <bgColor rgb="FF000000"/>
      </patternFill>
    </fill>
  </fills>
  <borders count="87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theme="4" tint="0.39997558519241921"/>
      </left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rgb="FF000000"/>
      </top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theme="6" tint="-0.499984740745262"/>
      </right>
      <top/>
      <bottom style="thin">
        <color theme="6" tint="-0.499984740745262"/>
      </bottom>
      <diagonal/>
    </border>
    <border>
      <left style="thin">
        <color rgb="FF525252"/>
      </left>
      <right/>
      <top style="thin">
        <color rgb="FF525252"/>
      </top>
      <bottom style="thin">
        <color rgb="FF525252"/>
      </bottom>
      <diagonal/>
    </border>
    <border>
      <left style="thin">
        <color rgb="FF525252"/>
      </left>
      <right style="thin">
        <color rgb="FF525252"/>
      </right>
      <top/>
      <bottom style="thin">
        <color rgb="FF525252"/>
      </bottom>
      <diagonal/>
    </border>
    <border>
      <left style="thin">
        <color rgb="FF525252"/>
      </left>
      <right style="thin">
        <color rgb="FF525252"/>
      </right>
      <top style="thin">
        <color rgb="FF525252"/>
      </top>
      <bottom style="thin">
        <color rgb="FF52525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rgb="FF525252"/>
      </right>
      <top/>
      <bottom style="thin">
        <color rgb="FF525252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65">
    <xf numFmtId="0" fontId="0" fillId="0" borderId="0" xfId="0"/>
    <xf numFmtId="0" fontId="0" fillId="6" borderId="0" xfId="0" applyFill="1"/>
    <xf numFmtId="14" fontId="0" fillId="0" borderId="0" xfId="0" applyNumberFormat="1"/>
    <xf numFmtId="0" fontId="1" fillId="3" borderId="1" xfId="0" applyFont="1" applyFill="1" applyBorder="1"/>
    <xf numFmtId="0" fontId="1" fillId="4" borderId="1" xfId="1" applyFont="1" applyFill="1" applyBorder="1"/>
    <xf numFmtId="14" fontId="1" fillId="5" borderId="1" xfId="1" applyNumberFormat="1" applyFont="1" applyFill="1" applyBorder="1"/>
    <xf numFmtId="0" fontId="1" fillId="5" borderId="1" xfId="1" applyFont="1" applyFill="1" applyBorder="1"/>
    <xf numFmtId="0" fontId="1" fillId="7" borderId="1" xfId="0" applyFont="1" applyFill="1" applyBorder="1"/>
    <xf numFmtId="0" fontId="0" fillId="10" borderId="0" xfId="0" applyFill="1"/>
    <xf numFmtId="0" fontId="0" fillId="11" borderId="2" xfId="0" applyFill="1" applyBorder="1" applyAlignment="1">
      <alignment wrapText="1"/>
    </xf>
    <xf numFmtId="0" fontId="0" fillId="12" borderId="2" xfId="0" applyFill="1" applyBorder="1" applyAlignment="1">
      <alignment wrapText="1"/>
    </xf>
    <xf numFmtId="0" fontId="0" fillId="0" borderId="2" xfId="0" applyBorder="1"/>
    <xf numFmtId="0" fontId="0" fillId="11" borderId="2" xfId="0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14" borderId="2" xfId="0" applyFont="1" applyFill="1" applyBorder="1" applyAlignment="1">
      <alignment wrapText="1"/>
    </xf>
    <xf numFmtId="0" fontId="5" fillId="14" borderId="2" xfId="0" applyFont="1" applyFill="1" applyBorder="1" applyAlignment="1">
      <alignment horizontal="center"/>
    </xf>
    <xf numFmtId="0" fontId="5" fillId="15" borderId="2" xfId="0" applyFont="1" applyFill="1" applyBorder="1" applyAlignment="1">
      <alignment wrapText="1"/>
    </xf>
    <xf numFmtId="0" fontId="5" fillId="15" borderId="2" xfId="0" applyFont="1" applyFill="1" applyBorder="1" applyAlignment="1">
      <alignment horizontal="center"/>
    </xf>
    <xf numFmtId="0" fontId="0" fillId="18" borderId="0" xfId="0" applyFill="1" applyAlignment="1">
      <alignment wrapText="1"/>
    </xf>
    <xf numFmtId="0" fontId="0" fillId="18" borderId="0" xfId="0" applyFill="1" applyAlignment="1">
      <alignment horizontal="center"/>
    </xf>
    <xf numFmtId="0" fontId="0" fillId="18" borderId="0" xfId="0" applyFill="1"/>
    <xf numFmtId="0" fontId="4" fillId="18" borderId="0" xfId="0" applyFont="1" applyFill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4" fillId="0" borderId="11" xfId="0" applyFont="1" applyBorder="1"/>
    <xf numFmtId="0" fontId="4" fillId="0" borderId="12" xfId="0" applyFont="1" applyBorder="1"/>
    <xf numFmtId="0" fontId="4" fillId="0" borderId="11" xfId="0" applyFont="1" applyBorder="1" applyAlignment="1">
      <alignment horizontal="center"/>
    </xf>
    <xf numFmtId="0" fontId="0" fillId="12" borderId="6" xfId="0" applyFill="1" applyBorder="1"/>
    <xf numFmtId="0" fontId="0" fillId="11" borderId="6" xfId="0" applyFill="1" applyBorder="1"/>
    <xf numFmtId="0" fontId="0" fillId="10" borderId="0" xfId="0" applyFill="1" applyAlignment="1">
      <alignment vertical="center"/>
    </xf>
    <xf numFmtId="0" fontId="5" fillId="17" borderId="2" xfId="0" applyFont="1" applyFill="1" applyBorder="1" applyAlignment="1">
      <alignment wrapText="1"/>
    </xf>
    <xf numFmtId="0" fontId="5" fillId="17" borderId="2" xfId="0" applyFont="1" applyFill="1" applyBorder="1" applyAlignment="1">
      <alignment horizontal="center"/>
    </xf>
    <xf numFmtId="0" fontId="5" fillId="16" borderId="2" xfId="0" applyFont="1" applyFill="1" applyBorder="1" applyAlignment="1">
      <alignment wrapText="1"/>
    </xf>
    <xf numFmtId="0" fontId="5" fillId="16" borderId="2" xfId="0" applyFont="1" applyFill="1" applyBorder="1" applyAlignment="1">
      <alignment horizontal="center"/>
    </xf>
    <xf numFmtId="0" fontId="5" fillId="21" borderId="2" xfId="0" applyFont="1" applyFill="1" applyBorder="1" applyAlignment="1">
      <alignment horizontal="center"/>
    </xf>
    <xf numFmtId="0" fontId="0" fillId="22" borderId="2" xfId="0" applyFill="1" applyBorder="1" applyAlignment="1">
      <alignment wrapText="1"/>
    </xf>
    <xf numFmtId="0" fontId="0" fillId="22" borderId="2" xfId="0" applyFill="1" applyBorder="1" applyAlignment="1">
      <alignment horizontal="center"/>
    </xf>
    <xf numFmtId="0" fontId="8" fillId="18" borderId="0" xfId="0" applyFont="1" applyFill="1" applyAlignment="1">
      <alignment horizontal="center" vertical="center" wrapText="1"/>
    </xf>
    <xf numFmtId="0" fontId="10" fillId="18" borderId="0" xfId="0" applyFont="1" applyFill="1"/>
    <xf numFmtId="0" fontId="10" fillId="18" borderId="0" xfId="0" applyFont="1" applyFill="1" applyAlignment="1">
      <alignment horizontal="center"/>
    </xf>
    <xf numFmtId="0" fontId="11" fillId="18" borderId="0" xfId="0" applyFont="1" applyFill="1"/>
    <xf numFmtId="0" fontId="0" fillId="19" borderId="2" xfId="0" applyFill="1" applyBorder="1" applyAlignment="1">
      <alignment horizontal="center"/>
    </xf>
    <xf numFmtId="0" fontId="5" fillId="23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4" fillId="0" borderId="2" xfId="0" applyFont="1" applyBorder="1"/>
    <xf numFmtId="0" fontId="4" fillId="27" borderId="2" xfId="0" applyFont="1" applyFill="1" applyBorder="1"/>
    <xf numFmtId="0" fontId="4" fillId="10" borderId="2" xfId="0" applyFont="1" applyFill="1" applyBorder="1"/>
    <xf numFmtId="0" fontId="1" fillId="9" borderId="0" xfId="0" applyFont="1" applyFill="1"/>
    <xf numFmtId="0" fontId="0" fillId="0" borderId="20" xfId="0" applyBorder="1"/>
    <xf numFmtId="0" fontId="0" fillId="0" borderId="17" xfId="0" applyBorder="1"/>
    <xf numFmtId="0" fontId="0" fillId="18" borderId="0" xfId="0" applyFill="1" applyAlignment="1">
      <alignment horizontal="left"/>
    </xf>
    <xf numFmtId="0" fontId="4" fillId="19" borderId="11" xfId="0" applyFont="1" applyFill="1" applyBorder="1" applyAlignment="1">
      <alignment horizontal="center"/>
    </xf>
    <xf numFmtId="0" fontId="0" fillId="28" borderId="2" xfId="0" applyFill="1" applyBorder="1"/>
    <xf numFmtId="0" fontId="0" fillId="13" borderId="2" xfId="0" applyFill="1" applyBorder="1"/>
    <xf numFmtId="0" fontId="0" fillId="0" borderId="8" xfId="0" applyBorder="1"/>
    <xf numFmtId="0" fontId="0" fillId="0" borderId="3" xfId="0" applyBorder="1"/>
    <xf numFmtId="0" fontId="4" fillId="0" borderId="25" xfId="0" applyFont="1" applyBorder="1" applyAlignment="1">
      <alignment horizontal="center"/>
    </xf>
    <xf numFmtId="0" fontId="0" fillId="11" borderId="11" xfId="0" applyFill="1" applyBorder="1"/>
    <xf numFmtId="0" fontId="0" fillId="0" borderId="28" xfId="0" applyBorder="1"/>
    <xf numFmtId="0" fontId="0" fillId="0" borderId="27" xfId="0" applyBorder="1"/>
    <xf numFmtId="0" fontId="0" fillId="0" borderId="11" xfId="0" applyBorder="1"/>
    <xf numFmtId="0" fontId="0" fillId="0" borderId="12" xfId="0" applyBorder="1"/>
    <xf numFmtId="0" fontId="0" fillId="0" borderId="9" xfId="0" applyBorder="1"/>
    <xf numFmtId="0" fontId="0" fillId="11" borderId="7" xfId="0" applyFill="1" applyBorder="1"/>
    <xf numFmtId="0" fontId="4" fillId="0" borderId="31" xfId="0" applyFont="1" applyBorder="1" applyAlignment="1">
      <alignment horizontal="center"/>
    </xf>
    <xf numFmtId="0" fontId="8" fillId="10" borderId="0" xfId="0" applyFont="1" applyFill="1" applyAlignment="1">
      <alignment horizontal="center" vertical="center"/>
    </xf>
    <xf numFmtId="0" fontId="0" fillId="11" borderId="3" xfId="0" applyFill="1" applyBorder="1"/>
    <xf numFmtId="0" fontId="4" fillId="0" borderId="36" xfId="0" applyFont="1" applyBorder="1" applyAlignment="1">
      <alignment horizontal="center"/>
    </xf>
    <xf numFmtId="0" fontId="0" fillId="11" borderId="13" xfId="0" applyFill="1" applyBorder="1"/>
    <xf numFmtId="0" fontId="0" fillId="19" borderId="20" xfId="0" applyFill="1" applyBorder="1"/>
    <xf numFmtId="0" fontId="0" fillId="19" borderId="17" xfId="0" applyFill="1" applyBorder="1"/>
    <xf numFmtId="0" fontId="0" fillId="19" borderId="6" xfId="0" applyFill="1" applyBorder="1"/>
    <xf numFmtId="0" fontId="0" fillId="19" borderId="7" xfId="0" applyFill="1" applyBorder="1"/>
    <xf numFmtId="0" fontId="0" fillId="29" borderId="6" xfId="0" applyFill="1" applyBorder="1"/>
    <xf numFmtId="0" fontId="0" fillId="29" borderId="7" xfId="0" applyFill="1" applyBorder="1"/>
    <xf numFmtId="0" fontId="0" fillId="29" borderId="11" xfId="0" applyFill="1" applyBorder="1"/>
    <xf numFmtId="0" fontId="0" fillId="29" borderId="12" xfId="0" applyFill="1" applyBorder="1"/>
    <xf numFmtId="0" fontId="0" fillId="19" borderId="8" xfId="0" applyFill="1" applyBorder="1"/>
    <xf numFmtId="0" fontId="0" fillId="19" borderId="9" xfId="0" applyFill="1" applyBorder="1"/>
    <xf numFmtId="0" fontId="0" fillId="19" borderId="35" xfId="0" applyFill="1" applyBorder="1"/>
    <xf numFmtId="0" fontId="4" fillId="19" borderId="12" xfId="0" applyFont="1" applyFill="1" applyBorder="1" applyAlignment="1">
      <alignment horizontal="center"/>
    </xf>
    <xf numFmtId="0" fontId="4" fillId="19" borderId="25" xfId="0" applyFont="1" applyFill="1" applyBorder="1" applyAlignment="1">
      <alignment horizontal="center"/>
    </xf>
    <xf numFmtId="0" fontId="4" fillId="19" borderId="36" xfId="0" applyFont="1" applyFill="1" applyBorder="1" applyAlignment="1">
      <alignment horizontal="center"/>
    </xf>
    <xf numFmtId="0" fontId="7" fillId="20" borderId="0" xfId="0" applyFont="1" applyFill="1"/>
    <xf numFmtId="0" fontId="0" fillId="8" borderId="0" xfId="0" applyFill="1"/>
    <xf numFmtId="14" fontId="0" fillId="6" borderId="0" xfId="0" applyNumberFormat="1" applyFill="1"/>
    <xf numFmtId="0" fontId="0" fillId="19" borderId="0" xfId="0" applyFill="1"/>
    <xf numFmtId="0" fontId="5" fillId="30" borderId="2" xfId="0" applyFont="1" applyFill="1" applyBorder="1" applyAlignment="1">
      <alignment horizontal="center"/>
    </xf>
    <xf numFmtId="0" fontId="8" fillId="10" borderId="0" xfId="0" applyFont="1" applyFill="1" applyAlignment="1">
      <alignment vertical="center"/>
    </xf>
    <xf numFmtId="0" fontId="0" fillId="0" borderId="19" xfId="0" applyBorder="1"/>
    <xf numFmtId="0" fontId="0" fillId="0" borderId="34" xfId="0" applyBorder="1"/>
    <xf numFmtId="0" fontId="0" fillId="19" borderId="26" xfId="0" applyFill="1" applyBorder="1"/>
    <xf numFmtId="0" fontId="0" fillId="19" borderId="30" xfId="0" applyFill="1" applyBorder="1"/>
    <xf numFmtId="0" fontId="0" fillId="19" borderId="11" xfId="0" applyFill="1" applyBorder="1"/>
    <xf numFmtId="0" fontId="0" fillId="19" borderId="12" xfId="0" applyFill="1" applyBorder="1"/>
    <xf numFmtId="0" fontId="0" fillId="28" borderId="18" xfId="0" applyFill="1" applyBorder="1"/>
    <xf numFmtId="0" fontId="0" fillId="19" borderId="23" xfId="0" applyFill="1" applyBorder="1"/>
    <xf numFmtId="0" fontId="0" fillId="6" borderId="40" xfId="0" applyFill="1" applyBorder="1"/>
    <xf numFmtId="0" fontId="0" fillId="6" borderId="39" xfId="0" applyFill="1" applyBorder="1"/>
    <xf numFmtId="14" fontId="0" fillId="6" borderId="39" xfId="0" applyNumberFormat="1" applyFill="1" applyBorder="1"/>
    <xf numFmtId="0" fontId="0" fillId="0" borderId="38" xfId="0" applyBorder="1"/>
    <xf numFmtId="0" fontId="0" fillId="6" borderId="38" xfId="0" applyFill="1" applyBorder="1"/>
    <xf numFmtId="0" fontId="6" fillId="19" borderId="39" xfId="0" applyFont="1" applyFill="1" applyBorder="1"/>
    <xf numFmtId="0" fontId="6" fillId="19" borderId="0" xfId="0" applyFont="1" applyFill="1"/>
    <xf numFmtId="0" fontId="0" fillId="28" borderId="0" xfId="0" applyFill="1"/>
    <xf numFmtId="0" fontId="4" fillId="28" borderId="0" xfId="0" applyFont="1" applyFill="1"/>
    <xf numFmtId="0" fontId="0" fillId="0" borderId="42" xfId="0" applyBorder="1"/>
    <xf numFmtId="0" fontId="0" fillId="28" borderId="17" xfId="0" applyFill="1" applyBorder="1"/>
    <xf numFmtId="0" fontId="0" fillId="6" borderId="6" xfId="0" applyFill="1" applyBorder="1"/>
    <xf numFmtId="0" fontId="0" fillId="28" borderId="7" xfId="0" applyFill="1" applyBorder="1"/>
    <xf numFmtId="0" fontId="0" fillId="6" borderId="8" xfId="0" applyFill="1" applyBorder="1"/>
    <xf numFmtId="0" fontId="0" fillId="0" borderId="43" xfId="0" applyBorder="1"/>
    <xf numFmtId="0" fontId="0" fillId="28" borderId="9" xfId="0" applyFill="1" applyBorder="1"/>
    <xf numFmtId="0" fontId="0" fillId="6" borderId="20" xfId="0" applyFill="1" applyBorder="1"/>
    <xf numFmtId="0" fontId="0" fillId="11" borderId="0" xfId="0" applyFill="1"/>
    <xf numFmtId="0" fontId="0" fillId="11" borderId="0" xfId="0" applyFill="1" applyAlignment="1">
      <alignment horizontal="center" wrapText="1"/>
    </xf>
    <xf numFmtId="0" fontId="1" fillId="31" borderId="45" xfId="0" applyFont="1" applyFill="1" applyBorder="1"/>
    <xf numFmtId="0" fontId="1" fillId="32" borderId="45" xfId="0" applyFont="1" applyFill="1" applyBorder="1"/>
    <xf numFmtId="0" fontId="1" fillId="33" borderId="45" xfId="1" applyFont="1" applyFill="1" applyBorder="1"/>
    <xf numFmtId="0" fontId="1" fillId="34" borderId="44" xfId="0" applyFont="1" applyFill="1" applyBorder="1"/>
    <xf numFmtId="0" fontId="4" fillId="11" borderId="0" xfId="0" applyFont="1" applyFill="1" applyAlignment="1">
      <alignment vertical="center"/>
    </xf>
    <xf numFmtId="0" fontId="9" fillId="24" borderId="0" xfId="0" applyFont="1" applyFill="1" applyAlignment="1">
      <alignment horizontal="center"/>
    </xf>
    <xf numFmtId="0" fontId="1" fillId="4" borderId="0" xfId="1" applyFont="1" applyFill="1" applyBorder="1"/>
    <xf numFmtId="0" fontId="0" fillId="19" borderId="39" xfId="0" applyFill="1" applyBorder="1"/>
    <xf numFmtId="0" fontId="0" fillId="19" borderId="5" xfId="0" applyFill="1" applyBorder="1"/>
    <xf numFmtId="0" fontId="0" fillId="19" borderId="49" xfId="0" applyFill="1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63" xfId="0" applyBorder="1"/>
    <xf numFmtId="0" fontId="0" fillId="0" borderId="5" xfId="0" applyBorder="1"/>
    <xf numFmtId="0" fontId="0" fillId="0" borderId="64" xfId="0" applyBorder="1"/>
    <xf numFmtId="0" fontId="0" fillId="11" borderId="5" xfId="0" applyFill="1" applyBorder="1"/>
    <xf numFmtId="0" fontId="4" fillId="0" borderId="25" xfId="0" applyFont="1" applyBorder="1"/>
    <xf numFmtId="0" fontId="4" fillId="0" borderId="31" xfId="0" applyFont="1" applyBorder="1"/>
    <xf numFmtId="0" fontId="0" fillId="0" borderId="55" xfId="0" applyBorder="1"/>
    <xf numFmtId="0" fontId="0" fillId="12" borderId="54" xfId="0" applyFill="1" applyBorder="1"/>
    <xf numFmtId="0" fontId="0" fillId="12" borderId="55" xfId="0" applyFill="1" applyBorder="1"/>
    <xf numFmtId="0" fontId="0" fillId="12" borderId="56" xfId="0" applyFill="1" applyBorder="1"/>
    <xf numFmtId="0" fontId="0" fillId="12" borderId="57" xfId="0" applyFill="1" applyBorder="1"/>
    <xf numFmtId="0" fontId="0" fillId="0" borderId="65" xfId="0" applyBorder="1"/>
    <xf numFmtId="0" fontId="0" fillId="0" borderId="66" xfId="0" applyBorder="1"/>
    <xf numFmtId="0" fontId="0" fillId="12" borderId="52" xfId="0" applyFill="1" applyBorder="1"/>
    <xf numFmtId="0" fontId="0" fillId="12" borderId="53" xfId="0" applyFill="1" applyBorder="1"/>
    <xf numFmtId="0" fontId="0" fillId="0" borderId="26" xfId="0" applyBorder="1"/>
    <xf numFmtId="0" fontId="0" fillId="0" borderId="30" xfId="0" applyBorder="1"/>
    <xf numFmtId="0" fontId="0" fillId="12" borderId="58" xfId="0" applyFill="1" applyBorder="1"/>
    <xf numFmtId="0" fontId="0" fillId="12" borderId="59" xfId="0" applyFill="1" applyBorder="1"/>
    <xf numFmtId="0" fontId="0" fillId="12" borderId="60" xfId="0" applyFill="1" applyBorder="1"/>
    <xf numFmtId="0" fontId="0" fillId="0" borderId="48" xfId="0" applyBorder="1"/>
    <xf numFmtId="0" fontId="0" fillId="29" borderId="34" xfId="0" applyFill="1" applyBorder="1"/>
    <xf numFmtId="0" fontId="0" fillId="11" borderId="52" xfId="0" applyFill="1" applyBorder="1"/>
    <xf numFmtId="0" fontId="0" fillId="29" borderId="53" xfId="0" applyFill="1" applyBorder="1"/>
    <xf numFmtId="0" fontId="0" fillId="11" borderId="54" xfId="0" applyFill="1" applyBorder="1"/>
    <xf numFmtId="0" fontId="0" fillId="29" borderId="55" xfId="0" applyFill="1" applyBorder="1"/>
    <xf numFmtId="0" fontId="0" fillId="11" borderId="56" xfId="0" applyFill="1" applyBorder="1"/>
    <xf numFmtId="0" fontId="0" fillId="29" borderId="57" xfId="0" applyFill="1" applyBorder="1"/>
    <xf numFmtId="0" fontId="0" fillId="29" borderId="67" xfId="0" applyFill="1" applyBorder="1"/>
    <xf numFmtId="0" fontId="0" fillId="11" borderId="68" xfId="0" applyFill="1" applyBorder="1"/>
    <xf numFmtId="0" fontId="0" fillId="11" borderId="69" xfId="0" applyFill="1" applyBorder="1"/>
    <xf numFmtId="0" fontId="0" fillId="11" borderId="53" xfId="0" applyFill="1" applyBorder="1"/>
    <xf numFmtId="0" fontId="0" fillId="11" borderId="55" xfId="0" applyFill="1" applyBorder="1"/>
    <xf numFmtId="0" fontId="0" fillId="11" borderId="57" xfId="0" applyFill="1" applyBorder="1"/>
    <xf numFmtId="0" fontId="0" fillId="11" borderId="73" xfId="0" applyFill="1" applyBorder="1"/>
    <xf numFmtId="0" fontId="0" fillId="11" borderId="74" xfId="0" applyFill="1" applyBorder="1"/>
    <xf numFmtId="0" fontId="0" fillId="29" borderId="52" xfId="0" applyFill="1" applyBorder="1"/>
    <xf numFmtId="0" fontId="0" fillId="29" borderId="54" xfId="0" applyFill="1" applyBorder="1"/>
    <xf numFmtId="0" fontId="0" fillId="29" borderId="56" xfId="0" applyFill="1" applyBorder="1"/>
    <xf numFmtId="0" fontId="4" fillId="0" borderId="75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15" borderId="75" xfId="0" applyFont="1" applyFill="1" applyBorder="1" applyAlignment="1">
      <alignment horizontal="center"/>
    </xf>
    <xf numFmtId="0" fontId="5" fillId="17" borderId="75" xfId="0" applyFont="1" applyFill="1" applyBorder="1" applyAlignment="1">
      <alignment horizontal="center"/>
    </xf>
    <xf numFmtId="0" fontId="0" fillId="22" borderId="2" xfId="0" applyFill="1" applyBorder="1" applyAlignment="1">
      <alignment horizontal="center" vertical="center" wrapText="1"/>
    </xf>
    <xf numFmtId="0" fontId="5" fillId="28" borderId="0" xfId="0" applyFont="1" applyFill="1" applyAlignment="1">
      <alignment vertical="center" wrapText="1"/>
    </xf>
    <xf numFmtId="0" fontId="0" fillId="28" borderId="0" xfId="0" applyFill="1" applyAlignment="1">
      <alignment vertical="center" wrapText="1"/>
    </xf>
    <xf numFmtId="0" fontId="17" fillId="10" borderId="76" xfId="0" applyFont="1" applyFill="1" applyBorder="1" applyAlignment="1">
      <alignment vertical="center" wrapText="1"/>
    </xf>
    <xf numFmtId="0" fontId="18" fillId="10" borderId="77" xfId="0" applyFont="1" applyFill="1" applyBorder="1" applyAlignment="1">
      <alignment vertical="center" wrapText="1"/>
    </xf>
    <xf numFmtId="0" fontId="19" fillId="28" borderId="76" xfId="0" applyFont="1" applyFill="1" applyBorder="1" applyAlignment="1">
      <alignment vertical="center" wrapText="1"/>
    </xf>
    <xf numFmtId="0" fontId="18" fillId="28" borderId="78" xfId="0" applyFont="1" applyFill="1" applyBorder="1" applyAlignment="1">
      <alignment horizontal="center" vertical="center" wrapText="1"/>
    </xf>
    <xf numFmtId="164" fontId="18" fillId="29" borderId="2" xfId="0" applyNumberFormat="1" applyFont="1" applyFill="1" applyBorder="1" applyAlignment="1">
      <alignment vertical="center" wrapText="1"/>
    </xf>
    <xf numFmtId="0" fontId="20" fillId="35" borderId="2" xfId="0" applyFont="1" applyFill="1" applyBorder="1" applyAlignment="1">
      <alignment wrapText="1"/>
    </xf>
    <xf numFmtId="0" fontId="21" fillId="36" borderId="80" xfId="0" applyFont="1" applyFill="1" applyBorder="1" applyAlignment="1">
      <alignment wrapText="1"/>
    </xf>
    <xf numFmtId="0" fontId="21" fillId="37" borderId="81" xfId="0" applyFont="1" applyFill="1" applyBorder="1" applyAlignment="1">
      <alignment wrapText="1"/>
    </xf>
    <xf numFmtId="0" fontId="22" fillId="37" borderId="81" xfId="0" applyFont="1" applyFill="1" applyBorder="1" applyAlignment="1">
      <alignment wrapText="1"/>
    </xf>
    <xf numFmtId="0" fontId="22" fillId="0" borderId="2" xfId="0" applyFont="1" applyBorder="1" applyAlignment="1">
      <alignment wrapText="1"/>
    </xf>
    <xf numFmtId="0" fontId="22" fillId="37" borderId="82" xfId="0" applyFont="1" applyFill="1" applyBorder="1" applyAlignment="1">
      <alignment wrapText="1"/>
    </xf>
    <xf numFmtId="0" fontId="22" fillId="0" borderId="82" xfId="0" applyFont="1" applyBorder="1" applyAlignment="1">
      <alignment wrapText="1"/>
    </xf>
    <xf numFmtId="0" fontId="22" fillId="0" borderId="75" xfId="0" applyFont="1" applyBorder="1" applyAlignment="1">
      <alignment wrapText="1"/>
    </xf>
    <xf numFmtId="0" fontId="22" fillId="0" borderId="75" xfId="0" applyFont="1" applyBorder="1"/>
    <xf numFmtId="0" fontId="21" fillId="37" borderId="82" xfId="0" applyFont="1" applyFill="1" applyBorder="1" applyAlignment="1">
      <alignment wrapText="1"/>
    </xf>
    <xf numFmtId="0" fontId="17" fillId="29" borderId="83" xfId="0" applyFont="1" applyFill="1" applyBorder="1" applyAlignment="1">
      <alignment horizontal="center" vertical="center" wrapText="1"/>
    </xf>
    <xf numFmtId="0" fontId="23" fillId="38" borderId="84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2" fillId="24" borderId="0" xfId="0" applyFont="1" applyFill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0" fillId="28" borderId="20" xfId="0" applyFill="1" applyBorder="1"/>
    <xf numFmtId="0" fontId="0" fillId="28" borderId="6" xfId="0" applyFill="1" applyBorder="1"/>
    <xf numFmtId="0" fontId="0" fillId="13" borderId="6" xfId="0" applyFill="1" applyBorder="1"/>
    <xf numFmtId="0" fontId="4" fillId="0" borderId="16" xfId="0" applyFont="1" applyBorder="1" applyAlignment="1">
      <alignment horizontal="center" vertical="center"/>
    </xf>
    <xf numFmtId="0" fontId="4" fillId="19" borderId="61" xfId="0" applyFont="1" applyFill="1" applyBorder="1" applyAlignment="1">
      <alignment horizontal="center" vertical="center"/>
    </xf>
    <xf numFmtId="0" fontId="4" fillId="28" borderId="14" xfId="0" applyFont="1" applyFill="1" applyBorder="1" applyAlignment="1">
      <alignment horizontal="center" vertical="center"/>
    </xf>
    <xf numFmtId="0" fontId="4" fillId="19" borderId="24" xfId="0" applyFont="1" applyFill="1" applyBorder="1" applyAlignment="1">
      <alignment horizontal="center" vertical="center"/>
    </xf>
    <xf numFmtId="0" fontId="0" fillId="0" borderId="13" xfId="0" applyBorder="1"/>
    <xf numFmtId="0" fontId="0" fillId="19" borderId="15" xfId="0" applyFill="1" applyBorder="1"/>
    <xf numFmtId="0" fontId="0" fillId="28" borderId="24" xfId="0" applyFill="1" applyBorder="1"/>
    <xf numFmtId="0" fontId="0" fillId="12" borderId="65" xfId="0" applyFill="1" applyBorder="1"/>
    <xf numFmtId="0" fontId="0" fillId="12" borderId="66" xfId="0" applyFill="1" applyBorder="1"/>
    <xf numFmtId="0" fontId="0" fillId="12" borderId="85" xfId="0" applyFill="1" applyBorder="1"/>
    <xf numFmtId="0" fontId="0" fillId="28" borderId="28" xfId="0" applyFill="1" applyBorder="1"/>
    <xf numFmtId="0" fontId="0" fillId="28" borderId="3" xfId="0" applyFill="1" applyBorder="1"/>
    <xf numFmtId="0" fontId="0" fillId="28" borderId="27" xfId="0" applyFill="1" applyBorder="1"/>
    <xf numFmtId="0" fontId="0" fillId="11" borderId="19" xfId="0" applyFill="1" applyBorder="1"/>
    <xf numFmtId="0" fontId="0" fillId="11" borderId="34" xfId="0" applyFill="1" applyBorder="1"/>
    <xf numFmtId="0" fontId="0" fillId="28" borderId="8" xfId="0" applyFill="1" applyBorder="1"/>
    <xf numFmtId="0" fontId="0" fillId="19" borderId="86" xfId="0" applyFill="1" applyBorder="1"/>
    <xf numFmtId="0" fontId="4" fillId="28" borderId="0" xfId="0" applyFont="1" applyFill="1" applyAlignment="1">
      <alignment horizontal="center"/>
    </xf>
    <xf numFmtId="0" fontId="16" fillId="28" borderId="0" xfId="0" applyFont="1" applyFill="1" applyAlignment="1">
      <alignment horizontal="center" vertical="center"/>
    </xf>
    <xf numFmtId="0" fontId="0" fillId="11" borderId="0" xfId="0" applyFill="1" applyAlignment="1">
      <alignment horizontal="left" wrapText="1"/>
    </xf>
    <xf numFmtId="0" fontId="15" fillId="28" borderId="0" xfId="0" applyFont="1" applyFill="1" applyAlignment="1">
      <alignment horizontal="center" wrapText="1"/>
    </xf>
    <xf numFmtId="0" fontId="0" fillId="28" borderId="0" xfId="0" applyFill="1" applyAlignment="1">
      <alignment horizontal="center" vertical="center"/>
    </xf>
    <xf numFmtId="0" fontId="0" fillId="28" borderId="46" xfId="0" applyFill="1" applyBorder="1" applyAlignment="1">
      <alignment horizontal="center" vertical="center"/>
    </xf>
    <xf numFmtId="0" fontId="0" fillId="28" borderId="47" xfId="0" applyFill="1" applyBorder="1" applyAlignment="1">
      <alignment horizontal="center" vertical="center"/>
    </xf>
    <xf numFmtId="0" fontId="24" fillId="40" borderId="0" xfId="0" applyFont="1" applyFill="1" applyAlignment="1">
      <alignment wrapText="1"/>
    </xf>
    <xf numFmtId="0" fontId="4" fillId="28" borderId="0" xfId="0" applyFont="1" applyFill="1" applyAlignment="1">
      <alignment horizontal="center" vertical="center" wrapText="1"/>
    </xf>
    <xf numFmtId="0" fontId="4" fillId="19" borderId="16" xfId="0" applyFont="1" applyFill="1" applyBorder="1" applyAlignment="1">
      <alignment horizontal="center"/>
    </xf>
    <xf numFmtId="0" fontId="4" fillId="19" borderId="33" xfId="0" applyFont="1" applyFill="1" applyBorder="1" applyAlignment="1">
      <alignment horizontal="center"/>
    </xf>
    <xf numFmtId="0" fontId="4" fillId="11" borderId="18" xfId="0" applyFont="1" applyFill="1" applyBorder="1" applyAlignment="1">
      <alignment horizontal="right" indent="5"/>
    </xf>
    <xf numFmtId="0" fontId="4" fillId="11" borderId="51" xfId="0" applyFont="1" applyFill="1" applyBorder="1" applyAlignment="1">
      <alignment horizontal="right" indent="5"/>
    </xf>
    <xf numFmtId="0" fontId="8" fillId="10" borderId="0" xfId="0" applyFont="1" applyFill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11" borderId="72" xfId="0" applyFont="1" applyFill="1" applyBorder="1" applyAlignment="1">
      <alignment horizontal="center" vertical="center" textRotation="90" wrapText="1"/>
    </xf>
    <xf numFmtId="0" fontId="4" fillId="11" borderId="70" xfId="0" applyFont="1" applyFill="1" applyBorder="1" applyAlignment="1">
      <alignment horizontal="center" vertical="center" textRotation="90" wrapText="1"/>
    </xf>
    <xf numFmtId="0" fontId="4" fillId="11" borderId="71" xfId="0" applyFont="1" applyFill="1" applyBorder="1" applyAlignment="1">
      <alignment horizontal="center" vertical="center" textRotation="90" wrapText="1"/>
    </xf>
    <xf numFmtId="0" fontId="4" fillId="19" borderId="37" xfId="0" applyFont="1" applyFill="1" applyBorder="1" applyAlignment="1">
      <alignment horizontal="center"/>
    </xf>
    <xf numFmtId="0" fontId="4" fillId="28" borderId="16" xfId="0" applyFont="1" applyFill="1" applyBorder="1" applyAlignment="1">
      <alignment horizontal="center" vertical="center" textRotation="90" wrapText="1"/>
    </xf>
    <xf numFmtId="0" fontId="4" fillId="28" borderId="62" xfId="0" applyFont="1" applyFill="1" applyBorder="1" applyAlignment="1">
      <alignment horizontal="center" vertical="center" textRotation="90" wrapText="1"/>
    </xf>
    <xf numFmtId="0" fontId="4" fillId="28" borderId="21" xfId="0" applyFont="1" applyFill="1" applyBorder="1" applyAlignment="1">
      <alignment horizontal="center" vertical="center" textRotation="90" wrapText="1"/>
    </xf>
    <xf numFmtId="0" fontId="4" fillId="28" borderId="22" xfId="0" applyFont="1" applyFill="1" applyBorder="1" applyAlignment="1">
      <alignment horizontal="center" vertical="center" textRotation="90" wrapText="1"/>
    </xf>
    <xf numFmtId="0" fontId="4" fillId="0" borderId="14" xfId="0" applyFont="1" applyBorder="1" applyAlignment="1">
      <alignment horizontal="right" indent="5"/>
    </xf>
    <xf numFmtId="0" fontId="4" fillId="0" borderId="29" xfId="0" applyFont="1" applyBorder="1" applyAlignment="1">
      <alignment horizontal="right" indent="5"/>
    </xf>
    <xf numFmtId="0" fontId="4" fillId="19" borderId="14" xfId="0" applyFont="1" applyFill="1" applyBorder="1" applyAlignment="1">
      <alignment horizontal="center" vertical="center"/>
    </xf>
    <xf numFmtId="0" fontId="4" fillId="19" borderId="15" xfId="0" applyFont="1" applyFill="1" applyBorder="1" applyAlignment="1">
      <alignment horizontal="center" vertical="center"/>
    </xf>
    <xf numFmtId="0" fontId="12" fillId="24" borderId="0" xfId="0" applyFont="1" applyFill="1" applyAlignment="1">
      <alignment horizontal="center" vertical="center" wrapText="1"/>
    </xf>
    <xf numFmtId="0" fontId="4" fillId="13" borderId="2" xfId="0" applyFont="1" applyFill="1" applyBorder="1" applyAlignment="1">
      <alignment horizontal="center"/>
    </xf>
    <xf numFmtId="0" fontId="9" fillId="24" borderId="0" xfId="0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8" fillId="28" borderId="3" xfId="0" applyFont="1" applyFill="1" applyBorder="1" applyAlignment="1">
      <alignment horizontal="center"/>
    </xf>
    <xf numFmtId="0" fontId="8" fillId="28" borderId="4" xfId="0" applyFont="1" applyFill="1" applyBorder="1" applyAlignment="1">
      <alignment horizontal="center"/>
    </xf>
    <xf numFmtId="0" fontId="8" fillId="28" borderId="5" xfId="0" applyFont="1" applyFill="1" applyBorder="1" applyAlignment="1">
      <alignment horizontal="center"/>
    </xf>
    <xf numFmtId="0" fontId="14" fillId="28" borderId="41" xfId="0" applyFont="1" applyFill="1" applyBorder="1" applyAlignment="1">
      <alignment horizontal="center"/>
    </xf>
    <xf numFmtId="0" fontId="5" fillId="28" borderId="78" xfId="0" applyFont="1" applyFill="1" applyBorder="1" applyAlignment="1">
      <alignment horizontal="left" vertical="center" wrapText="1"/>
    </xf>
    <xf numFmtId="0" fontId="5" fillId="28" borderId="79" xfId="0" applyFont="1" applyFill="1" applyBorder="1" applyAlignment="1">
      <alignment horizontal="left" vertical="center" wrapText="1"/>
    </xf>
    <xf numFmtId="0" fontId="24" fillId="39" borderId="0" xfId="0" applyFont="1" applyFill="1" applyAlignment="1"/>
    <xf numFmtId="0" fontId="24" fillId="40" borderId="0" xfId="0" applyFont="1" applyFill="1" applyAlignment="1"/>
  </cellXfs>
  <cellStyles count="2">
    <cellStyle name="Énfasis6" xfId="1" builtinId="49"/>
    <cellStyle name="Normal" xfId="0" builtinId="0"/>
  </cellStyles>
  <dxfs count="71">
    <dxf>
      <numFmt numFmtId="165" formatCode="d/mm/yyyy"/>
    </dxf>
    <dxf>
      <numFmt numFmtId="165" formatCode="d/mm/yyyy"/>
    </dxf>
    <dxf>
      <font>
        <color theme="2" tint="-0.24994659260841701"/>
      </font>
    </dxf>
    <dxf>
      <font>
        <color theme="2" tint="-0.24994659260841701"/>
      </font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8" tint="0.79998168889431442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numFmt numFmtId="165" formatCode="d/mm/yyyy"/>
    </dxf>
    <dxf>
      <numFmt numFmtId="165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border outline="0">
        <bottom style="medium">
          <color theme="1"/>
        </bottom>
      </border>
    </dxf>
    <dxf>
      <border outline="0">
        <left style="thin">
          <color theme="4" tint="0.39997558519241921"/>
        </left>
        <top style="thin">
          <color rgb="FF000000"/>
        </top>
        <bottom style="thin">
          <color theme="4" tint="0.39997558519241921"/>
        </bottom>
      </border>
    </dxf>
    <dxf>
      <font>
        <color theme="2" tint="-0.24994659260841701"/>
      </font>
    </dxf>
  </dxfs>
  <tableStyles count="0" defaultTableStyle="TableStyleMedium2" defaultPivotStyle="PivotStyleLight16"/>
  <colors>
    <mruColors>
      <color rgb="FFE8E8E8"/>
      <color rgb="FFBBDFFD"/>
      <color rgb="FFE8D7E9"/>
      <color rgb="FFD8EDEE"/>
      <color rgb="FFCCCCFF"/>
      <color rgb="FFCCFFFF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ysClr val="windowText" lastClr="000000"/>
                </a:solidFill>
              </a:rPr>
              <a:t>Undergraduate</a:t>
            </a:r>
            <a:r>
              <a:rPr lang="es-CO" baseline="0">
                <a:solidFill>
                  <a:sysClr val="windowText" lastClr="000000"/>
                </a:solidFill>
              </a:rPr>
              <a:t> Mobility Balance by Cohort</a:t>
            </a:r>
            <a:endParaRPr lang="es-CO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'Movilidad Internacional'!$B$82</c:f>
              <c:strCache>
                <c:ptCount val="1"/>
                <c:pt idx="0">
                  <c:v>Incoming UG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Internacional'!$C$81:$M$81</c:f>
              <c:numCache>
                <c:formatCode>General</c:formatCode>
                <c:ptCount val="11"/>
                <c:pt idx="0">
                  <c:v>202010</c:v>
                </c:pt>
                <c:pt idx="1">
                  <c:v>202020</c:v>
                </c:pt>
                <c:pt idx="2">
                  <c:v>202110</c:v>
                </c:pt>
                <c:pt idx="3">
                  <c:v>202120</c:v>
                </c:pt>
                <c:pt idx="4">
                  <c:v>202210</c:v>
                </c:pt>
                <c:pt idx="5">
                  <c:v>202220</c:v>
                </c:pt>
                <c:pt idx="6">
                  <c:v>202310</c:v>
                </c:pt>
                <c:pt idx="7">
                  <c:v>202320</c:v>
                </c:pt>
                <c:pt idx="8">
                  <c:v>202410</c:v>
                </c:pt>
                <c:pt idx="9">
                  <c:v>202420</c:v>
                </c:pt>
                <c:pt idx="10">
                  <c:v>202510</c:v>
                </c:pt>
              </c:numCache>
            </c:numRef>
          </c:cat>
          <c:val>
            <c:numRef>
              <c:f>'Movilidad Internacional'!$C$82:$M$82</c:f>
              <c:numCache>
                <c:formatCode>General</c:formatCode>
                <c:ptCount val="11"/>
                <c:pt idx="0">
                  <c:v>30</c:v>
                </c:pt>
                <c:pt idx="1">
                  <c:v>0</c:v>
                </c:pt>
                <c:pt idx="2">
                  <c:v>9</c:v>
                </c:pt>
                <c:pt idx="3">
                  <c:v>11</c:v>
                </c:pt>
                <c:pt idx="4">
                  <c:v>22</c:v>
                </c:pt>
                <c:pt idx="5">
                  <c:v>30</c:v>
                </c:pt>
                <c:pt idx="6">
                  <c:v>26</c:v>
                </c:pt>
                <c:pt idx="7">
                  <c:v>35</c:v>
                </c:pt>
                <c:pt idx="8">
                  <c:v>31</c:v>
                </c:pt>
                <c:pt idx="9">
                  <c:v>21</c:v>
                </c:pt>
                <c:pt idx="10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B-47CA-B42D-94C72EC9DDBA}"/>
            </c:ext>
          </c:extLst>
        </c:ser>
        <c:ser>
          <c:idx val="1"/>
          <c:order val="1"/>
          <c:tx>
            <c:strRef>
              <c:f>'Movilidad Internacional'!$B$83</c:f>
              <c:strCache>
                <c:ptCount val="1"/>
                <c:pt idx="0">
                  <c:v>Outgoing UG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Internacional'!$C$81:$M$81</c:f>
              <c:numCache>
                <c:formatCode>General</c:formatCode>
                <c:ptCount val="11"/>
                <c:pt idx="0">
                  <c:v>202010</c:v>
                </c:pt>
                <c:pt idx="1">
                  <c:v>202020</c:v>
                </c:pt>
                <c:pt idx="2">
                  <c:v>202110</c:v>
                </c:pt>
                <c:pt idx="3">
                  <c:v>202120</c:v>
                </c:pt>
                <c:pt idx="4">
                  <c:v>202210</c:v>
                </c:pt>
                <c:pt idx="5">
                  <c:v>202220</c:v>
                </c:pt>
                <c:pt idx="6">
                  <c:v>202310</c:v>
                </c:pt>
                <c:pt idx="7">
                  <c:v>202320</c:v>
                </c:pt>
                <c:pt idx="8">
                  <c:v>202410</c:v>
                </c:pt>
                <c:pt idx="9">
                  <c:v>202420</c:v>
                </c:pt>
                <c:pt idx="10">
                  <c:v>202510</c:v>
                </c:pt>
              </c:numCache>
            </c:numRef>
          </c:cat>
          <c:val>
            <c:numRef>
              <c:f>'Movilidad Internacional'!$C$83:$M$83</c:f>
              <c:numCache>
                <c:formatCode>General</c:formatCode>
                <c:ptCount val="11"/>
                <c:pt idx="0">
                  <c:v>41</c:v>
                </c:pt>
                <c:pt idx="1">
                  <c:v>2</c:v>
                </c:pt>
                <c:pt idx="2">
                  <c:v>18</c:v>
                </c:pt>
                <c:pt idx="3">
                  <c:v>29</c:v>
                </c:pt>
                <c:pt idx="4">
                  <c:v>51</c:v>
                </c:pt>
                <c:pt idx="5">
                  <c:v>39</c:v>
                </c:pt>
                <c:pt idx="6">
                  <c:v>78</c:v>
                </c:pt>
                <c:pt idx="7">
                  <c:v>59</c:v>
                </c:pt>
                <c:pt idx="8">
                  <c:v>45</c:v>
                </c:pt>
                <c:pt idx="9">
                  <c:v>45</c:v>
                </c:pt>
                <c:pt idx="10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DB-47CA-B42D-94C72EC9DD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1256144"/>
        <c:axId val="18125662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'Movilidad Internacional'!$B$84</c15:sqref>
                        </c15:formulaRef>
                      </c:ext>
                    </c:extLst>
                    <c:strCache>
                      <c:ptCount val="1"/>
                      <c:pt idx="0">
                        <c:v>Outgoing DT UG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bg2">
                        <a:lumMod val="90000"/>
                      </a:schemeClr>
                    </a:solid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'Movilidad Internacional'!$C$81:$M$81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202010</c:v>
                      </c:pt>
                      <c:pt idx="1">
                        <c:v>202020</c:v>
                      </c:pt>
                      <c:pt idx="2">
                        <c:v>202110</c:v>
                      </c:pt>
                      <c:pt idx="3">
                        <c:v>202120</c:v>
                      </c:pt>
                      <c:pt idx="4">
                        <c:v>202210</c:v>
                      </c:pt>
                      <c:pt idx="5">
                        <c:v>202220</c:v>
                      </c:pt>
                      <c:pt idx="6">
                        <c:v>202310</c:v>
                      </c:pt>
                      <c:pt idx="7">
                        <c:v>202320</c:v>
                      </c:pt>
                      <c:pt idx="8">
                        <c:v>202410</c:v>
                      </c:pt>
                      <c:pt idx="9">
                        <c:v>202420</c:v>
                      </c:pt>
                      <c:pt idx="10">
                        <c:v>202510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'Movilidad Internacional'!$C$84:$M$84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5</c:v>
                      </c:pt>
                      <c:pt idx="2">
                        <c:v>0</c:v>
                      </c:pt>
                      <c:pt idx="3">
                        <c:v>5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0</c:v>
                      </c:pt>
                      <c:pt idx="7">
                        <c:v>12</c:v>
                      </c:pt>
                      <c:pt idx="8">
                        <c:v>0</c:v>
                      </c:pt>
                      <c:pt idx="9">
                        <c:v>8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6DB-47CA-B42D-94C72EC9DDBA}"/>
                  </c:ext>
                </c:extLst>
              </c15:ser>
            </c15:filteredLineSeries>
          </c:ext>
        </c:extLst>
      </c:lineChart>
      <c:catAx>
        <c:axId val="18125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624"/>
        <c:crosses val="autoZero"/>
        <c:auto val="1"/>
        <c:lblAlgn val="ctr"/>
        <c:lblOffset val="100"/>
        <c:noMultiLvlLbl val="0"/>
      </c:catAx>
      <c:valAx>
        <c:axId val="181256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ysClr val="windowText" lastClr="000000"/>
                </a:solidFill>
              </a:rPr>
              <a:t>Graduate</a:t>
            </a:r>
            <a:r>
              <a:rPr lang="es-CO" baseline="0">
                <a:solidFill>
                  <a:sysClr val="windowText" lastClr="000000"/>
                </a:solidFill>
              </a:rPr>
              <a:t> Mobility Balance by cohort</a:t>
            </a:r>
            <a:endParaRPr lang="es-CO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'Movilidad Internacional'!$B$82</c:f>
              <c:strCache>
                <c:ptCount val="1"/>
                <c:pt idx="0">
                  <c:v>Incoming UG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Internacional'!$Q$81:$AA$81</c:f>
              <c:numCache>
                <c:formatCode>General</c:formatCode>
                <c:ptCount val="11"/>
                <c:pt idx="0">
                  <c:v>202010</c:v>
                </c:pt>
                <c:pt idx="1">
                  <c:v>202020</c:v>
                </c:pt>
                <c:pt idx="2">
                  <c:v>202110</c:v>
                </c:pt>
                <c:pt idx="3">
                  <c:v>202120</c:v>
                </c:pt>
                <c:pt idx="4">
                  <c:v>202210</c:v>
                </c:pt>
                <c:pt idx="5">
                  <c:v>202220</c:v>
                </c:pt>
                <c:pt idx="6">
                  <c:v>202310</c:v>
                </c:pt>
                <c:pt idx="7">
                  <c:v>202320</c:v>
                </c:pt>
                <c:pt idx="8">
                  <c:v>202410</c:v>
                </c:pt>
                <c:pt idx="9">
                  <c:v>202420</c:v>
                </c:pt>
                <c:pt idx="10">
                  <c:v>202510</c:v>
                </c:pt>
              </c:numCache>
            </c:numRef>
          </c:cat>
          <c:val>
            <c:numRef>
              <c:f>'Movilidad Internacional'!$Q$82:$AA$82</c:f>
              <c:numCache>
                <c:formatCode>General</c:formatCode>
                <c:ptCount val="11"/>
                <c:pt idx="0">
                  <c:v>10</c:v>
                </c:pt>
                <c:pt idx="1">
                  <c:v>0</c:v>
                </c:pt>
                <c:pt idx="2">
                  <c:v>4</c:v>
                </c:pt>
                <c:pt idx="3">
                  <c:v>18</c:v>
                </c:pt>
                <c:pt idx="4">
                  <c:v>7</c:v>
                </c:pt>
                <c:pt idx="5">
                  <c:v>26</c:v>
                </c:pt>
                <c:pt idx="6">
                  <c:v>12</c:v>
                </c:pt>
                <c:pt idx="7">
                  <c:v>20</c:v>
                </c:pt>
                <c:pt idx="8">
                  <c:v>13</c:v>
                </c:pt>
                <c:pt idx="9">
                  <c:v>25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CB-42B2-B388-4EBD945B2A93}"/>
            </c:ext>
          </c:extLst>
        </c:ser>
        <c:ser>
          <c:idx val="1"/>
          <c:order val="1"/>
          <c:tx>
            <c:strRef>
              <c:f>'Movilidad Internacional'!$B$83</c:f>
              <c:strCache>
                <c:ptCount val="1"/>
                <c:pt idx="0">
                  <c:v>Outgoing UG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Internacional'!$Q$81:$AA$81</c:f>
              <c:numCache>
                <c:formatCode>General</c:formatCode>
                <c:ptCount val="11"/>
                <c:pt idx="0">
                  <c:v>202010</c:v>
                </c:pt>
                <c:pt idx="1">
                  <c:v>202020</c:v>
                </c:pt>
                <c:pt idx="2">
                  <c:v>202110</c:v>
                </c:pt>
                <c:pt idx="3">
                  <c:v>202120</c:v>
                </c:pt>
                <c:pt idx="4">
                  <c:v>202210</c:v>
                </c:pt>
                <c:pt idx="5">
                  <c:v>202220</c:v>
                </c:pt>
                <c:pt idx="6">
                  <c:v>202310</c:v>
                </c:pt>
                <c:pt idx="7">
                  <c:v>202320</c:v>
                </c:pt>
                <c:pt idx="8">
                  <c:v>202410</c:v>
                </c:pt>
                <c:pt idx="9">
                  <c:v>202420</c:v>
                </c:pt>
                <c:pt idx="10">
                  <c:v>202510</c:v>
                </c:pt>
              </c:numCache>
            </c:numRef>
          </c:cat>
          <c:val>
            <c:numRef>
              <c:f>'Movilidad Internacional'!$Q$83:$AA$83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CB-42B2-B388-4EBD945B2A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1256144"/>
        <c:axId val="18125662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'Movilidad Internacional'!$B$84</c15:sqref>
                        </c15:formulaRef>
                      </c:ext>
                    </c:extLst>
                    <c:strCache>
                      <c:ptCount val="1"/>
                      <c:pt idx="0">
                        <c:v>Outgoing DT UG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bg2">
                        <a:lumMod val="90000"/>
                      </a:schemeClr>
                    </a:solid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'Movilidad Internacional'!$Q$81:$AA$81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202010</c:v>
                      </c:pt>
                      <c:pt idx="1">
                        <c:v>202020</c:v>
                      </c:pt>
                      <c:pt idx="2">
                        <c:v>202110</c:v>
                      </c:pt>
                      <c:pt idx="3">
                        <c:v>202120</c:v>
                      </c:pt>
                      <c:pt idx="4">
                        <c:v>202210</c:v>
                      </c:pt>
                      <c:pt idx="5">
                        <c:v>202220</c:v>
                      </c:pt>
                      <c:pt idx="6">
                        <c:v>202310</c:v>
                      </c:pt>
                      <c:pt idx="7">
                        <c:v>202320</c:v>
                      </c:pt>
                      <c:pt idx="8">
                        <c:v>202410</c:v>
                      </c:pt>
                      <c:pt idx="9">
                        <c:v>202420</c:v>
                      </c:pt>
                      <c:pt idx="10">
                        <c:v>202510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'Movilidad Internacional'!$Q$84:$AA$84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CB-42B2-B388-4EBD945B2A93}"/>
                  </c:ext>
                </c:extLst>
              </c15:ser>
            </c15:filteredLineSeries>
          </c:ext>
        </c:extLst>
      </c:lineChart>
      <c:catAx>
        <c:axId val="18125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624"/>
        <c:crosses val="autoZero"/>
        <c:auto val="1"/>
        <c:lblAlgn val="ctr"/>
        <c:lblOffset val="100"/>
        <c:noMultiLvlLbl val="0"/>
      </c:catAx>
      <c:valAx>
        <c:axId val="18125662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ysClr val="windowText" lastClr="000000"/>
                </a:solidFill>
              </a:rPr>
              <a:t>Undergraduate</a:t>
            </a:r>
            <a:r>
              <a:rPr lang="es-CO" baseline="0">
                <a:solidFill>
                  <a:sysClr val="windowText" lastClr="000000"/>
                </a:solidFill>
              </a:rPr>
              <a:t> Mobility Balance by Year</a:t>
            </a:r>
            <a:endParaRPr lang="es-CO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'Movilidad Internacional'!$B$112</c:f>
              <c:strCache>
                <c:ptCount val="1"/>
                <c:pt idx="0">
                  <c:v>Incoming UG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Internacional'!$C$111:$H$111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'Movilidad Internacional'!$C$112:$H$112</c:f>
              <c:numCache>
                <c:formatCode>General</c:formatCode>
                <c:ptCount val="6"/>
                <c:pt idx="0">
                  <c:v>30</c:v>
                </c:pt>
                <c:pt idx="1">
                  <c:v>20</c:v>
                </c:pt>
                <c:pt idx="2">
                  <c:v>52</c:v>
                </c:pt>
                <c:pt idx="3">
                  <c:v>61</c:v>
                </c:pt>
                <c:pt idx="4">
                  <c:v>52</c:v>
                </c:pt>
                <c:pt idx="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C37-8425-7C682DE5781E}"/>
            </c:ext>
          </c:extLst>
        </c:ser>
        <c:ser>
          <c:idx val="1"/>
          <c:order val="1"/>
          <c:tx>
            <c:strRef>
              <c:f>'Movilidad Internacional'!$B$113</c:f>
              <c:strCache>
                <c:ptCount val="1"/>
                <c:pt idx="0">
                  <c:v>Outgoing UG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Internacional'!$C$111:$H$111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'Movilidad Internacional'!$C$113:$H$113</c:f>
              <c:numCache>
                <c:formatCode>General</c:formatCode>
                <c:ptCount val="6"/>
                <c:pt idx="0">
                  <c:v>43</c:v>
                </c:pt>
                <c:pt idx="1">
                  <c:v>47</c:v>
                </c:pt>
                <c:pt idx="2">
                  <c:v>90</c:v>
                </c:pt>
                <c:pt idx="3">
                  <c:v>137</c:v>
                </c:pt>
                <c:pt idx="4">
                  <c:v>90</c:v>
                </c:pt>
                <c:pt idx="5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F4-4C37-8425-7C682DE5781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1256144"/>
        <c:axId val="18125662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'Movilidad Internacional'!$B$114</c15:sqref>
                        </c15:formulaRef>
                      </c:ext>
                    </c:extLst>
                    <c:strCache>
                      <c:ptCount val="1"/>
                      <c:pt idx="0">
                        <c:v>Outgoing DT UG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bg2">
                        <a:lumMod val="90000"/>
                      </a:schemeClr>
                    </a:solid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'Movilidad Internacional'!$C$111:$H$111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'Movilidad Internacional'!$C$114:$H$114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</c:v>
                      </c:pt>
                      <c:pt idx="1">
                        <c:v>5</c:v>
                      </c:pt>
                      <c:pt idx="2">
                        <c:v>12</c:v>
                      </c:pt>
                      <c:pt idx="3">
                        <c:v>12</c:v>
                      </c:pt>
                      <c:pt idx="4">
                        <c:v>8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CF4-4C37-8425-7C682DE5781E}"/>
                  </c:ext>
                </c:extLst>
              </c15:ser>
            </c15:filteredLineSeries>
          </c:ext>
        </c:extLst>
      </c:lineChart>
      <c:catAx>
        <c:axId val="18125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624"/>
        <c:crosses val="autoZero"/>
        <c:auto val="1"/>
        <c:lblAlgn val="ctr"/>
        <c:lblOffset val="100"/>
        <c:noMultiLvlLbl val="0"/>
      </c:catAx>
      <c:valAx>
        <c:axId val="181256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ysClr val="windowText" lastClr="000000"/>
                </a:solidFill>
              </a:rPr>
              <a:t>Graduate</a:t>
            </a:r>
            <a:r>
              <a:rPr lang="es-CO" baseline="0">
                <a:solidFill>
                  <a:sysClr val="windowText" lastClr="000000"/>
                </a:solidFill>
              </a:rPr>
              <a:t> Mobility Balance by Year</a:t>
            </a:r>
            <a:endParaRPr lang="es-CO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'Movilidad Internacional'!$P$112</c:f>
              <c:strCache>
                <c:ptCount val="1"/>
                <c:pt idx="0">
                  <c:v>Incoming GD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Internacional'!$Q$111:$V$111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'Movilidad Internacional'!$Q$112:$V$112</c:f>
              <c:numCache>
                <c:formatCode>General</c:formatCode>
                <c:ptCount val="6"/>
                <c:pt idx="0">
                  <c:v>10</c:v>
                </c:pt>
                <c:pt idx="1">
                  <c:v>22</c:v>
                </c:pt>
                <c:pt idx="2">
                  <c:v>33</c:v>
                </c:pt>
                <c:pt idx="3">
                  <c:v>32</c:v>
                </c:pt>
                <c:pt idx="4">
                  <c:v>38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D-42F1-8279-507EEC47AB1F}"/>
            </c:ext>
          </c:extLst>
        </c:ser>
        <c:ser>
          <c:idx val="1"/>
          <c:order val="1"/>
          <c:tx>
            <c:strRef>
              <c:f>'Movilidad Internacional'!$P$113</c:f>
              <c:strCache>
                <c:ptCount val="1"/>
                <c:pt idx="0">
                  <c:v>Outgoing GD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Internacional'!$Q$111:$V$111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'Movilidad Internacional'!$Q$113:$V$113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DD-42F1-8279-507EEC47AB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1256144"/>
        <c:axId val="18125662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'Movilidad Internacional'!$P$114</c15:sqref>
                        </c15:formulaRef>
                      </c:ext>
                    </c:extLst>
                    <c:strCache>
                      <c:ptCount val="1"/>
                      <c:pt idx="0">
                        <c:v>Outgoing DT GD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bg2">
                        <a:lumMod val="90000"/>
                      </a:schemeClr>
                    </a:solid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'Movilidad Internacional'!$Q$111:$V$111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'Movilidad Internacional'!$Q$114:$V$114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9DD-42F1-8279-507EEC47AB1F}"/>
                  </c:ext>
                </c:extLst>
              </c15:ser>
            </c15:filteredLineSeries>
          </c:ext>
        </c:extLst>
      </c:lineChart>
      <c:catAx>
        <c:axId val="18125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624"/>
        <c:crosses val="autoZero"/>
        <c:auto val="1"/>
        <c:lblAlgn val="ctr"/>
        <c:lblOffset val="100"/>
        <c:noMultiLvlLbl val="0"/>
      </c:catAx>
      <c:valAx>
        <c:axId val="181256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dirty="0">
                <a:solidFill>
                  <a:srgbClr val="585858"/>
                </a:solidFill>
                <a:latin typeface="Calibri"/>
                <a:cs typeface="Calibri"/>
              </a:rPr>
              <a:t>OUTGOING</a:t>
            </a:r>
            <a:r>
              <a:rPr lang="es-CO" sz="1400" spc="-30" dirty="0">
                <a:solidFill>
                  <a:srgbClr val="585858"/>
                </a:solidFill>
                <a:latin typeface="Calibri"/>
                <a:cs typeface="Calibri"/>
              </a:rPr>
              <a:t> </a:t>
            </a:r>
            <a:r>
              <a:rPr lang="es-CO" sz="1400" spc="-10" dirty="0">
                <a:solidFill>
                  <a:srgbClr val="585858"/>
                </a:solidFill>
                <a:latin typeface="Calibri"/>
                <a:cs typeface="Calibri"/>
              </a:rPr>
              <a:t>Undergraduate</a:t>
            </a:r>
            <a:r>
              <a:rPr lang="es-CO" sz="1400" spc="-15" dirty="0">
                <a:solidFill>
                  <a:srgbClr val="585858"/>
                </a:solidFill>
                <a:latin typeface="Calibri"/>
                <a:cs typeface="Calibri"/>
              </a:rPr>
              <a:t> </a:t>
            </a:r>
            <a:r>
              <a:rPr lang="es-CO" sz="1400" spc="-10" dirty="0">
                <a:solidFill>
                  <a:srgbClr val="585858"/>
                </a:solidFill>
                <a:latin typeface="Calibri"/>
                <a:cs typeface="Calibri"/>
              </a:rPr>
              <a:t>Students</a:t>
            </a:r>
            <a:r>
              <a:rPr lang="es-CO" sz="1400" spc="-25" dirty="0">
                <a:solidFill>
                  <a:srgbClr val="585858"/>
                </a:solidFill>
                <a:latin typeface="Calibri"/>
                <a:cs typeface="Calibri"/>
              </a:rPr>
              <a:t> </a:t>
            </a:r>
            <a:r>
              <a:rPr lang="es-CO" sz="1400" spc="-20" dirty="0">
                <a:solidFill>
                  <a:srgbClr val="585858"/>
                </a:solidFill>
                <a:latin typeface="Calibri"/>
                <a:cs typeface="Calibri"/>
              </a:rPr>
              <a:t>2020-2024</a:t>
            </a:r>
            <a:endParaRPr lang="es-CO" sz="1400" dirty="0">
              <a:latin typeface="Calibri"/>
              <a:cs typeface="Calibri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'Borrador acreditaciones'!$B$10:$B$19</c:f>
              <c:strCache>
                <c:ptCount val="10"/>
                <c:pt idx="0">
                  <c:v>Maastricht University</c:v>
                </c:pt>
                <c:pt idx="1">
                  <c:v>Toulouse Business School</c:v>
                </c:pt>
                <c:pt idx="2">
                  <c:v>ESC Rouen (NEOMA)</c:v>
                </c:pt>
                <c:pt idx="3">
                  <c:v>ESADE</c:v>
                </c:pt>
                <c:pt idx="4">
                  <c:v>A.B. Freeman School of Business, Tulane University</c:v>
                </c:pt>
                <c:pt idx="5">
                  <c:v>Catolica Lisbon Business &amp; Economics. Universidade Católica Portuguesa</c:v>
                </c:pt>
                <c:pt idx="6">
                  <c:v>Aston University</c:v>
                </c:pt>
                <c:pt idx="7">
                  <c:v>ESCP</c:v>
                </c:pt>
                <c:pt idx="8">
                  <c:v>HEC Montréal</c:v>
                </c:pt>
                <c:pt idx="9">
                  <c:v>ESSEC</c:v>
                </c:pt>
              </c:strCache>
            </c:strRef>
          </c:cat>
          <c:val>
            <c:numRef>
              <c:f>'Borrador acreditaciones'!$C$10:$C$19</c:f>
              <c:numCache>
                <c:formatCode>General</c:formatCode>
                <c:ptCount val="10"/>
                <c:pt idx="0">
                  <c:v>44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  <c:pt idx="4">
                  <c:v>13</c:v>
                </c:pt>
                <c:pt idx="5">
                  <c:v>13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4-40B5-A56C-45C70C0E8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1198223"/>
        <c:axId val="2091188143"/>
      </c:barChart>
      <c:catAx>
        <c:axId val="209119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1188143"/>
        <c:crosses val="autoZero"/>
        <c:auto val="1"/>
        <c:lblAlgn val="ctr"/>
        <c:lblOffset val="100"/>
        <c:noMultiLvlLbl val="0"/>
      </c:catAx>
      <c:valAx>
        <c:axId val="20911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119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spc="0" dirty="0">
                <a:solidFill>
                  <a:srgbClr val="585858"/>
                </a:solidFill>
                <a:latin typeface="Calibri"/>
                <a:cs typeface="Calibri"/>
              </a:rPr>
              <a:t>INCOMING</a:t>
            </a:r>
            <a:r>
              <a:rPr lang="es-CO" sz="1400" spc="-10" dirty="0">
                <a:solidFill>
                  <a:srgbClr val="585858"/>
                </a:solidFill>
                <a:latin typeface="Calibri"/>
                <a:cs typeface="Calibri"/>
              </a:rPr>
              <a:t> Undergraduate </a:t>
            </a:r>
            <a:r>
              <a:rPr lang="es-CO" sz="1400" dirty="0">
                <a:solidFill>
                  <a:srgbClr val="585858"/>
                </a:solidFill>
                <a:latin typeface="Calibri"/>
                <a:cs typeface="Calibri"/>
              </a:rPr>
              <a:t>Students</a:t>
            </a:r>
            <a:r>
              <a:rPr lang="es-CO" sz="1400" spc="5" dirty="0">
                <a:solidFill>
                  <a:srgbClr val="585858"/>
                </a:solidFill>
                <a:latin typeface="Calibri"/>
                <a:cs typeface="Calibri"/>
              </a:rPr>
              <a:t> </a:t>
            </a:r>
            <a:r>
              <a:rPr lang="es-CO" sz="1400" spc="-10" dirty="0">
                <a:solidFill>
                  <a:srgbClr val="585858"/>
                </a:solidFill>
                <a:latin typeface="Calibri"/>
                <a:cs typeface="Calibri"/>
              </a:rPr>
              <a:t>2020-</a:t>
            </a:r>
            <a:r>
              <a:rPr lang="es-CO" sz="1400" spc="-20" dirty="0">
                <a:solidFill>
                  <a:srgbClr val="585858"/>
                </a:solidFill>
                <a:latin typeface="Calibri"/>
                <a:cs typeface="Calibri"/>
              </a:rPr>
              <a:t>2024</a:t>
            </a:r>
            <a:endParaRPr lang="es-CO" sz="1400" dirty="0">
              <a:latin typeface="Calibri"/>
              <a:cs typeface="Calibri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'Borrador acreditaciones'!$E$10:$E$19</c:f>
              <c:strCache>
                <c:ptCount val="10"/>
                <c:pt idx="0">
                  <c:v>Maastricht University</c:v>
                </c:pt>
                <c:pt idx="1">
                  <c:v>A.B. Freeman School of Business, Tulane University</c:v>
                </c:pt>
                <c:pt idx="2">
                  <c:v>Audencia. École de Management</c:v>
                </c:pt>
                <c:pt idx="3">
                  <c:v>ESADE</c:v>
                </c:pt>
                <c:pt idx="4">
                  <c:v>McGill University</c:v>
                </c:pt>
                <c:pt idx="5">
                  <c:v>Toulouse Business School</c:v>
                </c:pt>
                <c:pt idx="6">
                  <c:v>HEC Paris</c:v>
                </c:pt>
                <c:pt idx="7">
                  <c:v>IE Instituto Empresa</c:v>
                </c:pt>
                <c:pt idx="8">
                  <c:v>Catolica Lisbon Business &amp; Economics. Universidade Católica Portuguesa</c:v>
                </c:pt>
                <c:pt idx="9">
                  <c:v>CBS- Copenhagen Business School  </c:v>
                </c:pt>
              </c:strCache>
            </c:strRef>
          </c:cat>
          <c:val>
            <c:numRef>
              <c:f>'Borrador acreditaciones'!$F$10:$F$19</c:f>
              <c:numCache>
                <c:formatCode>General</c:formatCode>
                <c:ptCount val="10"/>
                <c:pt idx="0">
                  <c:v>29</c:v>
                </c:pt>
                <c:pt idx="1">
                  <c:v>12</c:v>
                </c:pt>
                <c:pt idx="2">
                  <c:v>12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0-4755-91E9-841530343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1180943"/>
        <c:axId val="2091194383"/>
      </c:barChart>
      <c:catAx>
        <c:axId val="209118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1194383"/>
        <c:crosses val="autoZero"/>
        <c:auto val="1"/>
        <c:lblAlgn val="ctr"/>
        <c:lblOffset val="100"/>
        <c:noMultiLvlLbl val="0"/>
      </c:catAx>
      <c:valAx>
        <c:axId val="209119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118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'Borrador acreditaciones'!$C$39</c:f>
              <c:strCache>
                <c:ptCount val="1"/>
                <c:pt idx="0">
                  <c:v>Outgoing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'Borrador acreditaciones'!$B$40:$B$49</c:f>
              <c:strCache>
                <c:ptCount val="10"/>
                <c:pt idx="0">
                  <c:v>ESSEC</c:v>
                </c:pt>
                <c:pt idx="1">
                  <c:v>JIBS Jönköping International Business School</c:v>
                </c:pt>
                <c:pt idx="2">
                  <c:v>KLU Kühne Logistics University</c:v>
                </c:pt>
                <c:pt idx="3">
                  <c:v>Maastricht University</c:v>
                </c:pt>
                <c:pt idx="4">
                  <c:v>Frankfurt School of Finance and Management</c:v>
                </c:pt>
                <c:pt idx="5">
                  <c:v>ITESM-EGADE -Instituto tecnológico y de estudios superiores de Monterrey</c:v>
                </c:pt>
                <c:pt idx="6">
                  <c:v>London Business School</c:v>
                </c:pt>
                <c:pt idx="7">
                  <c:v>Nova School of Business and Economics</c:v>
                </c:pt>
                <c:pt idx="8">
                  <c:v>Toulouse Business School</c:v>
                </c:pt>
                <c:pt idx="9">
                  <c:v>Universidad del Pacífico</c:v>
                </c:pt>
              </c:strCache>
            </c:strRef>
          </c:cat>
          <c:val>
            <c:numRef>
              <c:f>'Borrador acreditaciones'!$C$40:$C$49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1-4C32-9FB1-19D92B19A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37919"/>
        <c:axId val="139645119"/>
      </c:barChart>
      <c:catAx>
        <c:axId val="13963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645119"/>
        <c:crosses val="autoZero"/>
        <c:auto val="1"/>
        <c:lblAlgn val="ctr"/>
        <c:lblOffset val="100"/>
        <c:noMultiLvlLbl val="0"/>
      </c:catAx>
      <c:valAx>
        <c:axId val="13964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63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'Borrador acreditaciones'!$F$39</c:f>
              <c:strCache>
                <c:ptCount val="1"/>
                <c:pt idx="0">
                  <c:v>Incoming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'Borrador acreditaciones'!$E$40:$E$49</c:f>
              <c:strCache>
                <c:ptCount val="10"/>
                <c:pt idx="0">
                  <c:v>University of Glasgow</c:v>
                </c:pt>
                <c:pt idx="1">
                  <c:v>Politecnico di Milano</c:v>
                </c:pt>
                <c:pt idx="2">
                  <c:v>ESC Rouen (NEOMA)</c:v>
                </c:pt>
                <c:pt idx="3">
                  <c:v>ESSEC</c:v>
                </c:pt>
                <c:pt idx="4">
                  <c:v>ESCP</c:v>
                </c:pt>
                <c:pt idx="5">
                  <c:v>University of Saint Gallen</c:v>
                </c:pt>
                <c:pt idx="6">
                  <c:v>Grenoble. École de Management</c:v>
                </c:pt>
                <c:pt idx="7">
                  <c:v>Université de Genève</c:v>
                </c:pt>
                <c:pt idx="8">
                  <c:v>Università Commerciale Luigi Bocconi</c:v>
                </c:pt>
                <c:pt idx="9">
                  <c:v>University of Mannheim Business School</c:v>
                </c:pt>
              </c:strCache>
            </c:strRef>
          </c:cat>
          <c:val>
            <c:numRef>
              <c:f>'Borrador acreditaciones'!$F$40:$F$49</c:f>
              <c:numCache>
                <c:formatCode>General</c:formatCode>
                <c:ptCount val="10"/>
                <c:pt idx="0">
                  <c:v>23</c:v>
                </c:pt>
                <c:pt idx="1">
                  <c:v>14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7-4B2B-8AAA-E4D3701A5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75999"/>
        <c:axId val="49386559"/>
      </c:barChart>
      <c:catAx>
        <c:axId val="4937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386559"/>
        <c:crosses val="autoZero"/>
        <c:auto val="1"/>
        <c:lblAlgn val="ctr"/>
        <c:lblOffset val="100"/>
        <c:noMultiLvlLbl val="0"/>
      </c:catAx>
      <c:valAx>
        <c:axId val="4938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37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INCOMING Exchange</a:t>
            </a:r>
            <a:r>
              <a:rPr lang="es-CO" baseline="0"/>
              <a:t> Students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'Borrador acreditaciones'!$B$88</c:f>
              <c:strCache>
                <c:ptCount val="1"/>
                <c:pt idx="0">
                  <c:v>Undergraduate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'Borrador acreditaciones'!$C$87:$G$87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'Borrador acreditaciones'!$C$88:$G$88</c:f>
              <c:numCache>
                <c:formatCode>General</c:formatCode>
                <c:ptCount val="5"/>
                <c:pt idx="0">
                  <c:v>30</c:v>
                </c:pt>
                <c:pt idx="1">
                  <c:v>20</c:v>
                </c:pt>
                <c:pt idx="2">
                  <c:v>52</c:v>
                </c:pt>
                <c:pt idx="3">
                  <c:v>61</c:v>
                </c:pt>
                <c:pt idx="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C-48B2-8F6A-3150F3E51DFD}"/>
            </c:ext>
          </c:extLst>
        </c:ser>
        <c:ser>
          <c:idx val="1"/>
          <c:order val="1"/>
          <c:tx>
            <c:strRef>
              <c:f>'Borrador acreditaciones'!$B$89</c:f>
              <c:strCache>
                <c:ptCount val="1"/>
                <c:pt idx="0">
                  <c:v>Graduate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'Borrador acreditaciones'!$C$87:$G$87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'Borrador acreditaciones'!$C$89:$G$89</c:f>
              <c:numCache>
                <c:formatCode>General</c:formatCode>
                <c:ptCount val="5"/>
                <c:pt idx="0">
                  <c:v>10</c:v>
                </c:pt>
                <c:pt idx="1">
                  <c:v>22</c:v>
                </c:pt>
                <c:pt idx="2">
                  <c:v>33</c:v>
                </c:pt>
                <c:pt idx="3">
                  <c:v>32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8C-48B2-8F6A-3150F3E51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891344"/>
        <c:axId val="1779888944"/>
      </c:lineChart>
      <c:catAx>
        <c:axId val="177989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9888944"/>
        <c:crosses val="autoZero"/>
        <c:auto val="1"/>
        <c:lblAlgn val="ctr"/>
        <c:lblOffset val="100"/>
        <c:noMultiLvlLbl val="0"/>
      </c:catAx>
      <c:valAx>
        <c:axId val="17798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989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OUTGOING </a:t>
            </a: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Exchange Students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'Borrador acreditaciones'!$J$88</c:f>
              <c:strCache>
                <c:ptCount val="1"/>
                <c:pt idx="0">
                  <c:v>Undergraduate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'Borrador acreditaciones'!$K$87:$O$87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'Borrador acreditaciones'!$K$88:$O$88</c:f>
              <c:numCache>
                <c:formatCode>General</c:formatCode>
                <c:ptCount val="5"/>
                <c:pt idx="0">
                  <c:v>43</c:v>
                </c:pt>
                <c:pt idx="1">
                  <c:v>47</c:v>
                </c:pt>
                <c:pt idx="2">
                  <c:v>90</c:v>
                </c:pt>
                <c:pt idx="3">
                  <c:v>137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0-4363-AC48-69AEA4D01301}"/>
            </c:ext>
          </c:extLst>
        </c:ser>
        <c:ser>
          <c:idx val="1"/>
          <c:order val="1"/>
          <c:tx>
            <c:strRef>
              <c:f>'Borrador acreditaciones'!$J$89</c:f>
              <c:strCache>
                <c:ptCount val="1"/>
                <c:pt idx="0">
                  <c:v>Graduate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'Borrador acreditaciones'!$K$87:$O$87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'Borrador acreditaciones'!$K$89:$O$89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0-4363-AC48-69AEA4D01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390847"/>
        <c:axId val="142392767"/>
      </c:lineChart>
      <c:catAx>
        <c:axId val="14239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92767"/>
        <c:crosses val="autoZero"/>
        <c:auto val="1"/>
        <c:lblAlgn val="ctr"/>
        <c:lblOffset val="100"/>
        <c:noMultiLvlLbl val="0"/>
      </c:catAx>
      <c:valAx>
        <c:axId val="14239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9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dirty="0">
                <a:solidFill>
                  <a:srgbClr val="585858"/>
                </a:solidFill>
                <a:latin typeface="Arial MT"/>
                <a:cs typeface="Arial MT"/>
              </a:rPr>
              <a:t>Double</a:t>
            </a:r>
            <a:r>
              <a:rPr lang="es-CO" sz="1400" spc="-30" dirty="0">
                <a:solidFill>
                  <a:srgbClr val="585858"/>
                </a:solidFill>
                <a:latin typeface="Arial MT"/>
                <a:cs typeface="Arial MT"/>
              </a:rPr>
              <a:t> </a:t>
            </a:r>
            <a:r>
              <a:rPr lang="es-CO" sz="1400" dirty="0">
                <a:solidFill>
                  <a:srgbClr val="585858"/>
                </a:solidFill>
                <a:latin typeface="Arial MT"/>
                <a:cs typeface="Arial MT"/>
              </a:rPr>
              <a:t>degree</a:t>
            </a:r>
            <a:r>
              <a:rPr lang="es-CO" sz="1400" spc="-10" dirty="0">
                <a:solidFill>
                  <a:srgbClr val="585858"/>
                </a:solidFill>
                <a:latin typeface="Arial MT"/>
                <a:cs typeface="Arial MT"/>
              </a:rPr>
              <a:t> mobility </a:t>
            </a:r>
            <a:r>
              <a:rPr lang="es-CO" sz="1400" dirty="0">
                <a:solidFill>
                  <a:srgbClr val="585858"/>
                </a:solidFill>
                <a:latin typeface="Arial MT"/>
                <a:cs typeface="Arial MT"/>
              </a:rPr>
              <a:t>Undergraduate</a:t>
            </a:r>
            <a:r>
              <a:rPr lang="es-CO" sz="1400" spc="-55" dirty="0">
                <a:solidFill>
                  <a:srgbClr val="585858"/>
                </a:solidFill>
                <a:latin typeface="Arial MT"/>
                <a:cs typeface="Arial MT"/>
              </a:rPr>
              <a:t> </a:t>
            </a:r>
            <a:r>
              <a:rPr lang="es-CO" sz="1400" spc="-10" dirty="0">
                <a:solidFill>
                  <a:srgbClr val="585858"/>
                </a:solidFill>
                <a:latin typeface="Arial MT"/>
                <a:cs typeface="Arial MT"/>
              </a:rPr>
              <a:t>students</a:t>
            </a:r>
            <a:endParaRPr lang="es-CO" sz="1400" dirty="0">
              <a:latin typeface="Arial MT"/>
              <a:cs typeface="Arial M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'Borrador acreditaciones'!$R$88</c:f>
              <c:strCache>
                <c:ptCount val="1"/>
                <c:pt idx="0">
                  <c:v>Outgoing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'Borrador acreditaciones'!$S$87:$W$87</c:f>
              <c:numCache>
                <c:formatCode>General</c:formatCode>
                <c:ptCount val="5"/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'Borrador acreditaciones'!$S$88:$W$88</c:f>
              <c:numCache>
                <c:formatCode>General</c:formatCode>
                <c:ptCount val="5"/>
                <c:pt idx="1">
                  <c:v>5</c:v>
                </c:pt>
                <c:pt idx="2">
                  <c:v>12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F-42FB-BB91-EDD6329A8614}"/>
            </c:ext>
          </c:extLst>
        </c:ser>
        <c:ser>
          <c:idx val="1"/>
          <c:order val="1"/>
          <c:tx>
            <c:strRef>
              <c:f>'Borrador acreditaciones'!$R$89</c:f>
              <c:strCache>
                <c:ptCount val="1"/>
                <c:pt idx="0">
                  <c:v>Incoming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'Borrador acreditaciones'!$S$87:$W$87</c:f>
              <c:numCache>
                <c:formatCode>General</c:formatCode>
                <c:ptCount val="5"/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'Borrador acreditaciones'!$S$89:$W$89</c:f>
              <c:numCache>
                <c:formatCode>General</c:formatCode>
                <c:ptCount val="5"/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9F-42FB-BB91-EDD6329A8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20959"/>
        <c:axId val="139723839"/>
      </c:lineChart>
      <c:catAx>
        <c:axId val="13972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723839"/>
        <c:crosses val="autoZero"/>
        <c:auto val="1"/>
        <c:lblAlgn val="ctr"/>
        <c:lblOffset val="100"/>
        <c:noMultiLvlLbl val="0"/>
      </c:catAx>
      <c:valAx>
        <c:axId val="1397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72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493569</xdr:colOff>
      <xdr:row>86</xdr:row>
      <xdr:rowOff>43295</xdr:rowOff>
    </xdr:from>
    <xdr:to>
      <xdr:col>14</xdr:col>
      <xdr:colOff>51956</xdr:colOff>
      <xdr:row>108</xdr:row>
      <xdr:rowOff>60614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A0140C-53ED-00AE-93F6-F9E42D9D1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268432</xdr:colOff>
      <xdr:row>86</xdr:row>
      <xdr:rowOff>25976</xdr:rowOff>
    </xdr:from>
    <xdr:to>
      <xdr:col>28</xdr:col>
      <xdr:colOff>60614</xdr:colOff>
      <xdr:row>108</xdr:row>
      <xdr:rowOff>76199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B7FB57-2D96-450C-8AB7-7DAA1B663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281421</xdr:colOff>
      <xdr:row>118</xdr:row>
      <xdr:rowOff>111702</xdr:rowOff>
    </xdr:from>
    <xdr:to>
      <xdr:col>9</xdr:col>
      <xdr:colOff>255443</xdr:colOff>
      <xdr:row>139</xdr:row>
      <xdr:rowOff>141120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9791A65-A8F1-47E7-B1B0-EE52B08D0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238125</xdr:colOff>
      <xdr:row>118</xdr:row>
      <xdr:rowOff>129019</xdr:rowOff>
    </xdr:from>
    <xdr:to>
      <xdr:col>23</xdr:col>
      <xdr:colOff>160193</xdr:colOff>
      <xdr:row>138</xdr:row>
      <xdr:rowOff>129020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84B37F9-EA30-4393-BB21-7364C719C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20</xdr:row>
      <xdr:rowOff>185737</xdr:rowOff>
    </xdr:from>
    <xdr:to>
      <xdr:col>6</xdr:col>
      <xdr:colOff>66675</xdr:colOff>
      <xdr:row>35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AD6FEF-CF7B-AFBF-1575-3284C9F2C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20</xdr:row>
      <xdr:rowOff>166687</xdr:rowOff>
    </xdr:from>
    <xdr:to>
      <xdr:col>12</xdr:col>
      <xdr:colOff>152400</xdr:colOff>
      <xdr:row>35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609705-1E4C-C1A2-7F44-F2C581B73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157162</xdr:rowOff>
    </xdr:from>
    <xdr:to>
      <xdr:col>6</xdr:col>
      <xdr:colOff>0</xdr:colOff>
      <xdr:row>67</xdr:row>
      <xdr:rowOff>42862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CC63F2F-84ED-B324-D0EB-6EA3A3E85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195262</xdr:colOff>
      <xdr:row>52</xdr:row>
      <xdr:rowOff>71437</xdr:rowOff>
    </xdr:from>
    <xdr:to>
      <xdr:col>12</xdr:col>
      <xdr:colOff>195262</xdr:colOff>
      <xdr:row>66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CE838A2-E8DC-3F91-875E-8B23AE18E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1057275</xdr:colOff>
      <xdr:row>71</xdr:row>
      <xdr:rowOff>23812</xdr:rowOff>
    </xdr:from>
    <xdr:to>
      <xdr:col>9</xdr:col>
      <xdr:colOff>514350</xdr:colOff>
      <xdr:row>85</xdr:row>
      <xdr:rowOff>100012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59A391F-27EB-49E0-AE70-CD86D2281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685800</xdr:colOff>
      <xdr:row>71</xdr:row>
      <xdr:rowOff>33337</xdr:rowOff>
    </xdr:from>
    <xdr:to>
      <xdr:col>16</xdr:col>
      <xdr:colOff>171450</xdr:colOff>
      <xdr:row>85</xdr:row>
      <xdr:rowOff>109537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D3C26C1-EEE7-4FF2-BC55-8C127D550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76200</xdr:colOff>
      <xdr:row>71</xdr:row>
      <xdr:rowOff>23812</xdr:rowOff>
    </xdr:from>
    <xdr:to>
      <xdr:col>23</xdr:col>
      <xdr:colOff>76200</xdr:colOff>
      <xdr:row>85</xdr:row>
      <xdr:rowOff>100012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01E3FC0-E108-43F8-84AE-04C5B411C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David Martinez Osorio" refreshedDate="45680.515321296298" createdVersion="8" refreshedVersion="8" minRefreshableVersion="3" recordCount="361" xr:uid="{863A4420-E942-4973-B348-F24061813060}">
  <cacheSource type="worksheet">
    <worksheetSource name="Tabla2"/>
  </cacheSource>
  <cacheFields count="30">
    <cacheField name="Año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Semestre de Movilidad" numFmtId="0">
      <sharedItems containsString="0" containsBlank="1" containsNumber="1" containsInteger="1" minValue="202010" maxValue="202420"/>
    </cacheField>
    <cacheField name="Código" numFmtId="0">
      <sharedItems containsSemiMixedTypes="0" containsString="0" containsNumber="1" containsInteger="1" minValue="201924469" maxValue="202424914"/>
    </cacheField>
    <cacheField name="Nombre" numFmtId="0">
      <sharedItems/>
    </cacheField>
    <cacheField name="Apellido" numFmtId="0">
      <sharedItems/>
    </cacheField>
    <cacheField name="Universidad" numFmtId="0">
      <sharedItems/>
    </cacheField>
    <cacheField name="Universidad KPIs" numFmtId="0">
      <sharedItems/>
    </cacheField>
    <cacheField name="Tipo Convenio" numFmtId="0">
      <sharedItems count="2">
        <s v="Específico"/>
        <s v="General"/>
      </sharedItems>
    </cacheField>
    <cacheField name="País" numFmtId="0">
      <sharedItems/>
    </cacheField>
    <cacheField name="Continente" numFmtId="0">
      <sharedItems/>
    </cacheField>
    <cacheField name="Cuenta Alterna" numFmtId="0">
      <sharedItems containsBlank="1"/>
    </cacheField>
    <cacheField name="Cuenta Uniandes" numFmtId="0">
      <sharedItems/>
    </cacheField>
    <cacheField name="Tipo de Movilidad" numFmtId="0">
      <sharedItems count="4">
        <s v="Intercambio Internacional"/>
        <s v="Free Mover"/>
        <s v="Doble Titulación"/>
        <s v="Pasantes de investigación"/>
      </sharedItems>
    </cacheField>
    <cacheField name="Grupo Banner" numFmtId="0">
      <sharedItems containsBlank="1"/>
    </cacheField>
    <cacheField name="Cruce de Programa" numFmtId="0">
      <sharedItems containsBlank="1"/>
    </cacheField>
    <cacheField name="Total Cursos" numFmtId="0">
      <sharedItems containsBlank="1" containsMixedTypes="1" containsNumber="1" containsInteger="1" minValue="1" maxValue="1" count="34">
        <n v="1"/>
        <m/>
        <s v="Master"/>
        <s v="MANAGEMENT ENGINEERING"/>
        <s v="International Bachelor in Economics and Business Economics"/>
        <s v="B Economics and Business Economics"/>
        <s v="Licenciado en Administración y Estrategia de Negocios"/>
        <s v="Bachelor in Accounting and Spanish"/>
        <s v="Bachelor Business Analytics"/>
        <s v="Master in Markenting"/>
        <s v="Msc. in Marketing Management"/>
        <s v="Bachelor in Business Administration"/>
        <s v="Master Business Intelligence and Smart Services"/>
        <s v="Bachelor International Business"/>
        <s v="Bachelor in Business"/>
        <s v="Undergraduate Program in Business Administration and Management"/>
        <s v="Master in Management"/>
        <s v="BSc in Business, Language and Culture (Spanish)"/>
        <s v="Master in Innovation, Human Development and Sustainability"/>
        <s v="Master PGE"/>
        <s v="Bsc in Business administration and management"/>
        <s v="Bachelor Science Management - Finance"/>
        <s v="Msc. in Management"/>
        <s v="Bachelor Science Management - Legal Studies in Business"/>
        <s v="Master's Programme in Geoinformatics"/>
        <s v="Master in Innovation, Human Developement and Sustainability"/>
        <s v="International Bachelor in Communication and Media"/>
        <s v="Business Administration and Management"/>
        <s v="B Entrepreneurship and Business Innovation"/>
        <s v="MSc Global Urban Transformations"/>
        <s v="Master in Marketing and Communication"/>
        <s v="Msc in Management and Technology"/>
        <s v="MA General Management"/>
        <s v="Presencial"/>
      </sharedItems>
    </cacheField>
    <cacheField name="Curso 1" numFmtId="0">
      <sharedItems containsBlank="1"/>
    </cacheField>
    <cacheField name="Curso 2" numFmtId="0">
      <sharedItems containsBlank="1"/>
    </cacheField>
    <cacheField name="Curso 3" numFmtId="0">
      <sharedItems containsBlank="1"/>
    </cacheField>
    <cacheField name="Curso 4" numFmtId="0">
      <sharedItems containsBlank="1"/>
    </cacheField>
    <cacheField name="Curso 5" numFmtId="0">
      <sharedItems containsBlank="1"/>
    </cacheField>
    <cacheField name="Curso 6" numFmtId="0">
      <sharedItems containsBlank="1"/>
    </cacheField>
    <cacheField name="Curso 7" numFmtId="0">
      <sharedItems containsBlank="1"/>
    </cacheField>
    <cacheField name="Curso 8" numFmtId="0">
      <sharedItems containsBlank="1"/>
    </cacheField>
    <cacheField name="Curso 9" numFmtId="0">
      <sharedItems containsBlank="1"/>
    </cacheField>
    <cacheField name="Curso 10" numFmtId="0">
      <sharedItems containsBlank="1"/>
    </cacheField>
    <cacheField name="Curso 11" numFmtId="0">
      <sharedItems containsNonDate="0" containsString="0" containsBlank="1"/>
    </cacheField>
    <cacheField name="Curso 12" numFmtId="0">
      <sharedItems containsNonDate="0" containsString="0" containsBlank="1"/>
    </cacheField>
    <cacheField name="Programa Nominación" numFmtId="0">
      <sharedItems count="16">
        <s v="Administration Bsc"/>
        <s v="Full - Time MBA"/>
        <s v="Master in Environmental Management"/>
        <s v="Master in Marketing"/>
        <s v="Master in Finance"/>
        <s v="Part - Time MBA"/>
        <s v="Master in Supply Chain Management"/>
        <s v="Master in International Management"/>
        <s v="Master in Management"/>
        <s v="Master in Strategic Management"/>
        <s v="Master in Research in Management"/>
        <s v="Supply Chain Managment"/>
        <s v="Doctorate"/>
        <s v="Maestría"/>
        <s v="CODS - Centro de Desarrollo Sostenible para América Latina"/>
        <s v="Escuela de Posgrados"/>
      </sharedItems>
    </cacheField>
    <cacheField name="Nivel Nominación" numFmtId="0">
      <sharedItems count="3">
        <s v="Undergraduate / Bachelor"/>
        <s v="Postgraduate / Master"/>
        <s v="Doctor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David Martinez Osorio" refreshedDate="45680.516524305553" createdVersion="8" refreshedVersion="8" minRefreshableVersion="3" recordCount="484" xr:uid="{DDDEF0D7-1BB6-47B3-B605-32CD4201EE7E}">
  <cacheSource type="worksheet">
    <worksheetSource name="Tabla1"/>
  </cacheSource>
  <cacheFields count="26">
    <cacheField name="Correo electrónico" numFmtId="0">
      <sharedItems/>
    </cacheField>
    <cacheField name="Código Uniandes" numFmtId="0">
      <sharedItems containsSemiMixedTypes="0" containsString="0" containsNumber="1" containsInteger="1" minValue="200322688" maxValue="202311669"/>
    </cacheField>
    <cacheField name="First name" numFmtId="0">
      <sharedItems/>
    </cacheField>
    <cacheField name="Surname" numFmtId="0">
      <sharedItems/>
    </cacheField>
    <cacheField name="Nombre completo" numFmtId="0">
      <sharedItems/>
    </cacheField>
    <cacheField name="Programa1" numFmtId="0">
      <sharedItems/>
    </cacheField>
    <cacheField name="Facultad1" numFmtId="0">
      <sharedItems/>
    </cacheField>
    <cacheField name="Programa2" numFmtId="0">
      <sharedItems containsBlank="1" containsMixedTypes="1" containsNumber="1" containsInteger="1" minValue="0" maxValue="0"/>
    </cacheField>
    <cacheField name="Facultad2" numFmtId="0">
      <sharedItems containsBlank="1" containsMixedTypes="1" containsNumber="1" containsInteger="1" minValue="0" maxValue="0"/>
    </cacheField>
    <cacheField name="Modalidad" numFmtId="0">
      <sharedItems count="2">
        <s v="Presencial"/>
        <s v="Virtual"/>
      </sharedItems>
    </cacheField>
    <cacheField name="Año de Movilidad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Período de Movilidad" numFmtId="0">
      <sharedItems containsSemiMixedTypes="0" containsString="0" containsNumber="1" containsInteger="1" minValue="202010" maxValue="202420"/>
    </cacheField>
    <cacheField name="Convocatoria" numFmtId="0">
      <sharedItems containsSemiMixedTypes="0" containsString="0" containsNumber="1" containsInteger="1" minValue="202010" maxValue="202420"/>
    </cacheField>
    <cacheField name="Nivel" numFmtId="0">
      <sharedItems count="3">
        <s v="Pregrado"/>
        <s v="Maestría"/>
        <s v="Doctorado"/>
      </sharedItems>
    </cacheField>
    <cacheField name="Tipo de Movilidad" numFmtId="0">
      <sharedItems count="3">
        <s v="Intercambio Internacional"/>
        <s v="Doble Titulación"/>
        <s v="Pasantía de Investigación"/>
      </sharedItems>
    </cacheField>
    <cacheField name="Tipo de Convenio" numFmtId="0">
      <sharedItems/>
    </cacheField>
    <cacheField name="Programa Postulación" numFmtId="0">
      <sharedItems count="8">
        <s v="International Accounting Bsc"/>
        <s v="Administration Bsc"/>
        <s v="Master in Supply Chain Management"/>
        <s v="Part - Time MBA"/>
        <s v="Master in Development Management and Practice"/>
        <s v="Master in Finance"/>
        <s v="Master in Environmental Management"/>
        <s v="Doctoral Program in Administration"/>
      </sharedItems>
    </cacheField>
    <cacheField name="Facultad de Postulación" numFmtId="0">
      <sharedItems/>
    </cacheField>
    <cacheField name="Universidad" numFmtId="0">
      <sharedItems/>
    </cacheField>
    <cacheField name="Universidad KPIs" numFmtId="0">
      <sharedItems/>
    </cacheField>
    <cacheField name="Tipo Convenio" numFmtId="0">
      <sharedItems/>
    </cacheField>
    <cacheField name="País" numFmtId="0">
      <sharedItems/>
    </cacheField>
    <cacheField name="Continente" numFmtId="0">
      <sharedItems/>
    </cacheField>
    <cacheField name="Fecha Inicio" numFmtId="14">
      <sharedItems containsSemiMixedTypes="0" containsNonDate="0" containsDate="1" containsString="0" minDate="2020-01-20T00:00:00" maxDate="2024-08-06T00:00:00"/>
    </cacheField>
    <cacheField name="Fecha Finalización" numFmtId="14">
      <sharedItems containsSemiMixedTypes="0" containsNonDate="0" containsDate="1" containsString="0" minDate="2020-05-23T00:00:00" maxDate="2024-12-01T00:00:00"/>
    </cacheField>
    <cacheField name="Duration (DD)" numFmtId="0">
      <sharedItems containsSemiMixedTypes="0" containsString="0" containsNumber="1" containsInteger="1" minValue="53" maxValue="1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">
  <r>
    <x v="0"/>
    <n v="202010"/>
    <n v="202015781"/>
    <s v="Steve"/>
    <s v="Guevara Marin"/>
    <s v="Aston University"/>
    <s v="Aston University"/>
    <x v="0"/>
    <s v="United Kingdom"/>
    <s v="Europe"/>
    <s v="s.guevaramarin1@gmail.com"/>
    <s v="s.guevara2@uniandes.edu.co"/>
    <x v="0"/>
    <s v="EGIN"/>
    <s v="ESTUDIOS GENER.DE INTERCAMBIO"/>
    <x v="0"/>
    <s v="ADMI-2301"/>
    <s v="ADMI-2104"/>
    <s v="ADMI-2605"/>
    <m/>
    <m/>
    <m/>
    <m/>
    <m/>
    <m/>
    <m/>
    <m/>
    <m/>
    <x v="0"/>
    <x v="0"/>
  </r>
  <r>
    <x v="0"/>
    <n v="202010"/>
    <n v="202015782"/>
    <s v="Armand Vincent"/>
    <s v="Drouin"/>
    <s v="Audencia Business School"/>
    <s v="Audencia. École de Management"/>
    <x v="0"/>
    <s v="France"/>
    <s v="Europe"/>
    <s v="armand.drouin@audencia.com"/>
    <s v="av.drouin@uniandes.edu.co"/>
    <x v="0"/>
    <s v="EGIN"/>
    <s v="ESTUDIOS GENER.DE INTERCAMBIO"/>
    <x v="0"/>
    <s v="ADMI-3110"/>
    <s v="ADMI-3502"/>
    <s v="ADMI-3606"/>
    <s v="ADMI-2557"/>
    <s v="ADMI-2605"/>
    <m/>
    <m/>
    <m/>
    <m/>
    <m/>
    <m/>
    <m/>
    <x v="0"/>
    <x v="0"/>
  </r>
  <r>
    <x v="0"/>
    <n v="202010"/>
    <n v="202015783"/>
    <s v="Yanis Aissa"/>
    <s v="Khadir"/>
    <s v="Audencia Business School"/>
    <s v="Audencia. École de Management"/>
    <x v="0"/>
    <s v="France"/>
    <s v="Europe"/>
    <s v="yanis.khadir@audencia.com"/>
    <s v="y.khadir@uniandes.edu.co"/>
    <x v="0"/>
    <s v="EGIN"/>
    <s v="ESTUDIOS GENER.DE INTERCAMBIO"/>
    <x v="0"/>
    <s v="DEPO-1242"/>
    <s v="ADMI-3110"/>
    <s v="ADMI-3502"/>
    <s v="ADMI-3606"/>
    <s v="ADMI-2557"/>
    <s v="ADMI-2605"/>
    <m/>
    <m/>
    <m/>
    <m/>
    <m/>
    <m/>
    <x v="0"/>
    <x v="0"/>
  </r>
  <r>
    <x v="0"/>
    <n v="202010"/>
    <n v="202015790"/>
    <s v="Martial Jean-Claude"/>
    <s v="Laguerre"/>
    <s v="EDHEC Business School"/>
    <s v="EDHEC Business School"/>
    <x v="0"/>
    <s v="France"/>
    <s v="Europe"/>
    <s v="martial.laguerre@edhec.com"/>
    <s v="m.laguerre@uniandes.edu.co"/>
    <x v="0"/>
    <s v="EGIN"/>
    <s v="ESTUDIOS GENER.DE INTERCAMBIO"/>
    <x v="0"/>
    <s v="ADMI-3139"/>
    <s v="ADMI-2301"/>
    <s v="ADMI-3133"/>
    <s v="ADMI-2104"/>
    <s v="ADMI-3503"/>
    <m/>
    <m/>
    <m/>
    <m/>
    <m/>
    <m/>
    <m/>
    <x v="0"/>
    <x v="0"/>
  </r>
  <r>
    <x v="0"/>
    <n v="202010"/>
    <n v="202015794"/>
    <s v="Karim"/>
    <s v="Bouayad Amine"/>
    <s v="ESSEC Business School"/>
    <s v="ESSEC"/>
    <x v="0"/>
    <s v="France"/>
    <s v="Europe"/>
    <s v="karim.bouayadamine@essec.edu"/>
    <s v="k.bouayad@uniandes.edu.co"/>
    <x v="0"/>
    <s v="EGIN"/>
    <s v="ESTUDIOS GENER.DE INTERCAMBIO"/>
    <x v="0"/>
    <s v="ADMI-2207"/>
    <s v="ADMI-1603"/>
    <s v="ADMI-2301"/>
    <s v="ADMI-3701"/>
    <m/>
    <m/>
    <m/>
    <m/>
    <m/>
    <m/>
    <m/>
    <m/>
    <x v="0"/>
    <x v="0"/>
  </r>
  <r>
    <x v="0"/>
    <n v="202010"/>
    <n v="202015795"/>
    <s v="Matthieu Kevin"/>
    <s v="Dutreuil"/>
    <s v="ESSEC Business School"/>
    <s v="ESSEC"/>
    <x v="0"/>
    <s v="France"/>
    <s v="Europe"/>
    <s v="matthieu.dutreuil@essec.edu"/>
    <s v="m.dutreuil@uniandes.edu.co"/>
    <x v="0"/>
    <s v="EGMA"/>
    <s v="ESTUD.GENER.INTERCAMB.MAESTRIA"/>
    <x v="0"/>
    <s v="ARTE-1230"/>
    <s v="MADM-4152"/>
    <s v="MGPD-4444"/>
    <s v="MADM-4701"/>
    <s v="MMER-4337"/>
    <m/>
    <m/>
    <m/>
    <m/>
    <m/>
    <m/>
    <m/>
    <x v="1"/>
    <x v="1"/>
  </r>
  <r>
    <x v="0"/>
    <n v="202010"/>
    <n v="202015796"/>
    <s v="Auriane Elodie"/>
    <s v="Jolivet"/>
    <s v="ESSEC Business School"/>
    <s v="ESSEC"/>
    <x v="0"/>
    <s v="France"/>
    <s v="Europe"/>
    <s v="auriane.j@gmail.com"/>
    <s v="a.jolivet@uniandes.edu.co"/>
    <x v="0"/>
    <s v="EGMA"/>
    <s v="ESTUD.GENER.INTERCAMB.MAESTRIA"/>
    <x v="0"/>
    <s v="MGAP-4406"/>
    <s v="MGAD-4602"/>
    <s v="DEPO-1222"/>
    <s v="MGPD-4444"/>
    <s v="DEPO-1260"/>
    <m/>
    <m/>
    <m/>
    <m/>
    <m/>
    <m/>
    <m/>
    <x v="2"/>
    <x v="1"/>
  </r>
  <r>
    <x v="0"/>
    <n v="202010"/>
    <n v="202015797"/>
    <s v="Benoît Louis Guillaume"/>
    <s v="Martinez-Maure"/>
    <s v="ESSEC Business School"/>
    <s v="ESSEC"/>
    <x v="0"/>
    <s v="France"/>
    <s v="Europe"/>
    <s v="b00705397@essec.edu"/>
    <s v="bl.martinez@uniandes.edu.co"/>
    <x v="0"/>
    <s v="EGMA"/>
    <s v="ESTUD.GENER.INTERCAMB.MAESTRIA"/>
    <x v="0"/>
    <s v="MADM-4653"/>
    <s v="MGPD-4444"/>
    <s v="MFIN-4252"/>
    <s v="MFIN-4208"/>
    <s v="MADM-4051"/>
    <s v="DEPO-1220"/>
    <m/>
    <m/>
    <m/>
    <m/>
    <m/>
    <m/>
    <x v="1"/>
    <x v="1"/>
  </r>
  <r>
    <x v="0"/>
    <n v="202010"/>
    <n v="202015798"/>
    <s v="Luc"/>
    <s v="Dietrich"/>
    <s v="FHNW Fachhochschule Nordwestschweiz"/>
    <s v="FHNW Fachhochschule Nordwestschweiz"/>
    <x v="1"/>
    <s v="Switzerland"/>
    <s v="Europe"/>
    <s v="luc.dietrich@gmx.ch"/>
    <s v="l.dietrich@uniandes.edu.co"/>
    <x v="0"/>
    <s v="EGIN"/>
    <s v="ESTUDIOS GENER.DE INTERCAMBIO"/>
    <x v="0"/>
    <s v="CISO-1505"/>
    <s v="LENG-1573"/>
    <s v="ADMI-3606"/>
    <s v="ADMI-2301"/>
    <m/>
    <m/>
    <m/>
    <m/>
    <m/>
    <m/>
    <m/>
    <m/>
    <x v="0"/>
    <x v="0"/>
  </r>
  <r>
    <x v="0"/>
    <n v="202010"/>
    <n v="202015894"/>
    <s v="Kevin Siva"/>
    <s v="Kanagalingam"/>
    <s v="FHNW Fachhochschule Nordwestschweiz"/>
    <s v="FHNW Fachhochschule Nordwestschweiz"/>
    <x v="1"/>
    <s v="Switzerland"/>
    <s v="Europe"/>
    <s v="kevin.kanagalingam@students.fhnw.ch"/>
    <s v="k.kanagalingam@uniandes.edu.co"/>
    <x v="1"/>
    <s v="Free Mover"/>
    <s v="EXTENSION"/>
    <x v="0"/>
    <s v="ADMI-3110"/>
    <s v="ADMI-3431"/>
    <s v="ADMI-2403"/>
    <m/>
    <m/>
    <m/>
    <m/>
    <m/>
    <m/>
    <m/>
    <m/>
    <m/>
    <x v="0"/>
    <x v="0"/>
  </r>
  <r>
    <x v="0"/>
    <n v="202010"/>
    <n v="202015799"/>
    <s v="Friedrich"/>
    <s v="von Papen"/>
    <s v="Frankfurt School of Finance &amp; Management"/>
    <s v="Frankfurt School of Finance and Management"/>
    <x v="0"/>
    <s v="Germany"/>
    <s v="Europe"/>
    <s v="friedrichpapen@gmail.com"/>
    <s v="f.von@uniandes.edu.co"/>
    <x v="0"/>
    <s v="EGMA"/>
    <s v="ESTUD.GENER.INTERCAMB.MAESTRIA"/>
    <x v="0"/>
    <s v="MADM-4653"/>
    <s v="MADM-4303"/>
    <s v="MADM-4652"/>
    <m/>
    <m/>
    <m/>
    <m/>
    <m/>
    <m/>
    <m/>
    <m/>
    <m/>
    <x v="1"/>
    <x v="1"/>
  </r>
  <r>
    <x v="0"/>
    <n v="202010"/>
    <n v="202015805"/>
    <s v="Edouard Jean-Francois Rene-Marie"/>
    <s v="Gosselin"/>
    <s v="ICN Business School"/>
    <s v="ICN Business School - Institut Commercial de Nancy"/>
    <x v="0"/>
    <s v="France"/>
    <s v="Europe"/>
    <s v="gosselin.edouard@gmail.com"/>
    <s v="e.gosselin@uniandes.edu.co"/>
    <x v="0"/>
    <s v="EGIN"/>
    <s v="ESTUDIOS GENER.DE INTERCAMBIO"/>
    <x v="0"/>
    <s v="ARTE-2454"/>
    <s v="CISO-1505"/>
    <s v="LENG-1572"/>
    <s v="ADMI-2104"/>
    <m/>
    <m/>
    <m/>
    <m/>
    <m/>
    <m/>
    <m/>
    <m/>
    <x v="0"/>
    <x v="0"/>
  </r>
  <r>
    <x v="0"/>
    <n v="202010"/>
    <n v="202015823"/>
    <s v="Maïva Viviane O"/>
    <s v="Bastin"/>
    <s v="Maastricht University"/>
    <s v="Maastricht University"/>
    <x v="0"/>
    <s v="Netherlands"/>
    <s v="Europe"/>
    <s v="mv.bastin@student.maastrichtuniversity.nl"/>
    <s v="m.bastin@uniandes.edu.co"/>
    <x v="0"/>
    <s v="EGIN"/>
    <s v="ESTUDIOS GENER.DE INTERCAMBIO"/>
    <x v="0"/>
    <s v="ADMI-1603"/>
    <s v="ADMI-3407"/>
    <s v="ADMI-2301"/>
    <s v="ADMI-1190"/>
    <s v="ADMI-3503"/>
    <m/>
    <m/>
    <m/>
    <m/>
    <m/>
    <m/>
    <m/>
    <x v="0"/>
    <x v="0"/>
  </r>
  <r>
    <x v="0"/>
    <n v="202010"/>
    <n v="202015825"/>
    <s v="Thomas Pascal Delphin"/>
    <s v="Girard"/>
    <s v="Maastricht University"/>
    <s v="Maastricht University"/>
    <x v="0"/>
    <s v="Netherlands"/>
    <s v="Europe"/>
    <s v="t.girard@student.maastrichtuniversity.nl"/>
    <s v="t.girard@uniandes.edu.co"/>
    <x v="0"/>
    <s v="EGIN"/>
    <s v="ESTUDIOS GENER.DE INTERCAMBIO"/>
    <x v="0"/>
    <s v="ADMI-1603"/>
    <s v="ADMI-3110"/>
    <s v="ADMI-2301"/>
    <s v="EGOB-3113"/>
    <s v="ADMI-2403"/>
    <s v="ADMI-3745"/>
    <m/>
    <m/>
    <m/>
    <m/>
    <m/>
    <m/>
    <x v="0"/>
    <x v="0"/>
  </r>
  <r>
    <x v="0"/>
    <n v="202010"/>
    <n v="202015826"/>
    <s v="Maximilien Laurent P"/>
    <s v="Lob"/>
    <s v="Maastricht University"/>
    <s v="Maastricht University"/>
    <x v="0"/>
    <s v="Netherlands"/>
    <s v="Europe"/>
    <s v="maximilien.lob@gmail.com"/>
    <s v="m.lob@uniandes.edu.co"/>
    <x v="0"/>
    <s v="EGIN"/>
    <s v="ESTUDIOS GENER.DE INTERCAMBIO"/>
    <x v="0"/>
    <s v="INLE-"/>
    <s v="ADMI-3407"/>
    <s v="ADMI-3110"/>
    <s v="LENG-2999"/>
    <s v="ADMI-1190"/>
    <s v="ADMI-3503"/>
    <s v="ADMI-3745"/>
    <m/>
    <m/>
    <m/>
    <m/>
    <m/>
    <x v="0"/>
    <x v="0"/>
  </r>
  <r>
    <x v="0"/>
    <n v="202010"/>
    <n v="202015827"/>
    <s v="Victoria Sophie"/>
    <s v="Pfaff"/>
    <s v="Maastricht University"/>
    <s v="Maastricht University"/>
    <x v="0"/>
    <s v="Netherlands"/>
    <s v="Europe"/>
    <s v="v.pfaff@student.maastrichtuniversity.nl"/>
    <s v="v.pfaff@uniandes.edu.co"/>
    <x v="0"/>
    <s v="EGIN"/>
    <s v="ESTUDIOS GENER.DE INTERCAMBIO"/>
    <x v="0"/>
    <s v="ADMI-2206"/>
    <s v="ADMI-1603"/>
    <s v="ADMI-2301"/>
    <s v="ADMI-3237"/>
    <s v="ADMI-2403"/>
    <s v="ADMI-2106"/>
    <m/>
    <m/>
    <m/>
    <m/>
    <m/>
    <m/>
    <x v="0"/>
    <x v="0"/>
  </r>
  <r>
    <x v="0"/>
    <n v="202010"/>
    <n v="202015830"/>
    <s v="Guenola Christiane Marie "/>
    <s v="Bouhier"/>
    <s v="McGill University"/>
    <s v="McGill University"/>
    <x v="0"/>
    <s v="Canada"/>
    <s v="North America"/>
    <s v="guenola.bouhier1999@gmail.com"/>
    <s v="g.bouhier@uniandes.edu.co"/>
    <x v="0"/>
    <s v="EGIN"/>
    <s v="ESTUDIOS GENER.DE INTERCAMBIO"/>
    <x v="0"/>
    <s v="ADMI-2204"/>
    <s v="LENG-1573"/>
    <s v="ADMI-3431"/>
    <s v="ADMI-2403"/>
    <s v="ADMI-1190"/>
    <m/>
    <m/>
    <m/>
    <m/>
    <m/>
    <m/>
    <m/>
    <x v="0"/>
    <x v="0"/>
  </r>
  <r>
    <x v="0"/>
    <n v="202010"/>
    <n v="202015833"/>
    <s v="Mateo Pierre"/>
    <s v="Jeanneau"/>
    <s v="McGill University"/>
    <s v="McGill University"/>
    <x v="0"/>
    <s v="Canada"/>
    <s v="North America"/>
    <s v="mateo.jeanneau@gmail.com"/>
    <s v="m.jeanneau@uniandes.edu.co"/>
    <x v="0"/>
    <s v="EGIN"/>
    <s v="ESTUDIOS GENER.DE INTERCAMBIO"/>
    <x v="0"/>
    <s v="ECON-2501"/>
    <s v="ADMI-3139"/>
    <s v="ADMI-3110"/>
    <s v="ARTE-1105"/>
    <s v="ADMI-3503"/>
    <m/>
    <m/>
    <m/>
    <m/>
    <m/>
    <m/>
    <m/>
    <x v="0"/>
    <x v="0"/>
  </r>
  <r>
    <x v="0"/>
    <n v="202010"/>
    <n v="202015841"/>
    <s v="Coline"/>
    <s v="AIRAUDO"/>
    <s v="NEOMA Business School"/>
    <s v="ESC Rouen (NEOMA)"/>
    <x v="0"/>
    <s v="France"/>
    <s v="Europe"/>
    <s v="coline.airaudo.17@neoma-bs.com"/>
    <s v="c.airaudo@uniandes.edu.co"/>
    <x v="0"/>
    <s v="EGMA"/>
    <s v="ESTUD.GENER.INTERCAMB.MAESTRIA"/>
    <x v="0"/>
    <s v="ADMI-3110"/>
    <s v="ADMI-3606"/>
    <s v="ADMI-2104"/>
    <s v="ADMI-3137"/>
    <m/>
    <m/>
    <m/>
    <m/>
    <m/>
    <m/>
    <m/>
    <m/>
    <x v="1"/>
    <x v="1"/>
  </r>
  <r>
    <x v="0"/>
    <n v="202010"/>
    <n v="202015843"/>
    <s v="Florine Lucile Marie"/>
    <s v="Jacques-Jean"/>
    <s v="NEOMA Business School"/>
    <s v="ESC Rouen (NEOMA)"/>
    <x v="0"/>
    <s v="France"/>
    <s v="Europe"/>
    <s v="jacquesjean.florine@gmail.com"/>
    <s v="f.jacques@uniandes.edu.co"/>
    <x v="0"/>
    <s v="EGMA"/>
    <s v="ESTUD.GENER.INTERCAMB.MAESTRIA"/>
    <x v="0"/>
    <s v="MADM-4152"/>
    <s v="MADM-4154"/>
    <s v="MFIN-4208"/>
    <s v="MADM-4701"/>
    <m/>
    <m/>
    <m/>
    <m/>
    <m/>
    <m/>
    <m/>
    <m/>
    <x v="1"/>
    <x v="1"/>
  </r>
  <r>
    <x v="0"/>
    <n v="202010"/>
    <n v="201924469"/>
    <s v="Rufus Michael"/>
    <s v="Langton-Gilks"/>
    <s v="Northumbria University, Newcastle"/>
    <s v="Northumbria University, Newcastle"/>
    <x v="1"/>
    <s v="United Kingdom"/>
    <s v="Europe"/>
    <s v="rufus.langton-gilks@northumbria.ac.uk"/>
    <s v="r.langton@uniandes.edu.co"/>
    <x v="0"/>
    <s v="EGIN"/>
    <s v="ESTUDIOS GENER.DE INTERCAMBIO"/>
    <x v="0"/>
    <s v="CBCA-1037"/>
    <s v="ADMI-3110"/>
    <s v="LITE-1621"/>
    <s v="LENG-1573"/>
    <s v="LENG-1701"/>
    <m/>
    <m/>
    <m/>
    <m/>
    <m/>
    <m/>
    <m/>
    <x v="0"/>
    <x v="0"/>
  </r>
  <r>
    <x v="0"/>
    <n v="202010"/>
    <n v="202015853"/>
    <s v="Euan Douglas"/>
    <s v="Hannigan"/>
    <s v="Queen's University"/>
    <s v="Queens University School of Business"/>
    <x v="0"/>
    <s v="Canada"/>
    <s v="North America"/>
    <s v="euan.hannigan@queensu.ca"/>
    <s v="e.hannigan@uniandes.edu.co"/>
    <x v="0"/>
    <s v="EGIN"/>
    <s v="ESTUDIOS GENER.DE INTERCAMBIO"/>
    <x v="0"/>
    <s v="HIST-2211"/>
    <s v="ADMI-3110"/>
    <s v="LENG-1573"/>
    <s v="ADMI-3210"/>
    <s v="DEPO-1240"/>
    <m/>
    <m/>
    <m/>
    <m/>
    <m/>
    <m/>
    <m/>
    <x v="0"/>
    <x v="0"/>
  </r>
  <r>
    <x v="0"/>
    <n v="202010"/>
    <n v="202015855"/>
    <s v="Camillo Kurt Harry"/>
    <s v="Banfi"/>
    <s v="Technische Universität München (TUM)"/>
    <s v="Technische Universität München (TUM)"/>
    <x v="1"/>
    <s v="Germany"/>
    <s v="Europe"/>
    <s v="camillo.banfi@gmail.com"/>
    <s v="c.banfi@uniandes.edu.co"/>
    <x v="0"/>
    <s v="EGIN"/>
    <s v="ESTUDIOS GENER.DE INTERCAMBIO"/>
    <x v="0"/>
    <s v="ADMI-3110"/>
    <s v="ADMI-2106"/>
    <m/>
    <m/>
    <m/>
    <m/>
    <m/>
    <m/>
    <m/>
    <m/>
    <m/>
    <m/>
    <x v="0"/>
    <x v="0"/>
  </r>
  <r>
    <x v="0"/>
    <n v="202010"/>
    <n v="202015856"/>
    <s v="Polina"/>
    <s v="Fefelova"/>
    <s v="Technische Universität München (TUM)"/>
    <s v="Technische Universität München (TUM)"/>
    <x v="1"/>
    <s v="Germany"/>
    <s v="Europe"/>
    <s v="ga92xag@mytum.de"/>
    <s v="p.fefelova@uniandes.edu.co"/>
    <x v="0"/>
    <s v="EGIN"/>
    <s v="ESTUDIOS GENER.DE INTERCAMBIO"/>
    <x v="0"/>
    <s v="ADMI-2204"/>
    <s v="LENG-1573"/>
    <s v="ADMI-2302"/>
    <s v="ADMI-3431"/>
    <s v="ADMI-3701"/>
    <m/>
    <m/>
    <m/>
    <m/>
    <m/>
    <m/>
    <m/>
    <x v="0"/>
    <x v="0"/>
  </r>
  <r>
    <x v="0"/>
    <n v="202010"/>
    <n v="202015859"/>
    <s v="Justine, Clémence"/>
    <s v="Bourdeau"/>
    <s v="TOULOUSE BUSINESS SCHOOL"/>
    <s v="Toulouse Business School"/>
    <x v="0"/>
    <s v="France"/>
    <s v="Europe"/>
    <s v="j.bourdeau@tbs-education.org"/>
    <s v="j.bourdeau@uniandes.edu.co"/>
    <x v="0"/>
    <s v="EGIN"/>
    <s v="ESTUDIOS GENER.DE INTERCAMBIO"/>
    <x v="0"/>
    <s v="ADMI-3139"/>
    <s v="ADMI-3110"/>
    <s v="LENG-1573"/>
    <s v="ADMI-2301"/>
    <s v="ADMI-3601"/>
    <m/>
    <m/>
    <m/>
    <m/>
    <m/>
    <m/>
    <m/>
    <x v="0"/>
    <x v="0"/>
  </r>
  <r>
    <x v="0"/>
    <n v="202010"/>
    <n v="202015861"/>
    <s v="Camille Mohamed Nagui"/>
    <s v="El Wakil"/>
    <s v="TOULOUSE BUSINESS SCHOOL"/>
    <s v="Toulouse Business School"/>
    <x v="0"/>
    <s v="France"/>
    <s v="Europe"/>
    <s v="c.el-wakil@tbs-education.org"/>
    <s v="c.el@uniandes.edu.co"/>
    <x v="0"/>
    <s v="EGIN"/>
    <s v="ESTUDIOS GENER.DE INTERCAMBIO"/>
    <x v="0"/>
    <s v="ADMI-3606"/>
    <s v="HIST-3240"/>
    <s v="ADMI-3701"/>
    <s v="ANTR-1106"/>
    <s v="DEPO-1256"/>
    <s v="DEPO-1218"/>
    <m/>
    <m/>
    <m/>
    <m/>
    <m/>
    <m/>
    <x v="0"/>
    <x v="0"/>
  </r>
  <r>
    <x v="0"/>
    <n v="202010"/>
    <n v="202015900"/>
    <s v="Guillaume Eric Alexandre"/>
    <s v="Frat"/>
    <s v="TOULOUSE BUSINESS SCHOOL"/>
    <s v="Toulouse Business School"/>
    <x v="0"/>
    <s v="France"/>
    <s v="Europe"/>
    <s v="g.frat@tbs-education.org"/>
    <s v="g.frat@uniandes.edu.co"/>
    <x v="0"/>
    <s v="EGIN"/>
    <s v="ESTUDIOS GENER.DE INTERCAMBIO"/>
    <x v="0"/>
    <s v="ADMI-2301"/>
    <s v="ADMI-3133"/>
    <s v="ADMI-3128"/>
    <s v="LENG-1601"/>
    <s v="ADMI-3601"/>
    <m/>
    <m/>
    <m/>
    <m/>
    <m/>
    <m/>
    <m/>
    <x v="0"/>
    <x v="0"/>
  </r>
  <r>
    <x v="0"/>
    <n v="202010"/>
    <n v="202015864"/>
    <s v="Alec Joseph"/>
    <s v="Devaprasad"/>
    <s v="Tulane University"/>
    <s v="A.B. Freeman School of Business, Tulane University"/>
    <x v="0"/>
    <s v="United States"/>
    <s v="North America"/>
    <s v="adevaprasad@tulane.edu"/>
    <s v="a.devaprasad@uniandes.edu.co"/>
    <x v="0"/>
    <s v="EGIN"/>
    <s v="ESTUDIOS GENER.DE INTERCAMBIO"/>
    <x v="0"/>
    <s v="ADMI-3611"/>
    <s v="ADMI-2207"/>
    <s v="ADMI-2104"/>
    <s v="ADMI-3701"/>
    <m/>
    <m/>
    <m/>
    <m/>
    <m/>
    <m/>
    <m/>
    <m/>
    <x v="0"/>
    <x v="0"/>
  </r>
  <r>
    <x v="0"/>
    <n v="202010"/>
    <n v="202015865"/>
    <s v="Alyssa Danielle"/>
    <s v="Greenfield"/>
    <s v="Tulane University"/>
    <s v="A.B. Freeman School of Business, Tulane University"/>
    <x v="0"/>
    <s v="United States"/>
    <s v="North America"/>
    <s v="agreenfield@tulane.edu"/>
    <s v="a.greenfield@uniandes.edu.co"/>
    <x v="0"/>
    <s v="EGIN"/>
    <s v="ESTUDIOS GENER.DE INTERCAMBIO"/>
    <x v="0"/>
    <s v="ADMI-2556"/>
    <s v="ADMI-3210"/>
    <s v="ADMI-3701"/>
    <s v="ADMI-2106"/>
    <m/>
    <m/>
    <m/>
    <m/>
    <m/>
    <m/>
    <m/>
    <m/>
    <x v="0"/>
    <x v="0"/>
  </r>
  <r>
    <x v="0"/>
    <n v="202010"/>
    <n v="202015888"/>
    <s v="Vanessa"/>
    <s v="Tejada"/>
    <s v="Universidad de San Andrés"/>
    <s v="Universidad de San Andrés"/>
    <x v="0"/>
    <s v="Argentina"/>
    <s v="South America"/>
    <s v="vanessatejada25@gmail.com"/>
    <s v="v.tejada@uniandes.edu.co"/>
    <x v="0"/>
    <s v="EGMA"/>
    <s v="ESTUD.GENER.INTERCAMB.MAESTRIA"/>
    <x v="0"/>
    <s v="MFIN-4253"/>
    <s v="MMER-4341"/>
    <s v="MADM-4051"/>
    <m/>
    <m/>
    <m/>
    <m/>
    <m/>
    <m/>
    <m/>
    <m/>
    <m/>
    <x v="3"/>
    <x v="1"/>
  </r>
  <r>
    <x v="0"/>
    <n v="202010"/>
    <n v="202015890"/>
    <s v="Kattia Fiorella"/>
    <s v="Tenorio Perez"/>
    <s v="Universidad de San Andrés"/>
    <s v="Universidad de San Andrés"/>
    <x v="0"/>
    <s v="Argentina"/>
    <s v="South America"/>
    <s v="kattiatenoriop@gmail.com"/>
    <s v="k.tenorio@uniandes.edu.co"/>
    <x v="0"/>
    <s v="EGMA"/>
    <s v="ESTUD.GENER.INTERCAMB.MAESTRIA"/>
    <x v="0"/>
    <s v="MADM-4154"/>
    <s v="MMER-4339"/>
    <m/>
    <m/>
    <m/>
    <m/>
    <m/>
    <m/>
    <m/>
    <m/>
    <m/>
    <m/>
    <x v="1"/>
    <x v="1"/>
  </r>
  <r>
    <x v="0"/>
    <n v="202010"/>
    <n v="202015892"/>
    <s v="Bianzi Clemencia"/>
    <s v="Santos Mamani"/>
    <s v="Universidad de Tarapacá"/>
    <s v="Universidad de Tarapacá"/>
    <x v="1"/>
    <s v="Chile"/>
    <s v="South America"/>
    <s v="bianzysantos@gmail.com"/>
    <s v="b.santosm@uniandes.edu.co"/>
    <x v="0"/>
    <s v="EGIN"/>
    <s v="ESTUDIOS GENER.DE INTERCAMBIO"/>
    <x v="0"/>
    <s v="INLE-"/>
    <s v="ADMI-2107"/>
    <s v="CBCA-1201"/>
    <s v="ADMI-3431"/>
    <s v="ADMI-3601"/>
    <m/>
    <m/>
    <m/>
    <m/>
    <m/>
    <m/>
    <m/>
    <x v="0"/>
    <x v="0"/>
  </r>
  <r>
    <x v="0"/>
    <n v="202010"/>
    <n v="202015866"/>
    <s v="Jonathan Friedrich"/>
    <s v="Salzmann"/>
    <s v="Universität Mannheim"/>
    <s v="University of Mannheim Business School"/>
    <x v="0"/>
    <s v="Germany"/>
    <s v="Europe"/>
    <s v="jonathansalzmann@gmail.com"/>
    <s v="j.salzmann@uniandes.edu.co"/>
    <x v="0"/>
    <s v="EGMA"/>
    <s v="ESTUD.GENER.INTERCAMB.MAESTRIA"/>
    <x v="0"/>
    <s v="LENG-1573"/>
    <s v="DEPO-1221"/>
    <s v="MSCM-4030"/>
    <s v="MSCM-4005"/>
    <s v="MADM-4652"/>
    <s v="DEPO-1220"/>
    <m/>
    <m/>
    <m/>
    <m/>
    <m/>
    <m/>
    <x v="1"/>
    <x v="1"/>
  </r>
  <r>
    <x v="0"/>
    <n v="202010"/>
    <n v="202015860"/>
    <s v="Marvin Andrés"/>
    <s v="Murillo Cabezas"/>
    <s v="Universitat Politècnica de València"/>
    <s v="Universitat Politecnica de Valencia"/>
    <x v="1"/>
    <s v="Spain"/>
    <s v="Europe"/>
    <s v="Marbucho@gmail.com"/>
    <s v="m.murillo@uniandes.edu.co"/>
    <x v="0"/>
    <s v="EGIN"/>
    <s v="ESTUDIOS GENER.DE INTERCAMBIO"/>
    <x v="0"/>
    <s v="DEPO-1231"/>
    <s v="ADMI-1603"/>
    <s v="ADMI-3110"/>
    <s v="ADMI-3122"/>
    <s v="ADMI-3701"/>
    <m/>
    <m/>
    <m/>
    <m/>
    <m/>
    <m/>
    <m/>
    <x v="0"/>
    <x v="0"/>
  </r>
  <r>
    <x v="0"/>
    <n v="202010"/>
    <n v="202015844"/>
    <s v="Veit Julius"/>
    <s v="Henneberger"/>
    <s v="Universität St. Gallen"/>
    <s v="University of Saint Gallen"/>
    <x v="0"/>
    <s v="Switzerland"/>
    <s v="Europe"/>
    <s v="veit.henneberger@student.unisg.ch"/>
    <s v="v.henneberger@uniandes.edu.co"/>
    <x v="0"/>
    <s v="EGMA"/>
    <s v="ESTUD.GENER.INTERCAMB.MAESTRIA"/>
    <x v="0"/>
    <s v="MFIN-4200"/>
    <s v="ADMI-2204"/>
    <s v="ADMI-3407"/>
    <s v="LENG-1572"/>
    <s v="MADM-4206"/>
    <s v="DEPO-1214"/>
    <s v="MADM-4652"/>
    <m/>
    <m/>
    <m/>
    <m/>
    <m/>
    <x v="1"/>
    <x v="1"/>
  </r>
  <r>
    <x v="0"/>
    <n v="202010"/>
    <n v="201924503"/>
    <s v="Théo Marin Jean"/>
    <s v="Sibiodon"/>
    <s v="Université de Strasbourg"/>
    <s v="EM Strasbourg"/>
    <x v="0"/>
    <s v="France"/>
    <s v="Europe"/>
    <s v="theo.sibiodon@em-strasbourg.eu"/>
    <s v="t.sibiodon@uniandes.edu.co"/>
    <x v="0"/>
    <s v="EGIN"/>
    <s v="ESTUDIOS GENER.DE INTERCAMBIO"/>
    <x v="0"/>
    <s v="LENG-1301"/>
    <s v="INLE-"/>
    <s v="ADMI-2204"/>
    <s v="ECON-2104"/>
    <s v="ADMI-3210"/>
    <s v="ADMI-1203"/>
    <s v="LENG-2999"/>
    <m/>
    <m/>
    <m/>
    <m/>
    <m/>
    <x v="0"/>
    <x v="0"/>
  </r>
  <r>
    <x v="0"/>
    <n v="202010"/>
    <n v="201924500"/>
    <s v="Camille Fanny"/>
    <s v="HENQUINET"/>
    <s v="Université Jean Moulin Lyon 3"/>
    <s v="Universidad Jean Moulin Lyon 3"/>
    <x v="1"/>
    <s v="France"/>
    <s v="Europe"/>
    <s v="henquinet.camille@gmail.com"/>
    <s v="c.henquinet@uniandes.edu.co"/>
    <x v="0"/>
    <s v="EGIN"/>
    <s v="ESTUDIOS GENER.DE INTERCAMBIO"/>
    <x v="0"/>
    <s v="MUSI-1819"/>
    <s v="ADMI-3110"/>
    <s v="ADMI-3502"/>
    <s v="ADMI-3133"/>
    <s v="ADMI-2104"/>
    <s v="ADMI-3137"/>
    <m/>
    <m/>
    <m/>
    <m/>
    <m/>
    <m/>
    <x v="0"/>
    <x v="0"/>
  </r>
  <r>
    <x v="0"/>
    <n v="202010"/>
    <n v="201924499"/>
    <s v="Carlotta Marie Angele"/>
    <s v="Henry"/>
    <s v="Université Jean Moulin Lyon 3"/>
    <s v="Universidad Jean Moulin Lyon 3"/>
    <x v="1"/>
    <s v="France"/>
    <s v="Europe"/>
    <s v="carlotta.henry@hotmail.fr"/>
    <s v="c.henry@uniandes.edu.co"/>
    <x v="0"/>
    <s v="EGIN"/>
    <s v="ESTUDIOS GENER.DE INTERCAMBIO"/>
    <x v="0"/>
    <s v="ADMI-3611"/>
    <s v="ADMI-3110"/>
    <s v="ADMI-1590"/>
    <m/>
    <m/>
    <m/>
    <m/>
    <m/>
    <m/>
    <m/>
    <m/>
    <m/>
    <x v="0"/>
    <x v="0"/>
  </r>
  <r>
    <x v="0"/>
    <n v="202010"/>
    <n v="201924501"/>
    <s v="Alexis Cheikhou"/>
    <s v="Mbaye"/>
    <s v="Université Jean Moulin Lyon 3"/>
    <s v="Universidad Jean Moulin Lyon 3"/>
    <x v="1"/>
    <s v="France"/>
    <s v="Europe"/>
    <s v="mbaye.alexis@gmail.com"/>
    <s v="a.mbaye@uniandes.edu.co"/>
    <x v="0"/>
    <s v="EGIN"/>
    <s v="ESTUDIOS GENER.DE INTERCAMBIO"/>
    <x v="0"/>
    <s v="MMER-4341"/>
    <s v="CBPC-1235"/>
    <s v="CBCA-1112"/>
    <s v="CPER-1701"/>
    <m/>
    <m/>
    <m/>
    <m/>
    <m/>
    <m/>
    <m/>
    <m/>
    <x v="0"/>
    <x v="0"/>
  </r>
  <r>
    <x v="0"/>
    <n v="202010"/>
    <n v="202015832"/>
    <s v="Capucine, Marie, Astrid"/>
    <s v="Varnier"/>
    <s v="Université Paris Dauphine-PSL"/>
    <s v="Université Paris-Dauphine"/>
    <x v="1"/>
    <s v="France"/>
    <s v="Europe"/>
    <s v="capucinevarnier@hotmail.com"/>
    <s v="c.varnier@uniandes.edu.co"/>
    <x v="0"/>
    <s v="EGIN"/>
    <s v="ESTUDIOS GENER.DE INTERCAMBIO"/>
    <x v="0"/>
    <s v="ADMI-3502"/>
    <s v="ADMI-2301"/>
    <s v="ADMI-2107"/>
    <s v="ADMI-2106"/>
    <m/>
    <m/>
    <m/>
    <m/>
    <m/>
    <m/>
    <m/>
    <m/>
    <x v="0"/>
    <x v="0"/>
  </r>
  <r>
    <x v="0"/>
    <n v="202010"/>
    <n v="201924477"/>
    <s v="Rohan Russell"/>
    <s v="Redican"/>
    <s v="University of Sussex"/>
    <s v="University of Sussex"/>
    <x v="1"/>
    <s v="United Kingdom"/>
    <s v="Europe"/>
    <s v="rr303@sussex.ac.uk"/>
    <s v="r.redican@uniandes.edu.co"/>
    <x v="0"/>
    <s v="EGIN"/>
    <s v="ESTUDIOS GENER.DE INTERCAMBIO"/>
    <x v="0"/>
    <s v="ADMI-1603"/>
    <s v="LENG-1572"/>
    <s v="ADMI-2403"/>
    <s v="ADMI-2106"/>
    <s v="CBCA-1144"/>
    <s v="CBCA-1275"/>
    <m/>
    <m/>
    <m/>
    <m/>
    <m/>
    <m/>
    <x v="0"/>
    <x v="0"/>
  </r>
  <r>
    <x v="0"/>
    <n v="202010"/>
    <n v="202015923"/>
    <s v="Julie Liliane Annie"/>
    <s v="Guez"/>
    <s v="TOULOUSE BUSINESS SCHOOL"/>
    <s v="Toulouse Business School"/>
    <x v="0"/>
    <s v="France"/>
    <s v="Europe"/>
    <s v="j.guez@tbs-education.org"/>
    <s v="j.guez@uniandes.edu.co"/>
    <x v="2"/>
    <s v="EGIN"/>
    <m/>
    <x v="0"/>
    <s v="DERE-1300"/>
    <s v="ADMI-3110"/>
    <s v="CBCO-1179"/>
    <s v="CBCC-1177"/>
    <s v="LENG-1511"/>
    <s v="ADMI-1590"/>
    <s v="LITE-1622"/>
    <s v="ADMI-2206"/>
    <s v="LENG-2999"/>
    <s v="LENG-3999"/>
    <m/>
    <m/>
    <x v="0"/>
    <x v="0"/>
  </r>
  <r>
    <x v="0"/>
    <n v="202010"/>
    <n v="202015971"/>
    <s v="Timothée Paul"/>
    <s v="Legré"/>
    <s v="TOULOUSE BUSINESS SCHOOL"/>
    <s v="Toulouse Business School"/>
    <x v="0"/>
    <s v="France"/>
    <s v="Europe"/>
    <s v="tim.legre@gmail.com"/>
    <s v="t.legre@uniandes.edu.co"/>
    <x v="2"/>
    <s v="EGIN"/>
    <m/>
    <x v="0"/>
    <s v="CBCC-1177"/>
    <s v="DERE-1300"/>
    <s v="CBCA-1250"/>
    <s v="LENG-3999"/>
    <s v="LENG-2999"/>
    <s v="CBCO-1234"/>
    <s v="ADMI-3503"/>
    <s v="LENG-1511"/>
    <s v="ADMI-1590"/>
    <m/>
    <m/>
    <m/>
    <x v="0"/>
    <x v="0"/>
  </r>
  <r>
    <x v="1"/>
    <n v="202110"/>
    <n v="202116307"/>
    <s v="Niklas"/>
    <s v="Helineva"/>
    <s v="Aalto University"/>
    <s v="Aalto University"/>
    <x v="0"/>
    <s v="Finland"/>
    <s v="Europe"/>
    <s v="niklas.helineva@aalto.fi"/>
    <s v="n.helineva@uniandes.edu.co"/>
    <x v="0"/>
    <s v="EGIN"/>
    <s v="ESTUDIOS GENER.DE INTERCAMBIO"/>
    <x v="0"/>
    <s v="ADMI-1603"/>
    <s v="ADMI-3110"/>
    <s v="ADMI-2301"/>
    <s v="ADMI-2106"/>
    <s v="ADMI-3237"/>
    <m/>
    <m/>
    <m/>
    <m/>
    <m/>
    <m/>
    <m/>
    <x v="0"/>
    <x v="0"/>
  </r>
  <r>
    <x v="1"/>
    <n v="202110"/>
    <n v="202116309"/>
    <s v="Victor"/>
    <s v="Lambert"/>
    <s v="Audencia Business School"/>
    <s v="Audencia. École de Management"/>
    <x v="0"/>
    <s v="France"/>
    <s v="Europe"/>
    <s v="victor.lambert97@audencia.com"/>
    <s v="v.lambert@uniandes.edu.co"/>
    <x v="0"/>
    <s v="EGIN"/>
    <s v="ESTUDIOS GENER.DE INTERCAMBIO"/>
    <x v="0"/>
    <s v="ADMI-1102"/>
    <s v="ADMI-2301"/>
    <s v="ADMI-2104"/>
    <s v="ADMI-3705"/>
    <s v="ADMI-2605"/>
    <m/>
    <m/>
    <m/>
    <m/>
    <m/>
    <m/>
    <m/>
    <x v="0"/>
    <x v="0"/>
  </r>
  <r>
    <x v="1"/>
    <n v="202110"/>
    <n v="202116316"/>
    <s v="luna"/>
    <s v="paez"/>
    <s v="CY Cergy Paris Université"/>
    <s v="CY Cergy Paris Université"/>
    <x v="1"/>
    <s v="France"/>
    <s v="Europe"/>
    <s v="lunapaez16@yahoo.com"/>
    <s v="l.paezl@uniandes.edu.co"/>
    <x v="0"/>
    <s v="EGIN"/>
    <s v="ESTUDIOS GENER.DE INTERCAMBIO"/>
    <x v="0"/>
    <s v="ADMI-2301"/>
    <s v="ADMI-2302"/>
    <s v="LENG-1405"/>
    <s v="ADMI-3701"/>
    <s v="LITE-1328"/>
    <m/>
    <m/>
    <m/>
    <m/>
    <m/>
    <m/>
    <m/>
    <x v="0"/>
    <x v="0"/>
  </r>
  <r>
    <x v="1"/>
    <n v="202110"/>
    <n v="202116310"/>
    <s v="Ezéchiel"/>
    <s v="Le Guay"/>
    <s v="ESCP Europe"/>
    <s v="ESCP"/>
    <x v="0"/>
    <s v="France"/>
    <s v="Europe"/>
    <s v="ezechiel.le_guay@edu.escp.eu"/>
    <s v="e.le@uniandes.edu.co"/>
    <x v="0"/>
    <s v="EGIN"/>
    <s v="ESTUDIOS GENER.DE INTERCAMBIO"/>
    <x v="0"/>
    <s v="ADMI-3110"/>
    <s v="ADMI-3210"/>
    <s v="ADMI-3701"/>
    <s v="MGAD-4401"/>
    <s v="MGAP-4414"/>
    <m/>
    <m/>
    <m/>
    <m/>
    <m/>
    <m/>
    <m/>
    <x v="4"/>
    <x v="1"/>
  </r>
  <r>
    <x v="1"/>
    <n v="202110"/>
    <n v="202116313"/>
    <s v="Andreas"/>
    <s v="Lustenberger"/>
    <s v="FHNW Fachhochschule Nordwestschweiz"/>
    <s v="FHNW Fachhochschule Nordwestschweiz"/>
    <x v="1"/>
    <s v="Switzerland"/>
    <s v="Europe"/>
    <s v="andreas.lustenberger@students.fhnw.ch"/>
    <s v="a.lustenberger@uniandes.edu.co"/>
    <x v="0"/>
    <s v="EGIN"/>
    <s v="ESTUDIOS GENER.DE INTERCAMBIO"/>
    <x v="0"/>
    <s v="ADMI-3110"/>
    <s v="ADMI-3237"/>
    <s v="ADMI-2403"/>
    <s v="LENG-1575"/>
    <m/>
    <m/>
    <m/>
    <m/>
    <m/>
    <m/>
    <m/>
    <m/>
    <x v="0"/>
    <x v="0"/>
  </r>
  <r>
    <x v="1"/>
    <n v="202110"/>
    <n v="202116325"/>
    <s v="Hugo"/>
    <s v="VANNESSON"/>
    <s v="Grenoble Ecole de Management"/>
    <s v="Grenoble. École de Management"/>
    <x v="0"/>
    <s v="France"/>
    <s v="Europe"/>
    <s v="hugo.vannesson@grenoble-em.com"/>
    <s v="h.vanesson@uniandes.edu.co"/>
    <x v="0"/>
    <s v="EGMA"/>
    <s v="ESTUD.GENER.INTERCAMB.MAESTRIA"/>
    <x v="0"/>
    <s v="ADMI-2501"/>
    <s v="ADMI-3341"/>
    <s v="ADMI-3502"/>
    <s v="ADMI-3701"/>
    <s v="LENG-1575"/>
    <m/>
    <m/>
    <m/>
    <m/>
    <m/>
    <m/>
    <m/>
    <x v="3"/>
    <x v="1"/>
  </r>
  <r>
    <x v="1"/>
    <n v="202110"/>
    <n v="202116304"/>
    <s v="Antonio"/>
    <s v="Diaz"/>
    <s v="Maastricht University"/>
    <s v="Maastricht University"/>
    <x v="0"/>
    <s v="Netherlands"/>
    <s v="Europe"/>
    <s v="antidiazc@yahoo.de"/>
    <s v="a.diazc2@uniandes.edu.co"/>
    <x v="0"/>
    <s v="EGIN"/>
    <s v="ESTUDIOS GENER.DE INTERCAMBIO"/>
    <x v="0"/>
    <s v="ADMI-1603"/>
    <s v="ADMI-3110"/>
    <s v="ADMI-2301"/>
    <s v="ADMI-2106"/>
    <s v="ADMI-3237"/>
    <s v="ADMI-1190"/>
    <m/>
    <m/>
    <m/>
    <m/>
    <m/>
    <m/>
    <x v="0"/>
    <x v="0"/>
  </r>
  <r>
    <x v="1"/>
    <n v="202110"/>
    <n v="202116302"/>
    <s v="Claire-Marie"/>
    <s v="COLIN"/>
    <s v="NEOMA Business School"/>
    <s v="ESC Rouen (NEOMA)"/>
    <x v="0"/>
    <s v="France"/>
    <s v="Europe"/>
    <s v="claire-marie.colin.19@neoma-bs.com"/>
    <s v="c.colin@uniandes.edu.co"/>
    <x v="0"/>
    <s v="EGIN"/>
    <s v="ESTUDIOS GENER.DE INTERCAMBIO"/>
    <x v="0"/>
    <s v="ADMI-2206"/>
    <s v="ADMI-1602"/>
    <s v="ADMI-1590"/>
    <s v="ADMI-1401"/>
    <m/>
    <m/>
    <m/>
    <m/>
    <m/>
    <m/>
    <m/>
    <m/>
    <x v="3"/>
    <x v="1"/>
  </r>
  <r>
    <x v="1"/>
    <n v="202110"/>
    <n v="202116318"/>
    <s v="Célestine"/>
    <s v="Prado"/>
    <s v="TOULOUSE BUSINESS SCHOOL"/>
    <s v="Toulouse Business School"/>
    <x v="0"/>
    <s v="France"/>
    <s v="Europe"/>
    <s v="c.prado@tbs-education.org"/>
    <s v="c.prado@uniandes.edu.co"/>
    <x v="0"/>
    <s v="EGIN"/>
    <s v="ESTUDIOS GENER.DE INTERCAMBIO"/>
    <x v="0"/>
    <s v="ADMI-2501"/>
    <s v="ADMI-2207"/>
    <s v="ADMI-3110"/>
    <s v="ADMI-2106"/>
    <s v="ADMI-3601"/>
    <m/>
    <m/>
    <m/>
    <m/>
    <m/>
    <m/>
    <m/>
    <x v="0"/>
    <x v="0"/>
  </r>
  <r>
    <x v="1"/>
    <n v="202110"/>
    <n v="202116323"/>
    <s v="Eleanor"/>
    <s v="SOHIER"/>
    <s v="TOULOUSE BUSINESS SCHOOL"/>
    <s v="Toulouse Business School"/>
    <x v="0"/>
    <s v="France"/>
    <s v="Europe"/>
    <s v="eleanor.fly@gmail.com"/>
    <s v="e.sohier@uniandes.edu.co"/>
    <x v="0"/>
    <s v="EGIN"/>
    <s v="ESTUDIOS GENER.DE INTERCAMBIO"/>
    <x v="0"/>
    <s v="ADMI-2501"/>
    <s v="ADMI-2206"/>
    <s v="ADMI-2301"/>
    <s v="ADMI-2107"/>
    <s v="ADMI-2104"/>
    <m/>
    <m/>
    <m/>
    <m/>
    <m/>
    <m/>
    <m/>
    <x v="0"/>
    <x v="0"/>
  </r>
  <r>
    <x v="1"/>
    <n v="202110"/>
    <n v="202116297"/>
    <s v="Valentina"/>
    <s v="Amaya Méndez"/>
    <s v="Universidad de San Andrés"/>
    <s v="Universidad de San Andrés"/>
    <x v="0"/>
    <s v="Argentina"/>
    <s v="South America"/>
    <s v="vamayamendez@outlook.com"/>
    <s v="v.amayam@uniandes.edu.co"/>
    <x v="0"/>
    <s v="EGMA"/>
    <s v="ESTUD.GENER.INTERCAMB.MAESTRIA"/>
    <x v="0"/>
    <s v="GEST-4039"/>
    <s v="MADM-4929"/>
    <s v="MADM-4051"/>
    <s v="MADM-4652"/>
    <m/>
    <m/>
    <m/>
    <m/>
    <m/>
    <m/>
    <m/>
    <m/>
    <x v="1"/>
    <x v="1"/>
  </r>
  <r>
    <x v="1"/>
    <n v="202110"/>
    <n v="202116301"/>
    <s v="ROMEL YHON"/>
    <s v="CHAVEZ QUISPE"/>
    <s v="Universidad Peruana de Ciencias Aplicadas"/>
    <s v="Universidad Peruana de Ciencias Aplicadas"/>
    <x v="1"/>
    <s v="Peru"/>
    <s v="South America"/>
    <s v="Rommel.07r@gmail.com"/>
    <s v="r.chavezq@uniandes.edu.co"/>
    <x v="0"/>
    <s v="EGIN"/>
    <s v="ESTUDIOS GENER.DE INTERCAMBIO"/>
    <x v="0"/>
    <s v="ADMI-3606"/>
    <m/>
    <m/>
    <m/>
    <m/>
    <m/>
    <m/>
    <m/>
    <m/>
    <m/>
    <m/>
    <m/>
    <x v="0"/>
    <x v="0"/>
  </r>
  <r>
    <x v="1"/>
    <n v="202110"/>
    <n v="202116317"/>
    <s v="Ada"/>
    <s v="Perera"/>
    <s v="Universitat Ramon Llull"/>
    <s v="ESADE"/>
    <x v="0"/>
    <s v="Spain"/>
    <s v="Europe"/>
    <s v="ada.perera@alumni.esade.edu"/>
    <s v="a.perera@uniandes.edu.co"/>
    <x v="0"/>
    <s v="EGIN"/>
    <s v="ESTUDIOS GENER.DE INTERCAMBIO"/>
    <x v="0"/>
    <s v="ADMI-3139"/>
    <s v="ADMI-1102"/>
    <s v="ADMI-3336"/>
    <s v="ADMI-2605"/>
    <m/>
    <m/>
    <m/>
    <m/>
    <m/>
    <m/>
    <m/>
    <m/>
    <x v="0"/>
    <x v="0"/>
  </r>
  <r>
    <x v="1"/>
    <n v="202120"/>
    <n v="202124840"/>
    <s v="Johann"/>
    <s v="Maquignon"/>
    <s v="Audencia Business School"/>
    <s v="Audencia. École de Management"/>
    <x v="0"/>
    <s v="France"/>
    <s v="Europe"/>
    <s v="johann.maquignon@audencia.com"/>
    <s v="j.maquignon@uniandes.edu.co"/>
    <x v="0"/>
    <s v="EGIN"/>
    <s v="ESTUDIOS GENER.DE INTERCAMBIO"/>
    <x v="0"/>
    <s v="ADMI-3606"/>
    <s v="ADMI-3237"/>
    <s v="ADMI-3110"/>
    <s v="ADMI-2104"/>
    <s v="ADMI-2605"/>
    <m/>
    <m/>
    <m/>
    <m/>
    <m/>
    <m/>
    <m/>
    <x v="4"/>
    <x v="1"/>
  </r>
  <r>
    <x v="1"/>
    <n v="202120"/>
    <n v="202124921"/>
    <s v="David"/>
    <s v="Pinson"/>
    <s v="CY Cergy Paris Université"/>
    <s v="CY Cergy Paris Université"/>
    <x v="1"/>
    <s v="France"/>
    <s v="Europe"/>
    <s v="davidpinson77@gmail.com"/>
    <s v="d.pinson@uniandes.edu.co"/>
    <x v="0"/>
    <s v="EGIN"/>
    <s v="ESTUDIOS GENER.DE INTERCAMBIO"/>
    <x v="0"/>
    <s v="CPOL-2152"/>
    <s v="ADMI-2301"/>
    <s v="CPOL-1000"/>
    <s v="LENG-1601"/>
    <s v="LENG-2588"/>
    <m/>
    <m/>
    <m/>
    <m/>
    <m/>
    <m/>
    <m/>
    <x v="0"/>
    <x v="0"/>
  </r>
  <r>
    <x v="1"/>
    <n v="202120"/>
    <n v="202124878"/>
    <s v="Maylis"/>
    <s v="de Bouët du Portal"/>
    <s v="ESSEC Business School"/>
    <s v="ESSEC"/>
    <x v="0"/>
    <s v="France"/>
    <s v="Europe"/>
    <s v="b00730040@essec.edu"/>
    <s v="m.debouetdu@uniandes.edu.co"/>
    <x v="0"/>
    <s v="EGIN"/>
    <s v="ESTUDIOS GENER.DE INTERCAMBIO"/>
    <x v="0"/>
    <s v="ADMI-2206"/>
    <s v="ADMI-3336"/>
    <s v="ADMI-3211"/>
    <s v="ADMI-2301"/>
    <m/>
    <m/>
    <m/>
    <m/>
    <m/>
    <m/>
    <m/>
    <m/>
    <x v="0"/>
    <x v="0"/>
  </r>
  <r>
    <x v="1"/>
    <n v="202120"/>
    <n v="202124838"/>
    <s v="emmanuelle"/>
    <s v="huet"/>
    <s v="ESSEC Business School"/>
    <s v="ESSEC"/>
    <x v="0"/>
    <s v="France"/>
    <s v="Europe"/>
    <s v="emmanuelle.huet@essec.edu"/>
    <s v="e.huet@uniandes.edu.co"/>
    <x v="0"/>
    <s v="EGMA"/>
    <s v="ESTUD.GENER.INTERCAMB.MAESTRIA"/>
    <x v="0"/>
    <s v="MGAD-4103"/>
    <s v="MGAP-4418"/>
    <s v="MGAP-4434"/>
    <m/>
    <m/>
    <m/>
    <m/>
    <m/>
    <m/>
    <m/>
    <m/>
    <m/>
    <x v="2"/>
    <x v="1"/>
  </r>
  <r>
    <x v="1"/>
    <n v="202120"/>
    <n v="202124845"/>
    <s v="Lamia"/>
    <s v="Ouederni"/>
    <s v="ESSEC Business School"/>
    <s v="ESSEC"/>
    <x v="0"/>
    <s v="France"/>
    <s v="Europe"/>
    <s v="lamia.ouederni@essec.edu"/>
    <s v="l.ouederni@uniandes.edu.co"/>
    <x v="0"/>
    <s v="EGMA"/>
    <s v="ESTUD.GENER.INTERCAMB.MAESTRIA"/>
    <x v="0"/>
    <s v="MGPD-4446"/>
    <s v="MGAP-4434"/>
    <s v="MGAD-4606"/>
    <m/>
    <m/>
    <m/>
    <m/>
    <m/>
    <m/>
    <m/>
    <m/>
    <m/>
    <x v="2"/>
    <x v="1"/>
  </r>
  <r>
    <x v="1"/>
    <n v="202120"/>
    <n v="202124938"/>
    <s v="Agathe"/>
    <s v="Saulot"/>
    <s v="ESSEC Business School"/>
    <s v="ESSEC"/>
    <x v="0"/>
    <s v="France"/>
    <s v="Europe"/>
    <s v="agathe.saulot@gmail.com"/>
    <s v="a.saulot@uniandes.edu.co"/>
    <x v="0"/>
    <s v="EGIN"/>
    <s v="ESTUDIOS GENER.DE INTERCAMBIO"/>
    <x v="0"/>
    <s v="ADMI-2501"/>
    <s v="ADMI-3341"/>
    <s v="ADMI-3503"/>
    <s v="ADMI-2104"/>
    <m/>
    <m/>
    <m/>
    <m/>
    <m/>
    <m/>
    <m/>
    <m/>
    <x v="0"/>
    <x v="0"/>
  </r>
  <r>
    <x v="1"/>
    <n v="202120"/>
    <n v="202124854"/>
    <s v="Jean"/>
    <s v="Tawil"/>
    <s v="ESSEC Business School"/>
    <s v="ESSEC"/>
    <x v="0"/>
    <s v="France"/>
    <s v="Europe"/>
    <s v="jean.tawil@essec.edu"/>
    <s v="j.tawil@uniandes.edu.co"/>
    <x v="0"/>
    <s v="EGMA"/>
    <s v="ESTUD.GENER.INTERCAMB.MAESTRIA"/>
    <x v="0"/>
    <s v="MADM-4250"/>
    <s v="MADM-4459"/>
    <s v="MFIN-4261"/>
    <s v="MFIN-4206"/>
    <s v="LENG-1575"/>
    <m/>
    <m/>
    <m/>
    <m/>
    <m/>
    <m/>
    <m/>
    <x v="1"/>
    <x v="1"/>
  </r>
  <r>
    <x v="1"/>
    <n v="202120"/>
    <n v="202124837"/>
    <s v="Victoire"/>
    <s v="Herbeau"/>
    <s v="Grenoble Ecole de Management"/>
    <s v="Grenoble. École de Management"/>
    <x v="0"/>
    <s v="France"/>
    <s v="Europe"/>
    <s v="victoire.herbeau@grenoble-em.com"/>
    <s v="v.herbeau@uniandes.edu.co"/>
    <x v="0"/>
    <s v="EGIN"/>
    <s v="ESTUDIOS GENER.DE INTERCAMBIO"/>
    <x v="0"/>
    <s v="ADMI-2206"/>
    <s v="ADMI-3211"/>
    <s v="ADMI-1102"/>
    <s v="ADMI-2301"/>
    <m/>
    <m/>
    <m/>
    <m/>
    <m/>
    <m/>
    <m/>
    <m/>
    <x v="3"/>
    <x v="1"/>
  </r>
  <r>
    <x v="1"/>
    <n v="202120"/>
    <n v="202124912"/>
    <s v="Romeo Fernando Stig"/>
    <s v="Moro-lin"/>
    <s v="Handelshøjskolen i København"/>
    <s v="CBS- Copenhagen Business School  "/>
    <x v="0"/>
    <s v="Denmark"/>
    <s v="Europe"/>
    <s v="romo19ac@student.cbs.dk"/>
    <s v="r.moro@uniandes.edu.co"/>
    <x v="0"/>
    <s v="EGIN"/>
    <s v="ESTUDIOS GENER.DE INTERCAMBIO"/>
    <x v="0"/>
    <s v="ADMI-3611"/>
    <s v="ADMI-2106"/>
    <s v="ADMI-2104"/>
    <s v="ADMI-2801"/>
    <s v="ADMI-2605"/>
    <m/>
    <m/>
    <m/>
    <m/>
    <m/>
    <m/>
    <m/>
    <x v="0"/>
    <x v="0"/>
  </r>
  <r>
    <x v="1"/>
    <n v="202120"/>
    <n v="202124918"/>
    <s v="Joseph"/>
    <s v="Panijel"/>
    <s v="IE Universidad"/>
    <s v="IE Instituto Empresa"/>
    <x v="0"/>
    <s v="Spain"/>
    <s v="Europe"/>
    <s v="jpanijel.ieu2018@student.ie.edu"/>
    <s v="j.panijel@uniandes.edu.co"/>
    <x v="0"/>
    <s v="EGIN"/>
    <s v="ESTUDIOS GENER.DE INTERCAMBIO"/>
    <x v="0"/>
    <s v="ADMI-2207"/>
    <s v="ADMI-3341"/>
    <s v="ADMI-3503"/>
    <s v="ADMI-2104"/>
    <m/>
    <m/>
    <m/>
    <m/>
    <m/>
    <m/>
    <m/>
    <m/>
    <x v="0"/>
    <x v="0"/>
  </r>
  <r>
    <x v="1"/>
    <n v="202120"/>
    <n v="202124885"/>
    <s v="Pinar"/>
    <s v="Dönmüs"/>
    <s v="Maastricht University"/>
    <s v="Maastricht University"/>
    <x v="0"/>
    <s v="Netherlands"/>
    <s v="Europe"/>
    <s v="pinardnms@hotmail.com"/>
    <s v="p.donmus@uniandes.edu.co"/>
    <x v="0"/>
    <s v="EGIN"/>
    <s v="ESTUDIOS GENER.DE INTERCAMBIO"/>
    <x v="0"/>
    <s v="ADMI-2204"/>
    <s v="ADMI-3341"/>
    <s v="ADMI-3884"/>
    <s v="ADMI-3210"/>
    <s v="ADMI-2301"/>
    <s v="ADMI-1190"/>
    <m/>
    <m/>
    <m/>
    <m/>
    <m/>
    <m/>
    <x v="0"/>
    <x v="0"/>
  </r>
  <r>
    <x v="1"/>
    <n v="202120"/>
    <n v="202124828"/>
    <s v="Elsa"/>
    <s v="Calleja"/>
    <s v="NEOMA Business School"/>
    <s v="ESC Rouen (NEOMA)"/>
    <x v="0"/>
    <s v="France"/>
    <s v="Europe"/>
    <s v="elsa.2209@orange.fr"/>
    <s v="e.calleja@uniandes.edu.co"/>
    <x v="0"/>
    <s v="EGMA"/>
    <s v="ESTUD.GENER.INTERCAMB.MAESTRIA"/>
    <x v="0"/>
    <s v="MFIN-4253"/>
    <s v="MFIN-4100"/>
    <s v="MFIN-4206"/>
    <s v="MFIN-4216"/>
    <s v="CBCO-1165"/>
    <m/>
    <m/>
    <m/>
    <m/>
    <m/>
    <m/>
    <m/>
    <x v="4"/>
    <x v="1"/>
  </r>
  <r>
    <x v="1"/>
    <n v="202120"/>
    <n v="202124841"/>
    <s v="Rayan"/>
    <s v="Milotic"/>
    <s v="NEOMA Business School"/>
    <s v="ESC Rouen (NEOMA)"/>
    <x v="0"/>
    <s v="France"/>
    <s v="Europe"/>
    <s v="R.Milotic@hotmail.com"/>
    <s v="r.milotic@uniandes.edu.co"/>
    <x v="0"/>
    <s v="EGIN"/>
    <s v="ESTUDIOS GENER.DE INTERCAMBIO"/>
    <x v="0"/>
    <s v="ADMI-3611"/>
    <s v="ADMI-3606"/>
    <s v="ADMI-3110"/>
    <s v="MGIT-4104"/>
    <m/>
    <m/>
    <m/>
    <m/>
    <m/>
    <m/>
    <m/>
    <m/>
    <x v="1"/>
    <x v="1"/>
  </r>
  <r>
    <x v="1"/>
    <n v="202120"/>
    <n v="202124847"/>
    <s v="Pierre"/>
    <s v="Pochet"/>
    <s v="NEOMA Business School"/>
    <s v="ESC Rouen (NEOMA)"/>
    <x v="0"/>
    <s v="France"/>
    <s v="Europe"/>
    <s v="pierre.pochet.20@neoma-bs.com"/>
    <s v="p.pochet@uniandes.edu.co"/>
    <x v="0"/>
    <s v="EGMA"/>
    <s v="ESTUD.GENER.INTERCAMB.MAESTRIA"/>
    <x v="0"/>
    <s v="MFIN-4256"/>
    <s v="MGAP-4447"/>
    <s v="MBIT-4211"/>
    <s v="CONT-3114"/>
    <m/>
    <m/>
    <m/>
    <m/>
    <m/>
    <m/>
    <m/>
    <m/>
    <x v="2"/>
    <x v="1"/>
  </r>
  <r>
    <x v="1"/>
    <n v="202120"/>
    <n v="202124831"/>
    <s v="Mattia"/>
    <s v="Del Treste"/>
    <s v="Politecnico di Milano"/>
    <s v="Politecnico di Milano"/>
    <x v="0"/>
    <s v="Italy"/>
    <s v="Europe"/>
    <s v="mattia.deltreste@mail.polimi.it"/>
    <s v="m.del@uniandes.edu.co"/>
    <x v="0"/>
    <s v="EGMA"/>
    <s v="ESTUD.GENER.INTERCAMB.MAESTRIA"/>
    <x v="0"/>
    <s v="MADM-4999"/>
    <s v="ADMI-3110"/>
    <s v="MIFI-4004"/>
    <s v="IIND-4406"/>
    <s v="LENG-1575"/>
    <m/>
    <m/>
    <m/>
    <m/>
    <m/>
    <m/>
    <m/>
    <x v="4"/>
    <x v="1"/>
  </r>
  <r>
    <x v="1"/>
    <n v="202120"/>
    <n v="202124892"/>
    <s v="Flaminia"/>
    <s v="Galeani"/>
    <s v="Politecnico di Milano"/>
    <s v="Politecnico di Milano"/>
    <x v="0"/>
    <s v="Italy"/>
    <s v="Europe"/>
    <s v="flaminia.galeani@mail.polimi.it"/>
    <s v="f.galeani@uniandes.edu.co"/>
    <x v="0"/>
    <s v="EGIN"/>
    <s v="ESTUDIOS GENER.DE INTERCAMBIO"/>
    <x v="0"/>
    <s v="MSCM-4014"/>
    <s v="MSCM-4016"/>
    <s v="ADMI-3110"/>
    <s v="ADMI-2106"/>
    <s v="MGIT-4103"/>
    <s v="DEPO-3248"/>
    <m/>
    <m/>
    <m/>
    <m/>
    <m/>
    <m/>
    <x v="0"/>
    <x v="0"/>
  </r>
  <r>
    <x v="1"/>
    <n v="202120"/>
    <n v="202124833"/>
    <s v="Simone"/>
    <s v="Gentili"/>
    <s v="Politecnico di Milano"/>
    <s v="Politecnico di Milano"/>
    <x v="0"/>
    <s v="Italy"/>
    <s v="Europe"/>
    <s v="simone.gentili@mail.polimi.it"/>
    <s v="s.gentili@uniandes.edu.co"/>
    <x v="0"/>
    <s v="EGMA"/>
    <s v="ESTUD.GENER.INTERCAMB.MAESTRIA"/>
    <x v="0"/>
    <s v="MIFI-4001"/>
    <s v="MIFI-4002"/>
    <s v="ADMI-3406"/>
    <s v="MGLO-4005"/>
    <m/>
    <m/>
    <m/>
    <m/>
    <m/>
    <m/>
    <m/>
    <m/>
    <x v="4"/>
    <x v="1"/>
  </r>
  <r>
    <x v="1"/>
    <n v="202120"/>
    <n v="202124891"/>
    <s v="David"/>
    <s v="Franken Villa"/>
    <s v="Universität Mannheim"/>
    <s v="University of Mannheim Business School"/>
    <x v="0"/>
    <s v="Germany"/>
    <s v="Europe"/>
    <s v="da.frankenvilla@gmail.com"/>
    <s v="d.franken@uniandes.edu.co"/>
    <x v="0"/>
    <s v="EGIN"/>
    <s v="ESTUDIOS GENER.DE INTERCAMBIO"/>
    <x v="0"/>
    <s v="ADMI-3341"/>
    <s v="ADMI-2206"/>
    <s v="ADMI-3606"/>
    <s v="ADMI-3110"/>
    <s v="ADMI-3701"/>
    <m/>
    <m/>
    <m/>
    <m/>
    <m/>
    <m/>
    <m/>
    <x v="0"/>
    <x v="0"/>
  </r>
  <r>
    <x v="1"/>
    <n v="202120"/>
    <n v="202124896"/>
    <s v="Daniel"/>
    <s v="Heckmann"/>
    <s v="Universität Mannheim"/>
    <s v="University of Mannheim Business School"/>
    <x v="0"/>
    <s v="Germany"/>
    <s v="Europe"/>
    <s v="nani.heckmann@gmail.com"/>
    <s v="d.heckman@uniandes.edu.co"/>
    <x v="0"/>
    <s v="EGIN"/>
    <s v="ESTUDIOS GENER.DE INTERCAMBIO"/>
    <x v="0"/>
    <s v="CPOL-2152"/>
    <s v="ADMI-3341"/>
    <s v="ADMI-2106"/>
    <s v="ECON-1501"/>
    <s v="ADMI-3701"/>
    <m/>
    <m/>
    <m/>
    <m/>
    <m/>
    <m/>
    <m/>
    <x v="0"/>
    <x v="0"/>
  </r>
  <r>
    <x v="1"/>
    <n v="202120"/>
    <n v="202124940"/>
    <s v="Leon"/>
    <s v="Seubert"/>
    <s v="Universität Mannheim"/>
    <s v="University of Mannheim Business School"/>
    <x v="0"/>
    <s v="Germany"/>
    <s v="Europe"/>
    <s v="seubertleon@gmail.com"/>
    <s v="l.seubert@uniandes.edu.co"/>
    <x v="0"/>
    <s v="EGIN"/>
    <s v="ESTUDIOS GENER.DE INTERCAMBIO"/>
    <x v="0"/>
    <s v="ADMI-3606"/>
    <s v="ADMI-3604"/>
    <s v="ADMI-3110"/>
    <s v="ADMI-3701"/>
    <s v="ISIS-3710"/>
    <m/>
    <m/>
    <m/>
    <m/>
    <m/>
    <m/>
    <m/>
    <x v="0"/>
    <x v="0"/>
  </r>
  <r>
    <x v="1"/>
    <n v="202120"/>
    <n v="202124853"/>
    <s v="Paulina"/>
    <s v="Sonntag"/>
    <s v="Universität Mannheim"/>
    <s v="University of Mannheim Business School"/>
    <x v="0"/>
    <s v="Germany"/>
    <s v="Europe"/>
    <s v="psonntag@mail.uni-mannheim.de"/>
    <s v="p.sonntag@uniandes.edu.co"/>
    <x v="0"/>
    <s v="EGIN"/>
    <s v="ESTUDIOS GENER.DE INTERCAMBIO"/>
    <x v="0"/>
    <s v="ADMI-3745"/>
    <s v="ADMI-3110"/>
    <s v="LENG-1575"/>
    <m/>
    <m/>
    <m/>
    <m/>
    <m/>
    <m/>
    <m/>
    <m/>
    <m/>
    <x v="1"/>
    <x v="1"/>
  </r>
  <r>
    <x v="1"/>
    <n v="202120"/>
    <n v="202124842"/>
    <s v="Markus Simon"/>
    <s v="Mitterhofer"/>
    <s v="Universität St. Gallen"/>
    <s v="University of Saint Gallen"/>
    <x v="0"/>
    <s v="Switzerland"/>
    <s v="Europe"/>
    <s v="markus.mitterhofer@student.unisg.ch"/>
    <s v="m.mitterhofer@uniandes.edu.co"/>
    <x v="0"/>
    <s v="EGMA"/>
    <s v="ESTUD.GENER.INTERCAMB.MAESTRIA"/>
    <x v="0"/>
    <s v="CPOL-2247"/>
    <s v="HIST-2210"/>
    <s v="MGAP-4447"/>
    <s v="MFIN-4251"/>
    <s v="MADM-4204"/>
    <s v="DEPO-1229"/>
    <m/>
    <m/>
    <m/>
    <m/>
    <m/>
    <m/>
    <x v="4"/>
    <x v="1"/>
  </r>
  <r>
    <x v="1"/>
    <n v="202120"/>
    <n v="202124887"/>
    <s v="CHLOE"/>
    <s v="ENDENE NDEMA"/>
    <s v="Université de Strasbourg"/>
    <s v="EM Strasbourg"/>
    <x v="0"/>
    <s v="France"/>
    <s v="Europe"/>
    <s v="chloe.endene-ndema@em-strasbourg.eu"/>
    <s v="c.endene@uniandes.edu.co"/>
    <x v="0"/>
    <s v="EGIN"/>
    <s v="ESTUDIOS GENER.DE INTERCAMBIO"/>
    <x v="0"/>
    <s v="CPOL-2247"/>
    <s v="CBCO-1293"/>
    <s v="ADMI-1102"/>
    <s v="ADMI-3701"/>
    <s v="ADMI-2605"/>
    <m/>
    <m/>
    <m/>
    <m/>
    <m/>
    <m/>
    <m/>
    <x v="0"/>
    <x v="0"/>
  </r>
  <r>
    <x v="1"/>
    <n v="202120"/>
    <n v="202121452"/>
    <s v="CAROLINA"/>
    <s v="ALZATE QUIROGA"/>
    <s v="University of Glasgow"/>
    <s v="University of Glasgow"/>
    <x v="0"/>
    <s v="United Kingdom"/>
    <s v="Europe"/>
    <m/>
    <s v="c.alzateq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1"/>
    <n v="202120"/>
    <n v="202121450"/>
    <s v="DANIEL"/>
    <s v="D'ELIA DA COSTA"/>
    <s v="University of Glasgow"/>
    <s v="University of Glasgow"/>
    <x v="0"/>
    <s v="United Kingdom"/>
    <s v="Europe"/>
    <m/>
    <s v="d.delia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1"/>
    <n v="202120"/>
    <n v="202121451"/>
    <s v="NIKA"/>
    <s v="DULEVICH"/>
    <s v="University of Glasgow"/>
    <s v="University of Glasgow"/>
    <x v="0"/>
    <s v="United Kingdom"/>
    <s v="Europe"/>
    <m/>
    <s v="n.dulevich@uniandes.edu.co"/>
    <x v="0"/>
    <s v="EGMA"/>
    <s v="ESTUD.GENER.INTERCAMB.MAESTRIA"/>
    <x v="0"/>
    <s v="MADM-4999"/>
    <s v="MGLO-4001"/>
    <s v="MGLO-4005"/>
    <s v="MGLO-4003"/>
    <m/>
    <m/>
    <m/>
    <m/>
    <m/>
    <m/>
    <m/>
    <m/>
    <x v="5"/>
    <x v="1"/>
  </r>
  <r>
    <x v="1"/>
    <n v="202120"/>
    <n v="202121448"/>
    <s v="NICOLAS"/>
    <s v="LOPEZ CANO"/>
    <s v="University of Glasgow"/>
    <s v="University of Glasgow"/>
    <x v="0"/>
    <s v="United Kingdom"/>
    <s v="Europe"/>
    <m/>
    <s v="n.lopez3@uniandes.edu.co"/>
    <x v="0"/>
    <s v="EGMA"/>
    <s v="ESTUD.GENER.INTERCAMB.MAESTRIA"/>
    <x v="0"/>
    <s v="MGAP-4447"/>
    <s v="MADM-4999"/>
    <s v="MGLO-4001"/>
    <s v="MGLO-4003"/>
    <m/>
    <m/>
    <m/>
    <m/>
    <m/>
    <m/>
    <m/>
    <m/>
    <x v="5"/>
    <x v="1"/>
  </r>
  <r>
    <x v="1"/>
    <n v="202120"/>
    <n v="202121431"/>
    <s v="LUKAS"/>
    <s v="TANZMAYR"/>
    <s v="University of Glasgow"/>
    <s v="University of Glasgow"/>
    <x v="0"/>
    <s v="United Kingdom"/>
    <s v="Europe"/>
    <m/>
    <s v="l.tanzmayr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1"/>
    <n v="202120"/>
    <n v="202121449"/>
    <s v="ELLA SOPHIE"/>
    <s v="WEBER"/>
    <s v="University of Glasgow"/>
    <s v="University of Glasgow"/>
    <x v="0"/>
    <s v="United Kingdom"/>
    <s v="Europe"/>
    <m/>
    <s v="es.weber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1"/>
    <n v="202110"/>
    <n v="202116340"/>
    <s v="Soryane"/>
    <s v="Thiam"/>
    <s v="TOULOUSE BUSINESS SCHOOL"/>
    <s v="Toulouse Business School"/>
    <x v="0"/>
    <s v="France"/>
    <s v="Europe"/>
    <s v="s.thiam@tbs-education.org"/>
    <e v="#N/A"/>
    <x v="2"/>
    <s v="EGIN"/>
    <m/>
    <x v="0"/>
    <s v="ADMI-1590"/>
    <s v="ADMI-3110"/>
    <s v="ADMI-1190"/>
    <s v="ADMI-3133"/>
    <s v="ADMI-3611"/>
    <s v="CBCA-1234"/>
    <s v="CBPC-1099"/>
    <m/>
    <m/>
    <m/>
    <m/>
    <m/>
    <x v="0"/>
    <x v="0"/>
  </r>
  <r>
    <x v="2"/>
    <n v="202210"/>
    <n v="202216143"/>
    <s v="Dominika Aleksandra"/>
    <s v="Miazek"/>
    <s v="Aalborg Universitet"/>
    <s v="Aalborg University"/>
    <x v="1"/>
    <s v="Denmark"/>
    <s v="Europe"/>
    <s v="dominika.miazek@gmail.com"/>
    <s v="d.miazek@uniandes.edu.co"/>
    <x v="0"/>
    <s v="EGMA"/>
    <s v="ESTUD.GENER.INTERCAMB.MAESTRIA"/>
    <x v="0"/>
    <s v="ADMI-1603"/>
    <s v="MADM-4930"/>
    <s v="MADM-4701"/>
    <s v="LENG-1572"/>
    <s v="ADMI-2301"/>
    <s v="DEPO-1256"/>
    <s v="MADM-4652"/>
    <m/>
    <m/>
    <m/>
    <m/>
    <m/>
    <x v="1"/>
    <x v="1"/>
  </r>
  <r>
    <x v="2"/>
    <n v="202210"/>
    <n v="202216145"/>
    <s v="Charlotte Sylvie"/>
    <s v="Paolantoni"/>
    <s v="Audencia Business School"/>
    <s v="Audencia. École de Management"/>
    <x v="0"/>
    <s v="France"/>
    <s v="Europe"/>
    <s v="charlotte.paolantoni@audencia.com"/>
    <s v="c.paolantoni@uniandes.edu.co"/>
    <x v="0"/>
    <s v="EGIN"/>
    <s v="ESTUDIOS GENER.DE INTERCAMBIO"/>
    <x v="0"/>
    <s v="ADMI-3133"/>
    <s v="ADMI-3606"/>
    <s v="ADMI-2106"/>
    <s v="ADMI-2556"/>
    <s v="ADMI-1190"/>
    <s v="ADMI-1602"/>
    <m/>
    <m/>
    <m/>
    <m/>
    <m/>
    <m/>
    <x v="0"/>
    <x v="0"/>
  </r>
  <r>
    <x v="2"/>
    <n v="202210"/>
    <n v="202216148"/>
    <s v="Léa Angele"/>
    <s v="Renaudin"/>
    <s v="Audencia Business School"/>
    <s v="Audencia. École de Management"/>
    <x v="0"/>
    <s v="France"/>
    <s v="Europe"/>
    <s v="lea.renaudin@audencia.com"/>
    <s v="l.renaudin@uniandes.edu.co"/>
    <x v="0"/>
    <s v="EGIN"/>
    <s v="ESTUDIOS GENER.DE INTERCAMBIO"/>
    <x v="0"/>
    <s v="ADMI-3133"/>
    <s v="ADMI-3336"/>
    <s v="ADMI-2106"/>
    <s v="ADMI-2104"/>
    <s v="ADMI-3701"/>
    <m/>
    <m/>
    <m/>
    <m/>
    <m/>
    <m/>
    <m/>
    <x v="0"/>
    <x v="0"/>
  </r>
  <r>
    <x v="2"/>
    <n v="202210"/>
    <n v="202216146"/>
    <s v="Nicolas"/>
    <s v="Patrouillard"/>
    <s v="ESCP Europe"/>
    <s v="ESCP"/>
    <x v="0"/>
    <s v="France"/>
    <s v="Europe"/>
    <s v="nicolas.patrouillard@edu.escp.eu"/>
    <s v="n.patrouillard@uniandes.edu.co"/>
    <x v="0"/>
    <s v="EGMA"/>
    <s v="ESTUD.GENER.INTERCAMB.MAESTRIA"/>
    <x v="0"/>
    <s v="MFIN-4200"/>
    <s v="MFIN-4100"/>
    <s v="MADM-4653"/>
    <s v="MFIN-4206"/>
    <s v="MFIN-4210"/>
    <m/>
    <m/>
    <m/>
    <m/>
    <m/>
    <m/>
    <m/>
    <x v="1"/>
    <x v="1"/>
  </r>
  <r>
    <x v="2"/>
    <n v="202210"/>
    <n v="202216198"/>
    <s v="David Yavar"/>
    <s v="Malet"/>
    <s v="ICN Business School"/>
    <s v="ICN Business School - Institut Commercial de Nancy"/>
    <x v="0"/>
    <s v="France"/>
    <s v="Europe"/>
    <s v="david.malet@myicn.fr"/>
    <s v="d.malet@uniandes.edu.co"/>
    <x v="0"/>
    <s v="EGIN"/>
    <s v="ESTUDIOS GENER.DE INTERCAMBIO"/>
    <x v="0"/>
    <s v="ADMI-2206"/>
    <s v="ADMI-3431"/>
    <s v="ADMI-2301"/>
    <s v="ADMI-2302"/>
    <m/>
    <m/>
    <m/>
    <m/>
    <m/>
    <m/>
    <m/>
    <m/>
    <x v="0"/>
    <x v="0"/>
  </r>
  <r>
    <x v="2"/>
    <n v="202210"/>
    <n v="202216166"/>
    <s v="Léopold Marie Yorick"/>
    <s v="Domange"/>
    <s v="IE Universidad"/>
    <s v="IE Instituto Empresa"/>
    <x v="0"/>
    <s v="Spain"/>
    <s v="Europe"/>
    <s v="ldomange.ieu2019@student.ie.edu"/>
    <s v="l.domange@uniandes.edu.co"/>
    <x v="0"/>
    <s v="EGIN"/>
    <s v="ESTUDIOS GENER.DE INTERCAMBIO"/>
    <x v="0"/>
    <s v="ADMI-3503"/>
    <s v="ADMI-3237"/>
    <s v="ECON-2205"/>
    <s v="ECON-3672"/>
    <s v="LENG-2130"/>
    <m/>
    <m/>
    <m/>
    <m/>
    <m/>
    <m/>
    <m/>
    <x v="0"/>
    <x v="0"/>
  </r>
  <r>
    <x v="2"/>
    <n v="202210"/>
    <n v="202216225"/>
    <s v="Paul"/>
    <s v="Westpfahl"/>
    <s v="IE Universidad"/>
    <s v="IE Instituto Empresa"/>
    <x v="0"/>
    <s v="Spain"/>
    <s v="Europe"/>
    <s v="paulwfl@outlook.fr"/>
    <s v="p.westpfahl@uniandes.edu.co"/>
    <x v="0"/>
    <s v="EGIN"/>
    <s v="ESTUDIOS GENER.DE INTERCAMBIO"/>
    <x v="0"/>
    <s v="ADMI-3503"/>
    <s v="ADMI-3237"/>
    <s v="ECON-2205"/>
    <s v="ECON-3672"/>
    <s v="LENG-2130"/>
    <m/>
    <m/>
    <m/>
    <m/>
    <m/>
    <m/>
    <m/>
    <x v="0"/>
    <x v="0"/>
  </r>
  <r>
    <x v="2"/>
    <n v="202210"/>
    <n v="202216215"/>
    <s v="Boris Lee F"/>
    <s v="Regnault de Maulmin"/>
    <s v="Institut d’Etudes Politiques de Paris"/>
    <s v="Institut d’Etudes Politiques de Paris"/>
    <x v="1"/>
    <s v="France"/>
    <s v="Europe"/>
    <s v="Boris.regnaultdemaulmin@sciencespo.fr"/>
    <s v="b.regnault@uniandes.edu.co"/>
    <x v="0"/>
    <s v="EGIN"/>
    <s v="ESTUDIOS GENER.DE INTERCAMBIO"/>
    <x v="0"/>
    <s v="HIST-2800"/>
    <s v="ADMI-1102"/>
    <s v="HIST-2111"/>
    <s v="HIST-1110"/>
    <s v="ADMI-2605"/>
    <s v="DEPO-3114"/>
    <m/>
    <m/>
    <m/>
    <m/>
    <m/>
    <m/>
    <x v="0"/>
    <x v="0"/>
  </r>
  <r>
    <x v="2"/>
    <n v="202210"/>
    <n v="202216201"/>
    <s v="Leon Patrick"/>
    <s v="Methner"/>
    <s v="Kühne Logistics University"/>
    <s v="KLU Kühne Logistics University"/>
    <x v="0"/>
    <s v="Germany"/>
    <s v="Europe"/>
    <s v="l.methner@gmx.de"/>
    <s v="l.methner@uniandes.edu.co"/>
    <x v="0"/>
    <s v="EGIN"/>
    <s v="ESTUDIOS GENER.DE INTERCAMBIO"/>
    <x v="0"/>
    <s v="ADMI-1603"/>
    <s v="LENG-1572"/>
    <s v="ADMI-2106"/>
    <s v="ADMI-2605"/>
    <m/>
    <m/>
    <m/>
    <m/>
    <m/>
    <m/>
    <m/>
    <m/>
    <x v="0"/>
    <x v="0"/>
  </r>
  <r>
    <x v="2"/>
    <n v="202210"/>
    <n v="202216172"/>
    <s v="Franziskus Lucius Constantin Jens"/>
    <s v="Graf von Saurma-Jeltsch"/>
    <s v="Maastricht University"/>
    <s v="Maastricht University"/>
    <x v="0"/>
    <s v="Netherlands"/>
    <s v="Europe"/>
    <s v="f.grafvonsaurma-jeltsch@student.maastrichtuniversity.nl"/>
    <s v="f.graf@uniandes.edu.co"/>
    <x v="0"/>
    <s v="EGIN"/>
    <s v="ESTUDIOS GENER.DE INTERCAMBIO"/>
    <x v="0"/>
    <s v="ADMI-1603"/>
    <s v="ADMI-3133"/>
    <s v="ADMI-3503"/>
    <s v="ADMI-2106"/>
    <s v="ADMI-2403"/>
    <s v="CPOL-3203"/>
    <m/>
    <m/>
    <m/>
    <m/>
    <m/>
    <m/>
    <x v="0"/>
    <x v="0"/>
  </r>
  <r>
    <x v="2"/>
    <n v="202210"/>
    <n v="202216188"/>
    <s v="Delal"/>
    <s v="Karabulut"/>
    <s v="Maastricht University"/>
    <s v="Maastricht University"/>
    <x v="0"/>
    <s v="Netherlands"/>
    <s v="Europe"/>
    <s v="Delal.karabulut97@gmail.com"/>
    <s v="d.karabulut@uniandes.edu.co"/>
    <x v="0"/>
    <s v="EGIN"/>
    <s v="ESTUDIOS GENER.DE INTERCAMBIO"/>
    <x v="0"/>
    <s v="ADMI-1603"/>
    <s v="EGOB-3541"/>
    <s v="DERE-3601"/>
    <s v="ADMI-2106"/>
    <s v="ADMI-2605"/>
    <s v="ADMI-1190"/>
    <m/>
    <m/>
    <m/>
    <m/>
    <m/>
    <m/>
    <x v="0"/>
    <x v="0"/>
  </r>
  <r>
    <x v="2"/>
    <n v="202210"/>
    <n v="202216190"/>
    <s v="Louise Philippa"/>
    <s v="Koenig"/>
    <s v="Maastricht University"/>
    <s v="Maastricht University"/>
    <x v="0"/>
    <s v="Netherlands"/>
    <s v="Europe"/>
    <s v="lp.konig@student.maastrichtuniversity.nl"/>
    <s v="l.koenig@uniandes.edu.co"/>
    <x v="0"/>
    <s v="EGIN"/>
    <s v="ESTUDIOS GENER.DE INTERCAMBIO"/>
    <x v="0"/>
    <s v="ADMI-1603"/>
    <s v="ADMI-2301"/>
    <s v="ADMI-2106"/>
    <s v="ADMI-2403"/>
    <s v="CPOL-3203"/>
    <s v="ADMI-1190"/>
    <m/>
    <m/>
    <m/>
    <m/>
    <m/>
    <m/>
    <x v="0"/>
    <x v="0"/>
  </r>
  <r>
    <x v="2"/>
    <n v="202210"/>
    <n v="202216196"/>
    <s v="Gaspard Louis Marie"/>
    <s v="Madelin"/>
    <s v="McGill University"/>
    <s v="McGill University"/>
    <x v="0"/>
    <s v="Canada"/>
    <s v="North America"/>
    <s v="gaspard.madelin@mail.mcgill.ca"/>
    <s v="g.madelin@uniandes.edu.co"/>
    <x v="0"/>
    <s v="EGIN"/>
    <s v="ESTUDIOS GENER.DE INTERCAMBIO"/>
    <x v="0"/>
    <s v="ARTE-1230"/>
    <s v="ADMI-3336"/>
    <s v="HIST-2111"/>
    <s v="MMER-4351"/>
    <m/>
    <m/>
    <m/>
    <m/>
    <m/>
    <m/>
    <m/>
    <m/>
    <x v="0"/>
    <x v="0"/>
  </r>
  <r>
    <x v="2"/>
    <n v="202210"/>
    <n v="202216222"/>
    <s v="Antoine Patrick H"/>
    <s v="Vander Elst"/>
    <s v="McGill University"/>
    <s v="McGill University"/>
    <x v="0"/>
    <s v="Canada"/>
    <s v="North America"/>
    <s v="antoine.vde26@gmail.com"/>
    <s v="a.vander@uniandes.edu.co"/>
    <x v="0"/>
    <s v="EGIN"/>
    <s v="ESTUDIOS GENER.DE INTERCAMBIO"/>
    <x v="0"/>
    <s v="ARTE-1230"/>
    <s v="ADMI-3208"/>
    <s v="ADMI-3210"/>
    <s v="LENG-1574"/>
    <m/>
    <m/>
    <m/>
    <m/>
    <m/>
    <m/>
    <m/>
    <m/>
    <x v="0"/>
    <x v="0"/>
  </r>
  <r>
    <x v="2"/>
    <n v="202210"/>
    <n v="202216137"/>
    <s v="Lila Alice"/>
    <s v="Claudot"/>
    <s v="NEOMA Business School"/>
    <s v="ESC Rouen (NEOMA)"/>
    <x v="0"/>
    <s v="France"/>
    <s v="Europe"/>
    <s v="lila.claudot.19@neoma-bs.com"/>
    <s v="l.claudot@uniandes.edu.co"/>
    <x v="0"/>
    <s v="EGIN"/>
    <s v="ESTUDIOS GENER.DE INTERCAMBIO"/>
    <x v="0"/>
    <s v="ADMI-3336"/>
    <s v="ADMI-3606"/>
    <s v="ADMI-3110"/>
    <s v="LENG-1574"/>
    <m/>
    <m/>
    <m/>
    <m/>
    <m/>
    <m/>
    <m/>
    <m/>
    <x v="3"/>
    <x v="1"/>
  </r>
  <r>
    <x v="2"/>
    <n v="202210"/>
    <n v="202216139"/>
    <s v="Lounis"/>
    <s v="Hariche"/>
    <s v="NEOMA Business School"/>
    <s v="ESC Rouen (NEOMA)"/>
    <x v="0"/>
    <s v="France"/>
    <s v="Europe"/>
    <s v="lounis.hariche@gmail.com"/>
    <s v="l.hariche@uniandes.edu.co"/>
    <x v="0"/>
    <s v="EGMA"/>
    <s v="ESTUD.GENER.INTERCAMB.MAESTRIA"/>
    <x v="0"/>
    <s v="MFIN-4100"/>
    <s v="LENG-1573"/>
    <s v="MFIN-4000"/>
    <s v="ADMI-2205"/>
    <s v="MFIN-4208"/>
    <m/>
    <m/>
    <m/>
    <m/>
    <m/>
    <m/>
    <m/>
    <x v="4"/>
    <x v="1"/>
  </r>
  <r>
    <x v="2"/>
    <n v="202210"/>
    <n v="202216147"/>
    <s v="Andreas Sebastian"/>
    <s v="Rank"/>
    <s v="Technische Universität München (TUM)"/>
    <s v="Technische Universität München (TUM)"/>
    <x v="1"/>
    <s v="Germany"/>
    <s v="Europe"/>
    <s v="andreas.rank@tum.de"/>
    <s v="a.rank@uniandes.edu.co"/>
    <x v="0"/>
    <s v="EGMA"/>
    <s v="ESTUD.GENER.INTERCAMB.MAESTRIA"/>
    <x v="0"/>
    <s v="MADM-4701"/>
    <s v="LENG-1574"/>
    <s v="MMER-4341"/>
    <s v="MBIT-4102"/>
    <s v="DEPO-1218"/>
    <m/>
    <m/>
    <m/>
    <m/>
    <m/>
    <m/>
    <m/>
    <x v="1"/>
    <x v="1"/>
  </r>
  <r>
    <x v="2"/>
    <n v="202210"/>
    <n v="202216149"/>
    <s v="Joshua Martin"/>
    <s v="Riederle"/>
    <s v="Technische Universität München (TUM)"/>
    <s v="Technische Universität München (TUM)"/>
    <x v="1"/>
    <s v="Germany"/>
    <s v="Europe"/>
    <s v="joshua.riederle@tum.de"/>
    <s v="j.riederle@uniandes.edu.co"/>
    <x v="0"/>
    <s v="EGMA"/>
    <s v="ESTUD.GENER.INTERCAMB.MAESTRIA"/>
    <x v="0"/>
    <s v="ADMI-3606"/>
    <s v="LENG-1573"/>
    <s v="MMER-4341"/>
    <s v="MMER-4351"/>
    <s v="ARTE-1143"/>
    <s v="ARTE-1141"/>
    <s v="MMER-4009"/>
    <m/>
    <m/>
    <m/>
    <m/>
    <m/>
    <x v="3"/>
    <x v="1"/>
  </r>
  <r>
    <x v="2"/>
    <n v="202210"/>
    <n v="202216160"/>
    <s v="Romain Lionel Jules"/>
    <s v="Berezaie"/>
    <s v="TOULOUSE BUSINESS SCHOOL"/>
    <s v="Toulouse Business School"/>
    <x v="0"/>
    <s v="France"/>
    <s v="Europe"/>
    <s v="r.berezaie@tbs-education.org"/>
    <s v="r.berezaie@uniandes.edu.co"/>
    <x v="0"/>
    <s v="EGIN"/>
    <s v="ESTUDIOS GENER.DE INTERCAMBIO"/>
    <x v="0"/>
    <s v="ADMI-3241"/>
    <s v="ADMI-3701"/>
    <s v="ADMI-3398"/>
    <s v="ADMI-3405"/>
    <s v="ADMI-1590"/>
    <m/>
    <m/>
    <m/>
    <m/>
    <m/>
    <m/>
    <m/>
    <x v="0"/>
    <x v="0"/>
  </r>
  <r>
    <x v="2"/>
    <n v="202210"/>
    <n v="202216169"/>
    <s v="Noémie Johanna"/>
    <s v="Forson"/>
    <s v="TOULOUSE BUSINESS SCHOOL"/>
    <s v="Toulouse Business School"/>
    <x v="0"/>
    <s v="France"/>
    <s v="Europe"/>
    <s v="n.forson@tbs-education.org"/>
    <s v="n.forson@uniandes.edu.co"/>
    <x v="0"/>
    <s v="EGIN"/>
    <s v="ESTUDIOS GENER.DE INTERCAMBIO"/>
    <x v="0"/>
    <s v="ADMI-3133"/>
    <s v="ADMI-3503"/>
    <s v="ADMI-2106"/>
    <s v="ADMI-3398"/>
    <s v="ADMI-3405"/>
    <m/>
    <m/>
    <m/>
    <m/>
    <m/>
    <m/>
    <m/>
    <x v="0"/>
    <x v="0"/>
  </r>
  <r>
    <x v="2"/>
    <n v="202210"/>
    <n v="202216171"/>
    <s v="Guillaume Eric Julien"/>
    <s v="Germond"/>
    <s v="TOULOUSE BUSINESS SCHOOL"/>
    <s v="Toulouse Business School"/>
    <x v="0"/>
    <s v="France"/>
    <s v="Europe"/>
    <s v="g.germond@tbs-education.org"/>
    <s v="g.germond@uniandes.edu.co"/>
    <x v="0"/>
    <s v="EGIN"/>
    <s v="ESTUDIOS GENER.DE INTERCAMBIO"/>
    <x v="0"/>
    <s v="ADMI-3133"/>
    <s v="ADMI-3601"/>
    <s v="ADMI-3241"/>
    <s v="ADMI-3110"/>
    <s v="ADMI-3398"/>
    <m/>
    <m/>
    <m/>
    <m/>
    <m/>
    <m/>
    <m/>
    <x v="0"/>
    <x v="0"/>
  </r>
  <r>
    <x v="2"/>
    <n v="202210"/>
    <n v="202216204"/>
    <s v="Jade Lyliane Michele"/>
    <s v="Moulin"/>
    <s v="TOULOUSE BUSINESS SCHOOL"/>
    <s v="Toulouse Business School"/>
    <x v="0"/>
    <s v="France"/>
    <s v="Europe"/>
    <s v="jade.moulin@tbs-education.org"/>
    <s v="j.moulin@uniandes.edu.co"/>
    <x v="0"/>
    <s v="EGIN"/>
    <s v="ESTUDIOS GENER.DE INTERCAMBIO"/>
    <x v="0"/>
    <s v="ADMI-3336"/>
    <s v="ADMI-3431"/>
    <s v="ADMI-3110"/>
    <s v="LENG-1573"/>
    <s v="ADMI-3502"/>
    <m/>
    <m/>
    <m/>
    <m/>
    <m/>
    <m/>
    <m/>
    <x v="0"/>
    <x v="0"/>
  </r>
  <r>
    <x v="2"/>
    <n v="202210"/>
    <n v="202216205"/>
    <s v="Maxwell James"/>
    <s v="Murphy"/>
    <s v="Tulane University"/>
    <s v="A.B. Freeman School of Business, Tulane University"/>
    <x v="0"/>
    <s v="United States"/>
    <s v="North America"/>
    <s v="mmurphy11@tulane.edu"/>
    <s v="m.murphy@uniandes.edu.co"/>
    <x v="0"/>
    <s v="EGIN"/>
    <s v="ESTUDIOS GENER.DE INTERCAMBIO"/>
    <x v="0"/>
    <s v="ADMI-3210"/>
    <s v="LENG-1573"/>
    <s v="ADMI-3701"/>
    <s v="ADMI-2403"/>
    <m/>
    <m/>
    <m/>
    <m/>
    <m/>
    <m/>
    <m/>
    <m/>
    <x v="0"/>
    <x v="0"/>
  </r>
  <r>
    <x v="2"/>
    <n v="202210"/>
    <n v="202216226"/>
    <s v="Kelsey Ann"/>
    <s v="Worley"/>
    <s v="Tulane University"/>
    <s v="A.B. Freeman School of Business, Tulane University"/>
    <x v="0"/>
    <s v="United States"/>
    <s v="North America"/>
    <s v="kworley@tulane.edu"/>
    <s v="k.worley@uniandes.edu.co"/>
    <x v="0"/>
    <s v="EGIN"/>
    <s v="ESTUDIOS GENER.DE INTERCAMBIO"/>
    <x v="0"/>
    <s v="ADMI-3705"/>
    <s v="ADMI-3210"/>
    <s v="ADMI-3502"/>
    <s v="ADMI-3701"/>
    <m/>
    <m/>
    <m/>
    <m/>
    <m/>
    <m/>
    <m/>
    <m/>
    <x v="0"/>
    <x v="0"/>
  </r>
  <r>
    <x v="2"/>
    <n v="202210"/>
    <n v="202216228"/>
    <s v="Paul Joseph"/>
    <s v="Yermish"/>
    <s v="Tulane University"/>
    <s v="A.B. Freeman School of Business, Tulane University"/>
    <x v="0"/>
    <s v="United States"/>
    <s v="North America"/>
    <s v="pyermish@tulane.edu"/>
    <s v="p.yermish@uniandes.edu.co"/>
    <x v="0"/>
    <s v="EGIN"/>
    <s v="ESTUDIOS GENER.DE INTERCAMBIO"/>
    <x v="0"/>
    <s v="ADMI-3208"/>
    <s v="ADMI-3705"/>
    <s v="ADMI-3241"/>
    <s v="ADMI-3210"/>
    <m/>
    <m/>
    <m/>
    <m/>
    <m/>
    <m/>
    <m/>
    <m/>
    <x v="0"/>
    <x v="0"/>
  </r>
  <r>
    <x v="2"/>
    <n v="202210"/>
    <n v="202216163"/>
    <s v="Alejandria"/>
    <s v="Caicedo Rivera"/>
    <s v="Universidad Católica Boliviana 'San Pablo'"/>
    <s v="Universidad Católica Boliviana &quot;San Pablo&quot;"/>
    <x v="1"/>
    <s v="Bolivia"/>
    <s v="South America"/>
    <s v="alejandria.caicedo@ucb.edu.bo"/>
    <s v="a.caicedor@uniandes.edu.co"/>
    <x v="0"/>
    <s v="EGIN"/>
    <s v="ESTUDIOS GENER.DE INTERCAMBIO"/>
    <x v="0"/>
    <s v="CHNA-1801"/>
    <s v="ADMI-2205"/>
    <s v="LENG-1201"/>
    <s v="DEPO-1230"/>
    <s v="DEPO-1212"/>
    <s v="DEPO-3248"/>
    <s v="ADMI-1203"/>
    <m/>
    <m/>
    <m/>
    <m/>
    <m/>
    <x v="0"/>
    <x v="0"/>
  </r>
  <r>
    <x v="2"/>
    <n v="202210"/>
    <n v="202213258"/>
    <s v="Itzel Alexandra"/>
    <s v="Hernández Garcia"/>
    <s v="Universidad Nacional Autónoma de México"/>
    <s v="Universidad Nacional Autonoma de México (UNAM)"/>
    <x v="1"/>
    <s v="Mexico"/>
    <s v="North America"/>
    <s v="itzelalexahg63@gmail.com"/>
    <s v="i.hernandezg@uniandes.edu.co"/>
    <x v="0"/>
    <s v="EGIN"/>
    <s v="ESTUDIOS GENER.DE INTERCAMBIO"/>
    <x v="0"/>
    <s v="CISO-4007"/>
    <s v="ADMI-2206"/>
    <s v="ADMI-3431"/>
    <s v="CBPC-1281"/>
    <m/>
    <m/>
    <m/>
    <m/>
    <m/>
    <m/>
    <m/>
    <m/>
    <x v="0"/>
    <x v="0"/>
  </r>
  <r>
    <x v="2"/>
    <n v="202210"/>
    <n v="202216150"/>
    <s v="Lorenzo"/>
    <s v="Romano"/>
    <s v="Università Ca' Foscari Venezia"/>
    <s v="Università Ca' Foscari Venezia"/>
    <x v="1"/>
    <s v="Italy"/>
    <s v="Europe"/>
    <s v="lorenzoromano1511@gmail.com"/>
    <s v="l.romano@uniandes.edu.co"/>
    <x v="0"/>
    <s v="EGMA"/>
    <s v="ESTUD.GENER.INTERCAMB.MAESTRIA"/>
    <x v="0"/>
    <s v="MMER-4300"/>
    <s v="MMER-4302"/>
    <s v="LENG-1573"/>
    <s v="MMER-4307"/>
    <s v="DEPO-1235"/>
    <m/>
    <m/>
    <m/>
    <m/>
    <m/>
    <m/>
    <m/>
    <x v="3"/>
    <x v="1"/>
  </r>
  <r>
    <x v="2"/>
    <n v="202210"/>
    <n v="202124887"/>
    <s v="CHLOE"/>
    <s v="ENDENE NDEMA"/>
    <s v="Université de Strasbourg"/>
    <s v="EM Strasbourg"/>
    <x v="0"/>
    <s v="France"/>
    <s v="Europe"/>
    <s v="chloe.endene-ndema@em-strasbourg.eu"/>
    <s v="c.endene@uniandes.edu.co"/>
    <x v="0"/>
    <s v="EGIN"/>
    <s v="ESTUDIOS GENER.DE INTERCAMBIO"/>
    <x v="0"/>
    <s v="ECON-1701"/>
    <s v="ADMI-2301"/>
    <s v="ADMI-2106"/>
    <s v="CPOL-2255"/>
    <s v="CPOL-2351"/>
    <m/>
    <m/>
    <m/>
    <m/>
    <m/>
    <m/>
    <m/>
    <x v="0"/>
    <x v="0"/>
  </r>
  <r>
    <x v="2"/>
    <n v="202220"/>
    <n v="202224936"/>
    <s v="Louise"/>
    <s v="Dorin"/>
    <s v="Audencia Business School"/>
    <s v="Audencia. École de Management"/>
    <x v="0"/>
    <s v="France"/>
    <s v="Europe"/>
    <s v="louise.dorin@audencia.com"/>
    <s v="l.dorin@uniandes.edu.co"/>
    <x v="0"/>
    <s v="EGMA"/>
    <s v="ESTUD.GENER.INTERCAMB.MAESTRIA"/>
    <x v="0"/>
    <s v="MGAD-4103"/>
    <s v="MGAP-4418"/>
    <s v="MGAP-4434"/>
    <s v="MGAD-4609"/>
    <s v="MGAD-4201"/>
    <m/>
    <m/>
    <m/>
    <m/>
    <m/>
    <m/>
    <m/>
    <x v="2"/>
    <x v="1"/>
  </r>
  <r>
    <x v="2"/>
    <n v="202220"/>
    <n v="202225088"/>
    <s v="Julia"/>
    <s v="PERRIN"/>
    <s v="Audencia Business School"/>
    <s v="Audencia. École de Management"/>
    <x v="0"/>
    <s v="France"/>
    <s v="Europe"/>
    <s v="juliamaria.perrin@audencia.com"/>
    <s v="j.perrin@uniandes.edu.co"/>
    <x v="0"/>
    <s v="EGIN"/>
    <s v="ESTUDIOS GENER.DE INTERCAMBIO"/>
    <x v="0"/>
    <s v="ADMI-3406"/>
    <s v="ADMI-3211"/>
    <s v="ADMI-3431"/>
    <s v="ADMI-2205"/>
    <s v="ADMI-2106"/>
    <m/>
    <m/>
    <m/>
    <m/>
    <m/>
    <m/>
    <m/>
    <x v="0"/>
    <x v="0"/>
  </r>
  <r>
    <x v="2"/>
    <n v="202220"/>
    <n v="202225104"/>
    <s v="Enzo"/>
    <s v="Thorel Delille"/>
    <s v="Ecole des Hautes Etudes Commerciales (HEC) de Montréal"/>
    <s v="HEC Montréal"/>
    <x v="0"/>
    <s v="Canada"/>
    <s v="North America"/>
    <s v="enzo.thorel-delille@hec.ca"/>
    <s v="e.thorel@uniandes.edu.co"/>
    <x v="0"/>
    <s v="EGIN"/>
    <s v="ESTUDIOS GENER.DE INTERCAMBIO"/>
    <x v="0"/>
    <s v="ADMI-1603"/>
    <s v="ADMI-3110"/>
    <s v="ADMI-3502"/>
    <s v="ADMI-2106"/>
    <s v="ADMI-3405"/>
    <m/>
    <m/>
    <m/>
    <m/>
    <m/>
    <m/>
    <m/>
    <x v="0"/>
    <x v="0"/>
  </r>
  <r>
    <x v="2"/>
    <n v="202220"/>
    <n v="202224951"/>
    <s v="Pietro Maria"/>
    <s v="Rossi"/>
    <s v="ESCP Europe"/>
    <s v="ESCP"/>
    <x v="0"/>
    <s v="France"/>
    <s v="Europe"/>
    <s v="pietromrossi@gmail.com"/>
    <s v="p.rossi@uniandes.edu.co"/>
    <x v="0"/>
    <s v="EGMA"/>
    <s v="ESTUD.GENER.INTERCAMB.MAESTRIA"/>
    <x v="0"/>
    <s v="MFIN-4256"/>
    <s v="MGAP-4447"/>
    <s v="MADM-4153"/>
    <s v="MADM-4372"/>
    <s v="MFIN-4206"/>
    <m/>
    <m/>
    <m/>
    <m/>
    <m/>
    <m/>
    <m/>
    <x v="4"/>
    <x v="1"/>
  </r>
  <r>
    <x v="2"/>
    <n v="202220"/>
    <n v="202225101"/>
    <s v="Noemie"/>
    <s v="SEH"/>
    <s v="ESCP Europe"/>
    <s v="ESCP"/>
    <x v="0"/>
    <s v="France"/>
    <s v="Europe"/>
    <s v="noemie.seh@edu.escp.eu"/>
    <s v="n.seh@uniandes.edu.co"/>
    <x v="0"/>
    <s v="EGIN"/>
    <s v="ESTUDIOS GENER.DE INTERCAMBIO"/>
    <x v="0"/>
    <s v="MGPD-4454"/>
    <s v="MGAP-4434"/>
    <s v="MGAD-4605"/>
    <s v="MGAD-4302"/>
    <m/>
    <m/>
    <m/>
    <m/>
    <m/>
    <m/>
    <m/>
    <m/>
    <x v="5"/>
    <x v="1"/>
  </r>
  <r>
    <x v="2"/>
    <n v="202220"/>
    <n v="202224937"/>
    <s v="Tom"/>
    <s v="DUCOURANT"/>
    <s v="ESSEC Business School"/>
    <s v="ESSEC"/>
    <x v="0"/>
    <s v="France"/>
    <s v="Europe"/>
    <s v="tom.ducourant@essec.edu"/>
    <s v="t.ducourant@uniandes.edu.co"/>
    <x v="0"/>
    <s v="EGMA"/>
    <s v="ESTUD.GENER.INTERCAMB.MAESTRIA"/>
    <x v="0"/>
    <s v="MGPD-4454"/>
    <s v="MGAP-4434"/>
    <s v="MGAD-4606"/>
    <m/>
    <m/>
    <m/>
    <m/>
    <m/>
    <m/>
    <m/>
    <m/>
    <m/>
    <x v="4"/>
    <x v="1"/>
  </r>
  <r>
    <x v="2"/>
    <n v="202220"/>
    <n v="202225031"/>
    <s v="Clement"/>
    <s v="Flaherty"/>
    <s v="ESSEC Business School"/>
    <s v="ESSEC"/>
    <x v="0"/>
    <s v="France"/>
    <s v="Europe"/>
    <s v="b00773706@essec.edu"/>
    <s v="c.flaherty@uniandes.edu.co"/>
    <x v="0"/>
    <s v="EGIN"/>
    <s v="ESTUDIOS GENER.DE INTERCAMBIO"/>
    <x v="0"/>
    <s v="MIFI-4002"/>
    <s v="ADMI-3341"/>
    <s v="MADM-4412"/>
    <s v="LENG-1572"/>
    <s v="ADMI-2106"/>
    <m/>
    <m/>
    <m/>
    <m/>
    <m/>
    <m/>
    <m/>
    <x v="0"/>
    <x v="0"/>
  </r>
  <r>
    <x v="2"/>
    <n v="202220"/>
    <n v="202225008"/>
    <s v="Mathieu"/>
    <s v="Cadet"/>
    <s v="Grenoble Ecole de Management"/>
    <s v="Grenoble. École de Management"/>
    <x v="0"/>
    <s v="France"/>
    <s v="Europe"/>
    <s v="mathieu.cadet@grenoble-em.com"/>
    <s v="m.cadet@uniandes.edu.co"/>
    <x v="0"/>
    <s v="EGIN"/>
    <s v="ESTUDIOS GENER.DE INTERCAMBIO"/>
    <x v="0"/>
    <s v="ADMI-3133"/>
    <s v="ADMI-3431"/>
    <s v="ADMI-3110"/>
    <s v="ADMI-2301"/>
    <m/>
    <m/>
    <m/>
    <m/>
    <m/>
    <m/>
    <m/>
    <m/>
    <x v="5"/>
    <x v="1"/>
  </r>
  <r>
    <x v="2"/>
    <n v="202220"/>
    <n v="202225051"/>
    <s v="Johanne Juhl"/>
    <s v="Jensen"/>
    <s v="Handelshøjskolen i København"/>
    <s v="CBS- Copenhagen Business School  "/>
    <x v="0"/>
    <s v="Denmark"/>
    <s v="Europe"/>
    <s v="joje20ai@student.cbs.dk"/>
    <s v="j.jensen@uniandes.edu.co"/>
    <x v="0"/>
    <s v="EGIN"/>
    <s v="ESTUDIOS GENER.DE INTERCAMBIO"/>
    <x v="0"/>
    <s v="GLOB-2300"/>
    <s v="DERE-1202"/>
    <s v="ADMI-2301"/>
    <s v="ADMI-3701"/>
    <s v="ADMI-1203"/>
    <m/>
    <m/>
    <m/>
    <m/>
    <m/>
    <m/>
    <m/>
    <x v="0"/>
    <x v="0"/>
  </r>
  <r>
    <x v="2"/>
    <n v="202220"/>
    <n v="202225065"/>
    <s v="Rui"/>
    <s v="Machado De Araujo"/>
    <s v="Handelshøjskolen i København"/>
    <s v="CBS- Copenhagen Business School  "/>
    <x v="0"/>
    <s v="Denmark"/>
    <s v="Europe"/>
    <s v="rui.machado@hotmail.it"/>
    <s v="r.machado@uniandes.edu.co"/>
    <x v="0"/>
    <s v="EGIN"/>
    <s v="ESTUDIOS GENER.DE INTERCAMBIO"/>
    <x v="0"/>
    <s v="ADMI-3341"/>
    <s v="ADMI-2301"/>
    <s v="ADMI-2605"/>
    <s v="ADMI-1203"/>
    <m/>
    <m/>
    <m/>
    <m/>
    <m/>
    <m/>
    <m/>
    <m/>
    <x v="0"/>
    <x v="0"/>
  </r>
  <r>
    <x v="2"/>
    <n v="202220"/>
    <n v="202225082"/>
    <s v="Nielsen"/>
    <s v="Sebastian Kim Bjerring"/>
    <s v="Handelshøjskolen i København"/>
    <s v="CBS- Copenhagen Business School  "/>
    <x v="0"/>
    <s v="Denmark"/>
    <s v="Europe"/>
    <s v="seni20ab@student.cbs.dk"/>
    <s v="s.nielsen@uniandes.edu.co"/>
    <x v="0"/>
    <s v="EGIN"/>
    <s v="ESTUDIOS GENER.DE INTERCAMBIO"/>
    <x v="0"/>
    <s v="ADMI-2501"/>
    <s v="LENG-1573"/>
    <s v="ADMI-2301"/>
    <s v="ADMI-2106"/>
    <s v="ADMI-3701"/>
    <m/>
    <m/>
    <m/>
    <m/>
    <m/>
    <m/>
    <m/>
    <x v="0"/>
    <x v="0"/>
  </r>
  <r>
    <x v="2"/>
    <n v="202220"/>
    <n v="202225079"/>
    <s v="Jessy-Jacques"/>
    <s v="Mutombo"/>
    <s v="ICN Business School"/>
    <s v="ICN Business School - Institut Commercial de Nancy"/>
    <x v="0"/>
    <s v="France"/>
    <s v="Europe"/>
    <s v="jj.mutombo@outlook.fr"/>
    <s v="j.mutombo@uniandes.edu.co"/>
    <x v="0"/>
    <s v="EGIN"/>
    <s v="ESTUDIOS GENER.DE INTERCAMBIO"/>
    <x v="0"/>
    <s v="ADMI-3341"/>
    <s v="ADMI-3110"/>
    <s v="LENG-1571"/>
    <s v="ADMI-2301"/>
    <m/>
    <m/>
    <m/>
    <m/>
    <m/>
    <m/>
    <m/>
    <m/>
    <x v="0"/>
    <x v="0"/>
  </r>
  <r>
    <x v="2"/>
    <n v="202220"/>
    <n v="202225037"/>
    <s v="Emma"/>
    <s v="Gettliffe"/>
    <s v="IE Universidad"/>
    <s v="IE Instituto Empresa"/>
    <x v="0"/>
    <s v="Spain"/>
    <s v="Europe"/>
    <s v="egettliffe.ieu2019@student.ie.edu"/>
    <s v="e.gettliffe@uniandes.edu.co"/>
    <x v="0"/>
    <s v="EGIN"/>
    <s v="ESTUDIOS GENER.DE INTERCAMBIO"/>
    <x v="0"/>
    <s v="EGOB-3115"/>
    <s v="CISO-1505"/>
    <s v="ADMI-3128"/>
    <s v="CPOL-1300"/>
    <s v="GLOB-3200"/>
    <m/>
    <m/>
    <m/>
    <m/>
    <m/>
    <m/>
    <m/>
    <x v="0"/>
    <x v="0"/>
  </r>
  <r>
    <x v="2"/>
    <n v="202220"/>
    <n v="202226493"/>
    <s v="Esmeralda"/>
    <s v="Hernandez Contreras"/>
    <s v="Instituto Tecnológico y de Estudios Superiores de Monterrey (ITESM)"/>
    <s v="ITESM-EGADE -Instituto tecnológico y de estudios superiores de Monterrey"/>
    <x v="0"/>
    <s v="Mexico"/>
    <s v="North America"/>
    <s v="A01246519@tec.mx"/>
    <s v="e.hernandezc2@uniandes.edu.co"/>
    <x v="0"/>
    <s v="EGIN"/>
    <s v="ESTUDIOS GENER.DE INTERCAMBIO"/>
    <x v="0"/>
    <s v="ADMI-2206"/>
    <s v="ADMI-1102"/>
    <s v="ADMI-2301"/>
    <s v="ADMI-2302"/>
    <m/>
    <m/>
    <m/>
    <m/>
    <m/>
    <m/>
    <m/>
    <m/>
    <x v="0"/>
    <x v="0"/>
  </r>
  <r>
    <x v="2"/>
    <n v="202220"/>
    <n v="202226502"/>
    <s v="Jatziri Meylim"/>
    <s v="Ortiz Trujillo"/>
    <s v="Instituto Tecnológico y de Estudios Superiores de Monterrey (ITESM)"/>
    <s v="ITESM-EGADE -Instituto tecnológico y de estudios superiores de Monterrey"/>
    <x v="0"/>
    <s v="Mexico"/>
    <s v="North America"/>
    <s v="A0142528@tec.mx"/>
    <s v="jm.ortizt1@uniandes.edu.co"/>
    <x v="0"/>
    <s v="EGIN"/>
    <s v="ESTUDIOS GENER.DE INTERCAMBIO"/>
    <x v="0"/>
    <s v="ADMI-1603"/>
    <s v="ADMI-2557"/>
    <s v="ADMI-2801"/>
    <s v="ADMI-2403"/>
    <m/>
    <m/>
    <m/>
    <m/>
    <m/>
    <m/>
    <m/>
    <m/>
    <x v="0"/>
    <x v="0"/>
  </r>
  <r>
    <x v="2"/>
    <n v="202220"/>
    <n v="202226495"/>
    <s v="Jesús"/>
    <s v="Romero Rodríguez"/>
    <s v="Instituto Tecnológico y de Estudios Superiores de Monterrey (ITESM)"/>
    <s v="ITESM-EGADE -Instituto tecnológico y de estudios superiores de Monterrey"/>
    <x v="0"/>
    <s v="Mexico"/>
    <s v="North America"/>
    <s v="jesusr1204d@gmail.com"/>
    <s v="j.romeror23@uniandes.edu.co"/>
    <x v="0"/>
    <s v="EGIN"/>
    <s v="ESTUDIOS GENER.DE INTERCAMBIO"/>
    <x v="0"/>
    <s v="DEPO-1207"/>
    <s v="ADMI-3606"/>
    <s v="ADMI-3502"/>
    <s v="LENG-1601"/>
    <s v="DEPO-3248"/>
    <s v="ADMI-3701"/>
    <s v="DEPO-1256"/>
    <s v="ADMI-1602"/>
    <m/>
    <m/>
    <m/>
    <m/>
    <x v="0"/>
    <x v="0"/>
  </r>
  <r>
    <x v="2"/>
    <n v="202220"/>
    <n v="202226496"/>
    <s v="Fredi"/>
    <s v="Toledo Villavicencio"/>
    <s v="Instituto Tecnológico y de Estudios Superiores de Monterrey (ITESM)"/>
    <s v="ITESM-EGADE -Instituto tecnológico y de estudios superiores de Monterrey"/>
    <x v="0"/>
    <s v="Mexico"/>
    <s v="North America"/>
    <s v="A01552592@tec.mx"/>
    <s v="f.toledo@uniandes.edu.co"/>
    <x v="0"/>
    <s v="EGIN"/>
    <s v="ESTUDIOS GENER.DE INTERCAMBIO"/>
    <x v="0"/>
    <s v="ADMI-1603"/>
    <s v="ADMI-3205"/>
    <s v="ADMI-3110"/>
    <s v="ADMI-1102"/>
    <s v="ADMI-2556"/>
    <s v="ADMI-1602"/>
    <s v="DEPO-1218"/>
    <m/>
    <m/>
    <m/>
    <m/>
    <m/>
    <x v="0"/>
    <x v="0"/>
  </r>
  <r>
    <x v="2"/>
    <n v="202220"/>
    <n v="202225018"/>
    <s v="Julia"/>
    <s v="de Geus"/>
    <s v="Jönköping University"/>
    <s v="JIBS Jönköping International Business School"/>
    <x v="0"/>
    <s v="Sweden"/>
    <s v="Europe"/>
    <s v="juliadegeus1999@live.nl"/>
    <s v="j.deg@uniandes.edu.co"/>
    <x v="0"/>
    <s v="EGIN"/>
    <s v="ESTUDIOS GENER.DE INTERCAMBIO"/>
    <x v="0"/>
    <s v="ADMI-2501"/>
    <s v="ADMI-1603"/>
    <s v="ADMI-3745"/>
    <s v="ADMI-3110"/>
    <s v="LENG-1573"/>
    <m/>
    <m/>
    <m/>
    <m/>
    <m/>
    <m/>
    <m/>
    <x v="0"/>
    <x v="0"/>
  </r>
  <r>
    <x v="2"/>
    <n v="202220"/>
    <n v="202225056"/>
    <s v="Johannes"/>
    <s v="Keil"/>
    <s v="Jönköping University"/>
    <s v="JIBS Jönköping International Business School"/>
    <x v="0"/>
    <s v="Sweden"/>
    <s v="Europe"/>
    <s v="johannes.keil@aol.de"/>
    <s v="j.keil@uniandes.edu.co"/>
    <x v="0"/>
    <s v="EGIN"/>
    <s v="ESTUDIOS GENER.DE INTERCAMBIO"/>
    <x v="0"/>
    <s v="ADMI-2501"/>
    <s v="ADMI-3611"/>
    <s v="ADMI-3341"/>
    <s v="ADMI-3128"/>
    <s v="ADMI-2104"/>
    <s v="ADMI-1602"/>
    <m/>
    <m/>
    <m/>
    <m/>
    <m/>
    <m/>
    <x v="5"/>
    <x v="1"/>
  </r>
  <r>
    <x v="2"/>
    <n v="202220"/>
    <n v="202224957"/>
    <s v="Twan"/>
    <s v="van den Heuvel"/>
    <s v="Jönköping University"/>
    <s v="JIBS Jönköping International Business School"/>
    <x v="0"/>
    <s v="Sweden"/>
    <s v="Europe"/>
    <s v="twanheuvel@gmail.com"/>
    <s v="t.vand@uniandes.edu.co"/>
    <x v="0"/>
    <s v="EGIN"/>
    <s v="ESTUDIOS GENER.DE INTERCAMBIO"/>
    <x v="0"/>
    <s v="ADMI-3211"/>
    <s v="ADMI-3503"/>
    <s v="ADMI-3110"/>
    <s v="ADMI-2301"/>
    <s v="ADMI-2403"/>
    <s v="ADMI-2605"/>
    <m/>
    <m/>
    <m/>
    <m/>
    <m/>
    <m/>
    <x v="6"/>
    <x v="1"/>
  </r>
  <r>
    <x v="2"/>
    <n v="202220"/>
    <n v="202224988"/>
    <s v="Helena"/>
    <s v="Back"/>
    <s v="Maastricht University"/>
    <s v="Maastricht University"/>
    <x v="0"/>
    <s v="Netherlands"/>
    <s v="Europe"/>
    <s v="h.back@student.maastrichtuniversity.nl"/>
    <s v="h.back@uniandes.edu.co"/>
    <x v="0"/>
    <s v="EGIN"/>
    <s v="ESTUDIOS GENER.DE INTERCAMBIO"/>
    <x v="0"/>
    <s v="ADMI-1603"/>
    <s v="ADMI-3341"/>
    <s v="ADMI-3210"/>
    <s v="LENG-1571"/>
    <s v="ADMI-2301"/>
    <s v="ADMI-2403"/>
    <s v="ADMI-2605"/>
    <m/>
    <m/>
    <m/>
    <m/>
    <m/>
    <x v="0"/>
    <x v="0"/>
  </r>
  <r>
    <x v="2"/>
    <n v="202220"/>
    <n v="202224952"/>
    <s v="Sacha"/>
    <s v="Servais"/>
    <s v="Maastricht University"/>
    <s v="Maastricht University"/>
    <x v="0"/>
    <s v="Netherlands"/>
    <s v="Europe"/>
    <s v="scsrvsacha@gmail.com"/>
    <s v="s.servais@uniandes.edu.co"/>
    <x v="0"/>
    <s v="EGMA"/>
    <s v="ESTUD.GENER.INTERCAMB.MAESTRIA"/>
    <x v="0"/>
    <s v="MFIN-4100"/>
    <s v="MMER-4301"/>
    <s v="MIFI-4002"/>
    <s v="MADM-4412"/>
    <s v="MADM-4200"/>
    <s v="MFIN-4206"/>
    <s v="MMER-4334"/>
    <s v="MMER-4346"/>
    <m/>
    <m/>
    <m/>
    <m/>
    <x v="3"/>
    <x v="1"/>
  </r>
  <r>
    <x v="2"/>
    <n v="202220"/>
    <n v="202225092"/>
    <s v="Nicolas"/>
    <s v="Ramezani"/>
    <s v="NEOMA Business School"/>
    <s v="ESC Rouen (NEOMA)"/>
    <x v="0"/>
    <s v="France"/>
    <s v="Europe"/>
    <s v="nicolas.ramezani.20@neoma-bs.com"/>
    <s v="n.ramezani@uniandes.edu.co"/>
    <x v="0"/>
    <s v="EGIN"/>
    <s v="ESTUDIOS GENER.DE INTERCAMBIO"/>
    <x v="0"/>
    <s v="ADMI-2501"/>
    <s v="ADMI-3241"/>
    <s v="MMER-4354"/>
    <s v="MFIN-4249"/>
    <s v="ADMI-2801"/>
    <m/>
    <m/>
    <m/>
    <m/>
    <m/>
    <m/>
    <m/>
    <x v="5"/>
    <x v="1"/>
  </r>
  <r>
    <x v="2"/>
    <n v="202220"/>
    <n v="202224933"/>
    <s v="Alessandro"/>
    <s v="Campa"/>
    <s v="Politecnico di Milano"/>
    <s v="Politecnico di Milano"/>
    <x v="0"/>
    <s v="Italy"/>
    <s v="Europe"/>
    <s v="alessandro1.campa@mail.polimi.it"/>
    <s v="a.campa@uniandes.edu.co"/>
    <x v="0"/>
    <s v="EGMA"/>
    <s v="ESTUD.GENER.INTERCAMB.MAESTRIA"/>
    <x v="0"/>
    <s v="IALI-3111"/>
    <s v="ADMI-3606"/>
    <s v="MFIN-4206"/>
    <m/>
    <m/>
    <m/>
    <m/>
    <m/>
    <m/>
    <m/>
    <m/>
    <m/>
    <x v="4"/>
    <x v="1"/>
  </r>
  <r>
    <x v="2"/>
    <n v="202220"/>
    <n v="202225036"/>
    <s v="Rebecca"/>
    <s v="Gennaccari"/>
    <s v="Politecnico di Milano"/>
    <s v="Politecnico di Milano"/>
    <x v="0"/>
    <s v="Italy"/>
    <s v="Europe"/>
    <s v="rebecca.gennaccari@mail.polimi.it"/>
    <s v="r.gennaccari@uniandes.edu.co"/>
    <x v="0"/>
    <s v="EGIN"/>
    <s v="ESTUDIOS GENER.DE INTERCAMBIO"/>
    <x v="0"/>
    <s v="ADMI-3133"/>
    <s v="ADMI-3211"/>
    <s v="ADMI-3503"/>
    <s v="ADMI-3110"/>
    <s v="ADMI-2403"/>
    <s v="ADMI-2605"/>
    <m/>
    <m/>
    <m/>
    <m/>
    <m/>
    <m/>
    <x v="0"/>
    <x v="0"/>
  </r>
  <r>
    <x v="2"/>
    <n v="202220"/>
    <n v="202225071"/>
    <s v="Antonia Isidora"/>
    <s v="Mena Quevedo"/>
    <s v="Pontificia Universidad Católica de Chile"/>
    <s v="Pontificia Universidad Católica de Chile"/>
    <x v="1"/>
    <s v="Chile"/>
    <s v="South America"/>
    <s v="menaantonia@uc.cl"/>
    <s v="a.menaq@uniandes.edu.co"/>
    <x v="0"/>
    <s v="EGIN"/>
    <s v="ESTUDIOS GENER.DE INTERCAMBIO"/>
    <x v="0"/>
    <s v="MUSI-1139"/>
    <s v="ADMI-3133"/>
    <s v="ADMI-3431"/>
    <s v="ECON-1501"/>
    <s v="FILO-1063"/>
    <s v="DEPO-1218"/>
    <m/>
    <m/>
    <m/>
    <m/>
    <m/>
    <m/>
    <x v="0"/>
    <x v="0"/>
  </r>
  <r>
    <x v="2"/>
    <n v="202220"/>
    <n v="202225061"/>
    <s v="Caroline"/>
    <s v="Lerdahl"/>
    <s v="Roskilde Universitet"/>
    <s v="Roskilde University"/>
    <x v="1"/>
    <s v="Denmark"/>
    <s v="Europe"/>
    <s v="carolinekjedler@gmail.com"/>
    <s v="c.lerdahl@uniandes.edu.co"/>
    <x v="0"/>
    <s v="EGIN"/>
    <s v="ESTUDIOS GENER.DE INTERCAMBIO"/>
    <x v="0"/>
    <s v="ADMI-1603"/>
    <s v="ADMI-2301"/>
    <s v="ADMI-2556"/>
    <s v="ADMI-2605"/>
    <m/>
    <m/>
    <m/>
    <m/>
    <m/>
    <m/>
    <m/>
    <m/>
    <x v="0"/>
    <x v="0"/>
  </r>
  <r>
    <x v="2"/>
    <n v="202220"/>
    <n v="202225094"/>
    <s v="Felix Neo"/>
    <s v="Rieder"/>
    <s v="Technische Universität München (TUM)"/>
    <s v="Technische Universität München (TUM)"/>
    <x v="1"/>
    <s v="Germany"/>
    <s v="Europe"/>
    <s v="felix.rieder@tum.de"/>
    <s v="f.rieder@uniandes.edu.co"/>
    <x v="0"/>
    <s v="EGIN"/>
    <s v="ESTUDIOS GENER.DE INTERCAMBIO"/>
    <x v="0"/>
    <s v="ADMI-3133"/>
    <s v="ADMI-3210"/>
    <s v="LENG-1573"/>
    <s v="ADMI-2106"/>
    <s v="DEPO-1256"/>
    <s v="DEPO-1233"/>
    <m/>
    <m/>
    <m/>
    <m/>
    <m/>
    <m/>
    <x v="0"/>
    <x v="0"/>
  </r>
  <r>
    <x v="2"/>
    <n v="202220"/>
    <n v="202225025"/>
    <s v="Sofia"/>
    <s v="Duffner"/>
    <s v="Tulane University"/>
    <s v="A.B. Freeman School of Business, Tulane University"/>
    <x v="0"/>
    <s v="United States"/>
    <s v="North America"/>
    <s v="sduffner@tulane.edu"/>
    <s v="s.duffner@uniandes.edu.co"/>
    <x v="0"/>
    <s v="EGIN"/>
    <s v="ESTUDIOS GENER.DE INTERCAMBIO"/>
    <x v="0"/>
    <s v="ADMI-3336"/>
    <s v="ADMI-3110"/>
    <s v="ADMI-2106"/>
    <s v="ADMI-2302"/>
    <m/>
    <m/>
    <m/>
    <m/>
    <m/>
    <m/>
    <m/>
    <m/>
    <x v="0"/>
    <x v="0"/>
  </r>
  <r>
    <x v="2"/>
    <n v="202220"/>
    <n v="202225055"/>
    <s v="Vaishnavi"/>
    <s v="Kandala"/>
    <s v="Tulane University"/>
    <s v="A.B. Freeman School of Business, Tulane University"/>
    <x v="0"/>
    <s v="United States"/>
    <s v="North America"/>
    <s v="vkandala@tulane.edu"/>
    <s v="v.kandala@uniandes.edu.co"/>
    <x v="0"/>
    <s v="EGIN"/>
    <s v="ESTUDIOS GENER.DE INTERCAMBIO"/>
    <x v="0"/>
    <s v="DERE-2601"/>
    <s v="LITE-3108"/>
    <s v="ADMI-3701"/>
    <s v="DEPO-1256"/>
    <s v="ADMI-1190"/>
    <m/>
    <m/>
    <m/>
    <m/>
    <m/>
    <m/>
    <m/>
    <x v="0"/>
    <x v="0"/>
  </r>
  <r>
    <x v="2"/>
    <n v="202220"/>
    <n v="202216163"/>
    <s v="Alejandria"/>
    <s v="Caicedo Rivera"/>
    <s v="Universidad Católica Boliviana 'San Pablo'"/>
    <s v="Universidad Católica Boliviana &quot;San Pablo&quot;"/>
    <x v="1"/>
    <s v="Bolivia"/>
    <s v="South America"/>
    <s v="alejandria.caicedo@ucb.edu.bo"/>
    <s v="a.caicedor@uniandes.edu.co"/>
    <x v="0"/>
    <s v="EGIN"/>
    <s v="ESTUDIOS GENER.DE INTERCAMBIO"/>
    <x v="0"/>
    <s v="LENG-1202"/>
    <s v="LENG-1601"/>
    <s v="ADMI-2403"/>
    <s v="LENG-1701"/>
    <s v="DEPO-1256"/>
    <m/>
    <m/>
    <m/>
    <m/>
    <m/>
    <m/>
    <m/>
    <x v="0"/>
    <x v="0"/>
  </r>
  <r>
    <x v="2"/>
    <n v="202220"/>
    <n v="202225069"/>
    <s v="Paola Luz Fatima"/>
    <s v="Medina Segovia"/>
    <s v="Universidad Católica Boliviana 'San Pablo'"/>
    <s v="Universidad Católica Boliviana &quot;San Pablo&quot;"/>
    <x v="1"/>
    <s v="Bolivia"/>
    <s v="South America"/>
    <s v="paola.medina@ucb.edu.bo"/>
    <s v="p.medinas@uniandes.edu.co"/>
    <x v="0"/>
    <s v="EGIN"/>
    <s v="ESTUDIOS GENER.DE INTERCAMBIO"/>
    <x v="0"/>
    <s v="ADMI-3341"/>
    <s v="ADMI-3110"/>
    <s v="ADMI-3701"/>
    <s v="ADMI-2403"/>
    <s v="ADMI-1203"/>
    <s v="DEPO-1218"/>
    <m/>
    <m/>
    <m/>
    <m/>
    <m/>
    <m/>
    <x v="0"/>
    <x v="0"/>
  </r>
  <r>
    <x v="2"/>
    <n v="202220"/>
    <n v="202225013"/>
    <s v="Frederico Maria"/>
    <s v="Correia de Barros Mendes de Almeida"/>
    <s v="Universidade Católica Portuguesa"/>
    <s v="Catolica Lisbon Business &amp; Economics. Universidade Católica Portuguesa"/>
    <x v="0"/>
    <s v="Portugal"/>
    <s v="Europe"/>
    <s v="fredericoma2002@hotmail.com"/>
    <s v="f.correia@uniandes.edu.co"/>
    <x v="0"/>
    <s v="EGIN"/>
    <s v="ESTUDIOS GENER.DE INTERCAMBIO"/>
    <x v="0"/>
    <s v="ADMI-3341"/>
    <s v="ADMI-3503"/>
    <s v="ECON-2107"/>
    <s v="ADMI-3701"/>
    <m/>
    <m/>
    <m/>
    <m/>
    <m/>
    <m/>
    <m/>
    <m/>
    <x v="0"/>
    <x v="0"/>
  </r>
  <r>
    <x v="2"/>
    <n v="202220"/>
    <n v="202225067"/>
    <s v="Gonçalo"/>
    <s v="Ministro"/>
    <s v="Universidade Nova de Lisboa"/>
    <s v="Nova School of Business and Economics"/>
    <x v="0"/>
    <s v="Portugal"/>
    <s v="Europe"/>
    <s v="47106@novasbe.pt"/>
    <s v="g.malho@uniandes.edu.co"/>
    <x v="0"/>
    <s v="EGIN"/>
    <s v="ESTUDIOS GENER.DE INTERCAMBIO"/>
    <x v="0"/>
    <s v="ADMI-3341"/>
    <s v="ADMI-3502"/>
    <s v="ADMI-2106"/>
    <s v="ADMI-2556"/>
    <s v="ADMI-2403"/>
    <m/>
    <m/>
    <m/>
    <m/>
    <m/>
    <m/>
    <m/>
    <x v="0"/>
    <x v="0"/>
  </r>
  <r>
    <x v="2"/>
    <n v="202220"/>
    <n v="202225103"/>
    <s v="Maria do Mar"/>
    <s v="Seabra"/>
    <s v="Universidade Nova de Lisboa"/>
    <s v="Nova School of Business and Economics"/>
    <x v="0"/>
    <s v="Portugal"/>
    <s v="Europe"/>
    <s v="mariadomarseabra@gmail.com"/>
    <s v="m.sousa@uniandes.edu.co"/>
    <x v="0"/>
    <s v="EGIN"/>
    <s v="ESTUDIOS GENER.DE INTERCAMBIO"/>
    <x v="0"/>
    <s v="ADMI-3341"/>
    <s v="ADMI-3503"/>
    <s v="ADMI-3431"/>
    <s v="ADMI-3502"/>
    <s v="ADMI-2403"/>
    <m/>
    <m/>
    <m/>
    <m/>
    <m/>
    <m/>
    <m/>
    <x v="0"/>
    <x v="0"/>
  </r>
  <r>
    <x v="2"/>
    <n v="202220"/>
    <n v="202225091"/>
    <s v="Rebekka"/>
    <s v="Rasi"/>
    <s v="Universität Mannheim"/>
    <s v="University of Mannheim Business School"/>
    <x v="0"/>
    <s v="Germany"/>
    <s v="Europe"/>
    <s v="rebekka.rasi@gmail.com"/>
    <s v="r.rasi@uniandes.edu.co"/>
    <x v="0"/>
    <s v="EGMA"/>
    <s v="ESTUD.GENER.INTERCAMB.MAESTRIA"/>
    <x v="0"/>
    <s v="MMER-4301"/>
    <s v="MMER-4354"/>
    <s v="MADM-4450"/>
    <s v="MMER-4362"/>
    <m/>
    <m/>
    <m/>
    <m/>
    <m/>
    <m/>
    <m/>
    <m/>
    <x v="5"/>
    <x v="1"/>
  </r>
  <r>
    <x v="2"/>
    <n v="202220"/>
    <n v="202225090"/>
    <s v="José Antonio"/>
    <s v="Ramírez Valero"/>
    <s v="Universitat Politècnica de Catalunya"/>
    <s v="Universitat Politècnica de Catalunya"/>
    <x v="1"/>
    <s v="Spain"/>
    <s v="Europe"/>
    <s v="jose.antonio.ramirez@euncet.es"/>
    <s v="j.ramirezv@uniandes.edu.co"/>
    <x v="0"/>
    <s v="EGIN"/>
    <s v="ESTUDIOS GENER.DE INTERCAMBIO"/>
    <x v="0"/>
    <s v="ADMI-2556"/>
    <s v="ECON-2211"/>
    <s v="ADMI-2302"/>
    <s v="ADMI-2403"/>
    <m/>
    <m/>
    <m/>
    <m/>
    <m/>
    <m/>
    <m/>
    <m/>
    <x v="0"/>
    <x v="0"/>
  </r>
  <r>
    <x v="2"/>
    <n v="202220"/>
    <n v="202225087"/>
    <s v="Alice"/>
    <s v="PERRIN"/>
    <s v="Universitat Ramon Llull"/>
    <s v="ESADE"/>
    <x v="0"/>
    <s v="Spain"/>
    <s v="Europe"/>
    <s v="alicemariecharlotte.perrin@alumni.esade.edu"/>
    <s v="a.perrin@uniandes.edu.co"/>
    <x v="0"/>
    <s v="EGIN"/>
    <s v="ESTUDIOS GENER.DE INTERCAMBIO"/>
    <x v="0"/>
    <s v="ADMI-3503"/>
    <s v="ADMI-2301"/>
    <s v="ADMI-2106"/>
    <s v="ADMI-2104"/>
    <s v="ADMI-2403"/>
    <s v="DEPO-1256"/>
    <s v="DEPO-1220"/>
    <m/>
    <m/>
    <m/>
    <m/>
    <m/>
    <x v="0"/>
    <x v="0"/>
  </r>
  <r>
    <x v="2"/>
    <n v="202220"/>
    <n v="202225097"/>
    <s v="Shauna"/>
    <s v="Rollier"/>
    <s v="Université de Genève"/>
    <s v="Université de Genève"/>
    <x v="1"/>
    <s v="Switzerland"/>
    <s v="Europe"/>
    <s v="shauna.rollier@etu.unige.ch"/>
    <s v="s.rollier@uniandes.edu.co"/>
    <x v="0"/>
    <s v="EGIN"/>
    <s v="ESTUDIOS GENER.DE INTERCAMBIO"/>
    <x v="0"/>
    <s v="MGAD-4103"/>
    <s v="MGAP-4434"/>
    <s v="ADMI-3133"/>
    <s v="MGAD-4609"/>
    <m/>
    <m/>
    <m/>
    <m/>
    <m/>
    <m/>
    <m/>
    <m/>
    <x v="5"/>
    <x v="1"/>
  </r>
  <r>
    <x v="2"/>
    <n v="202220"/>
    <n v="202225686"/>
    <s v="Ines"/>
    <s v="Zakoum"/>
    <s v="Université de Strasbourg"/>
    <s v="EM Strasbourg"/>
    <x v="0"/>
    <s v="France"/>
    <s v="Europe"/>
    <s v="ines.zakoum@gmail.com"/>
    <s v="i.zakoum@uniandes.edu.co"/>
    <x v="0"/>
    <s v="EGIN"/>
    <s v="ESTUDIOS GENER.DE INTERCAMBIO"/>
    <x v="0"/>
    <s v="ARTE-1151"/>
    <s v="CBCA-1024"/>
    <s v="MMER-4301"/>
    <s v="ADMI-3336"/>
    <s v="MMER-4334"/>
    <s v="ARTE-1140"/>
    <m/>
    <m/>
    <m/>
    <m/>
    <m/>
    <m/>
    <x v="3"/>
    <x v="1"/>
  </r>
  <r>
    <x v="2"/>
    <n v="202220"/>
    <n v="202225023"/>
    <s v="Matthieu"/>
    <s v="Delattre"/>
    <s v="Université Jean Moulin Lyon 3"/>
    <s v="Universidad Jean Moulin Lyon 3"/>
    <x v="1"/>
    <s v="France"/>
    <s v="Europe"/>
    <s v="matthieu6969@icloud.com"/>
    <s v="m.delattre@uniandes.edu.co"/>
    <x v="0"/>
    <s v="EGIN"/>
    <s v="ESTUDIOS GENER.DE INTERCAMBIO"/>
    <x v="0"/>
    <s v="ADMI-3341"/>
    <s v="ADMI-3503"/>
    <s v="DEPO-1229"/>
    <s v="ADMI-3701"/>
    <s v="ADMI-2403"/>
    <s v="ADMI-2605"/>
    <m/>
    <m/>
    <m/>
    <m/>
    <m/>
    <m/>
    <x v="0"/>
    <x v="0"/>
  </r>
  <r>
    <x v="2"/>
    <n v="202220"/>
    <n v="202225058"/>
    <s v="Fleur"/>
    <s v="Lajouanie"/>
    <s v="Université Paris Dauphine-PSL"/>
    <s v="Université Paris-Dauphine"/>
    <x v="1"/>
    <s v="France"/>
    <s v="Europe"/>
    <s v="fleur.lajouanie@dauphine.eu"/>
    <s v="f.lajouanie@uniandes.edu.co"/>
    <x v="0"/>
    <s v="EGIN"/>
    <s v="ESTUDIOS GENER.DE INTERCAMBIO"/>
    <x v="0"/>
    <s v="ADMI-1603"/>
    <s v="ADMI-3110"/>
    <s v="ADMI-2301"/>
    <s v="DEPO-1256"/>
    <s v="ADMI-1190"/>
    <s v="DEPO-1245"/>
    <m/>
    <m/>
    <m/>
    <m/>
    <m/>
    <m/>
    <x v="0"/>
    <x v="0"/>
  </r>
  <r>
    <x v="2"/>
    <n v="202220"/>
    <n v="202225004"/>
    <s v="Daan"/>
    <s v="Bozon"/>
    <s v="Universiteit Utrecht"/>
    <s v="Universiteit Utrecht"/>
    <x v="0"/>
    <s v="Netherlands"/>
    <s v="Europe"/>
    <s v="d.a.h.bozon@students.uu.nl"/>
    <s v="d.bozon@uniandes.edu.co"/>
    <x v="0"/>
    <s v="EGMA"/>
    <s v="ESTUD.GENER.INTERCAMB.MAESTRIA"/>
    <x v="0"/>
    <s v="MADM-4250"/>
    <s v="LENG-1571"/>
    <s v="MIFI-4004"/>
    <s v="ADMI-2403"/>
    <m/>
    <m/>
    <m/>
    <m/>
    <m/>
    <m/>
    <m/>
    <m/>
    <x v="0"/>
    <x v="0"/>
  </r>
  <r>
    <x v="2"/>
    <n v="202220"/>
    <n v="202224941"/>
    <s v="Nout"/>
    <s v="Gerhards"/>
    <s v="Universiteit Utrecht"/>
    <s v="Universiteit Utrecht"/>
    <x v="0"/>
    <s v="Netherlands"/>
    <s v="Europe"/>
    <s v="ngerhards27@gmail.com"/>
    <s v="n.gerhards@uniandes.edu.co"/>
    <x v="0"/>
    <s v="EGMA"/>
    <s v="ESTUD.GENER.INTERCAMB.MAESTRIA"/>
    <x v="0"/>
    <s v="MGAP-4447"/>
    <s v="MGLO-4005"/>
    <s v="MGLO-4004"/>
    <m/>
    <m/>
    <m/>
    <m/>
    <m/>
    <m/>
    <m/>
    <m/>
    <m/>
    <x v="2"/>
    <x v="1"/>
  </r>
  <r>
    <x v="2"/>
    <n v="202220"/>
    <n v="202226517"/>
    <s v="JONATHAN"/>
    <s v="AMON"/>
    <s v="University of Glasgow"/>
    <s v="University of Glasgow"/>
    <x v="0"/>
    <s v="United Kingdom"/>
    <s v="Europe"/>
    <s v="jonny.amon@gmail.com"/>
    <s v="j.amon@uniandes.edu.co"/>
    <x v="0"/>
    <s v="EGMA"/>
    <s v="ESTUD.GENER.INTERCAMB.MAESTRIA"/>
    <x v="0"/>
    <s v="MGAP-4447"/>
    <s v="MGLO-4001"/>
    <s v="MGLO-4003"/>
    <s v="MGLO-4006"/>
    <m/>
    <m/>
    <m/>
    <m/>
    <m/>
    <m/>
    <m/>
    <m/>
    <x v="5"/>
    <x v="1"/>
  </r>
  <r>
    <x v="2"/>
    <n v="202220"/>
    <n v="202226514"/>
    <s v="NATASHA"/>
    <s v="BRIGUET"/>
    <s v="University of Glasgow"/>
    <s v="University of Glasgow"/>
    <x v="0"/>
    <s v="United Kingdom"/>
    <s v="Europe"/>
    <s v="2486004b@student.gla.ac.uk"/>
    <s v="n.briguet@uniandes.edu.co"/>
    <x v="0"/>
    <s v="EGMA"/>
    <s v="ESTUD.GENER.INTERCAMB.MAESTRIA"/>
    <x v="0"/>
    <s v="MGAP-4447"/>
    <s v="MGLO-4001"/>
    <s v="MGLO-4003"/>
    <s v="MGLO-4006"/>
    <m/>
    <m/>
    <m/>
    <m/>
    <m/>
    <m/>
    <m/>
    <m/>
    <x v="5"/>
    <x v="1"/>
  </r>
  <r>
    <x v="2"/>
    <n v="202220"/>
    <n v="202226520"/>
    <s v="JOSE GERARDO"/>
    <s v="CASTILLO BERMUDEZ"/>
    <s v="University of Glasgow"/>
    <s v="University of Glasgow"/>
    <x v="0"/>
    <s v="United Kingdom"/>
    <s v="Europe"/>
    <s v="2449137c@student.gla.ac.uk"/>
    <s v="jg.castillob1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13"/>
    <s v="SZUTUNG"/>
    <s v="CHEN"/>
    <s v="University of Glasgow"/>
    <s v="University of Glasgow"/>
    <x v="0"/>
    <s v="United Kingdom"/>
    <s v="Europe"/>
    <s v="szutungchen@gmail.com"/>
    <s v="s.chen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22"/>
    <s v="ALEJANDRA"/>
    <s v="CRUZ FIGUEROA"/>
    <s v="University of Glasgow"/>
    <s v="University of Glasgow"/>
    <x v="0"/>
    <s v="United Kingdom"/>
    <s v="Europe"/>
    <s v="alejandra.cruzf@outlook.com"/>
    <s v="a.cruzf2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12"/>
    <s v="GABRIELA"/>
    <s v="FERREIRA VAREJAO"/>
    <s v="University of Glasgow"/>
    <s v="University of Glasgow"/>
    <x v="0"/>
    <s v="United Kingdom"/>
    <s v="Europe"/>
    <s v="gf.varejao@gmail.com"/>
    <s v="g.ferreirav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15"/>
    <s v="MARIE DOMINIQUE E"/>
    <s v="GILSON"/>
    <s v="University of Glasgow"/>
    <s v="University of Glasgow"/>
    <x v="0"/>
    <s v="United Kingdom"/>
    <s v="Europe"/>
    <s v="gilson.marie@hotmail.be"/>
    <s v="m.gilson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18"/>
    <s v="KEN OSKAR"/>
    <s v="GOIGNER"/>
    <s v="University of Glasgow"/>
    <s v="University of Glasgow"/>
    <x v="0"/>
    <s v="United Kingdom"/>
    <s v="Europe"/>
    <s v="ken.goigner@gmail.com"/>
    <s v="k.goigner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21"/>
    <s v="KARLIJN LOUISE"/>
    <s v="LOEVEN"/>
    <s v="University of Glasgow"/>
    <s v="University of Glasgow"/>
    <x v="0"/>
    <s v="United Kingdom"/>
    <s v="Europe"/>
    <s v="karlijnloeven@gmail.com"/>
    <s v="k.loeven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19"/>
    <s v="SPENCER TAMBLYN"/>
    <s v="LONG"/>
    <s v="University of Glasgow"/>
    <s v="University of Glasgow"/>
    <x v="0"/>
    <s v="United Kingdom"/>
    <s v="Europe"/>
    <s v="spencerlong2018@gmail.com"/>
    <s v="s.long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312994"/>
    <s v="Meszaros Ortiz"/>
    <s v="Maria Lusia"/>
    <s v="University of Glasgow"/>
    <s v="University of Glasgow"/>
    <x v="0"/>
    <s v="United Kingdom"/>
    <s v="Europe"/>
    <s v="2684579M@student.gla.ac.uk"/>
    <s v="m.meszaros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16"/>
    <s v="CHAU CONG ANH"/>
    <s v="NGUYEN"/>
    <s v="University of Glasgow"/>
    <s v="University of Glasgow"/>
    <x v="0"/>
    <s v="United Kingdom"/>
    <s v="Europe"/>
    <s v="conganh19991211@gmail.com"/>
    <s v="c.nguyen@uniandes.edu.co"/>
    <x v="0"/>
    <s v="EGMA"/>
    <s v="ESTUD.GENER.INTERCAMB.MAESTRIA"/>
    <x v="0"/>
    <s v="MGAP-4447"/>
    <s v="MGLO-4001"/>
    <s v="MGLO-4003"/>
    <s v="MGLO-4006"/>
    <m/>
    <m/>
    <m/>
    <m/>
    <m/>
    <m/>
    <m/>
    <m/>
    <x v="5"/>
    <x v="1"/>
  </r>
  <r>
    <x v="3"/>
    <n v="202320"/>
    <n v="202325765"/>
    <s v="David"/>
    <s v="Adams"/>
    <s v="Politecnico di Milano"/>
    <s v="Politecnico di Milano"/>
    <x v="0"/>
    <s v="Italy"/>
    <s v="Europe"/>
    <s v="davidmichael.adams@mail.polimi.it"/>
    <s v="d.adams@uniandes.edu.co"/>
    <x v="0"/>
    <s v="EGIN"/>
    <s v="Intercambio"/>
    <x v="0"/>
    <s v="ADMI-3110"/>
    <s v="ADMI-3620"/>
    <s v="LENG-1570"/>
    <m/>
    <m/>
    <m/>
    <m/>
    <m/>
    <m/>
    <m/>
    <m/>
    <m/>
    <x v="4"/>
    <x v="1"/>
  </r>
  <r>
    <x v="3"/>
    <n v="202310"/>
    <n v="202316924"/>
    <s v="Mariana Do Carmo"/>
    <s v="Aguas Gomes Batalha"/>
    <s v="Universidade Nova de Lisboa"/>
    <s v="Nova School of Business and Economics"/>
    <x v="0"/>
    <s v="Portugal"/>
    <s v="Europe"/>
    <s v="46840@novasbe.pt"/>
    <s v="m.aguas@uniandes.edu.co"/>
    <x v="0"/>
    <s v="EGIN"/>
    <s v="ESTUDIOS GENER.DE INTERCAMBIO"/>
    <x v="0"/>
    <s v="ADMI-3110"/>
    <s v="ADMI-3502"/>
    <s v="ADMI-2106"/>
    <s v="ADMI-2801"/>
    <s v="ADMI-2403"/>
    <m/>
    <m/>
    <m/>
    <m/>
    <m/>
    <m/>
    <m/>
    <x v="0"/>
    <x v="0"/>
  </r>
  <r>
    <x v="3"/>
    <n v="202310"/>
    <n v="202316822"/>
    <s v="Filippo"/>
    <s v="Badalotti"/>
    <s v="Politecnico di Milano"/>
    <s v="Politecnico di Milano"/>
    <x v="0"/>
    <s v="Italy"/>
    <s v="Europe"/>
    <s v="filippo.badalotti@mail.polimi.it"/>
    <s v="f.badalotti@uniandes.edu.co"/>
    <x v="0"/>
    <s v="EGMA"/>
    <s v="ESTUD.GENER.INTERCAMB.MAESTRIA"/>
    <x v="0"/>
    <s v="MSCM-4029"/>
    <s v="MSCM-4027"/>
    <s v="LENG-1573"/>
    <s v="ADMI-3411"/>
    <s v="IIND-3221"/>
    <s v="IIND-4307"/>
    <s v="DEPO-1218"/>
    <s v="IIND-3221T"/>
    <m/>
    <m/>
    <m/>
    <m/>
    <x v="5"/>
    <x v="1"/>
  </r>
  <r>
    <x v="3"/>
    <n v="202320"/>
    <n v="202316822"/>
    <s v="Filippo"/>
    <s v="Badalotti"/>
    <s v="Politecnico di Milano"/>
    <s v="Politecnico di Milano"/>
    <x v="0"/>
    <s v="Italy"/>
    <s v="Europe"/>
    <s v="filippo.badalotti@mail.polimi.it"/>
    <s v="f.badalotti@uniandes.edu.co"/>
    <x v="0"/>
    <s v="EGMA"/>
    <s v="Intercambio"/>
    <x v="0"/>
    <s v="MMER-4348"/>
    <s v="MSCM-4032"/>
    <s v="DEPO-1206"/>
    <s v="DEPO-1218"/>
    <s v="DEPO-1219"/>
    <s v="DEPO-1258"/>
    <s v="ECON-1305"/>
    <s v="MADM-4340"/>
    <m/>
    <m/>
    <m/>
    <m/>
    <x v="5"/>
    <x v="1"/>
  </r>
  <r>
    <x v="3"/>
    <n v="202310"/>
    <n v="202316847"/>
    <s v="Mathilde Emma Julia Simone"/>
    <s v="Beau"/>
    <s v="EDHEC Business School"/>
    <s v="EDHEC Business School"/>
    <x v="0"/>
    <s v="France"/>
    <s v="Europe"/>
    <s v="mathilde.beau@edhec.com"/>
    <s v="m.beau@uniandes.edu.co"/>
    <x v="0"/>
    <s v="EGIN"/>
    <s v="ESTUDIOS GENER.DE INTERCAMBIO"/>
    <x v="0"/>
    <s v="ADMI-1603"/>
    <s v="ADMI-3205"/>
    <s v="ADMI-1102"/>
    <s v="ADMI-2301"/>
    <s v="DERE-1301"/>
    <m/>
    <m/>
    <m/>
    <m/>
    <m/>
    <m/>
    <m/>
    <x v="0"/>
    <x v="0"/>
  </r>
  <r>
    <x v="3"/>
    <n v="202320"/>
    <n v="202325873"/>
    <s v="Alexander"/>
    <s v="Belaire"/>
    <s v="Tulane University"/>
    <s v="A.B. Freeman School of Business, Tulane University"/>
    <x v="0"/>
    <s v="United States"/>
    <s v="North America"/>
    <s v="abelaire@tulane.edu"/>
    <s v="a.belaire@uniandes.edu.co"/>
    <x v="0"/>
    <s v="EGIN"/>
    <s v="Intercambio"/>
    <x v="0"/>
    <s v="ADMI-2556"/>
    <s v="ADMI-3110"/>
    <s v="ADMI-3341"/>
    <s v="ADMI-3620"/>
    <s v="DEPO-1100"/>
    <s v="DEPO-1200"/>
    <s v="DEPO-1206"/>
    <s v="DEPO-1212"/>
    <m/>
    <m/>
    <m/>
    <m/>
    <x v="0"/>
    <x v="0"/>
  </r>
  <r>
    <x v="3"/>
    <n v="202310"/>
    <n v="202316848"/>
    <s v="Joshua Michael"/>
    <s v="Belew"/>
    <s v="Tulane University"/>
    <s v="A.B. Freeman School of Business, Tulane University"/>
    <x v="0"/>
    <s v="United States"/>
    <s v="North America"/>
    <s v="jbelew@tulane.edu"/>
    <s v="j.belew@uniandes.edu.co"/>
    <x v="0"/>
    <s v="EGIN"/>
    <s v="ESTUDIOS GENER.DE INTERCAMBIO"/>
    <x v="0"/>
    <s v="ADMI-2501"/>
    <s v="ADMI-3705"/>
    <s v="ADMI-2106"/>
    <s v="ADMI-2556"/>
    <s v="ADMI-3701"/>
    <s v="DEPO-1256"/>
    <s v="DEPO-1219"/>
    <m/>
    <m/>
    <m/>
    <m/>
    <m/>
    <x v="0"/>
    <x v="0"/>
  </r>
  <r>
    <x v="3"/>
    <n v="202310"/>
    <n v="202316925"/>
    <s v="Paul-Aaron Meyer Philippe"/>
    <s v="Benharrouch"/>
    <s v="IE Universidad"/>
    <s v="IE Instituto Empresa"/>
    <x v="0"/>
    <s v="Spain"/>
    <s v="Europe"/>
    <s v="pbenharrouch.ieu2020@student.ie.edu"/>
    <s v="p.benharrouch@uniandes.edu.co"/>
    <x v="0"/>
    <s v="EGIN"/>
    <s v="ESTUDIOS GENER.DE INTERCAMBIO"/>
    <x v="0"/>
    <s v="ADMI-3210"/>
    <s v="ADMI-3110"/>
    <s v="ADMI-2106"/>
    <s v="ADMI-2403"/>
    <s v="ADMI-1602"/>
    <m/>
    <m/>
    <m/>
    <m/>
    <m/>
    <m/>
    <m/>
    <x v="0"/>
    <x v="0"/>
  </r>
  <r>
    <x v="3"/>
    <n v="202310"/>
    <n v="202316850"/>
    <s v="Robert Francis"/>
    <s v="Bermingham"/>
    <s v="Maastricht University"/>
    <s v="Maastricht University"/>
    <x v="0"/>
    <s v="Netherlands"/>
    <s v="Europe"/>
    <s v="r.bermingham@student.maastrichtuniversity.nl"/>
    <s v="r.bermingham@uniandes.edu.co"/>
    <x v="0"/>
    <s v="EGIN"/>
    <s v="ESTUDIOS GENER.DE INTERCAMBIO"/>
    <x v="0"/>
    <s v="DERE-2601"/>
    <s v="ADMI-3503"/>
    <s v="ADMI-3110"/>
    <s v="LENG-1572"/>
    <s v="ADMI-2106"/>
    <s v="ADMI-2403"/>
    <s v="ADMI-2605"/>
    <m/>
    <m/>
    <m/>
    <m/>
    <m/>
    <x v="0"/>
    <x v="0"/>
  </r>
  <r>
    <x v="3"/>
    <n v="202310"/>
    <n v="202316852"/>
    <s v="Blanche Prune"/>
    <s v="Blanchart"/>
    <s v="EDHEC Business School"/>
    <s v="EDHEC Business School"/>
    <x v="0"/>
    <s v="France"/>
    <s v="Europe"/>
    <s v="blancheblanchart@gmail.com"/>
    <s v="b.blanchart@uniandes.edu.co"/>
    <x v="0"/>
    <s v="EGIN"/>
    <s v="ESTUDIOS GENER.DE INTERCAMBIO"/>
    <x v="0"/>
    <s v="ECON-3620"/>
    <s v="ADMI-3705"/>
    <s v="ADMI-2301"/>
    <s v="CPOL-1000"/>
    <s v="DERE-1101"/>
    <s v="ADMI-1602"/>
    <m/>
    <m/>
    <m/>
    <m/>
    <m/>
    <m/>
    <x v="0"/>
    <x v="0"/>
  </r>
  <r>
    <x v="3"/>
    <n v="202310"/>
    <n v="202314869"/>
    <s v="Silas Yannick "/>
    <s v="BLEISCH"/>
    <s v="Universität St. Gallen"/>
    <s v="University of Saint Gallen"/>
    <x v="0"/>
    <s v="Switzerland"/>
    <s v="Europe"/>
    <s v="silas.bleisch@gmail.com"/>
    <s v="s.bleisch@uniandes.edu.co"/>
    <x v="0"/>
    <s v="EGMA"/>
    <s v="ESTUD.GENER.INTERCAMB.MAESTRIA"/>
    <x v="0"/>
    <s v="MIMC-4003"/>
    <s v="MADM-4410"/>
    <s v="MIMC-4002"/>
    <s v="MIMC-4001"/>
    <s v="MIMC-4004"/>
    <m/>
    <m/>
    <m/>
    <m/>
    <m/>
    <m/>
    <m/>
    <x v="7"/>
    <x v="1"/>
  </r>
  <r>
    <x v="3"/>
    <n v="202320"/>
    <n v="202325884"/>
    <s v="João"/>
    <s v="Bruno Da Costa"/>
    <s v="Universidade Católica Portuguesa"/>
    <s v="Catolica Lisbon Business &amp; Economics. Universidade Católica Portuguesa"/>
    <x v="0"/>
    <s v="Portugal"/>
    <s v="Europe"/>
    <s v="joaomariacosta11@Gmail.com"/>
    <s v="j.marcal@uniandes.edu.co"/>
    <x v="0"/>
    <s v="EGIN"/>
    <s v="Intercambio"/>
    <x v="0"/>
    <s v="ADMI-2207"/>
    <s v="ADMI-3110"/>
    <s v="ADMI-3701"/>
    <s v="ECON-3212"/>
    <m/>
    <m/>
    <m/>
    <m/>
    <m/>
    <m/>
    <m/>
    <m/>
    <x v="0"/>
    <x v="0"/>
  </r>
  <r>
    <x v="3"/>
    <n v="202310"/>
    <n v="202316858"/>
    <s v="Paul Marie Martin"/>
    <s v="Bustarret"/>
    <s v="HEC School of Management"/>
    <s v="HEC Paris"/>
    <x v="0"/>
    <s v="France"/>
    <s v="Europe"/>
    <s v="paul.bustarret@hec.edu"/>
    <s v="p.bustarret@uniandes.edu.co"/>
    <x v="0"/>
    <s v="EGIN"/>
    <s v="ESTUDIOS GENER.DE INTERCAMBIO"/>
    <x v="0"/>
    <s v="ADMI-2501"/>
    <s v="ADMI-3606"/>
    <s v="ADMI-3110"/>
    <s v="ECON-3744"/>
    <m/>
    <m/>
    <m/>
    <m/>
    <m/>
    <m/>
    <m/>
    <m/>
    <x v="0"/>
    <x v="0"/>
  </r>
  <r>
    <x v="3"/>
    <n v="202310"/>
    <n v="202316861"/>
    <s v="Stefanie Katherine"/>
    <s v="Cesti Palomino"/>
    <s v="Universidad del Pacífico, Lima"/>
    <s v="Universidad del Pacífico"/>
    <x v="0"/>
    <s v="Peru"/>
    <s v="South America"/>
    <s v="sk.cestip@alum.up.edu.pe"/>
    <s v="s.cesti@uniandes.edu.co"/>
    <x v="0"/>
    <s v="EGIN"/>
    <s v="ESTUDIOS GENER.DE INTERCAMBIO"/>
    <x v="0"/>
    <s v="ADMI-2206"/>
    <s v="ADMI-3606"/>
    <s v="ADMI-3110"/>
    <s v="ADMI-2106"/>
    <s v="ADMI-3431"/>
    <m/>
    <m/>
    <m/>
    <m/>
    <m/>
    <m/>
    <m/>
    <x v="0"/>
    <x v="0"/>
  </r>
  <r>
    <x v="3"/>
    <n v="202310"/>
    <n v="202316862"/>
    <s v="Solveig Manon Catherine"/>
    <s v="Chaxel"/>
    <s v="NEOMA Business School"/>
    <s v="ESC Rouen (NEOMA)"/>
    <x v="0"/>
    <s v="France"/>
    <s v="Europe"/>
    <s v="solveig.chaxel.20@neoma-bs.com"/>
    <s v="s.chaxel@uniandes.edu.co"/>
    <x v="0"/>
    <s v="EGIN"/>
    <s v="ESTUDIOS GENER.DE INTERCAMBIO"/>
    <x v="0"/>
    <s v="ADMI-3133"/>
    <s v="ADMI-3336"/>
    <s v="ADMI-3601"/>
    <s v="ADMI-3411"/>
    <m/>
    <m/>
    <m/>
    <m/>
    <m/>
    <m/>
    <m/>
    <m/>
    <x v="0"/>
    <x v="0"/>
  </r>
  <r>
    <x v="3"/>
    <n v="202320"/>
    <n v="202325780"/>
    <s v="Julie"/>
    <s v="Cholley"/>
    <s v="Grenoble Ecole de Management"/>
    <s v="Grenoble. École de Management"/>
    <x v="0"/>
    <s v="France"/>
    <s v="Europe"/>
    <s v="julie-cholley@hotmail.fr"/>
    <s v="j.cholley@uniandes.edu.co"/>
    <x v="0"/>
    <s v="EGIN"/>
    <s v="Intercambio"/>
    <x v="0"/>
    <s v="ADMI-2104"/>
    <s v="ADMI-2107"/>
    <s v="ADMI-2501"/>
    <s v="MUSI-1017"/>
    <s v="MUSI-1126"/>
    <m/>
    <m/>
    <m/>
    <m/>
    <m/>
    <m/>
    <m/>
    <x v="8"/>
    <x v="1"/>
  </r>
  <r>
    <x v="3"/>
    <n v="202310"/>
    <n v="202316827"/>
    <s v="Constantin"/>
    <s v="Chryssostalis"/>
    <s v="ESCP Europe"/>
    <s v="ESCP"/>
    <x v="0"/>
    <s v="France"/>
    <s v="Europe"/>
    <s v="constantin.chryssostalis@edu.escp.eu"/>
    <s v="c.chryssostalis@uniandes.edu.co"/>
    <x v="0"/>
    <s v="EGMA"/>
    <s v="ESTUD.GENER.INTERCAMB.MAESTRIA"/>
    <x v="0"/>
    <s v="MADM-4410"/>
    <s v="MADM-4413"/>
    <s v="MGAD-4454"/>
    <s v="MGAP-4414"/>
    <s v="MMER-4009"/>
    <m/>
    <m/>
    <m/>
    <m/>
    <m/>
    <m/>
    <m/>
    <x v="5"/>
    <x v="1"/>
  </r>
  <r>
    <x v="3"/>
    <n v="202320"/>
    <n v="202325778"/>
    <s v="roan"/>
    <s v="coli"/>
    <s v="Politecnico di Milano"/>
    <s v="Politecnico di Milano"/>
    <x v="0"/>
    <s v="Italy"/>
    <s v="Europe"/>
    <s v="roan.coli@mail.polimi.it"/>
    <s v="r.coli@uniandes.edu.co"/>
    <x v="0"/>
    <s v="EGIN"/>
    <s v="Intercambio"/>
    <x v="0"/>
    <s v="ADMI-2106"/>
    <s v="ADMI-3133"/>
    <s v="CBPC-1299"/>
    <s v="DEPO-1218"/>
    <s v="DEPO-1219"/>
    <s v="DEPO-1258"/>
    <s v="ECON-3770"/>
    <m/>
    <m/>
    <m/>
    <m/>
    <m/>
    <x v="2"/>
    <x v="1"/>
  </r>
  <r>
    <x v="3"/>
    <n v="202320"/>
    <n v="202325788"/>
    <s v="Federico Maria"/>
    <s v="Colombo"/>
    <s v="Università Commerciale 'Luigi Bocconi' di Milano"/>
    <s v="Università Commerciale Luigi Bocconi"/>
    <x v="0"/>
    <s v="Italy"/>
    <s v="Europe"/>
    <s v="f_colombo@studbocconi.it"/>
    <s v="f.colombo@uniandes.edu.co"/>
    <x v="0"/>
    <s v="EGMA"/>
    <s v="Intercambio"/>
    <x v="0"/>
    <s v="ADMI-3110"/>
    <s v="ADMI-3205"/>
    <s v="MGLO-4002"/>
    <s v="MGLO-4004"/>
    <s v="DEPO-1222"/>
    <m/>
    <m/>
    <m/>
    <m/>
    <m/>
    <m/>
    <m/>
    <x v="4"/>
    <x v="1"/>
  </r>
  <r>
    <x v="3"/>
    <n v="202320"/>
    <n v="202325813"/>
    <s v="Andrea Lorenzo"/>
    <s v="Conti"/>
    <s v="Politecnico di Milano"/>
    <s v="Politecnico di Milano"/>
    <x v="0"/>
    <s v="Italy"/>
    <s v="Europe"/>
    <s v="andrealorenzo.conti@mail.polimi.it"/>
    <s v="a.conti@uniandes.edu.co"/>
    <x v="0"/>
    <s v="EGIN"/>
    <s v="Intercambio"/>
    <x v="0"/>
    <s v="ADMI-1203"/>
    <s v="ADMI-2106"/>
    <s v="ADMI-2301"/>
    <s v="ADMI-2403"/>
    <s v="ADMI-3110"/>
    <s v="ADMI-3341"/>
    <m/>
    <m/>
    <m/>
    <m/>
    <m/>
    <m/>
    <x v="0"/>
    <x v="0"/>
  </r>
  <r>
    <x v="3"/>
    <n v="202310"/>
    <n v="202316915"/>
    <s v="António Maria"/>
    <s v="Da Cunha Jorge Payan Martins"/>
    <s v="Universidade Nova de Lisboa"/>
    <s v="Nova School of Business and Economics"/>
    <x v="0"/>
    <s v="Portugal"/>
    <s v="Europe"/>
    <s v="apayanmartins@gmail.com"/>
    <s v="a.dac@uniandes.edu.co"/>
    <x v="0"/>
    <s v="EGIN"/>
    <s v="ESTUDIOS GENER.DE INTERCAMBIO"/>
    <x v="0"/>
    <s v="ADMI-1603"/>
    <s v="ADMI-3309"/>
    <s v="ADMI-3502"/>
    <s v="ADMI-3431"/>
    <s v="ADMI-2403"/>
    <s v="DEPO-3114"/>
    <m/>
    <m/>
    <m/>
    <m/>
    <m/>
    <m/>
    <x v="0"/>
    <x v="0"/>
  </r>
  <r>
    <x v="3"/>
    <n v="202320"/>
    <n v="202325820"/>
    <s v="Gaspard"/>
    <s v="d'Arthuys"/>
    <s v="Universitat Ramon Llull"/>
    <s v="ESADE"/>
    <x v="0"/>
    <s v="Spain"/>
    <s v="Europe"/>
    <s v="gdarthuys@gmail.com"/>
    <s v="g.d@uniandes.edu.co"/>
    <x v="0"/>
    <s v="EGIN"/>
    <s v="Intercambio"/>
    <x v="0"/>
    <s v="ADMI-1603"/>
    <s v="ADMI-2204"/>
    <s v="ADMI-3110"/>
    <s v="ADMI-3606"/>
    <s v="ADMI-3701"/>
    <m/>
    <m/>
    <m/>
    <m/>
    <m/>
    <m/>
    <m/>
    <x v="0"/>
    <x v="0"/>
  </r>
  <r>
    <x v="3"/>
    <n v="202320"/>
    <n v="202325743"/>
    <s v="charlotte"/>
    <s v="davau"/>
    <s v="Université de Strasbourg"/>
    <s v="EM Strasbourg"/>
    <x v="0"/>
    <s v="France"/>
    <s v="Europe"/>
    <s v="charliloute@gmail.com"/>
    <s v="c.davau@uniandes.edu.co"/>
    <x v="0"/>
    <s v="EGIN"/>
    <s v="Intercambio"/>
    <x v="0"/>
    <s v="ADMI-2301"/>
    <s v="CISO-4029"/>
    <s v="ECON-2501"/>
    <m/>
    <m/>
    <m/>
    <m/>
    <m/>
    <m/>
    <m/>
    <m/>
    <m/>
    <x v="0"/>
    <x v="0"/>
  </r>
  <r>
    <x v="3"/>
    <n v="202320"/>
    <n v="202324243"/>
    <s v="Maria Alejandra Miyuki"/>
    <s v="Davila Nagamine"/>
    <s v="University of Glasgow"/>
    <s v="University of Glasgow"/>
    <x v="0"/>
    <s v="United Kingdom"/>
    <s v="Europe"/>
    <s v="2726163D@student.gla.ac.uk"/>
    <s v="m.davilan@uniandes.edu.co"/>
    <x v="0"/>
    <s v="EGMA"/>
    <s v="GLOCAL"/>
    <x v="0"/>
    <s v="MGAP-4447"/>
    <s v="MGLO-4001"/>
    <s v="MGLO-4003"/>
    <s v="MGLO-4005"/>
    <m/>
    <m/>
    <m/>
    <m/>
    <m/>
    <m/>
    <m/>
    <m/>
    <x v="5"/>
    <x v="1"/>
  </r>
  <r>
    <x v="3"/>
    <n v="202310"/>
    <n v="202225023"/>
    <s v="Matthieu"/>
    <s v="Delattre"/>
    <s v="Université Jean Moulin Lyon 3"/>
    <s v="Universidad Jean Moulin Lyon 3"/>
    <x v="1"/>
    <s v="France"/>
    <s v="Europe"/>
    <s v="matthieu6969@icloud.com"/>
    <s v="m.delattre@uniandes.edu.co"/>
    <x v="0"/>
    <s v="EGIN"/>
    <s v="ESTUDIOS GENER.DE INTERCAMBIO"/>
    <x v="0"/>
    <s v="ADMI-3133"/>
    <s v="ADMI-3210"/>
    <s v="ADMI-3110"/>
    <s v="DEPO-1229"/>
    <s v="ADMI-2106"/>
    <s v="ADMI-3431"/>
    <m/>
    <m/>
    <m/>
    <m/>
    <m/>
    <m/>
    <x v="0"/>
    <x v="0"/>
  </r>
  <r>
    <x v="3"/>
    <n v="202320"/>
    <n v="202325801"/>
    <s v="Daniel"/>
    <s v="Diaz Reyes"/>
    <s v="Instituto Tecnológico y de Estudios Superiores de Monterrey (ITESM)"/>
    <s v="ITESM-EGADE -Instituto tecnológico y de estudios superiores de Monterrey"/>
    <x v="0"/>
    <s v="Mexico"/>
    <s v="North America"/>
    <s v="danield75516@gmail.com"/>
    <s v="d.diazr2@uniandes.edu.co"/>
    <x v="0"/>
    <s v="EGIN"/>
    <s v="Intercambio"/>
    <x v="0"/>
    <s v="ADMI-1603"/>
    <s v="ADMI-2106"/>
    <s v="ADMI-2301"/>
    <s v="ADMI-3110"/>
    <s v="ADMI-3208"/>
    <s v="ADMI-3606"/>
    <m/>
    <m/>
    <m/>
    <m/>
    <m/>
    <m/>
    <x v="0"/>
    <x v="0"/>
  </r>
  <r>
    <x v="3"/>
    <n v="202310"/>
    <n v="202314870"/>
    <s v="Andreea-Monica"/>
    <s v="DINKLAGE"/>
    <s v="Universidade Nova de Lisboa"/>
    <s v="Nova School of Business and Economics"/>
    <x v="0"/>
    <s v="Portugal"/>
    <s v="Europe"/>
    <s v="andreea.dinklage@gmail.com"/>
    <s v="a.dinklage@uniandes.edu.co"/>
    <x v="0"/>
    <s v="EGMA"/>
    <s v="ESTUD.GENER.INTERCAMB.MAESTRIA"/>
    <x v="0"/>
    <s v="MIMC-4003"/>
    <s v="MADM-4410"/>
    <s v="MIMC-4002"/>
    <s v="MIMC-4001"/>
    <s v="MGAD-4454"/>
    <m/>
    <m/>
    <m/>
    <m/>
    <m/>
    <m/>
    <m/>
    <x v="7"/>
    <x v="1"/>
  </r>
  <r>
    <x v="3"/>
    <n v="202320"/>
    <n v="202325763"/>
    <s v="Rahmata"/>
    <s v="DIOP"/>
    <s v="NEOMA Business School"/>
    <s v="ESC Rouen (NEOMA)"/>
    <x v="0"/>
    <s v="France"/>
    <s v="Europe"/>
    <s v="rahmata.diop.21@neoma-bs.com"/>
    <s v="r.diop@uniandes.edu.co"/>
    <x v="0"/>
    <s v="EGIN"/>
    <s v="Intercambio"/>
    <x v="0"/>
    <s v="ADMI-2104"/>
    <s v="ADMI-2301"/>
    <s v="ADMI-3411"/>
    <s v="LENG-1574"/>
    <m/>
    <m/>
    <m/>
    <m/>
    <m/>
    <m/>
    <m/>
    <m/>
    <x v="8"/>
    <x v="1"/>
  </r>
  <r>
    <x v="3"/>
    <n v="202310"/>
    <n v="202316870"/>
    <s v="Pierre Alexander"/>
    <s v="East"/>
    <s v="Maastricht University"/>
    <s v="Maastricht University"/>
    <x v="0"/>
    <s v="Netherlands"/>
    <s v="Europe"/>
    <s v="p.east@student.maastrichtuniversity.nl"/>
    <s v="p.east@uniandes.edu.co"/>
    <x v="0"/>
    <s v="EGIN"/>
    <s v="ESTUDIOS GENER.DE INTERCAMBIO"/>
    <x v="0"/>
    <s v="ADMI-3309"/>
    <s v="ADMI-3133"/>
    <s v="ADMI-3503"/>
    <s v="ADMI-3110"/>
    <s v="ADMI-2403"/>
    <s v="ADMI-2605"/>
    <m/>
    <m/>
    <m/>
    <m/>
    <m/>
    <m/>
    <x v="0"/>
    <x v="0"/>
  </r>
  <r>
    <x v="3"/>
    <n v="202310"/>
    <n v="202316871"/>
    <s v="Alexia Charlotte"/>
    <s v="Farman-Perrin"/>
    <s v="IE Universidad"/>
    <s v="IE Instituto Empresa"/>
    <x v="0"/>
    <s v="Spain"/>
    <s v="Europe"/>
    <s v="afarmanperri.ieu2020@student.ie.edu"/>
    <s v="a.farman@uniandes.edu.co"/>
    <x v="0"/>
    <s v="EGIN"/>
    <s v="ESTUDIOS GENER.DE INTERCAMBIO"/>
    <x v="0"/>
    <s v="CBPC-1075"/>
    <s v="ADMI-3309"/>
    <s v="ADMI-3503"/>
    <s v="ADMI-3411"/>
    <s v="ADMI-1602"/>
    <m/>
    <m/>
    <m/>
    <m/>
    <m/>
    <m/>
    <m/>
    <x v="0"/>
    <x v="0"/>
  </r>
  <r>
    <x v="3"/>
    <n v="202310"/>
    <n v="202316830"/>
    <s v="Carlotta"/>
    <s v="Fattarelli"/>
    <s v="Politecnico di Milano"/>
    <s v="Politecnico di Milano"/>
    <x v="0"/>
    <s v="Italy"/>
    <s v="Europe"/>
    <s v="carlotta.fattarelli@mail.polimi.it"/>
    <s v="c.fattarelli@uniandes.edu.co"/>
    <x v="0"/>
    <s v="EGMA"/>
    <s v="ESTUD.GENER.INTERCAMB.MAESTRIA"/>
    <x v="0"/>
    <s v="MSCM-4029"/>
    <s v="MSCM-4027"/>
    <s v="LENG-1573"/>
    <s v="ADMI-3411"/>
    <s v="IIND-3221"/>
    <s v="IIND-4307"/>
    <s v="IIND-3221T"/>
    <s v="DEPO-1233"/>
    <m/>
    <m/>
    <m/>
    <m/>
    <x v="5"/>
    <x v="1"/>
  </r>
  <r>
    <x v="3"/>
    <n v="202320"/>
    <n v="202316830"/>
    <s v="Carlotta"/>
    <s v="Fattarelli"/>
    <s v="Politecnico di Milano"/>
    <s v="Politecnico di Milano"/>
    <x v="0"/>
    <s v="Italy"/>
    <s v="Europe"/>
    <s v="carlotta.fattarelli@mail.polimi.it"/>
    <s v="c.fattarelli@uniandes.edu.co"/>
    <x v="0"/>
    <s v="EGMA"/>
    <s v="Intercambio"/>
    <x v="0"/>
    <s v="MMER-4348"/>
    <s v="MSCM-4032"/>
    <s v="DEPO-1206"/>
    <s v="DEPO-1218"/>
    <s v="DEPO-1227"/>
    <s v="DEPO-1258"/>
    <s v="ECON-1305"/>
    <s v="MADM-4340"/>
    <m/>
    <m/>
    <m/>
    <m/>
    <x v="5"/>
    <x v="1"/>
  </r>
  <r>
    <x v="3"/>
    <n v="202320"/>
    <n v="202325843"/>
    <s v="Dennis"/>
    <s v="Fischer"/>
    <s v="Maastricht University"/>
    <s v="Maastricht University"/>
    <x v="0"/>
    <s v="Netherlands"/>
    <s v="Europe"/>
    <s v="dennis.fischer@student.maastrichtuniversity.nl"/>
    <s v="d.fischer@uniandes.edu.co"/>
    <x v="0"/>
    <s v="EGIN"/>
    <s v="Intercambio"/>
    <x v="0"/>
    <s v="ADMI-2301"/>
    <s v="ADMI-2403"/>
    <s v="ADMI-3110"/>
    <s v="ADMI-3133"/>
    <s v="ADMI-3210"/>
    <s v="ADMI-3341"/>
    <m/>
    <m/>
    <m/>
    <m/>
    <m/>
    <m/>
    <x v="0"/>
    <x v="0"/>
  </r>
  <r>
    <x v="3"/>
    <n v="202310"/>
    <n v="202316872"/>
    <s v="Thomas Bruno Laurent"/>
    <s v="Garnier Usage Garnier - Tuck - Sherman"/>
    <s v="McGill University"/>
    <s v="McGill University"/>
    <x v="0"/>
    <s v="Canada"/>
    <s v="North America"/>
    <s v="thomas.garnier2@mail.mcgill.ca"/>
    <s v="t.garnier@uniandes.edu.co"/>
    <x v="0"/>
    <s v="EGIN"/>
    <s v="ESTUDIOS GENER.DE INTERCAMBIO"/>
    <x v="0"/>
    <s v="ADMI-3210"/>
    <s v="ADMI-2106"/>
    <s v="CPOL-1300"/>
    <s v="ADMI-1203"/>
    <m/>
    <m/>
    <m/>
    <m/>
    <m/>
    <m/>
    <m/>
    <m/>
    <x v="0"/>
    <x v="0"/>
  </r>
  <r>
    <x v="3"/>
    <n v="202320"/>
    <n v="202325828"/>
    <s v="Kévin"/>
    <s v="Garriet"/>
    <s v="NEOMA Business School"/>
    <s v="ESC Rouen (NEOMA)"/>
    <x v="0"/>
    <s v="France"/>
    <s v="Europe"/>
    <s v="kevin.garriet.21@neoma-bs.com"/>
    <s v="k.garriet@uniandes.edu.co"/>
    <x v="0"/>
    <s v="EGIN"/>
    <s v="Intercambio"/>
    <x v="0"/>
    <s v="ADMI-1102"/>
    <s v="ADMI-1203"/>
    <s v="ADMI-2106"/>
    <s v="ADMI-2301"/>
    <m/>
    <m/>
    <m/>
    <m/>
    <m/>
    <m/>
    <m/>
    <m/>
    <x v="0"/>
    <x v="0"/>
  </r>
  <r>
    <x v="3"/>
    <n v="202320"/>
    <n v="202324234"/>
    <s v="Leilt Assefa"/>
    <s v="Gebeyehu"/>
    <s v="University of Glasgow"/>
    <s v="University of Glasgow"/>
    <x v="0"/>
    <s v="United Kingdom"/>
    <s v="Europe"/>
    <s v="2769982G@student.gla.ac.uk"/>
    <s v="l.gebeyehu@uniandes.edu.co"/>
    <x v="0"/>
    <s v="EGMA"/>
    <s v="GLOCAL"/>
    <x v="0"/>
    <s v="MGAP-4447"/>
    <s v="MGLO-4001"/>
    <s v="MGLO-4003"/>
    <s v="MGLO-4005"/>
    <m/>
    <m/>
    <m/>
    <m/>
    <m/>
    <m/>
    <m/>
    <m/>
    <x v="5"/>
    <x v="1"/>
  </r>
  <r>
    <x v="3"/>
    <n v="202320"/>
    <n v="202325790"/>
    <s v="Alexandra"/>
    <s v="Ghysen"/>
    <s v="Maastricht University"/>
    <s v="Maastricht University"/>
    <x v="0"/>
    <s v="Netherlands"/>
    <s v="Europe"/>
    <s v="junioralexghysen@gmail.com"/>
    <s v="a.ghysen@uniandes.edu.co"/>
    <x v="0"/>
    <s v="EGIN"/>
    <s v="Intercambio"/>
    <x v="0"/>
    <s v="ADMI-1603"/>
    <s v="ADMI-2106"/>
    <s v="ADMI-2403"/>
    <s v="ADMI-2605"/>
    <s v="ADMI-3133"/>
    <s v="ADMI-3341"/>
    <m/>
    <m/>
    <m/>
    <m/>
    <m/>
    <m/>
    <x v="0"/>
    <x v="0"/>
  </r>
  <r>
    <x v="3"/>
    <n v="202320"/>
    <n v="202326508"/>
    <s v="Augustin Cédric Y"/>
    <s v="Gilliot"/>
    <s v="Université Catholique de Louvain"/>
    <s v="Université Catholique de Louvain"/>
    <x v="1"/>
    <s v="Belgium"/>
    <s v="Europe"/>
    <s v="augustin.gilliot@gmail.com"/>
    <s v="a.gilliot@uniandes.edu.co"/>
    <x v="0"/>
    <s v="EGMA"/>
    <s v="CEMS"/>
    <x v="0"/>
    <s v="MIFI-4004"/>
    <s v="MIMC-4006"/>
    <s v="MIMC-4007"/>
    <s v="MGLO-4002"/>
    <s v="MGLO-4004"/>
    <s v="MIMC-4005"/>
    <m/>
    <m/>
    <m/>
    <m/>
    <m/>
    <m/>
    <x v="7"/>
    <x v="1"/>
  </r>
  <r>
    <x v="3"/>
    <n v="202310"/>
    <n v="202316831"/>
    <s v="Hendrik"/>
    <s v="Götz"/>
    <s v="Kühne Logistics University"/>
    <s v="KLU Kühne Logistics University"/>
    <x v="0"/>
    <s v="Germany"/>
    <s v="Europe"/>
    <s v="hendrik.goetz@stud.the-klu.org"/>
    <s v="h.gotz@uniandes.edu.co"/>
    <x v="0"/>
    <s v="EGIN"/>
    <s v="ESTUDIOS GENER.DE INTERCAMBIO"/>
    <x v="0"/>
    <s v="ADMI-3503"/>
    <s v="ADMI-3110"/>
    <s v="LENG-1572"/>
    <s v="ADMI-2106"/>
    <s v="CBCA-1245"/>
    <s v="ADMI-2403"/>
    <m/>
    <m/>
    <m/>
    <m/>
    <m/>
    <m/>
    <x v="5"/>
    <x v="1"/>
  </r>
  <r>
    <x v="3"/>
    <n v="202320"/>
    <n v="202325758"/>
    <s v="Karolin"/>
    <s v="Grunewald"/>
    <s v="Maastricht University"/>
    <s v="Maastricht University"/>
    <x v="0"/>
    <s v="Netherlands"/>
    <s v="Europe"/>
    <s v="k.grunewald@student.maastrichtuniversity.nl"/>
    <s v="k.grunewald@uniandes.edu.co"/>
    <x v="0"/>
    <s v="EGIN"/>
    <s v="Intercambio"/>
    <x v="0"/>
    <s v="ADMI-1603"/>
    <s v="ADMI-2106"/>
    <s v="ADMI-2403"/>
    <s v="ADMI-2605"/>
    <s v="ADMI-3133"/>
    <s v="ADMI-3341"/>
    <m/>
    <m/>
    <m/>
    <m/>
    <m/>
    <m/>
    <x v="0"/>
    <x v="0"/>
  </r>
  <r>
    <x v="3"/>
    <n v="202310"/>
    <n v="202316876"/>
    <s v="Lola Alice Angéle"/>
    <s v="Habran"/>
    <s v="NEOMA Business School"/>
    <s v="ESC Rouen (NEOMA)"/>
    <x v="0"/>
    <s v="France"/>
    <s v="Europe"/>
    <s v="lola.habran.20.2@neoma-bs.com"/>
    <s v="l.habran@uniandes.edu.co"/>
    <x v="0"/>
    <s v="EGIN"/>
    <s v="ESTUDIOS GENER.DE INTERCAMBIO"/>
    <x v="0"/>
    <s v="ADMI-3133"/>
    <s v="ADMI-3336"/>
    <s v="LENG-1573"/>
    <s v="ADMI-2605"/>
    <m/>
    <m/>
    <m/>
    <m/>
    <m/>
    <m/>
    <m/>
    <m/>
    <x v="0"/>
    <x v="0"/>
  </r>
  <r>
    <x v="3"/>
    <n v="202320"/>
    <n v="202325840"/>
    <s v="Anton"/>
    <s v="Hahnewald"/>
    <s v="Jönköping University"/>
    <s v="JIBS Jönköping International Business School"/>
    <x v="0"/>
    <s v="Sweden"/>
    <s v="Europe"/>
    <s v="anton.hahnewald@web.de"/>
    <s v="a.hahnewald@uniandes.edu.co"/>
    <x v="0"/>
    <s v="EGIN"/>
    <s v="Intercambio"/>
    <x v="0"/>
    <s v="ADMI-1603"/>
    <s v="ADMI-3110"/>
    <s v="ADMI-3341"/>
    <s v="ADMI-3620"/>
    <s v="LENG-1570"/>
    <m/>
    <m/>
    <m/>
    <m/>
    <m/>
    <m/>
    <m/>
    <x v="0"/>
    <x v="0"/>
  </r>
  <r>
    <x v="3"/>
    <n v="202320"/>
    <n v="202325846"/>
    <s v="Dana"/>
    <s v="Hammerich"/>
    <s v="Université de Genève"/>
    <s v="Université de Genève"/>
    <x v="1"/>
    <s v="Switzerland"/>
    <s v="Europe"/>
    <s v="danahammerich@gmail.com"/>
    <s v="d.hammerich@uniandes.edu.co"/>
    <x v="0"/>
    <s v="EGIN"/>
    <s v="Intercambio"/>
    <x v="0"/>
    <s v="ADMI-2106"/>
    <s v="ADMI-3110"/>
    <s v="ADMI-3133"/>
    <s v="ADMI-3211"/>
    <s v="ADMI-3341"/>
    <s v="LENG-1572"/>
    <s v="DEPO-1222"/>
    <m/>
    <m/>
    <m/>
    <m/>
    <m/>
    <x v="0"/>
    <x v="0"/>
  </r>
  <r>
    <x v="3"/>
    <n v="202310"/>
    <n v="202314871"/>
    <s v="Ambre Bertille Marie Sophie"/>
    <s v="HENNION"/>
    <s v="HEC School of Management"/>
    <s v="HEC Paris"/>
    <x v="0"/>
    <s v="France"/>
    <s v="Europe"/>
    <s v="ambre.hennion@hec.edu"/>
    <s v="a.hennion@uniandes.edu.co"/>
    <x v="0"/>
    <s v="EGMA"/>
    <s v="ESTUD.GENER.INTERCAMB.MAESTRIA"/>
    <x v="0"/>
    <s v="MIMC-4003"/>
    <s v="MADM-4410"/>
    <s v="MIMC-4002"/>
    <s v="MIMC-4001"/>
    <s v="MGAD-4454"/>
    <m/>
    <m/>
    <m/>
    <m/>
    <m/>
    <m/>
    <m/>
    <x v="7"/>
    <x v="1"/>
  </r>
  <r>
    <x v="3"/>
    <n v="202320"/>
    <n v="202325885"/>
    <s v="Alexandre"/>
    <s v="Hess"/>
    <s v="Universität St. Gallen"/>
    <s v="University of Saint Gallen"/>
    <x v="0"/>
    <s v="Switzerland"/>
    <s v="Europe"/>
    <s v="alexandre.hess@student.unisg.ch"/>
    <s v="a.hess@uniandes.edu.co"/>
    <x v="0"/>
    <s v="EGMA"/>
    <s v="Intercambio"/>
    <x v="0"/>
    <s v="MIFI-4003"/>
    <s v="MFIN-4203"/>
    <s v="CBCO-1293"/>
    <s v="CBCO-1294"/>
    <s v="MFIN-4256"/>
    <s v="CBCO-1411"/>
    <m/>
    <m/>
    <m/>
    <m/>
    <m/>
    <m/>
    <x v="0"/>
    <x v="0"/>
  </r>
  <r>
    <x v="3"/>
    <n v="202320"/>
    <n v="202325809"/>
    <s v="Laura"/>
    <s v="Hilgenga"/>
    <s v="Universiteit Utrecht"/>
    <s v="Universiteit Utrecht"/>
    <x v="0"/>
    <s v="Netherlands"/>
    <s v="Europe"/>
    <s v="l.e.hilgenga@students.uu.nl"/>
    <s v="l.hilgenga@uniandes.edu.co"/>
    <x v="0"/>
    <s v="EGIN"/>
    <s v="Intercambio"/>
    <x v="0"/>
    <s v="ADMI-1603"/>
    <s v="ADMI-2301"/>
    <s v="ADMI-2605"/>
    <s v="ADMI-3110"/>
    <s v="GEOC-1002"/>
    <s v="LENG-1570"/>
    <s v="DEPO-1218"/>
    <m/>
    <m/>
    <m/>
    <m/>
    <m/>
    <x v="0"/>
    <x v="0"/>
  </r>
  <r>
    <x v="3"/>
    <n v="202320"/>
    <n v="202326509"/>
    <s v="Marta"/>
    <s v="Inocéncio"/>
    <s v="Universitat Ramon Llull"/>
    <s v="ESADE"/>
    <x v="0"/>
    <s v="Spain"/>
    <s v="Europe"/>
    <s v="marta.inocencio@hotmail.com"/>
    <s v="m.deoliveiramartins@uniandes.edu.co"/>
    <x v="0"/>
    <s v="EGMA"/>
    <s v="CEMS"/>
    <x v="0"/>
    <s v="MIMC-4006"/>
    <s v="MIMC-4007"/>
    <s v="MGLO-4002"/>
    <s v="MGLO-4004"/>
    <s v="MIMC-4004"/>
    <s v="MIMC-4005"/>
    <m/>
    <m/>
    <m/>
    <m/>
    <m/>
    <m/>
    <x v="7"/>
    <x v="1"/>
  </r>
  <r>
    <x v="3"/>
    <n v="202310"/>
    <n v="202316882"/>
    <s v="Jeanne"/>
    <s v="Jestin"/>
    <s v="HEC School of Management"/>
    <s v="HEC Paris"/>
    <x v="0"/>
    <s v="France"/>
    <s v="Europe"/>
    <s v="jeanne.jestin@hec.edu"/>
    <s v="j.jestin@uniandes.edu.co"/>
    <x v="0"/>
    <s v="EGIN"/>
    <s v="ESTUDIOS GENER.DE INTERCAMBIO"/>
    <x v="0"/>
    <s v="ADMI-2501"/>
    <s v="ADMI-3606"/>
    <s v="ADMI-3110"/>
    <s v="ECON-1001"/>
    <m/>
    <m/>
    <m/>
    <m/>
    <m/>
    <m/>
    <m/>
    <m/>
    <x v="0"/>
    <x v="0"/>
  </r>
  <r>
    <x v="3"/>
    <n v="202310"/>
    <n v="202316886"/>
    <s v="Iiro Aleksanteri"/>
    <s v="Korhonen"/>
    <s v="Aalto University"/>
    <s v="Aalto University"/>
    <x v="0"/>
    <s v="Finland"/>
    <s v="Europe"/>
    <s v="iiro.korhonen@aalto.fi"/>
    <s v="i.korhonen@uniandes.edu.co"/>
    <x v="0"/>
    <s v="EGIN"/>
    <s v="ESTUDIOS GENER.DE INTERCAMBIO"/>
    <x v="0"/>
    <s v="ADMI-1603"/>
    <s v="GLOB-2101"/>
    <s v="ADMI-3503"/>
    <s v="ADMI-2403"/>
    <s v="ADMI-2605"/>
    <m/>
    <m/>
    <m/>
    <m/>
    <m/>
    <m/>
    <m/>
    <x v="0"/>
    <x v="0"/>
  </r>
  <r>
    <x v="3"/>
    <n v="202310"/>
    <n v="202316887"/>
    <s v="Julia Marguerite Cornélie"/>
    <s v="kotlar"/>
    <s v="Audencia Business School"/>
    <s v="Audencia. École de Management"/>
    <x v="0"/>
    <s v="France"/>
    <s v="Europe"/>
    <s v="julia.kotlar@audencia.com"/>
    <s v="j.kotlar@uniandes.edu.co"/>
    <x v="0"/>
    <s v="EGIN"/>
    <s v="ESTUDIOS GENER.DE INTERCAMBIO"/>
    <x v="0"/>
    <s v="ADMI-3205"/>
    <s v="ADMI-3606"/>
    <s v="ADMI-3110"/>
    <s v="ADMI-2106"/>
    <s v="ADMI-2801"/>
    <m/>
    <m/>
    <m/>
    <m/>
    <m/>
    <m/>
    <m/>
    <x v="0"/>
    <x v="0"/>
  </r>
  <r>
    <x v="3"/>
    <n v="202320"/>
    <n v="202325772"/>
    <s v="Lívia"/>
    <s v="Lakatos"/>
    <s v="Roskilde Universitet"/>
    <s v="Roskilde University"/>
    <x v="1"/>
    <s v="Denmark"/>
    <s v="Europe"/>
    <s v="livial@ruc.dk"/>
    <s v="l.lakatos@uniandes.edu.co"/>
    <x v="0"/>
    <s v="EGMA"/>
    <s v="Intercambio"/>
    <x v="0"/>
    <s v="MIMC-4007"/>
    <s v="MGAP-4447"/>
    <s v="MGLO-4002"/>
    <s v="MGLO-4004"/>
    <s v="MGLO-4005"/>
    <m/>
    <m/>
    <m/>
    <m/>
    <m/>
    <m/>
    <m/>
    <x v="8"/>
    <x v="1"/>
  </r>
  <r>
    <x v="3"/>
    <n v="202320"/>
    <n v="202325821"/>
    <s v="Rosana"/>
    <s v="Lemaire"/>
    <s v="Universitat Ramon Llull"/>
    <s v="ESADE"/>
    <x v="0"/>
    <s v="Spain"/>
    <s v="Europe"/>
    <s v="rosanalmr@gmail.com"/>
    <s v="r.lemaire@uniandes.edu.co"/>
    <x v="0"/>
    <s v="EGIN"/>
    <s v="Intercambio"/>
    <x v="0"/>
    <s v="ADMI-1203"/>
    <s v="ADMI-1603"/>
    <s v="ADMI-2204"/>
    <s v="ADMI-3606"/>
    <s v="ADMI-3701"/>
    <s v="DEPO-1242"/>
    <m/>
    <m/>
    <m/>
    <m/>
    <m/>
    <m/>
    <x v="0"/>
    <x v="0"/>
  </r>
  <r>
    <x v="3"/>
    <n v="202320"/>
    <n v="202325825"/>
    <s v="Margot"/>
    <s v="Lemoine"/>
    <s v="Audencia Business School"/>
    <s v="Audencia. École de Management"/>
    <x v="0"/>
    <s v="France"/>
    <s v="Europe"/>
    <s v="margot.lemoine@audencia.com"/>
    <s v="m.lemoine@uniandes.edu.co"/>
    <x v="0"/>
    <s v="EGIN"/>
    <s v="Intercambio"/>
    <x v="0"/>
    <s v="ADMI-2104"/>
    <s v="ADMI-2106"/>
    <s v="ADMI-2501"/>
    <s v="ADMI-3128"/>
    <s v="ADMI-3502"/>
    <m/>
    <m/>
    <m/>
    <m/>
    <m/>
    <m/>
    <m/>
    <x v="0"/>
    <x v="0"/>
  </r>
  <r>
    <x v="3"/>
    <n v="202320"/>
    <n v="202325819"/>
    <s v="Nicola"/>
    <s v="Letizia"/>
    <s v="Università Commerciale 'Luigi Bocconi' di Milano"/>
    <s v="Università Commerciale Luigi Bocconi"/>
    <x v="0"/>
    <s v="Italy"/>
    <s v="Europe"/>
    <s v="nicola.letizia@studbocconi.it"/>
    <s v="n.letizia@uniandes.edu.co"/>
    <x v="0"/>
    <s v="EGIN"/>
    <s v="Intercambio"/>
    <x v="0"/>
    <s v="ADMI-2204"/>
    <s v="ADMI-2301"/>
    <s v="ADMI-2801"/>
    <s v="ADMI-3502"/>
    <s v="EGOB-1601"/>
    <m/>
    <m/>
    <m/>
    <m/>
    <m/>
    <m/>
    <m/>
    <x v="0"/>
    <x v="0"/>
  </r>
  <r>
    <x v="3"/>
    <n v="202320"/>
    <n v="202325883"/>
    <s v="Manuel"/>
    <s v="Magalhães"/>
    <s v="Universidade Católica Portuguesa"/>
    <s v="Catolica Lisbon Business &amp; Economics. Universidade Católica Portuguesa"/>
    <x v="0"/>
    <s v="Portugal"/>
    <s v="Europe"/>
    <s v="manuellimamagalhaes@gmail.com"/>
    <s v="m.coutinho@uniandes.edu.co"/>
    <x v="0"/>
    <s v="EGIN"/>
    <s v="Intercambio"/>
    <x v="0"/>
    <s v="ADMI-2106"/>
    <s v="ADMI-2207"/>
    <s v="ADMI-3110"/>
    <s v="ECON-2112"/>
    <s v="ECON-3212"/>
    <m/>
    <m/>
    <m/>
    <m/>
    <m/>
    <m/>
    <m/>
    <x v="0"/>
    <x v="0"/>
  </r>
  <r>
    <x v="3"/>
    <n v="202310"/>
    <n v="202314876"/>
    <s v="Zharkynai"/>
    <s v="Maratbek kyzy"/>
    <s v="American University of Central Asia"/>
    <s v="American University of Central Asia"/>
    <x v="1"/>
    <s v="Kyrgyzstan"/>
    <s v="Asia"/>
    <s v="maratbek_z@auca.kg"/>
    <s v="z.maratbek@uniandes.edu.co"/>
    <x v="0"/>
    <s v="EGIN"/>
    <s v="ESTUDIOS GENER.DE INTERCAMBIO"/>
    <x v="0"/>
    <s v="ADMI-1603"/>
    <s v="ADMI-2204"/>
    <s v="ADMI-2403"/>
    <s v="ADMI-2605"/>
    <s v="ADMI-1203"/>
    <m/>
    <m/>
    <m/>
    <m/>
    <m/>
    <m/>
    <m/>
    <x v="0"/>
    <x v="0"/>
  </r>
  <r>
    <x v="3"/>
    <n v="202320"/>
    <n v="202325817"/>
    <s v="Francesco Maria"/>
    <s v="Messina"/>
    <s v="Università Commerciale 'Luigi Bocconi' di Milano"/>
    <s v="Università Commerciale Luigi Bocconi"/>
    <x v="0"/>
    <s v="Italy"/>
    <s v="Europe"/>
    <s v="francesco.messina2@studbocconi.it"/>
    <s v="f.messina@uniandes.edu.co"/>
    <x v="0"/>
    <s v="EGIN"/>
    <s v="Intercambio"/>
    <x v="0"/>
    <s v="ADMI-2204"/>
    <s v="ADMI-2301"/>
    <s v="ADMI-2801"/>
    <s v="ADMI-3502"/>
    <s v="EGOB-1601"/>
    <m/>
    <m/>
    <m/>
    <m/>
    <m/>
    <m/>
    <m/>
    <x v="0"/>
    <x v="0"/>
  </r>
  <r>
    <x v="3"/>
    <n v="202310"/>
    <n v="202316896"/>
    <s v="Juliette Suzanne Lisa"/>
    <s v="Missioux"/>
    <s v="Audencia Business School"/>
    <s v="Audencia. École de Management"/>
    <x v="0"/>
    <s v="France"/>
    <s v="Europe"/>
    <s v="juliette.missioux@audencia.com"/>
    <s v="j.missioux@uniandes.edu.co"/>
    <x v="0"/>
    <s v="EGIN"/>
    <s v="ESTUDIOS GENER.DE INTERCAMBIO"/>
    <x v="0"/>
    <s v="ADMI-3133"/>
    <s v="ADMI-3110"/>
    <s v="ADMI-2106"/>
    <s v="ADMI-3411"/>
    <s v="ADMI-3431"/>
    <m/>
    <m/>
    <m/>
    <m/>
    <m/>
    <m/>
    <m/>
    <x v="0"/>
    <x v="0"/>
  </r>
  <r>
    <x v="3"/>
    <n v="202320"/>
    <n v="202325770"/>
    <s v="Ahmed"/>
    <s v="Mougou"/>
    <s v="ESCP Europe"/>
    <s v="ESCP"/>
    <x v="0"/>
    <s v="France"/>
    <s v="Europe"/>
    <s v="ahmed.mougou@edu.escp.eu"/>
    <s v="a.mougou@uniandes.edu.co"/>
    <x v="0"/>
    <s v="EGMA"/>
    <s v="Intercambio"/>
    <x v="0"/>
    <s v="ADMI-3110"/>
    <s v="MADM-4338"/>
    <s v="MIMC-4004"/>
    <s v="MADM-4113"/>
    <s v="DEPO-1231"/>
    <s v="MADM-4936"/>
    <m/>
    <m/>
    <m/>
    <m/>
    <m/>
    <m/>
    <x v="7"/>
    <x v="1"/>
  </r>
  <r>
    <x v="3"/>
    <n v="202320"/>
    <n v="202324262"/>
    <s v="Amniya"/>
    <s v="Muminshoeva"/>
    <s v="American University of Central Asia"/>
    <s v="American University of Central Asia"/>
    <x v="1"/>
    <s v="Kyrgyzstan"/>
    <s v="Asia"/>
    <s v="muminshoeva_a@auca.kg"/>
    <s v="a.muminshoeva@uniandes.edu.co"/>
    <x v="0"/>
    <s v="EGIN"/>
    <s v="OSUN"/>
    <x v="0"/>
    <s v="ADMI-1603"/>
    <s v="ADMI-2301"/>
    <s v="ADMI-3341"/>
    <s v="CBPC-1435"/>
    <m/>
    <m/>
    <m/>
    <m/>
    <m/>
    <m/>
    <m/>
    <m/>
    <x v="0"/>
    <x v="0"/>
  </r>
  <r>
    <x v="3"/>
    <n v="202320"/>
    <n v="202324240"/>
    <s v="Laura"/>
    <s v="Neill"/>
    <s v="University of Glasgow"/>
    <s v="University of Glasgow"/>
    <x v="0"/>
    <s v="United Kingdom"/>
    <s v="Europe"/>
    <s v="lauraneill@live.co.uk"/>
    <s v="l.neill@uniandes.edu.co"/>
    <x v="0"/>
    <s v="EGMA"/>
    <s v="GLOCAL"/>
    <x v="0"/>
    <s v="MGAP-4447"/>
    <s v="MGLO-4001"/>
    <s v="MGLO-4003"/>
    <s v="MGLO-4005"/>
    <m/>
    <m/>
    <m/>
    <m/>
    <m/>
    <m/>
    <m/>
    <m/>
    <x v="5"/>
    <x v="1"/>
  </r>
  <r>
    <x v="3"/>
    <n v="202310"/>
    <n v="202314872"/>
    <s v="Karl Axel"/>
    <s v="NORDLIN"/>
    <s v="Handelshøjskolen i København"/>
    <s v="CBS- Copenhagen Business School  "/>
    <x v="0"/>
    <s v="Denmark"/>
    <s v="Europe"/>
    <s v="axel@nordlin.com"/>
    <s v="k.nordlin@uniandes.edu.co"/>
    <x v="0"/>
    <s v="EGMA"/>
    <s v="ESTUD.GENER.INTERCAMB.MAESTRIA"/>
    <x v="0"/>
    <s v="MIMC-4003"/>
    <s v="MADM-4939"/>
    <s v="MADM-4462"/>
    <s v="MIMC-4002"/>
    <s v="MIMC-4001"/>
    <m/>
    <m/>
    <m/>
    <m/>
    <m/>
    <m/>
    <m/>
    <x v="7"/>
    <x v="1"/>
  </r>
  <r>
    <x v="3"/>
    <n v="202320"/>
    <n v="202325779"/>
    <s v="Pauline"/>
    <s v="NUSSLE"/>
    <s v="Grenoble Ecole de Management"/>
    <s v="Grenoble. École de Management"/>
    <x v="0"/>
    <s v="France"/>
    <s v="Europe"/>
    <s v="pauline.nussle@grenoble-em.com"/>
    <s v="p.nussle@uniandes.edu.co"/>
    <x v="0"/>
    <s v="EGIN"/>
    <s v="Intercambio"/>
    <x v="0"/>
    <s v="ADMI-1603"/>
    <s v="ADMI-3406"/>
    <s v="ARTE-1144"/>
    <s v="MBIT-4211"/>
    <s v="MGIT-4104"/>
    <m/>
    <m/>
    <m/>
    <m/>
    <m/>
    <m/>
    <m/>
    <x v="9"/>
    <x v="1"/>
  </r>
  <r>
    <x v="3"/>
    <n v="202320"/>
    <n v="202325882"/>
    <s v="Mafalda"/>
    <s v="Paixão"/>
    <s v="Universidade Católica Portuguesa"/>
    <s v="Catolica Lisbon Business &amp; Economics. Universidade Católica Portuguesa"/>
    <x v="0"/>
    <s v="Portugal"/>
    <s v="Europe"/>
    <s v="paixaomafalda@gmail.com"/>
    <s v="m.garciap23@uniandes.edu.co"/>
    <x v="0"/>
    <s v="EGIN"/>
    <s v="Intercambio"/>
    <x v="0"/>
    <s v="ADMI-2403"/>
    <s v="ADMI-3110"/>
    <s v="ADMI-3341"/>
    <s v="ADMI-3431"/>
    <s v="ADMI-3502"/>
    <s v="ADMI-3701"/>
    <m/>
    <m/>
    <m/>
    <m/>
    <m/>
    <m/>
    <x v="0"/>
    <x v="0"/>
  </r>
  <r>
    <x v="3"/>
    <n v="202320"/>
    <n v="202325841"/>
    <s v="Thomas"/>
    <s v="Plail"/>
    <s v="Jönköping University"/>
    <s v="JIBS Jönköping International Business School"/>
    <x v="0"/>
    <s v="Sweden"/>
    <s v="Europe"/>
    <s v="plth22wq@student.ju.se"/>
    <s v="t.plail@uniandes.edu.co"/>
    <x v="0"/>
    <s v="EGIN"/>
    <s v="Intercambio"/>
    <x v="0"/>
    <s v="ADMI-1603"/>
    <s v="ADMI-2204"/>
    <s v="ADMI-3110"/>
    <s v="ADMI-3133"/>
    <s v="ADMI-3405"/>
    <s v="LENG-1570"/>
    <m/>
    <m/>
    <m/>
    <m/>
    <m/>
    <m/>
    <x v="0"/>
    <x v="0"/>
  </r>
  <r>
    <x v="3"/>
    <n v="202320"/>
    <n v="202325807"/>
    <s v="Loay"/>
    <s v="Rabky"/>
    <s v="Universitat Ramon Llull"/>
    <s v="ESADE"/>
    <x v="0"/>
    <s v="Spain"/>
    <s v="Europe"/>
    <s v="re.loay@gmail.com"/>
    <s v="l.rabky@uniandes.edu.co"/>
    <x v="0"/>
    <s v="EGIN"/>
    <s v="Intercambio"/>
    <x v="0"/>
    <s v="ADMI-3133"/>
    <s v="ADMI-3205"/>
    <s v="ADMI-3606"/>
    <s v="ECON-1502"/>
    <m/>
    <m/>
    <m/>
    <m/>
    <m/>
    <m/>
    <m/>
    <m/>
    <x v="0"/>
    <x v="0"/>
  </r>
  <r>
    <x v="3"/>
    <n v="202320"/>
    <n v="202325845"/>
    <s v="Bennet"/>
    <s v="Rauno"/>
    <s v="Handelshøjskolen i København"/>
    <s v="CBS- Copenhagen Business School  "/>
    <x v="0"/>
    <s v="Denmark"/>
    <s v="Europe"/>
    <s v="raunobennet@gmail.com"/>
    <s v="b.rauno@uniandes.edu.co"/>
    <x v="0"/>
    <s v="EGIN"/>
    <s v="Intercambio"/>
    <x v="0"/>
    <s v="ADMI-1203"/>
    <s v="ADMI-2106"/>
    <s v="ADMI-2204"/>
    <s v="ADMI-2301"/>
    <s v="ADMI-3110"/>
    <s v="LENG-1570"/>
    <m/>
    <m/>
    <m/>
    <m/>
    <m/>
    <m/>
    <x v="0"/>
    <x v="0"/>
  </r>
  <r>
    <x v="3"/>
    <n v="202320"/>
    <n v="202325877"/>
    <s v="Manuel Pedro"/>
    <s v="Rufino Oliveira Machado Pimenta"/>
    <s v="Universidade Nova de Lisboa"/>
    <s v="Nova School of Business and Economics"/>
    <x v="0"/>
    <s v="Portugal"/>
    <s v="Europe"/>
    <s v="52167@novasbe.pt"/>
    <s v="m.rufino@uniandes.edu.co"/>
    <x v="0"/>
    <s v="EGIN"/>
    <s v="Intercambio"/>
    <x v="0"/>
    <s v="ADMI-1190"/>
    <s v="ADMI-2106"/>
    <s v="ADMI-2403"/>
    <s v="ADMI-2801"/>
    <s v="ADMI-3110"/>
    <s v="ADMI-3502"/>
    <m/>
    <m/>
    <m/>
    <m/>
    <m/>
    <m/>
    <x v="0"/>
    <x v="0"/>
  </r>
  <r>
    <x v="3"/>
    <n v="202310"/>
    <n v="202316901"/>
    <s v="Fynn"/>
    <s v="Schaefer"/>
    <s v="Maastricht University"/>
    <s v="Maastricht University"/>
    <x v="0"/>
    <s v="Netherlands"/>
    <s v="Europe"/>
    <s v="fynn@schaefer-moringen.de"/>
    <s v="f.schaefer@uniandes.edu.co"/>
    <x v="0"/>
    <s v="EGIN"/>
    <s v="ESTUDIOS GENER.DE INTERCAMBIO"/>
    <x v="0"/>
    <s v="ADMI-3133"/>
    <s v="ADMI-3336"/>
    <s v="ADMI-3503"/>
    <s v="ADMI-3210"/>
    <s v="LENG-1572"/>
    <s v="ADMI-2301"/>
    <s v="ECON-1001"/>
    <m/>
    <m/>
    <m/>
    <m/>
    <m/>
    <x v="0"/>
    <x v="0"/>
  </r>
  <r>
    <x v="3"/>
    <n v="202310"/>
    <n v="202316903"/>
    <s v="Lucie"/>
    <s v="Schorderet"/>
    <s v="ICN Business School"/>
    <s v="ICN Business School - Institut Commercial de Nancy"/>
    <x v="0"/>
    <s v="France"/>
    <s v="Europe"/>
    <s v="lucie.schorderet@icn-artem.com"/>
    <s v="l.schorderet@uniandes.edu.co"/>
    <x v="0"/>
    <s v="EGIN"/>
    <s v="ESTUDIOS GENER.DE INTERCAMBIO"/>
    <x v="0"/>
    <s v="ADMI-3705"/>
    <s v="ADMI-3606"/>
    <s v="LENG-1574"/>
    <s v="ADMI-3701"/>
    <m/>
    <m/>
    <m/>
    <m/>
    <m/>
    <m/>
    <m/>
    <m/>
    <x v="0"/>
    <x v="0"/>
  </r>
  <r>
    <x v="3"/>
    <n v="202320"/>
    <n v="202214275"/>
    <s v="Nadine"/>
    <s v="Schuller"/>
    <s v="University of Glasgow"/>
    <s v="University of Glasgow"/>
    <x v="0"/>
    <s v="United Kingdom"/>
    <s v="Europe"/>
    <s v="nadine.schuller.art@gmail.com"/>
    <s v="n.schuller@uniandes.edu.co"/>
    <x v="0"/>
    <s v="EGMA"/>
    <s v="GLOCAL"/>
    <x v="0"/>
    <s v="MGAP-4447"/>
    <s v="MGLO-4001"/>
    <s v="MGLO-4003"/>
    <s v="MGLO-4005"/>
    <m/>
    <m/>
    <m/>
    <m/>
    <m/>
    <m/>
    <m/>
    <m/>
    <x v="5"/>
    <x v="1"/>
  </r>
  <r>
    <x v="3"/>
    <n v="202320"/>
    <n v="202325727"/>
    <s v="Gypsy"/>
    <s v="Scott"/>
    <s v="University of Sussex"/>
    <s v="University of Sussex"/>
    <x v="1"/>
    <s v="United Kingdom"/>
    <s v="Europe"/>
    <s v="gypsyscottany@gmail.com"/>
    <s v="g.scott@uniandes.edu.co"/>
    <x v="0"/>
    <s v="EGIN"/>
    <s v="Intercambio"/>
    <x v="0"/>
    <s v="ADMI-2301"/>
    <s v="LENG-1573"/>
    <s v="DEPO-1227"/>
    <s v="DEPO-1220"/>
    <m/>
    <m/>
    <m/>
    <m/>
    <m/>
    <m/>
    <m/>
    <m/>
    <x v="0"/>
    <x v="0"/>
  </r>
  <r>
    <x v="3"/>
    <n v="202310"/>
    <n v="202316837"/>
    <s v="Lotfi"/>
    <s v="Semmar"/>
    <s v="ESCP Europe"/>
    <s v="ESCP"/>
    <x v="0"/>
    <s v="France"/>
    <s v="Europe"/>
    <s v="lotfi.semmar@edu.escp.eu"/>
    <s v="l.semmar@uniandes.edu.co"/>
    <x v="0"/>
    <s v="EGMA"/>
    <s v="ESTUD.GENER.INTERCAMB.MAESTRIA"/>
    <x v="0"/>
    <s v="MADM-4701"/>
    <s v="MIMC-4001"/>
    <s v="MADM-4652"/>
    <m/>
    <m/>
    <m/>
    <m/>
    <m/>
    <m/>
    <m/>
    <m/>
    <m/>
    <x v="5"/>
    <x v="1"/>
  </r>
  <r>
    <x v="3"/>
    <n v="202310"/>
    <n v="202314873"/>
    <s v="Renzo Adriano"/>
    <s v="STAUBLI"/>
    <s v="Universität St. Gallen"/>
    <s v="University of Saint Gallen"/>
    <x v="0"/>
    <s v="Switzerland"/>
    <s v="Europe"/>
    <s v="renzo.staubli@student.unisg.ch"/>
    <s v="r.staubli@uniandes.edu.co"/>
    <x v="0"/>
    <s v="EGMA"/>
    <s v="ESTUD.GENER.INTERCAMB.MAESTRIA"/>
    <x v="0"/>
    <s v="MIMC-4003"/>
    <s v="MADM-4410"/>
    <s v="MADM-4462"/>
    <s v="MIMC-4002"/>
    <s v="MIMC-4001"/>
    <s v="MIMC-4004"/>
    <s v="MADM-4051"/>
    <m/>
    <m/>
    <m/>
    <m/>
    <m/>
    <x v="7"/>
    <x v="1"/>
  </r>
  <r>
    <x v="3"/>
    <n v="202320"/>
    <n v="202325881"/>
    <s v="Guadalupe"/>
    <s v="Tabot"/>
    <s v="Universidade Católica Portuguesa"/>
    <s v="Catolica Lisbon Business &amp; Economics. Universidade Católica Portuguesa"/>
    <x v="0"/>
    <s v="Portugal"/>
    <s v="Europe"/>
    <s v="s-gtabot@ucp.pt"/>
    <s v="g.zilhao@uniandes.edu.co"/>
    <x v="0"/>
    <s v="EGIN"/>
    <s v="Intercambio"/>
    <x v="0"/>
    <s v="ADMI-2403"/>
    <s v="ADMI-3110"/>
    <s v="ADMI-3341"/>
    <s v="ADMI-3431"/>
    <s v="ADMI-3606"/>
    <s v="ADMI-3701"/>
    <m/>
    <m/>
    <m/>
    <m/>
    <m/>
    <m/>
    <x v="0"/>
    <x v="0"/>
  </r>
  <r>
    <x v="3"/>
    <n v="202320"/>
    <n v="202324247"/>
    <s v="Johanna"/>
    <s v="Tesch"/>
    <s v="University of Glasgow"/>
    <s v="University of Glasgow"/>
    <x v="0"/>
    <s v="United Kingdom"/>
    <s v="Europe"/>
    <s v="2785604t@student.gla.ac.uk"/>
    <s v="j.tesch@uniandes.edu.co"/>
    <x v="0"/>
    <s v="EGMA"/>
    <s v="GLOCAL"/>
    <x v="0"/>
    <s v="MGAP-4447"/>
    <s v="MGLO-4001"/>
    <s v="MGLO-4003"/>
    <s v="MGLO-4005"/>
    <m/>
    <m/>
    <m/>
    <m/>
    <m/>
    <m/>
    <m/>
    <m/>
    <x v="5"/>
    <x v="1"/>
  </r>
  <r>
    <x v="3"/>
    <n v="202310"/>
    <n v="202316908"/>
    <s v="Marie-Zoe Senta Rita"/>
    <s v="Teschauer"/>
    <s v="Maastricht University"/>
    <s v="Maastricht University"/>
    <x v="0"/>
    <s v="Netherlands"/>
    <s v="Europe"/>
    <s v="teschauermarie@gmail.com"/>
    <s v="m.teschauer@uniandes.edu.co"/>
    <x v="0"/>
    <s v="EGIN"/>
    <s v="ESTUDIOS GENER.DE INTERCAMBIO"/>
    <x v="0"/>
    <s v="ADMI-1603"/>
    <s v="DERE-2601"/>
    <s v="ADMI-3309"/>
    <s v="ADMI-3133"/>
    <s v="ADMI-3503"/>
    <s v="LENG-1572"/>
    <s v="ADMI-2403"/>
    <m/>
    <m/>
    <m/>
    <m/>
    <m/>
    <x v="0"/>
    <x v="0"/>
  </r>
  <r>
    <x v="3"/>
    <n v="202310"/>
    <n v="202316909"/>
    <s v="Apolline, Cassiopee, Marie"/>
    <s v="Thaler"/>
    <s v="HEC School of Management"/>
    <s v="HEC Paris"/>
    <x v="0"/>
    <s v="France"/>
    <s v="Europe"/>
    <s v="apolline.thaler@hec.edu"/>
    <s v="a.thaler@uniandes.edu.co"/>
    <x v="0"/>
    <s v="EGIN"/>
    <s v="ESTUDIOS GENER.DE INTERCAMBIO"/>
    <x v="0"/>
    <s v="ADMI-2501"/>
    <s v="ADMI-3606"/>
    <s v="ADMI-3110"/>
    <s v="ECON-1001"/>
    <m/>
    <m/>
    <m/>
    <m/>
    <m/>
    <m/>
    <m/>
    <m/>
    <x v="0"/>
    <x v="0"/>
  </r>
  <r>
    <x v="3"/>
    <n v="202320"/>
    <n v="202325776"/>
    <s v="Parchap"/>
    <s v="Thomas"/>
    <s v="NEOMA Business School"/>
    <s v="ESC Rouen (NEOMA)"/>
    <x v="0"/>
    <s v="France"/>
    <s v="Europe"/>
    <s v="thomas.parchap.21@neoma-bs.com"/>
    <s v="t.parchap@uniandes.edu.co"/>
    <x v="0"/>
    <s v="EGIN"/>
    <s v="Intercambio"/>
    <x v="0"/>
    <s v="ADMI-1203"/>
    <s v="ADMI-2106"/>
    <s v="ADMI-2204"/>
    <s v="ADMI-2301"/>
    <m/>
    <m/>
    <m/>
    <m/>
    <m/>
    <m/>
    <m/>
    <m/>
    <x v="10"/>
    <x v="1"/>
  </r>
  <r>
    <x v="3"/>
    <n v="202310"/>
    <n v="202316910"/>
    <s v="Emma Marie Benédicte"/>
    <s v="Tiberghien"/>
    <s v="Maastricht University"/>
    <s v="Maastricht University"/>
    <x v="0"/>
    <s v="Netherlands"/>
    <s v="Europe"/>
    <s v="emma.tiberghien@gmail.com"/>
    <s v="e.tiberghien@uniandes.edu.co"/>
    <x v="0"/>
    <s v="EGIN"/>
    <s v="ESTUDIOS GENER.DE INTERCAMBIO"/>
    <x v="0"/>
    <s v="ADMI-1603"/>
    <s v="ADMI-3309"/>
    <s v="ADMI-3133"/>
    <s v="ADMI-3336"/>
    <s v="ADMI-3503"/>
    <s v="LENG-1572"/>
    <s v="ADMI-2403"/>
    <m/>
    <m/>
    <m/>
    <m/>
    <m/>
    <x v="0"/>
    <x v="0"/>
  </r>
  <r>
    <x v="3"/>
    <n v="202310"/>
    <n v="202316839"/>
    <s v="Carlo"/>
    <s v="Tonoli"/>
    <s v="Politecnico di Milano"/>
    <s v="Politecnico di Milano"/>
    <x v="0"/>
    <s v="Italy"/>
    <s v="Europe"/>
    <s v="carlo.tonoli@mail.polimi.it"/>
    <s v="c.tonoli@uniandes.edu.co"/>
    <x v="0"/>
    <s v="EGMA"/>
    <s v="ESTUD.GENER.INTERCAMB.MAESTRIA"/>
    <x v="0"/>
    <s v="MGAP-4406"/>
    <s v="MGAP-4445"/>
    <s v="MGAD-4454"/>
    <m/>
    <m/>
    <m/>
    <m/>
    <m/>
    <m/>
    <m/>
    <m/>
    <m/>
    <x v="5"/>
    <x v="1"/>
  </r>
  <r>
    <x v="3"/>
    <n v="202320"/>
    <n v="202325822"/>
    <s v="Paul"/>
    <s v="Toulemonde"/>
    <s v="Universitat Ramon Llull"/>
    <s v="ESADE"/>
    <x v="0"/>
    <s v="Spain"/>
    <s v="Europe"/>
    <s v="paul.toulemonde@alumni.esade.edu"/>
    <s v="p.toulemonde@uniandes.edu.co"/>
    <x v="0"/>
    <s v="EGIN"/>
    <s v="Intercambio"/>
    <x v="0"/>
    <s v="ADMI-1603"/>
    <s v="ADMI-2204"/>
    <s v="ADMI-3110"/>
    <s v="ADMI-3606"/>
    <s v="ADMI-3701"/>
    <m/>
    <m/>
    <m/>
    <m/>
    <m/>
    <m/>
    <m/>
    <x v="0"/>
    <x v="0"/>
  </r>
  <r>
    <x v="3"/>
    <n v="202320"/>
    <n v="202325805"/>
    <s v="Andreas Erik"/>
    <s v="Toustrup-Høegh"/>
    <s v="Handelshøjskolen i København"/>
    <s v="CBS- Copenhagen Business School  "/>
    <x v="0"/>
    <s v="Denmark"/>
    <s v="Europe"/>
    <s v="anto19ac@student.cbs.dk"/>
    <s v="a.toustrup@uniandes.edu.co"/>
    <x v="0"/>
    <s v="EGIN"/>
    <s v="Intercambio"/>
    <x v="0"/>
    <s v="ADMI-2204"/>
    <s v="ADMI-2301"/>
    <s v="ADMI-2403"/>
    <s v="ADMI-3110"/>
    <s v="ADMI-3620"/>
    <m/>
    <m/>
    <m/>
    <m/>
    <m/>
    <m/>
    <m/>
    <x v="0"/>
    <x v="0"/>
  </r>
  <r>
    <x v="3"/>
    <n v="202320"/>
    <n v="202325823"/>
    <s v="Paul"/>
    <s v="TROUSSICOT"/>
    <s v="Universitat Ramon Llull"/>
    <s v="ESADE"/>
    <x v="0"/>
    <s v="Spain"/>
    <s v="Europe"/>
    <s v="paultroussicot@gmail.com"/>
    <s v="p.troussicot@uniandes.edu.co"/>
    <x v="0"/>
    <s v="EGIN"/>
    <s v="Intercambio"/>
    <x v="0"/>
    <s v="ADMI-1203"/>
    <s v="ADMI-1603"/>
    <s v="ADMI-2204"/>
    <s v="ADMI-3110"/>
    <s v="ADMI-3620"/>
    <m/>
    <m/>
    <m/>
    <m/>
    <m/>
    <m/>
    <m/>
    <x v="0"/>
    <x v="0"/>
  </r>
  <r>
    <x v="3"/>
    <n v="202320"/>
    <n v="202325878"/>
    <s v="Frederico"/>
    <s v="Vale Pereira"/>
    <s v="Universidade Nova de Lisboa"/>
    <s v="Nova School of Business and Economics"/>
    <x v="0"/>
    <s v="Portugal"/>
    <s v="Europe"/>
    <s v="52056@novasbe.pt"/>
    <s v="f.thumann@uniandes.edu.co"/>
    <x v="0"/>
    <s v="EGIN"/>
    <s v="Intercambio"/>
    <x v="0"/>
    <s v="ADMI-2106"/>
    <s v="ADMI-2403"/>
    <s v="ADMI-3110"/>
    <s v="ADMI-3341"/>
    <s v="ADMI-3431"/>
    <s v="ADMI-3502"/>
    <m/>
    <m/>
    <m/>
    <m/>
    <m/>
    <m/>
    <x v="0"/>
    <x v="0"/>
  </r>
  <r>
    <x v="3"/>
    <n v="202310"/>
    <n v="202314874"/>
    <s v="Stijn Jan Christiaan"/>
    <s v="VAN OORSCHOT"/>
    <s v="Norges Handelshøyskole"/>
    <s v="Norges Handelshøyskole"/>
    <x v="1"/>
    <s v="Norway"/>
    <s v="Europe"/>
    <s v="stijn.v.oorschot@gmail.com"/>
    <s v="s.vano@uniandes.edu.co"/>
    <x v="0"/>
    <s v="EGMA"/>
    <s v="ESTUD.GENER.INTERCAMB.MAESTRIA"/>
    <x v="0"/>
    <s v="MIMC-4003"/>
    <s v="MADM-4939"/>
    <s v="MADM-4462"/>
    <s v="MIMC-4002"/>
    <s v="MIMC-4001"/>
    <s v="MIMC-4004"/>
    <m/>
    <m/>
    <m/>
    <m/>
    <m/>
    <m/>
    <x v="7"/>
    <x v="1"/>
  </r>
  <r>
    <x v="3"/>
    <n v="202320"/>
    <n v="202326510"/>
    <s v="Enguerrand Nicolas Marie"/>
    <s v="Verspieren"/>
    <s v="HEC School of Management"/>
    <s v="HEC Paris"/>
    <x v="0"/>
    <s v="France"/>
    <s v="Europe"/>
    <s v="enguerrand.verspieren@hec.edu"/>
    <s v="e.verspieren@uniandes.edu.co"/>
    <x v="0"/>
    <s v="EGMA"/>
    <s v="CEMS"/>
    <x v="0"/>
    <s v="MIFI-4004"/>
    <s v="MIMC-4006"/>
    <s v="MIMC-4007"/>
    <s v="MGLO-4002"/>
    <s v="MFIN-4000"/>
    <s v="MIMC-4005"/>
    <m/>
    <m/>
    <m/>
    <m/>
    <m/>
    <m/>
    <x v="7"/>
    <x v="1"/>
  </r>
  <r>
    <x v="3"/>
    <n v="202320"/>
    <n v="202325826"/>
    <s v="Samuel"/>
    <s v="VIDAL"/>
    <s v="Audencia Business School"/>
    <s v="Audencia. École de Management"/>
    <x v="0"/>
    <s v="France"/>
    <s v="Europe"/>
    <s v="samuel.vidal@audencia.com"/>
    <s v="sf.vidal@uniandes.edu.co"/>
    <x v="0"/>
    <s v="EGIN"/>
    <s v="Intercambio"/>
    <x v="0"/>
    <s v="ADMI-1102"/>
    <s v="ADMI-2104"/>
    <s v="ADMI-2605"/>
    <s v="ADMI-3205"/>
    <s v="ADMI-3411"/>
    <m/>
    <m/>
    <m/>
    <m/>
    <m/>
    <m/>
    <m/>
    <x v="0"/>
    <x v="0"/>
  </r>
  <r>
    <x v="3"/>
    <n v="202320"/>
    <n v="202325874"/>
    <s v="Ariana"/>
    <s v="Virani"/>
    <s v="Tulane University"/>
    <s v="A.B. Freeman School of Business, Tulane University"/>
    <x v="0"/>
    <s v="United States"/>
    <s v="North America"/>
    <s v="avirani@tulane.edu"/>
    <s v="a.virani@uniandes.edu.co"/>
    <x v="0"/>
    <s v="EGIN"/>
    <s v="Intercambio"/>
    <x v="0"/>
    <s v="ADMI-3110"/>
    <s v="ADMI-3411"/>
    <s v="ADMI-3745"/>
    <s v="LENG-1574"/>
    <m/>
    <m/>
    <m/>
    <m/>
    <m/>
    <m/>
    <m/>
    <m/>
    <x v="0"/>
    <x v="0"/>
  </r>
  <r>
    <x v="3"/>
    <n v="202310"/>
    <n v="202316912"/>
    <s v="Colin"/>
    <s v="Vogel"/>
    <s v="HEC School of Management"/>
    <s v="HEC Paris"/>
    <x v="0"/>
    <s v="France"/>
    <s v="Europe"/>
    <s v="colin.vogel@hec.edu"/>
    <s v="c.vogel@uniandes.edu.co"/>
    <x v="0"/>
    <s v="EGIN"/>
    <s v="ESTUDIOS GENER.DE INTERCAMBIO"/>
    <x v="0"/>
    <s v="ADMI-2501"/>
    <s v="ADMI-3606"/>
    <s v="ADMI-3110"/>
    <s v="ECON-1001"/>
    <m/>
    <m/>
    <m/>
    <m/>
    <m/>
    <m/>
    <m/>
    <m/>
    <x v="0"/>
    <x v="0"/>
  </r>
  <r>
    <x v="3"/>
    <n v="202320"/>
    <n v="202325844"/>
    <s v="Kim Lisa"/>
    <s v="Voggel"/>
    <s v="Maastricht University"/>
    <s v="Maastricht University"/>
    <x v="0"/>
    <s v="Netherlands"/>
    <s v="Europe"/>
    <s v="k.voggel@student.maastrichtuniversity.nl"/>
    <s v="k.voggel@uniandes.edu.co"/>
    <x v="0"/>
    <s v="EGIN"/>
    <s v="Intercambio"/>
    <x v="0"/>
    <s v="ADMI-1603"/>
    <s v="ADMI-2403"/>
    <s v="ADMI-2605"/>
    <s v="ADMI-3133"/>
    <s v="ADMI-3210"/>
    <s v="ADMI-3341"/>
    <m/>
    <m/>
    <m/>
    <m/>
    <m/>
    <m/>
    <x v="0"/>
    <x v="0"/>
  </r>
  <r>
    <x v="3"/>
    <n v="202320"/>
    <n v="202325759"/>
    <s v="Valeria"/>
    <s v="Witteveen"/>
    <s v="Universiteit Utrecht"/>
    <s v="Universiteit Utrecht"/>
    <x v="0"/>
    <s v="Netherlands"/>
    <s v="Europe"/>
    <s v="v.m.r.witteveen@students.uu.nl"/>
    <s v="v.witteveen@uniandes.edu.co"/>
    <x v="0"/>
    <s v="EGMA"/>
    <s v="Intercambio"/>
    <x v="0"/>
    <s v="MIMC-4006"/>
    <s v="MIMC-4007"/>
    <s v="MIMC-4004"/>
    <s v="ARTE-1152"/>
    <s v="LENG-1572"/>
    <m/>
    <m/>
    <m/>
    <m/>
    <m/>
    <m/>
    <m/>
    <x v="2"/>
    <x v="1"/>
  </r>
  <r>
    <x v="3"/>
    <n v="202320"/>
    <n v="202325860"/>
    <s v="Fatima"/>
    <s v="Zarco"/>
    <s v="Instituto Tecnológico y de Estudios Superiores de Monterrey (ITESM)"/>
    <s v="ITESM-EGADE -Instituto tecnológico y de estudios superiores de Monterrey"/>
    <x v="0"/>
    <s v="Mexico"/>
    <s v="North America"/>
    <s v="A01640256@tec.mx"/>
    <s v="f.zarco@uniandes.edu.co"/>
    <x v="0"/>
    <s v="EGIN"/>
    <s v="Intercambio"/>
    <x v="0"/>
    <s v="ADMI-1603"/>
    <s v="ADMI-2106"/>
    <s v="ADMI-2301"/>
    <s v="ADMI-2403"/>
    <s v="ADMI-3205"/>
    <s v="ADMI-3411"/>
    <s v="DEPO-2202"/>
    <m/>
    <m/>
    <m/>
    <m/>
    <m/>
    <x v="0"/>
    <x v="0"/>
  </r>
  <r>
    <x v="3"/>
    <m/>
    <n v="202317659"/>
    <s v="Kesar"/>
    <s v="Antonia Helena"/>
    <s v="Jönköping University"/>
    <s v="JIBS Jönköping International Business School"/>
    <x v="0"/>
    <s v="Sweden"/>
    <s v="Europe"/>
    <s v="antoniakesar@gmail.com"/>
    <s v="a.kesar@uniandes.edu.co"/>
    <x v="3"/>
    <m/>
    <m/>
    <x v="1"/>
    <m/>
    <m/>
    <m/>
    <m/>
    <m/>
    <m/>
    <m/>
    <m/>
    <m/>
    <m/>
    <m/>
    <m/>
    <x v="11"/>
    <x v="1"/>
  </r>
  <r>
    <x v="3"/>
    <m/>
    <n v="202317660"/>
    <s v="Toernqvist"/>
    <s v="Maja Elin Margit"/>
    <s v="Jönköping University"/>
    <s v="JIBS Jönköping International Business School"/>
    <x v="0"/>
    <s v="Sweden"/>
    <s v="Europe"/>
    <s v="maja.tornqvist@outlook.com"/>
    <s v="m.toernqvist@uniandes.edu.co"/>
    <x v="3"/>
    <m/>
    <m/>
    <x v="1"/>
    <m/>
    <m/>
    <m/>
    <m/>
    <m/>
    <m/>
    <m/>
    <m/>
    <m/>
    <m/>
    <m/>
    <m/>
    <x v="11"/>
    <x v="1"/>
  </r>
  <r>
    <x v="3"/>
    <m/>
    <n v="202413688"/>
    <s v="Sofia "/>
    <s v="Roizarena"/>
    <s v="Universidad Nacional de Rosario"/>
    <s v="Universidad Nacional de Rosario"/>
    <x v="1"/>
    <s v="Argentina"/>
    <s v="South America"/>
    <s v="roizarenasofia@gmail.com"/>
    <s v="s.roizarena@uniandes.edu.co"/>
    <x v="3"/>
    <m/>
    <m/>
    <x v="1"/>
    <m/>
    <m/>
    <m/>
    <m/>
    <m/>
    <m/>
    <m/>
    <m/>
    <m/>
    <m/>
    <m/>
    <m/>
    <x v="12"/>
    <x v="2"/>
  </r>
  <r>
    <x v="4"/>
    <n v="202410"/>
    <n v="202416815"/>
    <s v="Salome Yael Sammie"/>
    <s v="AESCHLIMANN"/>
    <s v="Universität St. Gallen"/>
    <s v="University of Saint Gallen"/>
    <x v="0"/>
    <s v="Switzerland"/>
    <s v="Europe"/>
    <s v="salome.aeschlimann@student.unisg.ch"/>
    <s v="s.aeschlimann@uniandes.edu.co"/>
    <x v="0"/>
    <s v="EXTE"/>
    <m/>
    <x v="0"/>
    <s v="ADMI-3604"/>
    <s v="CBCO-1013"/>
    <s v="DEPO-1218"/>
    <s v="MGIT-4101"/>
    <s v="MMER-4341"/>
    <s v="CBCO-1032"/>
    <m/>
    <m/>
    <m/>
    <m/>
    <m/>
    <m/>
    <x v="5"/>
    <x v="1"/>
  </r>
  <r>
    <x v="4"/>
    <n v="202410"/>
    <n v="202416817"/>
    <s v="Lea"/>
    <s v="BARTRAM"/>
    <s v="Universität Mannheim"/>
    <s v="University of Mannheim Business School"/>
    <x v="0"/>
    <s v="Germany"/>
    <s v="Europe"/>
    <s v="lea@bartram-online.de"/>
    <s v="l.bartram@uniandes.edu.co"/>
    <x v="0"/>
    <s v="EXTE"/>
    <m/>
    <x v="0"/>
    <s v="ADMI-2403"/>
    <s v="ADMI-3620"/>
    <s v="LENG-1573"/>
    <s v="MADM-4939"/>
    <m/>
    <m/>
    <m/>
    <m/>
    <m/>
    <m/>
    <m/>
    <m/>
    <x v="5"/>
    <x v="1"/>
  </r>
  <r>
    <x v="4"/>
    <n v="202410"/>
    <n v="202416835"/>
    <s v="Michel Felix N"/>
    <s v="BEHAGHEL DE BUEREN ECUYER"/>
    <s v="Maastricht University"/>
    <s v="Maastricht University"/>
    <x v="0"/>
    <s v="Netherlands"/>
    <s v="Europe"/>
    <s v="m.behagheldebueren@student.maastrichtuniversity.nl"/>
    <s v="m.behaghel@uniandes.edu.co"/>
    <x v="0"/>
    <s v="EXTE"/>
    <m/>
    <x v="0"/>
    <s v="ADMI-1190"/>
    <s v="ADMI-2403"/>
    <s v="ADMI-3133"/>
    <s v="ADMI-3309"/>
    <s v="ADMI-3431"/>
    <s v="DEPO-3502"/>
    <s v="DERE-3601"/>
    <m/>
    <m/>
    <m/>
    <m/>
    <m/>
    <x v="0"/>
    <x v="0"/>
  </r>
  <r>
    <x v="4"/>
    <n v="202410"/>
    <n v="202416855"/>
    <s v="Sophie Ana Magdeleine"/>
    <s v="CASTRO ROLDAN"/>
    <s v="Université Paris Dauphine-PSL"/>
    <s v="Université Paris-Dauphine"/>
    <x v="1"/>
    <s v="France"/>
    <s v="Europe"/>
    <s v="sophie.castro-roldan@dauphine.eu"/>
    <s v="sa.castror1@uniandes.edu.co"/>
    <x v="0"/>
    <s v="EXTE"/>
    <m/>
    <x v="0"/>
    <s v="ADMI-3133"/>
    <s v="ADMI-3604"/>
    <s v="CBCO-1234"/>
    <s v="CBCC-1177"/>
    <s v="ARTE-1141"/>
    <s v="CBCA-1037"/>
    <m/>
    <m/>
    <m/>
    <m/>
    <m/>
    <m/>
    <x v="0"/>
    <x v="0"/>
  </r>
  <r>
    <x v="4"/>
    <n v="202410"/>
    <n v="202416857"/>
    <s v="Lisa"/>
    <s v="CORNACCHIA"/>
    <s v="Politecnico di Milano"/>
    <s v="Politecnico di Milano"/>
    <x v="0"/>
    <s v="Italy"/>
    <s v="Europe"/>
    <s v="lisa.cornacchia@mail.polimi.it"/>
    <s v="l.cornacchia@uniandes.edu.co"/>
    <x v="0"/>
    <s v="EXTE"/>
    <m/>
    <x v="0"/>
    <s v="MIMC-4003"/>
    <s v="MADM-4652"/>
    <m/>
    <m/>
    <m/>
    <m/>
    <m/>
    <m/>
    <m/>
    <m/>
    <m/>
    <m/>
    <x v="0"/>
    <x v="0"/>
  </r>
  <r>
    <x v="4"/>
    <n v="202410"/>
    <n v="202416932"/>
    <s v="Cyril"/>
    <s v="COUDRAIS"/>
    <s v="ESCP Europe"/>
    <s v="ESCP"/>
    <x v="0"/>
    <s v="France"/>
    <s v="Europe"/>
    <s v="cyril.coudrais@edu.escp.eu"/>
    <s v="c.coudrais@uniandes.edu.co"/>
    <x v="0"/>
    <s v="EXTE"/>
    <m/>
    <x v="0"/>
    <s v="MGAD-4454"/>
    <s v="MGAP-4406"/>
    <s v="MGAP-4445"/>
    <m/>
    <m/>
    <m/>
    <m/>
    <m/>
    <m/>
    <m/>
    <m/>
    <m/>
    <x v="0"/>
    <x v="0"/>
  </r>
  <r>
    <x v="4"/>
    <n v="202410"/>
    <n v="202325743"/>
    <s v="charlotte"/>
    <s v="DAVAU"/>
    <s v="Université de Strasbourg"/>
    <s v="EM Strasbourg"/>
    <x v="0"/>
    <s v="France"/>
    <s v="Europe"/>
    <s v="charliloute@gmail.com"/>
    <s v="c.davau@uniandes.edu.co"/>
    <x v="0"/>
    <s v="EXTE"/>
    <m/>
    <x v="0"/>
    <s v="ADMI-3110"/>
    <s v="ADMI-3620"/>
    <s v="ADMI-3701"/>
    <s v="CISO-4887"/>
    <s v="ECON-1001"/>
    <m/>
    <m/>
    <m/>
    <m/>
    <m/>
    <m/>
    <m/>
    <x v="0"/>
    <x v="0"/>
  </r>
  <r>
    <x v="4"/>
    <n v="202410"/>
    <n v="202416870"/>
    <s v="Caspar Leopold Albrecht Christian Maria"/>
    <s v="FREIHERR VON MYLIUS"/>
    <s v="Maastricht University"/>
    <s v="Maastricht University"/>
    <x v="0"/>
    <s v="Netherlands"/>
    <s v="Europe"/>
    <s v="c.vonmylius@student.maastrichtuniversity.nl"/>
    <s v="c.freiherr@uniandes.edu.co"/>
    <x v="0"/>
    <s v="EXTE"/>
    <m/>
    <x v="0"/>
    <s v="ADMI-2403"/>
    <s v="ADMI-3133"/>
    <s v="ADMI-3309"/>
    <s v="ADMI-3431"/>
    <s v="ADMI-3620"/>
    <s v="DERE-3601"/>
    <m/>
    <m/>
    <m/>
    <m/>
    <m/>
    <m/>
    <x v="0"/>
    <x v="0"/>
  </r>
  <r>
    <x v="4"/>
    <n v="202410"/>
    <n v="202416875"/>
    <s v="Gabriele"/>
    <s v="GERVASI"/>
    <s v="Università Commerciale 'Luigi Bocconi' di Milano"/>
    <s v="Università Commerciale Luigi Bocconi"/>
    <x v="0"/>
    <s v="Italy"/>
    <s v="Europe"/>
    <s v="gabrielegervasi2000@gmail.com"/>
    <s v="g.gervasi@uniandes.edu.co"/>
    <x v="0"/>
    <s v="EXTE"/>
    <m/>
    <x v="0"/>
    <s v="ADMI-1603"/>
    <s v="ADMI-2801"/>
    <s v="ADMI-3110"/>
    <s v="CPOL-1100"/>
    <m/>
    <m/>
    <m/>
    <m/>
    <m/>
    <m/>
    <m/>
    <m/>
    <x v="0"/>
    <x v="0"/>
  </r>
  <r>
    <x v="4"/>
    <n v="202410"/>
    <n v="202416824"/>
    <s v="Briac Fernad Leon"/>
    <s v="GISSEROT"/>
    <s v="ESCP Europe"/>
    <s v="ESCP"/>
    <x v="0"/>
    <s v="France"/>
    <s v="Europe"/>
    <s v="briacgisserot@yahoo.fr"/>
    <s v="b.gisserot@uniandes.edu.co"/>
    <x v="0"/>
    <s v="EXTE"/>
    <m/>
    <x v="0"/>
    <s v="MGAD-4401"/>
    <s v="MGAD-4454"/>
    <s v="MGAP-4406"/>
    <s v="MGAP-4445"/>
    <m/>
    <m/>
    <m/>
    <m/>
    <m/>
    <m/>
    <m/>
    <m/>
    <x v="5"/>
    <x v="1"/>
  </r>
  <r>
    <x v="4"/>
    <n v="202410"/>
    <n v="202416889"/>
    <s v="Alice Marie"/>
    <s v="KERGALL"/>
    <s v="McGill University"/>
    <s v="McGill University"/>
    <x v="0"/>
    <s v="Canada"/>
    <s v="North America"/>
    <s v="alicekergall2003@gmail.com"/>
    <s v="a.kergall@uniandes.edu.co"/>
    <x v="0"/>
    <s v="EXTE"/>
    <m/>
    <x v="0"/>
    <s v="ADMI-2106"/>
    <s v="ADMI-2403"/>
    <s v="ECON-3620"/>
    <s v="ECON-3777"/>
    <m/>
    <m/>
    <m/>
    <m/>
    <m/>
    <m/>
    <m/>
    <m/>
    <x v="0"/>
    <x v="0"/>
  </r>
  <r>
    <x v="4"/>
    <n v="202410"/>
    <n v="202415036"/>
    <s v="Yujin"/>
    <s v="KIM"/>
    <s v="American University of Central Asia"/>
    <s v="American University of Central Asia"/>
    <x v="1"/>
    <s v="Kyrgyzstan"/>
    <s v="Asia"/>
    <s v="kim_y@auca.kg"/>
    <s v="y.kim1@uniandes.edu.co"/>
    <x v="0"/>
    <s v="EXTE"/>
    <m/>
    <x v="0"/>
    <s v="ADMI-1203"/>
    <s v="ADMI-3431"/>
    <s v="LENG-1570"/>
    <m/>
    <m/>
    <m/>
    <m/>
    <m/>
    <m/>
    <m/>
    <m/>
    <m/>
    <x v="0"/>
    <x v="0"/>
  </r>
  <r>
    <x v="4"/>
    <n v="202410"/>
    <n v="202416890"/>
    <s v="Adrien Claude Gaston Marie Joseph "/>
    <s v="LANGE"/>
    <s v="Ecole des Hautes Etudes Commerciales (HEC) de Montréal"/>
    <s v="HEC Montréal"/>
    <x v="0"/>
    <s v="Canada"/>
    <s v="North America"/>
    <s v="adrien.lange@hec.ca"/>
    <s v="a.lange@uniandes.edu.co"/>
    <x v="0"/>
    <s v="EXTE"/>
    <m/>
    <x v="0"/>
    <s v="ADMI-2605"/>
    <s v="ADMI-3110"/>
    <s v="ADMI-3309"/>
    <s v="ADMI-3405"/>
    <s v="ADMI-3431"/>
    <s v="DEPO-1220"/>
    <s v="ARTE-1141"/>
    <m/>
    <m/>
    <m/>
    <m/>
    <m/>
    <x v="0"/>
    <x v="0"/>
  </r>
  <r>
    <x v="4"/>
    <n v="202410"/>
    <n v="202417144"/>
    <s v="Oscar"/>
    <s v="Liegeois"/>
    <s v="Maastricht University"/>
    <s v="Maastricht University"/>
    <x v="0"/>
    <s v="Netherlands"/>
    <s v="Europe"/>
    <s v="o.liegeois@student.maastrichtuniversity.nl"/>
    <s v="o.liegeois@uniandes.edu.co"/>
    <x v="0"/>
    <s v="EXTE"/>
    <m/>
    <x v="0"/>
    <s v="ADMI-1190"/>
    <s v="ADMI-1203"/>
    <s v="ADMI-2403"/>
    <s v="ADMI-2801"/>
    <s v="ADMI-3309"/>
    <s v="ADMI-3431"/>
    <s v="DEPO-3502"/>
    <m/>
    <m/>
    <m/>
    <m/>
    <m/>
    <x v="0"/>
    <x v="0"/>
  </r>
  <r>
    <x v="4"/>
    <n v="202410"/>
    <n v="202416919"/>
    <s v="Vanessa Elise Marie"/>
    <s v="MARTIN"/>
    <s v="Audencia Business School"/>
    <s v="Audencia. École de Management"/>
    <x v="0"/>
    <s v="France"/>
    <s v="Europe"/>
    <s v="vanessa.martin@audencia.com"/>
    <s v="ve.martin@uniandes.edu.co"/>
    <x v="0"/>
    <s v="EXTE"/>
    <m/>
    <x v="0"/>
    <s v="ADMI-2106"/>
    <s v="ADMI-2801"/>
    <s v="ADMI-3110"/>
    <s v="ADMI-3601"/>
    <s v="ADMI-3701"/>
    <s v="DEPO-1256"/>
    <m/>
    <m/>
    <m/>
    <m/>
    <m/>
    <m/>
    <x v="0"/>
    <x v="0"/>
  </r>
  <r>
    <x v="4"/>
    <n v="202410"/>
    <n v="202416920"/>
    <s v="Carlo"/>
    <s v="MASSARI"/>
    <s v="Politecnico di Milano"/>
    <s v="Politecnico di Milano"/>
    <x v="0"/>
    <s v="Italy"/>
    <s v="Europe"/>
    <s v="carlo.massari@mail.polimi.it"/>
    <s v="c.massari@uniandes.edu.co"/>
    <x v="0"/>
    <s v="EXTE"/>
    <m/>
    <x v="0"/>
    <s v="ADMI-1203"/>
    <s v="ADMI-2106"/>
    <s v="ADMI-2403"/>
    <s v="ADMI-3110"/>
    <s v="MIMC-4003"/>
    <m/>
    <m/>
    <m/>
    <m/>
    <m/>
    <m/>
    <m/>
    <x v="0"/>
    <x v="0"/>
  </r>
  <r>
    <x v="4"/>
    <n v="202410"/>
    <n v="202416923"/>
    <s v="Maurice Julien R"/>
    <s v="MOT"/>
    <s v="Maastricht University"/>
    <s v="Maastricht University"/>
    <x v="0"/>
    <s v="Netherlands"/>
    <s v="Europe"/>
    <s v="Mauricemot12@gmail.com"/>
    <s v="m.mot@uniandes.edu.co"/>
    <x v="0"/>
    <s v="EXTE"/>
    <m/>
    <x v="0"/>
    <s v="ADMI-2403"/>
    <s v="ADMI-2801"/>
    <s v="ADMI-3133"/>
    <s v="ADMI-3309"/>
    <s v="ADMI-3431"/>
    <s v="ADMI-3620"/>
    <m/>
    <m/>
    <m/>
    <m/>
    <m/>
    <m/>
    <x v="0"/>
    <x v="0"/>
  </r>
  <r>
    <x v="4"/>
    <n v="202410"/>
    <n v="202416826"/>
    <s v="Hector Francois Sebastien"/>
    <s v="MOTTE"/>
    <s v="ESSEC Business School"/>
    <s v="ESSEC"/>
    <x v="0"/>
    <s v="France"/>
    <s v="Europe"/>
    <s v="hector.motte@gmail.com"/>
    <s v="h.motte@uniandes.edu.co"/>
    <x v="0"/>
    <s v="EXTE"/>
    <m/>
    <x v="0"/>
    <s v="MGAD-4454"/>
    <s v="MGAP-4406"/>
    <s v="MGAP-4445"/>
    <s v="DEPO-1010"/>
    <s v="DEPO-1219"/>
    <s v="DEPO-1221"/>
    <s v="DEPO-1229"/>
    <s v="DEPO-1233"/>
    <s v="DEPO-3103"/>
    <m/>
    <m/>
    <m/>
    <x v="5"/>
    <x v="1"/>
  </r>
  <r>
    <x v="4"/>
    <n v="202410"/>
    <n v="202416926"/>
    <s v="Joel Andrea"/>
    <s v="MULLER"/>
    <s v="FHNW Fachhochschule Nordwestschweiz"/>
    <s v="FHNW Fachhochschule Nordwestschweiz"/>
    <x v="1"/>
    <s v="Switzerland"/>
    <s v="Europe"/>
    <s v="joel.mueller1@students.fhnw.ch"/>
    <s v="j.muller@uniandes.edu.co"/>
    <x v="0"/>
    <s v="EXTE"/>
    <m/>
    <x v="0"/>
    <s v="ADMI-2403"/>
    <s v="ADMI-3110"/>
    <s v="ADMI-3210"/>
    <s v="LENG-1572"/>
    <m/>
    <m/>
    <m/>
    <m/>
    <m/>
    <m/>
    <m/>
    <m/>
    <x v="0"/>
    <x v="0"/>
  </r>
  <r>
    <x v="4"/>
    <n v="202410"/>
    <n v="202416827"/>
    <s v="Antoine Patrice Jean Marie"/>
    <s v="OLIVIERO"/>
    <s v="ESSEC Business School"/>
    <s v="ESSEC"/>
    <x v="0"/>
    <s v="France"/>
    <s v="Europe"/>
    <s v="antoine.oliviero@essec.edu"/>
    <s v="a.oliviero@uniandes.edu.co"/>
    <x v="0"/>
    <s v="EXTE"/>
    <m/>
    <x v="0"/>
    <s v="MGAD-4401"/>
    <s v="MGAP-4406"/>
    <s v="MGAP-4445"/>
    <m/>
    <m/>
    <m/>
    <m/>
    <m/>
    <m/>
    <m/>
    <m/>
    <m/>
    <x v="5"/>
    <x v="1"/>
  </r>
  <r>
    <x v="4"/>
    <n v="202410"/>
    <n v="202416912"/>
    <s v="Felix Andre Joseph"/>
    <s v="PERRUCHOT TRIBOULET"/>
    <s v="Audencia Business School"/>
    <s v="Audencia. École de Management"/>
    <x v="0"/>
    <s v="France"/>
    <s v="Europe"/>
    <s v="felix.perruchot@audencia.com"/>
    <s v="f.perruchot@uniandes.edu.co"/>
    <x v="0"/>
    <s v="EXTE"/>
    <m/>
    <x v="0"/>
    <s v="ADMI-1203"/>
    <s v="ADMI-2104"/>
    <s v="ADMI-2204"/>
    <s v="ADMI-2557"/>
    <s v="ADMI-2801"/>
    <s v="DEPO-3114"/>
    <m/>
    <m/>
    <m/>
    <m/>
    <m/>
    <m/>
    <x v="0"/>
    <x v="0"/>
  </r>
  <r>
    <x v="4"/>
    <n v="202410"/>
    <n v="202416910"/>
    <s v="Gabriel"/>
    <s v="PODOLSKY"/>
    <s v="McGill University"/>
    <s v="McGill University"/>
    <x v="0"/>
    <s v="Canada"/>
    <s v="North America"/>
    <s v="gabriel.podolsky@mail.mcgill.ca"/>
    <s v="g.podolsky@uniandes.edu.co"/>
    <x v="0"/>
    <s v="EXTE"/>
    <m/>
    <x v="0"/>
    <s v="ADMI-1203"/>
    <s v="ADMI-3207"/>
    <s v="ADMI-3309"/>
    <s v="ADMI-3210"/>
    <m/>
    <m/>
    <m/>
    <m/>
    <m/>
    <m/>
    <m/>
    <m/>
    <x v="0"/>
    <x v="0"/>
  </r>
  <r>
    <x v="4"/>
    <n v="202410"/>
    <n v="202416829"/>
    <s v="Yente"/>
    <s v="REYNS"/>
    <s v="Université Laval"/>
    <s v="Faculté des Sciences de l'Administration. FSA Laval"/>
    <x v="0"/>
    <s v="Canada"/>
    <s v="North America"/>
    <s v="yentereyns@icloud.com"/>
    <s v="y.reyns@uniandes.edu.co"/>
    <x v="0"/>
    <s v="EXTE"/>
    <m/>
    <x v="0"/>
    <s v="MMER-4302"/>
    <s v="MMER-4351"/>
    <s v="MMER-4366"/>
    <s v="DEPO-1218"/>
    <s v="DEPO-1229"/>
    <s v="DEPO-1256"/>
    <s v="MMER-4009"/>
    <s v="MMER-4307"/>
    <s v="MMER-4339"/>
    <s v="MMER-4341"/>
    <m/>
    <m/>
    <x v="5"/>
    <x v="1"/>
  </r>
  <r>
    <x v="4"/>
    <n v="202410"/>
    <n v="202416906"/>
    <s v="Niklas Esben "/>
    <s v="ROHWER"/>
    <s v="Kühne Logistics University"/>
    <s v="KLU Kühne Logistics University"/>
    <x v="0"/>
    <s v="Germany"/>
    <s v="Europe"/>
    <s v="niklas.rohwer@stud.the-klu.org"/>
    <s v="n.rohwer@uniandes.edu.co"/>
    <x v="0"/>
    <s v="EXTE"/>
    <m/>
    <x v="0"/>
    <s v="ADMI-1203"/>
    <s v="ADMI-3110"/>
    <s v="ADMI-3133"/>
    <s v="ADMI-3210"/>
    <m/>
    <m/>
    <m/>
    <m/>
    <m/>
    <m/>
    <m/>
    <m/>
    <x v="0"/>
    <x v="0"/>
  </r>
  <r>
    <x v="4"/>
    <n v="202410"/>
    <n v="202416896"/>
    <s v="Federico Jose "/>
    <s v="SPIERTZ"/>
    <s v="Tilburg University"/>
    <s v="Universidad de Tilburg"/>
    <x v="0"/>
    <s v="Netherlands"/>
    <s v="Europe"/>
    <s v="federicospiertz@gmail.com"/>
    <s v="f.spiertz@uniandes.edu.co"/>
    <x v="0"/>
    <s v="EXTE"/>
    <m/>
    <x v="0"/>
    <s v="ADMI-2403"/>
    <s v="ADMI-3405"/>
    <s v="ADMI-3431"/>
    <s v="LENG-1572"/>
    <s v="DEPO-1219"/>
    <s v="DEPO-1229"/>
    <s v="DEPO-1240"/>
    <m/>
    <m/>
    <m/>
    <m/>
    <m/>
    <x v="0"/>
    <x v="0"/>
  </r>
  <r>
    <x v="4"/>
    <n v="202410"/>
    <n v="202416895"/>
    <s v="Ana Lucia "/>
    <s v="SUCLUPE MARTINEZ"/>
    <s v="Universidad del Pacífico, Lima"/>
    <s v="Universidad del Pacífico"/>
    <x v="0"/>
    <s v="Peru"/>
    <s v="South America"/>
    <s v="AL.SuclupeM@alum.up.edu.pe"/>
    <s v="a.suclupe@uniandes.edu.co"/>
    <x v="0"/>
    <s v="EXTE"/>
    <m/>
    <x v="0"/>
    <s v="ADMI-3110"/>
    <s v="ADMI-3431"/>
    <s v="ADMI-3606"/>
    <s v="ADMI-3701"/>
    <s v="ADMI-3705"/>
    <m/>
    <m/>
    <m/>
    <m/>
    <m/>
    <m/>
    <m/>
    <x v="0"/>
    <x v="0"/>
  </r>
  <r>
    <x v="4"/>
    <n v="202410"/>
    <n v="202416894"/>
    <s v="Gaspard Arthur Iban"/>
    <s v="SUSINI"/>
    <s v="IE Universidad"/>
    <s v="IE Instituto Empresa"/>
    <x v="0"/>
    <s v="Spain"/>
    <s v="Europe"/>
    <s v="gsusini.ieu2021@student.ie.edu"/>
    <s v="g.susini@uniandes.edu.co"/>
    <x v="0"/>
    <s v="EXTE"/>
    <m/>
    <x v="0"/>
    <s v="ADMI-1190"/>
    <s v="ADMI-1203"/>
    <s v="ADMI-2104"/>
    <s v="ADMI-2204"/>
    <s v="ADMI-2301"/>
    <s v="ADMI-2403"/>
    <m/>
    <m/>
    <m/>
    <m/>
    <m/>
    <m/>
    <x v="0"/>
    <x v="0"/>
  </r>
  <r>
    <x v="4"/>
    <n v="202410"/>
    <n v="202415033"/>
    <s v="Sabina"/>
    <s v="TALANTBEK KYZY"/>
    <s v="American University of Central Asia"/>
    <s v="American University of Central Asia"/>
    <x v="1"/>
    <s v="Kyrgyzstan"/>
    <s v="Asia"/>
    <s v="talantbek_s@auca.kg"/>
    <s v="s.talantbek@uniandes.edu.co"/>
    <x v="0"/>
    <s v="EXTE"/>
    <m/>
    <x v="0"/>
    <s v="ADMI-2204"/>
    <s v="ADMI-2403"/>
    <s v="ADMI-3110"/>
    <s v="ADMI-3210"/>
    <s v="LENG-1570"/>
    <m/>
    <m/>
    <m/>
    <m/>
    <m/>
    <m/>
    <m/>
    <x v="0"/>
    <x v="0"/>
  </r>
  <r>
    <x v="4"/>
    <n v="202410"/>
    <n v="202416873"/>
    <s v="Alexander Christophe A"/>
    <s v="VANDEPUTTE"/>
    <s v="Maastricht University"/>
    <s v="Maastricht University"/>
    <x v="0"/>
    <s v="Netherlands"/>
    <s v="Europe"/>
    <s v="alexander-vandeputte@hotmail.com"/>
    <s v="a.vandeputte@uniandes.edu.co"/>
    <x v="0"/>
    <s v="EXTE"/>
    <m/>
    <x v="0"/>
    <s v="ADMI-1190"/>
    <s v="ADMI-2403"/>
    <s v="ADMI-3133"/>
    <s v="ADMI-3309"/>
    <s v="ADMI-3431"/>
    <s v="DERE-3601"/>
    <m/>
    <m/>
    <m/>
    <m/>
    <m/>
    <m/>
    <x v="0"/>
    <x v="0"/>
  </r>
  <r>
    <x v="4"/>
    <n v="202410"/>
    <n v="202416856"/>
    <s v="Maria Camila"/>
    <s v="VELASCO BOADA"/>
    <s v="McGill University"/>
    <s v="McGill University"/>
    <x v="0"/>
    <s v="Canada"/>
    <s v="North America"/>
    <s v="maria.velascoboada@mail.mcgill.ca"/>
    <s v="m.velascob@uniandes.edu.co"/>
    <x v="0"/>
    <s v="EXTE"/>
    <m/>
    <x v="0"/>
    <s v="ADMI-2104"/>
    <s v="ADMI-2301"/>
    <s v="ADMI-3502"/>
    <s v="CPOL-2104"/>
    <s v="LENG-2552"/>
    <m/>
    <m/>
    <m/>
    <m/>
    <m/>
    <m/>
    <m/>
    <x v="0"/>
    <x v="0"/>
  </r>
  <r>
    <x v="4"/>
    <n v="202410"/>
    <n v="202416852"/>
    <s v="Victor James Stephanie H"/>
    <s v="VERHELST"/>
    <s v="McGill University"/>
    <s v="McGill University"/>
    <x v="0"/>
    <s v="Canada"/>
    <s v="North America"/>
    <s v="victor-james.verhelst@mail.mcgill.ca"/>
    <s v="v.verhelst@uniandes.edu.co"/>
    <x v="0"/>
    <s v="EXTE"/>
    <m/>
    <x v="0"/>
    <s v="ADMI-1203"/>
    <s v="ADMI-3309"/>
    <s v="ADMI-3705"/>
    <s v="ADMI-3210"/>
    <m/>
    <m/>
    <m/>
    <m/>
    <m/>
    <m/>
    <m/>
    <m/>
    <x v="0"/>
    <x v="0"/>
  </r>
  <r>
    <x v="4"/>
    <n v="202410"/>
    <n v="202416850"/>
    <s v="Capucine Louise"/>
    <s v="VIDAL"/>
    <s v="HEC School of Management"/>
    <s v="HEC Paris"/>
    <x v="0"/>
    <s v="France"/>
    <s v="Europe"/>
    <s v="capucinevidaal@gmail.com"/>
    <s v="cl.vidal@uniandes.edu.co"/>
    <x v="0"/>
    <s v="EXTE"/>
    <m/>
    <x v="0"/>
    <s v="ADMI-1602"/>
    <s v="ADMI-3110"/>
    <s v="ADMI-3601"/>
    <s v="ADMI-3606"/>
    <s v="PSIG-1112"/>
    <m/>
    <m/>
    <m/>
    <m/>
    <m/>
    <m/>
    <m/>
    <x v="0"/>
    <x v="0"/>
  </r>
  <r>
    <x v="4"/>
    <n v="202410"/>
    <n v="202416848"/>
    <s v="Leopold Etienne Lucien"/>
    <s v="VUCHOT REMY DE CAMPEAU"/>
    <s v="IE Universidad"/>
    <s v="IE Instituto Empresa"/>
    <x v="0"/>
    <s v="Spain"/>
    <s v="Europe"/>
    <s v="leopold.vuchot@gmail.com"/>
    <s v="l.vuchot@uniandes.edu.co"/>
    <x v="0"/>
    <s v="EXTE"/>
    <m/>
    <x v="0"/>
    <s v="ADMI-1190"/>
    <s v="ADMI-1203"/>
    <s v="ADMI-2204"/>
    <s v="ADMI-2301"/>
    <s v="ADMI-2403"/>
    <m/>
    <m/>
    <m/>
    <m/>
    <m/>
    <m/>
    <m/>
    <x v="0"/>
    <x v="0"/>
  </r>
  <r>
    <x v="4"/>
    <n v="202410"/>
    <n v="202416847"/>
    <s v="Jaakko Matias"/>
    <s v="VUORENKOSKI"/>
    <s v="Aalto University"/>
    <s v="Aalto University"/>
    <x v="0"/>
    <s v="Finland"/>
    <s v="Europe"/>
    <s v="jaakko.vuorenkoski@gmail.com"/>
    <s v="j.vuorenkoski@uniandes.edu.co"/>
    <x v="0"/>
    <s v="EXTE"/>
    <m/>
    <x v="0"/>
    <s v="ADMI-1203"/>
    <s v="ADMI-3620"/>
    <s v="GLOB-2007"/>
    <s v="CBCA-1376"/>
    <s v="DEPO-1229"/>
    <s v="CBCA-1000"/>
    <s v="CBPC-1435"/>
    <m/>
    <m/>
    <m/>
    <m/>
    <m/>
    <x v="0"/>
    <x v="0"/>
  </r>
  <r>
    <x v="4"/>
    <n v="202410"/>
    <n v="202416840"/>
    <s v="Cristina"/>
    <s v="CASCAIS DA COSTA"/>
    <s v="Universität St. Gallen"/>
    <s v="University of Saint Gallen"/>
    <x v="0"/>
    <s v="Switzerland"/>
    <s v="Europe"/>
    <s v="c.cascaisdacosta@gmail.com"/>
    <s v="c.cascais@uniandes.edu.co"/>
    <x v="0"/>
    <s v="EXTE"/>
    <m/>
    <x v="0"/>
    <s v="MIMC-4003"/>
    <s v="MADM-4412"/>
    <s v="MIMC-4001"/>
    <s v="MIMC-4002"/>
    <s v="MIMC-4008"/>
    <s v="MMER-4339"/>
    <m/>
    <m/>
    <m/>
    <m/>
    <m/>
    <m/>
    <x v="7"/>
    <x v="1"/>
  </r>
  <r>
    <x v="4"/>
    <n v="202410"/>
    <n v="202416841"/>
    <s v="Giuliana"/>
    <s v="DALESSANDRO"/>
    <s v="Università Commerciale 'Luigi Bocconi' di Milano"/>
    <s v="Università Commerciale Luigi Bocconi"/>
    <x v="0"/>
    <s v="Italy"/>
    <s v="Europe"/>
    <s v="giuliana.dalessandro@studbocconi.it"/>
    <s v="g.dalessandro@uniandes.edu.co"/>
    <x v="0"/>
    <s v="EXTE"/>
    <m/>
    <x v="0"/>
    <s v="MIMC-4003"/>
    <s v="MIMC-4004"/>
    <s v="MIMC-4001"/>
    <s v="MIMC-4002"/>
    <s v="MIMC-4008"/>
    <m/>
    <m/>
    <m/>
    <m/>
    <m/>
    <m/>
    <m/>
    <x v="7"/>
    <x v="1"/>
  </r>
  <r>
    <x v="4"/>
    <n v="202410"/>
    <n v="202416842"/>
    <s v="Natascha Yuki"/>
    <s v="HAHN"/>
    <s v="Universidad Adolfo Ibáñez"/>
    <s v="Universidad Adolfo Ibáñez"/>
    <x v="1"/>
    <s v="Chile"/>
    <s v="South America"/>
    <s v="nataschayhahn@gmail.com"/>
    <s v="n.hahn@uniandes.edu.co"/>
    <x v="0"/>
    <s v="EXTE"/>
    <m/>
    <x v="0"/>
    <s v="MIMC-4003"/>
    <s v="MIMC-4004"/>
    <s v="MADM-4412"/>
    <s v="MIMC-4001"/>
    <s v="MIMC-4002"/>
    <s v="MIMC-4008"/>
    <m/>
    <m/>
    <m/>
    <m/>
    <m/>
    <m/>
    <x v="7"/>
    <x v="1"/>
  </r>
  <r>
    <x v="4"/>
    <n v="202410"/>
    <n v="202416843"/>
    <s v="Mortiz Valentin"/>
    <s v="HERWEH"/>
    <s v="Universidade Nova de Lisboa"/>
    <s v="Nova School of Business and Economics"/>
    <x v="0"/>
    <s v="Portugal"/>
    <s v="Europe"/>
    <s v="moritzherweh@t-online.de"/>
    <s v="m.herweh@uniandes.edu.co"/>
    <x v="0"/>
    <s v="EXTE"/>
    <m/>
    <x v="0"/>
    <s v="MIMC-4003"/>
    <s v="MIMC-4004"/>
    <s v="MADM-4412"/>
    <s v="MIMC-4001"/>
    <s v="MIMC-4002"/>
    <m/>
    <m/>
    <m/>
    <m/>
    <m/>
    <m/>
    <m/>
    <x v="7"/>
    <x v="1"/>
  </r>
  <r>
    <x v="4"/>
    <n v="202410"/>
    <n v="202416844"/>
    <s v="Andre Jonathan"/>
    <s v="OLSSON"/>
    <s v="Stockholms universitet"/>
    <s v="Stockholms universitet"/>
    <x v="1"/>
    <s v="Sweden"/>
    <s v="Europe"/>
    <s v="jonathanolsson1997@gmail.com"/>
    <s v="a.olsson@uniandes.edu.co"/>
    <x v="0"/>
    <s v="EXTE"/>
    <m/>
    <x v="0"/>
    <s v="MIMC-4003"/>
    <s v="MIMC-4004"/>
    <s v="MADM-4701"/>
    <s v="MIMC-4001"/>
    <s v="LENG-1574"/>
    <s v="DEPO-1219"/>
    <s v="MIMC-4002"/>
    <m/>
    <m/>
    <m/>
    <m/>
    <m/>
    <x v="7"/>
    <x v="1"/>
  </r>
  <r>
    <x v="4"/>
    <n v="202410"/>
    <n v="202416845"/>
    <s v="Valentin Leonard Jean Claude"/>
    <s v="VAN WERSCH"/>
    <s v="Erasmus Universiteit Rotterdam"/>
    <s v="Erasmus Universiteit Rotterdam"/>
    <x v="1"/>
    <s v="Netherlands"/>
    <s v="Europe"/>
    <s v="valentinvanwersch@hotmail.com"/>
    <s v="v.van@uniandes.edu.co"/>
    <x v="0"/>
    <s v="EXTE"/>
    <m/>
    <x v="0"/>
    <s v="MIMC-4003"/>
    <s v="MIMC-4004"/>
    <s v="MADM-4051"/>
    <s v="MIMC-4001"/>
    <s v="DEPO-1228"/>
    <s v="MADM-4939"/>
    <s v="MIMC-4002"/>
    <m/>
    <m/>
    <m/>
    <m/>
    <m/>
    <x v="7"/>
    <x v="1"/>
  </r>
  <r>
    <x v="4"/>
    <n v="202410"/>
    <n v="202416846"/>
    <s v="Florian Rudolf"/>
    <s v="WANDL"/>
    <s v="Wirtschaftsuniversität Wien"/>
    <s v="Wirtschaftsuniversität Wien"/>
    <x v="1"/>
    <s v="Austria"/>
    <s v="Europe"/>
    <s v="Florian.wandl1@gmail.com"/>
    <s v="f.wandl@uniandes.edu.co"/>
    <x v="0"/>
    <s v="EXTE"/>
    <m/>
    <x v="0"/>
    <s v="MIMC-4003"/>
    <s v="MIMC-4004"/>
    <s v="MADM-4051"/>
    <s v="MIMC-4001"/>
    <s v="MIMC-4002"/>
    <s v="MIMC-4008"/>
    <m/>
    <m/>
    <m/>
    <m/>
    <m/>
    <m/>
    <x v="7"/>
    <x v="1"/>
  </r>
  <r>
    <x v="4"/>
    <n v="202410"/>
    <n v="202416837"/>
    <s v="Pauline Suzanne Marie"/>
    <s v="BITOUZET"/>
    <s v="HEC School of Management"/>
    <s v="HEC Paris"/>
    <x v="0"/>
    <s v="France"/>
    <s v="Europe"/>
    <s v="pauline.bitouzet@gmail.com"/>
    <s v="p.bitouzet@uniandes.edu.co"/>
    <x v="0"/>
    <s v="EXTE"/>
    <m/>
    <x v="0"/>
    <s v="ADMI-1602"/>
    <s v="ADMI-3110"/>
    <s v="ADMI-3601"/>
    <s v="ADMI-3606"/>
    <s v="PSIG-1112"/>
    <m/>
    <m/>
    <m/>
    <m/>
    <m/>
    <m/>
    <m/>
    <x v="0"/>
    <x v="0"/>
  </r>
  <r>
    <x v="4"/>
    <n v="202410"/>
    <n v="202416924"/>
    <s v="Myriam"/>
    <s v="MSEDDI"/>
    <s v="HEC School of Management"/>
    <s v="HEC Paris"/>
    <x v="0"/>
    <s v="France"/>
    <s v="Europe"/>
    <s v="myriam.mseddi@hec.edu"/>
    <s v="m.mseddi@uniandes.edu.co"/>
    <x v="0"/>
    <s v="EXTE"/>
    <m/>
    <x v="0"/>
    <s v="ADMI-1602"/>
    <s v="ADMI-3110"/>
    <s v="ADMI-3601"/>
    <s v="ADMI-3606"/>
    <s v="PSIG-1112"/>
    <m/>
    <m/>
    <m/>
    <m/>
    <m/>
    <m/>
    <m/>
    <x v="0"/>
    <x v="0"/>
  </r>
  <r>
    <x v="4"/>
    <n v="202410"/>
    <n v="202416891"/>
    <s v="Lou Monique Gisele"/>
    <s v="TORINEAU"/>
    <s v="HEC School of Management"/>
    <s v="HEC Paris"/>
    <x v="0"/>
    <s v="France"/>
    <s v="Europe"/>
    <s v="lou.torineau@hec.edu"/>
    <s v="l.torineau@uniandes.edu.co"/>
    <x v="0"/>
    <s v="EXTE"/>
    <m/>
    <x v="0"/>
    <s v="ADMI-1602"/>
    <s v="ADMI-3110"/>
    <s v="ADMI-3601"/>
    <s v="ADMI-3606"/>
    <s v="PSIG-1112"/>
    <m/>
    <m/>
    <m/>
    <m/>
    <m/>
    <m/>
    <m/>
    <x v="0"/>
    <x v="0"/>
  </r>
  <r>
    <x v="4"/>
    <n v="202420"/>
    <n v="202424820"/>
    <s v="Adel"/>
    <s v="ADMED YAHIA"/>
    <s v="Université Jean Moulin Lyon 3"/>
    <s v="Universidad Jean Moulin Lyon 3"/>
    <x v="1"/>
    <s v="France"/>
    <s v="Europe"/>
    <s v="adel.ay@hotmail.fr"/>
    <s v="a.admed@uniandes.edu.co"/>
    <x v="0"/>
    <s v="EXTE"/>
    <m/>
    <x v="2"/>
    <s v="MADM-4154"/>
    <s v="MMBA-4300"/>
    <s v="MIMC-4021"/>
    <s v="MMER-4354"/>
    <s v="MMER-4360"/>
    <m/>
    <m/>
    <m/>
    <m/>
    <m/>
    <m/>
    <m/>
    <x v="3"/>
    <x v="1"/>
  </r>
  <r>
    <x v="4"/>
    <n v="202420"/>
    <n v="202424839"/>
    <s v="Giovanni"/>
    <s v="ALETTI"/>
    <s v="Politecnico di Milano"/>
    <s v="Politecnico di Milano"/>
    <x v="0"/>
    <s v="Italy"/>
    <s v="Europe"/>
    <s v="giovanni1.aletti@mail.polimi.it"/>
    <s v="g.aletti@uniandes.edu.co"/>
    <x v="0"/>
    <s v="EXTE"/>
    <m/>
    <x v="3"/>
    <s v="ADMI-3620"/>
    <s v="MFIN-4208"/>
    <s v="MFIN-4210"/>
    <s v="MFIN-4000"/>
    <s v="MFIN-4216"/>
    <m/>
    <m/>
    <m/>
    <m/>
    <m/>
    <m/>
    <m/>
    <x v="4"/>
    <x v="1"/>
  </r>
  <r>
    <x v="4"/>
    <n v="202420"/>
    <n v="202424600"/>
    <s v="Boldizsar"/>
    <s v="BAKONYI"/>
    <s v="Erasmus Universiteit Rotterdam"/>
    <s v="Erasmus Universiteit Rotterdam"/>
    <x v="1"/>
    <s v="Netherlands"/>
    <s v="Europe"/>
    <s v="bakonyi2017@gmail.com"/>
    <s v="b.bakonyi@uniandes.edu.co"/>
    <x v="0"/>
    <s v="EXTE"/>
    <m/>
    <x v="4"/>
    <s v="ADMI-2403"/>
    <s v="ADMI-2556"/>
    <s v="ADMI-3237"/>
    <s v="ADMI-3620"/>
    <s v="LENG-1571"/>
    <s v="DEPO-3110"/>
    <s v="DEPO-3888"/>
    <m/>
    <m/>
    <m/>
    <m/>
    <m/>
    <x v="0"/>
    <x v="0"/>
  </r>
  <r>
    <x v="4"/>
    <n v="202420"/>
    <n v="202424607"/>
    <s v="Claudia"/>
    <s v="BARATTO"/>
    <s v="Politecnico di Milano"/>
    <s v="Politecnico di Milano"/>
    <x v="0"/>
    <s v="Italy"/>
    <s v="Europe"/>
    <s v="claudia.baratto@mail.polimi.it"/>
    <s v="c.baratto@uniandes.edu.co"/>
    <x v="0"/>
    <s v="EXTE"/>
    <m/>
    <x v="3"/>
    <s v="ADMI-1203"/>
    <s v="ADMI-2106"/>
    <s v="ADMI-2403"/>
    <s v="ADMI-3133"/>
    <s v="ADMI-3620"/>
    <m/>
    <m/>
    <m/>
    <m/>
    <m/>
    <m/>
    <m/>
    <x v="0"/>
    <x v="1"/>
  </r>
  <r>
    <x v="4"/>
    <n v="202420"/>
    <n v="202424631"/>
    <s v="Carlota"/>
    <s v="BARTOLOME SEUMA"/>
    <s v="Maastricht University"/>
    <s v="Maastricht University"/>
    <x v="0"/>
    <s v="Netherlands"/>
    <s v="Europe"/>
    <s v="bartolomecarlota1@gmail.com"/>
    <s v="c.bartolome@uniandes.edu.co"/>
    <x v="0"/>
    <s v="EXTE"/>
    <m/>
    <x v="5"/>
    <s v="ADMI-1203"/>
    <s v="ADMI-2403"/>
    <s v="ADMI-3110"/>
    <s v="ADMI-3133"/>
    <s v="MIMC-4023"/>
    <s v="GLOB-2104"/>
    <m/>
    <m/>
    <m/>
    <m/>
    <m/>
    <m/>
    <x v="0"/>
    <x v="0"/>
  </r>
  <r>
    <x v="4"/>
    <n v="202420"/>
    <n v="202424612"/>
    <s v="Litzy Cristina"/>
    <s v="CASAS MUNOZ"/>
    <s v="Instituto Tecnológico y de Estudios Superiores de Monterrey (ITESM)"/>
    <s v="ITESM-EGADE -Instituto tecnológico y de estudios superiores de Monterrey"/>
    <x v="0"/>
    <s v="Mexico"/>
    <s v="North America"/>
    <s v="a01235903@tec.mx"/>
    <s v="lc.casas@uniandes.edu.co"/>
    <x v="0"/>
    <s v="EXTE"/>
    <m/>
    <x v="6"/>
    <s v="ADMI-1190"/>
    <s v="ADMI-1603"/>
    <s v="ADMI-2106"/>
    <s v="ADMI-2301"/>
    <s v="ADMI-3611"/>
    <s v="ADMI-3701"/>
    <m/>
    <m/>
    <m/>
    <m/>
    <m/>
    <m/>
    <x v="0"/>
    <x v="0"/>
  </r>
  <r>
    <x v="4"/>
    <n v="202420"/>
    <n v="202424635"/>
    <s v="Yin Chen"/>
    <s v="CHIU"/>
    <s v="National Chengchi University"/>
    <s v="NCCU- National Chengchi University"/>
    <x v="0"/>
    <s v="Taiwan"/>
    <s v="Asia"/>
    <s v="109509319@g.nccu.edu.tw"/>
    <s v="y.chiu@uniandes.edu.co"/>
    <x v="0"/>
    <s v="EXTE"/>
    <m/>
    <x v="7"/>
    <s v="ADMI-2301"/>
    <s v="LENG-1401"/>
    <s v="LENG-1572"/>
    <m/>
    <m/>
    <m/>
    <m/>
    <m/>
    <m/>
    <m/>
    <m/>
    <m/>
    <x v="0"/>
    <x v="0"/>
  </r>
  <r>
    <x v="4"/>
    <n v="202420"/>
    <n v="202424803"/>
    <s v="Stijn Arthur Roy"/>
    <s v="CLAASSENS"/>
    <s v="Maastricht University"/>
    <s v="Maastricht University"/>
    <x v="0"/>
    <s v="Netherlands"/>
    <s v="Europe"/>
    <s v="s.claassens@student.maastrichtuniversity.nl"/>
    <s v="s.claassens@uniandes.edu.co"/>
    <x v="0"/>
    <s v="EXTE"/>
    <m/>
    <x v="8"/>
    <s v="ADMI-2301"/>
    <s v="ADMI-3110"/>
    <s v="ADMI-3211"/>
    <s v="ADMI-3237"/>
    <s v="ADMI-3620"/>
    <s v="ADMI-3745"/>
    <m/>
    <m/>
    <m/>
    <m/>
    <m/>
    <m/>
    <x v="0"/>
    <x v="0"/>
  </r>
  <r>
    <x v="4"/>
    <n v="202420"/>
    <n v="202424875"/>
    <s v="Clelia Nathalie"/>
    <s v="CORDIER"/>
    <s v="Grenoble Ecole de Management"/>
    <s v="Grenoble. École de Management"/>
    <x v="0"/>
    <s v="France"/>
    <s v="Europe"/>
    <s v="clelia.cordier@grenoble-em.com"/>
    <s v="c.cordier@uniandes.edu.co"/>
    <x v="0"/>
    <s v="EXTE"/>
    <m/>
    <x v="2"/>
    <s v="ADMI-1602"/>
    <s v="ADMI-1603"/>
    <s v="ADMI-2301"/>
    <s v="ADMI-2501"/>
    <s v="ADMI-3606"/>
    <m/>
    <m/>
    <m/>
    <m/>
    <m/>
    <m/>
    <m/>
    <x v="0"/>
    <x v="1"/>
  </r>
  <r>
    <x v="4"/>
    <n v="202420"/>
    <n v="202424816"/>
    <s v="Antton Marc"/>
    <s v="COURTOIS"/>
    <s v="Université Jean Moulin Lyon 3"/>
    <s v="Universidad Jean Moulin Lyon 3"/>
    <x v="1"/>
    <s v="France"/>
    <s v="Europe"/>
    <s v="antton.courtois@gmail.com"/>
    <s v="a.courtois@uniandes.edu.co"/>
    <x v="0"/>
    <s v="EXTE"/>
    <m/>
    <x v="9"/>
    <s v="MADM-4154"/>
    <s v="MMBA-4300"/>
    <s v="DEPO-1218"/>
    <s v="MIMC-4021"/>
    <s v="MMER-4354"/>
    <s v="MMER-4360"/>
    <m/>
    <m/>
    <m/>
    <m/>
    <m/>
    <m/>
    <x v="3"/>
    <x v="1"/>
  </r>
  <r>
    <x v="4"/>
    <n v="202420"/>
    <n v="202424836"/>
    <s v="Edoardo Maurizio"/>
    <s v="DE LEO"/>
    <s v="Università Commerciale 'Luigi Bocconi' di Milano"/>
    <s v="Università Commerciale Luigi Bocconi"/>
    <x v="0"/>
    <s v="Italy"/>
    <s v="Europe"/>
    <s v="edoardo.deleo2@studbocconi.it"/>
    <s v="e.del@uniandes.edu.co"/>
    <x v="0"/>
    <s v="EXTE"/>
    <m/>
    <x v="10"/>
    <s v="ADMI-1603"/>
    <s v="ADMI-3236"/>
    <s v="ADMI-3745"/>
    <s v="MADM-4151"/>
    <m/>
    <m/>
    <m/>
    <m/>
    <m/>
    <m/>
    <m/>
    <m/>
    <x v="5"/>
    <x v="1"/>
  </r>
  <r>
    <x v="4"/>
    <n v="202420"/>
    <n v="202424893"/>
    <s v="Romain Thomas Marie"/>
    <s v="DELAIRE"/>
    <s v="Universitat Ramon Llull"/>
    <s v="ESADE"/>
    <x v="0"/>
    <s v="Spain"/>
    <s v="Europe"/>
    <s v="romaindelaire03@gmail.com"/>
    <s v="r.delaire@uniandes.edu.co"/>
    <x v="0"/>
    <s v="EXTE"/>
    <m/>
    <x v="11"/>
    <s v="ADMI-1190"/>
    <s v="ADMI-2204"/>
    <s v="ADMI-3237"/>
    <s v="ADMI-3620"/>
    <s v="ECON-1001"/>
    <s v="ECON-1001C"/>
    <m/>
    <m/>
    <m/>
    <m/>
    <m/>
    <m/>
    <x v="0"/>
    <x v="0"/>
  </r>
  <r>
    <x v="4"/>
    <n v="202420"/>
    <n v="202424832"/>
    <s v="Sami"/>
    <s v="EL BOUSSELMI"/>
    <s v="Maastricht University"/>
    <s v="Maastricht University"/>
    <x v="0"/>
    <s v="Netherlands"/>
    <s v="Europe"/>
    <s v="s.elbousselmi@student.maastrichtuniversity.nl"/>
    <s v="s.el@uniandes.edu.co"/>
    <x v="0"/>
    <s v="EXTE"/>
    <m/>
    <x v="12"/>
    <s v="MGPD-4447"/>
    <s v="MGPD-4454"/>
    <s v="MGAP-4447"/>
    <s v="LENG-1701"/>
    <s v="DEPO-1256"/>
    <s v="MIIA-4400"/>
    <m/>
    <m/>
    <m/>
    <m/>
    <m/>
    <m/>
    <x v="5"/>
    <x v="1"/>
  </r>
  <r>
    <x v="4"/>
    <n v="202420"/>
    <n v="202424620"/>
    <s v="Karolina"/>
    <s v="FREYER"/>
    <s v="Maastricht University"/>
    <s v="Maastricht University"/>
    <x v="0"/>
    <s v="Netherlands"/>
    <s v="Europe"/>
    <s v="karolinka.freyer@gmail.com"/>
    <s v="k.freyer@uniandes.edu.co"/>
    <x v="0"/>
    <s v="EXTE"/>
    <m/>
    <x v="13"/>
    <s v="ADMI-2301"/>
    <s v="ADMI-2403"/>
    <s v="ADMI-3133"/>
    <s v="ADMI-3211"/>
    <s v="ADMI-3237"/>
    <s v="ADMI-3341"/>
    <s v="LENG-1571"/>
    <m/>
    <m/>
    <m/>
    <m/>
    <m/>
    <x v="0"/>
    <x v="0"/>
  </r>
  <r>
    <x v="4"/>
    <n v="202420"/>
    <n v="202424885"/>
    <s v="Lou Mai Chi"/>
    <s v="GANDOLPHE"/>
    <s v="Université Paris Dauphine-PSL"/>
    <s v="Université Paris-Dauphine"/>
    <x v="1"/>
    <s v="France"/>
    <s v="Europe"/>
    <s v="lou.gandolphe@dauphine.eu"/>
    <s v="l.gandolphe@uniandes.edu.co"/>
    <x v="0"/>
    <s v="EXTE"/>
    <m/>
    <x v="14"/>
    <s v="ADMI-1190"/>
    <s v="ADMI-1603"/>
    <s v="ADMI-2301"/>
    <s v="ADMI-3110"/>
    <m/>
    <m/>
    <m/>
    <m/>
    <m/>
    <m/>
    <m/>
    <m/>
    <x v="0"/>
    <x v="0"/>
  </r>
  <r>
    <x v="4"/>
    <n v="202420"/>
    <n v="202424591"/>
    <s v="Oskar"/>
    <s v="GIEBICHENSTEIN"/>
    <s v="Maastricht University"/>
    <s v="Maastricht University"/>
    <x v="0"/>
    <s v="Netherlands"/>
    <s v="Europe"/>
    <s v="o.giebichenstein@student.maastrichtuniversity.nl"/>
    <s v="o.giebichenstein@uniandes.edu.co"/>
    <x v="0"/>
    <s v="EXTE"/>
    <m/>
    <x v="8"/>
    <s v="ADMI-2403"/>
    <s v="ADMI-3110"/>
    <s v="ADMI-3133"/>
    <s v="ADMI-3211"/>
    <s v="ADMI-3341"/>
    <s v="ADMI-3620"/>
    <s v="LENG-1571"/>
    <m/>
    <m/>
    <m/>
    <m/>
    <m/>
    <x v="0"/>
    <x v="0"/>
  </r>
  <r>
    <x v="4"/>
    <n v="202420"/>
    <n v="202424624"/>
    <s v="Carolina"/>
    <s v="GOULAO RIBEIRO CRISPIM"/>
    <s v="Universidade Católica Portuguesa"/>
    <s v="Catolica Lisbon Business &amp; Economics. Universidade Católica Portuguesa"/>
    <x v="0"/>
    <s v="Portugal"/>
    <s v="Europe"/>
    <s v="carolcrispim2004@gmail.com"/>
    <s v="c.goulao@uniandes.edu.co"/>
    <x v="0"/>
    <s v="EXTE"/>
    <m/>
    <x v="15"/>
    <s v="ADMI-1190"/>
    <s v="ADMI-2403"/>
    <s v="ADMI-2801"/>
    <s v="ADMI-3110"/>
    <s v="ADMI-3502"/>
    <s v="ADMI-3431"/>
    <m/>
    <m/>
    <m/>
    <m/>
    <m/>
    <m/>
    <x v="0"/>
    <x v="0"/>
  </r>
  <r>
    <x v="4"/>
    <n v="202420"/>
    <n v="202424825"/>
    <s v="Juliette Nicole Dominique"/>
    <s v="HAMERY"/>
    <s v="ESSEC Business School"/>
    <s v="ESSEC"/>
    <x v="0"/>
    <s v="France"/>
    <s v="Europe"/>
    <s v="juliette.hamery@essec.edu"/>
    <s v="j.hamery@uniandes.edu.co"/>
    <x v="0"/>
    <s v="EXTE"/>
    <m/>
    <x v="16"/>
    <s v="MGAD-4103"/>
    <s v="MGAD-4201"/>
    <s v="MGAD-4451"/>
    <m/>
    <m/>
    <m/>
    <m/>
    <m/>
    <m/>
    <m/>
    <m/>
    <m/>
    <x v="5"/>
    <x v="1"/>
  </r>
  <r>
    <x v="4"/>
    <n v="202420"/>
    <n v="202424862"/>
    <s v="Harry"/>
    <s v="HELLBERG YANCI"/>
    <s v="Handelshøjskolen i København"/>
    <s v="CBS- Copenhagen Business School  "/>
    <x v="0"/>
    <s v="Denmark"/>
    <s v="Europe"/>
    <s v="harryhellberg@outlook.com"/>
    <s v="h.hellberg@uniandes.edu.co"/>
    <x v="0"/>
    <s v="EXTE"/>
    <m/>
    <x v="17"/>
    <s v="ADMI-2106"/>
    <s v="ADMI-3110"/>
    <s v="ADMI-3606"/>
    <s v="ADMI-3701"/>
    <s v="ARTE-1144"/>
    <s v="GLOB-1200"/>
    <m/>
    <m/>
    <m/>
    <m/>
    <m/>
    <m/>
    <x v="0"/>
    <x v="0"/>
  </r>
  <r>
    <x v="4"/>
    <n v="202420"/>
    <n v="202424818"/>
    <s v="Eugenie Marie"/>
    <s v="HENAUT"/>
    <s v="ESCP Europe"/>
    <s v="ESCP"/>
    <x v="0"/>
    <s v="France"/>
    <s v="Europe"/>
    <s v="eugenie.henaut@edu.escp.eu"/>
    <s v="e.henaut@uniandes.edu.co"/>
    <x v="0"/>
    <s v="EXTE"/>
    <m/>
    <x v="16"/>
    <s v="MGAD-4103"/>
    <s v="MGAD-4201"/>
    <s v="MGAD-4451"/>
    <m/>
    <m/>
    <m/>
    <m/>
    <m/>
    <m/>
    <m/>
    <m/>
    <m/>
    <x v="5"/>
    <x v="1"/>
  </r>
  <r>
    <x v="4"/>
    <n v="202420"/>
    <n v="202424850"/>
    <s v="Teimo Tanaphorn"/>
    <s v="ISARASAKDATIKUL"/>
    <s v="Université de Genève"/>
    <s v="Université de Genève"/>
    <x v="1"/>
    <s v="Switzerland"/>
    <s v="Europe"/>
    <s v="teimo.isarasakdatikul@etu.unige.ch"/>
    <s v="t.isarasakdatikul@uniandes.edu.co"/>
    <x v="0"/>
    <s v="EXTE"/>
    <m/>
    <x v="18"/>
    <s v="ADMI-2106"/>
    <s v="ADMI-2301"/>
    <s v="ADMI-3211"/>
    <s v="ADMI-3237"/>
    <s v="ADMI-3620"/>
    <m/>
    <m/>
    <m/>
    <m/>
    <m/>
    <m/>
    <m/>
    <x v="5"/>
    <x v="1"/>
  </r>
  <r>
    <x v="4"/>
    <n v="202420"/>
    <n v="202424804"/>
    <s v="Tobias Leonard Hubert"/>
    <s v="JACOBS"/>
    <s v="Maastricht University"/>
    <s v="Maastricht University"/>
    <x v="0"/>
    <s v="Netherlands"/>
    <s v="Europe"/>
    <s v="tobiasjacobs02@gmail.com"/>
    <s v="t.jacobs@uniandes.edu.co"/>
    <x v="0"/>
    <s v="EXTE"/>
    <m/>
    <x v="13"/>
    <s v="ADMI-1203"/>
    <s v="ADMI-2301"/>
    <s v="ADMI-2403"/>
    <s v="ADMI-2556"/>
    <s v="ADMI-3110"/>
    <s v="ADMI-3210"/>
    <m/>
    <m/>
    <m/>
    <m/>
    <m/>
    <m/>
    <x v="0"/>
    <x v="0"/>
  </r>
  <r>
    <x v="4"/>
    <n v="202420"/>
    <n v="202424587"/>
    <s v="Ines Juliette Brigitte"/>
    <s v="LARCENET"/>
    <s v="NEOMA Business School"/>
    <s v="ESC Rouen (NEOMA)"/>
    <x v="0"/>
    <s v="France"/>
    <s v="Europe"/>
    <s v="ines.larcenet.22@neoma-bs.com"/>
    <s v="i.larcenet@uniandes.edu.co"/>
    <x v="0"/>
    <s v="EXTE"/>
    <m/>
    <x v="19"/>
    <s v="ADMI-2106"/>
    <s v="ADMI-2301"/>
    <s v="ADMI-2403"/>
    <s v="ADMI-3110"/>
    <m/>
    <m/>
    <m/>
    <m/>
    <m/>
    <m/>
    <m/>
    <m/>
    <x v="0"/>
    <x v="1"/>
  </r>
  <r>
    <x v="4"/>
    <n v="202420"/>
    <n v="202424884"/>
    <s v="Adelaïde Marie"/>
    <s v="MADET USAGE MA"/>
    <s v="NEOMA Business School"/>
    <s v="ESC Rouen (NEOMA)"/>
    <x v="0"/>
    <s v="France"/>
    <s v="Europe"/>
    <s v="adel.madet@gmail.com"/>
    <s v="a.madet@uniandes.edu.co"/>
    <x v="0"/>
    <s v="EXTE"/>
    <m/>
    <x v="19"/>
    <s v="ADMI-2106"/>
    <s v="ADMI-2301"/>
    <s v="ADMI-3341"/>
    <s v="ADMI-3701"/>
    <s v="ARTE-1141"/>
    <s v="DEPO-1207"/>
    <m/>
    <m/>
    <m/>
    <m/>
    <m/>
    <m/>
    <x v="0"/>
    <x v="1"/>
  </r>
  <r>
    <x v="4"/>
    <n v="202420"/>
    <n v="202424603"/>
    <s v="Giorgio"/>
    <s v="MARINO"/>
    <s v="Università Commerciale 'Luigi Bocconi' di Milano"/>
    <s v="Università Commerciale Luigi Bocconi"/>
    <x v="0"/>
    <s v="Italy"/>
    <s v="Europe"/>
    <s v="giorgio.marino@studbocconi.it"/>
    <s v="g.marino1@uniandes.edu.co"/>
    <x v="0"/>
    <s v="EXTE"/>
    <m/>
    <x v="20"/>
    <s v="ADMI-2301"/>
    <s v="ADMI-2403"/>
    <s v="ADMI-3205"/>
    <s v="ADMI-3502"/>
    <s v="ADMI-3701"/>
    <m/>
    <m/>
    <m/>
    <m/>
    <m/>
    <m/>
    <m/>
    <x v="0"/>
    <x v="0"/>
  </r>
  <r>
    <x v="4"/>
    <n v="202420"/>
    <n v="202424824"/>
    <s v="Fiona Manon Benedicte"/>
    <s v="MARTIN"/>
    <s v="ESCP Europe"/>
    <s v="ESCP"/>
    <x v="0"/>
    <s v="France"/>
    <s v="Europe"/>
    <s v="fiona.martin@edu.escp.eu"/>
    <s v="f.martin@uniandes.edu.co"/>
    <x v="0"/>
    <s v="EXTE"/>
    <m/>
    <x v="16"/>
    <s v="MGAD-4103"/>
    <s v="MGAD-4201"/>
    <s v="MGAD-4451"/>
    <m/>
    <m/>
    <m/>
    <m/>
    <m/>
    <m/>
    <m/>
    <m/>
    <m/>
    <x v="5"/>
    <x v="1"/>
  </r>
  <r>
    <x v="4"/>
    <n v="202420"/>
    <n v="202424909"/>
    <s v="Charles True Barger"/>
    <s v="MCGINLEY"/>
    <s v="Tulane University"/>
    <s v="A.B. Freeman School of Business, Tulane University"/>
    <x v="0"/>
    <s v="United States"/>
    <s v="North America"/>
    <s v="cmcginley@tulane.edu"/>
    <s v="c.mcginley@uniandes.edu.co"/>
    <x v="0"/>
    <s v="EXTE"/>
    <m/>
    <x v="21"/>
    <s v="ADMI-1602"/>
    <s v="ADMI-2104"/>
    <s v="ADMI-3110"/>
    <s v="ADMI-3620"/>
    <s v="ADMI-3745"/>
    <m/>
    <m/>
    <m/>
    <m/>
    <m/>
    <m/>
    <m/>
    <x v="0"/>
    <x v="0"/>
  </r>
  <r>
    <x v="4"/>
    <n v="202420"/>
    <n v="202424604"/>
    <s v="Francesco"/>
    <s v="PATRIZI"/>
    <s v="Politecnico di Milano"/>
    <s v="Politecnico di Milano"/>
    <x v="0"/>
    <s v="Italy"/>
    <s v="Europe"/>
    <s v="francesco.patrizi@mail.polimi.it"/>
    <s v="f.patrizi@uniandes.edu.co"/>
    <x v="0"/>
    <s v="EXTE"/>
    <m/>
    <x v="3"/>
    <s v="ADMI-1203"/>
    <s v="ADMI-2106"/>
    <s v="ADMI-3110"/>
    <s v="ADMI-3133"/>
    <s v="ADMI-3341"/>
    <s v="ADMI-3611"/>
    <s v="DEPO-1222"/>
    <s v="DEPO-1255"/>
    <m/>
    <m/>
    <m/>
    <m/>
    <x v="0"/>
    <x v="1"/>
  </r>
  <r>
    <x v="4"/>
    <n v="202420"/>
    <n v="202424625"/>
    <s v="Manuel"/>
    <s v="PORTUGAL COSTA TAVARES DOS REIS"/>
    <s v="Universidade Católica Portuguesa"/>
    <s v="Catolica Lisbon Business &amp; Economics. Universidade Católica Portuguesa"/>
    <x v="0"/>
    <s v="Portugal"/>
    <s v="Europe"/>
    <s v="s-mpcreis@ucp.pt"/>
    <s v="m.portugal@uniandes.edu.co"/>
    <x v="0"/>
    <s v="EXTE"/>
    <m/>
    <x v="15"/>
    <s v="ADMI-1190"/>
    <s v="ADMI-2403"/>
    <s v="ADMI-2801"/>
    <s v="ADMI-3110"/>
    <s v="ADMI-3502"/>
    <s v="ADMI-3431"/>
    <m/>
    <m/>
    <m/>
    <m/>
    <m/>
    <m/>
    <x v="0"/>
    <x v="0"/>
  </r>
  <r>
    <x v="4"/>
    <n v="202420"/>
    <n v="202424894"/>
    <s v="Marine Cerise Philippine Zoe"/>
    <s v="PRIETO"/>
    <s v="ESSEC Business School"/>
    <s v="ESSEC"/>
    <x v="0"/>
    <s v="France"/>
    <s v="Europe"/>
    <s v="b00806868@essec.edu"/>
    <s v="mc.prieto23@uniandes.edu.co"/>
    <x v="0"/>
    <s v="EXTE"/>
    <m/>
    <x v="11"/>
    <s v="CPOL-1000"/>
    <s v="CISO-1303"/>
    <s v="CISO-1505"/>
    <s v="CBCA-1223"/>
    <s v="LENG-1572"/>
    <s v="DEPO-1227"/>
    <s v="DEPO-1229"/>
    <s v="CBCO-1080"/>
    <m/>
    <m/>
    <m/>
    <m/>
    <x v="0"/>
    <x v="0"/>
  </r>
  <r>
    <x v="4"/>
    <n v="202420"/>
    <n v="202424840"/>
    <s v="Jacopo Giulio Michele"/>
    <s v="RASO"/>
    <s v="Università Commerciale 'Luigi Bocconi' di Milano"/>
    <s v="Università Commerciale Luigi Bocconi"/>
    <x v="0"/>
    <s v="Italy"/>
    <s v="Europe"/>
    <s v="jacopo.raso@outlook.it"/>
    <s v="j.raso@uniandes.edu.co"/>
    <x v="0"/>
    <s v="EXTE"/>
    <m/>
    <x v="22"/>
    <s v="ADMI-1603"/>
    <s v="ADMI-3110"/>
    <s v="ADMI-3236"/>
    <s v="ADMI-3745"/>
    <s v="LENG-1572"/>
    <m/>
    <m/>
    <m/>
    <m/>
    <m/>
    <m/>
    <m/>
    <x v="5"/>
    <x v="1"/>
  </r>
  <r>
    <x v="4"/>
    <n v="202420"/>
    <n v="202424914"/>
    <s v="Alec James"/>
    <s v="RILEY"/>
    <s v="Tulane University"/>
    <s v="A.B. Freeman School of Business, Tulane University"/>
    <x v="0"/>
    <s v="United States"/>
    <s v="North America"/>
    <s v="ariley5@tulane.edu"/>
    <s v="a.riley@uniandes.edu.co"/>
    <x v="0"/>
    <s v="EXTE"/>
    <m/>
    <x v="23"/>
    <s v="ADMI-3110"/>
    <s v="ADMI-3133"/>
    <s v="CPOL-2448"/>
    <s v="GLOB-2010"/>
    <s v="CBCA-1465"/>
    <m/>
    <m/>
    <m/>
    <m/>
    <m/>
    <m/>
    <m/>
    <x v="0"/>
    <x v="0"/>
  </r>
  <r>
    <x v="4"/>
    <n v="202420"/>
    <n v="202424814"/>
    <s v="Saku Petteri"/>
    <s v="RISTOLAINEN"/>
    <s v="Aalto University"/>
    <s v="Aalto University"/>
    <x v="0"/>
    <s v="Finland"/>
    <s v="Europe"/>
    <s v="saku.ristolainen@aalto.fi"/>
    <s v="s.ristolainen@uniandes.edu.co"/>
    <x v="0"/>
    <s v="EXTE"/>
    <m/>
    <x v="24"/>
    <s v="ADMI-1203"/>
    <s v="GEOC-1002"/>
    <s v="GEOC-3504"/>
    <s v="LENG-1572"/>
    <s v="DEPO-1218"/>
    <s v="DEPO-1220"/>
    <s v="DEPO-1256"/>
    <s v="ECON-1305"/>
    <s v="CBCC-1177"/>
    <s v="CBCA-1245"/>
    <m/>
    <m/>
    <x v="5"/>
    <x v="1"/>
  </r>
  <r>
    <x v="4"/>
    <n v="202420"/>
    <n v="202424609"/>
    <s v="Camillo"/>
    <s v="ROSSETTI"/>
    <s v="Politecnico di Milano"/>
    <s v="Politecnico di Milano"/>
    <x v="0"/>
    <s v="Italy"/>
    <s v="Europe"/>
    <s v="camillo1.rossetti@mail.polimi.it"/>
    <s v="c.rossetti@uniandes.edu.co"/>
    <x v="0"/>
    <s v="EXTE"/>
    <m/>
    <x v="3"/>
    <s v="ADMI-1203"/>
    <s v="ADMI-2106"/>
    <s v="ADMI-3133"/>
    <s v="ADMI-3620"/>
    <s v="IIND-4200"/>
    <m/>
    <m/>
    <m/>
    <m/>
    <m/>
    <m/>
    <m/>
    <x v="0"/>
    <x v="1"/>
  </r>
  <r>
    <x v="4"/>
    <n v="202420"/>
    <n v="202424846"/>
    <s v="Carolina"/>
    <s v="ROVIRA SCHMITT"/>
    <s v="Université de Genève"/>
    <s v="Université de Genève"/>
    <x v="1"/>
    <s v="Switzerland"/>
    <s v="Europe"/>
    <s v="carolina.rovira@etu.unige.ch"/>
    <s v="c.rovira@uniandes.edu.co"/>
    <x v="0"/>
    <s v="EXTE"/>
    <m/>
    <x v="18"/>
    <s v="ADMI-2106"/>
    <s v="ADMI-3133"/>
    <s v="ADMI-3601"/>
    <s v="MADM-4934"/>
    <s v="MGLO-4004"/>
    <s v="ARTE-1141"/>
    <s v="ECON-3772"/>
    <s v="ARTE-1142"/>
    <m/>
    <m/>
    <m/>
    <m/>
    <x v="5"/>
    <x v="1"/>
  </r>
  <r>
    <x v="4"/>
    <n v="202420"/>
    <n v="202424851"/>
    <s v="Defne"/>
    <s v="SALLI"/>
    <s v="Université de Genève"/>
    <s v="Université de Genève"/>
    <x v="1"/>
    <s v="Switzerland"/>
    <s v="Europe"/>
    <s v="defne.salli@etu.unige.ch"/>
    <s v="d.salli@uniandes.edu.co"/>
    <x v="0"/>
    <s v="EXTE"/>
    <m/>
    <x v="25"/>
    <s v="ADMI-3133"/>
    <s v="EGOB-4006"/>
    <s v="GEOC-1006"/>
    <s v="CBCA-1245"/>
    <m/>
    <m/>
    <m/>
    <m/>
    <m/>
    <m/>
    <m/>
    <m/>
    <x v="5"/>
    <x v="1"/>
  </r>
  <r>
    <x v="4"/>
    <n v="202420"/>
    <n v="202424826"/>
    <s v="Quentin Pierre Louis"/>
    <s v="SOUBRANE"/>
    <s v="ESSEC Business School"/>
    <s v="ESSEC"/>
    <x v="0"/>
    <s v="France"/>
    <s v="Europe"/>
    <s v="quentin.soubrane@essec.edu"/>
    <s v="q.soubrane@uniandes.edu.co"/>
    <x v="0"/>
    <s v="EXTE"/>
    <m/>
    <x v="16"/>
    <s v="MGAD-4103"/>
    <s v="MGAD-4201"/>
    <s v="MGAD-4451"/>
    <m/>
    <m/>
    <m/>
    <m/>
    <m/>
    <m/>
    <m/>
    <m/>
    <m/>
    <x v="5"/>
    <x v="1"/>
  </r>
  <r>
    <x v="4"/>
    <n v="202420"/>
    <n v="202424629"/>
    <s v="Hana"/>
    <s v="STOLLAROVA"/>
    <s v="Erasmus Universiteit Rotterdam"/>
    <s v="Erasmus Universiteit Rotterdam"/>
    <x v="1"/>
    <s v="Netherlands"/>
    <s v="Europe"/>
    <s v="hanastollarova@gmail.com"/>
    <s v="h.stollarova@uniandes.edu.co"/>
    <x v="0"/>
    <s v="EXTE"/>
    <m/>
    <x v="26"/>
    <s v="ADMI-2106"/>
    <s v="ADMI-2301"/>
    <s v="ADMI-3110"/>
    <s v="ADMI-3211"/>
    <s v="ADMI-3745"/>
    <s v="LENG-1571"/>
    <m/>
    <m/>
    <m/>
    <m/>
    <m/>
    <m/>
    <x v="0"/>
    <x v="0"/>
  </r>
  <r>
    <x v="4"/>
    <n v="202420"/>
    <n v="202424835"/>
    <s v="Lisa"/>
    <s v="SYDOW"/>
    <s v="Université de Genève"/>
    <s v="Université de Genève"/>
    <x v="1"/>
    <s v="Switzerland"/>
    <s v="Europe"/>
    <s v="lisa.sydow@etu.unige.ch"/>
    <s v="l.sydow@uniandes.edu.co"/>
    <x v="0"/>
    <s v="EXTE"/>
    <m/>
    <x v="18"/>
    <s v="MGAP-4418"/>
    <s v="CIDE-4309"/>
    <s v="CISO-4035"/>
    <s v="CISO-4616"/>
    <m/>
    <m/>
    <m/>
    <m/>
    <m/>
    <m/>
    <m/>
    <m/>
    <x v="5"/>
    <x v="1"/>
  </r>
  <r>
    <x v="4"/>
    <n v="202420"/>
    <n v="202424606"/>
    <s v="Giulia"/>
    <s v="TORNIAMENTI"/>
    <s v="Università Commerciale 'Luigi Bocconi' di Milano"/>
    <s v="Università Commerciale Luigi Bocconi"/>
    <x v="0"/>
    <s v="Italy"/>
    <s v="Europe"/>
    <s v="giulia.torniamenti2@studbocconi.it"/>
    <s v="g.torniamenti@uniandes.edu.co"/>
    <x v="0"/>
    <s v="EXTE"/>
    <m/>
    <x v="27"/>
    <s v="ADMI-2301"/>
    <s v="ADMI-2403"/>
    <s v="ADMI-3341"/>
    <s v="ADMI-3502"/>
    <s v="IIND-3400"/>
    <m/>
    <m/>
    <m/>
    <m/>
    <m/>
    <m/>
    <m/>
    <x v="0"/>
    <x v="0"/>
  </r>
  <r>
    <x v="4"/>
    <n v="202420"/>
    <n v="202424805"/>
    <s v="Cas"/>
    <s v="VAN BERKOM"/>
    <s v="Tilburg University"/>
    <s v="Universidad de Tilburg"/>
    <x v="0"/>
    <s v="Netherlands"/>
    <s v="Europe"/>
    <s v="casvanberkom@gmail.com"/>
    <s v="c.van@uniandes.edu.co"/>
    <x v="0"/>
    <s v="EXTE"/>
    <m/>
    <x v="28"/>
    <s v="ADMI-1203"/>
    <s v="ADMI-2207"/>
    <s v="ADMI-2403"/>
    <s v="ADMI-3110"/>
    <s v="ADMI-3502"/>
    <s v="ADMI-3606"/>
    <m/>
    <m/>
    <m/>
    <m/>
    <m/>
    <m/>
    <x v="0"/>
    <x v="0"/>
  </r>
  <r>
    <x v="4"/>
    <n v="202420"/>
    <n v="202424810"/>
    <s v="Velislava Yosifova"/>
    <s v="VASILEVA"/>
    <s v="Universiteit Utrecht"/>
    <s v="Universiteit Utrecht"/>
    <x v="0"/>
    <s v="Netherlands"/>
    <s v="Europe"/>
    <s v="v.vasileva@uu.nl"/>
    <s v="v.vasileva@uniandes.edu.co"/>
    <x v="0"/>
    <s v="EXTE"/>
    <m/>
    <x v="29"/>
    <s v="MGLO-4004"/>
    <s v="CIDE-4309"/>
    <s v="DEPO-1256"/>
    <m/>
    <m/>
    <m/>
    <m/>
    <m/>
    <m/>
    <m/>
    <m/>
    <m/>
    <x v="5"/>
    <x v="1"/>
  </r>
  <r>
    <x v="4"/>
    <n v="202420"/>
    <n v="202424808"/>
    <s v="Maria Agustina"/>
    <s v="VEGA"/>
    <s v="Universidad de San Andrés"/>
    <s v="Universidad de San Andrés"/>
    <x v="0"/>
    <s v="Argentina"/>
    <s v="South America"/>
    <s v="vegam@udesa.edu.ar"/>
    <s v="ma.vega2@uniandes.edu.co"/>
    <x v="0"/>
    <s v="EXTE"/>
    <m/>
    <x v="30"/>
    <s v="MMER-4335"/>
    <s v="MMER-4345"/>
    <s v="LENG-2107"/>
    <s v="LENG-2109"/>
    <s v="DEPO-3248"/>
    <s v="MMER-4200"/>
    <s v="MMER-4360"/>
    <s v="MMER-4370"/>
    <m/>
    <m/>
    <m/>
    <m/>
    <x v="3"/>
    <x v="1"/>
  </r>
  <r>
    <x v="4"/>
    <n v="202420"/>
    <n v="202424596"/>
    <s v="Luis Cedric"/>
    <s v="VERING"/>
    <s v="Technische Universität München (TUM)"/>
    <s v="Technische Universität München (TUM)"/>
    <x v="1"/>
    <s v="Germany"/>
    <s v="Europe"/>
    <s v="luis.vering@tum.de"/>
    <s v="l.vering@uniandes.edu.co"/>
    <x v="0"/>
    <s v="EXTE"/>
    <m/>
    <x v="31"/>
    <s v="ADMI-3110"/>
    <s v="ADMI-3133"/>
    <s v="ADMI-3211"/>
    <s v="ADMI-3620"/>
    <s v="LENG-1572"/>
    <s v="DEPO-1233"/>
    <s v="DEPO-1256"/>
    <m/>
    <m/>
    <m/>
    <m/>
    <m/>
    <x v="0"/>
    <x v="1"/>
  </r>
  <r>
    <x v="4"/>
    <n v="202420"/>
    <n v="202424833"/>
    <s v="Noa Niclas"/>
    <s v="WEDEKIND"/>
    <s v="Universität St. Gallen"/>
    <s v="University of Saint Gallen"/>
    <x v="0"/>
    <s v="Switzerland"/>
    <s v="Europe"/>
    <s v="noaniclas.wedekind@student.unisg.ch"/>
    <s v="n.wedekind@uniandes.edu.co"/>
    <x v="0"/>
    <s v="EXTE"/>
    <m/>
    <x v="32"/>
    <s v="MGLO-4002"/>
    <s v="MGLO-4005"/>
    <s v="ARTE-2242"/>
    <s v="DEPO-1230"/>
    <s v="DEPO-1256"/>
    <s v="MBIT-4201"/>
    <s v="MIMC-4022"/>
    <s v="MGIT-4104"/>
    <m/>
    <m/>
    <m/>
    <m/>
    <x v="7"/>
    <x v="1"/>
  </r>
  <r>
    <x v="4"/>
    <n v="202420"/>
    <n v="202424584"/>
    <s v="Anastasia Violetta"/>
    <s v="WLASCHEK"/>
    <s v="Universitat Ramon Llull"/>
    <s v="ESADE"/>
    <x v="0"/>
    <s v="Spain"/>
    <s v="Europe"/>
    <s v="anastasiavioletta.wlaschek@alumni.esade.edu"/>
    <s v="a.wlaschek@uniandes.edu.co"/>
    <x v="0"/>
    <s v="EXTE"/>
    <m/>
    <x v="11"/>
    <s v="ADMI-2204"/>
    <s v="ADMI-2801"/>
    <s v="ADMI-3133"/>
    <s v="ADMI-3341"/>
    <s v="ADMI-3620"/>
    <m/>
    <m/>
    <m/>
    <m/>
    <m/>
    <m/>
    <m/>
    <x v="0"/>
    <x v="0"/>
  </r>
  <r>
    <x v="4"/>
    <m/>
    <n v="202413690"/>
    <s v="Jorge Mario"/>
    <s v="Caceres Rincon"/>
    <s v="Aarhus Universitet"/>
    <s v="Aarhus Universitet"/>
    <x v="1"/>
    <s v="Denmark"/>
    <s v="Europe"/>
    <s v="jorge@mgmt.au.dk"/>
    <s v="jm.caceres@uniandes.edu.co"/>
    <x v="3"/>
    <m/>
    <m/>
    <x v="33"/>
    <m/>
    <m/>
    <m/>
    <m/>
    <m/>
    <m/>
    <m/>
    <m/>
    <m/>
    <m/>
    <m/>
    <m/>
    <x v="12"/>
    <x v="2"/>
  </r>
  <r>
    <x v="4"/>
    <m/>
    <n v="202324240"/>
    <s v="Laura"/>
    <s v="Neill"/>
    <s v="University of Glasgow"/>
    <s v="University of Glasgow"/>
    <x v="0"/>
    <s v="United Kingdom"/>
    <s v="Europe"/>
    <s v="lauraneill@live.co.uk"/>
    <s v="l.neill@uniandes.edu.co"/>
    <x v="3"/>
    <m/>
    <m/>
    <x v="33"/>
    <m/>
    <m/>
    <m/>
    <m/>
    <m/>
    <m/>
    <m/>
    <m/>
    <m/>
    <m/>
    <m/>
    <m/>
    <x v="13"/>
    <x v="1"/>
  </r>
  <r>
    <x v="4"/>
    <m/>
    <n v="202421862"/>
    <s v="Hedda Ingrid Louise"/>
    <s v="Thomson EK"/>
    <s v="Central European University - Private University"/>
    <s v="Central European University - Private University"/>
    <x v="1"/>
    <s v="Austria"/>
    <s v="Europe"/>
    <s v="hedda.thomson@mespom.eu"/>
    <s v="h.thomson@uniandes.edu.co"/>
    <x v="3"/>
    <m/>
    <m/>
    <x v="33"/>
    <m/>
    <m/>
    <m/>
    <m/>
    <m/>
    <m/>
    <m/>
    <m/>
    <m/>
    <m/>
    <m/>
    <m/>
    <x v="14"/>
    <x v="1"/>
  </r>
  <r>
    <x v="4"/>
    <m/>
    <n v="202423414"/>
    <s v="Dulsse Maria"/>
    <s v="Luna Amigot"/>
    <s v="Instituto Politécnico Nacional"/>
    <s v="Instituto Politécnico Nacional"/>
    <x v="1"/>
    <s v="Mexico"/>
    <s v="North America"/>
    <s v="dulsse.amigot@gmail.com"/>
    <s v="d.lunaa@uniandes.edu.co"/>
    <x v="3"/>
    <m/>
    <m/>
    <x v="33"/>
    <m/>
    <m/>
    <m/>
    <m/>
    <m/>
    <m/>
    <m/>
    <m/>
    <m/>
    <m/>
    <m/>
    <m/>
    <x v="1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s v="m.arangoa@uniandes.edu.co"/>
    <n v="201630492"/>
    <s v="Manuela"/>
    <s v="Arango Angel"/>
    <s v="Manuela Arango Angel"/>
    <s v="International Accounting Bsc"/>
    <s v="School of Management"/>
    <m/>
    <m/>
    <x v="0"/>
    <x v="0"/>
    <n v="202010"/>
    <n v="202010"/>
    <x v="0"/>
    <x v="0"/>
    <s v="Exchange Student Undergraduate"/>
    <x v="0"/>
    <s v="School of Management"/>
    <s v="Aston University"/>
    <s v="Aston University"/>
    <s v="Específico"/>
    <s v="United Kingdom"/>
    <s v="Europe"/>
    <d v="2020-01-20T00:00:00"/>
    <d v="2020-05-23T00:00:00"/>
    <n v="124"/>
  </r>
  <r>
    <s v="am.ariza@uniandes.edu.co"/>
    <n v="201530827"/>
    <s v="Ana"/>
    <s v="Ariza Ramírez"/>
    <s v="Ana Ariza Ramír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NEOMA Business School"/>
    <s v="ESC Rouen (NEOMA)"/>
    <s v="Específico"/>
    <s v="France"/>
    <s v="Europe"/>
    <d v="2020-01-20T00:00:00"/>
    <d v="2020-05-23T00:00:00"/>
    <n v="124"/>
  </r>
  <r>
    <s v="d.ballesterosn@uniandes.edu.co"/>
    <n v="201632865"/>
    <s v="Daniela"/>
    <s v="Ballesteros Novoa"/>
    <s v="Daniela Ballesteros Novo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McGill University"/>
    <s v="McGill University"/>
    <s v="Específico"/>
    <s v="Canada"/>
    <s v="North America"/>
    <d v="2020-01-20T00:00:00"/>
    <d v="2020-05-23T00:00:00"/>
    <n v="124"/>
  </r>
  <r>
    <s v="lv.baron@uniandes.edu.co"/>
    <n v="201712092"/>
    <s v="LauraValentina"/>
    <s v="Baron Galindo"/>
    <s v="LauraValentina Baron Galind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Fundação Getulio Vargas"/>
    <s v="Fundação Getulio Vargas"/>
    <s v="Específico"/>
    <s v="Brazil"/>
    <s v="South America"/>
    <d v="2020-01-20T00:00:00"/>
    <d v="2020-05-23T00:00:00"/>
    <n v="124"/>
  </r>
  <r>
    <s v="f.barreto@uniandes.edu.co"/>
    <n v="201533453"/>
    <s v="Felipe"/>
    <s v="Barreto Castaño"/>
    <s v="Felipe Barreto Castañ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y of San Diego"/>
    <s v="University of San Diego"/>
    <s v="Específico"/>
    <s v="United States"/>
    <s v="North America"/>
    <d v="2020-01-20T00:00:00"/>
    <d v="2020-05-23T00:00:00"/>
    <n v="124"/>
  </r>
  <r>
    <s v="mc.bohorquez@uniandes.edu.co"/>
    <n v="201718749"/>
    <s v="MariaCamila"/>
    <s v="Bohorquez Salas"/>
    <s v="MariaCamila Bohorquez Salas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0-01-20T00:00:00"/>
    <d v="2020-05-23T00:00:00"/>
    <n v="124"/>
  </r>
  <r>
    <s v="mp.briceno@uniandes.edu.co"/>
    <n v="201533477"/>
    <s v="MariaPaula"/>
    <s v="Briceño Rovira"/>
    <s v="MariaPaula Briceño Rovir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0-01-20T00:00:00"/>
    <d v="2020-05-23T00:00:00"/>
    <n v="124"/>
  </r>
  <r>
    <s v="ia.bustos@uniandes.edu.co"/>
    <n v="201613265"/>
    <s v="IvanAndres"/>
    <s v="Bustos Gonzalez"/>
    <s v="IvanAndres Bustos Gonzal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é de Lausanne"/>
    <s v="HEC Lausanne"/>
    <s v="Específico"/>
    <s v="Switzerland"/>
    <s v="Europe"/>
    <d v="2020-01-20T00:00:00"/>
    <d v="2020-05-23T00:00:00"/>
    <n v="124"/>
  </r>
  <r>
    <s v="s.carbone@uniandes.edu.co"/>
    <n v="201633153"/>
    <s v="Simon"/>
    <s v="Carbone Bracht"/>
    <s v="Simon Carbone Bracht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at Ramon Llull"/>
    <s v="ESADE"/>
    <s v="Específico"/>
    <s v="Spain"/>
    <s v="Europe"/>
    <d v="2020-01-20T00:00:00"/>
    <d v="2020-05-23T00:00:00"/>
    <n v="124"/>
  </r>
  <r>
    <s v="g.cleves@uniandes.edu.co"/>
    <n v="201630864"/>
    <s v="Guillermo"/>
    <s v="Cleves Valencia"/>
    <s v="Guillermo Cleves Valenci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0-01-20T00:00:00"/>
    <d v="2020-05-23T00:00:00"/>
    <n v="124"/>
  </r>
  <r>
    <s v="s.del14@uniandes.edu.co"/>
    <n v="201613991"/>
    <s v="Santiago"/>
    <s v="Del Castillo Suescun"/>
    <s v="Santiago Del Castillo Suescun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ESSEC Business School"/>
    <s v="ESSEC"/>
    <s v="Específico"/>
    <s v="France"/>
    <s v="Europe"/>
    <d v="2020-01-20T00:00:00"/>
    <d v="2020-05-23T00:00:00"/>
    <n v="124"/>
  </r>
  <r>
    <s v="j.diazc1@uniandes.edu.co"/>
    <n v="201710974"/>
    <s v="Juliana"/>
    <s v="Diaz Castillo"/>
    <s v="Juliana Diaz Castill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0-01-20T00:00:00"/>
    <d v="2020-05-23T00:00:00"/>
    <n v="124"/>
  </r>
  <r>
    <s v="a.eraso@uniandes.edu.co"/>
    <n v="201533599"/>
    <s v="Alejandra"/>
    <s v="Eraso Lasso"/>
    <s v="Alejandra Eraso Lass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0-01-20T00:00:00"/>
    <d v="2020-05-23T00:00:00"/>
    <n v="124"/>
  </r>
  <r>
    <s v="m.francol@uniandes.edu.co"/>
    <n v="201530055"/>
    <s v="Melissa"/>
    <s v="Franco Losada"/>
    <s v="Melissa Franco Losada"/>
    <s v="International Accounting Bsc"/>
    <s v="School of Management"/>
    <m/>
    <m/>
    <x v="0"/>
    <x v="0"/>
    <n v="202010"/>
    <n v="202010"/>
    <x v="0"/>
    <x v="0"/>
    <s v="Exchange Student Undergraduate"/>
    <x v="0"/>
    <s v="School of Management"/>
    <s v="Maastricht University"/>
    <s v="Maastricht University"/>
    <s v="Específico"/>
    <s v="Netherlands"/>
    <s v="Europe"/>
    <d v="2020-01-20T00:00:00"/>
    <d v="2020-05-23T00:00:00"/>
    <n v="124"/>
  </r>
  <r>
    <s v="dc.garciah@uniandes.edu.co"/>
    <n v="201632828"/>
    <s v="DianaCarolina"/>
    <s v="Garcia Hernandez"/>
    <s v="DianaCarolina Garcia Hernand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0-01-20T00:00:00"/>
    <d v="2020-05-23T00:00:00"/>
    <n v="124"/>
  </r>
  <r>
    <s v="js.garcial@uniandes.edu.co"/>
    <n v="201631141"/>
    <s v="JuanSebastian"/>
    <s v="Garcia Luna"/>
    <s v="JuanSebastian Garcia Lun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0-01-20T00:00:00"/>
    <d v="2020-05-23T00:00:00"/>
    <n v="124"/>
  </r>
  <r>
    <s v="am.giraldo@uniandes.edu.co"/>
    <n v="201533692"/>
    <s v="AngelicaMaria"/>
    <s v="Giraldo Lozano"/>
    <s v="AngelicaMaria Giraldo Lozan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à Commerciale 'Luigi Bocconi' di Milano"/>
    <s v="Università Commerciale Luigi Bocconi"/>
    <s v="Específico"/>
    <s v="Italy"/>
    <s v="Europe"/>
    <d v="2020-01-20T00:00:00"/>
    <d v="2020-05-23T00:00:00"/>
    <n v="124"/>
  </r>
  <r>
    <s v="n.gomezd@uniandes.edu.co"/>
    <n v="201713178"/>
    <s v="Nicolas"/>
    <s v="Gomez De La Cruz"/>
    <s v="Nicolas Gomez De La Cru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Instituto Tecnológico Autónomo de México"/>
    <s v="ITAM - Instituto Tecnológico Autónomo de México"/>
    <s v="Específico"/>
    <s v="Mexico"/>
    <s v="North America"/>
    <d v="2020-01-20T00:00:00"/>
    <d v="2020-05-23T00:00:00"/>
    <n v="124"/>
  </r>
  <r>
    <s v="ad.gomezp@uniandes.edu.co"/>
    <n v="201614626"/>
    <s v="AndresDavid"/>
    <s v="Gomez Perez"/>
    <s v="AndresDavid Gomez Per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0-01-20T00:00:00"/>
    <d v="2020-05-23T00:00:00"/>
    <n v="124"/>
  </r>
  <r>
    <s v="dl.gonzalez1@uniandes.edu.co"/>
    <n v="201533170"/>
    <s v="DianaLucia"/>
    <s v="Gonzalez Rodriguez"/>
    <s v="DianaLucia Gonzalez Rodriguez"/>
    <s v="Administration Bsc"/>
    <s v="School of Management"/>
    <m/>
    <m/>
    <x v="0"/>
    <x v="0"/>
    <n v="202010"/>
    <n v="202010"/>
    <x v="0"/>
    <x v="1"/>
    <s v="Double Degree Master"/>
    <x v="1"/>
    <s v="School of Management"/>
    <s v="Tulane University"/>
    <s v="A.B. Freeman School of Business, Tulane University"/>
    <s v="Específico"/>
    <s v="United States"/>
    <s v="North America"/>
    <d v="2020-01-20T00:00:00"/>
    <d v="2020-05-23T00:00:00"/>
    <n v="124"/>
  </r>
  <r>
    <s v="lf.guzman@uniandes.edu.co"/>
    <n v="201626135"/>
    <s v="LuisFernando"/>
    <s v="Guzman Martinez"/>
    <s v="LuisFernando Guzman Martinez"/>
    <s v="International Accounting Bsc"/>
    <s v="School of Management"/>
    <m/>
    <m/>
    <x v="0"/>
    <x v="0"/>
    <n v="202010"/>
    <n v="202010"/>
    <x v="0"/>
    <x v="0"/>
    <s v="Exchange Student Undergraduate"/>
    <x v="0"/>
    <s v="School of Management"/>
    <s v="Maastricht University"/>
    <s v="Maastricht University"/>
    <s v="Específico"/>
    <s v="Netherlands"/>
    <s v="Europe"/>
    <d v="2020-01-20T00:00:00"/>
    <d v="2020-05-23T00:00:00"/>
    <n v="124"/>
  </r>
  <r>
    <s v="jp.hernandez12@uniandes.edu.co"/>
    <n v="201516640"/>
    <s v="JeanPaul"/>
    <s v="Hernandez Sierra"/>
    <s v="JeanPaul Hernandez Sierr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Audencia Business School"/>
    <s v="Audencia. École de Management"/>
    <s v="Específico"/>
    <s v="France"/>
    <s v="Europe"/>
    <d v="2020-01-20T00:00:00"/>
    <d v="2020-05-23T00:00:00"/>
    <n v="124"/>
  </r>
  <r>
    <s v="s.hernandezv@uniandes.edu.co"/>
    <n v="201614932"/>
    <s v="Santiago"/>
    <s v="Hernandez Vega"/>
    <s v="Santiago Hernandez Veg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y of Melbourne"/>
    <s v="University of Melbourne"/>
    <s v="Específico"/>
    <s v="Australia"/>
    <s v="Oceania"/>
    <d v="2020-01-20T00:00:00"/>
    <d v="2020-05-23T00:00:00"/>
    <n v="124"/>
  </r>
  <r>
    <s v="s.llano1@uniandes.edu.co"/>
    <n v="201631419"/>
    <s v="Simon"/>
    <s v="Llano Giraldo"/>
    <s v="Simon Llano Girald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0-01-20T00:00:00"/>
    <d v="2020-05-23T00:00:00"/>
    <n v="124"/>
  </r>
  <r>
    <s v="s.londonon@uniandes.edu.co"/>
    <n v="201632657"/>
    <s v="Sergio"/>
    <s v="Londoño Neira"/>
    <s v="Sergio Londoño Neir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Frankfurt School of Finance &amp; Management"/>
    <s v="Frankfurt School of Finance and Management"/>
    <s v="Específico"/>
    <s v="Germany"/>
    <s v="Europe"/>
    <d v="2020-01-20T00:00:00"/>
    <d v="2020-05-23T00:00:00"/>
    <n v="124"/>
  </r>
  <r>
    <s v="v.lopeze@uniandes.edu.co"/>
    <n v="201633208"/>
    <s v="Valentina"/>
    <s v="Lopez Estefan"/>
    <s v="Valentina Lopez Estefan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0-01-20T00:00:00"/>
    <d v="2020-05-23T00:00:00"/>
    <n v="124"/>
  </r>
  <r>
    <s v="d.martinezc@uniandes.edu.co"/>
    <n v="201731261"/>
    <s v="Daniela"/>
    <s v="Martinez Castillo"/>
    <s v="Daniela Martinez Castill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0-01-20T00:00:00"/>
    <d v="2020-05-23T00:00:00"/>
    <n v="124"/>
  </r>
  <r>
    <s v="la.moreno13@uniandes.edu.co"/>
    <n v="201415122"/>
    <s v="LauraAlejandra"/>
    <s v="Moreno Rodriguez"/>
    <s v="LauraAlejandra Moreno Rodrigu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za v Ljubljani"/>
    <s v="University of Ljubljana"/>
    <s v="Específico"/>
    <s v="Slovenia"/>
    <s v="Europe"/>
    <d v="2020-01-20T00:00:00"/>
    <d v="2020-05-23T00:00:00"/>
    <n v="124"/>
  </r>
  <r>
    <s v="s.noriega@uniandes.edu.co"/>
    <n v="201631699"/>
    <s v="Sebastian"/>
    <s v="Noriega Montañez"/>
    <s v="Sebastian Noriega Montañ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0-01-20T00:00:00"/>
    <d v="2020-05-23T00:00:00"/>
    <n v="124"/>
  </r>
  <r>
    <s v="nm.osorio10@uniandes.edu.co"/>
    <n v="201415904"/>
    <s v="NathalyMichelle"/>
    <s v="Osorio Salazar"/>
    <s v="NathalyMichelle Osorio Salazar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é Laval"/>
    <s v="Faculté des Sciences de l'Administration. FSA Laval"/>
    <s v="Específico"/>
    <s v="Canada"/>
    <s v="North America"/>
    <d v="2020-01-20T00:00:00"/>
    <d v="2020-05-23T00:00:00"/>
    <n v="124"/>
  </r>
  <r>
    <s v="a.pardo1@uniandes.edu.co"/>
    <n v="201534307"/>
    <s v="Andrea"/>
    <s v="Pardo Quiroga"/>
    <s v="Andrea Pardo Quirog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ESCP Europe"/>
    <s v="ESCP"/>
    <s v="Específico"/>
    <s v="France"/>
    <s v="Europe"/>
    <d v="2020-01-20T00:00:00"/>
    <d v="2020-05-23T00:00:00"/>
    <n v="124"/>
  </r>
  <r>
    <s v="ns.pardo@uniandes.edu.co"/>
    <n v="201631803"/>
    <s v="NayibSantiago"/>
    <s v="Pardo Shaker"/>
    <s v="NayibSantiago Pardo Shaker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0-01-20T00:00:00"/>
    <d v="2020-05-23T00:00:00"/>
    <n v="124"/>
  </r>
  <r>
    <s v="jp.parra@uniandes.edu.co"/>
    <n v="201631809"/>
    <s v="JuanPablo"/>
    <s v="Parra Carrasco"/>
    <s v="JuanPablo Parra Carrasc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Roskilde Universitet"/>
    <s v="Roskilde University"/>
    <s v="General"/>
    <s v="Denmark"/>
    <s v="Europe"/>
    <d v="2020-01-20T00:00:00"/>
    <d v="2020-05-23T00:00:00"/>
    <n v="124"/>
  </r>
  <r>
    <s v="v.perea@uniandes.edu.co"/>
    <n v="201631852"/>
    <s v="Valentina"/>
    <s v="Perea Silva"/>
    <s v="Valentina Perea Silva"/>
    <s v="Administration Bsc"/>
    <s v="School of Management"/>
    <m/>
    <m/>
    <x v="0"/>
    <x v="0"/>
    <n v="202010"/>
    <n v="202010"/>
    <x v="0"/>
    <x v="0"/>
    <s v="Study Abroad"/>
    <x v="1"/>
    <s v="School of Management"/>
    <s v="Universidad Carlos III de Madrid"/>
    <s v="Universidad Carlos III de Madrid"/>
    <s v="General"/>
    <s v="Spain"/>
    <s v="Europe"/>
    <d v="2020-01-20T00:00:00"/>
    <d v="2020-05-23T00:00:00"/>
    <n v="124"/>
  </r>
  <r>
    <s v="m.quinterog@uniandes.edu.co"/>
    <n v="201631960"/>
    <s v="Mariana"/>
    <s v="Quintero Guevara"/>
    <s v="Mariana Quintero Guevar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at Ramon Llull"/>
    <s v="ESADE"/>
    <s v="Específico"/>
    <s v="Spain"/>
    <s v="Europe"/>
    <d v="2020-01-20T00:00:00"/>
    <d v="2020-05-23T00:00:00"/>
    <n v="124"/>
  </r>
  <r>
    <s v="jf.ibarra@uniandes.edu.co"/>
    <n v="201631333"/>
    <s v="JuanFelipe"/>
    <s v="Ibarra Kure"/>
    <s v="JuanFelipe Ibarra Kure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0-01-20T00:00:00"/>
    <d v="2020-05-23T00:00:00"/>
    <n v="124"/>
  </r>
  <r>
    <s v="d.rugec@uniandes.edu.co"/>
    <n v="201633398"/>
    <s v="Daniela"/>
    <s v="Ruge Contreras"/>
    <s v="Daniela Ruge Contreras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é de Lausanne"/>
    <s v="HEC Lausanne"/>
    <s v="Específico"/>
    <s v="Switzerland"/>
    <s v="Europe"/>
    <d v="2020-01-20T00:00:00"/>
    <d v="2020-05-23T00:00:00"/>
    <n v="124"/>
  </r>
  <r>
    <s v="s.saad@uniandes.edu.co"/>
    <n v="201632170"/>
    <s v="Sebastian"/>
    <s v="Saad Giovannetti"/>
    <s v="Sebastian Saad Giovannetti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0-01-20T00:00:00"/>
    <d v="2020-05-23T00:00:00"/>
    <n v="124"/>
  </r>
  <r>
    <s v="jf.tobar@uniandes.edu.co"/>
    <n v="201632319"/>
    <s v="JuanFelipe"/>
    <s v="Tobar Velandia"/>
    <s v="JuanFelipe Tobar Velandi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Aston University"/>
    <s v="Aston University"/>
    <s v="Específico"/>
    <s v="United Kingdom"/>
    <s v="Europe"/>
    <d v="2020-01-20T00:00:00"/>
    <d v="2020-05-23T00:00:00"/>
    <n v="124"/>
  </r>
  <r>
    <s v="v.torres11@uniandes.edu.co"/>
    <n v="201517393"/>
    <s v="Valeria"/>
    <s v="Torres Rodriguez"/>
    <s v="Valeria Torres Rodrigu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0-01-20T00:00:00"/>
    <d v="2020-05-23T00:00:00"/>
    <n v="124"/>
  </r>
  <r>
    <s v="c.velasquezg@uniandes.edu.co"/>
    <n v="201811070"/>
    <s v="Catalina"/>
    <s v="Velasquez Garcia"/>
    <s v="Catalina Velasquez Garci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à Commerciale 'Luigi Bocconi' di Milano"/>
    <s v="Università Commerciale Luigi Bocconi"/>
    <s v="Específico"/>
    <s v="Italy"/>
    <s v="Europe"/>
    <d v="2020-01-20T00:00:00"/>
    <d v="2020-05-23T00:00:00"/>
    <n v="124"/>
  </r>
  <r>
    <s v="n.velezq@uniandes.edu.co"/>
    <n v="201715367"/>
    <s v="Nathalia"/>
    <s v="Velez Quintero"/>
    <s v="Nathalia Velez Quinter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0-01-20T00:00:00"/>
    <d v="2020-05-23T00:00:00"/>
    <n v="124"/>
  </r>
  <r>
    <s v="d.andradeg@uniandes.edu.co"/>
    <n v="201630473"/>
    <s v="Daniel"/>
    <s v="Andrade Gaitán"/>
    <s v="Daniel Andrade Gaitán"/>
    <s v="Administration Bsc"/>
    <s v="School of Management"/>
    <m/>
    <m/>
    <x v="0"/>
    <x v="0"/>
    <n v="202019"/>
    <n v="202019"/>
    <x v="0"/>
    <x v="2"/>
    <s v="SURF"/>
    <x v="1"/>
    <s v="School of Management"/>
    <s v="Cornell University"/>
    <s v="Cornell University"/>
    <s v="General"/>
    <s v="United States"/>
    <s v="North America"/>
    <d v="2020-06-16T00:00:00"/>
    <d v="2020-08-08T00:00:00"/>
    <n v="53"/>
  </r>
  <r>
    <s v="jr.montenegro10@uniandes.edu.co"/>
    <n v="201327028"/>
    <s v="JavierRicardo"/>
    <s v="Montenegro Cortes"/>
    <s v="JavierRicardo Montenegro Cortes"/>
    <s v="Administration Bsc"/>
    <s v="School of Management"/>
    <m/>
    <m/>
    <x v="0"/>
    <x v="0"/>
    <n v="202019"/>
    <n v="202019"/>
    <x v="0"/>
    <x v="2"/>
    <s v="SURF"/>
    <x v="1"/>
    <s v="School of Management"/>
    <s v="Cornell University"/>
    <s v="Cornell University"/>
    <s v="General"/>
    <s v="United States"/>
    <s v="North America"/>
    <d v="2020-06-16T00:00:00"/>
    <d v="2020-08-08T00:00:00"/>
    <n v="53"/>
  </r>
  <r>
    <s v="n.adaime@uniandes.edu.co"/>
    <n v="201630419"/>
    <s v="Natalia"/>
    <s v="Adaime Cuellar"/>
    <s v="Natalia Adaime Cuellar"/>
    <s v="Administration Bsc"/>
    <s v="School of Management"/>
    <m/>
    <m/>
    <x v="0"/>
    <x v="0"/>
    <n v="202020"/>
    <n v="202020"/>
    <x v="0"/>
    <x v="1"/>
    <s v="Double Degree"/>
    <x v="1"/>
    <s v="School of Management"/>
    <s v="TOULOUSE BUSINESS SCHOOL"/>
    <s v="Toulouse Business School"/>
    <s v="Específico"/>
    <s v="France"/>
    <s v="Europe"/>
    <d v="2020-08-10T00:00:00"/>
    <d v="2020-12-05T00:00:00"/>
    <n v="117"/>
  </r>
  <r>
    <s v="la.forero@uniandes.edu.co"/>
    <n v="201614350"/>
    <s v="LuisAlejandro"/>
    <s v="Forero Silva"/>
    <s v="LuisAlejandro Forero Silva"/>
    <s v="Administration Bsc"/>
    <s v="School of Management"/>
    <m/>
    <m/>
    <x v="0"/>
    <x v="0"/>
    <n v="202020"/>
    <n v="202020"/>
    <x v="0"/>
    <x v="0"/>
    <s v="Exchange Student Undergraduate"/>
    <x v="1"/>
    <s v="School of Management"/>
    <s v="Université de Lausanne"/>
    <s v="HEC Lausanne"/>
    <s v="Específico"/>
    <s v="Switzerland"/>
    <s v="Europe"/>
    <d v="2020-08-10T00:00:00"/>
    <d v="2020-12-05T00:00:00"/>
    <n v="117"/>
  </r>
  <r>
    <s v="af.galvis@uniandes.edu.co"/>
    <n v="201632930"/>
    <s v="AndresFernando"/>
    <s v="Galvis Correa"/>
    <s v="AndresFernando Galvis Correa"/>
    <s v="Administration Bsc"/>
    <s v="School of Management"/>
    <m/>
    <m/>
    <x v="0"/>
    <x v="0"/>
    <n v="202020"/>
    <n v="202020"/>
    <x v="0"/>
    <x v="0"/>
    <s v="Exchange Student Undergraduate"/>
    <x v="1"/>
    <s v="School of Management"/>
    <s v="[no longer existing] Aalto-yliopisto"/>
    <s v="Aalto University"/>
    <s v="Específico"/>
    <s v="Finland"/>
    <s v="Europe"/>
    <d v="2020-08-10T00:00:00"/>
    <d v="2020-12-05T00:00:00"/>
    <n v="117"/>
  </r>
  <r>
    <s v="nc.lozano@uniandes.edu.co"/>
    <n v="201631456"/>
    <s v="NelsonCamilo"/>
    <s v="Lozano Martinez"/>
    <s v="NelsonCamilo Lozano Martinez"/>
    <s v="Economics Bsc"/>
    <s v="School of Economics"/>
    <s v="Administration Bsc"/>
    <s v="School of Management"/>
    <x v="0"/>
    <x v="0"/>
    <n v="202020"/>
    <n v="202020"/>
    <x v="0"/>
    <x v="1"/>
    <s v="Double Degree"/>
    <x v="1"/>
    <s v="School of Management"/>
    <s v="TOULOUSE BUSINESS SCHOOL"/>
    <s v="Toulouse Business School"/>
    <s v="Específico"/>
    <s v="France"/>
    <s v="Europe"/>
    <d v="2020-08-10T00:00:00"/>
    <d v="2020-12-05T00:00:00"/>
    <n v="117"/>
  </r>
  <r>
    <s v="dr.rachez@uniandes.edu.co"/>
    <n v="201517114"/>
    <s v="David Ricardo"/>
    <s v="Rachez Dueñas"/>
    <s v="David Ricardo Rachez Dueñas"/>
    <s v="Administration Bsc"/>
    <s v="School of Management"/>
    <s v="Government and Public Policy Bsc"/>
    <s v="Government School Alberto Lleras Camargo"/>
    <x v="0"/>
    <x v="0"/>
    <n v="202020"/>
    <n v="202020"/>
    <x v="0"/>
    <x v="1"/>
    <s v="Double Degree"/>
    <x v="1"/>
    <s v="School of Management"/>
    <s v="TOULOUSE BUSINESS SCHOOL"/>
    <s v="Toulouse Business School"/>
    <s v="Específico"/>
    <s v="France"/>
    <s v="Europe"/>
    <d v="2020-08-10T00:00:00"/>
    <d v="2020-12-05T00:00:00"/>
    <n v="117"/>
  </r>
  <r>
    <s v="jf.ibarra@uniandes.edu.co"/>
    <n v="201631333"/>
    <s v="Juan Felipe"/>
    <s v="Ibarra Kure"/>
    <s v="Juan Felipe Ibarra Kure"/>
    <s v="Administration Bsc"/>
    <s v="School of Management"/>
    <s v=""/>
    <m/>
    <x v="0"/>
    <x v="0"/>
    <n v="202020"/>
    <n v="202020"/>
    <x v="0"/>
    <x v="1"/>
    <s v="Double Degree"/>
    <x v="1"/>
    <s v="School of Management"/>
    <s v="TOULOUSE BUSINESS SCHOOL"/>
    <s v="Toulouse Business School"/>
    <s v="Específico"/>
    <s v="France"/>
    <s v="Europe"/>
    <d v="2020-08-10T00:00:00"/>
    <d v="2020-12-05T00:00:00"/>
    <n v="117"/>
  </r>
  <r>
    <s v="jf.zuleta@uniandes.edu.co"/>
    <n v="201632495"/>
    <s v="Juan Felipe"/>
    <s v="Zuleta Pulido"/>
    <s v="Juan Felipe Zuleta Pulido"/>
    <s v="Administration Bsc"/>
    <s v="School of Management"/>
    <m/>
    <m/>
    <x v="0"/>
    <x v="0"/>
    <n v="202020"/>
    <n v="202020"/>
    <x v="0"/>
    <x v="1"/>
    <s v="Double Degree"/>
    <x v="1"/>
    <s v="School of Management"/>
    <s v="TOULOUSE BUSINESS SCHOOL"/>
    <s v="Toulouse Business School"/>
    <s v="Específico"/>
    <s v="France"/>
    <s v="Europe"/>
    <d v="2020-08-10T00:00:00"/>
    <d v="2020-12-05T00:00:00"/>
    <n v="117"/>
  </r>
  <r>
    <s v="a.gutierrezp@uniandes.edu.co"/>
    <n v="201813783"/>
    <s v="Alejandro"/>
    <s v="Gutierrez Perico Ramirez"/>
    <s v="Alejandro Gutierrez Perico Ramirez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Université de Lausanne"/>
    <s v="HEC Lausanne"/>
    <s v="Específico"/>
    <s v="Switzerland"/>
    <s v="Europe"/>
    <d v="2021-01-25T00:00:00"/>
    <d v="2021-05-29T00:00:00"/>
    <n v="124"/>
  </r>
  <r>
    <s v="d.montoyar@uniandes.edu.co"/>
    <n v="201731617"/>
    <s v="Daniela"/>
    <s v="Montoya Robledo"/>
    <s v="Daniela Montoya Robledo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1-25T00:00:00"/>
    <d v="2021-05-29T00:00:00"/>
    <n v="124"/>
  </r>
  <r>
    <s v="hs.ayala@uniandes.edu.co"/>
    <n v="201715966"/>
    <s v="Hermes Steve"/>
    <s v="Ayala Calvo"/>
    <s v="Hermes Steve Ayala Calvo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1-01-25T00:00:00"/>
    <d v="2021-05-29T00:00:00"/>
    <n v="124"/>
  </r>
  <r>
    <s v="jc.restrepoc@uniandes.edu.co"/>
    <n v="201716866"/>
    <s v="Juan Camilo"/>
    <s v="Restrepo Camargo"/>
    <s v="Juan Camilo Restrepo Camargo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1-25T00:00:00"/>
    <d v="2021-05-29T00:00:00"/>
    <n v="124"/>
  </r>
  <r>
    <s v="la.tamayot@uniandes.edu.co"/>
    <n v="201730500"/>
    <s v="Leonardo Alberto"/>
    <s v="Tamayo Tamayo"/>
    <s v="Leonardo Alberto Tamayo Tamayo"/>
    <s v="Administration Bsc"/>
    <s v="School of Management"/>
    <s v="Economics Bsc"/>
    <s v="School of Economics"/>
    <x v="0"/>
    <x v="1"/>
    <n v="202110"/>
    <n v="20211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1-01-25T00:00:00"/>
    <d v="2021-05-29T00:00:00"/>
    <n v="124"/>
  </r>
  <r>
    <s v="ca.berdugo@uniandes.edu.co"/>
    <n v="201630612"/>
    <s v="Camilo Andres"/>
    <s v="Berdugo Roa"/>
    <s v="Camilo Andres Berdugo Roa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Technische Universität München"/>
    <s v="Technische Universität München"/>
    <s v="General"/>
    <s v="Germany"/>
    <s v="Europe"/>
    <d v="2021-01-25T00:00:00"/>
    <d v="2021-05-29T00:00:00"/>
    <n v="124"/>
  </r>
  <r>
    <s v="s.lopezw@uniandes.edu.co"/>
    <n v="201729813"/>
    <s v="Stefania"/>
    <s v="Lopez Wilches"/>
    <s v="Stefania Lopez Wilches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1-01-25T00:00:00"/>
    <d v="2021-05-29T00:00:00"/>
    <n v="124"/>
  </r>
  <r>
    <s v="p.arango@uniandes.edu.co"/>
    <n v="201630495"/>
    <s v="Pablo"/>
    <s v="Arango Ramirez"/>
    <s v="Pablo Arango Ramirez"/>
    <s v="Administration Bsc"/>
    <s v="School of Management"/>
    <s v="Systems and Computing Engineering Bsc"/>
    <s v="School of Engineering"/>
    <x v="0"/>
    <x v="1"/>
    <n v="202110"/>
    <n v="20202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1-01-25T00:00:00"/>
    <d v="2021-05-29T00:00:00"/>
    <n v="124"/>
  </r>
  <r>
    <s v="s.duarter@uniandes.edu.co"/>
    <n v="201712862"/>
    <s v="Sofia"/>
    <s v="Duarte Rosas"/>
    <s v="Sofia Duarte Rosas"/>
    <s v="Administration Bsc"/>
    <s v="School of Management"/>
    <s v="Design Bsc"/>
    <s v="School of Architecture and Design"/>
    <x v="0"/>
    <x v="1"/>
    <n v="202110"/>
    <n v="202110"/>
    <x v="0"/>
    <x v="0"/>
    <s v="Exchange Student Undergraduate"/>
    <x v="1"/>
    <s v="School of Management"/>
    <s v="ESCP Europe"/>
    <s v="ESCP"/>
    <s v="Específico"/>
    <s v="France"/>
    <s v="Europe"/>
    <d v="2021-01-25T00:00:00"/>
    <d v="2021-05-29T00:00:00"/>
    <n v="124"/>
  </r>
  <r>
    <s v="s.escalante@uniandes.edu.co"/>
    <n v="201631007"/>
    <s v="Simon"/>
    <s v="Escalante Lenis"/>
    <s v="Simon Escalante Lenis"/>
    <s v="Administration Bsc"/>
    <s v="School of Management"/>
    <m/>
    <m/>
    <x v="0"/>
    <x v="1"/>
    <n v="202110"/>
    <n v="2020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1-01-25T00:00:00"/>
    <d v="2021-05-29T00:00:00"/>
    <n v="124"/>
  </r>
  <r>
    <s v="m.freydell@uniandes.edu.co"/>
    <n v="201729515"/>
    <s v="Mariana"/>
    <s v="Freydell Lizcano"/>
    <s v="Mariana Freydell Lizcano"/>
    <s v="Administration Bsc"/>
    <s v="School of Management"/>
    <m/>
    <m/>
    <x v="0"/>
    <x v="1"/>
    <n v="202110"/>
    <n v="2020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1-25T00:00:00"/>
    <d v="2021-05-29T00:00:00"/>
    <n v="124"/>
  </r>
  <r>
    <s v="ej.gonzalezg@uniandes.edu.co"/>
    <n v="201631231"/>
    <s v="Erick Julian"/>
    <s v="Gonzalez Gonzalez"/>
    <s v="Erick Julian Gonzalez Gonzalez"/>
    <s v="Design Bsc"/>
    <s v="School of Architecture and Design"/>
    <s v="Administration Bsc"/>
    <s v="School of Management"/>
    <x v="0"/>
    <x v="1"/>
    <n v="202110"/>
    <n v="2020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1-25T00:00:00"/>
    <d v="2021-05-29T00:00:00"/>
    <n v="124"/>
  </r>
  <r>
    <s v="jf.lopeze@uniandes.edu.co"/>
    <n v="201822171"/>
    <s v="Juan Fernando"/>
    <s v="Lopez Escobar"/>
    <s v="Juan Fernando Lopez Escobar"/>
    <s v="Administration Bsc"/>
    <s v="School of Management"/>
    <m/>
    <m/>
    <x v="0"/>
    <x v="1"/>
    <n v="202110"/>
    <n v="20202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1-01-25T00:00:00"/>
    <d v="2021-05-29T00:00:00"/>
    <n v="124"/>
  </r>
  <r>
    <s v="d.roav@uniandes.edu.co"/>
    <n v="201632729"/>
    <s v="Daniel"/>
    <s v="Roa Villa"/>
    <s v="Daniel Roa Villa"/>
    <s v="Administration Bsc"/>
    <s v="School of Management"/>
    <s v="Economics Bsc"/>
    <s v="School of Economics"/>
    <x v="0"/>
    <x v="1"/>
    <n v="202110"/>
    <n v="2020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1-01-25T00:00:00"/>
    <d v="2021-05-29T00:00:00"/>
    <n v="124"/>
  </r>
  <r>
    <s v="a.rodriguezc1@uniandes.edu.co"/>
    <n v="201714722"/>
    <s v="Alejandra"/>
    <s v="Rodriguez Cordoba"/>
    <s v="Alejandra Rodriguez Cordoba"/>
    <s v="Administration Bsc"/>
    <s v="School of Management"/>
    <m/>
    <m/>
    <x v="1"/>
    <x v="1"/>
    <n v="202110"/>
    <n v="202110"/>
    <x v="0"/>
    <x v="0"/>
    <s v="Exchange Student Undergraduate"/>
    <x v="1"/>
    <s v="School of Management"/>
    <s v="Nagoya University of Commerce and Business"/>
    <s v="NUCB- Nagoya University of commerce and business"/>
    <s v="Específico"/>
    <s v="Japan"/>
    <s v="Asia"/>
    <d v="2021-01-25T00:00:00"/>
    <d v="2021-05-29T00:00:00"/>
    <n v="124"/>
  </r>
  <r>
    <s v="gf.silva@uniandes.edu.co"/>
    <n v="201633753"/>
    <s v="German Felipe"/>
    <s v="Silva Baquero"/>
    <s v="German Felipe Silva Baquero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1-25T00:00:00"/>
    <d v="2021-05-29T00:00:00"/>
    <n v="124"/>
  </r>
  <r>
    <s v="f.torrente@uniandes.edu.co"/>
    <n v="201730520"/>
    <s v="Felipe"/>
    <s v="Torrente Rodriguez"/>
    <s v="Felipe Torrente Rodriguez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ESCP Europe"/>
    <s v="ESCP"/>
    <s v="Específico"/>
    <s v="France"/>
    <s v="Europe"/>
    <d v="2021-01-25T00:00:00"/>
    <d v="2021-05-29T00:00:00"/>
    <n v="124"/>
  </r>
  <r>
    <s v="j.zapatab@uniandes.edu.co"/>
    <n v="201731812"/>
    <s v="Juanita"/>
    <s v="Zapata Betancur"/>
    <s v="Juanita Zapata Betancur"/>
    <s v="Administration Bsc"/>
    <s v="School of Management"/>
    <m/>
    <m/>
    <x v="0"/>
    <x v="1"/>
    <n v="202110"/>
    <n v="202020"/>
    <x v="0"/>
    <x v="0"/>
    <s v="Exchange Student Undergraduate"/>
    <x v="1"/>
    <s v="School of Management"/>
    <s v="Universitat Ramon Llull"/>
    <s v="ESADE"/>
    <s v="Específico"/>
    <s v="Spain"/>
    <s v="Europe"/>
    <d v="2021-01-25T00:00:00"/>
    <d v="2021-05-29T00:00:00"/>
    <n v="124"/>
  </r>
  <r>
    <s v="jj.rojasm@uniandes.edu.co"/>
    <n v="201629865"/>
    <s v="Juan Jaime"/>
    <s v="Rojas Muñoz"/>
    <s v="Juan Jaime Rojas Muñoz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jp.borda@uniandes.edu.co"/>
    <n v="201630649"/>
    <s v="Juan Pablo"/>
    <s v="Borda Kuhlmann"/>
    <s v="Juan Pablo Borda Kuhlmann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jp.figueroa@uniandes.edu.co"/>
    <n v="201719929"/>
    <s v="Juan Pablo"/>
    <s v="Figueroa Morales"/>
    <s v="Juan Pablo Figueroa Morales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lj.vanegas@uniandes.edu.co"/>
    <n v="201632389"/>
    <s v="Laura Juliana"/>
    <s v="Vanegas Medina"/>
    <s v="Laura Juliana Vanegas Medina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m.bautista@uniandes.edu.co"/>
    <n v="201729127"/>
    <s v="Manuela"/>
    <s v="Bautista Castro"/>
    <s v="Manuela Bautista Castro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ma.perezj@uniandes.edu.co"/>
    <n v="201730158"/>
    <s v="Maria Alejandra"/>
    <s v="Perez Jurado"/>
    <s v="Maria Alejandra Perez Jurado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mj.aragon@uniandes.edu.co"/>
    <n v="201729052"/>
    <s v="Mauricio Jose"/>
    <s v="Aragon Ramirez"/>
    <s v="Mauricio Jose Aragon Ramirez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n.jaramilloe@uniandes.edu.co"/>
    <n v="201729731"/>
    <s v="Natalia"/>
    <s v="Jaramillo Erazo "/>
    <s v="Natalia Jaramillo Erazo 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ma.bastidas@uniandes.edu.co"/>
    <n v="201530867"/>
    <s v="Manuel Alejandro"/>
    <s v="Bastidas Infante"/>
    <s v="Manuel Alejandro Bastidas Infante"/>
    <s v="Administration Bsc"/>
    <s v="School of Management"/>
    <m/>
    <m/>
    <x v="0"/>
    <x v="1"/>
    <n v="202120"/>
    <n v="202120"/>
    <x v="0"/>
    <x v="1"/>
    <s v="Double Degree"/>
    <x v="1"/>
    <s v="School of Management"/>
    <s v="Toulouse Business School"/>
    <s v="Toulouse Business School"/>
    <s v="Específico"/>
    <s v="France"/>
    <s v="Europe"/>
    <d v="2021-08-09T00:00:00"/>
    <d v="2021-12-04T00:00:00"/>
    <n v="117"/>
  </r>
  <r>
    <s v="m.olave@uniandes.edu.co"/>
    <n v="202023082"/>
    <s v="Maria De Los Angeles"/>
    <s v="Olave Solano"/>
    <s v="Maria De Los Angeles Olave Solano"/>
    <s v="Master in Supply Chain Management"/>
    <s v="School of Management"/>
    <m/>
    <m/>
    <x v="0"/>
    <x v="1"/>
    <n v="202120"/>
    <n v="202120"/>
    <x v="1"/>
    <x v="0"/>
    <s v="Exchange Student Master"/>
    <x v="2"/>
    <s v="School of Management"/>
    <s v="Högskolan i Jönköping"/>
    <s v="JIBS Jönköping International Business School"/>
    <s v="Específico"/>
    <s v="Sweden"/>
    <s v="Europe"/>
    <d v="2021-08-09T00:00:00"/>
    <d v="2021-12-04T00:00:00"/>
    <n v="117"/>
  </r>
  <r>
    <s v="c.artunduaga@uniandes.edu.co"/>
    <n v="201812666"/>
    <s v="Catalina"/>
    <s v="Artunduaga Borda"/>
    <s v="Catalina Artunduaga Bord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ESCP Europe"/>
    <s v="ESCP"/>
    <s v="Específico"/>
    <s v="France"/>
    <s v="Europe"/>
    <d v="2021-08-09T00:00:00"/>
    <d v="2021-12-04T00:00:00"/>
    <n v="117"/>
  </r>
  <r>
    <s v="c.samper@uniandes.edu.co"/>
    <n v="201731042"/>
    <s v="Catalina"/>
    <s v="Samper Murillo"/>
    <s v="Catalina Samper Murillo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8-09T00:00:00"/>
    <d v="2021-12-04T00:00:00"/>
    <n v="117"/>
  </r>
  <r>
    <s v="ce.orozcos@uniandes.edu.co"/>
    <n v="201631731"/>
    <s v="Cristian Elias"/>
    <s v="Orozco Sicacha"/>
    <s v="Cristian Elias Orozco Sicacha"/>
    <s v="Administration Bsc"/>
    <s v="School of Management"/>
    <s v="Mechanical Engineering Bsc"/>
    <s v="School of Engineering"/>
    <x v="0"/>
    <x v="1"/>
    <n v="202120"/>
    <n v="202120"/>
    <x v="0"/>
    <x v="1"/>
    <s v="Double Degree"/>
    <x v="1"/>
    <s v="School of Management"/>
    <s v="Toulouse Business School"/>
    <s v="Toulouse Business School"/>
    <s v="Específico"/>
    <s v="France"/>
    <s v="Europe"/>
    <d v="2021-08-09T00:00:00"/>
    <d v="2021-12-04T00:00:00"/>
    <n v="117"/>
  </r>
  <r>
    <s v="df.arrieta@uniandes.edu.co"/>
    <n v="201729094"/>
    <s v="Daniel Felipe"/>
    <s v="Arrieta Castilla"/>
    <s v="Daniel Felipe Arrieta Castill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NEOMA Business School"/>
    <s v="ESC Rouen (NEOMA)"/>
    <s v="Específico"/>
    <s v="France"/>
    <s v="Europe"/>
    <d v="2021-08-09T00:00:00"/>
    <d v="2021-12-04T00:00:00"/>
    <n v="117"/>
  </r>
  <r>
    <s v="df.pelaezk@uniandes.edu.co"/>
    <n v="201823217"/>
    <s v="Daniel Felipe"/>
    <s v="Pelaez Kwan"/>
    <s v="Daniel Felipe Pelaez Kwan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IE Universidad"/>
    <s v="IE Instituto Empresa"/>
    <s v="Específico"/>
    <s v="Spain"/>
    <s v="Europe"/>
    <d v="2021-08-09T00:00:00"/>
    <d v="2021-12-04T00:00:00"/>
    <n v="117"/>
  </r>
  <r>
    <s v="ed.ortegon@uniandes.edu.co"/>
    <n v="201731645"/>
    <s v="Ericka Daniela"/>
    <s v="Ortegon Ayala"/>
    <s v="Ericka Daniela Ortegon Ayala"/>
    <s v="Administration Bsc"/>
    <s v="School of Management"/>
    <s v="Administration Bsc"/>
    <s v="School of Management"/>
    <x v="0"/>
    <x v="1"/>
    <n v="202120"/>
    <n v="202120"/>
    <x v="0"/>
    <x v="0"/>
    <s v="Exchange Student Undergraduate"/>
    <x v="1"/>
    <s v="School of Management"/>
    <s v="Audencia Nantes - Ecole de Management"/>
    <s v="Audencia. École de Management"/>
    <s v="Específico"/>
    <s v="France"/>
    <s v="Europe"/>
    <d v="2021-08-09T00:00:00"/>
    <d v="2021-12-04T00:00:00"/>
    <n v="117"/>
  </r>
  <r>
    <s v="f.ortiz@uniandes.edu.co"/>
    <n v="201817308"/>
    <s v="Felipe"/>
    <s v="Ortiz Quijano"/>
    <s v="Felipe Ortiz Quijano"/>
    <s v="Administration Bsc"/>
    <s v="School of Management"/>
    <s v="Psychology Bsc"/>
    <s v="School of Social Sciences"/>
    <x v="0"/>
    <x v="1"/>
    <n v="202120"/>
    <n v="202120"/>
    <x v="0"/>
    <x v="0"/>
    <s v="Exchange Student Undergraduate"/>
    <x v="1"/>
    <s v="School of Management"/>
    <s v="Grenoble Ecole de Management"/>
    <s v="Grenoble. École de Management"/>
    <s v="Específico"/>
    <s v="France"/>
    <s v="Europe"/>
    <d v="2021-08-09T00:00:00"/>
    <d v="2021-12-04T00:00:00"/>
    <n v="117"/>
  </r>
  <r>
    <s v="fa.saenz@uniandes.edu.co"/>
    <n v="201632175"/>
    <s v="Felipe Andres"/>
    <s v="Saenz Leguizamo"/>
    <s v="Felipe Andres Saenz Leguizamo"/>
    <s v="Administration Bsc"/>
    <s v="School of Management"/>
    <s v="Economics Bsc"/>
    <s v="School of Economics"/>
    <x v="0"/>
    <x v="1"/>
    <n v="202120"/>
    <n v="202120"/>
    <x v="0"/>
    <x v="0"/>
    <s v="Exchange Student Undergraduate"/>
    <x v="1"/>
    <s v="School of Management"/>
    <s v="IE Universidad"/>
    <s v="IE Instituto Empresa"/>
    <s v="Específico"/>
    <s v="Spain"/>
    <s v="Europe"/>
    <d v="2021-08-09T00:00:00"/>
    <d v="2021-12-04T00:00:00"/>
    <n v="117"/>
  </r>
  <r>
    <s v="g.uruena@uniandes.edu.co"/>
    <n v="201822046"/>
    <s v="Gabriela"/>
    <s v="Urueña Gaitan"/>
    <s v="Gabriela Urueña Gaitan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NEOMA Business School"/>
    <s v="ESC Rouen (NEOMA)"/>
    <s v="Específico"/>
    <s v="France"/>
    <s v="Europe"/>
    <d v="2021-08-09T00:00:00"/>
    <d v="2021-12-04T00:00:00"/>
    <n v="117"/>
  </r>
  <r>
    <s v="ja.perezr1@uniandes.edu.co"/>
    <n v="201821704"/>
    <s v="Jessica Andrea"/>
    <s v="Perez Rondon"/>
    <s v="Jessica Andrea Perez Rondon"/>
    <s v="Administration Bsc"/>
    <s v="School of Management"/>
    <m/>
    <m/>
    <x v="0"/>
    <x v="1"/>
    <n v="202120"/>
    <n v="202120"/>
    <x v="0"/>
    <x v="1"/>
    <s v="Double Degree"/>
    <x v="1"/>
    <s v="School of Management"/>
    <s v="Toulouse Business School"/>
    <s v="Toulouse Business School"/>
    <s v="Específico"/>
    <s v="France"/>
    <s v="Europe"/>
    <d v="2021-08-09T00:00:00"/>
    <d v="2021-12-04T00:00:00"/>
    <n v="117"/>
  </r>
  <r>
    <s v="jp.angel@uniandes.edu.co"/>
    <n v="201812285"/>
    <s v="Juan Pablo"/>
    <s v="Angel Botero"/>
    <s v="Juan Pablo Angel Botero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Univerza v Ljubljani"/>
    <s v="University of Ljubljana"/>
    <s v="Específico"/>
    <s v="Slovenia"/>
    <s v="Europe"/>
    <d v="2021-08-09T00:00:00"/>
    <d v="2021-12-04T00:00:00"/>
    <n v="117"/>
  </r>
  <r>
    <s v="a.bradford@uniandes.edu.co"/>
    <n v="201729190"/>
    <s v="Andres"/>
    <s v="Bradford Valero"/>
    <s v="Andres Bradford Valero"/>
    <s v="Administration Bsc"/>
    <s v="School of Management"/>
    <m/>
    <m/>
    <x v="0"/>
    <x v="1"/>
    <n v="202120"/>
    <n v="20202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1-08-09T00:00:00"/>
    <d v="2021-12-04T00:00:00"/>
    <n v="117"/>
  </r>
  <r>
    <s v="j.amador@uniandes.edu.co"/>
    <n v="201820578"/>
    <s v="Juliana"/>
    <s v="Amador Cuenca"/>
    <s v="Juliana Amador Cuenc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NEOMA Business School"/>
    <s v="ESC Rouen (NEOMA)"/>
    <s v="Específico"/>
    <s v="France"/>
    <s v="Europe"/>
    <d v="2021-08-09T00:00:00"/>
    <d v="2021-12-04T00:00:00"/>
    <n v="117"/>
  </r>
  <r>
    <s v="km.orozco@uniandes.edu.co"/>
    <n v="201821606"/>
    <s v="Ketty Milena"/>
    <s v="Orozco Serrano"/>
    <s v="Ketty Milena Orozco Serrano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Aalto-yliopisto"/>
    <s v="Aalto University"/>
    <s v="Específico"/>
    <s v="Finland"/>
    <s v="Europe"/>
    <d v="2021-08-09T00:00:00"/>
    <d v="2021-12-04T00:00:00"/>
    <n v="117"/>
  </r>
  <r>
    <s v="jp.garces@uniandes.edu.co"/>
    <n v="201813542"/>
    <s v="Juan Pablo"/>
    <s v="Garces Mejia"/>
    <s v="Juan Pablo Garces Meji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1-08-09T00:00:00"/>
    <d v="2021-12-04T00:00:00"/>
    <n v="117"/>
  </r>
  <r>
    <s v="m.penalosa@uniandes.edu.co"/>
    <n v="201730144"/>
    <s v="María"/>
    <s v="Peñalosa Concha"/>
    <s v="María Peñalosa Conch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Universitat Ramon Llull"/>
    <s v="ESADE"/>
    <s v="Específico"/>
    <s v="Spain"/>
    <s v="Europe"/>
    <d v="2021-08-09T00:00:00"/>
    <d v="2021-12-04T00:00:00"/>
    <n v="117"/>
  </r>
  <r>
    <s v="ma.cuervo@uniandes.edu.co"/>
    <n v="201632593"/>
    <s v="Maria Antonia"/>
    <s v="Cuervo Calero"/>
    <s v="Maria Antonia Cuervo Calero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1-08-09T00:00:00"/>
    <d v="2021-12-04T00:00:00"/>
    <n v="117"/>
  </r>
  <r>
    <s v="mc.ortiz@uniandes.edu.co"/>
    <n v="201533177"/>
    <s v="Maria Camila"/>
    <s v="Ortiz Gomez"/>
    <s v="Maria Camila Ortiz Gomez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Aston University"/>
    <s v="Aston University"/>
    <s v="Específico"/>
    <s v="United Kingdom"/>
    <s v="Europe"/>
    <d v="2021-08-09T00:00:00"/>
    <d v="2021-12-04T00:00:00"/>
    <n v="117"/>
  </r>
  <r>
    <s v="mj.rodrigueza@uniandes.edu.co"/>
    <n v="201630389"/>
    <s v="Maria Jose"/>
    <s v="Rodriguez Araujo"/>
    <s v="Maria Jose Rodriguez Araujo"/>
    <s v="Administration Bsc"/>
    <s v="School of Management"/>
    <s v="Design Bsc"/>
    <s v="School of Architecture and Design"/>
    <x v="0"/>
    <x v="1"/>
    <n v="202120"/>
    <n v="202120"/>
    <x v="0"/>
    <x v="0"/>
    <s v="Exchange Student Undergraduate"/>
    <x v="1"/>
    <s v="School of Management"/>
    <s v="Aston University"/>
    <s v="Aston University"/>
    <s v="Específico"/>
    <s v="United Kingdom"/>
    <s v="Europe"/>
    <d v="2021-08-09T00:00:00"/>
    <d v="2021-12-04T00:00:00"/>
    <n v="117"/>
  </r>
  <r>
    <s v="mp.marin@uniandes.edu.co"/>
    <n v="201729853"/>
    <s v="Maria Paula"/>
    <s v="Marin Araujo"/>
    <s v="Maria Paula Marin Araujo"/>
    <s v="Administration Bsc"/>
    <s v="School of Management"/>
    <s v="Administration Bsc"/>
    <s v="School of Management"/>
    <x v="0"/>
    <x v="1"/>
    <n v="202120"/>
    <n v="20202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1-08-09T00:00:00"/>
    <d v="2021-12-04T00:00:00"/>
    <n v="117"/>
  </r>
  <r>
    <s v="m.moralesc@uniandes.edu.co"/>
    <n v="201821511"/>
    <s v="Mariana"/>
    <s v="Morales Caldas"/>
    <s v="Mariana Morales Caldas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1-08-09T00:00:00"/>
    <d v="2021-12-04T00:00:00"/>
    <n v="117"/>
  </r>
  <r>
    <s v="lm.restrepo12@uniandes.edu.co"/>
    <n v="201512297"/>
    <s v="Laura Maria"/>
    <s v="Restrepo Grisales"/>
    <s v="Laura Maria Restrepo Grisales"/>
    <s v="Administration Bsc"/>
    <s v="School of Management"/>
    <m/>
    <m/>
    <x v="0"/>
    <x v="1"/>
    <n v="202120"/>
    <n v="202120"/>
    <x v="0"/>
    <x v="1"/>
    <s v="Double Degree"/>
    <x v="1"/>
    <s v="School of Management"/>
    <s v="Toulouse Business School"/>
    <s v="Toulouse Business School"/>
    <s v="Específico"/>
    <s v="France"/>
    <s v="Europe"/>
    <d v="2021-08-09T00:00:00"/>
    <d v="2021-12-04T00:00:00"/>
    <n v="117"/>
  </r>
  <r>
    <s v="ma.valenciae@uniandes.edu.co"/>
    <n v="201812100"/>
    <s v="Mario Andres"/>
    <s v="Valencia Escobar"/>
    <s v="Mario Andres Valencia Escobar"/>
    <s v="Administration Bsc"/>
    <s v="School of Management"/>
    <m/>
    <m/>
    <x v="0"/>
    <x v="1"/>
    <n v="202120"/>
    <n v="2020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8-09T00:00:00"/>
    <d v="2021-12-04T00:00:00"/>
    <n v="117"/>
  </r>
  <r>
    <s v="m.leibovich@uniandes.edu.co"/>
    <n v="201821349"/>
    <s v="Maurice"/>
    <s v="Leibovich Lopez"/>
    <s v="Maurice Leibovich Lopez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1-08-09T00:00:00"/>
    <d v="2021-12-04T00:00:00"/>
    <n v="117"/>
  </r>
  <r>
    <s v="p.lozano@uniandes.edu.co"/>
    <n v="201821385"/>
    <s v="Pablo"/>
    <s v="Lozano Concha"/>
    <s v="Pablo Lozano Conch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1-08-09T00:00:00"/>
    <d v="2021-12-04T00:00:00"/>
    <n v="117"/>
  </r>
  <r>
    <s v="a.ramirezp1@uniandes.edu.co"/>
    <n v="201821774"/>
    <s v="Amalia"/>
    <s v="Ramirez Perilla"/>
    <s v="Amalia Ramirez Perill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UniversitÃ  Ca' Foscari Venezia"/>
    <s v="UniversitÃ  Ca' Foscari Venezia"/>
    <s v="General"/>
    <s v="Italy"/>
    <s v="Europe"/>
    <d v="2021-08-09T00:00:00"/>
    <d v="2021-12-04T00:00:00"/>
    <n v="117"/>
  </r>
  <r>
    <s v="s.ospinan@uniandes.edu.co"/>
    <n v="201730080"/>
    <s v="Santiago"/>
    <s v="Ospina Naranjo"/>
    <s v="Santiago Ospina Naranjo"/>
    <s v="Administration Bsc"/>
    <s v="School of Management"/>
    <s v="Design Bsc"/>
    <s v="School of Architecture and Design"/>
    <x v="0"/>
    <x v="1"/>
    <n v="202120"/>
    <n v="20202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1-08-09T00:00:00"/>
    <d v="2021-12-04T00:00:00"/>
    <n v="117"/>
  </r>
  <r>
    <s v="s.gonzaleza1@uniandes.edu.co"/>
    <n v="201730725"/>
    <s v="Sebastian"/>
    <s v="Gonzalez Acevedo"/>
    <s v="Sebastian Gonzalez Acevedo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1-08-09T00:00:00"/>
    <d v="2021-12-04T00:00:00"/>
    <n v="117"/>
  </r>
  <r>
    <s v="sa.arciniegas@uniandes.edu.co"/>
    <n v="201822623"/>
    <s v="Simon Andres"/>
    <s v="Arciniegas Hurtado"/>
    <s v="Simon Andres Arciniegas Hurtado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NEOMA Business School"/>
    <s v="ESC Rouen (NEOMA)"/>
    <s v="Específico"/>
    <s v="France"/>
    <s v="Europe"/>
    <d v="2021-08-09T00:00:00"/>
    <d v="2021-12-04T00:00:00"/>
    <n v="117"/>
  </r>
  <r>
    <s v="t.giraldor@uniandes.edu.co"/>
    <n v="201730722"/>
    <s v="Tomas"/>
    <s v="Giraldo Restrepo"/>
    <s v="Tomas Giraldo Restrepo"/>
    <s v="Administration Bsc"/>
    <s v="School of Management"/>
    <m/>
    <m/>
    <x v="0"/>
    <x v="1"/>
    <n v="202120"/>
    <n v="202020"/>
    <x v="0"/>
    <x v="0"/>
    <s v="Exchange Student Undergraduate"/>
    <x v="1"/>
    <s v="School of Management"/>
    <s v="ESSEC Business School"/>
    <s v="ESSEC"/>
    <s v="Específico"/>
    <s v="France"/>
    <s v="Europe"/>
    <d v="2021-08-09T00:00:00"/>
    <d v="2021-12-04T00:00:00"/>
    <n v="117"/>
  </r>
  <r>
    <s v="v.vargasm@uniandes.edu.co"/>
    <n v="201730800"/>
    <s v="Valentina"/>
    <s v="Vargas Medina"/>
    <s v="Valentina Vargas Medin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1-08-09T00:00:00"/>
    <d v="2021-12-04T00:00:00"/>
    <n v="117"/>
  </r>
  <r>
    <s v="v.sanchezl@uniandes.edu.co"/>
    <n v="201823004"/>
    <s v="Valentina"/>
    <s v="Sanchez Lastra"/>
    <s v="Valentina Sanchez Lastr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8-09T00:00:00"/>
    <d v="2021-12-04T00:00:00"/>
    <n v="117"/>
  </r>
  <r>
    <s v="l.supelano@uniandes.edu.co"/>
    <n v="201023321"/>
    <s v="Laura"/>
    <s v="Supelano Tajc"/>
    <s v="Laura Supelano Tajc"/>
    <s v="Master in Supply Chain Management"/>
    <s v="School of Management"/>
    <m/>
    <m/>
    <x v="0"/>
    <x v="1"/>
    <n v="202120"/>
    <n v="202120"/>
    <x v="1"/>
    <x v="0"/>
    <s v="Exchange Student Master"/>
    <x v="2"/>
    <s v="School of Management"/>
    <s v="Högskolan i Jönköping"/>
    <s v="JIBS Jönköping International Business School"/>
    <s v="Específico"/>
    <s v="Sweden"/>
    <s v="Europe"/>
    <d v="2021-08-09T00:00:00"/>
    <d v="2021-12-04T00:00:00"/>
    <n v="117"/>
  </r>
  <r>
    <s v="m.varelar@uniandes.edu.co"/>
    <n v="201730584"/>
    <s v="Mariana"/>
    <s v="Varela Restrepo"/>
    <s v="Mariana Varela Restrepo"/>
    <s v="Administration Bsc"/>
    <s v="School of Management"/>
    <s v="Economics Bsc"/>
    <s v="School of Economics"/>
    <x v="0"/>
    <x v="1"/>
    <n v="202120"/>
    <n v="202120"/>
    <x v="0"/>
    <x v="1"/>
    <s v="Double Degree"/>
    <x v="1"/>
    <s v="School of Management"/>
    <s v="Toulouse Business School"/>
    <s v="Toulouse Business School"/>
    <s v="Específico"/>
    <s v="France"/>
    <s v="Europe"/>
    <d v="2021-08-09T00:00:00"/>
    <d v="2021-12-04T00:00:00"/>
    <n v="117"/>
  </r>
  <r>
    <s v="jj.ardilah@uniandes.edu.co"/>
    <n v="201812610"/>
    <s v="Juan Jose"/>
    <s v="Ardila Hidalgo"/>
    <s v="Juan Jose Ardila Hidalg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y of Oklahoma"/>
    <s v="University of Oklahoma"/>
    <s v="General"/>
    <s v="United States"/>
    <s v="North America"/>
    <d v="2022-01-24T00:00:00"/>
    <d v="2022-05-28T00:00:00"/>
    <n v="124"/>
  </r>
  <r>
    <s v="ae.arenas@uniandes.edu.co"/>
    <n v="201911405"/>
    <s v="Andres Enrique"/>
    <s v="Arenas Restrepo"/>
    <s v="Andres Enrique Arenas Restrepo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Pontificia Universidade Católica do Rio Grande do Sul (PUCRS)"/>
    <s v="Pontificia Universidade Católica do Rio Grande do Sul (PUCRS)"/>
    <s v="General"/>
    <s v="Brazil"/>
    <s v="South America"/>
    <d v="2022-08-08T00:00:00"/>
    <d v="2022-12-03T00:00:00"/>
    <n v="117"/>
  </r>
  <r>
    <s v="a.arguello@uniandes.edu.co"/>
    <n v="201920653"/>
    <s v="Andres Felipe"/>
    <s v="Arguello Muñoz"/>
    <s v="Andres Felipe Arguello Muñoz"/>
    <s v="Administration Bsc"/>
    <s v="School of Management"/>
    <s v="Economics Bsc"/>
    <s v="School of Economics"/>
    <x v="0"/>
    <x v="2"/>
    <n v="202210"/>
    <n v="202210"/>
    <x v="0"/>
    <x v="0"/>
    <s v="Exchange Student Undergraduate"/>
    <x v="1"/>
    <s v="School of Management"/>
    <s v="Universitat Politècnica de Catalunya"/>
    <s v="Universitat Politècnica de Catalunya"/>
    <s v="General"/>
    <s v="Spain"/>
    <s v="Europe"/>
    <d v="2022-01-24T00:00:00"/>
    <d v="2022-05-28T00:00:00"/>
    <n v="124"/>
  </r>
  <r>
    <s v="jd.arrazola@uniandes.edu.co"/>
    <n v="201731824"/>
    <s v="Jose Daniel"/>
    <s v="Arrazola Alviz"/>
    <s v="Jose Daniel Arrazola Alvi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Aston University"/>
    <s v="Aston University"/>
    <s v="Específico"/>
    <s v="United Kingdom"/>
    <s v="Europe"/>
    <d v="2022-01-24T00:00:00"/>
    <d v="2022-05-28T00:00:00"/>
    <n v="124"/>
  </r>
  <r>
    <s v="s.arturof@uniandes.edu.co"/>
    <n v="201921846"/>
    <s v="Sebastian"/>
    <s v="Arturo Forero"/>
    <s v="Sebastian Arturo Forero"/>
    <s v="Administration Bsc"/>
    <s v="School of Management"/>
    <m/>
    <m/>
    <x v="0"/>
    <x v="2"/>
    <n v="202220"/>
    <n v="202220"/>
    <x v="0"/>
    <x v="1"/>
    <s v="Double Degree"/>
    <x v="1"/>
    <s v="School of Management"/>
    <s v="Tilburg University"/>
    <s v="Universidad de Tilburg"/>
    <s v="Específico"/>
    <s v="Netherlands"/>
    <s v="Europe"/>
    <d v="2022-08-08T00:00:00"/>
    <d v="2022-12-03T00:00:00"/>
    <n v="117"/>
  </r>
  <r>
    <s v="ja.baron@uniandes.edu.co"/>
    <n v="201820676"/>
    <s v="Juan Andres"/>
    <s v="Baron Pastran"/>
    <s v="Juan Andres Baron Pastran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EDHEC Business School"/>
    <s v="EDHEC Business School"/>
    <s v="Específico"/>
    <s v="France"/>
    <s v="Europe"/>
    <d v="2022-01-24T00:00:00"/>
    <d v="2022-05-28T00:00:00"/>
    <n v="124"/>
  </r>
  <r>
    <s v="mp.bautistal@uniandes.edu.co"/>
    <n v="201820690"/>
    <s v="Maria Paula"/>
    <s v="Bautista Lopez"/>
    <s v="Maria Paula Bautista Lop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1-24T00:00:00"/>
    <d v="2022-05-28T00:00:00"/>
    <n v="124"/>
  </r>
  <r>
    <s v="nm.bermudez@uniandes.edu.co"/>
    <n v="201729155"/>
    <s v="Nestor Mateo"/>
    <s v="Bermudez Vargas"/>
    <s v="Nestor Mateo Bermudez Vargas"/>
    <s v="Design Bsc"/>
    <s v="School of Architecture and Design"/>
    <s v="Administration Bsc"/>
    <s v="School of Management"/>
    <x v="0"/>
    <x v="2"/>
    <n v="202210"/>
    <n v="2022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2-01-24T00:00:00"/>
    <d v="2022-05-28T00:00:00"/>
    <n v="124"/>
  </r>
  <r>
    <s v="as.bernal@uniandes.edu.co"/>
    <n v="201820707"/>
    <s v="Ana Sofia"/>
    <s v="Bernal Bejarano"/>
    <s v="Ana Sofia Bernal Bejarano"/>
    <s v="Administration Bsc"/>
    <s v="School of Management"/>
    <m/>
    <m/>
    <x v="0"/>
    <x v="2"/>
    <n v="202210"/>
    <n v="202110"/>
    <x v="0"/>
    <x v="0"/>
    <s v="Exchange Student Undergraduate"/>
    <x v="1"/>
    <s v="School of Management"/>
    <s v="Université de Lausanne "/>
    <s v="HEC Lausanne"/>
    <s v="Específico"/>
    <s v="Switzerland"/>
    <s v="Europe"/>
    <d v="2022-01-24T00:00:00"/>
    <d v="2022-05-28T00:00:00"/>
    <n v="124"/>
  </r>
  <r>
    <s v="jn.betancourt@uniandes.edu.co"/>
    <n v="201812841"/>
    <s v="Jose Nicolas"/>
    <s v="Betancourt Ferrucho"/>
    <s v="Jose Nicolas Betancourt Ferrucho"/>
    <s v="Administration Bsc"/>
    <s v="School of Management"/>
    <s v="Government and Public Policy Bsc"/>
    <s v="Government School Alberto Lleras Camargo"/>
    <x v="0"/>
    <x v="2"/>
    <n v="202220"/>
    <n v="202220"/>
    <x v="0"/>
    <x v="0"/>
    <s v="Exchange Student Undergraduate"/>
    <x v="1"/>
    <s v="School of Management"/>
    <s v="NEOMA Business School"/>
    <s v="ESC Rouen (NEOMA)"/>
    <s v="Específico"/>
    <s v="France"/>
    <s v="Europe"/>
    <d v="2022-08-08T00:00:00"/>
    <d v="2022-12-03T00:00:00"/>
    <n v="117"/>
  </r>
  <r>
    <s v="f.bocanegra@uniandes.edu.co"/>
    <n v="201921928"/>
    <s v="Felipe"/>
    <s v="Bocanegra Polanco"/>
    <s v="Felipe Bocanegra Polanco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8-08T00:00:00"/>
    <d v="2022-12-03T00:00:00"/>
    <n v="117"/>
  </r>
  <r>
    <s v="v.calderong@uniandes.edu.co"/>
    <n v="201820792"/>
    <s v="Valentina"/>
    <s v="Calderon Gutierrez"/>
    <s v="Valentina Calderon Gutierrez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NEOMA Business School"/>
    <s v="ESC Rouen (NEOMA)"/>
    <s v="Específico"/>
    <s v="France"/>
    <s v="Europe"/>
    <d v="2022-08-08T00:00:00"/>
    <d v="2022-12-03T00:00:00"/>
    <n v="117"/>
  </r>
  <r>
    <s v="s.calderonh@uniandes.edu.co"/>
    <n v="201820793"/>
    <s v="Susana"/>
    <s v="Calderon Henao"/>
    <s v="Susana Calderon Hena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à degli Studi 'Ca' Foscari' di Venezia"/>
    <s v="Università degli Studi 'Ca' Foscari' di Venezia"/>
    <s v="General"/>
    <s v="Italy"/>
    <s v="Europe"/>
    <d v="2022-01-24T00:00:00"/>
    <d v="2022-05-28T00:00:00"/>
    <n v="124"/>
  </r>
  <r>
    <s v="n.calderonv@uniandes.edu.co"/>
    <n v="201729225"/>
    <s v="Natalia"/>
    <s v="Calderon Vallejo"/>
    <s v="Natalia Calderon Vallejo"/>
    <s v="Administration Bsc"/>
    <s v="School of Management"/>
    <m/>
    <m/>
    <x v="0"/>
    <x v="2"/>
    <n v="202210"/>
    <n v="202120"/>
    <x v="0"/>
    <x v="0"/>
    <s v="Exchange Student Undergraduate"/>
    <x v="1"/>
    <s v="School of Management"/>
    <s v="Frankfurt School of Finance &amp; Management"/>
    <s v="Frankfurt School of Finance and Management"/>
    <s v="Específico"/>
    <s v="Germany"/>
    <s v="Europe"/>
    <d v="2022-01-24T00:00:00"/>
    <d v="2022-05-28T00:00:00"/>
    <n v="124"/>
  </r>
  <r>
    <s v="f.camargo@uniandes.edu.co"/>
    <n v="201921990"/>
    <s v="Felipe"/>
    <s v="Camargo Quintanilla"/>
    <s v="Felipe Camargo Quintanilla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da.campos@uniandes.edu.co"/>
    <n v="201911830"/>
    <s v="Diego Alejandro"/>
    <s v="Campos Mallungo"/>
    <s v="Diego Alejandro Campos Mallungo"/>
    <s v="Administration Bsc"/>
    <s v="School of Management"/>
    <s v="Law Bsc"/>
    <s v="School of Law"/>
    <x v="0"/>
    <x v="2"/>
    <n v="202220"/>
    <n v="202220"/>
    <x v="0"/>
    <x v="0"/>
    <s v="Exchange Student Undergraduate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2-08-08T00:00:00"/>
    <d v="2022-12-03T00:00:00"/>
    <n v="117"/>
  </r>
  <r>
    <s v="s.carrenop@uniandes.edu.co"/>
    <n v="201819805"/>
    <s v="Samuel"/>
    <s v="Carreño Perez"/>
    <s v="Samuel Carreño Per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2-01-24T00:00:00"/>
    <d v="2022-05-28T00:00:00"/>
    <n v="124"/>
  </r>
  <r>
    <s v="lf.carrillop@uniandes.edu.co"/>
    <n v="201820849"/>
    <s v="Luis Felipe"/>
    <s v="Carrillo Pico"/>
    <s v="Luis Felipe Carrillo Pico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j.carvajalc@uniandes.edu.co"/>
    <n v="201813045"/>
    <s v="Juliana"/>
    <s v="Carvajal Carvajal"/>
    <s v="Juliana Carvajal Carvajal"/>
    <s v="Economics Bsc"/>
    <s v="School of Economics"/>
    <s v="Administration Bsc"/>
    <s v="School of Management"/>
    <x v="0"/>
    <x v="2"/>
    <n v="202210"/>
    <n v="2022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1-24T00:00:00"/>
    <d v="2022-05-28T00:00:00"/>
    <n v="124"/>
  </r>
  <r>
    <s v="c.castellanosv@uniandes.edu.co"/>
    <n v="201820401"/>
    <s v="Catalina"/>
    <s v="Castellanos Valero"/>
    <s v="Catalina Castellanos Valer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2-01-24T00:00:00"/>
    <d v="2022-05-28T00:00:00"/>
    <n v="124"/>
  </r>
  <r>
    <s v="m.castrog@uniandes.edu.co"/>
    <n v="201820879"/>
    <s v="Mariana"/>
    <s v="Castro Giraldo"/>
    <s v="Mariana Castro Girald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Audencia Nantes - Ecole de Management"/>
    <s v="Audencia. École de Management"/>
    <s v="Específico"/>
    <s v="France"/>
    <s v="Europe"/>
    <d v="2022-01-24T00:00:00"/>
    <d v="2022-05-28T00:00:00"/>
    <n v="124"/>
  </r>
  <r>
    <s v="va.castrop@uniandes.edu.co"/>
    <n v="201911984"/>
    <s v="Vanessa Alexandra"/>
    <s v="Castro Patiño"/>
    <s v="Vanessa Alexandra Castro Patiño"/>
    <s v="Design Bsc"/>
    <s v="School of Architecture and Design"/>
    <s v="Administration Bsc"/>
    <s v="School of Management"/>
    <x v="0"/>
    <x v="2"/>
    <n v="202220"/>
    <n v="20222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2-08-08T00:00:00"/>
    <d v="2022-12-03T00:00:00"/>
    <n v="117"/>
  </r>
  <r>
    <s v="jm.castrop@uniandes.edu.co"/>
    <n v="201820881"/>
    <s v="Juan Miguel Jose"/>
    <s v="Castro Pepin"/>
    <s v="Juan Miguel Jose Castro Pepin"/>
    <s v="Economics Bsc"/>
    <s v="School of Economics"/>
    <s v="Administration Bsc"/>
    <s v="School of Management"/>
    <x v="0"/>
    <x v="2"/>
    <n v="202210"/>
    <n v="202210"/>
    <x v="0"/>
    <x v="0"/>
    <s v="Exchange Student Undergraduate"/>
    <x v="1"/>
    <s v="School of Management"/>
    <s v="Universitat Ramon Llull"/>
    <s v="ESADE"/>
    <s v="Específico"/>
    <s v="Spain"/>
    <s v="Europe"/>
    <d v="2022-01-24T00:00:00"/>
    <d v="2022-05-28T00:00:00"/>
    <n v="124"/>
  </r>
  <r>
    <s v="k.chacon@uniandes.edu.co"/>
    <n v="202014221"/>
    <s v="Karen Valentina"/>
    <s v="Chacon Padilla"/>
    <s v="Karen Valentina Chacon Padilla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City University of Hong Kong"/>
    <s v="City University of Hong Kong"/>
    <s v="Específico"/>
    <s v="China"/>
    <s v="Asia"/>
    <d v="2022-08-08T00:00:00"/>
    <d v="2022-12-03T00:00:00"/>
    <n v="117"/>
  </r>
  <r>
    <s v="pa.cordoba@uniandes.edu.co"/>
    <n v="201820930"/>
    <s v="Pablo Alejandro"/>
    <s v="Cordoba Ruiz"/>
    <s v="Pablo Alejandro Cordoba Ruiz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2-08-08T00:00:00"/>
    <d v="2022-12-03T00:00:00"/>
    <n v="117"/>
  </r>
  <r>
    <s v="ma.correaa1@uniandes.edu.co"/>
    <n v="201820409"/>
    <s v="Maria Antonia"/>
    <s v="Correa Acosta"/>
    <s v="Maria Antonia Correa Acosta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IE Universidad"/>
    <s v="IE Instituto Empresa"/>
    <s v="Específico"/>
    <s v="Spain"/>
    <s v="Europe"/>
    <d v="2022-01-24T00:00:00"/>
    <d v="2022-05-28T00:00:00"/>
    <n v="124"/>
  </r>
  <r>
    <s v="ja.cruzv@uniandes.edu.co"/>
    <n v="201712743"/>
    <s v="Johan Alfonso"/>
    <s v="Cruz Vega"/>
    <s v="Johan Alfonso Cruz Vega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NEOMA Business School"/>
    <s v="ESC Rouen (NEOMA)"/>
    <s v="Específico"/>
    <s v="France"/>
    <s v="Europe"/>
    <d v="2022-01-24T00:00:00"/>
    <d v="2022-05-28T00:00:00"/>
    <n v="124"/>
  </r>
  <r>
    <s v="sj.cuervo@uniandes.edu.co"/>
    <n v="201912173"/>
    <s v="Sara Jimena"/>
    <s v="Cuervo Villanueva"/>
    <s v="Sara Jimena Cuervo Villanueva"/>
    <s v="Administration Bsc"/>
    <s v="School of Management"/>
    <s v="Design Bsc"/>
    <s v="School of Architecture and Design"/>
    <x v="0"/>
    <x v="2"/>
    <n v="202220"/>
    <n v="202220"/>
    <x v="0"/>
    <x v="0"/>
    <s v="Exchange Student Undergraduate"/>
    <x v="1"/>
    <s v="School of Management"/>
    <s v="Université Paris-Dauphine"/>
    <s v="Université Paris-Dauphine"/>
    <s v="General"/>
    <s v="France"/>
    <s v="Europe"/>
    <d v="2022-08-08T00:00:00"/>
    <d v="2022-12-03T00:00:00"/>
    <n v="117"/>
  </r>
  <r>
    <s v="ja.durang@uniandes.edu.co"/>
    <n v="201813367"/>
    <s v="Jorge Andres"/>
    <s v="Duran Gasca"/>
    <s v="Jorge Andres Duran Gasca"/>
    <s v="Administration Bsc"/>
    <s v="School of Management"/>
    <s v="Economics Bsc"/>
    <s v="School of Economics"/>
    <x v="0"/>
    <x v="2"/>
    <n v="202220"/>
    <n v="2022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8-08T00:00:00"/>
    <d v="2022-12-03T00:00:00"/>
    <n v="117"/>
  </r>
  <r>
    <s v="a.ehrlich@uniandes.edu.co"/>
    <n v="201922191"/>
    <s v="Antonio"/>
    <s v="Ehrlich Martinez"/>
    <s v="Antonio Ehrlich Martinez"/>
    <s v="Administration Bsc"/>
    <s v="School of Management"/>
    <s v="Design Bsc"/>
    <s v="School of Architecture and Design"/>
    <x v="0"/>
    <x v="2"/>
    <n v="202220"/>
    <n v="202220"/>
    <x v="0"/>
    <x v="0"/>
    <s v="CINDA"/>
    <x v="1"/>
    <s v="School of Management"/>
    <s v="Universitat Politècnica de Catalunya"/>
    <s v="Universitat Politècnica de Catalunya"/>
    <s v="General"/>
    <s v="Spain"/>
    <s v="Europe"/>
    <d v="2022-08-08T00:00:00"/>
    <d v="2022-12-03T00:00:00"/>
    <n v="117"/>
  </r>
  <r>
    <s v="ce.fernandezv@uniandes.edu.co"/>
    <n v="200623017"/>
    <s v="Carlos Eduardo"/>
    <s v="Fernandez Vega"/>
    <s v="Carlos Eduardo Fernandez Vega"/>
    <s v="Part - Time MBA"/>
    <s v="School of Management"/>
    <m/>
    <m/>
    <x v="0"/>
    <x v="2"/>
    <n v="202220"/>
    <n v="202220"/>
    <x v="1"/>
    <x v="0"/>
    <s v="Exchange Student Master"/>
    <x v="3"/>
    <s v="School of Management"/>
    <s v="University of London"/>
    <s v="London Business School"/>
    <s v="Específico"/>
    <s v="United Kingdom"/>
    <s v="Europe"/>
    <d v="2022-08-08T00:00:00"/>
    <d v="2022-12-03T00:00:00"/>
    <n v="117"/>
  </r>
  <r>
    <s v="af.garces@uniandes.edu.co"/>
    <n v="201912523"/>
    <s v="Andres Felipe"/>
    <s v="Garces Mejia"/>
    <s v="Andres Felipe Garces Mejia"/>
    <s v="Administration Bsc"/>
    <s v="School of Management"/>
    <s v="Economics Bsc"/>
    <s v="School of Economics"/>
    <x v="0"/>
    <x v="2"/>
    <n v="202220"/>
    <n v="202220"/>
    <x v="0"/>
    <x v="0"/>
    <s v="Exchange Student Undergraduate"/>
    <x v="1"/>
    <s v="School of Management"/>
    <s v="ESSEC Business School"/>
    <s v="ESSEC"/>
    <s v="Específico"/>
    <s v="France"/>
    <s v="Europe"/>
    <d v="2022-08-08T00:00:00"/>
    <d v="2022-12-03T00:00:00"/>
    <n v="117"/>
  </r>
  <r>
    <s v="tm.garcia@uniandes.edu.co"/>
    <n v="201821140"/>
    <s v="Tania Marcela"/>
    <s v="Garcia Gonzalez"/>
    <s v="Tania Marcela Garcia Gonzal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à degli Studi di Bologna 'Alma Mater Studiorum'"/>
    <s v="Università degli Studi di Bologna 'Alma Mater Studiorum'"/>
    <s v="General"/>
    <s v="Italy"/>
    <s v="Europe"/>
    <d v="2022-01-24T00:00:00"/>
    <d v="2022-05-28T00:00:00"/>
    <n v="124"/>
  </r>
  <r>
    <s v="s.giraldod@uniandes.edu.co"/>
    <n v="201819907"/>
    <s v="Santiago"/>
    <s v="Giraldo Duque"/>
    <s v="Santiago Giraldo Duque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2-01-24T00:00:00"/>
    <d v="2022-05-28T00:00:00"/>
    <n v="124"/>
  </r>
  <r>
    <s v="d.giraldoq@uniandes.edu.co"/>
    <n v="201821166"/>
    <s v="Daniela"/>
    <s v="Giraldo Quintero"/>
    <s v="Daniela Giraldo Quinter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2-01-24T00:00:00"/>
    <d v="2022-05-28T00:00:00"/>
    <n v="124"/>
  </r>
  <r>
    <s v="c.gomezg2@uniandes.edu.co"/>
    <n v="201822342"/>
    <s v="Camilo"/>
    <s v="Gomez Gomez"/>
    <s v="Camilo Gomez Gomez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n.gomezo@uniandes.edu.co"/>
    <n v="201821189"/>
    <s v="Nicolas"/>
    <s v="Gomez Ocampo"/>
    <s v="Nicolas Gomez Ocamp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at Ramon Llull"/>
    <s v="ESADE"/>
    <s v="Específico"/>
    <s v="Spain"/>
    <s v="Europe"/>
    <d v="2022-01-24T00:00:00"/>
    <d v="2022-05-28T00:00:00"/>
    <n v="124"/>
  </r>
  <r>
    <s v="s.gomezr2@uniandes.edu.co"/>
    <n v="201822773"/>
    <s v="Sebastian"/>
    <s v="Gomez Ramirez"/>
    <s v="Sebastian Gomez Ramirez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St. John's University"/>
    <s v="St. John's University"/>
    <s v="General"/>
    <s v="United States"/>
    <s v="North America"/>
    <d v="2022-08-08T00:00:00"/>
    <d v="2022-12-03T00:00:00"/>
    <n v="117"/>
  </r>
  <r>
    <s v="ma.gomezs@uniandes.edu.co"/>
    <n v="201820464"/>
    <s v="Maria Alejandra"/>
    <s v="Gomez Sepulveda"/>
    <s v="Maria Alejandra Gomez Sepulveda"/>
    <s v="Administration Bsc"/>
    <s v="School of Management"/>
    <s v="Economics Bsc"/>
    <s v="School of Economics"/>
    <x v="0"/>
    <x v="2"/>
    <n v="202220"/>
    <n v="202220"/>
    <x v="0"/>
    <x v="0"/>
    <s v="Exchange Student Undergraduate"/>
    <x v="1"/>
    <s v="School of Management"/>
    <s v="Tilburg University"/>
    <s v="Universidad de Tilburg"/>
    <s v="Específico"/>
    <s v="Netherlands"/>
    <s v="Europe"/>
    <d v="2022-08-08T00:00:00"/>
    <d v="2022-12-03T00:00:00"/>
    <n v="117"/>
  </r>
  <r>
    <s v="i.gonzalezc1@uniandes.edu.co"/>
    <n v="201821204"/>
    <s v="Isabella"/>
    <s v="Gonzalez Cortes"/>
    <s v="Isabella Gonzalez Cortes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j.guerreros@uniandes.edu.co"/>
    <n v="201922398"/>
    <s v="Juan David"/>
    <s v="Guerrero Silva"/>
    <s v="Juan David Guerrero Silva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NEOMA Business School"/>
    <s v="ESC Rouen (NEOMA)"/>
    <s v="Específico"/>
    <s v="France"/>
    <s v="Europe"/>
    <d v="2022-08-08T00:00:00"/>
    <d v="2022-12-03T00:00:00"/>
    <n v="117"/>
  </r>
  <r>
    <s v="a.gutierrezp@uniandes.edu.co"/>
    <n v="201813783"/>
    <s v="Alejandro"/>
    <s v="Gutierrez Perico Ramirez"/>
    <s v="Alejandro Gutierrez Perico Ramirez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f.herrera11@uniandes.edu.co"/>
    <n v="201514290"/>
    <s v="Federico"/>
    <s v="Herrera Duran"/>
    <s v="Federico Herrera Duran"/>
    <s v="Administration Bsc"/>
    <s v="School of Management"/>
    <m/>
    <m/>
    <x v="0"/>
    <x v="2"/>
    <n v="202219"/>
    <n v="202219"/>
    <x v="0"/>
    <x v="2"/>
    <s v="SURF"/>
    <x v="1"/>
    <s v="School of Management"/>
    <s v="Cornell University"/>
    <s v="Cornell University"/>
    <s v="General"/>
    <s v="United States"/>
    <s v="North America"/>
    <d v="2022-06-06T00:00:00"/>
    <d v="2022-07-30T00:00:00"/>
    <n v="54"/>
  </r>
  <r>
    <s v="ds.herrera@uniandes.edu.co"/>
    <n v="201730940"/>
    <s v="Daniel Santiago"/>
    <s v="Herrera Quiroga"/>
    <s v="Daniel Santiago Herrera Quiroga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é de Lausanne"/>
    <s v="HEC Lausanne"/>
    <s v="Específico"/>
    <s v="Switzerland"/>
    <s v="Europe"/>
    <d v="2022-01-24T00:00:00"/>
    <d v="2022-05-28T00:00:00"/>
    <n v="124"/>
  </r>
  <r>
    <s v="jp.izquierdo@uniandes.edu.co"/>
    <n v="201821298"/>
    <s v="Juan Pablo"/>
    <s v="Izquierdo Camacho"/>
    <s v="Juan Pablo Izquierdo Camacho"/>
    <s v="Administration Bsc"/>
    <s v="School of Management"/>
    <m/>
    <m/>
    <x v="0"/>
    <x v="2"/>
    <n v="202220"/>
    <n v="202220"/>
    <x v="0"/>
    <x v="0"/>
    <s v="CINDA"/>
    <x v="1"/>
    <s v="School of Management"/>
    <s v="Università degli Studi di Genova"/>
    <s v="Università degli Studi di Genova"/>
    <s v="General"/>
    <s v="Italy"/>
    <s v="Europe"/>
    <d v="2022-08-08T00:00:00"/>
    <d v="2022-12-03T00:00:00"/>
    <n v="117"/>
  </r>
  <r>
    <s v="n.jaramilloe@uniandes.edu.co"/>
    <n v="201729731"/>
    <s v="Natalia"/>
    <s v="Jaramillo Erazo"/>
    <s v="Natalia Jaramillo Erazo"/>
    <s v="Administration Bsc"/>
    <s v="School of Management"/>
    <s v="Economics Bsc"/>
    <s v="School of Economics"/>
    <x v="0"/>
    <x v="2"/>
    <n v="202210"/>
    <n v="2022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1-24T00:00:00"/>
    <d v="2022-05-28T00:00:00"/>
    <n v="124"/>
  </r>
  <r>
    <s v="n.jaramilloe@uniandes.edu.co"/>
    <n v="201729731"/>
    <s v="Natalia"/>
    <s v="Jaramillo Erazo"/>
    <s v="Natalia Jaramillo Erazo"/>
    <s v="Administration Bsc"/>
    <s v="School of Management"/>
    <m/>
    <m/>
    <x v="0"/>
    <x v="2"/>
    <n v="202219"/>
    <n v="202219"/>
    <x v="0"/>
    <x v="2"/>
    <s v="SURF"/>
    <x v="1"/>
    <s v="School of Management"/>
    <s v="Cornell University"/>
    <s v="Cornell University"/>
    <s v="General"/>
    <s v="United States"/>
    <s v="North America"/>
    <d v="2022-06-06T00:00:00"/>
    <d v="2022-07-30T00:00:00"/>
    <n v="54"/>
  </r>
  <r>
    <s v="jd.neira@uniandes.edu.co"/>
    <n v="201731849"/>
    <s v="Neira Ahumada"/>
    <s v="Juan David"/>
    <s v="Neira Ahumada Juan David"/>
    <s v="Administration Bsc"/>
    <s v="School of Management"/>
    <m/>
    <m/>
    <x v="0"/>
    <x v="2"/>
    <n v="202210"/>
    <n v="202120"/>
    <x v="0"/>
    <x v="0"/>
    <s v="Exchange Student Undergraduate"/>
    <x v="1"/>
    <s v="School of Management"/>
    <s v="Grenoble Ecole de Management"/>
    <s v="Grenoble. École de Management"/>
    <s v="Específico"/>
    <s v="France"/>
    <s v="Europe"/>
    <d v="2022-01-24T00:00:00"/>
    <d v="2022-05-28T00:00:00"/>
    <n v="124"/>
  </r>
  <r>
    <s v="d.kalozdi@uniandes.edu.co"/>
    <n v="201922500"/>
    <s v="Daniel"/>
    <s v="Kalozdi Castro"/>
    <s v="Daniel Kalozdi Castr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Johannes Gutenberg-Universität Mainz"/>
    <s v="Johannes Gutemberg - Universität Mainz"/>
    <s v="General"/>
    <s v="Germany"/>
    <s v="Europe"/>
    <d v="2022-01-24T00:00:00"/>
    <d v="2022-05-28T00:00:00"/>
    <n v="124"/>
  </r>
  <r>
    <s v="v.ladino@uniandes.edu.co"/>
    <n v="201621030"/>
    <s v="Valentina"/>
    <s v="Ladino Piñeros"/>
    <s v="Valentina Ladino Piñeros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2-01-24T00:00:00"/>
    <d v="2022-05-28T00:00:00"/>
    <n v="124"/>
  </r>
  <r>
    <s v="m.leibovich@uniandes.edu.co"/>
    <n v="201821349"/>
    <s v="Maurice"/>
    <s v="Leibovich Lopez"/>
    <s v="Maurice Leibovich Lopez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c.leon10@uniandes.edu.co"/>
    <n v="201425780"/>
    <s v="Camila"/>
    <s v="Leon Gil"/>
    <s v="Camila Leon Gil"/>
    <s v="Master in Development Management and Practice"/>
    <s v="School of Management"/>
    <m/>
    <m/>
    <x v="0"/>
    <x v="2"/>
    <n v="202210"/>
    <n v="202210"/>
    <x v="1"/>
    <x v="0"/>
    <s v="Exchange Student Master"/>
    <x v="4"/>
    <s v="School of Management"/>
    <s v="Maastricht University"/>
    <s v="Maastricht University"/>
    <s v="Específico"/>
    <s v="Netherlands"/>
    <s v="Europe"/>
    <d v="2022-01-24T00:00:00"/>
    <d v="2022-05-28T00:00:00"/>
    <n v="124"/>
  </r>
  <r>
    <s v="sd.lobo251@uniandes.edu.co"/>
    <n v="201218661"/>
    <s v="Sergio David"/>
    <s v="Lobo Bolaño"/>
    <s v="Sergio David Lobo Bolaño"/>
    <s v="Master in Finance"/>
    <s v="School of Management"/>
    <m/>
    <m/>
    <x v="0"/>
    <x v="2"/>
    <n v="202220"/>
    <n v="202220"/>
    <x v="1"/>
    <x v="0"/>
    <s v="Exchange Student Master"/>
    <x v="5"/>
    <s v="School of Management"/>
    <s v="ESSEC Business School"/>
    <s v="ESSEC"/>
    <s v="Específico"/>
    <s v="France"/>
    <s v="Europe"/>
    <d v="2022-08-08T00:00:00"/>
    <d v="2022-12-03T00:00:00"/>
    <n v="117"/>
  </r>
  <r>
    <s v="n.lombana@uniandes.edu.co"/>
    <n v="201922540"/>
    <s v="Nicolas"/>
    <s v="Lombana Rodriguez"/>
    <s v="Nicolas Lombana Rodriguez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2-08-08T00:00:00"/>
    <d v="2022-12-03T00:00:00"/>
    <n v="117"/>
  </r>
  <r>
    <s v="v.losada@uniandes.edu.co"/>
    <n v="201535796"/>
    <s v="Valentina"/>
    <s v="Losada Valderrama"/>
    <s v="Valentina Losada Valderrama"/>
    <s v="Administration Bsc"/>
    <s v="School of Management"/>
    <m/>
    <m/>
    <x v="0"/>
    <x v="2"/>
    <n v="202210"/>
    <n v="202110"/>
    <x v="0"/>
    <x v="0"/>
    <s v="Exchange Student Undergraduate"/>
    <x v="1"/>
    <s v="School of Management"/>
    <s v="Audencia Nantes - Ecole de Management"/>
    <s v="Audencia. École de Management"/>
    <s v="Específico"/>
    <s v="France"/>
    <s v="Europe"/>
    <d v="2022-01-24T00:00:00"/>
    <d v="2022-05-28T00:00:00"/>
    <n v="124"/>
  </r>
  <r>
    <s v="l.madero@uniandes.edu.co"/>
    <n v="201821403"/>
    <s v="Laura Valentina"/>
    <s v="Madero Olaya"/>
    <s v="Laura Valentina Madero Olaya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é Jean Moulin Lyon 3"/>
    <s v="Universidad Jean Moulin Lyon 3"/>
    <s v="General"/>
    <s v="France"/>
    <s v="Europe"/>
    <d v="2022-01-24T00:00:00"/>
    <d v="2022-05-28T00:00:00"/>
    <n v="124"/>
  </r>
  <r>
    <s v="l.madrinan@uniandes.edu.co"/>
    <n v="201822829"/>
    <s v="Laura"/>
    <s v="Madriñan Serna"/>
    <s v="Laura Madriñan Serna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j.morales@uniandes.edu.co"/>
    <n v="201922720"/>
    <s v="Juliana"/>
    <s v="Morales Cardenas"/>
    <s v="Juliana Morales Cardenas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St. John's University"/>
    <s v="St. John's University"/>
    <s v="General"/>
    <s v="United States"/>
    <s v="North America"/>
    <d v="2022-01-24T00:00:00"/>
    <d v="2022-05-28T00:00:00"/>
    <n v="124"/>
  </r>
  <r>
    <s v="ac.munoz@uniandes.edu.co"/>
    <n v="201821545"/>
    <s v="Andrea Catalina"/>
    <s v="Muñoz Gomez"/>
    <s v="Andrea Catalina Muñoz Gom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IE Universidad"/>
    <s v="IE Instituto Empresa"/>
    <s v="Específico"/>
    <s v="Spain"/>
    <s v="Europe"/>
    <d v="2022-01-24T00:00:00"/>
    <d v="2022-05-28T00:00:00"/>
    <n v="124"/>
  </r>
  <r>
    <s v="and-murc@uniandes.edu.co"/>
    <n v="200411241"/>
    <s v="Andres Fernando"/>
    <s v="Murcia Matallana"/>
    <s v="Andres Fernando Murcia Matallana"/>
    <s v="Part - Time MBA"/>
    <s v="School of Management"/>
    <m/>
    <m/>
    <x v="0"/>
    <x v="2"/>
    <n v="202210"/>
    <n v="202210"/>
    <x v="1"/>
    <x v="0"/>
    <s v="Exchange Student Master"/>
    <x v="3"/>
    <s v="School of Management"/>
    <s v="ESSEC Business School"/>
    <s v="ESSEC"/>
    <s v="Específico"/>
    <s v="France"/>
    <s v="Europe"/>
    <d v="2022-01-24T00:00:00"/>
    <d v="2022-05-28T00:00:00"/>
    <n v="124"/>
  </r>
  <r>
    <s v="s.navasv@uniandes.edu.co"/>
    <n v="201923603"/>
    <s v="Santiago"/>
    <s v="Navas Vargas"/>
    <s v="Santiago Navas Vargas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2-08-08T00:00:00"/>
    <d v="2022-12-03T00:00:00"/>
    <n v="117"/>
  </r>
  <r>
    <s v="ab.obregon10@uniandes.edu.co"/>
    <n v="201616137"/>
    <s v="Andres Bernardo"/>
    <s v="Obregon Ramirez"/>
    <s v="Andres Bernardo Obregon Ramir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2-01-24T00:00:00"/>
    <d v="2022-05-28T00:00:00"/>
    <n v="124"/>
  </r>
  <r>
    <s v="n.ome@uniandes.edu.co"/>
    <n v="201922780"/>
    <s v="Nicolas"/>
    <s v="Ome Alvarez"/>
    <s v="Nicolas Ome Alvarez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Universitat Ramon Llull"/>
    <s v="ESADE"/>
    <s v="Específico"/>
    <s v="Spain"/>
    <s v="Europe"/>
    <d v="2022-08-08T00:00:00"/>
    <d v="2022-12-03T00:00:00"/>
    <n v="117"/>
  </r>
  <r>
    <s v="j.ovalle@uniandes.edu.co"/>
    <n v="201922820"/>
    <s v="Juan Jose"/>
    <s v="Ovalle Gonzalez"/>
    <s v="Juan Jose Ovalle Gonzal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y of Oklahoma"/>
    <s v="University of Oklahoma"/>
    <s v="General"/>
    <s v="United States"/>
    <s v="North America"/>
    <d v="2022-01-24T00:00:00"/>
    <d v="2022-05-28T00:00:00"/>
    <n v="124"/>
  </r>
  <r>
    <s v="j.parral@uniandes.edu.co"/>
    <n v="201921092"/>
    <s v="Jose Daniel"/>
    <s v="Parra Lozada"/>
    <s v="Jose Daniel Parra Lozada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je.parral@uniandes.edu.co"/>
    <n v="201821669"/>
    <s v="Juan Esteban"/>
    <s v="Parra Lozada"/>
    <s v="Juan Esteban Parra Lozada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i.parram@uniandes.edu.co"/>
    <n v="201922849"/>
    <s v="Isabela"/>
    <s v="Parra Mesa"/>
    <s v="Isabela Parra Mesa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Queen's University"/>
    <s v="Queens University School of Business"/>
    <s v="Específico"/>
    <s v="Canada"/>
    <s v="North America"/>
    <d v="2022-08-08T00:00:00"/>
    <d v="2022-12-03T00:00:00"/>
    <n v="117"/>
  </r>
  <r>
    <s v="j.pava@uniandes.edu.co"/>
    <n v="201814645"/>
    <s v="Juanita"/>
    <s v="Pava Martinez"/>
    <s v="Juanita Pava Martinez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NEOMA Business School"/>
    <s v="ESC Rouen (NEOMA)"/>
    <s v="Específico"/>
    <s v="France"/>
    <s v="Europe"/>
    <d v="2022-08-08T00:00:00"/>
    <d v="2022-12-03T00:00:00"/>
    <n v="117"/>
  </r>
  <r>
    <s v="mc.pinzonp@uniandes.edu.co"/>
    <n v="201714414"/>
    <s v="Maria Camila"/>
    <s v="Pinzon Perez"/>
    <s v="Maria Camila Pinzon Perez"/>
    <s v="Industrial Engineering Bsc"/>
    <s v="School of Engineering"/>
    <s v="Administration Bsc"/>
    <s v="School of Management"/>
    <x v="0"/>
    <x v="2"/>
    <n v="202210"/>
    <n v="202210"/>
    <x v="0"/>
    <x v="0"/>
    <s v="Exchange Student Undergraduate"/>
    <x v="1"/>
    <s v="School of Management"/>
    <s v="Universitat Ramon Llull"/>
    <s v="ESADE"/>
    <s v="Específico"/>
    <s v="Spain"/>
    <s v="Europe"/>
    <d v="2022-01-24T00:00:00"/>
    <d v="2022-05-28T00:00:00"/>
    <n v="124"/>
  </r>
  <r>
    <s v="js.pulidob@uniandes.edu.co"/>
    <n v="201631942"/>
    <s v="Juan Sebastian"/>
    <s v="Pulido Becerra"/>
    <s v="Juan Sebastian Pulido Becerra"/>
    <s v="Government and Public Policy Bsc"/>
    <s v="Government School Alberto Lleras Camargo"/>
    <s v="Administration Bsc"/>
    <s v="School of Management"/>
    <x v="0"/>
    <x v="2"/>
    <n v="202220"/>
    <n v="2022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2-08-08T00:00:00"/>
    <d v="2022-12-03T00:00:00"/>
    <n v="117"/>
  </r>
  <r>
    <s v="ls.pulidoo@uniandes.edu.co"/>
    <n v="201821743"/>
    <s v="Laura Salome"/>
    <s v="Pulido Ortiz"/>
    <s v="Laura Salome Pulido Ortiz"/>
    <s v="Administration Bsc"/>
    <s v="School of Management"/>
    <s v="Design Bsc"/>
    <s v="School of Architecture and Design"/>
    <x v="0"/>
    <x v="2"/>
    <n v="202220"/>
    <n v="202220"/>
    <x v="0"/>
    <x v="0"/>
    <s v="CINDA"/>
    <x v="1"/>
    <s v="School of Management"/>
    <s v="Universidad de Cantabria"/>
    <s v="Universidad de Cantabria"/>
    <s v="General"/>
    <s v="Spain"/>
    <s v="Europe"/>
    <d v="2022-08-08T00:00:00"/>
    <d v="2022-12-03T00:00:00"/>
    <n v="117"/>
  </r>
  <r>
    <s v="aa.quinteroa@uniandes.edu.co"/>
    <n v="201822945"/>
    <s v="Alvaro Alejandro"/>
    <s v="Quintero Alzate"/>
    <s v="Alvaro Alejandro Quintero Alzate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2-08-08T00:00:00"/>
    <d v="2022-12-03T00:00:00"/>
    <n v="117"/>
  </r>
  <r>
    <s v="c.quinterom@uniandes.edu.co"/>
    <n v="201910491"/>
    <s v="Camilo"/>
    <s v="Quintero Martelo"/>
    <s v="Camilo Quintero Martelo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Universitat Ramon Llull"/>
    <s v="ESADE"/>
    <s v="Específico"/>
    <s v="Spain"/>
    <s v="Europe"/>
    <d v="2022-08-08T00:00:00"/>
    <d v="2022-12-03T00:00:00"/>
    <n v="117"/>
  </r>
  <r>
    <s v="a.quirama@uniandes.edu.co"/>
    <n v="201922964"/>
    <s v="Andrea Carolina"/>
    <s v="Quirama Triana"/>
    <s v="Andrea Carolina Quirama Triana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ji.ramirezb@uniandes.edu.co"/>
    <n v="201822949"/>
    <s v="Juanita Isabella"/>
    <s v="Ramirez Barrera"/>
    <s v="Juanita Isabella Ramirez Barrera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Frankfurt School of Finance &amp; Management"/>
    <s v="Frankfurt School of Finance and Management"/>
    <s v="Específico"/>
    <s v="Germany"/>
    <s v="Europe"/>
    <d v="2022-08-08T00:00:00"/>
    <d v="2022-12-03T00:00:00"/>
    <n v="117"/>
  </r>
  <r>
    <s v="af.rangel@uniandes.edu.co"/>
    <n v="201730257"/>
    <s v="Andres Felipe"/>
    <s v="Rangel Mora"/>
    <s v="Andres Felipe Rangel Mora"/>
    <s v="Administration Bsc"/>
    <s v="School of Management"/>
    <s v="Administration Bsc"/>
    <s v="School of Management"/>
    <x v="0"/>
    <x v="2"/>
    <n v="202210"/>
    <n v="20221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2-01-24T00:00:00"/>
    <d v="2022-05-28T00:00:00"/>
    <n v="124"/>
  </r>
  <r>
    <s v="s.realpe@uniandes.edu.co"/>
    <n v="201814932"/>
    <s v="Santiago David"/>
    <s v="Realpe Morillo"/>
    <s v="Santiago David Realpe Morill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é de Bordeaux"/>
    <s v="Université de Bordeaux"/>
    <s v="General"/>
    <s v="France"/>
    <s v="Europe"/>
    <d v="2022-01-24T00:00:00"/>
    <d v="2022-05-28T00:00:00"/>
    <n v="124"/>
  </r>
  <r>
    <s v="sm.restrepop@uniandes.edu.co"/>
    <n v="201822266"/>
    <s v="Sara Manuela"/>
    <s v="Restrepo Pachon"/>
    <s v="Sara Manuela Restrepo Pachon"/>
    <s v="Administration Bsc"/>
    <s v="School of Management"/>
    <s v="Music Bsc"/>
    <s v="School of Arts and Humanities"/>
    <x v="0"/>
    <x v="2"/>
    <n v="202210"/>
    <n v="2022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2-01-24T00:00:00"/>
    <d v="2022-05-28T00:00:00"/>
    <n v="124"/>
  </r>
  <r>
    <s v="x.rico@uniandes.edu.co"/>
    <n v="202027964"/>
    <s v="Ximena Esperanza"/>
    <s v="Rico Molano"/>
    <s v="Ximena Esperanza Rico Molano"/>
    <s v="Master in Supply Chain Management"/>
    <s v="School of Management"/>
    <m/>
    <m/>
    <x v="0"/>
    <x v="2"/>
    <n v="202220"/>
    <n v="202220"/>
    <x v="1"/>
    <x v="0"/>
    <s v="Exchange Student Master"/>
    <x v="2"/>
    <s v="School of Management"/>
    <s v="Kühne Logistics University"/>
    <s v="KLU Kühne Logistics University"/>
    <s v="Específico"/>
    <s v="Germany"/>
    <s v="Europe"/>
    <d v="2022-08-08T00:00:00"/>
    <d v="2022-12-03T00:00:00"/>
    <n v="117"/>
  </r>
  <r>
    <s v="d.robledo1@uniandes.edu.co"/>
    <n v="201820439"/>
    <s v="Daniela"/>
    <s v="Robledo Neira"/>
    <s v="Daniela Robledo Neira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à degli Studi di Bologna 'Alma Mater Studiorum'"/>
    <s v="Università degli Studi di Bologna 'Alma Mater Studiorum'"/>
    <s v="General"/>
    <s v="Italy"/>
    <s v="Europe"/>
    <d v="2022-01-24T00:00:00"/>
    <d v="2022-05-28T00:00:00"/>
    <n v="124"/>
  </r>
  <r>
    <s v="j.roblesa@uniandes.edu.co"/>
    <n v="202013351"/>
    <s v="Juan Sebastian"/>
    <s v="Robles Arciniegas"/>
    <s v="Juan Sebastian Robles Arciniegas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2-01-24T00:00:00"/>
    <d v="2022-05-28T00:00:00"/>
    <n v="124"/>
  </r>
  <r>
    <s v="af.rodrigueza1@uniandes.edu.co"/>
    <n v="201821835"/>
    <s v="Andres Felipe"/>
    <s v="Rodriguez Alarcon"/>
    <s v="Andres Felipe Rodriguez Alarcon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2-01-24T00:00:00"/>
    <d v="2022-05-28T00:00:00"/>
    <n v="124"/>
  </r>
  <r>
    <s v="sm.rodriguezc@uniandes.edu.co"/>
    <n v="201923030"/>
    <s v="Sara Maria"/>
    <s v="Rodriguez Ceron"/>
    <s v="Sara Maria Rodriguez Ceron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IE Universidad"/>
    <s v="IE Instituto Empresa"/>
    <s v="Específico"/>
    <s v="Spain"/>
    <s v="Europe"/>
    <d v="2022-08-08T00:00:00"/>
    <d v="2022-12-03T00:00:00"/>
    <n v="117"/>
  </r>
  <r>
    <s v="am.rodriguez30@uniandes.edu.co"/>
    <n v="201812318"/>
    <s v="Ana Maria"/>
    <s v="Rodriguez Sandoval"/>
    <s v="Ana Maria Rodriguez Sandoval"/>
    <s v="International Accounting Bsc"/>
    <s v="School of Management"/>
    <s v="Administration Bsc"/>
    <s v="School of Management"/>
    <x v="0"/>
    <x v="2"/>
    <n v="202220"/>
    <n v="20222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2-08-08T00:00:00"/>
    <d v="2022-12-03T00:00:00"/>
    <n v="117"/>
  </r>
  <r>
    <s v="p.rubio@uniandes.edu.co"/>
    <n v="202013487"/>
    <s v="Paula Daniela"/>
    <s v="Rubio Daza"/>
    <s v="Paula Daniela Rubio Daza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Univerza v Ljubljani"/>
    <s v="University of Ljubljana"/>
    <s v="Específico"/>
    <s v="Slovenia"/>
    <s v="Europe"/>
    <d v="2022-08-08T00:00:00"/>
    <d v="2022-12-03T00:00:00"/>
    <n v="117"/>
  </r>
  <r>
    <s v="s.saenza@uniandes.edu.co"/>
    <n v="201815223"/>
    <s v="Santiago"/>
    <s v="Saenz Ariza"/>
    <s v="Santiago Saenz Ariza"/>
    <s v="Administration Bsc"/>
    <s v="School of Management"/>
    <m/>
    <m/>
    <x v="0"/>
    <x v="2"/>
    <n v="202219"/>
    <n v="202219"/>
    <x v="0"/>
    <x v="2"/>
    <s v="SURF"/>
    <x v="1"/>
    <s v="School of Management"/>
    <s v="Cornell University"/>
    <s v="Cornell University"/>
    <s v="General"/>
    <s v="United States"/>
    <s v="North America"/>
    <d v="2022-06-06T00:00:00"/>
    <d v="2022-07-30T00:00:00"/>
    <n v="54"/>
  </r>
  <r>
    <s v="s.salazar6@uniandes.edu.co"/>
    <n v="202013553"/>
    <s v="Simon"/>
    <s v="Salazar Meza"/>
    <s v="Simon Salazar Meza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Aston University"/>
    <s v="Aston University"/>
    <s v="Específico"/>
    <s v="United Kingdom"/>
    <s v="Europe"/>
    <d v="2022-08-08T00:00:00"/>
    <d v="2022-12-03T00:00:00"/>
    <n v="117"/>
  </r>
  <r>
    <s v="da.salazars@uniandes.edu.co"/>
    <n v="201821914"/>
    <s v="Daniel Alberto"/>
    <s v="Salazar Sfeir"/>
    <s v="Daniel Alberto Salazar Sfeir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Queen's University"/>
    <s v="Queens University School of Business"/>
    <s v="Específico"/>
    <s v="Canada"/>
    <s v="North America"/>
    <d v="2022-01-24T00:00:00"/>
    <d v="2022-05-28T00:00:00"/>
    <n v="124"/>
  </r>
  <r>
    <s v="lc.sanabria@uniandes.edu.co"/>
    <n v="201921925"/>
    <s v="Laura Catalina"/>
    <s v="Sanabria Jimenez"/>
    <s v="Laura Catalina Sanabria Jimen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EDHEC Business School"/>
    <s v="EDHEC Business School"/>
    <s v="Específico"/>
    <s v="France"/>
    <s v="Europe"/>
    <d v="2022-01-24T00:00:00"/>
    <d v="2022-05-28T00:00:00"/>
    <n v="124"/>
  </r>
  <r>
    <s v="n.sanchezr@uniandes.edu.co"/>
    <n v="201715713"/>
    <s v="Nicolas"/>
    <s v="Sanchez Rodriguez"/>
    <s v="Nicolas Sanchez Rodriguez"/>
    <s v="Civil Engineering Bsc"/>
    <s v="School of Engineering"/>
    <s v="Administration Bsc"/>
    <s v="School of Management"/>
    <x v="0"/>
    <x v="2"/>
    <n v="202210"/>
    <n v="202210"/>
    <x v="0"/>
    <x v="0"/>
    <s v="Exchange Student Undergraduate"/>
    <x v="1"/>
    <s v="School of Management"/>
    <s v="ESSEC Business School"/>
    <s v="ESSEC"/>
    <s v="Específico"/>
    <s v="France"/>
    <s v="Europe"/>
    <d v="2022-01-24T00:00:00"/>
    <d v="2022-05-28T00:00:00"/>
    <n v="124"/>
  </r>
  <r>
    <s v="a.sandoval@uniandes.edu.co"/>
    <n v="201821945"/>
    <s v="Antonia"/>
    <s v="Sandoval Devis"/>
    <s v="Antonia Sandoval Devis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2-08-08T00:00:00"/>
    <d v="2022-12-03T00:00:00"/>
    <n v="117"/>
  </r>
  <r>
    <s v="sa.cubillos@uniandes.edu.co"/>
    <n v="201729366"/>
    <s v="Cubillos Delgado"/>
    <s v="Santiago Alberto"/>
    <s v="Cubillos Delgado Santiago Alberto"/>
    <s v="Administration Bsc"/>
    <s v="School of Management"/>
    <m/>
    <m/>
    <x v="0"/>
    <x v="2"/>
    <n v="202210"/>
    <n v="202120"/>
    <x v="0"/>
    <x v="0"/>
    <s v="Exchange Student Undergraduate"/>
    <x v="1"/>
    <s v="School of Management"/>
    <s v="NEOMA Business School"/>
    <s v="ESC Rouen (NEOMA)"/>
    <s v="Específico"/>
    <s v="France"/>
    <s v="Europe"/>
    <d v="2022-01-24T00:00:00"/>
    <d v="2022-05-28T00:00:00"/>
    <n v="124"/>
  </r>
  <r>
    <s v="d.sierrav@uniandes.edu.co"/>
    <n v="201923195"/>
    <s v="Diego Andres"/>
    <s v="Sierra Vargas"/>
    <s v="Diego Andres Sierra Vargas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à degli Studi di Bologna 'Alma Mater Studiorum'"/>
    <s v="Università degli Studi di Bologna 'Alma Mater Studiorum'"/>
    <s v="General"/>
    <s v="Italy"/>
    <s v="Europe"/>
    <d v="2022-01-24T00:00:00"/>
    <d v="2022-05-28T00:00:00"/>
    <n v="124"/>
  </r>
  <r>
    <s v="mm.sotop@uniandes.edu.co"/>
    <n v="201731049"/>
    <s v="Manuela Maria"/>
    <s v="Soto Peñalosa"/>
    <s v="Manuela Maria Soto Peñalosa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IE Universidad"/>
    <s v="IE Instituto Empresa"/>
    <s v="Específico"/>
    <s v="Spain"/>
    <s v="Europe"/>
    <d v="2022-08-08T00:00:00"/>
    <d v="2022-12-03T00:00:00"/>
    <n v="117"/>
  </r>
  <r>
    <s v="mp.suarez20@uniandes.edu.co"/>
    <n v="201914560"/>
    <s v="Maria Paula"/>
    <s v="Suarez Bonilla"/>
    <s v="Maria Paula Suarez Bonilla"/>
    <s v="Administration Bsc"/>
    <s v="School of Management"/>
    <s v="Design Bsc"/>
    <s v="School of Architecture and Design"/>
    <x v="0"/>
    <x v="2"/>
    <n v="202220"/>
    <n v="202220"/>
    <x v="0"/>
    <x v="0"/>
    <s v="Exchange Student Undergraduate"/>
    <x v="1"/>
    <s v="School of Management"/>
    <s v="Université Laval"/>
    <s v="Faculté des Sciences de l'Administration. FSA Laval"/>
    <s v="Específico"/>
    <s v="Canada"/>
    <s v="North America"/>
    <d v="2022-08-08T00:00:00"/>
    <d v="2022-12-03T00:00:00"/>
    <n v="117"/>
  </r>
  <r>
    <s v="f.tellez@uniandes.edu.co"/>
    <n v="201823029"/>
    <s v="Felipe"/>
    <s v="Tellez Zuluaga"/>
    <s v="Felipe Tellez Zuluaga"/>
    <s v="Administration Bsc"/>
    <s v="School of Management"/>
    <s v="Economics Bsc"/>
    <s v="School of Economics"/>
    <x v="0"/>
    <x v="2"/>
    <n v="202220"/>
    <n v="2022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n.toro@uniandes.edu.co"/>
    <n v="201822007"/>
    <s v="Nicolas"/>
    <s v="Toro Sarmiento"/>
    <s v="Nicolas Toro Sarmiento"/>
    <s v="Administration Bsc"/>
    <s v="School of Management"/>
    <s v="Economics Bsc"/>
    <s v="School of Economics"/>
    <x v="0"/>
    <x v="2"/>
    <n v="202210"/>
    <n v="2022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1-24T00:00:00"/>
    <d v="2022-05-28T00:00:00"/>
    <n v="124"/>
  </r>
  <r>
    <s v="l.torresv@uniandes.edu.co"/>
    <n v="201924010"/>
    <s v="Lucas"/>
    <s v="Torres Villegas"/>
    <s v="Lucas Torres Villegas"/>
    <s v="Administration Bsc"/>
    <s v="School of Management"/>
    <m/>
    <m/>
    <x v="0"/>
    <x v="2"/>
    <n v="202220"/>
    <n v="202220"/>
    <x v="0"/>
    <x v="1"/>
    <s v="Double Degree"/>
    <x v="1"/>
    <s v="School of Management"/>
    <s v="Tilburg University"/>
    <s v="Universidad de Tilburg"/>
    <s v="Específico"/>
    <s v="Netherlands"/>
    <s v="Europe"/>
    <d v="2022-08-08T00:00:00"/>
    <d v="2022-12-03T00:00:00"/>
    <n v="117"/>
  </r>
  <r>
    <s v="g.trujillo@uniandes.edu.co"/>
    <n v="201730540"/>
    <s v="Gabriel"/>
    <s v="Trujillo Palacios"/>
    <s v="Gabriel Trujillo Palacios"/>
    <s v="Administration Bsc"/>
    <s v="School of Management"/>
    <s v="Law Bsc"/>
    <s v="School of Law"/>
    <x v="0"/>
    <x v="2"/>
    <n v="202220"/>
    <n v="2022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8-08T00:00:00"/>
    <d v="2022-12-03T00:00:00"/>
    <n v="117"/>
  </r>
  <r>
    <s v="t.trujillo@uniandes.edu.co"/>
    <n v="201815531"/>
    <s v="Thomas"/>
    <s v="Trujillo Velez"/>
    <s v="Thomas Trujillo Velez"/>
    <s v="Administration Bsc"/>
    <s v="School of Management"/>
    <m/>
    <m/>
    <x v="0"/>
    <x v="2"/>
    <n v="202210"/>
    <n v="202120"/>
    <x v="0"/>
    <x v="0"/>
    <s v="Exchange Student Undergraduate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2-01-24T00:00:00"/>
    <d v="2022-05-28T00:00:00"/>
    <n v="124"/>
  </r>
  <r>
    <s v="s.umana@uniandes.edu.co"/>
    <n v="201822037"/>
    <s v="Sebastian"/>
    <s v="Umaña Jimenez"/>
    <s v="Sebastian Umaña Jimenez"/>
    <s v="Administration Bsc"/>
    <s v="School of Management"/>
    <m/>
    <m/>
    <x v="0"/>
    <x v="2"/>
    <n v="202210"/>
    <n v="2021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2-01-24T00:00:00"/>
    <d v="2022-05-28T00:00:00"/>
    <n v="124"/>
  </r>
  <r>
    <s v="j.umanam@uniandes.edu.co"/>
    <n v="201923283"/>
    <s v="Juan Antonio"/>
    <s v="Umaña Malo"/>
    <s v="Juan Antonio Umaña Malo"/>
    <s v="Administration Bsc"/>
    <s v="School of Management"/>
    <s v="Digital Narrative Bsc"/>
    <s v="School of Arts and Humanities"/>
    <x v="0"/>
    <x v="2"/>
    <n v="202220"/>
    <n v="2022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2-08-08T00:00:00"/>
    <d v="2022-12-03T00:00:00"/>
    <n v="117"/>
  </r>
  <r>
    <s v="d.valenzuela@uniandes.edu.co"/>
    <n v="201923690"/>
    <s v="Daniel"/>
    <s v="Valenzuela Ariza"/>
    <s v="Daniel Valenzuela Ariza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ca.varela102@uniandes.edu.co"/>
    <n v="200722238"/>
    <s v="Camilo Andres"/>
    <s v="Varela Garcia"/>
    <s v="Camilo Andres Varela Garcia"/>
    <s v="Part - Time MBA"/>
    <s v="School of Management"/>
    <m/>
    <m/>
    <x v="0"/>
    <x v="2"/>
    <n v="202210"/>
    <n v="202210"/>
    <x v="1"/>
    <x v="0"/>
    <s v="Exchange Student Master"/>
    <x v="3"/>
    <s v="School of Management"/>
    <s v="Frankfurt School of Finance &amp; Management"/>
    <s v="Frankfurt School of Finance and Management"/>
    <s v="Específico"/>
    <s v="Germany"/>
    <s v="Europe"/>
    <d v="2022-01-24T00:00:00"/>
    <d v="2022-05-28T00:00:00"/>
    <n v="124"/>
  </r>
  <r>
    <s v="v.vargasr@uniandes.edu.co"/>
    <n v="201923331"/>
    <s v="Valentina"/>
    <s v="Vargas Rincon"/>
    <s v="Valentina Vargas Rincon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1-24T00:00:00"/>
    <d v="2022-05-28T00:00:00"/>
    <n v="124"/>
  </r>
  <r>
    <s v="ds.vargasv@uniandes.edu.co"/>
    <n v="201822327"/>
    <s v="Daniel"/>
    <s v="Vargas Venegas"/>
    <s v="Daniel Vargas Venegas"/>
    <s v="Administration Bsc"/>
    <s v="School of Management"/>
    <m/>
    <m/>
    <x v="0"/>
    <x v="2"/>
    <n v="202210"/>
    <n v="2021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2-01-24T00:00:00"/>
    <d v="2022-05-28T00:00:00"/>
    <n v="124"/>
  </r>
  <r>
    <s v="dc.vasquezb@uniandes.edu.co"/>
    <n v="201815611"/>
    <s v="Dana Catalina"/>
    <s v="Vasquez Ballesteros"/>
    <s v="Dana Catalina Vasquez Ballesteros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EDHEC Business School"/>
    <s v="EDHEC Business School"/>
    <s v="Específico"/>
    <s v="France"/>
    <s v="Europe"/>
    <d v="2022-01-24T00:00:00"/>
    <d v="2022-05-28T00:00:00"/>
    <n v="124"/>
  </r>
  <r>
    <s v="av.vega@uniandes.edu.co"/>
    <n v="201914792"/>
    <s v="Andrea Vanessa"/>
    <s v="Vega Hernandez"/>
    <s v="Andrea Vanessa Vega Hernandez"/>
    <s v="Government and Public Policy Bsc"/>
    <s v="Government School Alberto Lleras Camargo"/>
    <s v="Administration Bsc"/>
    <s v="School of Management"/>
    <x v="0"/>
    <x v="2"/>
    <n v="202220"/>
    <n v="202220"/>
    <x v="0"/>
    <x v="0"/>
    <s v="Exchange Student Undergraduate"/>
    <x v="1"/>
    <s v="School of Management"/>
    <s v="Universitat Ramon Llull"/>
    <s v="ESADE"/>
    <s v="Específico"/>
    <s v="Spain"/>
    <s v="Europe"/>
    <d v="2022-08-08T00:00:00"/>
    <d v="2022-12-03T00:00:00"/>
    <n v="117"/>
  </r>
  <r>
    <s v="a.velasquez@uniandes.edu.co"/>
    <n v="201822093"/>
    <s v="Andres"/>
    <s v="Velasquez Acosta"/>
    <s v="Andres Velasquez Acosta"/>
    <s v="Administration Bsc"/>
    <s v="School of Management"/>
    <m/>
    <m/>
    <x v="0"/>
    <x v="2"/>
    <n v="202210"/>
    <n v="2021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2-01-24T00:00:00"/>
    <d v="2022-05-28T00:00:00"/>
    <n v="124"/>
  </r>
  <r>
    <s v="s.velasquezm@uniandes.edu.co"/>
    <n v="201730611"/>
    <s v="Sofia"/>
    <s v="Velasquez Mejia"/>
    <s v="Sofia Velasquez Mejia"/>
    <s v="Civil Engineering Bsc"/>
    <s v="School of Engineering"/>
    <s v="Administration Bsc"/>
    <s v="School of Management"/>
    <x v="0"/>
    <x v="2"/>
    <n v="202210"/>
    <n v="20221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2-01-24T00:00:00"/>
    <d v="2022-05-28T00:00:00"/>
    <n v="124"/>
  </r>
  <r>
    <s v="j.villate@uniandes.edu.co"/>
    <n v="201632461"/>
    <s v="Juana"/>
    <s v="Villate Ricardo"/>
    <s v="Juana Villate Ricardo"/>
    <s v="Administration Bsc"/>
    <s v="School of Management"/>
    <s v="Design Bsc"/>
    <s v="School of Architecture and Design"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c.martinez27@uniandes.edu.co"/>
    <n v="202011085"/>
    <s v="Carlos Alberto"/>
    <s v="Martinez Herrera"/>
    <s v="Carlos Alberto Martinez Herrer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[no longer existing] Aalto-yliopisto"/>
    <s v="Aalto University"/>
    <s v="Específico"/>
    <s v="Finland"/>
    <s v="Europe"/>
    <d v="2023-01-23T00:00:00"/>
    <d v="2023-05-27T00:00:00"/>
    <n v="124"/>
  </r>
  <r>
    <s v="s.figueroaj@uniandes.edu.co"/>
    <n v="201922236"/>
    <s v="Sofia"/>
    <s v="Figueroa Jaramillo"/>
    <s v="Sofia Figueroa Jaramillo"/>
    <s v="Administration Bsc"/>
    <s v="School of Management"/>
    <m/>
    <m/>
    <x v="0"/>
    <x v="3"/>
    <n v="202310"/>
    <n v="202310"/>
    <x v="0"/>
    <x v="0"/>
    <s v="OSUN"/>
    <x v="1"/>
    <s v="School of Management"/>
    <s v="American University of Central Asia"/>
    <s v="American University of Central Asia"/>
    <s v="General"/>
    <s v="Kyrgyzstan"/>
    <s v="Asia"/>
    <d v="2023-01-23T00:00:00"/>
    <d v="2023-05-27T00:00:00"/>
    <n v="124"/>
  </r>
  <r>
    <s v="ks.reyes@uniandes.edu.co"/>
    <n v="201812055"/>
    <s v="Kevin Steven"/>
    <s v="Reyes Hernandez"/>
    <s v="Kevin Steven Reyes Hernandez"/>
    <s v="Administration Bsc"/>
    <s v="School of Management"/>
    <s v="Psychology Bsc"/>
    <s v="School of Social Sciences"/>
    <x v="0"/>
    <x v="3"/>
    <n v="202310"/>
    <n v="202310"/>
    <x v="0"/>
    <x v="0"/>
    <s v="Exchange Student Undergraduate"/>
    <x v="1"/>
    <s v="School of Management"/>
    <s v="Aston University"/>
    <s v="Aston University"/>
    <s v="Específico"/>
    <s v="United Kingdom"/>
    <s v="Europe"/>
    <d v="2023-01-23T00:00:00"/>
    <d v="2023-05-27T00:00:00"/>
    <n v="124"/>
  </r>
  <r>
    <s v="m.mejiag@uniandes.edu.co"/>
    <n v="202012645"/>
    <s v="Miguel Angel"/>
    <s v="Mejia Gomez"/>
    <s v="Miguel Angel Mejia Gom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Audencia Business School"/>
    <s v="Audencia. École de Management"/>
    <s v="Específico"/>
    <s v="France"/>
    <s v="Europe"/>
    <d v="2023-01-23T00:00:00"/>
    <d v="2023-05-27T00:00:00"/>
    <n v="124"/>
  </r>
  <r>
    <s v="n.blancoa@uniandes.edu.co"/>
    <n v="202020714"/>
    <s v="Natalia Maria"/>
    <s v="Blanco Angulo"/>
    <s v="Natalia Maria Blanco Angul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Audencia Business School"/>
    <s v="Audencia. École de Management"/>
    <s v="Específico"/>
    <s v="France"/>
    <s v="Europe"/>
    <d v="2023-01-23T00:00:00"/>
    <d v="2023-05-27T00:00:00"/>
    <n v="124"/>
  </r>
  <r>
    <s v="ca.martinezm1@uniandes.edu.co"/>
    <n v="201622073"/>
    <s v="Cesar Andres"/>
    <s v="Martinez Medina"/>
    <s v="Cesar Andres Martinez Medin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BI Handelshøyskolen"/>
    <s v="BI Norwegian Business School"/>
    <s v="Específico"/>
    <s v="Norway"/>
    <s v="Europe"/>
    <d v="2023-01-23T00:00:00"/>
    <d v="2023-05-27T00:00:00"/>
    <n v="124"/>
  </r>
  <r>
    <s v="c.puentesg@uniandes.edu.co"/>
    <n v="201913938"/>
    <s v="Catalina"/>
    <s v="Puentes Giraldo"/>
    <s v="Catalina Puentes Girald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BI Handelshøyskolen"/>
    <s v="BI Norwegian Business School"/>
    <s v="Específico"/>
    <s v="Norway"/>
    <s v="Europe"/>
    <d v="2023-01-23T00:00:00"/>
    <d v="2023-05-27T00:00:00"/>
    <n v="124"/>
  </r>
  <r>
    <s v="m.jaramillom@uniandes.edu.co"/>
    <n v="201922477"/>
    <s v="Miguel"/>
    <s v="Jaramillo Molano"/>
    <s v="Miguel Jaramillo Molan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City University of Hong Kong"/>
    <s v="City University of Hong Kong"/>
    <s v="Específico"/>
    <s v="China"/>
    <s v="Asia"/>
    <d v="2023-01-23T00:00:00"/>
    <d v="2023-05-27T00:00:00"/>
    <n v="124"/>
  </r>
  <r>
    <s v="j.alzateo@uniandes.edu.co"/>
    <n v="202020568"/>
    <s v="Juliana"/>
    <s v="Alzate Ordoñez"/>
    <s v="Juliana Alzate Ordoñ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3-01-23T00:00:00"/>
    <d v="2023-05-27T00:00:00"/>
    <n v="124"/>
  </r>
  <r>
    <s v="pa.tapia@uniandes.edu.co"/>
    <n v="201914594"/>
    <s v="Paula Alejandra"/>
    <s v="Tapia Esteban"/>
    <s v="Paula Alejandra Tapia Esteban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3-01-23T00:00:00"/>
    <d v="2023-05-27T00:00:00"/>
    <n v="124"/>
  </r>
  <r>
    <s v="Lf.daniels@uniandes.edu.co"/>
    <n v="201912183"/>
    <s v="Lina Fernanda"/>
    <s v="Daniels Hernandez"/>
    <s v="Lina Fernanda Daniels Hernandez"/>
    <s v="Economics Bsc"/>
    <s v="School of Economics"/>
    <s v="Administration Bsc"/>
    <s v="School of Management"/>
    <x v="0"/>
    <x v="3"/>
    <n v="202310"/>
    <n v="202310"/>
    <x v="0"/>
    <x v="0"/>
    <s v="Exchange Student Undergraduate"/>
    <x v="1"/>
    <s v="School of Management"/>
    <s v="EDHEC Business School"/>
    <s v="EDHEC Business School"/>
    <s v="Específico"/>
    <s v="France"/>
    <s v="Europe"/>
    <d v="2023-01-23T00:00:00"/>
    <d v="2023-05-27T00:00:00"/>
    <n v="124"/>
  </r>
  <r>
    <s v="j.paez2@uniandes.edu.co"/>
    <n v="202021752"/>
    <s v="Juliana"/>
    <s v="Paez Velez"/>
    <s v="Juliana Paez Vel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DHEC Business School"/>
    <s v="EDHEC Business School"/>
    <s v="Específico"/>
    <s v="France"/>
    <s v="Europe"/>
    <d v="2023-01-23T00:00:00"/>
    <d v="2023-05-27T00:00:00"/>
    <n v="124"/>
  </r>
  <r>
    <s v="n.nino3@uniandes.edu.co"/>
    <n v="201922757"/>
    <s v="Nicolas"/>
    <s v="Niño Gomez"/>
    <s v="Nicolas Niño Gom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SCP Europe"/>
    <s v="ESCP"/>
    <s v="Específico"/>
    <s v="France"/>
    <s v="Europe"/>
    <d v="2023-01-23T00:00:00"/>
    <d v="2023-05-27T00:00:00"/>
    <n v="124"/>
  </r>
  <r>
    <s v="v.soler@uniandes.edu.co"/>
    <n v="201923210"/>
    <s v="Valentina"/>
    <s v="Soler Salomon"/>
    <s v="Valentina Soler Salomon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SCP Europe"/>
    <s v="ESCP"/>
    <s v="Específico"/>
    <s v="France"/>
    <s v="Europe"/>
    <d v="2023-01-23T00:00:00"/>
    <d v="2023-05-27T00:00:00"/>
    <n v="124"/>
  </r>
  <r>
    <s v="j.joleanis@uniandes.edu.co"/>
    <n v="201922497"/>
    <s v="Juan Esteban"/>
    <s v="Joleanis Caycedo"/>
    <s v="Juan Esteban Joleanis Cayced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SSEC Business School"/>
    <s v="ESSEC"/>
    <s v="Específico"/>
    <s v="France"/>
    <s v="Europe"/>
    <d v="2023-01-23T00:00:00"/>
    <d v="2023-05-27T00:00:00"/>
    <n v="124"/>
  </r>
  <r>
    <s v="m.penaa@uniandes.edu.co"/>
    <n v="201922863"/>
    <s v="Maria Jose"/>
    <s v="Peña Agudelo"/>
    <s v="Maria Jose Peña Agudel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SSEC Business School"/>
    <s v="ESSEC"/>
    <s v="Específico"/>
    <s v="France"/>
    <s v="Europe"/>
    <d v="2023-01-23T00:00:00"/>
    <d v="2023-05-27T00:00:00"/>
    <n v="124"/>
  </r>
  <r>
    <s v="oc.mayorga@uniandes.edu.co"/>
    <n v="201913215"/>
    <s v="Oscar Camilo"/>
    <s v="Mayorga Segura"/>
    <s v="Oscar Camilo Mayorga Segura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Frankfurt School of Finance &amp; Management"/>
    <s v="Frankfurt School of Finance and Management"/>
    <s v="Específico"/>
    <s v="Germany"/>
    <s v="Europe"/>
    <d v="2023-01-23T00:00:00"/>
    <d v="2023-05-27T00:00:00"/>
    <n v="124"/>
  </r>
  <r>
    <s v="j.arce@uniandes.edu.co"/>
    <n v="202014993"/>
    <s v="Jenifer Alejandra"/>
    <s v="Arce Caceres"/>
    <s v="Jenifer Alejandra Arce Caceres"/>
    <s v="Administration Bsc"/>
    <s v="School of Management"/>
    <s v="Systems and Computing Engineering Bsc"/>
    <s v="School of Engineering"/>
    <x v="0"/>
    <x v="3"/>
    <n v="202310"/>
    <n v="202310"/>
    <x v="0"/>
    <x v="0"/>
    <s v="Exchange Student Undergraduate"/>
    <x v="1"/>
    <s v="School of Management"/>
    <s v="Fundação Getulio Vargas"/>
    <s v="Fundação Getulio Vargas"/>
    <s v="Específico"/>
    <s v="Brazil"/>
    <s v="South America"/>
    <d v="2023-01-23T00:00:00"/>
    <d v="2023-05-27T00:00:00"/>
    <n v="124"/>
  </r>
  <r>
    <s v="s.bernal3@uniandes.edu.co"/>
    <n v="201921912"/>
    <s v="Sabrina"/>
    <s v="Bernal Gomez"/>
    <s v="Sabrina Bernal Gom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Fundação Getulio Vargas"/>
    <s v="Fundação Getulio Vargas"/>
    <s v="Específico"/>
    <s v="Brazil"/>
    <s v="South America"/>
    <d v="2023-01-23T00:00:00"/>
    <d v="2023-05-27T00:00:00"/>
    <n v="124"/>
  </r>
  <r>
    <s v="jp.diazg1@uniandes.edu.co"/>
    <n v="202021003"/>
    <s v="Juan Pablo"/>
    <s v="Diaz Gamboa"/>
    <s v="Juan Pablo Diaz Gambo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Grenoble Ecole de Management"/>
    <s v="Grenoble. École de Management"/>
    <s v="Específico"/>
    <s v="France"/>
    <s v="Europe"/>
    <d v="2023-01-23T00:00:00"/>
    <d v="2023-05-27T00:00:00"/>
    <n v="124"/>
  </r>
  <r>
    <s v="bn.rivera11@uniandes.edu.co"/>
    <n v="201624136"/>
    <s v="Brayan Nicolas"/>
    <s v="Rivera Chiappe"/>
    <s v="Brayan Nicolas Rivera Chiappe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3-01-23T00:00:00"/>
    <d v="2023-05-27T00:00:00"/>
    <n v="124"/>
  </r>
  <r>
    <s v="jp.gutierrezp1@uniandes.edu.co"/>
    <n v="202011065"/>
    <s v="Juan Pablo"/>
    <s v="Gutierrez Pineda"/>
    <s v="Juan Pablo Gutierrez Pined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3-01-23T00:00:00"/>
    <d v="2023-05-27T00:00:00"/>
    <n v="124"/>
  </r>
  <r>
    <s v="d.romerom@uniandes.edu.co"/>
    <n v="202013460"/>
    <s v="Daniela"/>
    <s v="Romero Muriel"/>
    <s v="Daniela Romero Muriel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3-01-23T00:00:00"/>
    <d v="2023-05-27T00:00:00"/>
    <n v="124"/>
  </r>
  <r>
    <s v="i.camejo@uniandes.edu.co"/>
    <n v="202020784"/>
    <s v="Isabella"/>
    <s v="Camejo Jaimes"/>
    <s v="Isabella Camejo Jaimes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IE Universidad"/>
    <s v="IE Instituto Empresa"/>
    <s v="Específico"/>
    <s v="Spain"/>
    <s v="Europe"/>
    <d v="2023-01-23T00:00:00"/>
    <d v="2023-05-27T00:00:00"/>
    <n v="124"/>
  </r>
  <r>
    <s v="af.blanco@uniandes.edu.co"/>
    <n v="201820723"/>
    <s v="Andres Felipe"/>
    <s v="Blanco Ibarra"/>
    <s v="Andres Felipe Blanco Ibarra"/>
    <s v="Economics Bsc"/>
    <s v="School of Economics"/>
    <s v="Administration Bsc"/>
    <s v="School of Management"/>
    <x v="0"/>
    <x v="3"/>
    <n v="202310"/>
    <n v="202310"/>
    <x v="0"/>
    <x v="0"/>
    <s v="Exchange Student Undergraduate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3-01-23T00:00:00"/>
    <d v="2023-05-27T00:00:00"/>
    <n v="124"/>
  </r>
  <r>
    <s v="j.robayoh@uniandes.edu.co"/>
    <n v="202021981"/>
    <s v="Juanita"/>
    <s v="Robayo Herrera"/>
    <s v="Juanita Robayo Herrer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3-01-23T00:00:00"/>
    <d v="2023-05-27T00:00:00"/>
    <n v="124"/>
  </r>
  <r>
    <s v="jf.agudelo@uniandes.edu.co"/>
    <n v="201820550"/>
    <s v="Juan Felipe"/>
    <s v="Agudelo Silva"/>
    <s v="Juan Felipe Agudelo Silva"/>
    <s v="Economics Bsc"/>
    <s v="School of Economics"/>
    <s v="Administration Bsc"/>
    <s v="School of Management"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m.aristizabalr@uniandes.edu.co"/>
    <n v="201921583"/>
    <s v="Maria Alejandra"/>
    <s v="Aristizabal Rojas"/>
    <s v="Maria Alejandra Aristizabal Rojas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n.clavijo@uniandes.edu.co"/>
    <n v="201912057"/>
    <s v="Nicolas"/>
    <s v="Clavijo Valencia"/>
    <s v="Nicolas Clavijo Valenci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mj.contreras@uniandes.edu.co"/>
    <n v="201912081"/>
    <s v="Marcos Jose"/>
    <s v="Contreras Serrano"/>
    <s v="Marcos Jose Contreras Serrano"/>
    <s v="Administration Bsc"/>
    <s v="School of Management"/>
    <s v="Architecture Bsc"/>
    <s v="School of Architecture and Design"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e.duquee@uniandes.edu.co"/>
    <n v="201923754"/>
    <s v="Emilio"/>
    <s v="Duque Escobar"/>
    <s v="Emilio Duque Escobar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Mj.hernandezp@uniandes.Edu.co"/>
    <n v="201815766"/>
    <s v="Maria Jose"/>
    <s v="Hernandez Perez"/>
    <s v="Maria Jose Hernandez Perez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dc.ortizr@uniandes.edu.co"/>
    <n v="201923608"/>
    <s v="Diana Camila"/>
    <s v="Ortiz Rocha"/>
    <s v="Diana Camila Ortiz Roch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m.pardog@uniandes.edu.co"/>
    <n v="201922843"/>
    <s v="Mariana"/>
    <s v="Pardo Gaviria"/>
    <s v="Mariana Pardo Gaviri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s.maestre@uniandes.edu.co"/>
    <n v="201922587"/>
    <s v="Simon"/>
    <s v="Maestre Toro"/>
    <s v="Simon Maestre Tor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Nagoya University of Commerce and Business"/>
    <s v="NUCB- Nagoya University of commerce and business"/>
    <s v="Específico"/>
    <s v="Japan"/>
    <s v="Asia"/>
    <d v="2023-01-23T00:00:00"/>
    <d v="2023-05-27T00:00:00"/>
    <n v="124"/>
  </r>
  <r>
    <s v="js.lopezc1@uniandes.edu.co"/>
    <n v="201819983"/>
    <s v="Juan Sebastian"/>
    <s v="Lopez Cubillos"/>
    <s v="Juan Sebastian Lopez Cubillos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NEOMA Business School"/>
    <s v="ESC Rouen (NEOMA)"/>
    <s v="Específico"/>
    <s v="France"/>
    <s v="Europe"/>
    <d v="2023-01-23T00:00:00"/>
    <d v="2023-05-27T00:00:00"/>
    <n v="124"/>
  </r>
  <r>
    <s v="j.novoaw@uniandes.edu.co"/>
    <n v="201922763"/>
    <s v="Juan Felipe"/>
    <s v="Novoa Wilches"/>
    <s v="Juan Felipe Novoa Wilches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NEOMA Business School"/>
    <s v="ESC Rouen (NEOMA)"/>
    <s v="Específico"/>
    <s v="France"/>
    <s v="Europe"/>
    <d v="2023-01-23T00:00:00"/>
    <d v="2023-05-27T00:00:00"/>
    <n v="124"/>
  </r>
  <r>
    <s v="j.rodriguezl@uniandes.edu.co"/>
    <n v="201914203"/>
    <s v="Juliana"/>
    <s v="Rodriguez Leon"/>
    <s v="Juliana Rodriguez Leon"/>
    <s v="Administration Bsc"/>
    <s v="School of Management"/>
    <s v="Design Bsc"/>
    <s v="School of Architecture and Design"/>
    <x v="0"/>
    <x v="3"/>
    <n v="202310"/>
    <n v="202310"/>
    <x v="0"/>
    <x v="0"/>
    <s v="Exchange Student Undergraduate"/>
    <x v="1"/>
    <s v="School of Management"/>
    <s v="NEOMA Business School"/>
    <s v="ESC Rouen (NEOMA)"/>
    <s v="Específico"/>
    <s v="France"/>
    <s v="Europe"/>
    <d v="2023-01-23T00:00:00"/>
    <d v="2023-05-27T00:00:00"/>
    <n v="124"/>
  </r>
  <r>
    <s v="ja.velasquez@uniandes.edu.co"/>
    <n v="201822094"/>
    <s v="Juan Andres"/>
    <s v="Velasquez Fierro"/>
    <s v="Juan Andres Velasquez Fierro"/>
    <s v="Economics Bsc"/>
    <s v="School of Economics"/>
    <s v="Administration Bsc"/>
    <s v="School of Management"/>
    <x v="0"/>
    <x v="3"/>
    <n v="202310"/>
    <n v="202310"/>
    <x v="0"/>
    <x v="0"/>
    <s v="Exchange Student Undergraduate"/>
    <x v="1"/>
    <s v="School of Management"/>
    <s v="Northumbria University, Newcastle"/>
    <s v="Northumbria University, Newcastle"/>
    <s v="General"/>
    <s v="United Kingdom"/>
    <s v="Europe"/>
    <d v="2023-01-23T00:00:00"/>
    <d v="2023-05-27T00:00:00"/>
    <n v="124"/>
  </r>
  <r>
    <s v="p.villegasq@uniandes.edu.co"/>
    <n v="202022371"/>
    <s v="Pablo"/>
    <s v="Villegas Quintana"/>
    <s v="Pablo Villegas Quintan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Nagoya University of Commerce and Business"/>
    <s v="NUCB- Nagoya University of commerce and business"/>
    <s v="Específico"/>
    <s v="Japan"/>
    <s v="Asia"/>
    <d v="2023-01-23T00:00:00"/>
    <d v="2023-05-27T00:00:00"/>
    <n v="124"/>
  </r>
  <r>
    <s v="v.leon@uniandes.edu.co"/>
    <n v="201912995"/>
    <s v="Valeria"/>
    <s v="Leon Niño"/>
    <s v="Valeria Leon Niñ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Politecnico di Milano"/>
    <s v="Politecnico di Milano"/>
    <s v="Específico"/>
    <s v="Italy"/>
    <s v="Europe"/>
    <d v="2023-01-23T00:00:00"/>
    <d v="2023-05-27T00:00:00"/>
    <n v="124"/>
  </r>
  <r>
    <s v="cc.mojica@uniandes.edu.co"/>
    <n v="201822237"/>
    <s v="Cristhian Camilo"/>
    <s v="Mojica Sandoval"/>
    <s v="Cristhian Camilo Mojica Sandoval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Politecnico di Milano"/>
    <s v="Politecnico di Milano"/>
    <s v="Específico"/>
    <s v="Italy"/>
    <s v="Europe"/>
    <d v="2023-01-23T00:00:00"/>
    <d v="2023-05-27T00:00:00"/>
    <n v="124"/>
  </r>
  <r>
    <s v="pa.quintana@uniandes.edu.co"/>
    <n v="201913968"/>
    <s v="Paula Alejandra"/>
    <s v="Quintana Amores"/>
    <s v="Paula Alejandra Quintana Amores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Politecnico di Milano"/>
    <s v="Politecnico di Milano"/>
    <s v="Específico"/>
    <s v="Italy"/>
    <s v="Europe"/>
    <d v="2023-01-23T00:00:00"/>
    <d v="2023-05-27T00:00:00"/>
    <n v="124"/>
  </r>
  <r>
    <s v="sa.pinerosg@uniandes.edu.co"/>
    <n v="201913892"/>
    <s v="Santiago Alejandro"/>
    <s v="Piñeros Guzman"/>
    <s v="Santiago Alejandro Piñeros Guzman"/>
    <s v="Administration Bsc"/>
    <s v="School of Management"/>
    <m/>
    <m/>
    <x v="0"/>
    <x v="3"/>
    <n v="202310"/>
    <n v="202310"/>
    <x v="0"/>
    <x v="0"/>
    <s v="CINDA"/>
    <x v="1"/>
    <s v="School of Management"/>
    <s v="Pontificia Universidad Católica del Perú"/>
    <s v="Pontificia Universidad Católica del Perú"/>
    <s v="General"/>
    <s v="Peru"/>
    <s v="South America"/>
    <d v="2023-01-23T00:00:00"/>
    <d v="2023-05-27T00:00:00"/>
    <n v="124"/>
  </r>
  <r>
    <s v="a.spadei@uniandes.edu.co"/>
    <n v="202022187"/>
    <s v="Angelina"/>
    <s v="Spadei Escalante"/>
    <s v="Angelina Spadei Escalante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Tilburg University"/>
    <s v="Universidad de Tilburg"/>
    <s v="Específico"/>
    <s v="Netherlands"/>
    <s v="Europe"/>
    <d v="2023-01-23T00:00:00"/>
    <d v="2023-05-27T00:00:00"/>
    <n v="124"/>
  </r>
  <r>
    <s v="v.cifuenteso@uniandes.edu.co"/>
    <n v="201922091"/>
    <s v="Verónica"/>
    <s v="Cifuentes Ortega"/>
    <s v="Verónica Cifuentes Orteg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3-01-23T00:00:00"/>
    <d v="2023-05-27T00:00:00"/>
    <n v="124"/>
  </r>
  <r>
    <s v="s.torresc1@uniandes.edu.co"/>
    <n v="201711058"/>
    <s v="Sebastian"/>
    <s v="Torres Carvajal"/>
    <s v="Sebastian Torres Carvajal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3-01-23T00:00:00"/>
    <d v="2023-05-27T00:00:00"/>
    <n v="124"/>
  </r>
  <r>
    <s v="m.vacca@uniandes.edu.co"/>
    <n v="202013791"/>
    <s v="Maria Alejandra"/>
    <s v="Vacca Parada"/>
    <s v="Maria Alejandra Vacca Parada"/>
    <s v="Administration Bsc"/>
    <s v="School of Management"/>
    <s v="Psychology Bsc"/>
    <s v="School of Social Sciences"/>
    <x v="0"/>
    <x v="3"/>
    <n v="202310"/>
    <n v="2023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3-01-23T00:00:00"/>
    <d v="2023-05-27T00:00:00"/>
    <n v="124"/>
  </r>
  <r>
    <s v="s.fernandez4@uniandes.edu.co"/>
    <n v="201922227"/>
    <s v="Sophie"/>
    <s v="Fernandez Leal"/>
    <s v="Sophie Fernandez Leal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3-01-23T00:00:00"/>
    <d v="2023-05-27T00:00:00"/>
    <n v="124"/>
  </r>
  <r>
    <s v="jd.osso@uniandes.edu.co"/>
    <n v="201913646"/>
    <s v="Juan Diego"/>
    <s v="Osso Rodriguez"/>
    <s v="Juan Diego Osso Rodriguez"/>
    <s v="Economics Bsc"/>
    <s v="School of Economics"/>
    <s v="Administration Bsc"/>
    <s v="School of Management"/>
    <x v="0"/>
    <x v="3"/>
    <n v="202310"/>
    <n v="20231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3-01-23T00:00:00"/>
    <d v="2023-05-27T00:00:00"/>
    <n v="124"/>
  </r>
  <r>
    <s v="a.pardoa@uniandes.edu.co"/>
    <n v="201922840"/>
    <s v="Andrea Catalina"/>
    <s v="Pardo Agudelo"/>
    <s v="Andrea Catalina Pardo Agudel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3-01-23T00:00:00"/>
    <d v="2023-05-27T00:00:00"/>
    <n v="124"/>
  </r>
  <r>
    <s v="lg.giraldo@uniandes.edu.co"/>
    <n v="201720451"/>
    <s v="Luna Gabriela"/>
    <s v="Giraldo Sabogal"/>
    <s v="Luna Gabriela Giraldo Sabogal"/>
    <s v="Arts Bsc"/>
    <s v="School of Arts and Humanities"/>
    <s v="Administration Bsc"/>
    <s v="School of Management"/>
    <x v="0"/>
    <x v="3"/>
    <n v="202310"/>
    <n v="202310"/>
    <x v="0"/>
    <x v="0"/>
    <s v="CINDA"/>
    <x v="1"/>
    <s v="School of Management"/>
    <s v="Universidad de Cantabria"/>
    <s v="Universidad de Cantabria"/>
    <s v="General"/>
    <s v="Spain"/>
    <s v="Europe"/>
    <d v="2023-01-23T00:00:00"/>
    <d v="2023-05-27T00:00:00"/>
    <n v="124"/>
  </r>
  <r>
    <s v="t.camacho@uniandes.edu.co"/>
    <n v="201820804"/>
    <s v="Tomas"/>
    <s v="Camacho Bustamante"/>
    <s v="Tomas Camacho Bustamante"/>
    <s v="Administration Bsc"/>
    <s v="School of Management"/>
    <m/>
    <m/>
    <x v="0"/>
    <x v="3"/>
    <n v="202310"/>
    <n v="202310"/>
    <x v="0"/>
    <x v="0"/>
    <s v="CINDA"/>
    <x v="1"/>
    <s v="School of Management"/>
    <s v="Universidad de Málaga"/>
    <s v="Universidad de Málaga"/>
    <s v="General"/>
    <s v="Spain"/>
    <s v="Europe"/>
    <d v="2023-01-23T00:00:00"/>
    <d v="2023-05-27T00:00:00"/>
    <n v="124"/>
  </r>
  <r>
    <s v="v.silvac@uniandes.edu.co"/>
    <n v="201910513"/>
    <s v="Valentina"/>
    <s v="Silva Coa"/>
    <s v="Valentina Silva Coa"/>
    <s v="Administration Bsc"/>
    <s v="School of Management"/>
    <m/>
    <m/>
    <x v="0"/>
    <x v="3"/>
    <n v="202310"/>
    <n v="202310"/>
    <x v="0"/>
    <x v="0"/>
    <s v="CINDA"/>
    <x v="1"/>
    <s v="School of Management"/>
    <s v="Universidad de Málaga"/>
    <s v="Universidad de Málaga"/>
    <s v="General"/>
    <s v="Spain"/>
    <s v="Europe"/>
    <d v="2023-01-23T00:00:00"/>
    <d v="2023-05-27T00:00:00"/>
    <n v="124"/>
  </r>
  <r>
    <s v="m.nicholls@uniandes.edu.co"/>
    <n v="202014606"/>
    <s v="Marianne"/>
    <s v="Nicholls Franco"/>
    <s v="Marianne Nicholls Franc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dad del Pacífico, Lima"/>
    <s v="Universidad del Pacífico"/>
    <s v="Específico"/>
    <s v="Peru"/>
    <s v="South America"/>
    <d v="2023-01-23T00:00:00"/>
    <d v="2023-05-27T00:00:00"/>
    <n v="124"/>
  </r>
  <r>
    <s v="j.arangod@uniandes.edu.co"/>
    <n v="202020598"/>
    <s v="Juliana"/>
    <s v="Arango Diaz"/>
    <s v="Juliana Arango Diaz"/>
    <s v="Administration Bsc"/>
    <s v="School of Management"/>
    <s v="Law Bsc"/>
    <s v="School of Law"/>
    <x v="0"/>
    <x v="3"/>
    <n v="202310"/>
    <n v="2023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3-01-23T00:00:00"/>
    <d v="2023-05-27T00:00:00"/>
    <n v="124"/>
  </r>
  <r>
    <s v="s.lopez1@uniandes.edu.co"/>
    <n v="201923571"/>
    <s v="Simon"/>
    <s v="Lopez Orrego"/>
    <s v="Simon Lopez Orreg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3-01-23T00:00:00"/>
    <d v="2023-05-27T00:00:00"/>
    <n v="124"/>
  </r>
  <r>
    <s v="s.tamayob@uniandes.edu.co"/>
    <n v="202022215"/>
    <s v="Sara Alejandra"/>
    <s v="Tamayo Barrios"/>
    <s v="Sara Alejandra Tamayo Barrios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3-01-23T00:00:00"/>
    <d v="2023-05-27T00:00:00"/>
    <n v="124"/>
  </r>
  <r>
    <s v="j.ortizc@uniandes.edu.co"/>
    <n v="201922798"/>
    <s v="Juanita Catalina"/>
    <s v="Ortiz Caballero"/>
    <s v="Juanita Catalina Ortiz Caballero"/>
    <s v="Government and Public Policy Bsc"/>
    <s v="Government School Alberto Lleras Camargo"/>
    <s v="Administration Bsc"/>
    <s v="School of Management"/>
    <x v="0"/>
    <x v="3"/>
    <n v="202310"/>
    <n v="20231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3-01-23T00:00:00"/>
    <d v="2023-05-27T00:00:00"/>
    <n v="124"/>
  </r>
  <r>
    <s v="m.vargas21@uniandes.edu.co"/>
    <n v="202022298"/>
    <s v="Mariana"/>
    <s v="Vargas Carrizosa"/>
    <s v="Mariana Vargas Carrizos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3-01-23T00:00:00"/>
    <d v="2023-05-27T00:00:00"/>
    <n v="124"/>
  </r>
  <r>
    <s v="a.villadiego@uniandes.edu.co"/>
    <n v="201923367"/>
    <s v="Alejandro"/>
    <s v="Villadiego Barreto"/>
    <s v="Alejandro Villadiego Barret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à degli Studi di Bologna 'Alma Mater Studiorum'"/>
    <s v="Università degli Studi di Bologna 'Alma Mater Studiorum'"/>
    <s v="General"/>
    <s v="Italy"/>
    <s v="Europe"/>
    <d v="2023-01-23T00:00:00"/>
    <d v="2023-05-27T00:00:00"/>
    <n v="124"/>
  </r>
  <r>
    <s v="s.zuluagam@uniandes.edu.co"/>
    <n v="201822150"/>
    <s v="Sofía"/>
    <s v="Zuluaga Montoya"/>
    <s v="Sofía Zuluaga Montoya"/>
    <s v="Administration Bsc"/>
    <s v="School of Management"/>
    <m/>
    <m/>
    <x v="0"/>
    <x v="3"/>
    <n v="202310"/>
    <n v="202310"/>
    <x v="0"/>
    <x v="0"/>
    <s v="CINDA"/>
    <x v="1"/>
    <s v="School of Management"/>
    <s v="Università degli Studi di Genova"/>
    <s v="Università degli Studi di Genova"/>
    <s v="General"/>
    <s v="Italy"/>
    <s v="Europe"/>
    <d v="2023-01-23T00:00:00"/>
    <d v="2023-05-27T00:00:00"/>
    <n v="124"/>
  </r>
  <r>
    <s v="m.gonzalez44@uniandes.edu.co"/>
    <n v="202021218"/>
    <s v="Mateo"/>
    <s v="González Granados"/>
    <s v="Mateo González Granados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3-01-23T00:00:00"/>
    <d v="2023-05-27T00:00:00"/>
    <n v="124"/>
  </r>
  <r>
    <s v="l.millanp@uniandes.edu.co"/>
    <n v="202012689"/>
    <s v="Laura Camila"/>
    <s v="Millán Patiño"/>
    <s v="Laura Camila Millán Patiñ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3-01-23T00:00:00"/>
    <d v="2023-05-27T00:00:00"/>
    <n v="124"/>
  </r>
  <r>
    <s v="da.avilaa@uniandes.edu.co"/>
    <n v="201911476"/>
    <s v="Diego Alejandro"/>
    <s v="Avila Avila"/>
    <s v="Diego Alejandro Avila Avila"/>
    <s v="Administration Bsc"/>
    <s v="School of Management"/>
    <m/>
    <m/>
    <x v="0"/>
    <x v="3"/>
    <n v="202310"/>
    <n v="202310"/>
    <x v="0"/>
    <x v="0"/>
    <s v="CINDA"/>
    <x v="1"/>
    <s v="School of Management"/>
    <s v="Universitat Politècnica de Catalunya"/>
    <s v="Universitat Politècnica de Catalunya"/>
    <s v="General"/>
    <s v="Spain"/>
    <s v="Europe"/>
    <d v="2023-01-23T00:00:00"/>
    <d v="2023-05-27T00:00:00"/>
    <n v="124"/>
  </r>
  <r>
    <s v="t.morenog@uniandes.edu.co"/>
    <n v="202021605"/>
    <s v="Tomás"/>
    <s v="Moreno Garces"/>
    <s v="Tomás Moreno Garces"/>
    <s v="Administration Bsc"/>
    <s v="School of Management"/>
    <m/>
    <m/>
    <x v="0"/>
    <x v="3"/>
    <n v="202310"/>
    <n v="202310"/>
    <x v="0"/>
    <x v="0"/>
    <s v="CINDA"/>
    <x v="1"/>
    <s v="School of Management"/>
    <s v="Universitat Politècnica de Catalunya"/>
    <s v="Universitat Politècnica de Catalunya"/>
    <s v="General"/>
    <s v="Spain"/>
    <s v="Europe"/>
    <d v="2023-01-23T00:00:00"/>
    <d v="2023-05-27T00:00:00"/>
    <n v="124"/>
  </r>
  <r>
    <s v="a.portillao@uniandes.edu.co"/>
    <n v="201921122"/>
    <s v="Andres Mauricio"/>
    <s v="Portilla Ossa"/>
    <s v="Andres Mauricio Portilla Oss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at Ramon Llull"/>
    <s v="ESADE"/>
    <s v="Específico"/>
    <s v="Spain"/>
    <s v="Europe"/>
    <d v="2023-01-23T00:00:00"/>
    <d v="2023-05-27T00:00:00"/>
    <n v="124"/>
  </r>
  <r>
    <s v="I.rodriguez5@uniandes.edu.co"/>
    <n v="201923038"/>
    <s v="Isabela"/>
    <s v="Rodriguez Padilla"/>
    <s v="Isabela Rodriguez Padill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at Ramon Llull"/>
    <s v="ESADE"/>
    <s v="Específico"/>
    <s v="Spain"/>
    <s v="Europe"/>
    <d v="2023-01-23T00:00:00"/>
    <d v="2023-05-27T00:00:00"/>
    <n v="124"/>
  </r>
  <r>
    <s v="j.diaz39@uniandes.edu.co"/>
    <n v="202011982"/>
    <s v="Juan Sebastian"/>
    <s v="Diaz Riaño"/>
    <s v="Juan Sebastian Diaz Riañ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3-01-23T00:00:00"/>
    <d v="2023-05-27T00:00:00"/>
    <n v="124"/>
  </r>
  <r>
    <s v="mc.angel@uniandes.edu.co"/>
    <n v="201911346"/>
    <s v="Maria Camila"/>
    <s v="Angel Jimenez"/>
    <s v="Maria Camila Angel Jimenez"/>
    <s v="Administration Bsc"/>
    <s v="School of Management"/>
    <s v="Design Bsc"/>
    <s v="School of Architecture and Design"/>
    <x v="0"/>
    <x v="3"/>
    <n v="202310"/>
    <n v="202310"/>
    <x v="0"/>
    <x v="0"/>
    <s v="Exchange Student Undergraduate"/>
    <x v="1"/>
    <s v="School of Management"/>
    <s v="Université de Lausanne"/>
    <s v="HEC Lausanne"/>
    <s v="Específico"/>
    <s v="Switzerland"/>
    <s v="Europe"/>
    <d v="2023-01-23T00:00:00"/>
    <d v="2023-05-27T00:00:00"/>
    <n v="124"/>
  </r>
  <r>
    <s v="p.estrada@uniandes.edu.co"/>
    <n v="201822737"/>
    <s v="Pablo"/>
    <s v="Estrada Chaves"/>
    <s v="Pablo Estrada Chaves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Université de Lausanne"/>
    <s v="HEC Lausanne"/>
    <s v="Específico"/>
    <s v="Switzerland"/>
    <s v="Europe"/>
    <d v="2023-01-23T00:00:00"/>
    <d v="2023-05-27T00:00:00"/>
    <n v="124"/>
  </r>
  <r>
    <s v="m.perdomoh@uniandes.edu.co"/>
    <n v="201922879"/>
    <s v="Mariana"/>
    <s v="Perdomo Henao"/>
    <s v="Mariana Perdomo Hena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é de Lausanne"/>
    <s v="HEC Lausanne"/>
    <s v="Específico"/>
    <s v="Switzerland"/>
    <s v="Europe"/>
    <d v="2023-01-23T00:00:00"/>
    <d v="2023-05-27T00:00:00"/>
    <n v="124"/>
  </r>
  <r>
    <s v="c.arrazola@uniandes.edu.co"/>
    <n v="201822627"/>
    <s v="Cristina"/>
    <s v="Arrazola Davidson"/>
    <s v="Cristina Arrazola Davidson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é de Strasbourg"/>
    <s v="EM Strasbourg"/>
    <s v="Específico"/>
    <s v="France"/>
    <s v="Europe"/>
    <d v="2023-01-23T00:00:00"/>
    <d v="2023-05-27T00:00:00"/>
    <n v="124"/>
  </r>
  <r>
    <s v="m.molinar@uniandes.edu.co"/>
    <n v="202021563"/>
    <s v="Maria Camila"/>
    <s v="Molina Restrepo"/>
    <s v="Maria Camila Molina Restrep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é de Strasbourg"/>
    <s v="EM Strasbourg"/>
    <s v="Específico"/>
    <s v="France"/>
    <s v="Europe"/>
    <d v="2023-01-23T00:00:00"/>
    <d v="2023-05-27T00:00:00"/>
    <n v="124"/>
  </r>
  <r>
    <s v="ga.amado@uniandes.edu.co"/>
    <n v="201820577"/>
    <s v="Gabriel Alonso"/>
    <s v="Amado Carvajalino"/>
    <s v="Gabriel Alonso Amado Carvajalino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Université Grenoble Alpes"/>
    <s v="Grenoble. École de Management"/>
    <s v="Específico"/>
    <s v="France"/>
    <s v="Europe"/>
    <d v="2023-01-23T00:00:00"/>
    <d v="2023-05-27T00:00:00"/>
    <n v="124"/>
  </r>
  <r>
    <s v="me.palacio@uniandes.edu.co"/>
    <n v="201913690"/>
    <s v="Mateo Esteban"/>
    <s v="Palacio Martinez"/>
    <s v="Mateo Esteban Palacio Martin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é Laval"/>
    <s v="Faculté des Sciences de l'Administration. FSA Laval"/>
    <s v="Específico"/>
    <s v="Canada"/>
    <s v="North America"/>
    <d v="2023-01-23T00:00:00"/>
    <d v="2023-05-27T00:00:00"/>
    <n v="124"/>
  </r>
  <r>
    <s v="d.gomez29@uniandes.edu.co"/>
    <n v="201920911"/>
    <s v="Daniel"/>
    <s v="Gomez Vega"/>
    <s v="Daniel Gomez Veg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y College London"/>
    <s v="University College London"/>
    <s v="General"/>
    <s v="United Kingdom"/>
    <s v="Europe"/>
    <d v="2023-01-23T00:00:00"/>
    <d v="2023-05-27T00:00:00"/>
    <n v="124"/>
  </r>
  <r>
    <s v="s.martinez39@uniandes.edu.co"/>
    <n v="202011088"/>
    <s v="Santiago"/>
    <s v="Martinez Hernandez"/>
    <s v="Santiago Martinez Hernand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za v Ljubljani"/>
    <s v="University of Ljubljana"/>
    <s v="Específico"/>
    <s v="Slovenia"/>
    <s v="Europe"/>
    <d v="2023-01-23T00:00:00"/>
    <d v="2023-05-27T00:00:00"/>
    <n v="124"/>
  </r>
  <r>
    <s v="s.molinao@uniandes.edu.co"/>
    <n v="202021561"/>
    <s v="Sebastian"/>
    <s v="Molina Ortiz"/>
    <s v="Sebastian Molina Ortiz"/>
    <s v="Administration Bsc"/>
    <s v="School of Management"/>
    <m/>
    <m/>
    <x v="0"/>
    <x v="3"/>
    <n v="202319"/>
    <n v="202319"/>
    <x v="0"/>
    <x v="2"/>
    <s v="SURF"/>
    <x v="1"/>
    <s v="School of Management"/>
    <s v="Cornell University"/>
    <s v="Cornell University"/>
    <s v="General"/>
    <s v="United States"/>
    <s v="North America"/>
    <d v="2023-06-05T00:00:00"/>
    <d v="2023-07-29T00:00:00"/>
    <n v="54"/>
  </r>
  <r>
    <s v="g.becerrag@uniandes.edu.co"/>
    <n v="202020686"/>
    <s v="Gabriel Alejandro"/>
    <s v="Becerra Giraldo"/>
    <s v="Gabriel Alejandro Becerra Girald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Aalto-yliopisto"/>
    <s v="Aalto University"/>
    <s v="Específico"/>
    <s v="Finland"/>
    <s v="Europe"/>
    <d v="2023-08-08T00:00:00"/>
    <d v="2023-12-02T00:00:00"/>
    <n v="116"/>
  </r>
  <r>
    <s v="s.martinezt@uniandes.edu.co"/>
    <n v="202012626"/>
    <s v="Simon Andres"/>
    <s v="Martinez Talero"/>
    <s v="Simon Andres Martinez Talero"/>
    <s v="Administration Bsc"/>
    <s v="School of Management"/>
    <s v="Design Bsc"/>
    <s v="School of Architecture and Design"/>
    <x v="0"/>
    <x v="3"/>
    <n v="202320"/>
    <n v="202320"/>
    <x v="0"/>
    <x v="0"/>
    <s v="Exchange Student Undergraduate"/>
    <x v="1"/>
    <s v="School of Management"/>
    <s v="Aston University"/>
    <s v="Aston University"/>
    <s v="Específico"/>
    <s v="United Kingdom"/>
    <s v="Europe"/>
    <d v="2023-08-08T00:00:00"/>
    <d v="2023-12-02T00:00:00"/>
    <n v="116"/>
  </r>
  <r>
    <s v="j.jimenez20@uniandes.edu.co"/>
    <n v="202021339"/>
    <s v="Joaquín "/>
    <s v="Jiménez Rubio"/>
    <s v="Joaquín  Jiménez Rubi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Aston University"/>
    <s v="Aston University"/>
    <s v="Específico"/>
    <s v="United Kingdom"/>
    <s v="Europe"/>
    <d v="2023-08-08T00:00:00"/>
    <d v="2023-12-02T00:00:00"/>
    <n v="116"/>
  </r>
  <r>
    <s v="p.lopezz@uniandes.edu.co"/>
    <n v="202021420"/>
    <s v="Paula Sophia"/>
    <s v="Lopez Zaldua"/>
    <s v="Paula Sophia Lopez Zaldu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Audencia Nantes - Ecole de Management"/>
    <s v="Audencia. École de Management"/>
    <s v="Específico"/>
    <s v="France"/>
    <s v="Europe"/>
    <d v="2023-08-08T00:00:00"/>
    <d v="2023-12-02T00:00:00"/>
    <n v="116"/>
  </r>
  <r>
    <s v="lj.pereza1@uniandes.edu.co"/>
    <n v="202110101"/>
    <s v="Leydy Johana"/>
    <s v="Perez Alzate"/>
    <s v="Leydy Johana Perez Alzate"/>
    <s v="Master in Supply Chain Management_x0009_"/>
    <s v="School of Management"/>
    <m/>
    <m/>
    <x v="0"/>
    <x v="3"/>
    <n v="202320"/>
    <n v="202320"/>
    <x v="1"/>
    <x v="0"/>
    <s v="OSUN"/>
    <x v="2"/>
    <s v="School of Management"/>
    <s v="Central European University"/>
    <s v="Central European University"/>
    <s v="General"/>
    <s v="Austria"/>
    <s v="Europe"/>
    <d v="2023-08-08T00:00:00"/>
    <d v="2023-12-02T00:00:00"/>
    <n v="116"/>
  </r>
  <r>
    <s v="s.vallejog@uniandes.edu.co"/>
    <n v="202022290"/>
    <s v="Samuel "/>
    <s v="Vallejo Gomez"/>
    <s v="Samuel  Vallejo Gom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City University of Hong Kong"/>
    <s v="City University of Hong Kong"/>
    <s v="Específico"/>
    <s v="China"/>
    <s v="Asia"/>
    <d v="2023-08-08T00:00:00"/>
    <d v="2023-12-02T00:00:00"/>
    <n v="116"/>
  </r>
  <r>
    <s v="da.cotrino@uniandes.edu.co"/>
    <n v="201820957"/>
    <s v="Daniela Antonia"/>
    <s v="Cotrino Venegas"/>
    <s v="Daniela Antonia Cotrino Venegas"/>
    <s v="Administration Bsc"/>
    <s v="School of Management"/>
    <s v="Psychology Bsc"/>
    <s v="School of Social Sciences"/>
    <x v="0"/>
    <x v="3"/>
    <n v="202320"/>
    <n v="202320"/>
    <x v="0"/>
    <x v="0"/>
    <s v="Exchange Student Undergraduate"/>
    <x v="1"/>
    <s v="School of Management"/>
    <s v="Curtin University"/>
    <s v="Curtin University"/>
    <s v="General"/>
    <s v="Australia"/>
    <s v="Oceania"/>
    <d v="2023-08-08T00:00:00"/>
    <d v="2023-12-02T00:00:00"/>
    <n v="116"/>
  </r>
  <r>
    <s v="s.escobar20@uniandes.edu.co"/>
    <n v="202012032"/>
    <s v="Stephania "/>
    <s v="Escobar Mejia"/>
    <s v="Stephania  Escobar Meji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3-08-08T00:00:00"/>
    <d v="2023-12-02T00:00:00"/>
    <n v="116"/>
  </r>
  <r>
    <s v="s.garcia2@uniandes.edu.co"/>
    <n v="201922310"/>
    <s v="Santiago"/>
    <s v="Garcia Velasquez"/>
    <s v="Santiago Garcia Velasquez"/>
    <s v="Administration Bsc"/>
    <s v="School of Management"/>
    <m/>
    <m/>
    <x v="0"/>
    <x v="3"/>
    <n v="202320"/>
    <n v="2023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3-08-08T00:00:00"/>
    <d v="2023-12-02T00:00:00"/>
    <n v="116"/>
  </r>
  <r>
    <s v="v.munoz5@uniandes.edu.co"/>
    <n v="202012811"/>
    <s v="Valentina "/>
    <s v="Muñoz Moreno"/>
    <s v="Valentina  Muñoz Moreno"/>
    <s v="Administration Bsc"/>
    <s v="School of Management"/>
    <s v="Design Bsc"/>
    <s v="School of Architecture and Design"/>
    <x v="0"/>
    <x v="3"/>
    <n v="202320"/>
    <n v="202320"/>
    <x v="0"/>
    <x v="0"/>
    <s v="Exchange Student Undergraduate"/>
    <x v="1"/>
    <s v="School of Management"/>
    <s v="ESCP Europe"/>
    <s v="ESCP"/>
    <s v="Específico"/>
    <s v="France"/>
    <s v="Europe"/>
    <d v="2023-08-08T00:00:00"/>
    <d v="2023-12-02T00:00:00"/>
    <n v="116"/>
  </r>
  <r>
    <s v="s.fonsecar@uniandes.edu.co"/>
    <n v="202021100"/>
    <s v="Sofia "/>
    <s v="Fonseca Rozo"/>
    <s v="Sofia  Fonseca Roz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ESCP Europe"/>
    <s v="ESCP"/>
    <s v="Específico"/>
    <s v="France"/>
    <s v="Europe"/>
    <d v="2023-08-08T00:00:00"/>
    <d v="2023-12-02T00:00:00"/>
    <n v="116"/>
  </r>
  <r>
    <s v="m.duperly@uniandes.edu.co"/>
    <n v="201922176"/>
    <s v="Maria "/>
    <s v="Duperly Bonilla"/>
    <s v="Maria  Duperly Bonill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ESSEC Business School"/>
    <s v="ESSEC"/>
    <s v="Específico"/>
    <s v="France"/>
    <s v="Europe"/>
    <d v="2023-08-08T00:00:00"/>
    <d v="2023-12-02T00:00:00"/>
    <n v="116"/>
  </r>
  <r>
    <s v="s.ortiz6@uniandes.edu.co"/>
    <n v="201923607"/>
    <s v="Samuel "/>
    <s v="Ortiz Prada"/>
    <s v="Samuel  Ortiz Prad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ESSEC Business School"/>
    <s v="ESSEC"/>
    <s v="Específico"/>
    <s v="France"/>
    <s v="Europe"/>
    <d v="2023-08-08T00:00:00"/>
    <d v="2023-12-02T00:00:00"/>
    <n v="116"/>
  </r>
  <r>
    <s v="de.rojasr1@uniandes.edu.co"/>
    <n v="202013434"/>
    <s v="Daniel Eduardo"/>
    <s v="Rojas Rocha"/>
    <s v="Daniel Eduardo Rojas Rocha"/>
    <s v="Administration Bsc"/>
    <s v="School of Management"/>
    <s v="Economics Bsc"/>
    <s v="School of Economics"/>
    <x v="0"/>
    <x v="3"/>
    <n v="202320"/>
    <n v="202320"/>
    <x v="0"/>
    <x v="0"/>
    <s v="Exchange Student Undergraduate"/>
    <x v="1"/>
    <s v="School of Management"/>
    <s v="Fundação Getulio Vargas"/>
    <s v="Fundação Getulio Vargas"/>
    <s v="Específico"/>
    <s v="Brazil"/>
    <s v="South America"/>
    <d v="2023-08-08T00:00:00"/>
    <d v="2023-12-02T00:00:00"/>
    <n v="116"/>
  </r>
  <r>
    <s v="lc.ortizb1@uniandes.edu.co"/>
    <n v="202021706"/>
    <s v="Laura Camila"/>
    <s v="Ortiz Betancourt"/>
    <s v="Laura Camila Ortiz Betancourt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Grenoble Ecole de Management"/>
    <s v="Grenoble. École de Management"/>
    <s v="Específico"/>
    <s v="France"/>
    <s v="Europe"/>
    <d v="2023-08-08T00:00:00"/>
    <d v="2023-12-02T00:00:00"/>
    <n v="116"/>
  </r>
  <r>
    <s v="j.aguirre@uniandes.edu.co"/>
    <n v="202011263"/>
    <s v="Juan Pablo"/>
    <s v="Aguirre Colorado"/>
    <s v="Juan Pablo Aguirre Colorad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3-08-08T00:00:00"/>
    <d v="2023-12-02T00:00:00"/>
    <n v="116"/>
  </r>
  <r>
    <s v="j.navia@uniandes.edu.co"/>
    <n v="202021656"/>
    <s v="Juan Felipe"/>
    <s v="Navia Giraldo"/>
    <s v="Juan Felipe Navia Giraldo"/>
    <s v="Economics Bsc"/>
    <s v="School of Economics"/>
    <s v="Administration Bsc"/>
    <s v="School of Management"/>
    <x v="0"/>
    <x v="3"/>
    <n v="202320"/>
    <n v="202320"/>
    <x v="0"/>
    <x v="0"/>
    <s v="Exchange Student Undergraduate"/>
    <x v="1"/>
    <s v="School of Management"/>
    <s v="HEC School of Management"/>
    <s v="HEC Paris"/>
    <s v="Específico"/>
    <s v="France"/>
    <s v="Europe"/>
    <d v="2023-08-08T00:00:00"/>
    <d v="2023-12-02T00:00:00"/>
    <n v="116"/>
  </r>
  <r>
    <s v="m.erdogan@uniandes.edu.co"/>
    <n v="202021037"/>
    <s v="Melis Sofia"/>
    <s v="Erdogan Rodriguez"/>
    <s v="Melis Sofia Erdogan Rodrigu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HEC School of Management"/>
    <s v="HEC Paris"/>
    <s v="Específico"/>
    <s v="France"/>
    <s v="Europe"/>
    <d v="2023-08-08T00:00:00"/>
    <d v="2023-12-02T00:00:00"/>
    <n v="116"/>
  </r>
  <r>
    <s v="l.silvas@uniandes.edu.co"/>
    <n v="202011039"/>
    <s v="Laura Alejandra"/>
    <s v="Silva Sanchez"/>
    <s v="Laura Alejandra Silva Sanch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Högskolan i Jönköping"/>
    <s v="JIBS Jönköping International Business School"/>
    <s v="Específico"/>
    <s v="Sweden"/>
    <s v="Europe"/>
    <d v="2023-08-08T00:00:00"/>
    <d v="2023-12-02T00:00:00"/>
    <n v="116"/>
  </r>
  <r>
    <s v="v.gaitan@uniandes.edu.co"/>
    <n v="201729521"/>
    <s v="Valentina "/>
    <s v="Gaitan Amortegui"/>
    <s v="Valentina  Gaitan Amortegui"/>
    <s v="Design Bsc"/>
    <s v="School of Architecture and Design"/>
    <s v="Administration Bsc"/>
    <s v="School of Management"/>
    <x v="0"/>
    <x v="3"/>
    <n v="202320"/>
    <n v="20232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3-08-08T00:00:00"/>
    <d v="2023-12-02T00:00:00"/>
    <n v="116"/>
  </r>
  <r>
    <s v="ja.cortesm1@uniandes.edu.co"/>
    <n v="202024119"/>
    <s v="Juan Andres"/>
    <s v="Cortes Muelle"/>
    <s v="Juan Andres Cortes Muelle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3-08-08T00:00:00"/>
    <d v="2023-12-02T00:00:00"/>
    <n v="116"/>
  </r>
  <r>
    <s v="c.moores@uniandes.edu.co"/>
    <n v="202010805"/>
    <s v="Christine "/>
    <s v="Moore Santamaria"/>
    <s v="Christine  Moore Santamari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IE Universidad"/>
    <s v="IE Instituto Empresa"/>
    <s v="Específico"/>
    <s v="Spain"/>
    <s v="Europe"/>
    <d v="2023-08-08T00:00:00"/>
    <d v="2023-12-02T00:00:00"/>
    <n v="116"/>
  </r>
  <r>
    <s v="m.ochoac@uniandes.edu.co"/>
    <n v="202012894"/>
    <s v="Miguel Angel"/>
    <s v="Ochoa Castelblanco"/>
    <s v="Miguel Angel Ochoa Castelblanco"/>
    <s v="Administration Bsc"/>
    <s v="School of Management"/>
    <n v="0"/>
    <n v="0"/>
    <x v="0"/>
    <x v="3"/>
    <n v="202320"/>
    <n v="202320"/>
    <x v="0"/>
    <x v="0"/>
    <s v="Exchange Student Undergraduate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3-08-08T00:00:00"/>
    <d v="2023-12-02T00:00:00"/>
    <n v="116"/>
  </r>
  <r>
    <s v="j.correal@uniandes.edu.co"/>
    <n v="202011021"/>
    <s v="Juan Camilo"/>
    <s v="Correal Bohórquez"/>
    <s v="Juan Camilo Correal Bohórqu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Koc University"/>
    <s v="Koc University"/>
    <s v="Específico"/>
    <s v="Türkiye"/>
    <s v="Asia"/>
    <d v="2023-08-08T00:00:00"/>
    <d v="2023-12-02T00:00:00"/>
    <n v="116"/>
  </r>
  <r>
    <s v="j.arenasr@uniandes.edu.co"/>
    <n v="202020612"/>
    <s v="Juan Emilio"/>
    <s v="Arenas Rey"/>
    <s v="Juan Emilio Arenas Rey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3-08-08T00:00:00"/>
    <d v="2023-12-02T00:00:00"/>
    <n v="116"/>
  </r>
  <r>
    <s v="p.cruzi@uniandes.edu.co"/>
    <n v="202020942"/>
    <s v="Pablo "/>
    <s v="Cruz Izquierdo"/>
    <s v="Pablo  Cruz Izquierd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3-08-08T00:00:00"/>
    <d v="2023-12-02T00:00:00"/>
    <n v="116"/>
  </r>
  <r>
    <s v="r.bermudezh@uniandes.edu.co"/>
    <n v="202027524"/>
    <s v="Ricardo Jose"/>
    <s v="Bermudez Henriquez"/>
    <s v="Ricardo Jose Bermudez Henriquez"/>
    <s v="Master in Supply Chain Management"/>
    <s v="School of Management"/>
    <m/>
    <m/>
    <x v="0"/>
    <x v="3"/>
    <n v="202320"/>
    <n v="202320"/>
    <x v="1"/>
    <x v="0"/>
    <s v="Exchange Master Student"/>
    <x v="2"/>
    <s v="School of Management"/>
    <s v="Kühne Logistics University"/>
    <s v="KLU Kühne Logistics University"/>
    <s v="Específico"/>
    <s v="Germany"/>
    <s v="Europe"/>
    <d v="2023-08-08T00:00:00"/>
    <d v="2023-12-02T00:00:00"/>
    <n v="116"/>
  </r>
  <r>
    <s v="s.alvaradom@uniandes.edu.co"/>
    <n v="202010597"/>
    <s v="Sergio David"/>
    <s v="Alvarado Morales"/>
    <s v="Sergio David Alvarado Morales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8-08T00:00:00"/>
    <d v="2023-12-02T00:00:00"/>
    <n v="116"/>
  </r>
  <r>
    <s v="d.arias2@uniandes.edu.co"/>
    <n v="202011385"/>
    <s v="Daniela "/>
    <s v="Arias Rayo"/>
    <s v="Daniela  Arias Ray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8-08T00:00:00"/>
    <d v="2023-12-02T00:00:00"/>
    <n v="116"/>
  </r>
  <r>
    <s v="m.bonivento@uniandes.edu.co"/>
    <n v="202022578"/>
    <s v="Maria Jose"/>
    <s v="Bonivento Cruz"/>
    <s v="Maria Jose Bonivento Cru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8-08T00:00:00"/>
    <d v="2023-12-02T00:00:00"/>
    <n v="116"/>
  </r>
  <r>
    <s v="m.libosa@uniandes.edu.co"/>
    <n v="202114030"/>
    <s v="Maria "/>
    <s v="Libos Ardila"/>
    <s v="Maria  Libos Ardil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8-08T00:00:00"/>
    <d v="2023-12-02T00:00:00"/>
    <n v="116"/>
  </r>
  <r>
    <s v="s.munozb@uniandes.edu.co"/>
    <n v="201923597"/>
    <s v="Santiago "/>
    <s v="Muñoz Beltran"/>
    <s v="Santiago  Muñoz Beltran"/>
    <s v="Administration Bsc"/>
    <s v="School of Management"/>
    <s v="Economics Bsc"/>
    <s v="School of Economics"/>
    <x v="0"/>
    <x v="3"/>
    <n v="202320"/>
    <n v="2023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8-08T00:00:00"/>
    <d v="2023-12-02T00:00:00"/>
    <n v="116"/>
  </r>
  <r>
    <s v="ja.garciag@uniandes.edu.co"/>
    <n v="201813565"/>
    <s v="Jose Alfredo"/>
    <s v="Garcia Golondrino"/>
    <s v="Jose Alfredo Garcia Golondrino"/>
    <s v="Administration Bsc"/>
    <s v="School of Management"/>
    <s v="Design Bsc"/>
    <s v="School of Architecture and Design"/>
    <x v="0"/>
    <x v="3"/>
    <n v="202320"/>
    <n v="202320"/>
    <x v="0"/>
    <x v="0"/>
    <s v="Exchange Student Undergraduate"/>
    <x v="1"/>
    <s v="School of Management"/>
    <s v="Nagoya University of Commerce and Business Administration"/>
    <s v="NUCB- Nagoya University of commerce and business"/>
    <s v="Específico"/>
    <s v="Japan"/>
    <s v="Asia"/>
    <d v="2023-08-08T00:00:00"/>
    <d v="2023-12-02T00:00:00"/>
    <n v="116"/>
  </r>
  <r>
    <s v="a.mejia20@uniandes.edu.co"/>
    <n v="201713785"/>
    <s v="Andrea"/>
    <s v="Mejia Vasquez"/>
    <s v="Andrea Mejia Vasquez"/>
    <s v="Economics Bsc"/>
    <s v="School of Economics"/>
    <s v="Administration Bsc"/>
    <s v="School of Management"/>
    <x v="0"/>
    <x v="3"/>
    <n v="202320"/>
    <n v="202320"/>
    <x v="0"/>
    <x v="0"/>
    <s v="Exchange Student Undergraduate"/>
    <x v="1"/>
    <s v="School of Management"/>
    <s v="National Chengchi University"/>
    <s v="NCCU- National Chengchi University"/>
    <s v="Específico"/>
    <s v="Taiwan"/>
    <s v="Asia"/>
    <d v="2023-08-08T00:00:00"/>
    <d v="2023-12-02T00:00:00"/>
    <n v="116"/>
  </r>
  <r>
    <s v="m.silvae@uniandes.edu.co"/>
    <n v="202013652"/>
    <s v="Manuela"/>
    <s v="Silva Escallon"/>
    <s v="Manuela Silva Escallon"/>
    <s v="Administration Bsc"/>
    <s v="School of Management"/>
    <n v="0"/>
    <n v="0"/>
    <x v="0"/>
    <x v="3"/>
    <n v="202320"/>
    <n v="202320"/>
    <x v="0"/>
    <x v="0"/>
    <s v="Exchange Student Undergraduate"/>
    <x v="1"/>
    <s v="School of Management"/>
    <s v="National Chengchi University"/>
    <s v="NCCU- National Chengchi University"/>
    <s v="Específico"/>
    <s v="Taiwan"/>
    <s v="Asia"/>
    <d v="2023-08-08T00:00:00"/>
    <d v="2023-12-02T00:00:00"/>
    <n v="116"/>
  </r>
  <r>
    <s v="a.santamaria@uniandes.edu.co"/>
    <n v="202022135"/>
    <s v="Antonia "/>
    <s v="Santamaría Rojas"/>
    <s v="Antonia  Santamaría Rojas"/>
    <s v="Administration Bsc"/>
    <s v="School of Management"/>
    <s v="Design Bsc"/>
    <s v="School of Architecture and Design"/>
    <x v="0"/>
    <x v="3"/>
    <n v="202320"/>
    <n v="202320"/>
    <x v="0"/>
    <x v="0"/>
    <s v="Exchange Student Undergraduate"/>
    <x v="1"/>
    <s v="School of Management"/>
    <s v="NEOMA Business School"/>
    <s v="ESC Rouen (NEOMA)"/>
    <s v="Específico"/>
    <s v="France"/>
    <s v="Europe"/>
    <d v="2023-08-08T00:00:00"/>
    <d v="2023-12-02T00:00:00"/>
    <n v="116"/>
  </r>
  <r>
    <s v="c.perdomo@uniandes.edu.co"/>
    <n v="201922877"/>
    <s v="Catalina Maria"/>
    <s v="Perdomo Garcia"/>
    <s v="Catalina Maria Perdomo Garcia"/>
    <s v="Administration Bsc"/>
    <s v="School of Management"/>
    <s v="Music Bsc"/>
    <s v="School of Arts and Humanities"/>
    <x v="0"/>
    <x v="3"/>
    <n v="202320"/>
    <n v="202320"/>
    <x v="0"/>
    <x v="0"/>
    <s v="Exchange Student Undergraduate"/>
    <x v="1"/>
    <s v="School of Management"/>
    <s v="Politecnico di Milano"/>
    <s v="Politecnico di Milano"/>
    <s v="Específico"/>
    <s v="Italy"/>
    <s v="Europe"/>
    <d v="2023-08-08T00:00:00"/>
    <d v="2023-12-02T00:00:00"/>
    <n v="116"/>
  </r>
  <r>
    <s v="r.hernandezb@uniandes.edu.co"/>
    <n v="202021281"/>
    <s v="Rachel "/>
    <s v="Hernandez Barreto"/>
    <s v="Rachel  Hernandez Barret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Politecnico di Milano"/>
    <s v="Politecnico di Milano"/>
    <s v="Específico"/>
    <s v="Italy"/>
    <s v="Europe"/>
    <d v="2023-08-08T00:00:00"/>
    <d v="2023-12-02T00:00:00"/>
    <n v="116"/>
  </r>
  <r>
    <s v="n.ramirezs@uniandes.edu.co"/>
    <n v="202021931"/>
    <s v="Natalia "/>
    <s v="Ramirez Suarez"/>
    <s v="Natalia  Ramirez Suarez"/>
    <s v="Administration Bsc"/>
    <s v="School of Management"/>
    <s v="Government and Public Policy Bsc"/>
    <s v="Government School Alberto Lleras Camargo"/>
    <x v="0"/>
    <x v="3"/>
    <n v="202320"/>
    <n v="202320"/>
    <x v="0"/>
    <x v="0"/>
    <s v="Exchange Student Undergraduate"/>
    <x v="1"/>
    <s v="School of Management"/>
    <s v="Politecnico di Milano"/>
    <s v="Politecnico di Milano"/>
    <s v="Específico"/>
    <s v="Italy"/>
    <s v="Europe"/>
    <d v="2023-08-08T00:00:00"/>
    <d v="2023-12-02T00:00:00"/>
    <n v="116"/>
  </r>
  <r>
    <s v="n.celise@uniandes.edu.co"/>
    <n v="202020864"/>
    <s v="Nicolas David"/>
    <s v="Celis Eslava"/>
    <s v="Nicolas David Celis Eslav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Queen's University"/>
    <s v="Queens University School of Business"/>
    <s v="Específico"/>
    <s v="Canada"/>
    <s v="North America"/>
    <d v="2023-08-08T00:00:00"/>
    <d v="2023-12-02T00:00:00"/>
    <n v="116"/>
  </r>
  <r>
    <s v="e.ramirezl@uniandes.edu.co"/>
    <n v="202021921"/>
    <s v="Enrique "/>
    <s v="Ramirez Londoño"/>
    <s v="Enrique  Ramirez Londoñ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Queen's University"/>
    <s v="Queens University School of Business"/>
    <s v="Específico"/>
    <s v="Canada"/>
    <s v="North America"/>
    <d v="2023-08-08T00:00:00"/>
    <d v="2023-12-02T00:00:00"/>
    <n v="116"/>
  </r>
  <r>
    <s v="a.afanadorp@uniandes.edu.co"/>
    <n v="202020530"/>
    <s v="Antonio "/>
    <s v="Afanador Posada"/>
    <s v="Antonio  Afanador Posad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Queensland University of Technology"/>
    <s v="Queensland University of Technology"/>
    <s v="Específico"/>
    <s v="Australia"/>
    <s v="Oceania"/>
    <d v="2023-08-08T00:00:00"/>
    <d v="2023-12-02T00:00:00"/>
    <n v="116"/>
  </r>
  <r>
    <s v="a.rodriguez64@uniandes.edu.co"/>
    <n v="202021989"/>
    <s v="Alejandra "/>
    <s v="Rodriguez Casallas"/>
    <s v="Alejandra  Rodriguez Casallas"/>
    <s v="Design Bsc"/>
    <s v="School of Architecture and Design"/>
    <s v="Administration Bsc"/>
    <s v="School of Management"/>
    <x v="0"/>
    <x v="3"/>
    <n v="202320"/>
    <n v="202320"/>
    <x v="0"/>
    <x v="0"/>
    <s v="Exchange Student Undergraduate"/>
    <x v="1"/>
    <s v="School of Management"/>
    <s v="St. John's University"/>
    <s v="St. John's University"/>
    <s v="General"/>
    <s v="United States"/>
    <s v="North America"/>
    <d v="2023-08-08T00:00:00"/>
    <d v="2023-12-02T00:00:00"/>
    <n v="116"/>
  </r>
  <r>
    <s v="g.montoyas@uniandes.edu.co"/>
    <n v="201922718"/>
    <s v="Gabriela"/>
    <s v="Montoya Sanchez"/>
    <s v="Gabriela Montoya Sanchez"/>
    <s v="Administration Bsc"/>
    <s v="School of Management"/>
    <m/>
    <m/>
    <x v="0"/>
    <x v="3"/>
    <n v="202320"/>
    <n v="202320"/>
    <x v="0"/>
    <x v="1"/>
    <s v="Double Degree"/>
    <x v="1"/>
    <s v="School of Management"/>
    <s v="Tilburg University"/>
    <s v="Universidad de Tilburg"/>
    <s v="Específico"/>
    <s v="Netherlands"/>
    <s v="Europe"/>
    <d v="2023-08-08T00:00:00"/>
    <d v="2023-12-02T00:00:00"/>
    <n v="116"/>
  </r>
  <r>
    <s v="s.pardoa@uniandes.edu.co"/>
    <n v="202123251"/>
    <s v="Sofia"/>
    <s v="Pardo Abril"/>
    <s v="Sofia Pardo Abril"/>
    <s v="Administration Bsc"/>
    <s v="School of Management"/>
    <m/>
    <m/>
    <x v="0"/>
    <x v="3"/>
    <n v="202320"/>
    <n v="202320"/>
    <x v="0"/>
    <x v="1"/>
    <s v="Double Degree"/>
    <x v="1"/>
    <s v="School of Management"/>
    <s v="Tilburg University"/>
    <s v="Universidad de Tilburg"/>
    <s v="Específico"/>
    <s v="Netherlands"/>
    <s v="Europe"/>
    <d v="2023-08-08T00:00:00"/>
    <d v="2023-12-02T00:00:00"/>
    <n v="116"/>
  </r>
  <r>
    <s v="vj.parra@uniandes.edu.co"/>
    <n v="202014664"/>
    <s v="Valery Johanna"/>
    <s v="Parra Girata"/>
    <s v="Valery Johanna Parra Girat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Tilburg University"/>
    <s v="Universidad de Tilburg"/>
    <s v="Específico"/>
    <s v="Netherlands"/>
    <s v="Europe"/>
    <d v="2023-08-08T00:00:00"/>
    <d v="2023-12-02T00:00:00"/>
    <n v="116"/>
  </r>
  <r>
    <s v="mj.pachon1652@uniandes.edu.co"/>
    <n v="201214425"/>
    <s v="Maria Jose"/>
    <s v="Pachon Melo"/>
    <s v="Maria Jose Pachon Melo"/>
    <s v="Master in Development Management and Practice"/>
    <s v="School of Management"/>
    <m/>
    <m/>
    <x v="0"/>
    <x v="3"/>
    <n v="202320"/>
    <n v="202320"/>
    <x v="1"/>
    <x v="0"/>
    <s v="Exchange Master Student"/>
    <x v="4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jc.montenegro@uniandes.edu.co"/>
    <n v="201814304"/>
    <s v="Juan Camilo"/>
    <s v="Montenegro Blanco"/>
    <s v="Juan Camilo Montenegro Blanco"/>
    <s v="Administration Bsc"/>
    <s v="School of Management"/>
    <s v="Economics Bsc"/>
    <s v="School of Economics"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j.torresr@uniandes.edu.co"/>
    <n v="201815494"/>
    <s v="Juliette "/>
    <s v="Torres Rodriguez"/>
    <s v="Juliette  Torres Rodriguez"/>
    <s v="Administration Bsc"/>
    <s v="School of Management"/>
    <s v="Design Bsc"/>
    <s v="School of Architecture and Design"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ca.ruizc@uniandes.edu.co"/>
    <n v="201914332"/>
    <s v="CAMILO ANDRES"/>
    <s v="RUIZ CASALLAS"/>
    <s v="CAMILO ANDRES RUIZ CASALLAS"/>
    <s v="Administration Bsc"/>
    <s v="School of Management"/>
    <s v="Economics Bsc"/>
    <s v="School of Economics"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pa.tapia@uniandes.edu.co"/>
    <n v="201914594"/>
    <s v="Paula Alejandra"/>
    <s v="Tapia Esteban"/>
    <s v="Paula Alejandra Tapia Esteban"/>
    <s v="Administration Bsc"/>
    <s v="School of Management"/>
    <m/>
    <m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a.portillao@uniandes.edu.co"/>
    <n v="201921122"/>
    <s v="Andres Mauricio"/>
    <s v="Portilla Ossa"/>
    <s v="Andres Mauricio Portilla Ossa"/>
    <s v="Administration Bsc"/>
    <s v="School of Management"/>
    <m/>
    <m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t.ortizo@uniandes.edu.co"/>
    <n v="201922805"/>
    <s v="Tomás "/>
    <s v="Ortiz Ortiz"/>
    <s v="Tomás  Ortiz Ortiz"/>
    <s v="Administration Bsc"/>
    <s v="School of Management"/>
    <m/>
    <m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m.herrerar@uniandes.edu.co"/>
    <n v="201923718"/>
    <s v="Maria Paula"/>
    <s v="Herrera Rodriguez"/>
    <s v="Maria Paula Herrera Rodriguez"/>
    <s v="Administration Bsc"/>
    <s v="School of Management"/>
    <m/>
    <m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j.estupinan@uniandes.edu.co"/>
    <n v="202010713"/>
    <s v="Juan Diego"/>
    <s v="Estupiñan Ospina"/>
    <s v="Juan Diego Estupiñan Ospina"/>
    <s v="Administration Bsc"/>
    <s v="School of Management"/>
    <m/>
    <m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a.giraldos@uniandes.edu.co"/>
    <n v="202011202"/>
    <s v="Ana María"/>
    <s v="Giraldo Sánchez"/>
    <s v="Ana María Giraldo Sánchez"/>
    <s v="Administration Bsc"/>
    <s v="School of Management"/>
    <m/>
    <m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p.florezd@uniandes.edu.co"/>
    <n v="202021093"/>
    <s v="Pablo "/>
    <s v="Florez Dowse"/>
    <s v="Pablo  Florez Dowse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m.ruizl@uniandes.edu.co"/>
    <n v="202022061"/>
    <s v="Mariana "/>
    <s v="Ruiz Lopez"/>
    <s v="Mariana  Ruiz Lop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m.quiroz@uniandes.edu.co"/>
    <n v="202013218"/>
    <s v="Miguel Angel"/>
    <s v="Quiroz Cordoba"/>
    <s v="Miguel Angel Quiroz Cordob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3-08-08T00:00:00"/>
    <d v="2023-12-02T00:00:00"/>
    <n v="116"/>
  </r>
  <r>
    <s v="c.arevalom@uniandes.edu.co"/>
    <n v="202020615"/>
    <s v="Camilo "/>
    <s v="Arevalo Mejia"/>
    <s v="Camilo  Arevalo Mejia"/>
    <s v="Administration Bsc"/>
    <s v="School of Management"/>
    <m/>
    <m/>
    <x v="0"/>
    <x v="3"/>
    <n v="202320"/>
    <n v="202320"/>
    <x v="0"/>
    <x v="1"/>
    <s v="Double Degree"/>
    <x v="1"/>
    <s v="School of Management"/>
    <s v="Tulane University"/>
    <s v="A.B. Freeman School of Business, Tulane University"/>
    <s v="Específico"/>
    <s v="United States"/>
    <s v="North America"/>
    <d v="2023-08-08T00:00:00"/>
    <d v="2023-12-02T00:00:00"/>
    <n v="116"/>
  </r>
  <r>
    <s v="d.fajardog@uniandes.edu.co"/>
    <n v="202021067"/>
    <s v="Daniel "/>
    <s v="Fajardo Gonzalez"/>
    <s v="Daniel  Fajardo Gonzal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3-08-08T00:00:00"/>
    <d v="2023-12-02T00:00:00"/>
    <n v="116"/>
  </r>
  <r>
    <s v="lm.ramirezc@uniandes.edu.co"/>
    <n v="201821765"/>
    <s v="Laura Maria"/>
    <s v="Ramirez Ceballos"/>
    <s v="Laura Maria Ramirez Ceballos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dad de Chile"/>
    <s v="Universidad de Chile"/>
    <s v="Específico"/>
    <s v="Chile"/>
    <s v="South America"/>
    <d v="2023-08-08T00:00:00"/>
    <d v="2023-12-02T00:00:00"/>
    <n v="116"/>
  </r>
  <r>
    <s v="ne.gonzalezc1@uniandes.edu.co"/>
    <n v="202012264"/>
    <s v="Nicole Estefania"/>
    <s v="Gonzalez Cortes"/>
    <s v="Nicole Estefania Gonzalez Cortes"/>
    <s v="Administration Bsc"/>
    <s v="School of Management"/>
    <s v="Government and Public Policy Bsc"/>
    <s v="Government School Alberto Lleras Camargo"/>
    <x v="0"/>
    <x v="3"/>
    <n v="202320"/>
    <n v="202320"/>
    <x v="0"/>
    <x v="0"/>
    <s v="Exchange Student Undergraduate"/>
    <x v="1"/>
    <s v="School of Management"/>
    <s v="Universidade do Porto"/>
    <s v="Universidade do Porto"/>
    <s v="General"/>
    <s v="Portugal"/>
    <s v="Europe"/>
    <d v="2023-08-08T00:00:00"/>
    <d v="2023-12-02T00:00:00"/>
    <n v="116"/>
  </r>
  <r>
    <s v="ca.castano11@uniandes.edu.co"/>
    <n v="201419655"/>
    <s v="Camila Andrea"/>
    <s v="Castaño Lozano"/>
    <s v="Camila Andrea Castaño Lozano"/>
    <s v="Part - Time MBA"/>
    <s v="School of Management"/>
    <m/>
    <m/>
    <x v="0"/>
    <x v="3"/>
    <n v="202320"/>
    <n v="202320"/>
    <x v="1"/>
    <x v="0"/>
    <s v="Exchange Master Student"/>
    <x v="3"/>
    <s v="School of Management"/>
    <s v="Universidade Nova de Lisboa"/>
    <s v="Nova School of Business and Economics"/>
    <s v="Específico"/>
    <s v="Portugal"/>
    <s v="Europe"/>
    <d v="2023-08-08T00:00:00"/>
    <d v="2023-12-02T00:00:00"/>
    <n v="116"/>
  </r>
  <r>
    <s v="l.velezr@uniandes.edu.co"/>
    <n v="202022341"/>
    <s v="Laura Maria"/>
    <s v="Velez Roman"/>
    <s v="Laura Maria Velez Roman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3-08-08T00:00:00"/>
    <d v="2023-12-02T00:00:00"/>
    <n v="116"/>
  </r>
  <r>
    <s v="m.venegas@uniandes.edu.co"/>
    <n v="202022343"/>
    <s v="Mariana "/>
    <s v="Venegas Pulido"/>
    <s v="Mariana  Venegas Pulid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3-08-08T00:00:00"/>
    <d v="2023-12-02T00:00:00"/>
    <n v="116"/>
  </r>
  <r>
    <s v="m.sachica@uniandes.edu.co"/>
    <n v="201822993"/>
    <s v="Mariana "/>
    <s v="Sachica Kure"/>
    <s v="Mariana  Sachica Kure"/>
    <s v="Design Bsc"/>
    <s v="School of Architecture and Design"/>
    <s v="Administration Bsc"/>
    <s v="School of Management"/>
    <x v="0"/>
    <x v="3"/>
    <n v="202320"/>
    <n v="202320"/>
    <x v="0"/>
    <x v="0"/>
    <s v="Exchange Student Undergraduate"/>
    <x v="1"/>
    <s v="School of Management"/>
    <s v="Universitat Ramon Llull"/>
    <s v="ESADE"/>
    <s v="Específico"/>
    <s v="Spain"/>
    <s v="Europe"/>
    <d v="2023-08-08T00:00:00"/>
    <d v="2023-12-02T00:00:00"/>
    <n v="116"/>
  </r>
  <r>
    <s v="v.navarroa@uniandes.edu.co"/>
    <n v="202021652"/>
    <s v="Valentina "/>
    <s v="Navarro Alvarez"/>
    <s v="Valentina  Navarro Alvar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tat Ramon Llull"/>
    <s v="ESADE"/>
    <s v="Específico"/>
    <s v="Spain"/>
    <s v="Europe"/>
    <d v="2023-08-08T00:00:00"/>
    <d v="2023-12-02T00:00:00"/>
    <n v="116"/>
  </r>
  <r>
    <s v="i.martin@uniandes.edu.co"/>
    <n v="202021464"/>
    <s v="Isabella "/>
    <s v="Martin Paez"/>
    <s v="Isabella  Martin Pa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3-08-08T00:00:00"/>
    <d v="2023-12-02T00:00:00"/>
    <n v="116"/>
  </r>
  <r>
    <s v="dv.perez10@uniandes.edu.co"/>
    <n v="201424125"/>
    <s v="Danna Valentina"/>
    <s v="Perez Garcia"/>
    <s v="Danna Valentina Perez Garcia"/>
    <s v="Master in Environmental Management"/>
    <s v="School of Management"/>
    <m/>
    <m/>
    <x v="0"/>
    <x v="3"/>
    <n v="202320"/>
    <n v="202320"/>
    <x v="1"/>
    <x v="0"/>
    <s v="Exchange Master Student"/>
    <x v="6"/>
    <s v="School of Management"/>
    <s v="Université de Genève"/>
    <s v="Université de Genève"/>
    <s v="General"/>
    <s v="Switzerland"/>
    <s v="Europe"/>
    <d v="2023-08-08T00:00:00"/>
    <d v="2023-12-02T00:00:00"/>
    <n v="116"/>
  </r>
  <r>
    <s v="l.aguirrem@uniandes.edu.co"/>
    <n v="201921761"/>
    <s v="Luis Angel"/>
    <s v="Aguirre Monroy"/>
    <s v="Luis Angel Aguirre Monroy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té de Strasbourg"/>
    <s v="EM Strasbourg"/>
    <s v="Específico"/>
    <s v="France"/>
    <s v="Europe"/>
    <d v="2023-08-08T00:00:00"/>
    <d v="2023-12-02T00:00:00"/>
    <n v="116"/>
  </r>
  <r>
    <s v="s.santander@uniandes.edu.co"/>
    <n v="202022137"/>
    <s v="Salome Maria"/>
    <s v="Santander Castillo"/>
    <s v="Salome Maria Santander Castillo"/>
    <s v="Administration Bsc"/>
    <s v="School of Management"/>
    <s v="Education Bsc / Early Childhood"/>
    <s v="School of Education"/>
    <x v="0"/>
    <x v="3"/>
    <n v="202320"/>
    <n v="202320"/>
    <x v="0"/>
    <x v="0"/>
    <s v="Exchange Student Undergraduate"/>
    <x v="1"/>
    <s v="School of Management"/>
    <s v="University of Bristol"/>
    <s v="University of Bristol"/>
    <s v="General"/>
    <s v="United Kingdom"/>
    <s v="Europe"/>
    <d v="2023-08-08T00:00:00"/>
    <d v="2023-12-02T00:00:00"/>
    <n v="116"/>
  </r>
  <r>
    <s v="p.rojasz@uniandes.edu.co"/>
    <n v="202013442"/>
    <s v="Pablo Andres"/>
    <s v="Rojas Zambrano"/>
    <s v="Pablo Andres Rojas Zambran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ty of Exeter"/>
    <s v="University of Exeter"/>
    <s v="Específico"/>
    <s v="United Kingdom"/>
    <s v="Europe"/>
    <d v="2023-08-08T00:00:00"/>
    <d v="2023-12-02T00:00:00"/>
    <n v="116"/>
  </r>
  <r>
    <s v="j.jaramillo1@uniandes.edu.co"/>
    <n v="201923775"/>
    <s v="John Paul"/>
    <s v="Jaramillo Cubillos"/>
    <s v="John Paul Jaramillo Cubillos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ty of Melbourne"/>
    <s v="University of Melbourne"/>
    <s v="Específico"/>
    <s v="Australia"/>
    <s v="Oceania"/>
    <d v="2023-08-08T00:00:00"/>
    <d v="2023-12-02T00:00:00"/>
    <n v="116"/>
  </r>
  <r>
    <s v="r.cubillan@uniandes.edu.co"/>
    <n v="202020947"/>
    <s v="Rafael Andres"/>
    <s v="Cubillan Palma"/>
    <s v="Rafael Andres Cubillan Palm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ty of Melbourne"/>
    <s v="University of Melbourne"/>
    <s v="Específico"/>
    <s v="Australia"/>
    <s v="Oceania"/>
    <d v="2023-08-08T00:00:00"/>
    <d v="2023-12-02T00:00:00"/>
    <n v="116"/>
  </r>
  <r>
    <s v="m.ferrey@uniandes.edu.co"/>
    <n v="202114310"/>
    <s v="Monica Alejandra"/>
    <s v="Ferrey Mayorga"/>
    <s v="Monica Alejandra Ferrey Mayorga"/>
    <s v="Part - Time MBA"/>
    <s v="School of Management"/>
    <m/>
    <m/>
    <x v="0"/>
    <x v="3"/>
    <n v="202320"/>
    <n v="202320"/>
    <x v="1"/>
    <x v="0"/>
    <s v="OSUN"/>
    <x v="3"/>
    <s v="School of Management"/>
    <s v="University of the Witwatersrand"/>
    <s v="University of the Witwatersrand"/>
    <s v="General"/>
    <s v="South Africa"/>
    <s v="Africa"/>
    <d v="2023-08-08T00:00:00"/>
    <d v="2023-12-02T00:00:00"/>
    <n v="116"/>
  </r>
  <r>
    <s v="j.olmoss@uniandes.edu.co"/>
    <n v="202022689"/>
    <s v="Juan David"/>
    <s v="Olmos Salas"/>
    <s v="Juan David Olmos Salas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za v Ljubljani"/>
    <s v="University of Ljubljana"/>
    <s v="Específico"/>
    <s v="Slovenia"/>
    <s v="Europe"/>
    <d v="2023-08-08T00:00:00"/>
    <d v="2023-12-02T00:00:00"/>
    <n v="116"/>
  </r>
  <r>
    <s v="vva.sandovalsa@uniandes.edu.co"/>
    <n v="202020359"/>
    <s v="Valentina"/>
    <s v="Sandoval Quintero"/>
    <s v="Valentina Sandoval Quintero"/>
    <s v="Administration Bsc"/>
    <s v="School of Management"/>
    <s v="Design Bsc"/>
    <s v="School of Architecture and Design"/>
    <x v="0"/>
    <x v="4"/>
    <n v="202410"/>
    <n v="202410"/>
    <x v="0"/>
    <x v="0"/>
    <s v="Exchange Student Undergraduate"/>
    <x v="1"/>
    <s v="School of Management"/>
    <s v="University College London"/>
    <s v="University College London"/>
    <s v="General"/>
    <s v="United Kingdom"/>
    <s v="Europe"/>
    <d v="2024-01-22T00:00:00"/>
    <d v="2024-05-25T00:00:00"/>
    <n v="124"/>
  </r>
  <r>
    <s v="sd.gaete@uniandes.edu.co"/>
    <n v="201821105"/>
    <s v="Susan Daniela"/>
    <s v="Gaete Carrillo"/>
    <s v="Susan Daniela Gaete Carrillo"/>
    <s v="Psychology Bsc"/>
    <s v="School of Social Sciences"/>
    <s v="Administration Bsc"/>
    <s v="School of Management"/>
    <x v="0"/>
    <x v="4"/>
    <n v="202410"/>
    <n v="2024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4-01-22T00:00:00"/>
    <d v="2024-05-25T00:00:00"/>
    <n v="124"/>
  </r>
  <r>
    <s v="s.molinao@uniandes.edu.co"/>
    <n v="202021561"/>
    <s v="Sebastian"/>
    <s v="Molina Ortiz"/>
    <s v="Sebastian Molina Ortiz"/>
    <s v="Economics Bsc"/>
    <s v="School of Economics"/>
    <s v="Administration Bsc"/>
    <s v="School of Management"/>
    <x v="0"/>
    <x v="4"/>
    <n v="202410"/>
    <n v="202410"/>
    <x v="0"/>
    <x v="0"/>
    <s v="Exchange Student Undergraduate"/>
    <x v="1"/>
    <s v="School of Management"/>
    <s v="Politecnico di Milano"/>
    <s v="Politecnico di Milano"/>
    <s v="Específico"/>
    <s v="Italy"/>
    <s v="Europe"/>
    <d v="2024-01-22T00:00:00"/>
    <d v="2024-05-25T00:00:00"/>
    <n v="124"/>
  </r>
  <r>
    <s v="sd.duqueg@uniandes.edu.co"/>
    <n v="201912297"/>
    <s v="Sebastian Dario"/>
    <s v="Duque Guzman"/>
    <s v="Sebastian Dario Duque Guzman"/>
    <s v="Administration Bsc"/>
    <s v="School of Management"/>
    <s v="Psychology Bsc"/>
    <s v="School of Social Sciences"/>
    <x v="0"/>
    <x v="4"/>
    <n v="202410"/>
    <n v="202410"/>
    <x v="0"/>
    <x v="0"/>
    <s v="Exchange Student Undergraduate"/>
    <x v="1"/>
    <s v="School of Management"/>
    <s v="Università Commerciale 'Luigi Bocconi' di Milano"/>
    <s v="Università Commerciale Luigi Bocconi"/>
    <s v="Específico"/>
    <s v="Italy"/>
    <s v="Europe"/>
    <d v="2024-01-22T00:00:00"/>
    <d v="2024-05-25T00:00:00"/>
    <n v="124"/>
  </r>
  <r>
    <s v="s.borrero3@uniandes.edu.co"/>
    <n v="202020728"/>
    <s v="Sebastian"/>
    <s v="Borrero Pombo"/>
    <s v="Sebastian Borrero Pombo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1-22T00:00:00"/>
    <d v="2024-05-25T00:00:00"/>
    <n v="124"/>
  </r>
  <r>
    <s v="s.schmalbach@uniandes.edu.co"/>
    <n v="202022150"/>
    <s v="Scarlett"/>
    <s v="Schmalbach Gomez"/>
    <s v="Scarlett Schmalbach Gomez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NEOMA Business School"/>
    <s v="ESC Rouen (NEOMA)"/>
    <s v="Específico"/>
    <s v="France"/>
    <s v="Europe"/>
    <d v="2024-01-22T00:00:00"/>
    <d v="2024-05-25T00:00:00"/>
    <n v="124"/>
  </r>
  <r>
    <s v="sm.patino@uniandes.edu.co"/>
    <n v="202021780"/>
    <s v="Sara Maria"/>
    <s v="Patiño Ayala"/>
    <s v="Sara Maria Patiño Ayala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1-22T00:00:00"/>
    <d v="2024-05-25T00:00:00"/>
    <n v="124"/>
  </r>
  <r>
    <s v="s.parras@uniandes.edu.co"/>
    <n v="202022698"/>
    <s v="Santiago"/>
    <s v="Parra Suarez"/>
    <s v="Santiago Parra Suarez"/>
    <s v="Administration Bsc"/>
    <s v="School of Management"/>
    <s v="Economics Bsc"/>
    <s v="School of Economics"/>
    <x v="0"/>
    <x v="4"/>
    <n v="202410"/>
    <n v="202410"/>
    <x v="0"/>
    <x v="0"/>
    <s v="Exchange Student Undergraduate"/>
    <x v="1"/>
    <s v="School of Management"/>
    <s v="Université Jean Moulin Lyon 3"/>
    <s v="Universidad Jean Moulin Lyon 3"/>
    <s v="General"/>
    <s v="France"/>
    <s v="Europe"/>
    <d v="2024-01-22T00:00:00"/>
    <d v="2024-05-25T00:00:00"/>
    <n v="124"/>
  </r>
  <r>
    <s v="s.herreraa@uniandes.edu.co"/>
    <n v="202021292"/>
    <s v="Santiago"/>
    <s v="Herrera Akers"/>
    <s v="Santiago Herrera Akers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EDHEC Business School"/>
    <s v="EDHEC Business School"/>
    <s v="Específico"/>
    <s v="France"/>
    <s v="Europe"/>
    <d v="2024-01-22T00:00:00"/>
    <d v="2024-05-25T00:00:00"/>
    <n v="124"/>
  </r>
  <r>
    <s v="s.porrass@uniandes.edu.co"/>
    <n v="202025938"/>
    <s v="Santiago Andres"/>
    <s v="Porras Salinas"/>
    <s v="Santiago Andres Porras Salinas"/>
    <s v="Administration Bsc"/>
    <s v="School of Management"/>
    <m/>
    <m/>
    <x v="0"/>
    <x v="4"/>
    <n v="202410"/>
    <n v="202410"/>
    <x v="0"/>
    <x v="0"/>
    <s v="CINDA"/>
    <x v="1"/>
    <s v="School of Management"/>
    <s v="Universidad de Cantabria"/>
    <s v="Universidad de Cantabria"/>
    <s v="General"/>
    <s v="Spain"/>
    <s v="Europe"/>
    <d v="2024-01-22T00:00:00"/>
    <d v="2024-05-25T00:00:00"/>
    <n v="124"/>
  </r>
  <r>
    <s v="n.ortegon@uniandes.edu.co"/>
    <n v="201823843"/>
    <s v="Nicolas"/>
    <s v="Ortegon Duarte"/>
    <s v="Nicolas Ortegon Duarte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é de Strasbourg"/>
    <s v="EM Strasbourg"/>
    <s v="Específico"/>
    <s v="France"/>
    <s v="Europe"/>
    <d v="2024-01-22T00:00:00"/>
    <d v="2024-05-25T00:00:00"/>
    <n v="124"/>
  </r>
  <r>
    <s v="n.lugo@uniandes.edu.co"/>
    <n v="202111951"/>
    <s v="Nicolas"/>
    <s v="Lugo Duque"/>
    <s v="Nicolas Lugo Duque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BI Handelshøyskolen"/>
    <s v="BI Norwegian Business School"/>
    <s v="Específico"/>
    <s v="Norway"/>
    <s v="Europe"/>
    <d v="2024-01-22T00:00:00"/>
    <d v="2024-05-25T00:00:00"/>
    <n v="124"/>
  </r>
  <r>
    <s v="n.pavajeau@uniandes.edu.co"/>
    <n v="201922858"/>
    <s v="Nicolas Guillermo"/>
    <s v="Pavajeau Fuentes"/>
    <s v="Nicolas Guillermo Pavajeau Fuentes"/>
    <s v="Administration Bsc"/>
    <s v="School of Management"/>
    <s v="Economics Bsc"/>
    <s v="School of Economics"/>
    <x v="0"/>
    <x v="4"/>
    <n v="202410"/>
    <n v="202410"/>
    <x v="0"/>
    <x v="0"/>
    <s v="Exchange Student Undergraduate"/>
    <x v="1"/>
    <s v="School of Management"/>
    <s v="HEC School of Management"/>
    <s v="HEC Paris"/>
    <s v="Específico"/>
    <s v="France"/>
    <s v="Europe"/>
    <d v="2024-01-22T00:00:00"/>
    <d v="2024-05-25T00:00:00"/>
    <n v="124"/>
  </r>
  <r>
    <s v="n.melol@uniandes.edu.co"/>
    <n v="202021528"/>
    <s v="Natalia Andrea"/>
    <s v="Melo Lozano"/>
    <s v="Natalia Andrea Melo Lozano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dad de Alicante"/>
    <s v="Universidad de Alicante"/>
    <s v="General"/>
    <s v="Spain"/>
    <s v="Europe"/>
    <d v="2024-01-22T00:00:00"/>
    <d v="2024-05-25T00:00:00"/>
    <n v="124"/>
  </r>
  <r>
    <s v="m.castiblancog@uniandes.edu.co"/>
    <n v="201922045"/>
    <s v="Mariana"/>
    <s v="Castiblanco Guerrero"/>
    <s v="Mariana Castiblanco Guerrero"/>
    <s v="Administration Bsc"/>
    <s v="School of Management"/>
    <s v="Economics Bsc"/>
    <s v="School of Economics"/>
    <x v="0"/>
    <x v="4"/>
    <n v="202410"/>
    <n v="202410"/>
    <x v="0"/>
    <x v="0"/>
    <s v="Exchange Student Undergraduate"/>
    <x v="1"/>
    <s v="School of Management"/>
    <s v="IE Universidad"/>
    <s v="IE Instituto Empresa"/>
    <s v="Específico"/>
    <s v="Spain"/>
    <s v="Europe"/>
    <d v="2024-01-22T00:00:00"/>
    <d v="2024-05-25T00:00:00"/>
    <n v="124"/>
  </r>
  <r>
    <s v="m.bacca@uniandes.edu.co"/>
    <n v="202020653"/>
    <s v="Mariana"/>
    <s v="Bacca Baños"/>
    <s v="Mariana Bacca Baños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McGill University"/>
    <s v="McGill University"/>
    <s v="Específico"/>
    <s v="Canada"/>
    <s v="North America"/>
    <d v="2024-01-22T00:00:00"/>
    <d v="2024-05-25T00:00:00"/>
    <n v="124"/>
  </r>
  <r>
    <s v="mp.buitragor@uniandes.edu.co"/>
    <n v="201911731"/>
    <s v="Maria Paula"/>
    <s v="Buitrago Renteria"/>
    <s v="Maria Paula Buitrago Renteria"/>
    <s v="Government and Public Policy Bsc"/>
    <s v="Government School Alberto Lleras Camargo"/>
    <s v="Administration Bsc"/>
    <s v="School of Management"/>
    <x v="0"/>
    <x v="4"/>
    <n v="202410"/>
    <n v="202410"/>
    <x v="0"/>
    <x v="0"/>
    <s v="Exchange Student Undergraduate"/>
    <x v="1"/>
    <s v="School of Management"/>
    <s v="ESSEC Business School"/>
    <s v="ESSEC"/>
    <s v="Específico"/>
    <s v="France"/>
    <s v="Europe"/>
    <d v="2024-01-22T00:00:00"/>
    <d v="2024-05-25T00:00:00"/>
    <n v="124"/>
  </r>
  <r>
    <s v="mc.pelaezp@uniandes.edu.co"/>
    <n v="201913760"/>
    <s v="Maria Camila"/>
    <s v="Pelaez Pardo"/>
    <s v="Maria Camila Pelaez Pardo"/>
    <s v="Law Bsc"/>
    <s v="School of Law"/>
    <s v="Administration Bsc"/>
    <s v="School of Management"/>
    <x v="0"/>
    <x v="4"/>
    <n v="202410"/>
    <n v="2024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1-22T00:00:00"/>
    <d v="2024-05-25T00:00:00"/>
    <n v="124"/>
  </r>
  <r>
    <s v="m.jaimesb@uniandes.edu.co"/>
    <n v="201923561"/>
    <s v="Maria Camila"/>
    <s v="Jaimes Baron"/>
    <s v="Maria Camila Jaimes Baron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ESCP Europe"/>
    <s v="ESCP"/>
    <s v="Específico"/>
    <s v="France"/>
    <s v="Europe"/>
    <d v="2024-01-22T00:00:00"/>
    <d v="2024-05-25T00:00:00"/>
    <n v="124"/>
  </r>
  <r>
    <s v="l.ibarrah@uniandes.edu.co"/>
    <n v="201920948"/>
    <s v="Laura Alejandra"/>
    <s v="Ibarra Hurtado"/>
    <s v="Laura Alejandra Ibarra Hurtado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4-01-22T00:00:00"/>
    <d v="2024-05-25T00:00:00"/>
    <n v="124"/>
  </r>
  <r>
    <s v="k.angel@uniandes.edu.co"/>
    <n v="202014991"/>
    <s v="Kevin Alejandro"/>
    <s v="Angel Merchan"/>
    <s v="Kevin Alejandro Angel Merchan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y of New South Wales"/>
    <s v="University of New South Wales"/>
    <s v="General"/>
    <s v="Australia"/>
    <s v="Oceania"/>
    <d v="2024-01-22T00:00:00"/>
    <d v="2024-05-25T00:00:00"/>
    <n v="124"/>
  </r>
  <r>
    <s v="jc.torresc1@uniandes.edu.co"/>
    <n v="201914631"/>
    <s v="Julián Camilo"/>
    <s v="Torres Cardozo"/>
    <s v="Julián Camilo Torres Cardozo"/>
    <s v="Administration Bsc"/>
    <s v="School of Management"/>
    <s v="Systems and Computing Engineering Bsc"/>
    <s v="School of Engineering"/>
    <x v="0"/>
    <x v="4"/>
    <n v="202410"/>
    <n v="202410"/>
    <x v="0"/>
    <x v="0"/>
    <s v="CINDA"/>
    <x v="1"/>
    <s v="School of Management"/>
    <s v="Universidad de Cantabria"/>
    <s v="Universidad de Cantabria"/>
    <s v="General"/>
    <s v="Spain"/>
    <s v="Europe"/>
    <d v="2024-01-22T00:00:00"/>
    <d v="2024-05-25T00:00:00"/>
    <n v="124"/>
  </r>
  <r>
    <s v="j.stanich@uniandes.edu.co"/>
    <n v="202022191"/>
    <s v="Juan Sebastian"/>
    <s v="Stanich Rebolledo"/>
    <s v="Juan Sebastian Stanich Rebolledo"/>
    <s v="Economics Bsc"/>
    <s v="School of Economics"/>
    <s v="Administration Bsc"/>
    <s v="School of Management"/>
    <x v="0"/>
    <x v="4"/>
    <n v="202410"/>
    <n v="202410"/>
    <x v="0"/>
    <x v="0"/>
    <s v="Exchange Student Undergraduate"/>
    <x v="1"/>
    <s v="School of Management"/>
    <s v="HEC School of Management"/>
    <s v="HEC Paris"/>
    <s v="Específico"/>
    <s v="France"/>
    <s v="Europe"/>
    <d v="2024-01-22T00:00:00"/>
    <d v="2024-05-25T00:00:00"/>
    <n v="124"/>
  </r>
  <r>
    <s v="jf.sanchezc@uniandes.edu.co"/>
    <n v="201820263"/>
    <s v="Juan Felipe"/>
    <s v="Sanchez Cardona"/>
    <s v="Juan Felipe Sanchez Cardona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4-01-22T00:00:00"/>
    <d v="2024-05-25T00:00:00"/>
    <n v="124"/>
  </r>
  <r>
    <s v="jf.gomezr12@uniandes.edu.co"/>
    <n v="202121551"/>
    <s v="Juan Felipe"/>
    <s v="Gomez Ruiz"/>
    <s v="Juan Felipe Gomez Ruiz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Aston University"/>
    <s v="Aston University"/>
    <s v="Específico"/>
    <s v="United Kingdom"/>
    <s v="Europe"/>
    <d v="2024-01-22T00:00:00"/>
    <d v="2024-05-25T00:00:00"/>
    <n v="124"/>
  </r>
  <r>
    <s v="j.ramirezt@uniandes.edu.co"/>
    <n v="202013257"/>
    <s v="Juan Esteban"/>
    <s v="Ramirez Triana"/>
    <s v="Juan Esteban Ramirez Triana"/>
    <s v="Administration Bsc"/>
    <s v="School of Management"/>
    <s v="Economics Bsc"/>
    <s v="School of Economics"/>
    <x v="0"/>
    <x v="4"/>
    <n v="202410"/>
    <n v="2024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1-22T00:00:00"/>
    <d v="2024-05-25T00:00:00"/>
    <n v="124"/>
  </r>
  <r>
    <s v="j.cuadrosm@uniandes.edu.co"/>
    <n v="202124707"/>
    <s v="Juan Diego"/>
    <s v="Cuadros Mariño"/>
    <s v="Juan Diego Cuadros Mariño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ESSEC Business School"/>
    <s v="ESSEC"/>
    <s v="Específico"/>
    <s v="France"/>
    <s v="Europe"/>
    <d v="2024-01-22T00:00:00"/>
    <d v="2024-05-25T00:00:00"/>
    <n v="124"/>
  </r>
  <r>
    <s v="j.ballenc@uniandes.edu.co"/>
    <n v="202011438"/>
    <s v="Juan David"/>
    <s v="Ballen Castañeda"/>
    <s v="Juan David Ballen Castañeda"/>
    <s v="Economics Bsc"/>
    <s v="School of Economics"/>
    <s v="Administration Bsc"/>
    <s v="School of Management"/>
    <x v="0"/>
    <x v="4"/>
    <n v="202410"/>
    <n v="202410"/>
    <x v="0"/>
    <x v="0"/>
    <s v="Exchange Student Undergraduate"/>
    <x v="1"/>
    <s v="School of Management"/>
    <s v="Università Commerciale 'Luigi Bocconi' di Milano"/>
    <s v="Università Commerciale Luigi Bocconi"/>
    <s v="Específico"/>
    <s v="Italy"/>
    <s v="Europe"/>
    <d v="2024-01-22T00:00:00"/>
    <d v="2024-05-25T00:00:00"/>
    <n v="124"/>
  </r>
  <r>
    <s v="j.escamilla@uniandes.edu.co"/>
    <n v="202021038"/>
    <s v="Jose Daniel"/>
    <s v="Escamilla Atehortua"/>
    <s v="Jose Daniel Escamilla Atehortua"/>
    <s v="Administration Bsc"/>
    <s v="School of Management"/>
    <s v="Industrial Engineering Bsc"/>
    <s v="School of Engineering"/>
    <x v="0"/>
    <x v="4"/>
    <n v="202410"/>
    <n v="202410"/>
    <x v="0"/>
    <x v="0"/>
    <s v="Exchange Student Undergraduate"/>
    <x v="1"/>
    <s v="School of Management"/>
    <s v="ESCP Europe"/>
    <s v="ESCP"/>
    <s v="Específico"/>
    <s v="France"/>
    <s v="Europe"/>
    <d v="2024-01-22T00:00:00"/>
    <d v="2024-05-25T00:00:00"/>
    <n v="124"/>
  </r>
  <r>
    <s v="jd.mejiag1@uniandes.edu.co"/>
    <n v="201814216"/>
    <s v="Jorge David"/>
    <s v="Mejia Garcia"/>
    <s v="Jorge David Mejia Garcia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é de Strasbourg"/>
    <s v="EM Strasbourg"/>
    <s v="Específico"/>
    <s v="France"/>
    <s v="Europe"/>
    <d v="2024-01-22T00:00:00"/>
    <d v="2024-05-25T00:00:00"/>
    <n v="124"/>
  </r>
  <r>
    <s v="i.hernandezp1@uniandes.edu.co"/>
    <n v="201912851"/>
    <s v="Isabella"/>
    <s v="Hernandez Pinilla"/>
    <s v="Isabella Hernandez Pinilla"/>
    <s v="Administration Bsc"/>
    <s v="School of Management"/>
    <m/>
    <m/>
    <x v="0"/>
    <x v="4"/>
    <n v="202410"/>
    <n v="202410"/>
    <x v="0"/>
    <x v="0"/>
    <s v="CINDA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4-01-22T00:00:00"/>
    <d v="2024-05-25T00:00:00"/>
    <n v="124"/>
  </r>
  <r>
    <s v="g.samper@uniandes.edu.co"/>
    <n v="202022097"/>
    <s v="Gabriela"/>
    <s v="Samper Villegas"/>
    <s v="Gabriela Samper Villegas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y of Melbourne"/>
    <s v="University of Melbourne"/>
    <s v="Específico"/>
    <s v="Australia"/>
    <s v="Oceania"/>
    <d v="2024-01-22T00:00:00"/>
    <d v="2024-05-25T00:00:00"/>
    <n v="124"/>
  </r>
  <r>
    <s v="ea.garay@uniandes.edu.co"/>
    <n v="201912521"/>
    <s v="Edgar Andres"/>
    <s v="Garay Ospina"/>
    <s v="Edgar Andres Garay Ospina"/>
    <s v="Administration Bsc"/>
    <s v="School of Management"/>
    <s v="Law Bsc"/>
    <s v="School of Law"/>
    <x v="0"/>
    <x v="4"/>
    <n v="202410"/>
    <n v="202410"/>
    <x v="0"/>
    <x v="0"/>
    <s v="Exchange Student Undergraduate"/>
    <x v="1"/>
    <s v="School of Management"/>
    <s v="Nagoya University of Commerce and Business"/>
    <s v="NUCB- Nagoya University of commerce and business"/>
    <s v="Específico"/>
    <s v="Japan"/>
    <s v="Asia"/>
    <d v="2024-01-22T00:00:00"/>
    <d v="2024-05-25T00:00:00"/>
    <n v="124"/>
  </r>
  <r>
    <s v="dj.martinezg1@uniandes.edu.co"/>
    <n v="202115454"/>
    <s v="Dimas Jose"/>
    <s v="Martinez Gomez"/>
    <s v="Dimas Jose Martinez Gomez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Amherst College"/>
    <s v="Amherst College"/>
    <s v="General"/>
    <s v="United States"/>
    <s v="North America"/>
    <d v="2024-01-22T00:00:00"/>
    <d v="2024-05-25T00:00:00"/>
    <n v="124"/>
  </r>
  <r>
    <s v="dc.arias@uniandes.edu.co"/>
    <n v="201710944"/>
    <s v="Diana Carolina"/>
    <s v="Arias Legarda"/>
    <s v="Diana Carolina Arias Legarda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4-01-22T00:00:00"/>
    <d v="2024-05-25T00:00:00"/>
    <n v="124"/>
  </r>
  <r>
    <s v="d.soto@uniandes.edu.co"/>
    <n v="202013669"/>
    <s v="Daniela"/>
    <s v="Soto Grisales"/>
    <s v="Daniela Soto Grisales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McGill University"/>
    <s v="McGill University"/>
    <s v="Específico"/>
    <s v="Canada"/>
    <s v="North America"/>
    <d v="2024-01-22T00:00:00"/>
    <d v="2024-05-25T00:00:00"/>
    <n v="124"/>
  </r>
  <r>
    <s v="d.lozanos@uniandes.edu.co"/>
    <n v="202211052"/>
    <s v="Daniel Santiago"/>
    <s v="Lozano Sánchez"/>
    <s v="Daniel Santiago Lozano Sánchez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Fundação Getulio Vargas"/>
    <s v="Fundação Getulio Vargas"/>
    <s v="Específico"/>
    <s v="Brazil"/>
    <s v="South America"/>
    <d v="2024-01-22T00:00:00"/>
    <d v="2024-05-25T00:00:00"/>
    <n v="124"/>
  </r>
  <r>
    <s v="de.ortegon@uniandes.edu.co"/>
    <n v="201821613"/>
    <s v="Daniel Esteban"/>
    <s v="Ortegon Barrera"/>
    <s v="Daniel Esteban Ortegon Barrera"/>
    <s v="Biology Bsc"/>
    <s v="School of Sciences"/>
    <s v="Administration Bsc"/>
    <s v="School of Management"/>
    <x v="0"/>
    <x v="4"/>
    <n v="202410"/>
    <n v="202410"/>
    <x v="0"/>
    <x v="0"/>
    <s v="Exchange Student Undergraduate"/>
    <x v="1"/>
    <s v="School of Management"/>
    <s v="Università degli Studi di Bologna 'Alma Mater Studiorum'"/>
    <s v="Università degli Studi di Bologna 'Alma Mater Studiorum'"/>
    <s v="General"/>
    <s v="Italy"/>
    <s v="Europe"/>
    <d v="2024-01-22T00:00:00"/>
    <d v="2024-05-25T00:00:00"/>
    <n v="124"/>
  </r>
  <r>
    <s v="c.marquezt@uniandes.edu.co"/>
    <n v="202012594"/>
    <s v="Cesar Andres"/>
    <s v="Marquez Tavera"/>
    <s v="Cesar Andres Marquez Tavera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y of Bristol"/>
    <s v="University of Bristol"/>
    <s v="General"/>
    <s v="United Kingdom"/>
    <s v="Europe"/>
    <d v="2024-01-22T00:00:00"/>
    <d v="2024-05-25T00:00:00"/>
    <n v="124"/>
  </r>
  <r>
    <s v="c.rincons@uniandes.edu.co"/>
    <n v="202014748"/>
    <s v="Camilo Alexander"/>
    <s v="Rincon Santos"/>
    <s v="Camilo Alexander Rincon Santos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Politecnico di Milano"/>
    <s v="Politecnico di Milano"/>
    <s v="Específico"/>
    <s v="Italy"/>
    <s v="Europe"/>
    <d v="2024-01-22T00:00:00"/>
    <d v="2024-05-25T00:00:00"/>
    <n v="124"/>
  </r>
  <r>
    <s v="jc.celis@uniandes.edu.co"/>
    <n v="201712589"/>
    <s v="Juan Camilo"/>
    <s v="Celis Rengifo"/>
    <s v="Juan Camilo Celis Rengifo"/>
    <s v="Mechanical Engineering Bsc"/>
    <s v="School of Engineering"/>
    <s v="Administration Bsc"/>
    <s v="School of Management"/>
    <x v="0"/>
    <x v="4"/>
    <n v="202410"/>
    <n v="202410"/>
    <x v="0"/>
    <x v="0"/>
    <s v="Exchange Student Undergraduate"/>
    <x v="1"/>
    <s v="School of Management"/>
    <s v="Universidade do Porto"/>
    <s v="Universidade do Porto"/>
    <s v="General"/>
    <s v="Portugal"/>
    <s v="Europe"/>
    <d v="2024-01-22T00:00:00"/>
    <d v="2024-05-25T00:00:00"/>
    <n v="124"/>
  </r>
  <r>
    <s v="aj.salazarc1@uniandes.edu.co"/>
    <n v="202022078"/>
    <s v="Alvaro Jose"/>
    <s v="Salazar Cogollo"/>
    <s v="Alvaro Jose Salazar Cogollo"/>
    <s v="Administration Bsc"/>
    <s v="School of Management"/>
    <s v="Law Bsc"/>
    <s v="School of Law"/>
    <x v="0"/>
    <x v="4"/>
    <n v="202410"/>
    <n v="2024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4-01-22T00:00:00"/>
    <d v="2024-05-25T00:00:00"/>
    <n v="124"/>
  </r>
  <r>
    <s v="d.benjumea@uniandes.edu.co"/>
    <n v="202011528"/>
    <s v="Daniel Jose"/>
    <s v="Benjumea Silva"/>
    <s v="Daniel Jose Benjumea Silva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4-01-22T00:00:00"/>
    <d v="2024-05-25T00:00:00"/>
    <n v="124"/>
  </r>
  <r>
    <s v="a.cuellarp@uniandes.edu.co"/>
    <n v="202122274"/>
    <s v="Alejandra"/>
    <s v="Cuellar Paez"/>
    <s v="Alejandra Cuellar Paez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at Ramon Llull"/>
    <s v="ESADE"/>
    <s v="Específico"/>
    <s v="Spain"/>
    <s v="Europe"/>
    <d v="2024-01-22T00:00:00"/>
    <d v="2024-05-25T00:00:00"/>
    <n v="124"/>
  </r>
  <r>
    <s v="kd.quintero44@uniandes.edu.co"/>
    <n v="200322688"/>
    <s v="Karol De La Paz"/>
    <s v="Quintero Rodriguez"/>
    <s v="Karol De La Paz Quintero Rodriguez"/>
    <s v="Doctoral Program in Administration"/>
    <s v="School of Management"/>
    <m/>
    <m/>
    <x v="1"/>
    <x v="4"/>
    <n v="202410"/>
    <n v="202410"/>
    <x v="2"/>
    <x v="0"/>
    <s v="Triada"/>
    <x v="7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4-01-22T00:00:00"/>
    <d v="2024-05-25T00:00:00"/>
    <n v="124"/>
  </r>
  <r>
    <s v="y.francog@uniandes.edu.co"/>
    <n v="201819043"/>
    <s v="Yuly Andrea"/>
    <s v="Franco Gomez"/>
    <s v="Yuly Andrea Franco Gomez"/>
    <s v="Administration Bsc"/>
    <s v="School of Management"/>
    <m/>
    <m/>
    <x v="1"/>
    <x v="4"/>
    <n v="202410"/>
    <n v="202410"/>
    <x v="0"/>
    <x v="0"/>
    <s v="Triada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4-01-22T00:00:00"/>
    <d v="2024-05-25T00:00:00"/>
    <n v="124"/>
  </r>
  <r>
    <s v="j.ballenc@uniandes.edu.co"/>
    <n v="202011438"/>
    <s v="Juan David"/>
    <s v="Ballen Castañeda"/>
    <s v="Juan David Ballen Castañeda"/>
    <s v="Administration Bsc"/>
    <s v="School of Management"/>
    <m/>
    <m/>
    <x v="0"/>
    <x v="4"/>
    <n v="202419"/>
    <n v="202419"/>
    <x v="0"/>
    <x v="2"/>
    <s v="Research Internship"/>
    <x v="1"/>
    <s v="School of Management"/>
    <s v="Cornell University"/>
    <s v="Cornell University"/>
    <s v="General"/>
    <s v="Estados Unidos"/>
    <s v="North America"/>
    <d v="2024-06-04T00:00:00"/>
    <d v="2024-07-27T00:00:00"/>
    <n v="53"/>
  </r>
  <r>
    <s v="v.corredort@uniandes.edu.co"/>
    <n v="202020929"/>
    <s v="Valeria Andrea"/>
    <s v="Corredor Tovar"/>
    <s v="Valeria Andrea Corredor Tovar"/>
    <s v="Administration Bsc"/>
    <s v="School of Management"/>
    <m/>
    <m/>
    <x v="0"/>
    <x v="4"/>
    <n v="202419"/>
    <n v="202419"/>
    <x v="0"/>
    <x v="2"/>
    <s v="Research Internship"/>
    <x v="1"/>
    <s v="School of Management"/>
    <s v="Cornell University"/>
    <s v="Cornell University"/>
    <s v="General"/>
    <s v="Estados Unidos"/>
    <s v="North America"/>
    <d v="2024-06-04T00:00:00"/>
    <d v="2024-07-27T00:00:00"/>
    <n v="53"/>
  </r>
  <r>
    <s v="l.anayaj@uniandes.edu.co"/>
    <n v="202120052"/>
    <s v="Laura Alejandra"/>
    <s v="Anaya Jimenez"/>
    <s v="Laura Alejandra Anaya Jimenez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ty of New South Wales"/>
    <s v="University of New South Wales"/>
    <s v="General"/>
    <s v="Australia"/>
    <s v="Oceania"/>
    <d v="2024-08-05T00:00:00"/>
    <d v="2024-11-30T00:00:00"/>
    <n v="117"/>
  </r>
  <r>
    <s v="s.velezs2@uniandes.edu.co"/>
    <n v="202123932"/>
    <s v="Sofia"/>
    <s v="Velez Stiefken"/>
    <s v="Sofia Velez Stiefken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ty of Exeter"/>
    <s v="University of Exeter"/>
    <s v="Específico"/>
    <s v="United Kingdom"/>
    <s v="Europe"/>
    <d v="2024-08-05T00:00:00"/>
    <d v="2024-11-30T00:00:00"/>
    <n v="117"/>
  </r>
  <r>
    <s v="m.sampedros@uniandes.edu.co"/>
    <n v="202022094"/>
    <s v="Martin"/>
    <s v="Sampedro Sanchez"/>
    <s v="Martin Sampedro Sanchez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té Libre de Bruxelles"/>
    <s v="Université Libre de Bruxelles"/>
    <s v="General"/>
    <s v="Belgium"/>
    <s v="Europe"/>
    <d v="2024-08-05T00:00:00"/>
    <d v="2024-11-30T00:00:00"/>
    <n v="117"/>
  </r>
  <r>
    <s v="n.duqueg@uniandes.edu.co"/>
    <n v="202122361"/>
    <s v="Natalia"/>
    <s v="Duque Gutierrez"/>
    <s v="Natalia Duque Gutierrez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tät zu Köln"/>
    <s v="Universität zu Köln"/>
    <s v="General"/>
    <s v="Germany"/>
    <s v="Europe"/>
    <d v="2024-08-05T00:00:00"/>
    <d v="2024-11-30T00:00:00"/>
    <n v="117"/>
  </r>
  <r>
    <s v="ja.sanabriag1@uniandes.edu.co"/>
    <n v="202113000"/>
    <s v="Juan Andres"/>
    <s v="Sanabria Garcia"/>
    <s v="Juan Andres Sanabria Garci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4-08-05T00:00:00"/>
    <d v="2024-11-30T00:00:00"/>
    <n v="117"/>
  </r>
  <r>
    <s v="i.guillermety@uniandes.edu.co"/>
    <n v="202220843"/>
    <s v="Isabel Maria"/>
    <s v="Guillermety Cubillos"/>
    <s v="Isabel Maria Guillermety Cubillos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tat Ramon Llull"/>
    <s v="ESADE"/>
    <s v="Específico"/>
    <s v="Spain"/>
    <s v="Europe"/>
    <d v="2024-08-05T00:00:00"/>
    <d v="2024-11-30T00:00:00"/>
    <n v="117"/>
  </r>
  <r>
    <s v="m.daunas@uniandes.edu.co"/>
    <n v="202122291"/>
    <s v="María José"/>
    <s v="Daunas Castro"/>
    <s v="María José Daunas Castro"/>
    <s v="Administration Bsc"/>
    <s v="School of Management"/>
    <m/>
    <m/>
    <x v="0"/>
    <x v="4"/>
    <n v="202420"/>
    <n v="202420"/>
    <x v="0"/>
    <x v="0"/>
    <s v="CINDA"/>
    <x v="1"/>
    <s v="School of Management"/>
    <s v="Universitat Politècnica de Catalunya"/>
    <s v="Universitat Politècnica de Catalunya"/>
    <s v="General"/>
    <s v="Spain"/>
    <s v="Europe"/>
    <d v="2024-08-05T00:00:00"/>
    <d v="2024-11-30T00:00:00"/>
    <n v="117"/>
  </r>
  <r>
    <s v="h.martinezs@uniandes.edu.co"/>
    <n v="202122947"/>
    <s v="Henry Alejandro"/>
    <s v="Martinez Sanchez"/>
    <s v="Henry Alejandro Martinez Sanchez"/>
    <s v="Administration Bsc"/>
    <s v="School of Management"/>
    <m/>
    <m/>
    <x v="0"/>
    <x v="4"/>
    <n v="202420"/>
    <n v="202420"/>
    <x v="0"/>
    <x v="0"/>
    <s v="CINDA"/>
    <x v="1"/>
    <s v="School of Management"/>
    <s v="Universitat Politècnica de Catalunya"/>
    <s v="Universitat Politècnica de Catalunya"/>
    <s v="General"/>
    <s v="Spain"/>
    <s v="Europe"/>
    <d v="2024-08-05T00:00:00"/>
    <d v="2024-11-30T00:00:00"/>
    <n v="117"/>
  </r>
  <r>
    <s v="s.higueraa@uniandes.edu.co"/>
    <n v="202222294"/>
    <s v="Simon Andres"/>
    <s v="Higuera Aristizabal"/>
    <s v="Simon Andres Higuera Aristizabal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4-08-05T00:00:00"/>
    <d v="2024-11-30T00:00:00"/>
    <n v="117"/>
  </r>
  <r>
    <s v="i.mateuso2@uniandes.edu.co"/>
    <n v="202215416"/>
    <s v="Isabella María"/>
    <s v="Mateus Ortega"/>
    <s v="Isabella María Mateus Orteg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4-08-05T00:00:00"/>
    <d v="2024-11-30T00:00:00"/>
    <n v="117"/>
  </r>
  <r>
    <s v="g.parrado@uniandes.edu.co"/>
    <n v="202112467"/>
    <s v="Gabriela "/>
    <s v="Parrado Beltran "/>
    <s v="Gabriela  Parrado Beltran 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dade do Minho"/>
    <s v="Universidade do Minho"/>
    <s v="General"/>
    <s v="Portugal"/>
    <s v="Europe"/>
    <d v="2024-08-05T00:00:00"/>
    <d v="2024-11-30T00:00:00"/>
    <n v="117"/>
  </r>
  <r>
    <s v="m.floresc@uniandes.edu.co"/>
    <n v="202120175"/>
    <s v="Maria Corina"/>
    <s v="Flores Calcaño"/>
    <s v="Maria Corina Flores Calcaño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4-08-05T00:00:00"/>
    <d v="2024-11-30T00:00:00"/>
    <n v="117"/>
  </r>
  <r>
    <s v="a.rengifoc@uniandes.edu.co"/>
    <n v="202021945"/>
    <s v="Ana Sofia"/>
    <s v="Rengifo Chaves"/>
    <s v="Ana Sofia Rengifo Chaves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4-08-05T00:00:00"/>
    <d v="2024-11-30T00:00:00"/>
    <n v="117"/>
  </r>
  <r>
    <s v="ja.latorre@uniandes.edu.co"/>
    <n v="201912975"/>
    <s v="Jairo Andres"/>
    <s v="Latorre Vela"/>
    <s v="Jairo Andres Latorre Vela"/>
    <s v="Administration Bsc"/>
    <s v="School of Management"/>
    <s v="Government and Public Policy Bsc"/>
    <s v="Government School Alberto Lleras Camargo"/>
    <x v="0"/>
    <x v="4"/>
    <n v="202420"/>
    <n v="202420"/>
    <x v="0"/>
    <x v="0"/>
    <s v="Exchange Student Undergraduate"/>
    <x v="1"/>
    <s v="School of Management"/>
    <s v="Universidad del País Vasco / Euskal Herriko Unibertsitatea"/>
    <s v="Universidad del País Vasco / Euskal Herriko Unibertsitatea"/>
    <s v="General"/>
    <s v="Spain"/>
    <s v="Europe"/>
    <d v="2024-08-05T00:00:00"/>
    <d v="2024-11-30T00:00:00"/>
    <n v="117"/>
  </r>
  <r>
    <s v="j.romerol2@uniandes.edu.co"/>
    <n v="202027040"/>
    <s v="Johana"/>
    <s v="Romero Lopez"/>
    <s v="Johana Romero Lopez"/>
    <s v="Master in Development Management and Practice"/>
    <s v="School of Management"/>
    <m/>
    <m/>
    <x v="0"/>
    <x v="4"/>
    <n v="202420"/>
    <n v="202420"/>
    <x v="1"/>
    <x v="0"/>
    <s v="Exchange Master Student"/>
    <x v="4"/>
    <s v="School of Management"/>
    <s v="Universidad del País Vasco / Euskal Herriko Unibertsitatea"/>
    <s v="Universidad del País Vasco / Euskal Herriko Unibertsitatea"/>
    <s v="General"/>
    <s v="Spain"/>
    <s v="Europe"/>
    <d v="2024-08-05T00:00:00"/>
    <d v="2024-11-30T00:00:00"/>
    <n v="117"/>
  </r>
  <r>
    <s v="d.zapatah@uniandes.edu.co"/>
    <n v="202311669"/>
    <s v="David Alejandro"/>
    <s v="Zapata Hernandez"/>
    <s v="David Alejandro Zapata Hernandez"/>
    <s v="Master in Supply Chain Management"/>
    <s v="School of Management"/>
    <m/>
    <m/>
    <x v="0"/>
    <x v="4"/>
    <n v="202420"/>
    <n v="202420"/>
    <x v="1"/>
    <x v="0"/>
    <s v="Exchange Master Student"/>
    <x v="2"/>
    <s v="School of Management"/>
    <s v="Universidad del Pacífico, Lima"/>
    <s v="Universidad del Pacífico"/>
    <s v="Específico"/>
    <s v="Peru"/>
    <s v="South America"/>
    <d v="2024-08-05T00:00:00"/>
    <d v="2024-11-30T00:00:00"/>
    <n v="117"/>
  </r>
  <r>
    <s v="jd.rodrigueza123@uniandes.edu.co"/>
    <n v="202121605"/>
    <s v="Juan Diego"/>
    <s v="Rodriguez Arango"/>
    <s v="Juan Diego Rodriguez Arango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dad de Alicante"/>
    <s v="Universidad de Alicante"/>
    <s v="General"/>
    <s v="Spain"/>
    <s v="Europe"/>
    <d v="2024-08-05T00:00:00"/>
    <d v="2024-11-30T00:00:00"/>
    <n v="117"/>
  </r>
  <r>
    <s v="a.lunas@uniandes.edu.co"/>
    <n v="202021436"/>
    <s v="Alejandro"/>
    <s v="Luna Silva"/>
    <s v="Alejandro Luna Silva"/>
    <s v="Administration Bsc"/>
    <s v="School of Management"/>
    <m/>
    <m/>
    <x v="0"/>
    <x v="4"/>
    <n v="202420"/>
    <n v="202420"/>
    <x v="0"/>
    <x v="1"/>
    <s v="Double Degree"/>
    <x v="1"/>
    <s v="School of Management"/>
    <s v="Tulane University"/>
    <s v="A.B. Freeman School of Business, Tulane University"/>
    <s v="Específico"/>
    <s v="United States"/>
    <s v="North America"/>
    <d v="2024-08-05T00:00:00"/>
    <d v="2024-11-30T00:00:00"/>
    <n v="117"/>
  </r>
  <r>
    <s v="d.rodriguezr2@uniandes.edu.co"/>
    <n v="202112851"/>
    <s v="Daniel"/>
    <s v="Rodriguez Rincon"/>
    <s v="Daniel Rodriguez Rincon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4-08-05T00:00:00"/>
    <d v="2024-11-30T00:00:00"/>
    <n v="117"/>
  </r>
  <r>
    <s v="m.amadorg@uniandes.edu.co"/>
    <n v="202121765"/>
    <s v="Maria Fernanda"/>
    <s v="Amador Gonzalez"/>
    <s v="Maria Fernanda Amador Gonzalez"/>
    <s v="Economics Bsc"/>
    <s v="School of Economics"/>
    <s v="Administration Bsc"/>
    <s v="School of Management"/>
    <x v="0"/>
    <x v="4"/>
    <n v="202420"/>
    <n v="2024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j.ballenc@uniandes.edu.co"/>
    <n v="202011438"/>
    <s v="Juan David"/>
    <s v="Ballen Castañeda"/>
    <s v="Juan David Ballen Castañeda"/>
    <s v="Administration Bsc"/>
    <s v="School of Management"/>
    <m/>
    <m/>
    <x v="0"/>
    <x v="4"/>
    <n v="202420"/>
    <n v="202420"/>
    <x v="0"/>
    <x v="1"/>
    <s v="Double Degre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ma.camargoc@uniandes.edu.co"/>
    <n v="201812978"/>
    <s v="Maria Angelica"/>
    <s v="Camargo Cruz"/>
    <s v="Maria Angelica Camargo Cruz"/>
    <s v="Administration Bsc"/>
    <s v="School of Management"/>
    <m/>
    <m/>
    <x v="0"/>
    <x v="4"/>
    <n v="202420"/>
    <n v="202420"/>
    <x v="0"/>
    <x v="1"/>
    <s v="Double Degre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l.clavijo@uniandes.edu.co"/>
    <n v="202122210"/>
    <s v="Laura Ximena"/>
    <s v="Clavijo Vanegas"/>
    <s v="Laura Ximena Clavijo Vanegas"/>
    <s v="Administration Bsc"/>
    <s v="School of Management"/>
    <s v="Economics Bsc"/>
    <s v="School of Economics"/>
    <x v="0"/>
    <x v="4"/>
    <n v="202420"/>
    <n v="2024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s.gutierrez7@uniandes.edu.co"/>
    <n v="202021255"/>
    <s v="Sebastian"/>
    <s v="Gutierrez Cuenca"/>
    <s v="Sebastian Gutierrez Cuenca"/>
    <s v="Administration Bsc"/>
    <s v="School of Management"/>
    <m/>
    <m/>
    <x v="0"/>
    <x v="4"/>
    <n v="202420"/>
    <n v="202420"/>
    <x v="0"/>
    <x v="1"/>
    <s v="Double Degre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c.mejiaq@uniandes.edu.co"/>
    <n v="202115471"/>
    <s v="Camilo"/>
    <s v="Mejia Quintero"/>
    <s v="Camilo Mejia Quintero"/>
    <s v="Administration Bsc"/>
    <s v="School of Management"/>
    <m/>
    <m/>
    <x v="0"/>
    <x v="4"/>
    <n v="202420"/>
    <n v="202420"/>
    <x v="0"/>
    <x v="1"/>
    <s v="Double Degre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da.reyesh@uniandes.edu.co"/>
    <n v="201814957"/>
    <s v="Daniel Alberto"/>
    <s v="Reyes Herrera"/>
    <s v="Daniel Alberto Reyes Herrera"/>
    <s v="Administration Bsc"/>
    <s v="School of Management"/>
    <m/>
    <m/>
    <x v="0"/>
    <x v="4"/>
    <n v="202420"/>
    <n v="202420"/>
    <x v="0"/>
    <x v="1"/>
    <s v="Double Degre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j.tobona@uniandes.edu.co"/>
    <n v="202022226"/>
    <s v="Juan Jose"/>
    <s v="Tobon Arango"/>
    <s v="Juan Jose Tobon Arango"/>
    <s v="Administration Bsc"/>
    <s v="School of Management"/>
    <m/>
    <m/>
    <x v="0"/>
    <x v="4"/>
    <n v="202420"/>
    <n v="202420"/>
    <x v="0"/>
    <x v="1"/>
    <s v="Double Degre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c.perez8@uniandes.edu.co"/>
    <n v="202021816"/>
    <s v="Camilo"/>
    <s v="Perez Bedoya"/>
    <s v="Camilo Perez Bedoya"/>
    <s v="Administration Bsc"/>
    <s v="School of Management"/>
    <m/>
    <m/>
    <x v="0"/>
    <x v="4"/>
    <n v="202420"/>
    <n v="202420"/>
    <x v="0"/>
    <x v="1"/>
    <s v="Double Degree"/>
    <x v="1"/>
    <s v="School of Management"/>
    <s v="Tilburg University"/>
    <s v="Universidad de Tilburg"/>
    <s v="Específico"/>
    <s v="Netherlands"/>
    <s v="Europe"/>
    <d v="2024-08-05T00:00:00"/>
    <d v="2024-11-30T00:00:00"/>
    <n v="117"/>
  </r>
  <r>
    <s v="y.penaa@uniandes.edu.co"/>
    <n v="202225152"/>
    <s v="Yuli Paola"/>
    <s v="Peña Aranguena"/>
    <s v="Yuli Paola Peña Aranguena"/>
    <s v="Master in Supply Chain Management"/>
    <s v="School of Management"/>
    <m/>
    <m/>
    <x v="0"/>
    <x v="4"/>
    <n v="202420"/>
    <n v="202420"/>
    <x v="1"/>
    <x v="0"/>
    <s v="Exchange Master Student"/>
    <x v="2"/>
    <s v="School of Management"/>
    <s v="Maastricht University"/>
    <s v="Maastricht University"/>
    <s v="Específico"/>
    <s v="Netherlands"/>
    <s v="Europe"/>
    <d v="2024-08-05T00:00:00"/>
    <d v="2024-11-30T00:00:00"/>
    <n v="117"/>
  </r>
  <r>
    <s v="a.cuberos@uniandes.edu.co"/>
    <n v="202122269"/>
    <s v="Alicia"/>
    <s v="Cuberos Arboleda"/>
    <s v="Alicia Cuberos Arboleda"/>
    <s v="Administration Bsc"/>
    <s v="School of Management"/>
    <s v="Economics Bsc"/>
    <s v="School of Economics"/>
    <x v="0"/>
    <x v="4"/>
    <n v="202420"/>
    <n v="202420"/>
    <x v="0"/>
    <x v="0"/>
    <s v="Exchange Student Undergraduate"/>
    <x v="1"/>
    <s v="School of Management"/>
    <s v="Queensland University of Technology"/>
    <s v="Queensland University of Technology"/>
    <s v="Específico"/>
    <s v="Australia"/>
    <s v="Oceania"/>
    <d v="2024-08-05T00:00:00"/>
    <d v="2024-11-30T00:00:00"/>
    <n v="117"/>
  </r>
  <r>
    <s v="je.sanchezc1@uniandes.edu.co"/>
    <n v="202022733"/>
    <s v="Juan Esteban"/>
    <s v="Sanchez Cruz"/>
    <s v="Juan Esteban Sanchez Cruz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Queensland University of Technology"/>
    <s v="Queensland University of Technology"/>
    <s v="Específico"/>
    <s v="Australia"/>
    <s v="Oceania"/>
    <d v="2024-08-05T00:00:00"/>
    <d v="2024-11-30T00:00:00"/>
    <n v="117"/>
  </r>
  <r>
    <s v="j.lealm@uniandes.edu.co"/>
    <n v="202124104"/>
    <s v="Juanita"/>
    <s v="Leal Martinez"/>
    <s v="Juanita Leal Martinez"/>
    <s v="Administration Bsc"/>
    <s v="School of Management"/>
    <s v="Economics Bsc"/>
    <s v="School of Economics"/>
    <x v="0"/>
    <x v="4"/>
    <n v="202420"/>
    <n v="202420"/>
    <x v="0"/>
    <x v="0"/>
    <s v="Exchange Student Undergraduate"/>
    <x v="1"/>
    <s v="School of Management"/>
    <s v="Politecnico di Milano"/>
    <s v="Politecnico di Milano"/>
    <s v="Específico"/>
    <s v="Italy"/>
    <s v="Europe"/>
    <d v="2024-08-05T00:00:00"/>
    <d v="2024-11-30T00:00:00"/>
    <n v="117"/>
  </r>
  <r>
    <s v="m.padillaj@uniandes.edu.co"/>
    <n v="202021749"/>
    <s v="Maria Fernanda"/>
    <s v="Padilla Jaimes"/>
    <s v="Maria Fernanda Padilla Jaimes"/>
    <s v="Administration Bsc"/>
    <s v="School of Management"/>
    <s v="Economics Bsc"/>
    <s v="School of Economics"/>
    <x v="0"/>
    <x v="4"/>
    <n v="202420"/>
    <n v="202420"/>
    <x v="0"/>
    <x v="0"/>
    <s v="Exchange Student Undergraduate"/>
    <x v="1"/>
    <s v="School of Management"/>
    <s v="Politecnico di Milano"/>
    <s v="Politecnico di Milano"/>
    <s v="Específico"/>
    <s v="Italy"/>
    <s v="Europe"/>
    <d v="2024-08-05T00:00:00"/>
    <d v="2024-11-30T00:00:00"/>
    <n v="117"/>
  </r>
  <r>
    <s v="a.maldonadoc@uniandes.edu.co"/>
    <n v="202213826"/>
    <s v="Andres Felipe"/>
    <s v="Maldonado Corredor"/>
    <s v="Andres Felipe Maldonado Corredor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NEOMA Business School"/>
    <s v="ESC Rouen (NEOMA)"/>
    <s v="Específico"/>
    <s v="France"/>
    <s v="Europe"/>
    <d v="2024-08-05T00:00:00"/>
    <d v="2024-11-30T00:00:00"/>
    <n v="117"/>
  </r>
  <r>
    <s v="n.magdalena@uniandes.edu.co"/>
    <n v="202122898"/>
    <s v="Nicolás"/>
    <s v="Magdalena Osorio"/>
    <s v="Nicolás Magdalena Osorio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National Chengchi University"/>
    <s v="NCCU- National Chengchi University"/>
    <s v="Específico"/>
    <s v="Taiwan"/>
    <s v="Asia"/>
    <d v="2024-08-05T00:00:00"/>
    <d v="2024-11-30T00:00:00"/>
    <n v="117"/>
  </r>
  <r>
    <s v="s.vallejob@uniandes.edu.co"/>
    <n v="202022535"/>
    <s v="Sara"/>
    <s v="Vallejo Baena"/>
    <s v="Sara Vallejo Baen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Nagoya University of Commerce and Business"/>
    <s v="NUCB- Nagoya University of commerce and business"/>
    <s v="Específico"/>
    <s v="Japan"/>
    <s v="Asia"/>
    <d v="2024-08-05T00:00:00"/>
    <d v="2024-11-30T00:00:00"/>
    <n v="117"/>
  </r>
  <r>
    <s v="l.corredorm@uniandes.edu.co"/>
    <n v="202213649"/>
    <s v="Laura"/>
    <s v="Corredor Muñoz"/>
    <s v="Laura Corredor Muñoz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McGill University"/>
    <s v="McGill University"/>
    <s v="Específico"/>
    <s v="Canada"/>
    <s v="North America"/>
    <d v="2024-08-05T00:00:00"/>
    <d v="2024-11-30T00:00:00"/>
    <n v="117"/>
  </r>
  <r>
    <s v="d.ferreira@uniandes.edu.co"/>
    <n v="202111408"/>
    <s v="Daniel"/>
    <s v="Ferreira Figueroa"/>
    <s v="Daniel Ferreira Figuero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McGill University"/>
    <s v="McGill University"/>
    <s v="Específico"/>
    <s v="Canada"/>
    <s v="North America"/>
    <d v="2024-08-05T00:00:00"/>
    <d v="2024-11-30T00:00:00"/>
    <n v="117"/>
  </r>
  <r>
    <s v="m.alzatec@uniandes.edu.co"/>
    <n v="202121759"/>
    <s v="Manuela"/>
    <s v="Alzate Cardenas"/>
    <s v="Manuela Alzate Cardenas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8-05T00:00:00"/>
    <d v="2024-11-30T00:00:00"/>
    <n v="117"/>
  </r>
  <r>
    <s v="s.aparicioe@uniandes.edu.co"/>
    <n v="202121790"/>
    <s v="Santiago"/>
    <s v="Aparicio Escobar"/>
    <s v="Santiago Aparicio Escobar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8-05T00:00:00"/>
    <d v="2024-11-30T00:00:00"/>
    <n v="117"/>
  </r>
  <r>
    <s v="m.road@uniandes.edu.co"/>
    <n v="202120423"/>
    <s v="Maria Camila"/>
    <s v="Roa Dueñas"/>
    <s v="Maria Camila Roa Dueñas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8-05T00:00:00"/>
    <d v="2024-11-30T00:00:00"/>
    <n v="117"/>
  </r>
  <r>
    <s v="a.rosasm@uniandes.edu.co"/>
    <n v="202022038"/>
    <s v="Andrea"/>
    <s v="Rosas Moreno"/>
    <s v="Andrea Rosas Moreno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8-05T00:00:00"/>
    <d v="2024-11-30T00:00:00"/>
    <n v="117"/>
  </r>
  <r>
    <s v="a.sagra@uniandes.edu.co"/>
    <n v="202112969"/>
    <s v="Andres Felipe"/>
    <s v="Sagra Fuentes"/>
    <s v="Andres Felipe Sagra Fuentes"/>
    <s v="Administration Bsc"/>
    <s v="School of Management"/>
    <s v="Psychology Bsc"/>
    <s v="School of Social Sciences"/>
    <x v="0"/>
    <x v="4"/>
    <n v="202420"/>
    <n v="2024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8-05T00:00:00"/>
    <d v="2024-11-30T00:00:00"/>
    <n v="117"/>
  </r>
  <r>
    <s v="i.puccini@uniandes.edu.co"/>
    <n v="202123376"/>
    <s v="Isabella"/>
    <s v="Puccini Quintero"/>
    <s v="Isabella Puccini Quintero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4-08-05T00:00:00"/>
    <d v="2024-11-30T00:00:00"/>
    <n v="117"/>
  </r>
  <r>
    <s v="l.pabona@uniandes.edu.co"/>
    <n v="202123226"/>
    <s v="Laura"/>
    <s v="Pabon Avila"/>
    <s v="Laura Pabon Avila"/>
    <s v="Economics Bsc"/>
    <s v="School of Economics"/>
    <s v="Administration Bsc"/>
    <s v="School of Management"/>
    <x v="0"/>
    <x v="4"/>
    <n v="202420"/>
    <n v="202420"/>
    <x v="0"/>
    <x v="0"/>
    <s v="Exchange Student Undergraduate"/>
    <x v="1"/>
    <s v="School of Management"/>
    <s v="IE Universidad"/>
    <s v="IE Instituto Empresa"/>
    <s v="Específico"/>
    <s v="Spain"/>
    <s v="Europe"/>
    <d v="2024-08-05T00:00:00"/>
    <d v="2024-11-30T00:00:00"/>
    <n v="117"/>
  </r>
  <r>
    <s v="ne.rincons1@uniandes.edu.co"/>
    <n v="202112773"/>
    <s v="Nelson Esteban"/>
    <s v="Rincon Sosa"/>
    <s v="Nelson Esteban Rincon Sosa"/>
    <s v="Administration Bsc"/>
    <s v="School of Management"/>
    <s v="Economics Bsc"/>
    <s v="School of Economics"/>
    <x v="0"/>
    <x v="4"/>
    <n v="202420"/>
    <n v="202420"/>
    <x v="0"/>
    <x v="0"/>
    <s v="Exchange Student Undergraduate"/>
    <x v="1"/>
    <s v="School of Management"/>
    <s v="HEC School of Management"/>
    <s v="HEC Paris"/>
    <s v="Específico"/>
    <s v="France"/>
    <s v="Europe"/>
    <d v="2024-08-05T00:00:00"/>
    <d v="2024-11-30T00:00:00"/>
    <n v="117"/>
  </r>
  <r>
    <s v="ma.rojasc1@uniandes.edu.co"/>
    <n v="202013413"/>
    <s v="Mario Alejandro"/>
    <s v="Rojas Cañon"/>
    <s v="Mario Alejandro Rojas Cañon"/>
    <s v="Economics Bsc"/>
    <s v="School of Economics"/>
    <s v="Administration Bsc"/>
    <s v="School of Management"/>
    <x v="0"/>
    <x v="4"/>
    <n v="202420"/>
    <n v="202420"/>
    <x v="0"/>
    <x v="0"/>
    <s v="Exchange Student Undergraduate"/>
    <x v="1"/>
    <s v="School of Management"/>
    <s v="HEC School of Management"/>
    <s v="HEC Paris"/>
    <s v="Específico"/>
    <s v="France"/>
    <s v="Europe"/>
    <d v="2024-08-05T00:00:00"/>
    <d v="2024-11-30T00:00:00"/>
    <n v="117"/>
  </r>
  <r>
    <s v="s.estradac2@uniandes.edu.co"/>
    <n v="202210803"/>
    <s v="Sebastian"/>
    <s v="Estrada Carranza"/>
    <s v="Sebastian Estrada Carranza"/>
    <s v="Administration Bsc"/>
    <s v="School of Management"/>
    <s v="Government and Public Policy Bsc"/>
    <s v="Government School Alberto Lleras Camargo"/>
    <x v="0"/>
    <x v="4"/>
    <n v="202420"/>
    <n v="20242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4-08-05T00:00:00"/>
    <d v="2024-11-30T00:00:00"/>
    <n v="117"/>
  </r>
  <r>
    <s v="a.bricenoc@uniandes.edu.co"/>
    <n v="202121998"/>
    <s v="Alejandro"/>
    <s v="Briceño Carrillo"/>
    <s v="Alejandro Briceño Carrillo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Fundação Getulio Vargas"/>
    <s v="Fundação Getulio Vargas"/>
    <s v="Específico"/>
    <s v="Brazil"/>
    <s v="South America"/>
    <d v="2024-08-05T00:00:00"/>
    <d v="2024-11-30T00:00:00"/>
    <n v="117"/>
  </r>
  <r>
    <s v="m.martinezo@uniandes.edu.co"/>
    <n v="202112021"/>
    <s v="Maria Jose"/>
    <s v="Martinez Ojeda"/>
    <s v="Maria Jose Martinez Ojed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ESCP Europe"/>
    <s v="ESCP"/>
    <s v="Específico"/>
    <s v="France"/>
    <s v="Europe"/>
    <d v="2024-08-05T00:00:00"/>
    <d v="2024-11-30T00:00:00"/>
    <n v="117"/>
  </r>
  <r>
    <s v="jf.lopezg@uniandes.edu.co"/>
    <n v="201817232"/>
    <s v="Juan Felipe"/>
    <s v="Lopez Gualdron"/>
    <s v="Juan Felipe Lopez Gualdron"/>
    <s v="Economics Bsc"/>
    <s v="School of Economics"/>
    <s v="Administration Bsc"/>
    <s v="School of Management"/>
    <x v="0"/>
    <x v="4"/>
    <n v="202420"/>
    <n v="202420"/>
    <x v="0"/>
    <x v="0"/>
    <s v="Exchange Student Undergraduate"/>
    <x v="1"/>
    <s v="School of Management"/>
    <s v="EDHEC Business School"/>
    <s v="EDHEC Business School"/>
    <s v="Específico"/>
    <s v="France"/>
    <s v="Europe"/>
    <d v="2024-08-05T00:00:00"/>
    <d v="2024-11-30T00:00:00"/>
    <n v="117"/>
  </r>
  <r>
    <s v="m.maciasa@uniandes.edu.co"/>
    <n v="202120275"/>
    <s v="Maria Angelica"/>
    <s v="Macias Acosta"/>
    <s v="Maria Angelica Macias Acost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4-08-05T00:00:00"/>
    <d v="2024-11-30T00:00:00"/>
    <n v="117"/>
  </r>
  <r>
    <s v="j.reye@uniandes.edu.co"/>
    <n v="202112734"/>
    <s v="Juanita"/>
    <s v="Rey Estupiñan"/>
    <s v="Juanita Rey Estupiñan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BI Handelshøyskolen"/>
    <s v="BI Norwegian Business School"/>
    <s v="Específico"/>
    <s v="Norway"/>
    <s v="Europe"/>
    <d v="2024-08-05T00:00:00"/>
    <d v="2024-11-30T00:00:00"/>
    <n v="117"/>
  </r>
  <r>
    <s v="c.polaniaa@uniandes.edu.co"/>
    <n v="202120386"/>
    <s v="Carolina"/>
    <s v="Polania Ayala"/>
    <s v="Carolina Polania Ayal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Audencia Business School"/>
    <s v="Audencia. École de Management"/>
    <s v="Específico"/>
    <s v="France"/>
    <s v="Europe"/>
    <d v="2024-08-05T00:00:00"/>
    <d v="2024-11-30T00:00:00"/>
    <n v="117"/>
  </r>
  <r>
    <s v="d.rinconv@uniandes.edu.co"/>
    <n v="202123486"/>
    <s v="Daniel"/>
    <s v="Rincon Vega"/>
    <s v="Daniel Rincon Veg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Aston University"/>
    <s v="Aston University"/>
    <s v="Específico"/>
    <s v="United Kingdom"/>
    <s v="Europe"/>
    <d v="2024-08-05T00:00:00"/>
    <d v="2024-11-30T00:00:00"/>
    <n v="117"/>
  </r>
  <r>
    <s v="n.garay@uniandes.edu.co"/>
    <n v="202028272"/>
    <s v="Nicolas"/>
    <s v="Garay Mendez"/>
    <s v="Nicolas Garay Mendez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Aix-Marseille Université"/>
    <s v="Aix-Marseille Université"/>
    <s v="General"/>
    <s v="France"/>
    <s v="Europe"/>
    <d v="2024-08-05T00:00:00"/>
    <d v="2024-11-30T00:00:00"/>
    <n v="1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CD56A-798E-46EA-87E6-39CE5EB231F7}" name="TablaDinámica6" cacheId="38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14:I122" firstHeaderRow="1" firstDataRow="1" firstDataCol="1" rowPageCount="2" colPageCount="1"/>
  <pivotFields count="2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axis="axisPage" multipleItemSelectionAllowed="1" showAll="0">
      <items count="4">
        <item h="1" x="2"/>
        <item x="1"/>
        <item x="0"/>
        <item t="default"/>
      </items>
    </pivotField>
    <pivotField axis="axisRow" showAll="0">
      <items count="4">
        <item x="1"/>
        <item x="0"/>
        <item sd="0" x="2"/>
        <item t="default"/>
      </items>
    </pivotField>
    <pivotField showAll="0"/>
    <pivotField axis="axisRow" showAll="0">
      <items count="9">
        <item x="1"/>
        <item x="7"/>
        <item x="0"/>
        <item x="4"/>
        <item x="6"/>
        <item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</pivotFields>
  <rowFields count="2">
    <field x="14"/>
    <field x="16"/>
  </rowFields>
  <rowItems count="8">
    <i>
      <x/>
    </i>
    <i r="1">
      <x/>
    </i>
    <i>
      <x v="1"/>
    </i>
    <i r="1">
      <x/>
    </i>
    <i r="1">
      <x v="3"/>
    </i>
    <i r="1">
      <x v="6"/>
    </i>
    <i>
      <x v="2"/>
    </i>
    <i t="grand">
      <x/>
    </i>
  </rowItems>
  <colItems count="1">
    <i/>
  </colItems>
  <pageFields count="2">
    <pageField fld="13" hier="-1"/>
    <pageField fld="10" item="4" hier="-1"/>
  </pageFields>
  <dataFields count="1">
    <dataField name="Cuenta de Código Uniandes" fld="1" subtotal="count" baseField="1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F6A45-5BDA-450E-9631-775363356C75}" name="TablaDinámica5" cacheId="38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99:I107" firstHeaderRow="1" firstDataRow="1" firstDataCol="1" rowPageCount="2" colPageCount="1"/>
  <pivotFields count="30"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sd="0" x="1"/>
        <item x="0"/>
        <item sd="0" x="3"/>
        <item t="default"/>
      </items>
    </pivotField>
    <pivotField showAll="0"/>
    <pivotField showAll="0"/>
    <pivotField showAll="0">
      <items count="35">
        <item x="0"/>
        <item x="5"/>
        <item x="28"/>
        <item x="8"/>
        <item x="7"/>
        <item x="14"/>
        <item x="11"/>
        <item x="13"/>
        <item x="21"/>
        <item x="23"/>
        <item x="20"/>
        <item x="17"/>
        <item x="27"/>
        <item x="26"/>
        <item x="4"/>
        <item x="6"/>
        <item x="32"/>
        <item x="3"/>
        <item x="2"/>
        <item x="12"/>
        <item x="25"/>
        <item x="18"/>
        <item x="16"/>
        <item x="9"/>
        <item x="30"/>
        <item x="19"/>
        <item x="24"/>
        <item x="29"/>
        <item x="31"/>
        <item x="22"/>
        <item x="10"/>
        <item x="33"/>
        <item x="1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0"/>
        <item x="14"/>
        <item x="12"/>
        <item x="15"/>
        <item x="1"/>
        <item x="13"/>
        <item x="2"/>
        <item x="4"/>
        <item x="7"/>
        <item x="8"/>
        <item x="3"/>
        <item x="10"/>
        <item x="9"/>
        <item x="6"/>
        <item x="5"/>
        <item x="11"/>
        <item t="default"/>
      </items>
    </pivotField>
    <pivotField axis="axisPage" multipleItemSelectionAllowed="1" showAll="0">
      <items count="4">
        <item h="1" x="2"/>
        <item x="1"/>
        <item x="0"/>
        <item t="default"/>
      </items>
    </pivotField>
  </pivotFields>
  <rowFields count="2">
    <field x="12"/>
    <field x="28"/>
  </rowFields>
  <rowItems count="8">
    <i>
      <x v="2"/>
    </i>
    <i r="1">
      <x/>
    </i>
    <i r="1">
      <x v="7"/>
    </i>
    <i r="1">
      <x v="8"/>
    </i>
    <i r="1">
      <x v="10"/>
    </i>
    <i r="1">
      <x v="14"/>
    </i>
    <i>
      <x v="3"/>
    </i>
    <i t="grand">
      <x/>
    </i>
  </rowItems>
  <colItems count="1">
    <i/>
  </colItems>
  <pageFields count="2">
    <pageField fld="29" hier="-1"/>
    <pageField fld="0" item="4" hier="-1"/>
  </pageFields>
  <dataFields count="1">
    <dataField name="Cuenta de Código" fld="2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CFBB8-889F-4C32-8924-AC628472F0BF}" name="Tabla1" displayName="Tabla1" ref="A1:Z561" totalsRowShown="0" headerRowBorderDxfId="68" tableBorderDxfId="69">
  <autoFilter ref="A1:Z561" xr:uid="{128CFBB8-889F-4C32-8924-AC628472F0BF}"/>
  <tableColumns count="26">
    <tableColumn id="1" xr3:uid="{CA15FE3F-12ED-4D03-9CD3-54DC61EB051F}" name="Correo electrónico"/>
    <tableColumn id="2" xr3:uid="{41A5DE30-659B-447B-90D4-196DA523FD20}" name="Código Uniandes"/>
    <tableColumn id="3" xr3:uid="{14BD8460-1B84-435D-B18E-5CB0E3DB8A87}" name="First name"/>
    <tableColumn id="4" xr3:uid="{A006936D-7771-443E-B675-21418C530EDC}" name="Surname"/>
    <tableColumn id="5" xr3:uid="{1C26BF3F-8251-4B01-9ED3-4074B54A6BC6}" name="Nombre completo"/>
    <tableColumn id="6" xr3:uid="{2A84DC2C-A3A6-4BD1-9D08-19347CB5E76D}" name="Programa1"/>
    <tableColumn id="7" xr3:uid="{BDF5B6A8-A13A-4975-BC0D-4B914B2DBADD}" name="Facultad1"/>
    <tableColumn id="8" xr3:uid="{A743A97B-DB61-4F45-81D0-3FAD72B448A5}" name="Programa2"/>
    <tableColumn id="9" xr3:uid="{65AE6F29-7350-43E7-9E18-A848CFC06871}" name="Facultad2"/>
    <tableColumn id="10" xr3:uid="{3805B832-57E6-429F-BED8-26724F172F7C}" name="Modalidad"/>
    <tableColumn id="11" xr3:uid="{367E088C-B0E5-4E4C-97EE-5812584289C5}" name="Año de Movilidad"/>
    <tableColumn id="12" xr3:uid="{B772DDE7-78D7-420C-B339-4BC340D82069}" name="Período de Movilidad"/>
    <tableColumn id="13" xr3:uid="{EB19322A-A325-4342-AECB-4D284107F319}" name="Convocatoria"/>
    <tableColumn id="14" xr3:uid="{08508063-768F-432C-B172-4CC877BB01AD}" name="Nivel"/>
    <tableColumn id="15" xr3:uid="{98E9C558-D112-4A11-8EB0-966BDD142DCF}" name="Tipo de Movilidad"/>
    <tableColumn id="16" xr3:uid="{4E5C9D78-B3D1-48E6-835C-FF3CC89D8149}" name="Tipo de Convenio"/>
    <tableColumn id="17" xr3:uid="{49A6FAC5-33D9-490B-8457-20978E075A8F}" name="Programa Postulación"/>
    <tableColumn id="18" xr3:uid="{15774FE6-1209-4B5F-9B4B-D38585FE387D}" name="Facultad de Postulación"/>
    <tableColumn id="19" xr3:uid="{A6EB102D-0388-42C2-A49B-BB7A475398E0}" name="Universidad"/>
    <tableColumn id="25" xr3:uid="{D556F75F-DA66-4B79-ABA8-A6BA3BDD69FA}" name="Universidad KPIs" dataDxfId="67">
      <calculatedColumnFormula>_xlfn.XLOOKUP(Tabla1[[#This Row],[Universidad]],Conversiones!$B:$B,Conversiones!$C:$C)</calculatedColumnFormula>
    </tableColumn>
    <tableColumn id="26" xr3:uid="{A56A4B44-1F52-4AC2-804D-B7340BC7209A}" name="Tipo Convenio" dataDxfId="66">
      <calculatedColumnFormula>_xlfn.XLOOKUP(Tabla1[[#This Row],[Universidad KPIs]],Conversiones!$C:$C,Conversiones!$E:$E)</calculatedColumnFormula>
    </tableColumn>
    <tableColumn id="20" xr3:uid="{EAA6ABC5-5941-46C3-B524-7961A0162D0F}" name="País"/>
    <tableColumn id="21" xr3:uid="{00825A40-1EF8-48AD-B5A1-8AD6145F03A7}" name="Continente"/>
    <tableColumn id="22" xr3:uid="{BF285E05-E594-4F4C-B8E5-91773CDEF15B}" name="Fecha Inicio" dataDxfId="65"/>
    <tableColumn id="23" xr3:uid="{D29D5B4D-C30F-4FCD-8BC9-E5CB5F21B598}" name="Fecha Finalización" dataDxfId="64"/>
    <tableColumn id="24" xr3:uid="{9FDEE4C4-20FD-449B-BD57-B68385A2F763}" name="Duration (DD)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9378F4-2F20-4997-BF0E-742807A2C9D7}" name="Tabla2" displayName="Tabla2" ref="A1:AD401" totalsRowShown="0" headerRowDxfId="37" dataDxfId="36" headerRowBorderDxfId="34" tableBorderDxfId="35">
  <autoFilter ref="A1:AD401" xr:uid="{889378F4-2F20-4997-BF0E-742807A2C9D7}">
    <filterColumn colId="1">
      <filters>
        <filter val="202510"/>
      </filters>
    </filterColumn>
    <filterColumn colId="28">
      <filters>
        <filter val="Administration Bsc"/>
        <filter val="Master in Finance"/>
        <filter val="Master in Marketing"/>
        <filter val="Part - Time MBA"/>
      </filters>
    </filterColumn>
  </autoFilter>
  <tableColumns count="30">
    <tableColumn id="1" xr3:uid="{DD3E5FFD-BE60-496C-B8A0-1BF2C6E73BFC}" name="Año" dataDxfId="33"/>
    <tableColumn id="2" xr3:uid="{55F6E6D6-7657-4649-8620-223D354E2284}" name="Semestre de Movilidad" dataDxfId="32"/>
    <tableColumn id="3" xr3:uid="{1E320D95-E80B-45DA-8F71-52590C7435ED}" name="Código" dataDxfId="31"/>
    <tableColumn id="4" xr3:uid="{0D075CD6-6B8D-48B5-A040-24361F555D77}" name="Nombre" dataDxfId="30"/>
    <tableColumn id="5" xr3:uid="{4BE3EECB-C825-4786-953C-D789A0598459}" name="Apellido" dataDxfId="29"/>
    <tableColumn id="6" xr3:uid="{B07AC7DD-7E2F-4611-A0E8-7CD30277F1DA}" name="Universidad" dataDxfId="28"/>
    <tableColumn id="12" xr3:uid="{D122D50A-93F7-4E47-9BFF-07EA5AC4C7BE}" name="Universidad KPIs" dataDxfId="27">
      <calculatedColumnFormula>_xlfn.XLOOKUP(Tabla2[[#This Row],[Universidad]],Conversiones!$B:$B,Conversiones!$C:$C)</calculatedColumnFormula>
    </tableColumn>
    <tableColumn id="51" xr3:uid="{7AAE1420-1BFB-470A-BF89-243CE81AADA9}" name="Tipo Convenio" dataDxfId="26">
      <calculatedColumnFormula>_xlfn.XLOOKUP(Tabla2[[#This Row],[Universidad KPIs]],Conversiones!$C:$C,Conversiones!$E:$E)</calculatedColumnFormula>
    </tableColumn>
    <tableColumn id="7" xr3:uid="{C6B44C60-3F53-4DFF-8635-1488E513E1E2}" name="País" dataDxfId="25"/>
    <tableColumn id="8" xr3:uid="{312BE321-3080-49FF-A837-E4DB14AEFCDF}" name="Continente" dataDxfId="24"/>
    <tableColumn id="9" xr3:uid="{AD91680A-26C3-4461-95E2-9822D483FABD}" name="Cuenta Alterna" dataDxfId="23"/>
    <tableColumn id="10" xr3:uid="{28CECA34-5D44-481A-A859-938F0F34512A}" name="Cuenta Uniandes" dataDxfId="22"/>
    <tableColumn id="11" xr3:uid="{1E9C5EC3-92B9-4E31-B44C-08A3C6D7108C}" name="Tipo de Movilidad" dataDxfId="21"/>
    <tableColumn id="14" xr3:uid="{449C4788-E2A5-4E37-A42C-DFA88098F790}" name="Grupo Banner" dataDxfId="20"/>
    <tableColumn id="15" xr3:uid="{FC68D487-5A04-422B-9E20-0AA5508E5C80}" name="Cruce de Programa" dataDxfId="19"/>
    <tableColumn id="16" xr3:uid="{98FF4C23-1B94-4616-85B5-4B740D625A1B}" name="Total Cursos" dataDxfId="18"/>
    <tableColumn id="17" xr3:uid="{47013F73-9327-4178-849C-DB291CC394E3}" name="Curso 1" dataDxfId="17"/>
    <tableColumn id="18" xr3:uid="{7B1B706C-0E12-4225-AA72-A229421B4FDD}" name="Curso 2" dataDxfId="16"/>
    <tableColumn id="19" xr3:uid="{3DF04B12-E611-4F21-9651-F8A46C5936A4}" name="Curso 3" dataDxfId="15"/>
    <tableColumn id="20" xr3:uid="{D16C5D9C-1561-4401-888D-2DC619F9C89C}" name="Curso 4" dataDxfId="14"/>
    <tableColumn id="21" xr3:uid="{63DE0C98-8CAD-4EE5-AA4C-EBE2C47CA33E}" name="Curso 5" dataDxfId="13"/>
    <tableColumn id="22" xr3:uid="{660D4573-E7B5-441B-BC52-3D52A3175F41}" name="Curso 6" dataDxfId="12"/>
    <tableColumn id="23" xr3:uid="{6EE927BE-002A-47B5-9E73-F6DC500F37EB}" name="Curso 7" dataDxfId="11"/>
    <tableColumn id="24" xr3:uid="{D8A5E1B7-20AD-4CC8-8D7D-417DC4CD500A}" name="Curso 8" dataDxfId="10"/>
    <tableColumn id="25" xr3:uid="{3B348E63-E3EB-4C97-98AF-6B92C6ED41E1}" name="Curso 9" dataDxfId="9"/>
    <tableColumn id="26" xr3:uid="{5001DE5F-803C-432A-83BD-185D77D303A8}" name="Curso 10" dataDxfId="8"/>
    <tableColumn id="27" xr3:uid="{E3BE44B2-A75C-4412-BCD5-2D4203DCAEED}" name="Curso 11" dataDxfId="7"/>
    <tableColumn id="28" xr3:uid="{9FE34A03-24D1-4EBC-BB93-6EDEE8B493C5}" name="Curso 12" dataDxfId="6"/>
    <tableColumn id="48" xr3:uid="{07DBF801-71DD-4FEB-9AA2-9175DFEF61E5}" name="Programa Nominación" dataDxfId="5"/>
    <tableColumn id="46" xr3:uid="{822AF008-0303-44B3-9884-EFA1F013F638}" name="Nivel Nominación" dataDxfId="4">
      <calculatedColumnFormula>IF(AND(#REF!&gt;0,#REF!=0),"Pregrado","Maestría")</calculatedColumnFormula>
    </tableColumn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0AFD54-B626-4496-8E60-CC28E8CFABA4}" name="Tabla3" displayName="Tabla3" ref="A1:V3" totalsRowShown="0">
  <autoFilter ref="A1:V3" xr:uid="{3D0AFD54-B626-4496-8E60-CC28E8CFABA4}"/>
  <tableColumns count="22">
    <tableColumn id="1" xr3:uid="{80945C2E-20BD-4BF7-8885-6BBDF503DC12}" name="Año"/>
    <tableColumn id="2" xr3:uid="{F81F224A-944F-4BBB-8C95-E5F83397CC92}" name="Código"/>
    <tableColumn id="3" xr3:uid="{6247AE74-8BC2-42D5-8A9B-F3E4E0DFB410}" name="Pasaporte"/>
    <tableColumn id="4" xr3:uid="{F9BA31D0-A057-4C8C-A5E1-935D952E7A9C}" name="Apellido"/>
    <tableColumn id="5" xr3:uid="{12B7829A-3D36-4AF1-8591-3A2BBA7A9433}" name="Nombre"/>
    <tableColumn id="6" xr3:uid="{133AD151-53E7-4D39-88A6-4CFC9528A416}" name="Nacionalidad"/>
    <tableColumn id="7" xr3:uid="{38CB2F12-47E9-4F84-B81C-E656C757B6C2}" name="Pais Universidad"/>
    <tableColumn id="8" xr3:uid="{294CDFF2-80F6-4FC0-BA41-BE567F2D1353}" name="Universidad"/>
    <tableColumn id="9" xr3:uid="{79BBA0FD-FB2C-4AD3-8FE0-70C378C1FF91}" name="País"/>
    <tableColumn id="10" xr3:uid="{26FF013B-C31C-421B-8658-DDCD75993849}" name="Cuenta alterna"/>
    <tableColumn id="11" xr3:uid="{A7E16859-80E6-4090-B785-E64A5C6BDF80}" name="Cuenta Uniandes"/>
    <tableColumn id="12" xr3:uid="{3AA12C1D-EE62-418B-B0D1-B5B278C0E4D1}" name="Población "/>
    <tableColumn id="13" xr3:uid="{4C0924C4-E1C6-4714-AB7C-05378C5F3BBD}" name="Grupo banner"/>
    <tableColumn id="14" xr3:uid="{EBBCBBF2-4E38-45AB-A53F-A7DBEE13162E}" name="Nivel"/>
    <tableColumn id="15" xr3:uid="{EA193FA7-9193-4DB4-B2F3-0D14619985C7}" name="Facultad"/>
    <tableColumn id="16" xr3:uid="{5EB11114-2A1E-4E75-95D0-F9EA472034E1}" name="Programa"/>
    <tableColumn id="17" xr3:uid="{5553FB28-018C-47B1-AA6D-4B7D8235AD52}" name="Profesor"/>
    <tableColumn id="18" xr3:uid="{98C6865C-34DB-46EB-9A92-E0A1699BEFDB}" name="Mail profesor"/>
    <tableColumn id="19" xr3:uid="{4354D836-ECFB-4423-B289-865D3ECD3177}" name="Convenio"/>
    <tableColumn id="20" xr3:uid="{BEB574C5-479D-4008-9BB8-47FE83AF2A90}" name="Fecha inicio" dataDxfId="1"/>
    <tableColumn id="21" xr3:uid="{E5B9D41E-B54A-4E3A-8E48-B0758B894345}" name="Fecha Fin" dataDxfId="0"/>
    <tableColumn id="22" xr3:uid="{98E1C385-1B1B-49BF-862D-3CCA72CA23B3}" name="Duración (DD)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n.jaramilloe@uniandes.edu.c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198B-4511-4F37-8EA6-92CB772AE582}">
  <dimension ref="B2:O34"/>
  <sheetViews>
    <sheetView zoomScale="110" zoomScaleNormal="110" workbookViewId="0">
      <selection activeCell="B34" sqref="B34:F34"/>
    </sheetView>
  </sheetViews>
  <sheetFormatPr defaultColWidth="11.42578125" defaultRowHeight="15"/>
  <cols>
    <col min="1" max="1" width="3.7109375" style="116" customWidth="1"/>
    <col min="2" max="3" width="11.42578125" style="116"/>
    <col min="4" max="4" width="2.7109375" style="116" customWidth="1"/>
    <col min="5" max="5" width="24" style="116" customWidth="1"/>
    <col min="6" max="6" width="2.7109375" style="116" customWidth="1"/>
    <col min="7" max="7" width="11.42578125" style="116"/>
    <col min="8" max="9" width="14.5703125" style="116" customWidth="1"/>
    <col min="10" max="10" width="2.7109375" style="116" customWidth="1"/>
    <col min="11" max="11" width="23" style="116" customWidth="1"/>
    <col min="12" max="12" width="2.7109375" style="116" customWidth="1"/>
    <col min="13" max="16384" width="11.42578125" style="116"/>
  </cols>
  <sheetData>
    <row r="2" spans="2:12" ht="20.25" customHeight="1">
      <c r="B2" s="221" t="s">
        <v>0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</row>
    <row r="4" spans="2:12">
      <c r="B4" s="220" t="s">
        <v>1</v>
      </c>
      <c r="C4" s="220"/>
      <c r="D4" s="106"/>
      <c r="E4" s="106"/>
      <c r="F4" s="106"/>
      <c r="G4" s="106"/>
      <c r="H4" s="106"/>
      <c r="I4" s="106"/>
      <c r="J4" s="106"/>
      <c r="K4" s="106"/>
      <c r="L4" s="106"/>
    </row>
    <row r="6" spans="2:12">
      <c r="B6" s="220" t="s">
        <v>2</v>
      </c>
      <c r="C6" s="220"/>
      <c r="D6" s="220"/>
      <c r="E6" s="220"/>
      <c r="F6" s="220"/>
      <c r="H6" s="220" t="s">
        <v>3</v>
      </c>
      <c r="I6" s="220"/>
      <c r="J6" s="220"/>
      <c r="K6" s="220"/>
      <c r="L6" s="220"/>
    </row>
    <row r="7" spans="2:12" ht="15" customHeight="1">
      <c r="B7" s="223" t="s">
        <v>4</v>
      </c>
      <c r="C7" s="223"/>
      <c r="D7" s="223"/>
      <c r="E7" s="223"/>
      <c r="F7" s="223"/>
      <c r="H7" s="223" t="s">
        <v>5</v>
      </c>
      <c r="I7" s="223"/>
      <c r="J7" s="223"/>
      <c r="K7" s="223"/>
      <c r="L7" s="223"/>
    </row>
    <row r="8" spans="2:12">
      <c r="B8" s="223"/>
      <c r="C8" s="223"/>
      <c r="D8" s="223"/>
      <c r="E8" s="223"/>
      <c r="F8" s="223"/>
      <c r="H8" s="223"/>
      <c r="I8" s="223"/>
      <c r="J8" s="223"/>
      <c r="K8" s="223"/>
      <c r="L8" s="223"/>
    </row>
    <row r="9" spans="2:12">
      <c r="B9" s="223"/>
      <c r="C9" s="223"/>
      <c r="D9" s="223"/>
      <c r="E9" s="223"/>
      <c r="F9" s="223"/>
      <c r="H9" s="223"/>
      <c r="I9" s="223"/>
      <c r="J9" s="223"/>
      <c r="K9" s="223"/>
      <c r="L9" s="223"/>
    </row>
    <row r="10" spans="2:12" ht="5.25" customHeight="1">
      <c r="B10" s="117"/>
      <c r="C10" s="117"/>
      <c r="D10" s="117"/>
      <c r="E10" s="117"/>
      <c r="F10" s="117"/>
      <c r="H10" s="117"/>
      <c r="I10" s="117"/>
      <c r="J10" s="117"/>
      <c r="K10" s="117"/>
      <c r="L10" s="117"/>
    </row>
    <row r="11" spans="2:12" s="122" customFormat="1" ht="17.25" customHeight="1">
      <c r="B11" s="228" t="s">
        <v>6</v>
      </c>
      <c r="C11" s="228"/>
      <c r="D11" s="228"/>
      <c r="E11" s="228"/>
      <c r="F11" s="228"/>
      <c r="H11" s="228" t="s">
        <v>6</v>
      </c>
      <c r="I11" s="228"/>
      <c r="J11" s="228"/>
      <c r="K11" s="228"/>
      <c r="L11" s="228"/>
    </row>
    <row r="12" spans="2:12" ht="15.75" thickBot="1">
      <c r="B12" s="224" t="s">
        <v>7</v>
      </c>
      <c r="C12" s="224"/>
      <c r="D12" s="106"/>
      <c r="E12" s="118" t="s">
        <v>8</v>
      </c>
      <c r="F12" s="106"/>
      <c r="H12" s="224" t="s">
        <v>7</v>
      </c>
      <c r="I12" s="224"/>
      <c r="J12" s="106"/>
      <c r="K12" s="118" t="s">
        <v>9</v>
      </c>
      <c r="L12" s="106"/>
    </row>
    <row r="13" spans="2:12" ht="15.75" thickBot="1">
      <c r="B13" s="224"/>
      <c r="C13" s="224"/>
      <c r="D13" s="106"/>
      <c r="E13" s="118" t="s">
        <v>10</v>
      </c>
      <c r="F13" s="106"/>
      <c r="H13" s="224"/>
      <c r="I13" s="224"/>
      <c r="J13" s="106"/>
      <c r="K13" s="118" t="s">
        <v>11</v>
      </c>
      <c r="L13" s="106"/>
    </row>
    <row r="14" spans="2:12" ht="15.75" thickBot="1">
      <c r="B14" s="224"/>
      <c r="C14" s="224"/>
      <c r="D14" s="106"/>
      <c r="E14" s="118" t="s">
        <v>12</v>
      </c>
      <c r="F14" s="106"/>
      <c r="H14" s="224"/>
      <c r="I14" s="224"/>
      <c r="J14" s="106"/>
      <c r="K14" s="118" t="s">
        <v>13</v>
      </c>
      <c r="L14" s="106"/>
    </row>
    <row r="15" spans="2:12" ht="15.75" thickBot="1">
      <c r="B15" s="224"/>
      <c r="C15" s="224"/>
      <c r="D15" s="106"/>
      <c r="E15" s="118" t="s">
        <v>14</v>
      </c>
      <c r="F15" s="106"/>
      <c r="H15" s="224"/>
      <c r="I15" s="224"/>
      <c r="J15" s="106"/>
      <c r="K15" s="118" t="s">
        <v>15</v>
      </c>
      <c r="L15" s="106"/>
    </row>
    <row r="16" spans="2:12" ht="15.75" thickBot="1">
      <c r="B16" s="225"/>
      <c r="C16" s="225"/>
      <c r="D16" s="106"/>
      <c r="E16" s="118" t="s">
        <v>16</v>
      </c>
      <c r="F16" s="106"/>
      <c r="H16" s="225"/>
      <c r="I16" s="225"/>
      <c r="J16" s="106"/>
      <c r="K16" s="118" t="s">
        <v>17</v>
      </c>
      <c r="L16" s="106"/>
    </row>
    <row r="17" spans="2:15" ht="15.75" thickBot="1">
      <c r="B17" s="226" t="s">
        <v>18</v>
      </c>
      <c r="C17" s="226"/>
      <c r="D17" s="106"/>
      <c r="E17" s="119" t="s">
        <v>19</v>
      </c>
      <c r="F17" s="106"/>
      <c r="H17" s="226" t="s">
        <v>20</v>
      </c>
      <c r="I17" s="226"/>
      <c r="J17" s="106"/>
      <c r="K17" s="119" t="s">
        <v>21</v>
      </c>
      <c r="L17" s="106"/>
    </row>
    <row r="18" spans="2:15" ht="15.75" thickBot="1">
      <c r="B18" s="224"/>
      <c r="C18" s="224"/>
      <c r="D18" s="106"/>
      <c r="E18" s="119" t="s">
        <v>22</v>
      </c>
      <c r="F18" s="106"/>
      <c r="H18" s="224"/>
      <c r="I18" s="224"/>
      <c r="J18" s="106"/>
      <c r="K18" s="119" t="s">
        <v>23</v>
      </c>
      <c r="L18" s="106"/>
    </row>
    <row r="19" spans="2:15" ht="15.75" thickBot="1">
      <c r="B19" s="224"/>
      <c r="C19" s="224"/>
      <c r="D19" s="106"/>
      <c r="E19" s="119" t="s">
        <v>24</v>
      </c>
      <c r="F19" s="106"/>
      <c r="H19" s="224"/>
      <c r="I19" s="224"/>
      <c r="J19" s="106"/>
      <c r="K19" s="119" t="s">
        <v>25</v>
      </c>
      <c r="L19" s="106"/>
    </row>
    <row r="20" spans="2:15" ht="15.75" thickBot="1">
      <c r="B20" s="225"/>
      <c r="C20" s="225"/>
      <c r="D20" s="106"/>
      <c r="E20" s="119" t="s">
        <v>26</v>
      </c>
      <c r="F20" s="106"/>
      <c r="H20" s="224"/>
      <c r="I20" s="224"/>
      <c r="J20" s="106"/>
      <c r="K20" s="119" t="s">
        <v>27</v>
      </c>
      <c r="L20" s="106"/>
    </row>
    <row r="21" spans="2:15">
      <c r="B21" s="224" t="s">
        <v>28</v>
      </c>
      <c r="C21" s="224"/>
      <c r="D21" s="106"/>
      <c r="E21" s="120" t="s">
        <v>29</v>
      </c>
      <c r="F21" s="106"/>
      <c r="H21" s="225"/>
      <c r="I21" s="225"/>
      <c r="J21" s="106"/>
      <c r="K21" s="119" t="s">
        <v>30</v>
      </c>
      <c r="L21" s="106"/>
    </row>
    <row r="22" spans="2:15" ht="15.75" customHeight="1">
      <c r="B22" s="224"/>
      <c r="C22" s="224"/>
      <c r="D22" s="106"/>
      <c r="E22" s="120" t="s">
        <v>31</v>
      </c>
      <c r="F22" s="106"/>
      <c r="H22" s="224" t="s">
        <v>32</v>
      </c>
      <c r="I22" s="224"/>
      <c r="J22" s="106"/>
      <c r="K22" s="121" t="s">
        <v>33</v>
      </c>
      <c r="L22" s="106"/>
      <c r="M22" s="222" t="s">
        <v>34</v>
      </c>
      <c r="N22" s="222"/>
      <c r="O22" s="222"/>
    </row>
    <row r="23" spans="2:15">
      <c r="B23" s="224"/>
      <c r="C23" s="224"/>
      <c r="D23" s="106"/>
      <c r="E23" s="120" t="s">
        <v>35</v>
      </c>
      <c r="F23" s="106"/>
      <c r="H23" s="224"/>
      <c r="I23" s="224"/>
      <c r="J23" s="106"/>
      <c r="K23" s="121" t="s">
        <v>36</v>
      </c>
      <c r="L23" s="106"/>
      <c r="M23" s="222"/>
      <c r="N23" s="222"/>
      <c r="O23" s="222"/>
    </row>
    <row r="24" spans="2:15" ht="15.75" customHeight="1">
      <c r="B24" s="224"/>
      <c r="C24" s="224"/>
      <c r="D24" s="106"/>
      <c r="E24" s="120" t="s">
        <v>30</v>
      </c>
      <c r="F24" s="106"/>
    </row>
    <row r="25" spans="2:15">
      <c r="B25" s="224"/>
      <c r="C25" s="224"/>
      <c r="D25" s="106"/>
      <c r="E25" s="120" t="s">
        <v>37</v>
      </c>
      <c r="F25" s="106"/>
    </row>
    <row r="26" spans="2:15" ht="15.75" thickBot="1">
      <c r="B26" s="224"/>
      <c r="C26" s="224"/>
      <c r="D26" s="106"/>
      <c r="E26" s="120" t="s">
        <v>38</v>
      </c>
      <c r="F26" s="106"/>
    </row>
    <row r="27" spans="2:15" ht="15.75" thickBot="1">
      <c r="B27" s="224"/>
      <c r="C27" s="224"/>
      <c r="D27" s="106"/>
      <c r="E27" s="120" t="s">
        <v>39</v>
      </c>
      <c r="F27" s="106"/>
    </row>
    <row r="28" spans="2:15" ht="15.75" thickBot="1">
      <c r="B28" s="224"/>
      <c r="C28" s="224"/>
      <c r="D28" s="106"/>
      <c r="E28" s="120" t="s">
        <v>25</v>
      </c>
      <c r="F28" s="106"/>
    </row>
    <row r="29" spans="2:15" ht="15.75" thickBot="1">
      <c r="B29" s="224"/>
      <c r="C29" s="224"/>
      <c r="D29" s="106"/>
      <c r="E29" s="120" t="s">
        <v>27</v>
      </c>
      <c r="F29" s="106"/>
    </row>
    <row r="31" spans="2:15">
      <c r="B31" s="263" t="s">
        <v>40</v>
      </c>
      <c r="C31" s="263"/>
      <c r="D31" s="263"/>
      <c r="E31" s="263"/>
      <c r="F31" s="263"/>
    </row>
    <row r="32" spans="2:15">
      <c r="B32" s="264" t="s">
        <v>41</v>
      </c>
      <c r="C32" s="264"/>
      <c r="D32" s="264"/>
      <c r="E32" s="264"/>
      <c r="F32" s="264"/>
    </row>
    <row r="33" spans="2:6">
      <c r="B33" s="263" t="s">
        <v>42</v>
      </c>
      <c r="C33" s="263"/>
      <c r="D33" s="263"/>
      <c r="E33" s="263"/>
      <c r="F33" s="263"/>
    </row>
    <row r="34" spans="2:6" ht="15.75" customHeight="1">
      <c r="B34" s="227" t="s">
        <v>43</v>
      </c>
      <c r="C34" s="227"/>
      <c r="D34" s="227"/>
      <c r="E34" s="227"/>
      <c r="F34" s="227"/>
    </row>
  </sheetData>
  <mergeCells count="19">
    <mergeCell ref="B33:F33"/>
    <mergeCell ref="B32:F32"/>
    <mergeCell ref="B34:F34"/>
    <mergeCell ref="H22:I23"/>
    <mergeCell ref="B11:F11"/>
    <mergeCell ref="H11:L11"/>
    <mergeCell ref="B31:F31"/>
    <mergeCell ref="H12:I16"/>
    <mergeCell ref="H17:I21"/>
    <mergeCell ref="B4:C4"/>
    <mergeCell ref="B6:F6"/>
    <mergeCell ref="H6:L6"/>
    <mergeCell ref="B2:L2"/>
    <mergeCell ref="M22:O23"/>
    <mergeCell ref="B7:F9"/>
    <mergeCell ref="H7:L9"/>
    <mergeCell ref="B12:C16"/>
    <mergeCell ref="B17:C20"/>
    <mergeCell ref="B21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8271-3AA9-4812-A59D-8237927172CC}">
  <sheetPr>
    <tabColor theme="9" tint="0.79998168889431442"/>
  </sheetPr>
  <dimension ref="B1:R228"/>
  <sheetViews>
    <sheetView zoomScale="85" zoomScaleNormal="85" workbookViewId="0">
      <selection activeCell="O7" sqref="O7"/>
    </sheetView>
  </sheetViews>
  <sheetFormatPr defaultColWidth="11.42578125" defaultRowHeight="15"/>
  <cols>
    <col min="1" max="2" width="7.85546875" style="8" customWidth="1"/>
    <col min="3" max="3" width="67" style="8" bestFit="1" customWidth="1"/>
    <col min="4" max="4" width="17.140625" style="8" bestFit="1" customWidth="1"/>
    <col min="5" max="18" width="12.140625" style="8" customWidth="1"/>
    <col min="19" max="16384" width="11.42578125" style="8"/>
  </cols>
  <sheetData>
    <row r="1" spans="2:18" ht="9.75" customHeight="1"/>
    <row r="2" spans="2:18" s="30" customFormat="1" ht="27" customHeight="1" thickBot="1">
      <c r="C2" s="233" t="s">
        <v>44</v>
      </c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67"/>
    </row>
    <row r="3" spans="2:18" ht="15.75" thickBot="1">
      <c r="E3" s="234">
        <v>2020</v>
      </c>
      <c r="F3" s="235"/>
      <c r="G3" s="234">
        <v>2021</v>
      </c>
      <c r="H3" s="235"/>
      <c r="I3" s="234">
        <v>2022</v>
      </c>
      <c r="J3" s="235"/>
      <c r="K3" s="234">
        <v>2023</v>
      </c>
      <c r="L3" s="235"/>
      <c r="M3" s="234">
        <v>2024</v>
      </c>
      <c r="N3" s="235"/>
      <c r="O3" s="234">
        <v>2025</v>
      </c>
      <c r="P3" s="235"/>
      <c r="Q3" s="229" t="s">
        <v>45</v>
      </c>
      <c r="R3" s="244"/>
    </row>
    <row r="4" spans="2:18" ht="15.75" thickBot="1">
      <c r="C4" s="135" t="s">
        <v>46</v>
      </c>
      <c r="D4" s="136" t="s">
        <v>27</v>
      </c>
      <c r="E4" s="27" t="s">
        <v>47</v>
      </c>
      <c r="F4" s="69" t="s">
        <v>48</v>
      </c>
      <c r="G4" s="27" t="s">
        <v>47</v>
      </c>
      <c r="H4" s="69" t="s">
        <v>48</v>
      </c>
      <c r="I4" s="27" t="s">
        <v>47</v>
      </c>
      <c r="J4" s="69" t="s">
        <v>48</v>
      </c>
      <c r="K4" s="27" t="s">
        <v>47</v>
      </c>
      <c r="L4" s="69" t="s">
        <v>48</v>
      </c>
      <c r="M4" s="27" t="s">
        <v>47</v>
      </c>
      <c r="N4" s="66" t="s">
        <v>48</v>
      </c>
      <c r="O4" s="27" t="s">
        <v>47</v>
      </c>
      <c r="P4" s="66" t="s">
        <v>48</v>
      </c>
      <c r="Q4" s="83" t="s">
        <v>47</v>
      </c>
      <c r="R4" s="84" t="s">
        <v>48</v>
      </c>
    </row>
    <row r="5" spans="2:18">
      <c r="B5" s="245" t="s">
        <v>49</v>
      </c>
      <c r="C5" s="128" t="s">
        <v>50</v>
      </c>
      <c r="D5" s="129" t="s">
        <v>51</v>
      </c>
      <c r="E5" s="131">
        <f>COUNTIFS(Tabla1[Tipo de Movilidad],"Intercambio*",Tabla1[Universidad KPIs],'Utilización Convenios'!$C5,Tabla1[Año de Movilidad],'Utilización Convenios'!E$3,Tabla1[Nivel],"Pregrado")</f>
        <v>1</v>
      </c>
      <c r="F5" s="51">
        <f>COUNTIFS(Tabla2[Tipo de Movilidad],"Intercambio*",Tabla2[Universidad KPIs],'Utilización Convenios'!$C5,Tabla2[Año],'Utilización Convenios'!E$3,Tabla2[Nivel Nominación],"Undergraduate / Bachelor")</f>
        <v>2</v>
      </c>
      <c r="G5" s="24">
        <f>COUNTIFS(Tabla1[Tipo de Movilidad],"Intercambio*",Tabla1[Universidad KPIs],'Utilización Convenios'!$C5,Tabla1[Año de Movilidad],'Utilización Convenios'!G$3,Tabla1[Nivel],"Pregrado")</f>
        <v>2</v>
      </c>
      <c r="H5" s="51">
        <f>COUNTIFS(Tabla2[Tipo de Movilidad],"Intercambio*",Tabla2[Universidad KPIs],'Utilización Convenios'!$C5,Tabla2[Año],'Utilización Convenios'!G$3,Tabla2[Nivel Nominación],"Undergraduate / Bachelor")</f>
        <v>0</v>
      </c>
      <c r="I5" s="24">
        <f>COUNTIFS(Tabla1[Tipo de Movilidad],"Intercambio*",Tabla1[Universidad KPIs],'Utilización Convenios'!$C5,Tabla1[Año de Movilidad],'Utilización Convenios'!I$3,Tabla1[Nivel],"Pregrado")</f>
        <v>4</v>
      </c>
      <c r="J5" s="51">
        <f>COUNTIFS(Tabla2[Tipo de Movilidad],"Intercambio*",Tabla2[Universidad KPIs],'Utilización Convenios'!$C5,Tabla2[Año],'Utilización Convenios'!I$3,Tabla2[Nivel Nominación],"Undergraduate / Bachelor")</f>
        <v>5</v>
      </c>
      <c r="K5" s="24">
        <f>COUNTIFS(Tabla1[Tipo de Movilidad],"Intercambio*",Tabla1[Universidad KPIs],'Utilización Convenios'!$C5,Tabla1[Año de Movilidad],'Utilización Convenios'!K$3,Tabla1[Nivel],"Pregrado")</f>
        <v>5</v>
      </c>
      <c r="L5" s="51">
        <f>COUNTIFS(Tabla2[Tipo de Movilidad],"Intercambio*",Tabla2[Universidad KPIs],'Utilización Convenios'!$C5,Tabla2[Año],'Utilización Convenios'!K$3,Tabla2[Nivel Nominación],"Undergraduate / Bachelor")</f>
        <v>3</v>
      </c>
      <c r="M5" s="24">
        <f>COUNTIFS(Tabla1[Tipo de Movilidad],"Intercambio*",Tabla1[Universidad KPIs],'Utilización Convenios'!$C5,Tabla1[Año de Movilidad],'Utilización Convenios'!M$3,Tabla1[Nivel],"Pregrado")</f>
        <v>1</v>
      </c>
      <c r="N5" s="60">
        <f>COUNTIFS(Tabla2[Tipo de Movilidad],"Intercambio*",Tabla2[Universidad KPIs],'Utilización Convenios'!$C5,Tabla2[Año],'Utilización Convenios'!M$3,Tabla2[Nivel Nominación],"Undergraduate / Bachelor")</f>
        <v>2</v>
      </c>
      <c r="O5" s="24">
        <f>COUNTIFS(Tabla1[Tipo de Movilidad],"Intercambio*",Tabla1[Universidad KPIs],'Utilización Convenios'!$C5,Tabla1[Año de Movilidad],'Utilización Convenios'!O$3,Tabla1[Nivel],"Pregrado")</f>
        <v>1</v>
      </c>
      <c r="P5" s="60">
        <f>COUNTIFS(Tabla2[Tipo de Movilidad],"Intercambio*",Tabla2[Universidad KPIs],'Utilización Convenios'!$C5,Tabla2[Año],'Utilización Convenios'!O$3,Tabla2[Nivel Nominación],"Undergraduate / Bachelor")</f>
        <v>3</v>
      </c>
      <c r="Q5" s="71">
        <f>SUMIF($E$4:$P$4,Q$4,$E5:$P5)</f>
        <v>14</v>
      </c>
      <c r="R5" s="72">
        <f>SUMIF($E$4:$P$4,R$4,$E5:$P5)</f>
        <v>15</v>
      </c>
    </row>
    <row r="6" spans="2:18">
      <c r="B6" s="246"/>
      <c r="C6" s="130" t="s">
        <v>52</v>
      </c>
      <c r="D6" s="137" t="s">
        <v>53</v>
      </c>
      <c r="E6" s="132">
        <f>COUNTIFS(Tabla1[Tipo de Movilidad],"Intercambio*",Tabla1[Universidad KPIs],'Utilización Convenios'!$C6,Tabla1[Año de Movilidad],'Utilización Convenios'!E$3,Tabla1[Nivel],"Pregrado")</f>
        <v>1</v>
      </c>
      <c r="F6" s="23">
        <f>COUNTIFS(Tabla2[Tipo de Movilidad],"Intercambio*",Tabla2[Universidad KPIs],'Utilización Convenios'!$C6,Tabla2[Año],'Utilización Convenios'!E$3,Tabla2[Nivel Nominación],"Undergraduate / Bachelor")</f>
        <v>0</v>
      </c>
      <c r="G6" s="22">
        <f>COUNTIFS(Tabla1[Tipo de Movilidad],"Intercambio*",Tabla1[Universidad KPIs],'Utilización Convenios'!$C6,Tabla1[Año de Movilidad],'Utilización Convenios'!G$3,Tabla1[Nivel],"Pregrado")</f>
        <v>1</v>
      </c>
      <c r="H6" s="23">
        <f>COUNTIFS(Tabla2[Tipo de Movilidad],"Intercambio*",Tabla2[Universidad KPIs],'Utilización Convenios'!$C6,Tabla2[Año],'Utilización Convenios'!G$3,Tabla2[Nivel Nominación],"Undergraduate / Bachelor")</f>
        <v>1</v>
      </c>
      <c r="I6" s="22">
        <f>COUNTIFS(Tabla1[Tipo de Movilidad],"Intercambio*",Tabla1[Universidad KPIs],'Utilización Convenios'!$C6,Tabla1[Año de Movilidad],'Utilización Convenios'!I$3,Tabla1[Nivel],"Pregrado")</f>
        <v>0</v>
      </c>
      <c r="J6" s="23">
        <f>COUNTIFS(Tabla2[Tipo de Movilidad],"Intercambio*",Tabla2[Universidad KPIs],'Utilización Convenios'!$C6,Tabla2[Año],'Utilización Convenios'!I$3,Tabla2[Nivel Nominación],"Undergraduate / Bachelor")</f>
        <v>0</v>
      </c>
      <c r="K6" s="22">
        <f>COUNTIFS(Tabla1[Tipo de Movilidad],"Intercambio*",Tabla1[Universidad KPIs],'Utilización Convenios'!$C6,Tabla1[Año de Movilidad],'Utilización Convenios'!K$3,Tabla1[Nivel],"Pregrado")</f>
        <v>2</v>
      </c>
      <c r="L6" s="23">
        <f>COUNTIFS(Tabla2[Tipo de Movilidad],"Intercambio*",Tabla2[Universidad KPIs],'Utilización Convenios'!$C6,Tabla2[Año],'Utilización Convenios'!K$3,Tabla2[Nivel Nominación],"Undergraduate / Bachelor")</f>
        <v>1</v>
      </c>
      <c r="M6" s="22">
        <f>COUNTIFS(Tabla1[Tipo de Movilidad],"Intercambio*",Tabla1[Universidad KPIs],'Utilización Convenios'!$C6,Tabla1[Año de Movilidad],'Utilización Convenios'!M$3,Tabla1[Nivel],"Pregrado")</f>
        <v>0</v>
      </c>
      <c r="N6" s="57">
        <f>COUNTIFS(Tabla2[Tipo de Movilidad],"Intercambio*",Tabla2[Universidad KPIs],'Utilización Convenios'!$C6,Tabla2[Año],'Utilización Convenios'!M$3,Tabla2[Nivel Nominación],"Undergraduate / Bachelor")</f>
        <v>1</v>
      </c>
      <c r="O6" s="22">
        <f>COUNTIFS(Tabla1[Tipo de Movilidad],"Intercambio*",Tabla1[Universidad KPIs],'Utilización Convenios'!$C6,Tabla1[Año de Movilidad],'Utilización Convenios'!O$3,Tabla1[Nivel],"Pregrado")</f>
        <v>1</v>
      </c>
      <c r="P6" s="57">
        <f>COUNTIFS(Tabla2[Tipo de Movilidad],"Intercambio*",Tabla2[Universidad KPIs],'Utilización Convenios'!$C6,Tabla2[Año],'Utilización Convenios'!O$3,Tabla2[Nivel Nominación],"Undergraduate / Bachelor")</f>
        <v>0</v>
      </c>
      <c r="Q6" s="73">
        <f t="shared" ref="Q6:R37" si="0">SUMIF($E$4:$P$4,Q$4,$E6:$P6)</f>
        <v>5</v>
      </c>
      <c r="R6" s="74">
        <f t="shared" si="0"/>
        <v>3</v>
      </c>
    </row>
    <row r="7" spans="2:18">
      <c r="B7" s="246"/>
      <c r="C7" s="130" t="s">
        <v>54</v>
      </c>
      <c r="D7" s="137" t="s">
        <v>55</v>
      </c>
      <c r="E7" s="132">
        <f>COUNTIFS(Tabla1[Tipo de Movilidad],"Intercambio*",Tabla1[Universidad KPIs],'Utilización Convenios'!$C7,Tabla1[Año de Movilidad],'Utilización Convenios'!E$3,Tabla1[Nivel],"Pregrado")</f>
        <v>2</v>
      </c>
      <c r="F7" s="23">
        <f>COUNTIFS(Tabla2[Tipo de Movilidad],"Intercambio*",Tabla2[Universidad KPIs],'Utilización Convenios'!$C7,Tabla2[Año],'Utilización Convenios'!E$3,Tabla2[Nivel Nominación],"Undergraduate / Bachelor")</f>
        <v>1</v>
      </c>
      <c r="G7" s="22">
        <f>COUNTIFS(Tabla1[Tipo de Movilidad],"Intercambio*",Tabla1[Universidad KPIs],'Utilización Convenios'!$C7,Tabla1[Año de Movilidad],'Utilización Convenios'!G$3,Tabla1[Nivel],"Pregrado")</f>
        <v>2</v>
      </c>
      <c r="H7" s="23">
        <f>COUNTIFS(Tabla2[Tipo de Movilidad],"Intercambio*",Tabla2[Universidad KPIs],'Utilización Convenios'!$C7,Tabla2[Año],'Utilización Convenios'!G$3,Tabla2[Nivel Nominación],"Undergraduate / Bachelor")</f>
        <v>0</v>
      </c>
      <c r="I7" s="22">
        <f>COUNTIFS(Tabla1[Tipo de Movilidad],"Intercambio*",Tabla1[Universidad KPIs],'Utilización Convenios'!$C7,Tabla1[Año de Movilidad],'Utilización Convenios'!I$3,Tabla1[Nivel],"Pregrado")</f>
        <v>2</v>
      </c>
      <c r="J7" s="23">
        <f>COUNTIFS(Tabla2[Tipo de Movilidad],"Intercambio*",Tabla2[Universidad KPIs],'Utilización Convenios'!$C7,Tabla2[Año],'Utilización Convenios'!I$3,Tabla2[Nivel Nominación],"Undergraduate / Bachelor")</f>
        <v>0</v>
      </c>
      <c r="K7" s="22">
        <f>COUNTIFS(Tabla1[Tipo de Movilidad],"Intercambio*",Tabla1[Universidad KPIs],'Utilización Convenios'!$C7,Tabla1[Año de Movilidad],'Utilización Convenios'!K$3,Tabla1[Nivel],"Pregrado")</f>
        <v>3</v>
      </c>
      <c r="L7" s="23">
        <f>COUNTIFS(Tabla2[Tipo de Movilidad],"Intercambio*",Tabla2[Universidad KPIs],'Utilización Convenios'!$C7,Tabla2[Año],'Utilización Convenios'!K$3,Tabla2[Nivel Nominación],"Undergraduate / Bachelor")</f>
        <v>0</v>
      </c>
      <c r="M7" s="22">
        <f>COUNTIFS(Tabla1[Tipo de Movilidad],"Intercambio*",Tabla1[Universidad KPIs],'Utilización Convenios'!$C7,Tabla1[Año de Movilidad],'Utilización Convenios'!M$3,Tabla1[Nivel],"Pregrado")</f>
        <v>2</v>
      </c>
      <c r="N7" s="57">
        <f>COUNTIFS(Tabla2[Tipo de Movilidad],"Intercambio*",Tabla2[Universidad KPIs],'Utilización Convenios'!$C7,Tabla2[Año],'Utilización Convenios'!M$3,Tabla2[Nivel Nominación],"Undergraduate / Bachelor")</f>
        <v>0</v>
      </c>
      <c r="O7" s="22">
        <f>COUNTIFS(Tabla1[Tipo de Movilidad],"Intercambio*",Tabla1[Universidad KPIs],'Utilización Convenios'!$C7,Tabla1[Año de Movilidad],'Utilización Convenios'!O$3,Tabla1[Nivel],"Pregrado")</f>
        <v>1</v>
      </c>
      <c r="P7" s="57">
        <f>COUNTIFS(Tabla2[Tipo de Movilidad],"Intercambio*",Tabla2[Universidad KPIs],'Utilización Convenios'!$C7,Tabla2[Año],'Utilización Convenios'!O$3,Tabla2[Nivel Nominación],"Undergraduate / Bachelor")</f>
        <v>0</v>
      </c>
      <c r="Q7" s="73">
        <f t="shared" si="0"/>
        <v>12</v>
      </c>
      <c r="R7" s="74">
        <f t="shared" si="0"/>
        <v>1</v>
      </c>
    </row>
    <row r="8" spans="2:18">
      <c r="B8" s="246"/>
      <c r="C8" s="130" t="s">
        <v>56</v>
      </c>
      <c r="D8" s="137" t="s">
        <v>57</v>
      </c>
      <c r="E8" s="132">
        <f>COUNTIFS(Tabla1[Tipo de Movilidad],"Intercambio*",Tabla1[Universidad KPIs],'Utilización Convenios'!$C8,Tabla1[Año de Movilidad],'Utilización Convenios'!E$3,Tabla1[Nivel],"Pregrado")</f>
        <v>1</v>
      </c>
      <c r="F8" s="23">
        <f>COUNTIFS(Tabla2[Tipo de Movilidad],"Intercambio*",Tabla2[Universidad KPIs],'Utilización Convenios'!$C8,Tabla2[Año],'Utilización Convenios'!E$3,Tabla2[Nivel Nominación],"Undergraduate / Bachelor")</f>
        <v>2</v>
      </c>
      <c r="G8" s="22">
        <f>COUNTIFS(Tabla1[Tipo de Movilidad],"Intercambio*",Tabla1[Universidad KPIs],'Utilización Convenios'!$C8,Tabla1[Año de Movilidad],'Utilización Convenios'!G$3,Tabla1[Nivel],"Pregrado")</f>
        <v>1</v>
      </c>
      <c r="H8" s="23">
        <f>COUNTIFS(Tabla2[Tipo de Movilidad],"Intercambio*",Tabla2[Universidad KPIs],'Utilización Convenios'!$C8,Tabla2[Año],'Utilización Convenios'!G$3,Tabla2[Nivel Nominación],"Undergraduate / Bachelor")</f>
        <v>1</v>
      </c>
      <c r="I8" s="22">
        <f>COUNTIFS(Tabla1[Tipo de Movilidad],"Intercambio*",Tabla1[Universidad KPIs],'Utilización Convenios'!$C8,Tabla1[Año de Movilidad],'Utilización Convenios'!I$3,Tabla1[Nivel],"Pregrado")</f>
        <v>2</v>
      </c>
      <c r="J8" s="23">
        <f>COUNTIFS(Tabla2[Tipo de Movilidad],"Intercambio*",Tabla2[Universidad KPIs],'Utilización Convenios'!$C8,Tabla2[Año],'Utilización Convenios'!I$3,Tabla2[Nivel Nominación],"Undergraduate / Bachelor")</f>
        <v>3</v>
      </c>
      <c r="K8" s="22">
        <f>COUNTIFS(Tabla1[Tipo de Movilidad],"Intercambio*",Tabla1[Universidad KPIs],'Utilización Convenios'!$C8,Tabla1[Año de Movilidad],'Utilización Convenios'!K$3,Tabla1[Nivel],"Pregrado")</f>
        <v>3</v>
      </c>
      <c r="L8" s="23">
        <f>COUNTIFS(Tabla2[Tipo de Movilidad],"Intercambio*",Tabla2[Universidad KPIs],'Utilización Convenios'!$C8,Tabla2[Año],'Utilización Convenios'!K$3,Tabla2[Nivel Nominación],"Undergraduate / Bachelor")</f>
        <v>4</v>
      </c>
      <c r="M8" s="22">
        <f>COUNTIFS(Tabla1[Tipo de Movilidad],"Intercambio*",Tabla1[Universidad KPIs],'Utilización Convenios'!$C8,Tabla1[Año de Movilidad],'Utilización Convenios'!M$3,Tabla1[Nivel],"Pregrado")</f>
        <v>1</v>
      </c>
      <c r="N8" s="57">
        <f>COUNTIFS(Tabla2[Tipo de Movilidad],"Intercambio*",Tabla2[Universidad KPIs],'Utilización Convenios'!$C8,Tabla2[Año],'Utilización Convenios'!M$3,Tabla2[Nivel Nominación],"Undergraduate / Bachelor")</f>
        <v>2</v>
      </c>
      <c r="O8" s="22">
        <f>COUNTIFS(Tabla1[Tipo de Movilidad],"Intercambio*",Tabla1[Universidad KPIs],'Utilización Convenios'!$C8,Tabla1[Año de Movilidad],'Utilización Convenios'!O$3,Tabla1[Nivel],"Pregrado")</f>
        <v>1</v>
      </c>
      <c r="P8" s="57">
        <f>COUNTIFS(Tabla2[Tipo de Movilidad],"Intercambio*",Tabla2[Universidad KPIs],'Utilización Convenios'!$C8,Tabla2[Año],'Utilización Convenios'!O$3,Tabla2[Nivel Nominación],"Undergraduate / Bachelor")</f>
        <v>1</v>
      </c>
      <c r="Q8" s="73">
        <f t="shared" si="0"/>
        <v>9</v>
      </c>
      <c r="R8" s="74">
        <f t="shared" si="0"/>
        <v>13</v>
      </c>
    </row>
    <row r="9" spans="2:18">
      <c r="B9" s="246"/>
      <c r="C9" s="130" t="s">
        <v>58</v>
      </c>
      <c r="D9" s="137" t="s">
        <v>59</v>
      </c>
      <c r="E9" s="132">
        <f>COUNTIFS(Tabla1[Tipo de Movilidad],"Intercambio*",Tabla1[Universidad KPIs],'Utilización Convenios'!$C9,Tabla1[Año de Movilidad],'Utilización Convenios'!E$3,Tabla1[Nivel],"Pregrado")</f>
        <v>0</v>
      </c>
      <c r="F9" s="23">
        <f>COUNTIFS(Tabla2[Tipo de Movilidad],"Intercambio*",Tabla2[Universidad KPIs],'Utilización Convenios'!$C9,Tabla2[Año],'Utilización Convenios'!E$3,Tabla2[Nivel Nominación],"Undergraduate / Bachelor")</f>
        <v>0</v>
      </c>
      <c r="G9" s="22">
        <f>COUNTIFS(Tabla1[Tipo de Movilidad],"Intercambio*",Tabla1[Universidad KPIs],'Utilización Convenios'!$C9,Tabla1[Año de Movilidad],'Utilización Convenios'!G$3,Tabla1[Nivel],"Pregrado")</f>
        <v>0</v>
      </c>
      <c r="H9" s="23">
        <f>COUNTIFS(Tabla2[Tipo de Movilidad],"Intercambio*",Tabla2[Universidad KPIs],'Utilización Convenios'!$C9,Tabla2[Año],'Utilización Convenios'!G$3,Tabla2[Nivel Nominación],"Undergraduate / Bachelor")</f>
        <v>0</v>
      </c>
      <c r="I9" s="22">
        <f>COUNTIFS(Tabla1[Tipo de Movilidad],"Intercambio*",Tabla1[Universidad KPIs],'Utilización Convenios'!$C9,Tabla1[Año de Movilidad],'Utilización Convenios'!I$3,Tabla1[Nivel],"Pregrado")</f>
        <v>0</v>
      </c>
      <c r="J9" s="23">
        <f>COUNTIFS(Tabla2[Tipo de Movilidad],"Intercambio*",Tabla2[Universidad KPIs],'Utilización Convenios'!$C9,Tabla2[Año],'Utilización Convenios'!I$3,Tabla2[Nivel Nominación],"Undergraduate / Bachelor")</f>
        <v>0</v>
      </c>
      <c r="K9" s="22">
        <f>COUNTIFS(Tabla1[Tipo de Movilidad],"Intercambio*",Tabla1[Universidad KPIs],'Utilización Convenios'!$C9,Tabla1[Año de Movilidad],'Utilización Convenios'!K$3,Tabla1[Nivel],"Pregrado")</f>
        <v>2</v>
      </c>
      <c r="L9" s="23">
        <f>COUNTIFS(Tabla2[Tipo de Movilidad],"Intercambio*",Tabla2[Universidad KPIs],'Utilización Convenios'!$C9,Tabla2[Año],'Utilización Convenios'!K$3,Tabla2[Nivel Nominación],"Undergraduate / Bachelor")</f>
        <v>0</v>
      </c>
      <c r="M9" s="22">
        <f>COUNTIFS(Tabla1[Tipo de Movilidad],"Intercambio*",Tabla1[Universidad KPIs],'Utilización Convenios'!$C9,Tabla1[Año de Movilidad],'Utilización Convenios'!M$3,Tabla1[Nivel],"Pregrado")</f>
        <v>2</v>
      </c>
      <c r="N9" s="57">
        <f>COUNTIFS(Tabla2[Tipo de Movilidad],"Intercambio*",Tabla2[Universidad KPIs],'Utilización Convenios'!$C9,Tabla2[Año],'Utilización Convenios'!M$3,Tabla2[Nivel Nominación],"Undergraduate / Bachelor")</f>
        <v>0</v>
      </c>
      <c r="O9" s="22">
        <f>COUNTIFS(Tabla1[Tipo de Movilidad],"Intercambio*",Tabla1[Universidad KPIs],'Utilización Convenios'!$C9,Tabla1[Año de Movilidad],'Utilización Convenios'!O$3,Tabla1[Nivel],"Pregrado")</f>
        <v>0</v>
      </c>
      <c r="P9" s="57">
        <f>COUNTIFS(Tabla2[Tipo de Movilidad],"Intercambio*",Tabla2[Universidad KPIs],'Utilización Convenios'!$C9,Tabla2[Año],'Utilización Convenios'!O$3,Tabla2[Nivel Nominación],"Undergraduate / Bachelor")</f>
        <v>0</v>
      </c>
      <c r="Q9" s="73">
        <f t="shared" si="0"/>
        <v>4</v>
      </c>
      <c r="R9" s="74">
        <f t="shared" si="0"/>
        <v>0</v>
      </c>
    </row>
    <row r="10" spans="2:18">
      <c r="B10" s="246"/>
      <c r="C10" s="130" t="s">
        <v>60</v>
      </c>
      <c r="D10" s="137" t="s">
        <v>61</v>
      </c>
      <c r="E10" s="132">
        <f>COUNTIFS(Tabla1[Tipo de Movilidad],"Intercambio*",Tabla1[Universidad KPIs],'Utilización Convenios'!$C10,Tabla1[Año de Movilidad],'Utilización Convenios'!E$3,Tabla1[Nivel],"Pregrado")</f>
        <v>2</v>
      </c>
      <c r="F10" s="23">
        <f>COUNTIFS(Tabla2[Tipo de Movilidad],"Intercambio*",Tabla2[Universidad KPIs],'Utilización Convenios'!$C10,Tabla2[Año],'Utilización Convenios'!E$3,Tabla2[Nivel Nominación],"Undergraduate / Bachelor")</f>
        <v>0</v>
      </c>
      <c r="G10" s="22">
        <f>COUNTIFS(Tabla1[Tipo de Movilidad],"Intercambio*",Tabla1[Universidad KPIs],'Utilización Convenios'!$C10,Tabla1[Año de Movilidad],'Utilización Convenios'!G$3,Tabla1[Nivel],"Pregrado")</f>
        <v>2</v>
      </c>
      <c r="H10" s="23">
        <f>COUNTIFS(Tabla2[Tipo de Movilidad],"Intercambio*",Tabla2[Universidad KPIs],'Utilización Convenios'!$C10,Tabla2[Año],'Utilización Convenios'!G$3,Tabla2[Nivel Nominación],"Undergraduate / Bachelor")</f>
        <v>0</v>
      </c>
      <c r="I10" s="22">
        <f>COUNTIFS(Tabla1[Tipo de Movilidad],"Intercambio*",Tabla1[Universidad KPIs],'Utilización Convenios'!$C10,Tabla1[Año de Movilidad],'Utilización Convenios'!I$3,Tabla1[Nivel],"Pregrado")</f>
        <v>4</v>
      </c>
      <c r="J10" s="23">
        <f>COUNTIFS(Tabla2[Tipo de Movilidad],"Intercambio*",Tabla2[Universidad KPIs],'Utilización Convenios'!$C10,Tabla2[Año],'Utilización Convenios'!I$3,Tabla2[Nivel Nominación],"Undergraduate / Bachelor")</f>
        <v>1</v>
      </c>
      <c r="K10" s="22">
        <f>COUNTIFS(Tabla1[Tipo de Movilidad],"Intercambio*",Tabla1[Universidad KPIs],'Utilización Convenios'!$C10,Tabla1[Año de Movilidad],'Utilización Convenios'!K$3,Tabla1[Nivel],"Pregrado")</f>
        <v>3</v>
      </c>
      <c r="L10" s="23">
        <f>COUNTIFS(Tabla2[Tipo de Movilidad],"Intercambio*",Tabla2[Universidad KPIs],'Utilización Convenios'!$C10,Tabla2[Año],'Utilización Convenios'!K$3,Tabla2[Nivel Nominación],"Undergraduate / Bachelor")</f>
        <v>4</v>
      </c>
      <c r="M10" s="22">
        <f>COUNTIFS(Tabla1[Tipo de Movilidad],"Intercambio*",Tabla1[Universidad KPIs],'Utilización Convenios'!$C10,Tabla1[Año de Movilidad],'Utilización Convenios'!M$3,Tabla1[Nivel],"Pregrado")</f>
        <v>2</v>
      </c>
      <c r="N10" s="57">
        <f>COUNTIFS(Tabla2[Tipo de Movilidad],"Intercambio*",Tabla2[Universidad KPIs],'Utilización Convenios'!$C10,Tabla2[Año],'Utilización Convenios'!M$3,Tabla2[Nivel Nominación],"Undergraduate / Bachelor")</f>
        <v>2</v>
      </c>
      <c r="O10" s="22">
        <f>COUNTIFS(Tabla1[Tipo de Movilidad],"Intercambio*",Tabla1[Universidad KPIs],'Utilización Convenios'!$C10,Tabla1[Año de Movilidad],'Utilización Convenios'!O$3,Tabla1[Nivel],"Pregrado")</f>
        <v>2</v>
      </c>
      <c r="P10" s="57">
        <f>COUNTIFS(Tabla2[Tipo de Movilidad],"Intercambio*",Tabla2[Universidad KPIs],'Utilización Convenios'!$C10,Tabla2[Año],'Utilización Convenios'!O$3,Tabla2[Nivel Nominación],"Undergraduate / Bachelor")</f>
        <v>0</v>
      </c>
      <c r="Q10" s="73">
        <f t="shared" si="0"/>
        <v>15</v>
      </c>
      <c r="R10" s="74">
        <f t="shared" si="0"/>
        <v>7</v>
      </c>
    </row>
    <row r="11" spans="2:18">
      <c r="B11" s="246"/>
      <c r="C11" s="130" t="s">
        <v>62</v>
      </c>
      <c r="D11" s="137" t="s">
        <v>63</v>
      </c>
      <c r="E11" s="132">
        <f>COUNTIFS(Tabla1[Tipo de Movilidad],"Intercambio*",Tabla1[Universidad KPIs],'Utilización Convenios'!$C11,Tabla1[Año de Movilidad],'Utilización Convenios'!E$3,Tabla1[Nivel],"Pregrado")</f>
        <v>2</v>
      </c>
      <c r="F11" s="23">
        <f>COUNTIFS(Tabla2[Tipo de Movilidad],"Intercambio*",Tabla2[Universidad KPIs],'Utilización Convenios'!$C11,Tabla2[Año],'Utilización Convenios'!E$3,Tabla2[Nivel Nominación],"Undergraduate / Bachelor")</f>
        <v>0</v>
      </c>
      <c r="G11" s="22">
        <f>COUNTIFS(Tabla1[Tipo de Movilidad],"Intercambio*",Tabla1[Universidad KPIs],'Utilización Convenios'!$C11,Tabla1[Año de Movilidad],'Utilización Convenios'!G$3,Tabla1[Nivel],"Pregrado")</f>
        <v>2</v>
      </c>
      <c r="H11" s="23">
        <f>COUNTIFS(Tabla2[Tipo de Movilidad],"Intercambio*",Tabla2[Universidad KPIs],'Utilización Convenios'!$C11,Tabla2[Año],'Utilización Convenios'!G$3,Tabla2[Nivel Nominación],"Undergraduate / Bachelor")</f>
        <v>1</v>
      </c>
      <c r="I11" s="22">
        <f>COUNTIFS(Tabla1[Tipo de Movilidad],"Intercambio*",Tabla1[Universidad KPIs],'Utilización Convenios'!$C11,Tabla1[Año de Movilidad],'Utilización Convenios'!I$3,Tabla1[Nivel],"Pregrado")</f>
        <v>2</v>
      </c>
      <c r="J11" s="23">
        <f>COUNTIFS(Tabla2[Tipo de Movilidad],"Intercambio*",Tabla2[Universidad KPIs],'Utilización Convenios'!$C11,Tabla2[Año],'Utilización Convenios'!I$3,Tabla2[Nivel Nominación],"Undergraduate / Bachelor")</f>
        <v>3</v>
      </c>
      <c r="K11" s="22">
        <f>COUNTIFS(Tabla1[Tipo de Movilidad],"Intercambio*",Tabla1[Universidad KPIs],'Utilización Convenios'!$C11,Tabla1[Año de Movilidad],'Utilización Convenios'!K$3,Tabla1[Nivel],"Pregrado")</f>
        <v>2</v>
      </c>
      <c r="L11" s="23">
        <f>COUNTIFS(Tabla2[Tipo de Movilidad],"Intercambio*",Tabla2[Universidad KPIs],'Utilización Convenios'!$C11,Tabla2[Año],'Utilización Convenios'!K$3,Tabla2[Nivel Nominación],"Undergraduate / Bachelor")</f>
        <v>2</v>
      </c>
      <c r="M11" s="22">
        <f>COUNTIFS(Tabla1[Tipo de Movilidad],"Intercambio*",Tabla1[Universidad KPIs],'Utilización Convenios'!$C11,Tabla1[Año de Movilidad],'Utilización Convenios'!M$3,Tabla1[Nivel],"Pregrado")</f>
        <v>1</v>
      </c>
      <c r="N11" s="57">
        <f>COUNTIFS(Tabla2[Tipo de Movilidad],"Intercambio*",Tabla2[Universidad KPIs],'Utilización Convenios'!$C11,Tabla2[Año],'Utilización Convenios'!M$3,Tabla2[Nivel Nominación],"Undergraduate / Bachelor")</f>
        <v>1</v>
      </c>
      <c r="O11" s="22">
        <f>COUNTIFS(Tabla1[Tipo de Movilidad],"Intercambio*",Tabla1[Universidad KPIs],'Utilización Convenios'!$C11,Tabla1[Año de Movilidad],'Utilización Convenios'!O$3,Tabla1[Nivel],"Pregrado")</f>
        <v>2</v>
      </c>
      <c r="P11" s="57">
        <f>COUNTIFS(Tabla2[Tipo de Movilidad],"Intercambio*",Tabla2[Universidad KPIs],'Utilización Convenios'!$C11,Tabla2[Año],'Utilización Convenios'!O$3,Tabla2[Nivel Nominación],"Undergraduate / Bachelor")</f>
        <v>0</v>
      </c>
      <c r="Q11" s="73">
        <f t="shared" si="0"/>
        <v>11</v>
      </c>
      <c r="R11" s="74">
        <f t="shared" si="0"/>
        <v>7</v>
      </c>
    </row>
    <row r="12" spans="2:18">
      <c r="B12" s="246"/>
      <c r="C12" s="130" t="s">
        <v>64</v>
      </c>
      <c r="D12" s="137" t="s">
        <v>65</v>
      </c>
      <c r="E12" s="132">
        <f>COUNTIFS(Tabla1[Tipo de Movilidad],"Intercambio*",Tabla1[Universidad KPIs],'Utilización Convenios'!$C12,Tabla1[Año de Movilidad],'Utilización Convenios'!E$3,Tabla1[Nivel],"Pregrado")</f>
        <v>0</v>
      </c>
      <c r="F12" s="23">
        <f>COUNTIFS(Tabla2[Tipo de Movilidad],"Intercambio*",Tabla2[Universidad KPIs],'Utilización Convenios'!$C12,Tabla2[Año],'Utilización Convenios'!E$3,Tabla2[Nivel Nominación],"Undergraduate / Bachelor")</f>
        <v>0</v>
      </c>
      <c r="G12" s="22">
        <f>COUNTIFS(Tabla1[Tipo de Movilidad],"Intercambio*",Tabla1[Universidad KPIs],'Utilización Convenios'!$C12,Tabla1[Año de Movilidad],'Utilización Convenios'!G$3,Tabla1[Nivel],"Pregrado")</f>
        <v>0</v>
      </c>
      <c r="H12" s="23">
        <f>COUNTIFS(Tabla2[Tipo de Movilidad],"Intercambio*",Tabla2[Universidad KPIs],'Utilización Convenios'!$C12,Tabla2[Año],'Utilización Convenios'!G$3,Tabla2[Nivel Nominación],"Undergraduate / Bachelor")</f>
        <v>0</v>
      </c>
      <c r="I12" s="22">
        <f>COUNTIFS(Tabla1[Tipo de Movilidad],"Intercambio*",Tabla1[Universidad KPIs],'Utilización Convenios'!$C12,Tabla1[Año de Movilidad],'Utilización Convenios'!I$3,Tabla1[Nivel],"Pregrado")</f>
        <v>1</v>
      </c>
      <c r="J12" s="23">
        <f>COUNTIFS(Tabla2[Tipo de Movilidad],"Intercambio*",Tabla2[Universidad KPIs],'Utilización Convenios'!$C12,Tabla2[Año],'Utilización Convenios'!I$3,Tabla2[Nivel Nominación],"Undergraduate / Bachelor")</f>
        <v>0</v>
      </c>
      <c r="K12" s="22">
        <f>COUNTIFS(Tabla1[Tipo de Movilidad],"Intercambio*",Tabla1[Universidad KPIs],'Utilización Convenios'!$C12,Tabla1[Año de Movilidad],'Utilización Convenios'!K$3,Tabla1[Nivel],"Pregrado")</f>
        <v>2</v>
      </c>
      <c r="L12" s="23">
        <f>COUNTIFS(Tabla2[Tipo de Movilidad],"Intercambio*",Tabla2[Universidad KPIs],'Utilización Convenios'!$C12,Tabla2[Año],'Utilización Convenios'!K$3,Tabla2[Nivel Nominación],"Undergraduate / Bachelor")</f>
        <v>0</v>
      </c>
      <c r="M12" s="22">
        <f>COUNTIFS(Tabla1[Tipo de Movilidad],"Intercambio*",Tabla1[Universidad KPIs],'Utilización Convenios'!$C12,Tabla1[Año de Movilidad],'Utilización Convenios'!M$3,Tabla1[Nivel],"Pregrado")</f>
        <v>0</v>
      </c>
      <c r="N12" s="57">
        <f>COUNTIFS(Tabla2[Tipo de Movilidad],"Intercambio*",Tabla2[Universidad KPIs],'Utilización Convenios'!$C12,Tabla2[Año],'Utilización Convenios'!M$3,Tabla2[Nivel Nominación],"Undergraduate / Bachelor")</f>
        <v>0</v>
      </c>
      <c r="O12" s="22">
        <f>COUNTIFS(Tabla1[Tipo de Movilidad],"Intercambio*",Tabla1[Universidad KPIs],'Utilización Convenios'!$C12,Tabla1[Año de Movilidad],'Utilización Convenios'!O$3,Tabla1[Nivel],"Pregrado")</f>
        <v>1</v>
      </c>
      <c r="P12" s="57">
        <f>COUNTIFS(Tabla2[Tipo de Movilidad],"Intercambio*",Tabla2[Universidad KPIs],'Utilización Convenios'!$C12,Tabla2[Año],'Utilización Convenios'!O$3,Tabla2[Nivel Nominación],"Undergraduate / Bachelor")</f>
        <v>0</v>
      </c>
      <c r="Q12" s="73">
        <f t="shared" si="0"/>
        <v>4</v>
      </c>
      <c r="R12" s="74">
        <f t="shared" si="0"/>
        <v>0</v>
      </c>
    </row>
    <row r="13" spans="2:18">
      <c r="B13" s="246"/>
      <c r="C13" s="130" t="s">
        <v>66</v>
      </c>
      <c r="D13" s="137" t="s">
        <v>57</v>
      </c>
      <c r="E13" s="132">
        <f>COUNTIFS(Tabla1[Tipo de Movilidad],"Intercambio*",Tabla1[Universidad KPIs],'Utilización Convenios'!$C13,Tabla1[Año de Movilidad],'Utilización Convenios'!E$3,Tabla1[Nivel],"Pregrado")</f>
        <v>0</v>
      </c>
      <c r="F13" s="23">
        <f>COUNTIFS(Tabla2[Tipo de Movilidad],"Intercambio*",Tabla2[Universidad KPIs],'Utilización Convenios'!$C13,Tabla2[Año],'Utilización Convenios'!E$3,Tabla2[Nivel Nominación],"Undergraduate / Bachelor")</f>
        <v>1</v>
      </c>
      <c r="G13" s="22">
        <f>COUNTIFS(Tabla1[Tipo de Movilidad],"Intercambio*",Tabla1[Universidad KPIs],'Utilización Convenios'!$C13,Tabla1[Año de Movilidad],'Utilización Convenios'!G$3,Tabla1[Nivel],"Pregrado")</f>
        <v>0</v>
      </c>
      <c r="H13" s="23">
        <f>COUNTIFS(Tabla2[Tipo de Movilidad],"Intercambio*",Tabla2[Universidad KPIs],'Utilización Convenios'!$C13,Tabla2[Año],'Utilización Convenios'!G$3,Tabla2[Nivel Nominación],"Undergraduate / Bachelor")</f>
        <v>0</v>
      </c>
      <c r="I13" s="22">
        <f>COUNTIFS(Tabla1[Tipo de Movilidad],"Intercambio*",Tabla1[Universidad KPIs],'Utilización Convenios'!$C13,Tabla1[Año de Movilidad],'Utilización Convenios'!I$3,Tabla1[Nivel],"Pregrado")</f>
        <v>3</v>
      </c>
      <c r="J13" s="23">
        <f>COUNTIFS(Tabla2[Tipo de Movilidad],"Intercambio*",Tabla2[Universidad KPIs],'Utilización Convenios'!$C13,Tabla2[Año],'Utilización Convenios'!I$3,Tabla2[Nivel Nominación],"Undergraduate / Bachelor")</f>
        <v>0</v>
      </c>
      <c r="K13" s="22">
        <f>COUNTIFS(Tabla1[Tipo de Movilidad],"Intercambio*",Tabla1[Universidad KPIs],'Utilización Convenios'!$C13,Tabla1[Año de Movilidad],'Utilización Convenios'!K$3,Tabla1[Nivel],"Pregrado")</f>
        <v>2</v>
      </c>
      <c r="L13" s="23">
        <f>COUNTIFS(Tabla2[Tipo de Movilidad],"Intercambio*",Tabla2[Universidad KPIs],'Utilización Convenios'!$C13,Tabla2[Año],'Utilización Convenios'!K$3,Tabla2[Nivel Nominación],"Undergraduate / Bachelor")</f>
        <v>2</v>
      </c>
      <c r="M13" s="22">
        <f>COUNTIFS(Tabla1[Tipo de Movilidad],"Intercambio*",Tabla1[Universidad KPIs],'Utilización Convenios'!$C13,Tabla1[Año de Movilidad],'Utilización Convenios'!M$3,Tabla1[Nivel],"Pregrado")</f>
        <v>2</v>
      </c>
      <c r="N13" s="57">
        <f>COUNTIFS(Tabla2[Tipo de Movilidad],"Intercambio*",Tabla2[Universidad KPIs],'Utilización Convenios'!$C13,Tabla2[Año],'Utilización Convenios'!M$3,Tabla2[Nivel Nominación],"Undergraduate / Bachelor")</f>
        <v>0</v>
      </c>
      <c r="O13" s="22">
        <f>COUNTIFS(Tabla1[Tipo de Movilidad],"Intercambio*",Tabla1[Universidad KPIs],'Utilización Convenios'!$C13,Tabla1[Año de Movilidad],'Utilización Convenios'!O$3,Tabla1[Nivel],"Pregrado")</f>
        <v>1</v>
      </c>
      <c r="P13" s="57">
        <f>COUNTIFS(Tabla2[Tipo de Movilidad],"Intercambio*",Tabla2[Universidad KPIs],'Utilización Convenios'!$C13,Tabla2[Año],'Utilización Convenios'!O$3,Tabla2[Nivel Nominación],"Undergraduate / Bachelor")</f>
        <v>0</v>
      </c>
      <c r="Q13" s="73">
        <f t="shared" si="0"/>
        <v>8</v>
      </c>
      <c r="R13" s="74">
        <f t="shared" si="0"/>
        <v>3</v>
      </c>
    </row>
    <row r="14" spans="2:18">
      <c r="B14" s="246"/>
      <c r="C14" s="130" t="s">
        <v>67</v>
      </c>
      <c r="D14" s="137" t="s">
        <v>57</v>
      </c>
      <c r="E14" s="132">
        <f>COUNTIFS(Tabla1[Tipo de Movilidad],"Intercambio*",Tabla1[Universidad KPIs],'Utilización Convenios'!$C14,Tabla1[Año de Movilidad],'Utilización Convenios'!E$3,Tabla1[Nivel],"Pregrado")</f>
        <v>0</v>
      </c>
      <c r="F14" s="23">
        <f>COUNTIFS(Tabla2[Tipo de Movilidad],"Intercambio*",Tabla2[Universidad KPIs],'Utilización Convenios'!$C14,Tabla2[Año],'Utilización Convenios'!E$3,Tabla2[Nivel Nominación],"Undergraduate / Bachelor")</f>
        <v>1</v>
      </c>
      <c r="G14" s="22">
        <f>COUNTIFS(Tabla1[Tipo de Movilidad],"Intercambio*",Tabla1[Universidad KPIs],'Utilización Convenios'!$C14,Tabla1[Año de Movilidad],'Utilización Convenios'!G$3,Tabla1[Nivel],"Pregrado")</f>
        <v>0</v>
      </c>
      <c r="H14" s="23">
        <f>COUNTIFS(Tabla2[Tipo de Movilidad],"Intercambio*",Tabla2[Universidad KPIs],'Utilización Convenios'!$C14,Tabla2[Año],'Utilización Convenios'!G$3,Tabla2[Nivel Nominación],"Undergraduate / Bachelor")</f>
        <v>1</v>
      </c>
      <c r="I14" s="22">
        <f>COUNTIFS(Tabla1[Tipo de Movilidad],"Intercambio*",Tabla1[Universidad KPIs],'Utilización Convenios'!$C14,Tabla1[Año de Movilidad],'Utilización Convenios'!I$3,Tabla1[Nivel],"Pregrado")</f>
        <v>0</v>
      </c>
      <c r="J14" s="23">
        <f>COUNTIFS(Tabla2[Tipo de Movilidad],"Intercambio*",Tabla2[Universidad KPIs],'Utilización Convenios'!$C14,Tabla2[Año],'Utilización Convenios'!I$3,Tabla2[Nivel Nominación],"Undergraduate / Bachelor")</f>
        <v>1</v>
      </c>
      <c r="K14" s="22">
        <f>COUNTIFS(Tabla1[Tipo de Movilidad],"Intercambio*",Tabla1[Universidad KPIs],'Utilización Convenios'!$C14,Tabla1[Año de Movilidad],'Utilización Convenios'!K$3,Tabla1[Nivel],"Pregrado")</f>
        <v>3</v>
      </c>
      <c r="L14" s="23">
        <f>COUNTIFS(Tabla2[Tipo de Movilidad],"Intercambio*",Tabla2[Universidad KPIs],'Utilización Convenios'!$C14,Tabla2[Año],'Utilización Convenios'!K$3,Tabla2[Nivel Nominación],"Undergraduate / Bachelor")</f>
        <v>1</v>
      </c>
      <c r="M14" s="22">
        <f>COUNTIFS(Tabla1[Tipo de Movilidad],"Intercambio*",Tabla1[Universidad KPIs],'Utilización Convenios'!$C14,Tabla1[Año de Movilidad],'Utilización Convenios'!M$3,Tabla1[Nivel],"Pregrado")</f>
        <v>2</v>
      </c>
      <c r="N14" s="57">
        <f>COUNTIFS(Tabla2[Tipo de Movilidad],"Intercambio*",Tabla2[Universidad KPIs],'Utilización Convenios'!$C14,Tabla2[Año],'Utilización Convenios'!M$3,Tabla2[Nivel Nominación],"Undergraduate / Bachelor")</f>
        <v>1</v>
      </c>
      <c r="O14" s="22">
        <f>COUNTIFS(Tabla1[Tipo de Movilidad],"Intercambio*",Tabla1[Universidad KPIs],'Utilización Convenios'!$C14,Tabla1[Año de Movilidad],'Utilización Convenios'!O$3,Tabla1[Nivel],"Pregrado")</f>
        <v>1</v>
      </c>
      <c r="P14" s="57">
        <f>COUNTIFS(Tabla2[Tipo de Movilidad],"Intercambio*",Tabla2[Universidad KPIs],'Utilización Convenios'!$C14,Tabla2[Año],'Utilización Convenios'!O$3,Tabla2[Nivel Nominación],"Undergraduate / Bachelor")</f>
        <v>0</v>
      </c>
      <c r="Q14" s="73">
        <f t="shared" si="0"/>
        <v>6</v>
      </c>
      <c r="R14" s="74">
        <f t="shared" si="0"/>
        <v>5</v>
      </c>
    </row>
    <row r="15" spans="2:18">
      <c r="B15" s="246"/>
      <c r="C15" s="130" t="s">
        <v>68</v>
      </c>
      <c r="D15" s="137" t="s">
        <v>69</v>
      </c>
      <c r="E15" s="132">
        <f>COUNTIFS(Tabla1[Tipo de Movilidad],"Intercambio*",Tabla1[Universidad KPIs],'Utilización Convenios'!$C15,Tabla1[Año de Movilidad],'Utilización Convenios'!E$3,Tabla1[Nivel],"Pregrado")</f>
        <v>2</v>
      </c>
      <c r="F15" s="23">
        <f>COUNTIFS(Tabla2[Tipo de Movilidad],"Intercambio*",Tabla2[Universidad KPIs],'Utilización Convenios'!$C15,Tabla2[Año],'Utilización Convenios'!E$3,Tabla2[Nivel Nominación],"Undergraduate / Bachelor")</f>
        <v>0</v>
      </c>
      <c r="G15" s="22">
        <f>COUNTIFS(Tabla1[Tipo de Movilidad],"Intercambio*",Tabla1[Universidad KPIs],'Utilización Convenios'!$C15,Tabla1[Año de Movilidad],'Utilización Convenios'!G$3,Tabla1[Nivel],"Pregrado")</f>
        <v>2</v>
      </c>
      <c r="H15" s="23">
        <f>COUNTIFS(Tabla2[Tipo de Movilidad],"Intercambio*",Tabla2[Universidad KPIs],'Utilización Convenios'!$C15,Tabla2[Año],'Utilización Convenios'!G$3,Tabla2[Nivel Nominación],"Undergraduate / Bachelor")</f>
        <v>1</v>
      </c>
      <c r="I15" s="22">
        <f>COUNTIFS(Tabla1[Tipo de Movilidad],"Intercambio*",Tabla1[Universidad KPIs],'Utilización Convenios'!$C15,Tabla1[Año de Movilidad],'Utilización Convenios'!I$3,Tabla1[Nivel],"Pregrado")</f>
        <v>6</v>
      </c>
      <c r="J15" s="23">
        <f>COUNTIFS(Tabla2[Tipo de Movilidad],"Intercambio*",Tabla2[Universidad KPIs],'Utilización Convenios'!$C15,Tabla2[Año],'Utilización Convenios'!I$3,Tabla2[Nivel Nominación],"Undergraduate / Bachelor")</f>
        <v>1</v>
      </c>
      <c r="K15" s="22">
        <f>COUNTIFS(Tabla1[Tipo de Movilidad],"Intercambio*",Tabla1[Universidad KPIs],'Utilización Convenios'!$C15,Tabla1[Año de Movilidad],'Utilización Convenios'!K$3,Tabla1[Nivel],"Pregrado")</f>
        <v>4</v>
      </c>
      <c r="L15" s="23">
        <f>COUNTIFS(Tabla2[Tipo de Movilidad],"Intercambio*",Tabla2[Universidad KPIs],'Utilización Convenios'!$C15,Tabla2[Año],'Utilización Convenios'!K$3,Tabla2[Nivel Nominación],"Undergraduate / Bachelor")</f>
        <v>5</v>
      </c>
      <c r="M15" s="22">
        <f>COUNTIFS(Tabla1[Tipo de Movilidad],"Intercambio*",Tabla1[Universidad KPIs],'Utilización Convenios'!$C15,Tabla1[Año de Movilidad],'Utilización Convenios'!M$3,Tabla1[Nivel],"Pregrado")</f>
        <v>2</v>
      </c>
      <c r="N15" s="57">
        <f>COUNTIFS(Tabla2[Tipo de Movilidad],"Intercambio*",Tabla2[Universidad KPIs],'Utilización Convenios'!$C15,Tabla2[Año],'Utilización Convenios'!M$3,Tabla2[Nivel Nominación],"Undergraduate / Bachelor")</f>
        <v>2</v>
      </c>
      <c r="O15" s="22">
        <f>COUNTIFS(Tabla1[Tipo de Movilidad],"Intercambio*",Tabla1[Universidad KPIs],'Utilización Convenios'!$C15,Tabla1[Año de Movilidad],'Utilización Convenios'!O$3,Tabla1[Nivel],"Pregrado")</f>
        <v>2</v>
      </c>
      <c r="P15" s="57">
        <f>COUNTIFS(Tabla2[Tipo de Movilidad],"Intercambio*",Tabla2[Universidad KPIs],'Utilización Convenios'!$C15,Tabla2[Año],'Utilización Convenios'!O$3,Tabla2[Nivel Nominación],"Undergraduate / Bachelor")</f>
        <v>0</v>
      </c>
      <c r="Q15" s="73">
        <f t="shared" si="0"/>
        <v>18</v>
      </c>
      <c r="R15" s="74">
        <f t="shared" si="0"/>
        <v>9</v>
      </c>
    </row>
    <row r="16" spans="2:18">
      <c r="B16" s="246"/>
      <c r="C16" s="130" t="s">
        <v>70</v>
      </c>
      <c r="D16" s="137" t="s">
        <v>57</v>
      </c>
      <c r="E16" s="132">
        <f>COUNTIFS(Tabla1[Tipo de Movilidad],"Intercambio*",Tabla1[Universidad KPIs],'Utilización Convenios'!$C16,Tabla1[Año de Movilidad],'Utilización Convenios'!E$3,Tabla1[Nivel],"Pregrado")</f>
        <v>1</v>
      </c>
      <c r="F16" s="23">
        <f>COUNTIFS(Tabla2[Tipo de Movilidad],"Intercambio*",Tabla2[Universidad KPIs],'Utilización Convenios'!$C16,Tabla2[Año],'Utilización Convenios'!E$3,Tabla2[Nivel Nominación],"Undergraduate / Bachelor")</f>
        <v>0</v>
      </c>
      <c r="G16" s="22">
        <f>COUNTIFS(Tabla1[Tipo de Movilidad],"Intercambio*",Tabla1[Universidad KPIs],'Utilización Convenios'!$C16,Tabla1[Año de Movilidad],'Utilización Convenios'!G$3,Tabla1[Nivel],"Pregrado")</f>
        <v>4</v>
      </c>
      <c r="H16" s="23">
        <f>COUNTIFS(Tabla2[Tipo de Movilidad],"Intercambio*",Tabla2[Universidad KPIs],'Utilización Convenios'!$C16,Tabla2[Año],'Utilización Convenios'!G$3,Tabla2[Nivel Nominación],"Undergraduate / Bachelor")</f>
        <v>0</v>
      </c>
      <c r="I16" s="22">
        <f>COUNTIFS(Tabla1[Tipo de Movilidad],"Intercambio*",Tabla1[Universidad KPIs],'Utilización Convenios'!$C16,Tabla1[Año de Movilidad],'Utilización Convenios'!I$3,Tabla1[Nivel],"Pregrado")</f>
        <v>6</v>
      </c>
      <c r="J16" s="23">
        <f>COUNTIFS(Tabla2[Tipo de Movilidad],"Intercambio*",Tabla2[Universidad KPIs],'Utilización Convenios'!$C16,Tabla2[Año],'Utilización Convenios'!I$3,Tabla2[Nivel Nominación],"Undergraduate / Bachelor")</f>
        <v>0</v>
      </c>
      <c r="K16" s="22">
        <f>COUNTIFS(Tabla1[Tipo de Movilidad],"Intercambio*",Tabla1[Universidad KPIs],'Utilización Convenios'!$C16,Tabla1[Año de Movilidad],'Utilización Convenios'!K$3,Tabla1[Nivel],"Pregrado")</f>
        <v>4</v>
      </c>
      <c r="L16" s="23">
        <f>COUNTIFS(Tabla2[Tipo de Movilidad],"Intercambio*",Tabla2[Universidad KPIs],'Utilización Convenios'!$C16,Tabla2[Año],'Utilización Convenios'!K$3,Tabla2[Nivel Nominación],"Undergraduate / Bachelor")</f>
        <v>3</v>
      </c>
      <c r="M16" s="22">
        <f>COUNTIFS(Tabla1[Tipo de Movilidad],"Intercambio*",Tabla1[Universidad KPIs],'Utilización Convenios'!$C16,Tabla1[Año de Movilidad],'Utilización Convenios'!M$3,Tabla1[Nivel],"Pregrado")</f>
        <v>2</v>
      </c>
      <c r="N16" s="57">
        <f>COUNTIFS(Tabla2[Tipo de Movilidad],"Intercambio*",Tabla2[Universidad KPIs],'Utilización Convenios'!$C16,Tabla2[Año],'Utilización Convenios'!M$3,Tabla2[Nivel Nominación],"Undergraduate / Bachelor")</f>
        <v>0</v>
      </c>
      <c r="O16" s="22">
        <f>COUNTIFS(Tabla1[Tipo de Movilidad],"Intercambio*",Tabla1[Universidad KPIs],'Utilización Convenios'!$C16,Tabla1[Año de Movilidad],'Utilización Convenios'!O$3,Tabla1[Nivel],"Pregrado")</f>
        <v>2</v>
      </c>
      <c r="P16" s="57">
        <f>COUNTIFS(Tabla2[Tipo de Movilidad],"Intercambio*",Tabla2[Universidad KPIs],'Utilización Convenios'!$C16,Tabla2[Año],'Utilización Convenios'!O$3,Tabla2[Nivel Nominación],"Undergraduate / Bachelor")</f>
        <v>1</v>
      </c>
      <c r="Q16" s="73">
        <f t="shared" si="0"/>
        <v>19</v>
      </c>
      <c r="R16" s="74">
        <f t="shared" si="0"/>
        <v>4</v>
      </c>
    </row>
    <row r="17" spans="2:18">
      <c r="B17" s="246"/>
      <c r="C17" s="130" t="s">
        <v>71</v>
      </c>
      <c r="D17" s="137" t="s">
        <v>57</v>
      </c>
      <c r="E17" s="132">
        <f>COUNTIFS(Tabla1[Tipo de Movilidad],"Intercambio*",Tabla1[Universidad KPIs],'Utilización Convenios'!$C17,Tabla1[Año de Movilidad],'Utilización Convenios'!E$3,Tabla1[Nivel],"Pregrado")</f>
        <v>1</v>
      </c>
      <c r="F17" s="23">
        <f>COUNTIFS(Tabla2[Tipo de Movilidad],"Intercambio*",Tabla2[Universidad KPIs],'Utilización Convenios'!$C17,Tabla2[Año],'Utilización Convenios'!E$3,Tabla2[Nivel Nominación],"Undergraduate / Bachelor")</f>
        <v>0</v>
      </c>
      <c r="G17" s="22">
        <f>COUNTIFS(Tabla1[Tipo de Movilidad],"Intercambio*",Tabla1[Universidad KPIs],'Utilización Convenios'!$C17,Tabla1[Año de Movilidad],'Utilización Convenios'!G$3,Tabla1[Nivel],"Pregrado")</f>
        <v>3</v>
      </c>
      <c r="H17" s="23">
        <f>COUNTIFS(Tabla2[Tipo de Movilidad],"Intercambio*",Tabla2[Universidad KPIs],'Utilización Convenios'!$C17,Tabla2[Año],'Utilización Convenios'!G$3,Tabla2[Nivel Nominación],"Undergraduate / Bachelor")</f>
        <v>0</v>
      </c>
      <c r="I17" s="22">
        <f>COUNTIFS(Tabla1[Tipo de Movilidad],"Intercambio*",Tabla1[Universidad KPIs],'Utilización Convenios'!$C17,Tabla1[Año de Movilidad],'Utilización Convenios'!I$3,Tabla1[Nivel],"Pregrado")</f>
        <v>0</v>
      </c>
      <c r="J17" s="23">
        <f>COUNTIFS(Tabla2[Tipo de Movilidad],"Intercambio*",Tabla2[Universidad KPIs],'Utilización Convenios'!$C17,Tabla2[Año],'Utilización Convenios'!I$3,Tabla2[Nivel Nominación],"Undergraduate / Bachelor")</f>
        <v>0</v>
      </c>
      <c r="K17" s="22">
        <f>COUNTIFS(Tabla1[Tipo de Movilidad],"Intercambio*",Tabla1[Universidad KPIs],'Utilización Convenios'!$C17,Tabla1[Año de Movilidad],'Utilización Convenios'!K$3,Tabla1[Nivel],"Pregrado")</f>
        <v>4</v>
      </c>
      <c r="L17" s="23">
        <f>COUNTIFS(Tabla2[Tipo de Movilidad],"Intercambio*",Tabla2[Universidad KPIs],'Utilización Convenios'!$C17,Tabla2[Año],'Utilización Convenios'!K$3,Tabla2[Nivel Nominación],"Undergraduate / Bachelor")</f>
        <v>0</v>
      </c>
      <c r="M17" s="22">
        <f>COUNTIFS(Tabla1[Tipo de Movilidad],"Intercambio*",Tabla1[Universidad KPIs],'Utilización Convenios'!$C17,Tabla1[Año de Movilidad],'Utilización Convenios'!M$3,Tabla1[Nivel],"Pregrado")</f>
        <v>3</v>
      </c>
      <c r="N17" s="57">
        <f>COUNTIFS(Tabla2[Tipo de Movilidad],"Intercambio*",Tabla2[Universidad KPIs],'Utilización Convenios'!$C17,Tabla2[Año],'Utilización Convenios'!M$3,Tabla2[Nivel Nominación],"Undergraduate / Bachelor")</f>
        <v>1</v>
      </c>
      <c r="O17" s="22">
        <f>COUNTIFS(Tabla1[Tipo de Movilidad],"Intercambio*",Tabla1[Universidad KPIs],'Utilización Convenios'!$C17,Tabla1[Año de Movilidad],'Utilización Convenios'!O$3,Tabla1[Nivel],"Pregrado")</f>
        <v>1</v>
      </c>
      <c r="P17" s="57">
        <f>COUNTIFS(Tabla2[Tipo de Movilidad],"Intercambio*",Tabla2[Universidad KPIs],'Utilización Convenios'!$C17,Tabla2[Año],'Utilización Convenios'!O$3,Tabla2[Nivel Nominación],"Undergraduate / Bachelor")</f>
        <v>0</v>
      </c>
      <c r="Q17" s="73">
        <f t="shared" si="0"/>
        <v>12</v>
      </c>
      <c r="R17" s="74">
        <f t="shared" si="0"/>
        <v>1</v>
      </c>
    </row>
    <row r="18" spans="2:18">
      <c r="B18" s="246"/>
      <c r="C18" s="130" t="s">
        <v>72</v>
      </c>
      <c r="D18" s="137" t="s">
        <v>57</v>
      </c>
      <c r="E18" s="132">
        <f>COUNTIFS(Tabla1[Tipo de Movilidad],"Intercambio*",Tabla1[Universidad KPIs],'Utilización Convenios'!$C18,Tabla1[Año de Movilidad],'Utilización Convenios'!E$3,Tabla1[Nivel],"Pregrado")</f>
        <v>1</v>
      </c>
      <c r="F18" s="23">
        <f>COUNTIFS(Tabla2[Tipo de Movilidad],"Intercambio*",Tabla2[Universidad KPIs],'Utilización Convenios'!$C18,Tabla2[Año],'Utilización Convenios'!E$3,Tabla2[Nivel Nominación],"Undergraduate / Bachelor")</f>
        <v>1</v>
      </c>
      <c r="G18" s="22">
        <f>COUNTIFS(Tabla1[Tipo de Movilidad],"Intercambio*",Tabla1[Universidad KPIs],'Utilización Convenios'!$C18,Tabla1[Año de Movilidad],'Utilización Convenios'!G$3,Tabla1[Nivel],"Pregrado")</f>
        <v>1</v>
      </c>
      <c r="H18" s="23">
        <f>COUNTIFS(Tabla2[Tipo de Movilidad],"Intercambio*",Tabla2[Universidad KPIs],'Utilización Convenios'!$C18,Tabla2[Año],'Utilización Convenios'!G$3,Tabla2[Nivel Nominación],"Undergraduate / Bachelor")</f>
        <v>2</v>
      </c>
      <c r="I18" s="22">
        <f>COUNTIFS(Tabla1[Tipo de Movilidad],"Intercambio*",Tabla1[Universidad KPIs],'Utilización Convenios'!$C18,Tabla1[Año de Movilidad],'Utilización Convenios'!I$3,Tabla1[Nivel],"Pregrado")</f>
        <v>2</v>
      </c>
      <c r="J18" s="23">
        <f>COUNTIFS(Tabla2[Tipo de Movilidad],"Intercambio*",Tabla2[Universidad KPIs],'Utilización Convenios'!$C18,Tabla2[Año],'Utilización Convenios'!I$3,Tabla2[Nivel Nominación],"Undergraduate / Bachelor")</f>
        <v>1</v>
      </c>
      <c r="K18" s="22">
        <f>COUNTIFS(Tabla1[Tipo de Movilidad],"Intercambio*",Tabla1[Universidad KPIs],'Utilización Convenios'!$C18,Tabla1[Año de Movilidad],'Utilización Convenios'!K$3,Tabla1[Nivel],"Pregrado")</f>
        <v>4</v>
      </c>
      <c r="L18" s="23">
        <f>COUNTIFS(Tabla2[Tipo de Movilidad],"Intercambio*",Tabla2[Universidad KPIs],'Utilización Convenios'!$C18,Tabla2[Año],'Utilización Convenios'!K$3,Tabla2[Nivel Nominación],"Undergraduate / Bachelor")</f>
        <v>0</v>
      </c>
      <c r="M18" s="22">
        <f>COUNTIFS(Tabla1[Tipo de Movilidad],"Intercambio*",Tabla1[Universidad KPIs],'Utilización Convenios'!$C18,Tabla1[Año de Movilidad],'Utilización Convenios'!M$3,Tabla1[Nivel],"Pregrado")</f>
        <v>2</v>
      </c>
      <c r="N18" s="57">
        <f>COUNTIFS(Tabla2[Tipo de Movilidad],"Intercambio*",Tabla2[Universidad KPIs],'Utilización Convenios'!$C18,Tabla2[Año],'Utilización Convenios'!M$3,Tabla2[Nivel Nominación],"Undergraduate / Bachelor")</f>
        <v>1</v>
      </c>
      <c r="O18" s="22">
        <f>COUNTIFS(Tabla1[Tipo de Movilidad],"Intercambio*",Tabla1[Universidad KPIs],'Utilización Convenios'!$C18,Tabla1[Año de Movilidad],'Utilización Convenios'!O$3,Tabla1[Nivel],"Pregrado")</f>
        <v>3</v>
      </c>
      <c r="P18" s="57">
        <f>COUNTIFS(Tabla2[Tipo de Movilidad],"Intercambio*",Tabla2[Universidad KPIs],'Utilización Convenios'!$C18,Tabla2[Año],'Utilización Convenios'!O$3,Tabla2[Nivel Nominación],"Undergraduate / Bachelor")</f>
        <v>0</v>
      </c>
      <c r="Q18" s="73">
        <f t="shared" si="0"/>
        <v>13</v>
      </c>
      <c r="R18" s="74">
        <f t="shared" si="0"/>
        <v>5</v>
      </c>
    </row>
    <row r="19" spans="2:18">
      <c r="B19" s="246"/>
      <c r="C19" s="130" t="s">
        <v>73</v>
      </c>
      <c r="D19" s="137" t="s">
        <v>74</v>
      </c>
      <c r="E19" s="132">
        <f>COUNTIFS(Tabla1[Tipo de Movilidad],"Intercambio*",Tabla1[Universidad KPIs],'Utilización Convenios'!$C19,Tabla1[Año de Movilidad],'Utilización Convenios'!E$3,Tabla1[Nivel],"Pregrado")</f>
        <v>1</v>
      </c>
      <c r="F19" s="23">
        <f>COUNTIFS(Tabla2[Tipo de Movilidad],"Intercambio*",Tabla2[Universidad KPIs],'Utilización Convenios'!$C19,Tabla2[Año],'Utilización Convenios'!E$3,Tabla2[Nivel Nominación],"Undergraduate / Bachelor")</f>
        <v>0</v>
      </c>
      <c r="G19" s="22">
        <f>COUNTIFS(Tabla1[Tipo de Movilidad],"Intercambio*",Tabla1[Universidad KPIs],'Utilización Convenios'!$C19,Tabla1[Año de Movilidad],'Utilización Convenios'!G$3,Tabla1[Nivel],"Pregrado")</f>
        <v>0</v>
      </c>
      <c r="H19" s="23">
        <f>COUNTIFS(Tabla2[Tipo de Movilidad],"Intercambio*",Tabla2[Universidad KPIs],'Utilización Convenios'!$C19,Tabla2[Año],'Utilización Convenios'!G$3,Tabla2[Nivel Nominación],"Undergraduate / Bachelor")</f>
        <v>0</v>
      </c>
      <c r="I19" s="22">
        <f>COUNTIFS(Tabla1[Tipo de Movilidad],"Intercambio*",Tabla1[Universidad KPIs],'Utilización Convenios'!$C19,Tabla1[Año de Movilidad],'Utilización Convenios'!I$3,Tabla1[Nivel],"Pregrado")</f>
        <v>1</v>
      </c>
      <c r="J19" s="23">
        <f>COUNTIFS(Tabla2[Tipo de Movilidad],"Intercambio*",Tabla2[Universidad KPIs],'Utilización Convenios'!$C19,Tabla2[Año],'Utilización Convenios'!I$3,Tabla2[Nivel Nominación],"Undergraduate / Bachelor")</f>
        <v>0</v>
      </c>
      <c r="K19" s="22">
        <f>COUNTIFS(Tabla1[Tipo de Movilidad],"Intercambio*",Tabla1[Universidad KPIs],'Utilización Convenios'!$C19,Tabla1[Año de Movilidad],'Utilización Convenios'!K$3,Tabla1[Nivel],"Pregrado")</f>
        <v>1</v>
      </c>
      <c r="L19" s="23">
        <f>COUNTIFS(Tabla2[Tipo de Movilidad],"Intercambio*",Tabla2[Universidad KPIs],'Utilización Convenios'!$C19,Tabla2[Año],'Utilización Convenios'!K$3,Tabla2[Nivel Nominación],"Undergraduate / Bachelor")</f>
        <v>0</v>
      </c>
      <c r="M19" s="22">
        <f>COUNTIFS(Tabla1[Tipo de Movilidad],"Intercambio*",Tabla1[Universidad KPIs],'Utilización Convenios'!$C19,Tabla1[Año de Movilidad],'Utilización Convenios'!M$3,Tabla1[Nivel],"Pregrado")</f>
        <v>0</v>
      </c>
      <c r="N19" s="57">
        <f>COUNTIFS(Tabla2[Tipo de Movilidad],"Intercambio*",Tabla2[Universidad KPIs],'Utilización Convenios'!$C19,Tabla2[Año],'Utilización Convenios'!M$3,Tabla2[Nivel Nominación],"Undergraduate / Bachelor")</f>
        <v>0</v>
      </c>
      <c r="O19" s="22">
        <f>COUNTIFS(Tabla1[Tipo de Movilidad],"Intercambio*",Tabla1[Universidad KPIs],'Utilización Convenios'!$C19,Tabla1[Año de Movilidad],'Utilización Convenios'!O$3,Tabla1[Nivel],"Pregrado")</f>
        <v>0</v>
      </c>
      <c r="P19" s="57">
        <f>COUNTIFS(Tabla2[Tipo de Movilidad],"Intercambio*",Tabla2[Universidad KPIs],'Utilización Convenios'!$C19,Tabla2[Año],'Utilización Convenios'!O$3,Tabla2[Nivel Nominación],"Undergraduate / Bachelor")</f>
        <v>0</v>
      </c>
      <c r="Q19" s="73">
        <f t="shared" si="0"/>
        <v>3</v>
      </c>
      <c r="R19" s="74">
        <f t="shared" si="0"/>
        <v>0</v>
      </c>
    </row>
    <row r="20" spans="2:18">
      <c r="B20" s="246"/>
      <c r="C20" s="130" t="s">
        <v>75</v>
      </c>
      <c r="D20" s="137" t="s">
        <v>76</v>
      </c>
      <c r="E20" s="132">
        <f>COUNTIFS(Tabla1[Tipo de Movilidad],"Intercambio*",Tabla1[Universidad KPIs],'Utilización Convenios'!$C20,Tabla1[Año de Movilidad],'Utilización Convenios'!E$3,Tabla1[Nivel],"Pregrado")</f>
        <v>1</v>
      </c>
      <c r="F20" s="23">
        <f>COUNTIFS(Tabla2[Tipo de Movilidad],"Intercambio*",Tabla2[Universidad KPIs],'Utilización Convenios'!$C20,Tabla2[Año],'Utilización Convenios'!E$3,Tabla2[Nivel Nominación],"Undergraduate / Bachelor")</f>
        <v>0</v>
      </c>
      <c r="G20" s="22">
        <f>COUNTIFS(Tabla1[Tipo de Movilidad],"Intercambio*",Tabla1[Universidad KPIs],'Utilización Convenios'!$C20,Tabla1[Año de Movilidad],'Utilización Convenios'!G$3,Tabla1[Nivel],"Pregrado")</f>
        <v>0</v>
      </c>
      <c r="H20" s="23">
        <f>COUNTIFS(Tabla2[Tipo de Movilidad],"Intercambio*",Tabla2[Universidad KPIs],'Utilización Convenios'!$C20,Tabla2[Año],'Utilización Convenios'!G$3,Tabla2[Nivel Nominación],"Undergraduate / Bachelor")</f>
        <v>0</v>
      </c>
      <c r="I20" s="22">
        <f>COUNTIFS(Tabla1[Tipo de Movilidad],"Intercambio*",Tabla1[Universidad KPIs],'Utilización Convenios'!$C20,Tabla1[Año de Movilidad],'Utilización Convenios'!I$3,Tabla1[Nivel],"Pregrado")</f>
        <v>2</v>
      </c>
      <c r="J20" s="23">
        <f>COUNTIFS(Tabla2[Tipo de Movilidad],"Intercambio*",Tabla2[Universidad KPIs],'Utilización Convenios'!$C20,Tabla2[Año],'Utilización Convenios'!I$3,Tabla2[Nivel Nominación],"Undergraduate / Bachelor")</f>
        <v>0</v>
      </c>
      <c r="K20" s="22">
        <f>COUNTIFS(Tabla1[Tipo de Movilidad],"Intercambio*",Tabla1[Universidad KPIs],'Utilización Convenios'!$C20,Tabla1[Año de Movilidad],'Utilización Convenios'!K$3,Tabla1[Nivel],"Pregrado")</f>
        <v>1</v>
      </c>
      <c r="L20" s="23">
        <f>COUNTIFS(Tabla2[Tipo de Movilidad],"Intercambio*",Tabla2[Universidad KPIs],'Utilización Convenios'!$C20,Tabla2[Año],'Utilización Convenios'!K$3,Tabla2[Nivel Nominación],"Undergraduate / Bachelor")</f>
        <v>0</v>
      </c>
      <c r="M20" s="22">
        <f>COUNTIFS(Tabla1[Tipo de Movilidad],"Intercambio*",Tabla1[Universidad KPIs],'Utilización Convenios'!$C20,Tabla1[Año de Movilidad],'Utilización Convenios'!M$3,Tabla1[Nivel],"Pregrado")</f>
        <v>0</v>
      </c>
      <c r="N20" s="57">
        <f>COUNTIFS(Tabla2[Tipo de Movilidad],"Intercambio*",Tabla2[Universidad KPIs],'Utilización Convenios'!$C20,Tabla2[Año],'Utilización Convenios'!M$3,Tabla2[Nivel Nominación],"Undergraduate / Bachelor")</f>
        <v>0</v>
      </c>
      <c r="O20" s="22">
        <f>COUNTIFS(Tabla1[Tipo de Movilidad],"Intercambio*",Tabla1[Universidad KPIs],'Utilización Convenios'!$C20,Tabla1[Año de Movilidad],'Utilización Convenios'!O$3,Tabla1[Nivel],"Pregrado")</f>
        <v>0</v>
      </c>
      <c r="P20" s="57">
        <f>COUNTIFS(Tabla2[Tipo de Movilidad],"Intercambio*",Tabla2[Universidad KPIs],'Utilización Convenios'!$C20,Tabla2[Año],'Utilización Convenios'!O$3,Tabla2[Nivel Nominación],"Undergraduate / Bachelor")</f>
        <v>0</v>
      </c>
      <c r="Q20" s="73">
        <f t="shared" si="0"/>
        <v>4</v>
      </c>
      <c r="R20" s="74">
        <f t="shared" si="0"/>
        <v>0</v>
      </c>
    </row>
    <row r="21" spans="2:18">
      <c r="B21" s="246"/>
      <c r="C21" s="130" t="s">
        <v>77</v>
      </c>
      <c r="D21" s="137" t="s">
        <v>78</v>
      </c>
      <c r="E21" s="132">
        <f>COUNTIFS(Tabla1[Tipo de Movilidad],"Intercambio*",Tabla1[Universidad KPIs],'Utilización Convenios'!$C21,Tabla1[Año de Movilidad],'Utilización Convenios'!E$3,Tabla1[Nivel],"Pregrado")</f>
        <v>1</v>
      </c>
      <c r="F21" s="23">
        <f>COUNTIFS(Tabla2[Tipo de Movilidad],"Intercambio*",Tabla2[Universidad KPIs],'Utilización Convenios'!$C21,Tabla2[Año],'Utilización Convenios'!E$3,Tabla2[Nivel Nominación],"Undergraduate / Bachelor")</f>
        <v>0</v>
      </c>
      <c r="G21" s="22">
        <f>COUNTIFS(Tabla1[Tipo de Movilidad],"Intercambio*",Tabla1[Universidad KPIs],'Utilización Convenios'!$C21,Tabla1[Año de Movilidad],'Utilización Convenios'!G$3,Tabla1[Nivel],"Pregrado")</f>
        <v>0</v>
      </c>
      <c r="H21" s="23">
        <f>COUNTIFS(Tabla2[Tipo de Movilidad],"Intercambio*",Tabla2[Universidad KPIs],'Utilización Convenios'!$C21,Tabla2[Año],'Utilización Convenios'!G$3,Tabla2[Nivel Nominación],"Undergraduate / Bachelor")</f>
        <v>0</v>
      </c>
      <c r="I21" s="22">
        <f>COUNTIFS(Tabla1[Tipo de Movilidad],"Intercambio*",Tabla1[Universidad KPIs],'Utilización Convenios'!$C21,Tabla1[Año de Movilidad],'Utilización Convenios'!I$3,Tabla1[Nivel],"Pregrado")</f>
        <v>0</v>
      </c>
      <c r="J21" s="23">
        <f>COUNTIFS(Tabla2[Tipo de Movilidad],"Intercambio*",Tabla2[Universidad KPIs],'Utilización Convenios'!$C21,Tabla2[Año],'Utilización Convenios'!I$3,Tabla2[Nivel Nominación],"Undergraduate / Bachelor")</f>
        <v>0</v>
      </c>
      <c r="K21" s="22">
        <f>COUNTIFS(Tabla1[Tipo de Movilidad],"Intercambio*",Tabla1[Universidad KPIs],'Utilización Convenios'!$C21,Tabla1[Año de Movilidad],'Utilización Convenios'!K$3,Tabla1[Nivel],"Pregrado")</f>
        <v>3</v>
      </c>
      <c r="L21" s="23">
        <f>COUNTIFS(Tabla2[Tipo de Movilidad],"Intercambio*",Tabla2[Universidad KPIs],'Utilización Convenios'!$C21,Tabla2[Año],'Utilización Convenios'!K$3,Tabla2[Nivel Nominación],"Undergraduate / Bachelor")</f>
        <v>0</v>
      </c>
      <c r="M21" s="22">
        <f>COUNTIFS(Tabla1[Tipo de Movilidad],"Intercambio*",Tabla1[Universidad KPIs],'Utilización Convenios'!$C21,Tabla1[Año de Movilidad],'Utilización Convenios'!M$3,Tabla1[Nivel],"Pregrado")</f>
        <v>2</v>
      </c>
      <c r="N21" s="57">
        <f>COUNTIFS(Tabla2[Tipo de Movilidad],"Intercambio*",Tabla2[Universidad KPIs],'Utilización Convenios'!$C21,Tabla2[Año],'Utilización Convenios'!M$3,Tabla2[Nivel Nominación],"Undergraduate / Bachelor")</f>
        <v>0</v>
      </c>
      <c r="O21" s="22">
        <f>COUNTIFS(Tabla1[Tipo de Movilidad],"Intercambio*",Tabla1[Universidad KPIs],'Utilización Convenios'!$C21,Tabla1[Año de Movilidad],'Utilización Convenios'!O$3,Tabla1[Nivel],"Pregrado")</f>
        <v>0</v>
      </c>
      <c r="P21" s="57">
        <f>COUNTIFS(Tabla2[Tipo de Movilidad],"Intercambio*",Tabla2[Universidad KPIs],'Utilización Convenios'!$C21,Tabla2[Año],'Utilización Convenios'!O$3,Tabla2[Nivel Nominación],"Undergraduate / Bachelor")</f>
        <v>0</v>
      </c>
      <c r="Q21" s="73">
        <f t="shared" si="0"/>
        <v>6</v>
      </c>
      <c r="R21" s="74">
        <f t="shared" si="0"/>
        <v>0</v>
      </c>
    </row>
    <row r="22" spans="2:18">
      <c r="B22" s="246"/>
      <c r="C22" s="130" t="s">
        <v>79</v>
      </c>
      <c r="D22" s="137" t="s">
        <v>57</v>
      </c>
      <c r="E22" s="132">
        <f>COUNTIFS(Tabla1[Tipo de Movilidad],"Intercambio*",Tabla1[Universidad KPIs],'Utilización Convenios'!$C22,Tabla1[Año de Movilidad],'Utilización Convenios'!E$3,Tabla1[Nivel],"Pregrado")</f>
        <v>0</v>
      </c>
      <c r="F22" s="23">
        <f>COUNTIFS(Tabla2[Tipo de Movilidad],"Intercambio*",Tabla2[Universidad KPIs],'Utilización Convenios'!$C22,Tabla2[Año],'Utilización Convenios'!E$3,Tabla2[Nivel Nominación],"Undergraduate / Bachelor")</f>
        <v>0</v>
      </c>
      <c r="G22" s="22">
        <f>COUNTIFS(Tabla1[Tipo de Movilidad],"Intercambio*",Tabla1[Universidad KPIs],'Utilización Convenios'!$C22,Tabla1[Año de Movilidad],'Utilización Convenios'!G$3,Tabla1[Nivel],"Pregrado")</f>
        <v>1</v>
      </c>
      <c r="H22" s="23">
        <f>COUNTIFS(Tabla2[Tipo de Movilidad],"Intercambio*",Tabla2[Universidad KPIs],'Utilización Convenios'!$C22,Tabla2[Año],'Utilización Convenios'!G$3,Tabla2[Nivel Nominación],"Undergraduate / Bachelor")</f>
        <v>0</v>
      </c>
      <c r="I22" s="22">
        <f>COUNTIFS(Tabla1[Tipo de Movilidad],"Intercambio*",Tabla1[Universidad KPIs],'Utilización Convenios'!$C22,Tabla1[Año de Movilidad],'Utilización Convenios'!I$3,Tabla1[Nivel],"Pregrado")</f>
        <v>1</v>
      </c>
      <c r="J22" s="23">
        <f>COUNTIFS(Tabla2[Tipo de Movilidad],"Intercambio*",Tabla2[Universidad KPIs],'Utilización Convenios'!$C22,Tabla2[Año],'Utilización Convenios'!I$3,Tabla2[Nivel Nominación],"Undergraduate / Bachelor")</f>
        <v>0</v>
      </c>
      <c r="K22" s="22">
        <f>COUNTIFS(Tabla1[Tipo de Movilidad],"Intercambio*",Tabla1[Universidad KPIs],'Utilización Convenios'!$C22,Tabla1[Año de Movilidad],'Utilización Convenios'!K$3,Tabla1[Nivel],"Pregrado")</f>
        <v>3</v>
      </c>
      <c r="L22" s="23">
        <f>COUNTIFS(Tabla2[Tipo de Movilidad],"Intercambio*",Tabla2[Universidad KPIs],'Utilización Convenios'!$C22,Tabla2[Año],'Utilización Convenios'!K$3,Tabla2[Nivel Nominación],"Undergraduate / Bachelor")</f>
        <v>0</v>
      </c>
      <c r="M22" s="22">
        <f>COUNTIFS(Tabla1[Tipo de Movilidad],"Intercambio*",Tabla1[Universidad KPIs],'Utilización Convenios'!$C22,Tabla1[Año de Movilidad],'Utilización Convenios'!M$3,Tabla1[Nivel],"Pregrado")</f>
        <v>0</v>
      </c>
      <c r="N22" s="57">
        <f>COUNTIFS(Tabla2[Tipo de Movilidad],"Intercambio*",Tabla2[Universidad KPIs],'Utilización Convenios'!$C22,Tabla2[Año],'Utilización Convenios'!M$3,Tabla2[Nivel Nominación],"Undergraduate / Bachelor")</f>
        <v>0</v>
      </c>
      <c r="O22" s="22">
        <f>COUNTIFS(Tabla1[Tipo de Movilidad],"Intercambio*",Tabla1[Universidad KPIs],'Utilización Convenios'!$C22,Tabla1[Año de Movilidad],'Utilización Convenios'!O$3,Tabla1[Nivel],"Pregrado")</f>
        <v>1</v>
      </c>
      <c r="P22" s="57">
        <f>COUNTIFS(Tabla2[Tipo de Movilidad],"Intercambio*",Tabla2[Universidad KPIs],'Utilización Convenios'!$C22,Tabla2[Año],'Utilización Convenios'!O$3,Tabla2[Nivel Nominación],"Undergraduate / Bachelor")</f>
        <v>0</v>
      </c>
      <c r="Q22" s="73">
        <f t="shared" si="0"/>
        <v>6</v>
      </c>
      <c r="R22" s="74">
        <f t="shared" si="0"/>
        <v>0</v>
      </c>
    </row>
    <row r="23" spans="2:18">
      <c r="B23" s="246"/>
      <c r="C23" s="130" t="s">
        <v>80</v>
      </c>
      <c r="D23" s="137" t="s">
        <v>81</v>
      </c>
      <c r="E23" s="132">
        <f>COUNTIFS(Tabla1[Tipo de Movilidad],"Intercambio*",Tabla1[Universidad KPIs],'Utilización Convenios'!$C23,Tabla1[Año de Movilidad],'Utilización Convenios'!E$3,Tabla1[Nivel],"Pregrado")</f>
        <v>3</v>
      </c>
      <c r="F23" s="23">
        <f>COUNTIFS(Tabla2[Tipo de Movilidad],"Intercambio*",Tabla2[Universidad KPIs],'Utilización Convenios'!$C23,Tabla2[Año],'Utilización Convenios'!E$3,Tabla2[Nivel Nominación],"Undergraduate / Bachelor")</f>
        <v>0</v>
      </c>
      <c r="G23" s="22">
        <f>COUNTIFS(Tabla1[Tipo de Movilidad],"Intercambio*",Tabla1[Universidad KPIs],'Utilización Convenios'!$C23,Tabla1[Año de Movilidad],'Utilización Convenios'!G$3,Tabla1[Nivel],"Pregrado")</f>
        <v>1</v>
      </c>
      <c r="H23" s="23">
        <f>COUNTIFS(Tabla2[Tipo de Movilidad],"Intercambio*",Tabla2[Universidad KPIs],'Utilización Convenios'!$C23,Tabla2[Año],'Utilización Convenios'!G$3,Tabla2[Nivel Nominación],"Undergraduate / Bachelor")</f>
        <v>0</v>
      </c>
      <c r="I23" s="22">
        <f>COUNTIFS(Tabla1[Tipo de Movilidad],"Intercambio*",Tabla1[Universidad KPIs],'Utilización Convenios'!$C23,Tabla1[Año de Movilidad],'Utilización Convenios'!I$3,Tabla1[Nivel],"Pregrado")</f>
        <v>2</v>
      </c>
      <c r="J23" s="23">
        <f>COUNTIFS(Tabla2[Tipo de Movilidad],"Intercambio*",Tabla2[Universidad KPIs],'Utilización Convenios'!$C23,Tabla2[Año],'Utilización Convenios'!I$3,Tabla2[Nivel Nominación],"Undergraduate / Bachelor")</f>
        <v>0</v>
      </c>
      <c r="K23" s="22">
        <f>COUNTIFS(Tabla1[Tipo de Movilidad],"Intercambio*",Tabla1[Universidad KPIs],'Utilización Convenios'!$C23,Tabla1[Año de Movilidad],'Utilización Convenios'!K$3,Tabla1[Nivel],"Pregrado")</f>
        <v>3</v>
      </c>
      <c r="L23" s="23">
        <f>COUNTIFS(Tabla2[Tipo de Movilidad],"Intercambio*",Tabla2[Universidad KPIs],'Utilización Convenios'!$C23,Tabla2[Año],'Utilización Convenios'!K$3,Tabla2[Nivel Nominación],"Undergraduate / Bachelor")</f>
        <v>0</v>
      </c>
      <c r="M23" s="22">
        <f>COUNTIFS(Tabla1[Tipo de Movilidad],"Intercambio*",Tabla1[Universidad KPIs],'Utilización Convenios'!$C23,Tabla1[Año de Movilidad],'Utilización Convenios'!M$3,Tabla1[Nivel],"Pregrado")</f>
        <v>0</v>
      </c>
      <c r="N23" s="57">
        <f>COUNTIFS(Tabla2[Tipo de Movilidad],"Intercambio*",Tabla2[Universidad KPIs],'Utilización Convenios'!$C23,Tabla2[Año],'Utilización Convenios'!M$3,Tabla2[Nivel Nominación],"Undergraduate / Bachelor")</f>
        <v>0</v>
      </c>
      <c r="O23" s="22">
        <f>COUNTIFS(Tabla1[Tipo de Movilidad],"Intercambio*",Tabla1[Universidad KPIs],'Utilización Convenios'!$C23,Tabla1[Año de Movilidad],'Utilización Convenios'!O$3,Tabla1[Nivel],"Pregrado")</f>
        <v>2</v>
      </c>
      <c r="P23" s="57">
        <f>COUNTIFS(Tabla2[Tipo de Movilidad],"Intercambio*",Tabla2[Universidad KPIs],'Utilización Convenios'!$C23,Tabla2[Año],'Utilización Convenios'!O$3,Tabla2[Nivel Nominación],"Undergraduate / Bachelor")</f>
        <v>0</v>
      </c>
      <c r="Q23" s="73">
        <f t="shared" si="0"/>
        <v>11</v>
      </c>
      <c r="R23" s="74">
        <f t="shared" si="0"/>
        <v>0</v>
      </c>
    </row>
    <row r="24" spans="2:18">
      <c r="B24" s="246"/>
      <c r="C24" s="130" t="s">
        <v>82</v>
      </c>
      <c r="D24" s="137" t="s">
        <v>74</v>
      </c>
      <c r="E24" s="132">
        <f>COUNTIFS(Tabla1[Tipo de Movilidad],"Intercambio*",Tabla1[Universidad KPIs],'Utilización Convenios'!$C24,Tabla1[Año de Movilidad],'Utilización Convenios'!E$3,Tabla1[Nivel],"Pregrado")</f>
        <v>1</v>
      </c>
      <c r="F24" s="23">
        <f>COUNTIFS(Tabla2[Tipo de Movilidad],"Intercambio*",Tabla2[Universidad KPIs],'Utilización Convenios'!$C24,Tabla2[Año],'Utilización Convenios'!E$3,Tabla2[Nivel Nominación],"Undergraduate / Bachelor")</f>
        <v>0</v>
      </c>
      <c r="G24" s="22">
        <f>COUNTIFS(Tabla1[Tipo de Movilidad],"Intercambio*",Tabla1[Universidad KPIs],'Utilización Convenios'!$C24,Tabla1[Año de Movilidad],'Utilización Convenios'!G$3,Tabla1[Nivel],"Pregrado")</f>
        <v>1</v>
      </c>
      <c r="H24" s="23">
        <f>COUNTIFS(Tabla2[Tipo de Movilidad],"Intercambio*",Tabla2[Universidad KPIs],'Utilización Convenios'!$C24,Tabla2[Año],'Utilización Convenios'!G$3,Tabla2[Nivel Nominación],"Undergraduate / Bachelor")</f>
        <v>0</v>
      </c>
      <c r="I24" s="22">
        <f>COUNTIFS(Tabla1[Tipo de Movilidad],"Intercambio*",Tabla1[Universidad KPIs],'Utilización Convenios'!$C24,Tabla1[Año de Movilidad],'Utilización Convenios'!I$3,Tabla1[Nivel],"Pregrado")</f>
        <v>3</v>
      </c>
      <c r="J24" s="23">
        <f>COUNTIFS(Tabla2[Tipo de Movilidad],"Intercambio*",Tabla2[Universidad KPIs],'Utilización Convenios'!$C24,Tabla2[Año],'Utilización Convenios'!I$3,Tabla2[Nivel Nominación],"Undergraduate / Bachelor")</f>
        <v>1</v>
      </c>
      <c r="K24" s="22">
        <f>COUNTIFS(Tabla1[Tipo de Movilidad],"Intercambio*",Tabla1[Universidad KPIs],'Utilización Convenios'!$C24,Tabla1[Año de Movilidad],'Utilización Convenios'!K$3,Tabla1[Nivel],"Pregrado")</f>
        <v>4</v>
      </c>
      <c r="L24" s="23">
        <f>COUNTIFS(Tabla2[Tipo de Movilidad],"Intercambio*",Tabla2[Universidad KPIs],'Utilización Convenios'!$C24,Tabla2[Año],'Utilización Convenios'!K$3,Tabla2[Nivel Nominación],"Undergraduate / Bachelor")</f>
        <v>0</v>
      </c>
      <c r="M24" s="22">
        <f>COUNTIFS(Tabla1[Tipo de Movilidad],"Intercambio*",Tabla1[Universidad KPIs],'Utilización Convenios'!$C24,Tabla1[Año de Movilidad],'Utilización Convenios'!M$3,Tabla1[Nivel],"Pregrado")</f>
        <v>2</v>
      </c>
      <c r="N24" s="57">
        <f>COUNTIFS(Tabla2[Tipo de Movilidad],"Intercambio*",Tabla2[Universidad KPIs],'Utilización Convenios'!$C24,Tabla2[Año],'Utilización Convenios'!M$3,Tabla2[Nivel Nominación],"Undergraduate / Bachelor")</f>
        <v>1</v>
      </c>
      <c r="O24" s="22">
        <f>COUNTIFS(Tabla1[Tipo de Movilidad],"Intercambio*",Tabla1[Universidad KPIs],'Utilización Convenios'!$C24,Tabla1[Año de Movilidad],'Utilización Convenios'!O$3,Tabla1[Nivel],"Pregrado")</f>
        <v>1</v>
      </c>
      <c r="P24" s="57">
        <f>COUNTIFS(Tabla2[Tipo de Movilidad],"Intercambio*",Tabla2[Universidad KPIs],'Utilización Convenios'!$C24,Tabla2[Año],'Utilización Convenios'!O$3,Tabla2[Nivel Nominación],"Undergraduate / Bachelor")</f>
        <v>0</v>
      </c>
      <c r="Q24" s="73">
        <f t="shared" si="0"/>
        <v>12</v>
      </c>
      <c r="R24" s="74">
        <f t="shared" si="0"/>
        <v>2</v>
      </c>
    </row>
    <row r="25" spans="2:18">
      <c r="B25" s="246"/>
      <c r="C25" s="130" t="s">
        <v>83</v>
      </c>
      <c r="D25" s="137" t="s">
        <v>57</v>
      </c>
      <c r="E25" s="132">
        <f>COUNTIFS(Tabla1[Tipo de Movilidad],"Intercambio*",Tabla1[Universidad KPIs],'Utilización Convenios'!$C25,Tabla1[Año de Movilidad],'Utilización Convenios'!E$3,Tabla1[Nivel],"Pregrado")</f>
        <v>0</v>
      </c>
      <c r="F25" s="23">
        <f>COUNTIFS(Tabla2[Tipo de Movilidad],"Intercambio*",Tabla2[Universidad KPIs],'Utilización Convenios'!$C25,Tabla2[Año],'Utilización Convenios'!E$3,Tabla2[Nivel Nominación],"Undergraduate / Bachelor")</f>
        <v>0</v>
      </c>
      <c r="G25" s="22">
        <f>COUNTIFS(Tabla1[Tipo de Movilidad],"Intercambio*",Tabla1[Universidad KPIs],'Utilización Convenios'!$C25,Tabla1[Año de Movilidad],'Utilización Convenios'!G$3,Tabla1[Nivel],"Pregrado")</f>
        <v>0</v>
      </c>
      <c r="H25" s="23">
        <f>COUNTIFS(Tabla2[Tipo de Movilidad],"Intercambio*",Tabla2[Universidad KPIs],'Utilización Convenios'!$C25,Tabla2[Año],'Utilización Convenios'!G$3,Tabla2[Nivel Nominación],"Undergraduate / Bachelor")</f>
        <v>0</v>
      </c>
      <c r="I25" s="22">
        <f>COUNTIFS(Tabla1[Tipo de Movilidad],"Intercambio*",Tabla1[Universidad KPIs],'Utilización Convenios'!$C25,Tabla1[Año de Movilidad],'Utilización Convenios'!I$3,Tabla1[Nivel],"Pregrado")</f>
        <v>0</v>
      </c>
      <c r="J25" s="23">
        <f>COUNTIFS(Tabla2[Tipo de Movilidad],"Intercambio*",Tabla2[Universidad KPIs],'Utilización Convenios'!$C25,Tabla2[Año],'Utilización Convenios'!I$3,Tabla2[Nivel Nominación],"Undergraduate / Bachelor")</f>
        <v>0</v>
      </c>
      <c r="K25" s="22">
        <f>COUNTIFS(Tabla1[Tipo de Movilidad],"Intercambio*",Tabla1[Universidad KPIs],'Utilización Convenios'!$C25,Tabla1[Año de Movilidad],'Utilización Convenios'!K$3,Tabla1[Nivel],"Pregrado")</f>
        <v>2</v>
      </c>
      <c r="L25" s="23">
        <f>COUNTIFS(Tabla2[Tipo de Movilidad],"Intercambio*",Tabla2[Universidad KPIs],'Utilización Convenios'!$C25,Tabla2[Año],'Utilización Convenios'!K$3,Tabla2[Nivel Nominación],"Undergraduate / Bachelor")</f>
        <v>4</v>
      </c>
      <c r="M25" s="22">
        <f>COUNTIFS(Tabla1[Tipo de Movilidad],"Intercambio*",Tabla1[Universidad KPIs],'Utilización Convenios'!$C25,Tabla1[Año de Movilidad],'Utilización Convenios'!M$3,Tabla1[Nivel],"Pregrado")</f>
        <v>4</v>
      </c>
      <c r="N25" s="57">
        <f>COUNTIFS(Tabla2[Tipo de Movilidad],"Intercambio*",Tabla2[Universidad KPIs],'Utilización Convenios'!$C25,Tabla2[Año],'Utilización Convenios'!M$3,Tabla2[Nivel Nominación],"Undergraduate / Bachelor")</f>
        <v>4</v>
      </c>
      <c r="O25" s="22">
        <f>COUNTIFS(Tabla1[Tipo de Movilidad],"Intercambio*",Tabla1[Universidad KPIs],'Utilización Convenios'!$C25,Tabla1[Año de Movilidad],'Utilización Convenios'!O$3,Tabla1[Nivel],"Pregrado")</f>
        <v>2</v>
      </c>
      <c r="P25" s="57">
        <f>COUNTIFS(Tabla2[Tipo de Movilidad],"Intercambio*",Tabla2[Universidad KPIs],'Utilización Convenios'!$C25,Tabla2[Año],'Utilización Convenios'!O$3,Tabla2[Nivel Nominación],"Undergraduate / Bachelor")</f>
        <v>4</v>
      </c>
      <c r="Q25" s="73">
        <f t="shared" si="0"/>
        <v>8</v>
      </c>
      <c r="R25" s="74">
        <f t="shared" si="0"/>
        <v>12</v>
      </c>
    </row>
    <row r="26" spans="2:18">
      <c r="B26" s="246"/>
      <c r="C26" s="130" t="s">
        <v>84</v>
      </c>
      <c r="D26" s="137" t="s">
        <v>57</v>
      </c>
      <c r="E26" s="132">
        <f>COUNTIFS(Tabla1[Tipo de Movilidad],"Intercambio*",Tabla1[Universidad KPIs],'Utilización Convenios'!$C26,Tabla1[Año de Movilidad],'Utilización Convenios'!E$3,Tabla1[Nivel],"Pregrado")</f>
        <v>0</v>
      </c>
      <c r="F26" s="23">
        <f>COUNTIFS(Tabla2[Tipo de Movilidad],"Intercambio*",Tabla2[Universidad KPIs],'Utilización Convenios'!$C26,Tabla2[Año],'Utilización Convenios'!E$3,Tabla2[Nivel Nominación],"Undergraduate / Bachelor")</f>
        <v>1</v>
      </c>
      <c r="G26" s="22">
        <f>COUNTIFS(Tabla1[Tipo de Movilidad],"Intercambio*",Tabla1[Universidad KPIs],'Utilización Convenios'!$C26,Tabla1[Año de Movilidad],'Utilización Convenios'!G$3,Tabla1[Nivel],"Pregrado")</f>
        <v>2</v>
      </c>
      <c r="H26" s="23">
        <f>COUNTIFS(Tabla2[Tipo de Movilidad],"Intercambio*",Tabla2[Universidad KPIs],'Utilización Convenios'!$C26,Tabla2[Año],'Utilización Convenios'!G$3,Tabla2[Nivel Nominación],"Undergraduate / Bachelor")</f>
        <v>0</v>
      </c>
      <c r="I26" s="22">
        <f>COUNTIFS(Tabla1[Tipo de Movilidad],"Intercambio*",Tabla1[Universidad KPIs],'Utilización Convenios'!$C26,Tabla1[Año de Movilidad],'Utilización Convenios'!I$3,Tabla1[Nivel],"Pregrado")</f>
        <v>1</v>
      </c>
      <c r="J26" s="23">
        <f>COUNTIFS(Tabla2[Tipo de Movilidad],"Intercambio*",Tabla2[Universidad KPIs],'Utilización Convenios'!$C26,Tabla2[Año],'Utilización Convenios'!I$3,Tabla2[Nivel Nominación],"Undergraduate / Bachelor")</f>
        <v>2</v>
      </c>
      <c r="K26" s="22">
        <f>COUNTIFS(Tabla1[Tipo de Movilidad],"Intercambio*",Tabla1[Universidad KPIs],'Utilización Convenios'!$C26,Tabla1[Año de Movilidad],'Utilización Convenios'!K$3,Tabla1[Nivel],"Pregrado")</f>
        <v>4</v>
      </c>
      <c r="L26" s="23">
        <f>COUNTIFS(Tabla2[Tipo de Movilidad],"Intercambio*",Tabla2[Universidad KPIs],'Utilización Convenios'!$C26,Tabla2[Año],'Utilización Convenios'!K$3,Tabla2[Nivel Nominación],"Undergraduate / Bachelor")</f>
        <v>1</v>
      </c>
      <c r="M26" s="22">
        <f>COUNTIFS(Tabla1[Tipo de Movilidad],"Intercambio*",Tabla1[Universidad KPIs],'Utilización Convenios'!$C26,Tabla1[Año de Movilidad],'Utilización Convenios'!M$3,Tabla1[Nivel],"Pregrado")</f>
        <v>1</v>
      </c>
      <c r="N26" s="57">
        <f>COUNTIFS(Tabla2[Tipo de Movilidad],"Intercambio*",Tabla2[Universidad KPIs],'Utilización Convenios'!$C26,Tabla2[Año],'Utilización Convenios'!M$3,Tabla2[Nivel Nominación],"Undergraduate / Bachelor")</f>
        <v>0</v>
      </c>
      <c r="O26" s="22">
        <f>COUNTIFS(Tabla1[Tipo de Movilidad],"Intercambio*",Tabla1[Universidad KPIs],'Utilización Convenios'!$C26,Tabla1[Año de Movilidad],'Utilización Convenios'!O$3,Tabla1[Nivel],"Pregrado")</f>
        <v>1</v>
      </c>
      <c r="P26" s="57">
        <f>COUNTIFS(Tabla2[Tipo de Movilidad],"Intercambio*",Tabla2[Universidad KPIs],'Utilización Convenios'!$C26,Tabla2[Año],'Utilización Convenios'!O$3,Tabla2[Nivel Nominación],"Undergraduate / Bachelor")</f>
        <v>0</v>
      </c>
      <c r="Q26" s="73">
        <f t="shared" si="0"/>
        <v>9</v>
      </c>
      <c r="R26" s="74">
        <f t="shared" si="0"/>
        <v>4</v>
      </c>
    </row>
    <row r="27" spans="2:18">
      <c r="B27" s="246"/>
      <c r="C27" s="130" t="s">
        <v>85</v>
      </c>
      <c r="D27" s="137" t="s">
        <v>69</v>
      </c>
      <c r="E27" s="132">
        <f>COUNTIFS(Tabla1[Tipo de Movilidad],"Intercambio*",Tabla1[Universidad KPIs],'Utilización Convenios'!$C27,Tabla1[Año de Movilidad],'Utilización Convenios'!E$3,Tabla1[Nivel],"Pregrado")</f>
        <v>0</v>
      </c>
      <c r="F27" s="23">
        <f>COUNTIFS(Tabla2[Tipo de Movilidad],"Intercambio*",Tabla2[Universidad KPIs],'Utilización Convenios'!$C27,Tabla2[Año],'Utilización Convenios'!E$3,Tabla2[Nivel Nominación],"Undergraduate / Bachelor")</f>
        <v>0</v>
      </c>
      <c r="G27" s="22">
        <f>COUNTIFS(Tabla1[Tipo de Movilidad],"Intercambio*",Tabla1[Universidad KPIs],'Utilización Convenios'!$C27,Tabla1[Año de Movilidad],'Utilización Convenios'!G$3,Tabla1[Nivel],"Pregrado")</f>
        <v>2</v>
      </c>
      <c r="H27" s="23">
        <f>COUNTIFS(Tabla2[Tipo de Movilidad],"Intercambio*",Tabla2[Universidad KPIs],'Utilización Convenios'!$C27,Tabla2[Año],'Utilización Convenios'!G$3,Tabla2[Nivel Nominación],"Undergraduate / Bachelor")</f>
        <v>1</v>
      </c>
      <c r="I27" s="22">
        <f>COUNTIFS(Tabla1[Tipo de Movilidad],"Intercambio*",Tabla1[Universidad KPIs],'Utilización Convenios'!$C27,Tabla1[Año de Movilidad],'Utilización Convenios'!I$3,Tabla1[Nivel],"Pregrado")</f>
        <v>4</v>
      </c>
      <c r="J27" s="23">
        <f>COUNTIFS(Tabla2[Tipo de Movilidad],"Intercambio*",Tabla2[Universidad KPIs],'Utilización Convenios'!$C27,Tabla2[Año],'Utilización Convenios'!I$3,Tabla2[Nivel Nominación],"Undergraduate / Bachelor")</f>
        <v>3</v>
      </c>
      <c r="K27" s="22">
        <f>COUNTIFS(Tabla1[Tipo de Movilidad],"Intercambio*",Tabla1[Universidad KPIs],'Utilización Convenios'!$C27,Tabla1[Año de Movilidad],'Utilización Convenios'!K$3,Tabla1[Nivel],"Pregrado")</f>
        <v>2</v>
      </c>
      <c r="L27" s="23">
        <f>COUNTIFS(Tabla2[Tipo de Movilidad],"Intercambio*",Tabla2[Universidad KPIs],'Utilización Convenios'!$C27,Tabla2[Año],'Utilización Convenios'!K$3,Tabla2[Nivel Nominación],"Undergraduate / Bachelor")</f>
        <v>2</v>
      </c>
      <c r="M27" s="22">
        <f>COUNTIFS(Tabla1[Tipo de Movilidad],"Intercambio*",Tabla1[Universidad KPIs],'Utilización Convenios'!$C27,Tabla1[Año de Movilidad],'Utilización Convenios'!M$3,Tabla1[Nivel],"Pregrado")</f>
        <v>2</v>
      </c>
      <c r="N27" s="57">
        <f>COUNTIFS(Tabla2[Tipo de Movilidad],"Intercambio*",Tabla2[Universidad KPIs],'Utilización Convenios'!$C27,Tabla2[Año],'Utilización Convenios'!M$3,Tabla2[Nivel Nominación],"Undergraduate / Bachelor")</f>
        <v>2</v>
      </c>
      <c r="O27" s="22">
        <f>COUNTIFS(Tabla1[Tipo de Movilidad],"Intercambio*",Tabla1[Universidad KPIs],'Utilización Convenios'!$C27,Tabla1[Año de Movilidad],'Utilización Convenios'!O$3,Tabla1[Nivel],"Pregrado")</f>
        <v>1</v>
      </c>
      <c r="P27" s="57">
        <f>COUNTIFS(Tabla2[Tipo de Movilidad],"Intercambio*",Tabla2[Universidad KPIs],'Utilización Convenios'!$C27,Tabla2[Año],'Utilización Convenios'!O$3,Tabla2[Nivel Nominación],"Undergraduate / Bachelor")</f>
        <v>0</v>
      </c>
      <c r="Q27" s="73">
        <f t="shared" si="0"/>
        <v>11</v>
      </c>
      <c r="R27" s="74">
        <f t="shared" si="0"/>
        <v>8</v>
      </c>
    </row>
    <row r="28" spans="2:18">
      <c r="B28" s="246"/>
      <c r="C28" s="130" t="s">
        <v>86</v>
      </c>
      <c r="D28" s="137" t="s">
        <v>87</v>
      </c>
      <c r="E28" s="132">
        <f>COUNTIFS(Tabla1[Tipo de Movilidad],"Intercambio*",Tabla1[Universidad KPIs],'Utilización Convenios'!$C28,Tabla1[Año de Movilidad],'Utilización Convenios'!E$3,Tabla1[Nivel],"Pregrado")</f>
        <v>1</v>
      </c>
      <c r="F28" s="23">
        <f>COUNTIFS(Tabla2[Tipo de Movilidad],"Intercambio*",Tabla2[Universidad KPIs],'Utilización Convenios'!$C28,Tabla2[Año],'Utilización Convenios'!E$3,Tabla2[Nivel Nominación],"Undergraduate / Bachelor")</f>
        <v>0</v>
      </c>
      <c r="G28" s="22">
        <f>COUNTIFS(Tabla1[Tipo de Movilidad],"Intercambio*",Tabla1[Universidad KPIs],'Utilización Convenios'!$C28,Tabla1[Año de Movilidad],'Utilización Convenios'!G$3,Tabla1[Nivel],"Pregrado")</f>
        <v>0</v>
      </c>
      <c r="H28" s="23">
        <f>COUNTIFS(Tabla2[Tipo de Movilidad],"Intercambio*",Tabla2[Universidad KPIs],'Utilización Convenios'!$C28,Tabla2[Año],'Utilización Convenios'!G$3,Tabla2[Nivel Nominación],"Undergraduate / Bachelor")</f>
        <v>0</v>
      </c>
      <c r="I28" s="22">
        <f>COUNTIFS(Tabla1[Tipo de Movilidad],"Intercambio*",Tabla1[Universidad KPIs],'Utilización Convenios'!$C28,Tabla1[Año de Movilidad],'Utilización Convenios'!I$3,Tabla1[Nivel],"Pregrado")</f>
        <v>0</v>
      </c>
      <c r="J28" s="23">
        <f>COUNTIFS(Tabla2[Tipo de Movilidad],"Intercambio*",Tabla2[Universidad KPIs],'Utilización Convenios'!$C28,Tabla2[Año],'Utilización Convenios'!I$3,Tabla2[Nivel Nominación],"Undergraduate / Bachelor")</f>
        <v>0</v>
      </c>
      <c r="K28" s="22">
        <f>COUNTIFS(Tabla1[Tipo de Movilidad],"Intercambio*",Tabla1[Universidad KPIs],'Utilización Convenios'!$C28,Tabla1[Año de Movilidad],'Utilización Convenios'!K$3,Tabla1[Nivel],"Pregrado")</f>
        <v>0</v>
      </c>
      <c r="L28" s="23">
        <f>COUNTIFS(Tabla2[Tipo de Movilidad],"Intercambio*",Tabla2[Universidad KPIs],'Utilización Convenios'!$C28,Tabla2[Año],'Utilización Convenios'!K$3,Tabla2[Nivel Nominación],"Undergraduate / Bachelor")</f>
        <v>0</v>
      </c>
      <c r="M28" s="22">
        <f>COUNTIFS(Tabla1[Tipo de Movilidad],"Intercambio*",Tabla1[Universidad KPIs],'Utilización Convenios'!$C28,Tabla1[Año de Movilidad],'Utilización Convenios'!M$3,Tabla1[Nivel],"Pregrado")</f>
        <v>0</v>
      </c>
      <c r="N28" s="57">
        <f>COUNTIFS(Tabla2[Tipo de Movilidad],"Intercambio*",Tabla2[Universidad KPIs],'Utilización Convenios'!$C28,Tabla2[Año],'Utilización Convenios'!M$3,Tabla2[Nivel Nominación],"Undergraduate / Bachelor")</f>
        <v>0</v>
      </c>
      <c r="O28" s="22">
        <f>COUNTIFS(Tabla1[Tipo de Movilidad],"Intercambio*",Tabla1[Universidad KPIs],'Utilización Convenios'!$C28,Tabla1[Año de Movilidad],'Utilización Convenios'!O$3,Tabla1[Nivel],"Pregrado")</f>
        <v>0</v>
      </c>
      <c r="P28" s="57">
        <f>COUNTIFS(Tabla2[Tipo de Movilidad],"Intercambio*",Tabla2[Universidad KPIs],'Utilización Convenios'!$C28,Tabla2[Año],'Utilización Convenios'!O$3,Tabla2[Nivel Nominación],"Undergraduate / Bachelor")</f>
        <v>0</v>
      </c>
      <c r="Q28" s="73">
        <f t="shared" si="0"/>
        <v>1</v>
      </c>
      <c r="R28" s="74">
        <f t="shared" si="0"/>
        <v>0</v>
      </c>
    </row>
    <row r="29" spans="2:18">
      <c r="B29" s="246"/>
      <c r="C29" s="130" t="s">
        <v>88</v>
      </c>
      <c r="D29" s="137" t="s">
        <v>87</v>
      </c>
      <c r="E29" s="132">
        <f>COUNTIFS(Tabla1[Tipo de Movilidad],"Intercambio*",Tabla1[Universidad KPIs],'Utilización Convenios'!$C29,Tabla1[Año de Movilidad],'Utilización Convenios'!E$3,Tabla1[Nivel],"Pregrado")</f>
        <v>0</v>
      </c>
      <c r="F29" s="23">
        <f>COUNTIFS(Tabla2[Tipo de Movilidad],"Intercambio*",Tabla2[Universidad KPIs],'Utilización Convenios'!$C29,Tabla2[Año],'Utilización Convenios'!E$3,Tabla2[Nivel Nominación],"Undergraduate / Bachelor")</f>
        <v>0</v>
      </c>
      <c r="G29" s="22">
        <f>COUNTIFS(Tabla1[Tipo de Movilidad],"Intercambio*",Tabla1[Universidad KPIs],'Utilización Convenios'!$C29,Tabla1[Año de Movilidad],'Utilización Convenios'!G$3,Tabla1[Nivel],"Pregrado")</f>
        <v>0</v>
      </c>
      <c r="H29" s="23">
        <f>COUNTIFS(Tabla2[Tipo de Movilidad],"Intercambio*",Tabla2[Universidad KPIs],'Utilización Convenios'!$C29,Tabla2[Año],'Utilización Convenios'!G$3,Tabla2[Nivel Nominación],"Undergraduate / Bachelor")</f>
        <v>0</v>
      </c>
      <c r="I29" s="22">
        <f>COUNTIFS(Tabla1[Tipo de Movilidad],"Intercambio*",Tabla1[Universidad KPIs],'Utilización Convenios'!$C29,Tabla1[Año de Movilidad],'Utilización Convenios'!I$3,Tabla1[Nivel],"Pregrado")</f>
        <v>3</v>
      </c>
      <c r="J29" s="23">
        <f>COUNTIFS(Tabla2[Tipo de Movilidad],"Intercambio*",Tabla2[Universidad KPIs],'Utilización Convenios'!$C29,Tabla2[Año],'Utilización Convenios'!I$3,Tabla2[Nivel Nominación],"Undergraduate / Bachelor")</f>
        <v>4</v>
      </c>
      <c r="K29" s="22">
        <f>COUNTIFS(Tabla1[Tipo de Movilidad],"Intercambio*",Tabla1[Universidad KPIs],'Utilización Convenios'!$C29,Tabla1[Año de Movilidad],'Utilización Convenios'!K$3,Tabla1[Nivel],"Pregrado")</f>
        <v>2</v>
      </c>
      <c r="L29" s="23">
        <f>COUNTIFS(Tabla2[Tipo de Movilidad],"Intercambio*",Tabla2[Universidad KPIs],'Utilización Convenios'!$C29,Tabla2[Año],'Utilización Convenios'!K$3,Tabla2[Nivel Nominación],"Undergraduate / Bachelor")</f>
        <v>2</v>
      </c>
      <c r="M29" s="22">
        <f>COUNTIFS(Tabla1[Tipo de Movilidad],"Intercambio*",Tabla1[Universidad KPIs],'Utilización Convenios'!$C29,Tabla1[Año de Movilidad],'Utilización Convenios'!M$3,Tabla1[Nivel],"Pregrado")</f>
        <v>2</v>
      </c>
      <c r="N29" s="57">
        <f>COUNTIFS(Tabla2[Tipo de Movilidad],"Intercambio*",Tabla2[Universidad KPIs],'Utilización Convenios'!$C29,Tabla2[Año],'Utilización Convenios'!M$3,Tabla2[Nivel Nominación],"Undergraduate / Bachelor")</f>
        <v>1</v>
      </c>
      <c r="O29" s="22">
        <f>COUNTIFS(Tabla1[Tipo de Movilidad],"Intercambio*",Tabla1[Universidad KPIs],'Utilización Convenios'!$C29,Tabla1[Año de Movilidad],'Utilización Convenios'!O$3,Tabla1[Nivel],"Pregrado")</f>
        <v>0</v>
      </c>
      <c r="P29" s="57">
        <f>COUNTIFS(Tabla2[Tipo de Movilidad],"Intercambio*",Tabla2[Universidad KPIs],'Utilización Convenios'!$C29,Tabla2[Año],'Utilización Convenios'!O$3,Tabla2[Nivel Nominación],"Undergraduate / Bachelor")</f>
        <v>1</v>
      </c>
      <c r="Q29" s="73">
        <f t="shared" si="0"/>
        <v>7</v>
      </c>
      <c r="R29" s="74">
        <f t="shared" si="0"/>
        <v>8</v>
      </c>
    </row>
    <row r="30" spans="2:18">
      <c r="B30" s="246"/>
      <c r="C30" s="130" t="s">
        <v>89</v>
      </c>
      <c r="D30" s="137" t="s">
        <v>90</v>
      </c>
      <c r="E30" s="132">
        <f>COUNTIFS(Tabla1[Tipo de Movilidad],"Intercambio*",Tabla1[Universidad KPIs],'Utilización Convenios'!$C30,Tabla1[Año de Movilidad],'Utilización Convenios'!E$3,Tabla1[Nivel],"Pregrado")</f>
        <v>0</v>
      </c>
      <c r="F30" s="23">
        <f>COUNTIFS(Tabla2[Tipo de Movilidad],"Intercambio*",Tabla2[Universidad KPIs],'Utilización Convenios'!$C30,Tabla2[Año],'Utilización Convenios'!E$3,Tabla2[Nivel Nominación],"Undergraduate / Bachelor")</f>
        <v>0</v>
      </c>
      <c r="G30" s="22">
        <f>COUNTIFS(Tabla1[Tipo de Movilidad],"Intercambio*",Tabla1[Universidad KPIs],'Utilización Convenios'!$C30,Tabla1[Año de Movilidad],'Utilización Convenios'!G$3,Tabla1[Nivel],"Pregrado")</f>
        <v>0</v>
      </c>
      <c r="H30" s="23">
        <f>COUNTIFS(Tabla2[Tipo de Movilidad],"Intercambio*",Tabla2[Universidad KPIs],'Utilización Convenios'!$C30,Tabla2[Año],'Utilización Convenios'!G$3,Tabla2[Nivel Nominación],"Undergraduate / Bachelor")</f>
        <v>0</v>
      </c>
      <c r="I30" s="22">
        <f>COUNTIFS(Tabla1[Tipo de Movilidad],"Intercambio*",Tabla1[Universidad KPIs],'Utilización Convenios'!$C30,Tabla1[Año de Movilidad],'Utilización Convenios'!I$3,Tabla1[Nivel],"Pregrado")</f>
        <v>0</v>
      </c>
      <c r="J30" s="23">
        <f>COUNTIFS(Tabla2[Tipo de Movilidad],"Intercambio*",Tabla2[Universidad KPIs],'Utilización Convenios'!$C30,Tabla2[Año],'Utilización Convenios'!I$3,Tabla2[Nivel Nominación],"Undergraduate / Bachelor")</f>
        <v>1</v>
      </c>
      <c r="K30" s="22">
        <f>COUNTIFS(Tabla1[Tipo de Movilidad],"Intercambio*",Tabla1[Universidad KPIs],'Utilización Convenios'!$C30,Tabla1[Año de Movilidad],'Utilización Convenios'!K$3,Tabla1[Nivel],"Pregrado")</f>
        <v>1</v>
      </c>
      <c r="L30" s="23">
        <f>COUNTIFS(Tabla2[Tipo de Movilidad],"Intercambio*",Tabla2[Universidad KPIs],'Utilización Convenios'!$C30,Tabla2[Año],'Utilización Convenios'!K$3,Tabla2[Nivel Nominación],"Undergraduate / Bachelor")</f>
        <v>2</v>
      </c>
      <c r="M30" s="22">
        <f>COUNTIFS(Tabla1[Tipo de Movilidad],"Intercambio*",Tabla1[Universidad KPIs],'Utilización Convenios'!$C30,Tabla1[Año de Movilidad],'Utilización Convenios'!M$3,Tabla1[Nivel],"Pregrado")</f>
        <v>0</v>
      </c>
      <c r="N30" s="57">
        <f>COUNTIFS(Tabla2[Tipo de Movilidad],"Intercambio*",Tabla2[Universidad KPIs],'Utilización Convenios'!$C30,Tabla2[Año],'Utilización Convenios'!M$3,Tabla2[Nivel Nominación],"Undergraduate / Bachelor")</f>
        <v>0</v>
      </c>
      <c r="O30" s="22">
        <f>COUNTIFS(Tabla1[Tipo de Movilidad],"Intercambio*",Tabla1[Universidad KPIs],'Utilización Convenios'!$C30,Tabla1[Año de Movilidad],'Utilización Convenios'!O$3,Tabla1[Nivel],"Pregrado")</f>
        <v>0</v>
      </c>
      <c r="P30" s="57">
        <f>COUNTIFS(Tabla2[Tipo de Movilidad],"Intercambio*",Tabla2[Universidad KPIs],'Utilización Convenios'!$C30,Tabla2[Año],'Utilización Convenios'!O$3,Tabla2[Nivel Nominación],"Undergraduate / Bachelor")</f>
        <v>0</v>
      </c>
      <c r="Q30" s="73">
        <f t="shared" si="0"/>
        <v>1</v>
      </c>
      <c r="R30" s="74">
        <f t="shared" si="0"/>
        <v>3</v>
      </c>
    </row>
    <row r="31" spans="2:18">
      <c r="B31" s="246"/>
      <c r="C31" s="130" t="s">
        <v>91</v>
      </c>
      <c r="D31" s="137" t="s">
        <v>76</v>
      </c>
      <c r="E31" s="132">
        <f>COUNTIFS(Tabla1[Tipo de Movilidad],"Intercambio*",Tabla1[Universidad KPIs],'Utilización Convenios'!$C31,Tabla1[Año de Movilidad],'Utilización Convenios'!E$3,Tabla1[Nivel],"Pregrado")</f>
        <v>2</v>
      </c>
      <c r="F31" s="23">
        <f>COUNTIFS(Tabla2[Tipo de Movilidad],"Intercambio*",Tabla2[Universidad KPIs],'Utilización Convenios'!$C31,Tabla2[Año],'Utilización Convenios'!E$3,Tabla2[Nivel Nominación],"Undergraduate / Bachelor")</f>
        <v>0</v>
      </c>
      <c r="G31" s="22">
        <f>COUNTIFS(Tabla1[Tipo de Movilidad],"Intercambio*",Tabla1[Universidad KPIs],'Utilización Convenios'!$C31,Tabla1[Año de Movilidad],'Utilización Convenios'!G$3,Tabla1[Nivel],"Pregrado")</f>
        <v>2</v>
      </c>
      <c r="H31" s="23">
        <f>COUNTIFS(Tabla2[Tipo de Movilidad],"Intercambio*",Tabla2[Universidad KPIs],'Utilización Convenios'!$C31,Tabla2[Año],'Utilización Convenios'!G$3,Tabla2[Nivel Nominación],"Undergraduate / Bachelor")</f>
        <v>0</v>
      </c>
      <c r="I31" s="22">
        <f>COUNTIFS(Tabla1[Tipo de Movilidad],"Intercambio*",Tabla1[Universidad KPIs],'Utilización Convenios'!$C31,Tabla1[Año de Movilidad],'Utilización Convenios'!I$3,Tabla1[Nivel],"Pregrado")</f>
        <v>2</v>
      </c>
      <c r="J31" s="23">
        <f>COUNTIFS(Tabla2[Tipo de Movilidad],"Intercambio*",Tabla2[Universidad KPIs],'Utilización Convenios'!$C31,Tabla2[Año],'Utilización Convenios'!I$3,Tabla2[Nivel Nominación],"Undergraduate / Bachelor")</f>
        <v>1</v>
      </c>
      <c r="K31" s="22">
        <f>COUNTIFS(Tabla1[Tipo de Movilidad],"Intercambio*",Tabla1[Universidad KPIs],'Utilización Convenios'!$C31,Tabla1[Año de Movilidad],'Utilización Convenios'!K$3,Tabla1[Nivel],"Pregrado")</f>
        <v>3</v>
      </c>
      <c r="L31" s="23">
        <f>COUNTIFS(Tabla2[Tipo de Movilidad],"Intercambio*",Tabla2[Universidad KPIs],'Utilización Convenios'!$C31,Tabla2[Año],'Utilización Convenios'!K$3,Tabla2[Nivel Nominación],"Undergraduate / Bachelor")</f>
        <v>0</v>
      </c>
      <c r="M31" s="22">
        <f>COUNTIFS(Tabla1[Tipo de Movilidad],"Intercambio*",Tabla1[Universidad KPIs],'Utilización Convenios'!$C31,Tabla1[Año de Movilidad],'Utilización Convenios'!M$3,Tabla1[Nivel],"Pregrado")</f>
        <v>1</v>
      </c>
      <c r="N31" s="57">
        <f>COUNTIFS(Tabla2[Tipo de Movilidad],"Intercambio*",Tabla2[Universidad KPIs],'Utilización Convenios'!$C31,Tabla2[Año],'Utilización Convenios'!M$3,Tabla2[Nivel Nominación],"Undergraduate / Bachelor")</f>
        <v>1</v>
      </c>
      <c r="O31" s="22">
        <f>COUNTIFS(Tabla1[Tipo de Movilidad],"Intercambio*",Tabla1[Universidad KPIs],'Utilización Convenios'!$C31,Tabla1[Año de Movilidad],'Utilización Convenios'!O$3,Tabla1[Nivel],"Pregrado")</f>
        <v>0</v>
      </c>
      <c r="P31" s="57">
        <f>COUNTIFS(Tabla2[Tipo de Movilidad],"Intercambio*",Tabla2[Universidad KPIs],'Utilización Convenios'!$C31,Tabla2[Año],'Utilización Convenios'!O$3,Tabla2[Nivel Nominación],"Undergraduate / Bachelor")</f>
        <v>2</v>
      </c>
      <c r="Q31" s="73">
        <f t="shared" si="0"/>
        <v>10</v>
      </c>
      <c r="R31" s="74">
        <f t="shared" si="0"/>
        <v>4</v>
      </c>
    </row>
    <row r="32" spans="2:18">
      <c r="B32" s="246"/>
      <c r="C32" s="130" t="s">
        <v>92</v>
      </c>
      <c r="D32" s="137" t="s">
        <v>93</v>
      </c>
      <c r="E32" s="132">
        <f>COUNTIFS(Tabla1[Tipo de Movilidad],"Intercambio*",Tabla1[Universidad KPIs],'Utilización Convenios'!$C32,Tabla1[Año de Movilidad],'Utilización Convenios'!E$3,Tabla1[Nivel],"Pregrado")</f>
        <v>0</v>
      </c>
      <c r="F32" s="23">
        <f>COUNTIFS(Tabla2[Tipo de Movilidad],"Intercambio*",Tabla2[Universidad KPIs],'Utilización Convenios'!$C32,Tabla2[Año],'Utilización Convenios'!E$3,Tabla2[Nivel Nominación],"Undergraduate / Bachelor")</f>
        <v>0</v>
      </c>
      <c r="G32" s="22">
        <f>COUNTIFS(Tabla1[Tipo de Movilidad],"Intercambio*",Tabla1[Universidad KPIs],'Utilización Convenios'!$C32,Tabla1[Año de Movilidad],'Utilización Convenios'!G$3,Tabla1[Nivel],"Pregrado")</f>
        <v>0</v>
      </c>
      <c r="H32" s="23">
        <f>COUNTIFS(Tabla2[Tipo de Movilidad],"Intercambio*",Tabla2[Universidad KPIs],'Utilización Convenios'!$C32,Tabla2[Año],'Utilización Convenios'!G$3,Tabla2[Nivel Nominación],"Undergraduate / Bachelor")</f>
        <v>0</v>
      </c>
      <c r="I32" s="22">
        <f>COUNTIFS(Tabla1[Tipo de Movilidad],"Intercambio*",Tabla1[Universidad KPIs],'Utilización Convenios'!$C32,Tabla1[Año de Movilidad],'Utilización Convenios'!I$3,Tabla1[Nivel],"Pregrado")</f>
        <v>0</v>
      </c>
      <c r="J32" s="23">
        <f>COUNTIFS(Tabla2[Tipo de Movilidad],"Intercambio*",Tabla2[Universidad KPIs],'Utilización Convenios'!$C32,Tabla2[Año],'Utilización Convenios'!I$3,Tabla2[Nivel Nominación],"Undergraduate / Bachelor")</f>
        <v>0</v>
      </c>
      <c r="K32" s="22">
        <f>COUNTIFS(Tabla1[Tipo de Movilidad],"Intercambio*",Tabla1[Universidad KPIs],'Utilización Convenios'!$C32,Tabla1[Año de Movilidad],'Utilización Convenios'!K$3,Tabla1[Nivel],"Pregrado")</f>
        <v>1</v>
      </c>
      <c r="L32" s="23">
        <f>COUNTIFS(Tabla2[Tipo de Movilidad],"Intercambio*",Tabla2[Universidad KPIs],'Utilización Convenios'!$C32,Tabla2[Año],'Utilización Convenios'!K$3,Tabla2[Nivel Nominación],"Undergraduate / Bachelor")</f>
        <v>0</v>
      </c>
      <c r="M32" s="22">
        <f>COUNTIFS(Tabla1[Tipo de Movilidad],"Intercambio*",Tabla1[Universidad KPIs],'Utilización Convenios'!$C32,Tabla1[Año de Movilidad],'Utilización Convenios'!M$3,Tabla1[Nivel],"Pregrado")</f>
        <v>0</v>
      </c>
      <c r="N32" s="57">
        <f>COUNTIFS(Tabla2[Tipo de Movilidad],"Intercambio*",Tabla2[Universidad KPIs],'Utilización Convenios'!$C32,Tabla2[Año],'Utilización Convenios'!M$3,Tabla2[Nivel Nominación],"Undergraduate / Bachelor")</f>
        <v>0</v>
      </c>
      <c r="O32" s="22">
        <f>COUNTIFS(Tabla1[Tipo de Movilidad],"Intercambio*",Tabla1[Universidad KPIs],'Utilización Convenios'!$C32,Tabla1[Año de Movilidad],'Utilización Convenios'!O$3,Tabla1[Nivel],"Pregrado")</f>
        <v>0</v>
      </c>
      <c r="P32" s="57">
        <f>COUNTIFS(Tabla2[Tipo de Movilidad],"Intercambio*",Tabla2[Universidad KPIs],'Utilización Convenios'!$C32,Tabla2[Año],'Utilización Convenios'!O$3,Tabla2[Nivel Nominación],"Undergraduate / Bachelor")</f>
        <v>0</v>
      </c>
      <c r="Q32" s="73">
        <f t="shared" si="0"/>
        <v>1</v>
      </c>
      <c r="R32" s="74">
        <f t="shared" si="0"/>
        <v>0</v>
      </c>
    </row>
    <row r="33" spans="2:18">
      <c r="B33" s="246"/>
      <c r="C33" s="130" t="s">
        <v>94</v>
      </c>
      <c r="D33" s="137" t="s">
        <v>95</v>
      </c>
      <c r="E33" s="132">
        <f>COUNTIFS(Tabla1[Tipo de Movilidad],"Intercambio*",Tabla1[Universidad KPIs],'Utilización Convenios'!$C33,Tabla1[Año de Movilidad],'Utilización Convenios'!E$3,Tabla1[Nivel],"Pregrado")</f>
        <v>6</v>
      </c>
      <c r="F33" s="23">
        <f>COUNTIFS(Tabla2[Tipo de Movilidad],"Intercambio*",Tabla2[Universidad KPIs],'Utilización Convenios'!$C33,Tabla2[Año],'Utilización Convenios'!E$3,Tabla2[Nivel Nominación],"Undergraduate / Bachelor")</f>
        <v>4</v>
      </c>
      <c r="G33" s="22">
        <f>COUNTIFS(Tabla1[Tipo de Movilidad],"Intercambio*",Tabla1[Universidad KPIs],'Utilización Convenios'!$C33,Tabla1[Año de Movilidad],'Utilización Convenios'!G$3,Tabla1[Nivel],"Pregrado")</f>
        <v>8</v>
      </c>
      <c r="H33" s="23">
        <f>COUNTIFS(Tabla2[Tipo de Movilidad],"Intercambio*",Tabla2[Universidad KPIs],'Utilización Convenios'!$C33,Tabla2[Año],'Utilización Convenios'!G$3,Tabla2[Nivel Nominación],"Undergraduate / Bachelor")</f>
        <v>2</v>
      </c>
      <c r="I33" s="22">
        <f>COUNTIFS(Tabla1[Tipo de Movilidad],"Intercambio*",Tabla1[Universidad KPIs],'Utilización Convenios'!$C33,Tabla1[Año de Movilidad],'Utilización Convenios'!I$3,Tabla1[Nivel],"Pregrado")</f>
        <v>8</v>
      </c>
      <c r="J33" s="23">
        <f>COUNTIFS(Tabla2[Tipo de Movilidad],"Intercambio*",Tabla2[Universidad KPIs],'Utilización Convenios'!$C33,Tabla2[Año],'Utilización Convenios'!I$3,Tabla2[Nivel Nominación],"Undergraduate / Bachelor")</f>
        <v>4</v>
      </c>
      <c r="K33" s="22">
        <f>COUNTIFS(Tabla1[Tipo de Movilidad],"Intercambio*",Tabla1[Universidad KPIs],'Utilización Convenios'!$C33,Tabla1[Año de Movilidad],'Utilización Convenios'!K$3,Tabla1[Nivel],"Pregrado")</f>
        <v>13</v>
      </c>
      <c r="L33" s="23">
        <f>COUNTIFS(Tabla2[Tipo de Movilidad],"Intercambio*",Tabla2[Universidad KPIs],'Utilización Convenios'!$C33,Tabla2[Año],'Utilización Convenios'!K$3,Tabla2[Nivel Nominación],"Undergraduate / Bachelor")</f>
        <v>9</v>
      </c>
      <c r="M33" s="22">
        <f>COUNTIFS(Tabla1[Tipo de Movilidad],"Intercambio*",Tabla1[Universidad KPIs],'Utilización Convenios'!$C33,Tabla1[Año de Movilidad],'Utilización Convenios'!M$3,Tabla1[Nivel],"Pregrado")</f>
        <v>9</v>
      </c>
      <c r="N33" s="57">
        <f>COUNTIFS(Tabla2[Tipo de Movilidad],"Intercambio*",Tabla2[Universidad KPIs],'Utilización Convenios'!$C33,Tabla2[Año],'Utilización Convenios'!M$3,Tabla2[Nivel Nominación],"Undergraduate / Bachelor")</f>
        <v>10</v>
      </c>
      <c r="O33" s="22">
        <f>COUNTIFS(Tabla1[Tipo de Movilidad],"Intercambio*",Tabla1[Universidad KPIs],'Utilización Convenios'!$C33,Tabla1[Año de Movilidad],'Utilización Convenios'!O$3,Tabla1[Nivel],"Pregrado")</f>
        <v>7</v>
      </c>
      <c r="P33" s="57">
        <f>COUNTIFS(Tabla2[Tipo de Movilidad],"Intercambio*",Tabla2[Universidad KPIs],'Utilización Convenios'!$C33,Tabla2[Año],'Utilización Convenios'!O$3,Tabla2[Nivel Nominación],"Undergraduate / Bachelor")</f>
        <v>8</v>
      </c>
      <c r="Q33" s="73">
        <f t="shared" si="0"/>
        <v>51</v>
      </c>
      <c r="R33" s="74">
        <f t="shared" si="0"/>
        <v>37</v>
      </c>
    </row>
    <row r="34" spans="2:18">
      <c r="B34" s="246"/>
      <c r="C34" s="130" t="s">
        <v>96</v>
      </c>
      <c r="D34" s="137" t="s">
        <v>74</v>
      </c>
      <c r="E34" s="132">
        <f>COUNTIFS(Tabla1[Tipo de Movilidad],"Intercambio*",Tabla1[Universidad KPIs],'Utilización Convenios'!$C34,Tabla1[Año de Movilidad],'Utilización Convenios'!E$3,Tabla1[Nivel],"Pregrado")</f>
        <v>1</v>
      </c>
      <c r="F34" s="23">
        <f>COUNTIFS(Tabla2[Tipo de Movilidad],"Intercambio*",Tabla2[Universidad KPIs],'Utilización Convenios'!$C34,Tabla2[Año],'Utilización Convenios'!E$3,Tabla2[Nivel Nominación],"Undergraduate / Bachelor")</f>
        <v>2</v>
      </c>
      <c r="G34" s="22">
        <f>COUNTIFS(Tabla1[Tipo de Movilidad],"Intercambio*",Tabla1[Universidad KPIs],'Utilización Convenios'!$C34,Tabla1[Año de Movilidad],'Utilización Convenios'!G$3,Tabla1[Nivel],"Pregrado")</f>
        <v>0</v>
      </c>
      <c r="H34" s="23">
        <f>COUNTIFS(Tabla2[Tipo de Movilidad],"Intercambio*",Tabla2[Universidad KPIs],'Utilización Convenios'!$C34,Tabla2[Año],'Utilización Convenios'!G$3,Tabla2[Nivel Nominación],"Undergraduate / Bachelor")</f>
        <v>0</v>
      </c>
      <c r="I34" s="22">
        <f>COUNTIFS(Tabla1[Tipo de Movilidad],"Intercambio*",Tabla1[Universidad KPIs],'Utilización Convenios'!$C34,Tabla1[Año de Movilidad],'Utilización Convenios'!I$3,Tabla1[Nivel],"Pregrado")</f>
        <v>0</v>
      </c>
      <c r="J34" s="23">
        <f>COUNTIFS(Tabla2[Tipo de Movilidad],"Intercambio*",Tabla2[Universidad KPIs],'Utilización Convenios'!$C34,Tabla2[Año],'Utilización Convenios'!I$3,Tabla2[Nivel Nominación],"Undergraduate / Bachelor")</f>
        <v>2</v>
      </c>
      <c r="K34" s="22">
        <f>COUNTIFS(Tabla1[Tipo de Movilidad],"Intercambio*",Tabla1[Universidad KPIs],'Utilización Convenios'!$C34,Tabla1[Año de Movilidad],'Utilización Convenios'!K$3,Tabla1[Nivel],"Pregrado")</f>
        <v>0</v>
      </c>
      <c r="L34" s="23">
        <f>COUNTIFS(Tabla2[Tipo de Movilidad],"Intercambio*",Tabla2[Universidad KPIs],'Utilización Convenios'!$C34,Tabla2[Año],'Utilización Convenios'!K$3,Tabla2[Nivel Nominación],"Undergraduate / Bachelor")</f>
        <v>1</v>
      </c>
      <c r="M34" s="22">
        <f>COUNTIFS(Tabla1[Tipo de Movilidad],"Intercambio*",Tabla1[Universidad KPIs],'Utilización Convenios'!$C34,Tabla1[Año de Movilidad],'Utilización Convenios'!M$3,Tabla1[Nivel],"Pregrado")</f>
        <v>4</v>
      </c>
      <c r="N34" s="57">
        <f>COUNTIFS(Tabla2[Tipo de Movilidad],"Intercambio*",Tabla2[Universidad KPIs],'Utilización Convenios'!$C34,Tabla2[Año],'Utilización Convenios'!M$3,Tabla2[Nivel Nominación],"Undergraduate / Bachelor")</f>
        <v>4</v>
      </c>
      <c r="O34" s="22">
        <f>COUNTIFS(Tabla1[Tipo de Movilidad],"Intercambio*",Tabla1[Universidad KPIs],'Utilización Convenios'!$C34,Tabla1[Año de Movilidad],'Utilización Convenios'!O$3,Tabla1[Nivel],"Pregrado")</f>
        <v>0</v>
      </c>
      <c r="P34" s="57">
        <f>COUNTIFS(Tabla2[Tipo de Movilidad],"Intercambio*",Tabla2[Universidad KPIs],'Utilización Convenios'!$C34,Tabla2[Año],'Utilización Convenios'!O$3,Tabla2[Nivel Nominación],"Undergraduate / Bachelor")</f>
        <v>1</v>
      </c>
      <c r="Q34" s="73">
        <f t="shared" si="0"/>
        <v>5</v>
      </c>
      <c r="R34" s="74">
        <f t="shared" si="0"/>
        <v>10</v>
      </c>
    </row>
    <row r="35" spans="2:18">
      <c r="B35" s="246"/>
      <c r="C35" s="130" t="s">
        <v>97</v>
      </c>
      <c r="D35" s="137" t="s">
        <v>98</v>
      </c>
      <c r="E35" s="132">
        <f>COUNTIFS(Tabla1[Tipo de Movilidad],"Intercambio*",Tabla1[Universidad KPIs],'Utilización Convenios'!$C35,Tabla1[Año de Movilidad],'Utilización Convenios'!E$3,Tabla1[Nivel],"Pregrado")</f>
        <v>0</v>
      </c>
      <c r="F35" s="23">
        <f>COUNTIFS(Tabla2[Tipo de Movilidad],"Intercambio*",Tabla2[Universidad KPIs],'Utilización Convenios'!$C35,Tabla2[Año],'Utilización Convenios'!E$3,Tabla2[Nivel Nominación],"Undergraduate / Bachelor")</f>
        <v>0</v>
      </c>
      <c r="G35" s="22">
        <f>COUNTIFS(Tabla1[Tipo de Movilidad],"Intercambio*",Tabla1[Universidad KPIs],'Utilización Convenios'!$C35,Tabla1[Año de Movilidad],'Utilización Convenios'!G$3,Tabla1[Nivel],"Pregrado")</f>
        <v>0</v>
      </c>
      <c r="H35" s="23">
        <f>COUNTIFS(Tabla2[Tipo de Movilidad],"Intercambio*",Tabla2[Universidad KPIs],'Utilización Convenios'!$C35,Tabla2[Año],'Utilización Convenios'!G$3,Tabla2[Nivel Nominación],"Undergraduate / Bachelor")</f>
        <v>0</v>
      </c>
      <c r="I35" s="22">
        <f>COUNTIFS(Tabla1[Tipo de Movilidad],"Intercambio*",Tabla1[Universidad KPIs],'Utilización Convenios'!$C35,Tabla1[Año de Movilidad],'Utilización Convenios'!I$3,Tabla1[Nivel],"Pregrado")</f>
        <v>0</v>
      </c>
      <c r="J35" s="23">
        <f>COUNTIFS(Tabla2[Tipo de Movilidad],"Intercambio*",Tabla2[Universidad KPIs],'Utilización Convenios'!$C35,Tabla2[Año],'Utilización Convenios'!I$3,Tabla2[Nivel Nominación],"Undergraduate / Bachelor")</f>
        <v>0</v>
      </c>
      <c r="K35" s="22">
        <f>COUNTIFS(Tabla1[Tipo de Movilidad],"Intercambio*",Tabla1[Universidad KPIs],'Utilización Convenios'!$C35,Tabla1[Año de Movilidad],'Utilización Convenios'!K$3,Tabla1[Nivel],"Pregrado")</f>
        <v>2</v>
      </c>
      <c r="L35" s="23">
        <f>COUNTIFS(Tabla2[Tipo de Movilidad],"Intercambio*",Tabla2[Universidad KPIs],'Utilización Convenios'!$C35,Tabla2[Año],'Utilización Convenios'!K$3,Tabla2[Nivel Nominación],"Undergraduate / Bachelor")</f>
        <v>0</v>
      </c>
      <c r="M35" s="22">
        <f>COUNTIFS(Tabla1[Tipo de Movilidad],"Intercambio*",Tabla1[Universidad KPIs],'Utilización Convenios'!$C35,Tabla1[Año de Movilidad],'Utilización Convenios'!M$3,Tabla1[Nivel],"Pregrado")</f>
        <v>1</v>
      </c>
      <c r="N35" s="57">
        <f>COUNTIFS(Tabla2[Tipo de Movilidad],"Intercambio*",Tabla2[Universidad KPIs],'Utilización Convenios'!$C35,Tabla2[Año],'Utilización Convenios'!M$3,Tabla2[Nivel Nominación],"Undergraduate / Bachelor")</f>
        <v>1</v>
      </c>
      <c r="O35" s="22">
        <f>COUNTIFS(Tabla1[Tipo de Movilidad],"Intercambio*",Tabla1[Universidad KPIs],'Utilización Convenios'!$C35,Tabla1[Año de Movilidad],'Utilización Convenios'!O$3,Tabla1[Nivel],"Pregrado")</f>
        <v>0</v>
      </c>
      <c r="P35" s="57">
        <f>COUNTIFS(Tabla2[Tipo de Movilidad],"Intercambio*",Tabla2[Universidad KPIs],'Utilización Convenios'!$C35,Tabla2[Año],'Utilización Convenios'!O$3,Tabla2[Nivel Nominación],"Undergraduate / Bachelor")</f>
        <v>0</v>
      </c>
      <c r="Q35" s="73">
        <f t="shared" si="0"/>
        <v>3</v>
      </c>
      <c r="R35" s="74">
        <f t="shared" si="0"/>
        <v>1</v>
      </c>
    </row>
    <row r="36" spans="2:18">
      <c r="B36" s="246"/>
      <c r="C36" s="130" t="s">
        <v>99</v>
      </c>
      <c r="D36" s="137" t="s">
        <v>61</v>
      </c>
      <c r="E36" s="132">
        <f>COUNTIFS(Tabla1[Tipo de Movilidad],"Intercambio*",Tabla1[Universidad KPIs],'Utilización Convenios'!$C36,Tabla1[Año de Movilidad],'Utilización Convenios'!E$3,Tabla1[Nivel],"Pregrado")</f>
        <v>1</v>
      </c>
      <c r="F36" s="23">
        <f>COUNTIFS(Tabla2[Tipo de Movilidad],"Intercambio*",Tabla2[Universidad KPIs],'Utilización Convenios'!$C36,Tabla2[Año],'Utilización Convenios'!E$3,Tabla2[Nivel Nominación],"Undergraduate / Bachelor")</f>
        <v>0</v>
      </c>
      <c r="G36" s="22">
        <f>COUNTIFS(Tabla1[Tipo de Movilidad],"Intercambio*",Tabla1[Universidad KPIs],'Utilización Convenios'!$C36,Tabla1[Año de Movilidad],'Utilización Convenios'!G$3,Tabla1[Nivel],"Pregrado")</f>
        <v>2</v>
      </c>
      <c r="H36" s="23">
        <f>COUNTIFS(Tabla2[Tipo de Movilidad],"Intercambio*",Tabla2[Universidad KPIs],'Utilización Convenios'!$C36,Tabla2[Año],'Utilización Convenios'!G$3,Tabla2[Nivel Nominación],"Undergraduate / Bachelor")</f>
        <v>0</v>
      </c>
      <c r="I36" s="22">
        <f>COUNTIFS(Tabla1[Tipo de Movilidad],"Intercambio*",Tabla1[Universidad KPIs],'Utilización Convenios'!$C36,Tabla1[Año de Movilidad],'Utilización Convenios'!I$3,Tabla1[Nivel],"Pregrado")</f>
        <v>0</v>
      </c>
      <c r="J36" s="23">
        <f>COUNTIFS(Tabla2[Tipo de Movilidad],"Intercambio*",Tabla2[Universidad KPIs],'Utilización Convenios'!$C36,Tabla2[Año],'Utilización Convenios'!I$3,Tabla2[Nivel Nominación],"Undergraduate / Bachelor")</f>
        <v>2</v>
      </c>
      <c r="K36" s="22">
        <f>COUNTIFS(Tabla1[Tipo de Movilidad],"Intercambio*",Tabla1[Universidad KPIs],'Utilización Convenios'!$C36,Tabla1[Año de Movilidad],'Utilización Convenios'!K$3,Tabla1[Nivel],"Pregrado")</f>
        <v>4</v>
      </c>
      <c r="L36" s="23">
        <f>COUNTIFS(Tabla2[Tipo de Movilidad],"Intercambio*",Tabla2[Universidad KPIs],'Utilización Convenios'!$C36,Tabla2[Año],'Utilización Convenios'!K$3,Tabla2[Nivel Nominación],"Undergraduate / Bachelor")</f>
        <v>4</v>
      </c>
      <c r="M36" s="22">
        <f>COUNTIFS(Tabla1[Tipo de Movilidad],"Intercambio*",Tabla1[Universidad KPIs],'Utilización Convenios'!$C36,Tabla1[Año de Movilidad],'Utilización Convenios'!M$3,Tabla1[Nivel],"Pregrado")</f>
        <v>3</v>
      </c>
      <c r="N36" s="57">
        <f>COUNTIFS(Tabla2[Tipo de Movilidad],"Intercambio*",Tabla2[Universidad KPIs],'Utilización Convenios'!$C36,Tabla2[Año],'Utilización Convenios'!M$3,Tabla2[Nivel Nominación],"Undergraduate / Bachelor")</f>
        <v>0</v>
      </c>
      <c r="O36" s="22">
        <f>COUNTIFS(Tabla1[Tipo de Movilidad],"Intercambio*",Tabla1[Universidad KPIs],'Utilización Convenios'!$C36,Tabla1[Año de Movilidad],'Utilización Convenios'!O$3,Tabla1[Nivel],"Pregrado")</f>
        <v>1</v>
      </c>
      <c r="P36" s="57">
        <f>COUNTIFS(Tabla2[Tipo de Movilidad],"Intercambio*",Tabla2[Universidad KPIs],'Utilización Convenios'!$C36,Tabla2[Año],'Utilización Convenios'!O$3,Tabla2[Nivel Nominación],"Undergraduate / Bachelor")</f>
        <v>0</v>
      </c>
      <c r="Q36" s="73">
        <f t="shared" si="0"/>
        <v>11</v>
      </c>
      <c r="R36" s="74">
        <f t="shared" si="0"/>
        <v>6</v>
      </c>
    </row>
    <row r="37" spans="2:18">
      <c r="B37" s="246"/>
      <c r="C37" s="130" t="s">
        <v>100</v>
      </c>
      <c r="D37" s="137" t="s">
        <v>101</v>
      </c>
      <c r="E37" s="132">
        <f>COUNTIFS(Tabla1[Tipo de Movilidad],"Intercambio*",Tabla1[Universidad KPIs],'Utilización Convenios'!$C37,Tabla1[Año de Movilidad],'Utilización Convenios'!E$3,Tabla1[Nivel],"Pregrado")</f>
        <v>0</v>
      </c>
      <c r="F37" s="23">
        <f>COUNTIFS(Tabla2[Tipo de Movilidad],"Intercambio*",Tabla2[Universidad KPIs],'Utilización Convenios'!$C37,Tabla2[Año],'Utilización Convenios'!E$3,Tabla2[Nivel Nominación],"Undergraduate / Bachelor")</f>
        <v>0</v>
      </c>
      <c r="G37" s="22">
        <f>COUNTIFS(Tabla1[Tipo de Movilidad],"Intercambio*",Tabla1[Universidad KPIs],'Utilización Convenios'!$C37,Tabla1[Año de Movilidad],'Utilización Convenios'!G$3,Tabla1[Nivel],"Pregrado")</f>
        <v>1</v>
      </c>
      <c r="H37" s="23">
        <f>COUNTIFS(Tabla2[Tipo de Movilidad],"Intercambio*",Tabla2[Universidad KPIs],'Utilización Convenios'!$C37,Tabla2[Año],'Utilización Convenios'!G$3,Tabla2[Nivel Nominación],"Undergraduate / Bachelor")</f>
        <v>0</v>
      </c>
      <c r="I37" s="22">
        <f>COUNTIFS(Tabla1[Tipo de Movilidad],"Intercambio*",Tabla1[Universidad KPIs],'Utilización Convenios'!$C37,Tabla1[Año de Movilidad],'Utilización Convenios'!I$3,Tabla1[Nivel],"Pregrado")</f>
        <v>0</v>
      </c>
      <c r="J37" s="23">
        <f>COUNTIFS(Tabla2[Tipo de Movilidad],"Intercambio*",Tabla2[Universidad KPIs],'Utilización Convenios'!$C37,Tabla2[Año],'Utilización Convenios'!I$3,Tabla2[Nivel Nominación],"Undergraduate / Bachelor")</f>
        <v>0</v>
      </c>
      <c r="K37" s="22">
        <f>COUNTIFS(Tabla1[Tipo de Movilidad],"Intercambio*",Tabla1[Universidad KPIs],'Utilización Convenios'!$C37,Tabla1[Año de Movilidad],'Utilización Convenios'!K$3,Tabla1[Nivel],"Pregrado")</f>
        <v>3</v>
      </c>
      <c r="L37" s="23">
        <f>COUNTIFS(Tabla2[Tipo de Movilidad],"Intercambio*",Tabla2[Universidad KPIs],'Utilización Convenios'!$C37,Tabla2[Año],'Utilización Convenios'!K$3,Tabla2[Nivel Nominación],"Undergraduate / Bachelor")</f>
        <v>0</v>
      </c>
      <c r="M37" s="22">
        <f>COUNTIFS(Tabla1[Tipo de Movilidad],"Intercambio*",Tabla1[Universidad KPIs],'Utilización Convenios'!$C37,Tabla1[Año de Movilidad],'Utilización Convenios'!M$3,Tabla1[Nivel],"Pregrado")</f>
        <v>2</v>
      </c>
      <c r="N37" s="57">
        <f>COUNTIFS(Tabla2[Tipo de Movilidad],"Intercambio*",Tabla2[Universidad KPIs],'Utilización Convenios'!$C37,Tabla2[Año],'Utilización Convenios'!M$3,Tabla2[Nivel Nominación],"Undergraduate / Bachelor")</f>
        <v>0</v>
      </c>
      <c r="O37" s="22">
        <f>COUNTIFS(Tabla1[Tipo de Movilidad],"Intercambio*",Tabla1[Universidad KPIs],'Utilización Convenios'!$C37,Tabla1[Año de Movilidad],'Utilización Convenios'!O$3,Tabla1[Nivel],"Pregrado")</f>
        <v>0</v>
      </c>
      <c r="P37" s="57">
        <f>COUNTIFS(Tabla2[Tipo de Movilidad],"Intercambio*",Tabla2[Universidad KPIs],'Utilización Convenios'!$C37,Tabla2[Año],'Utilización Convenios'!O$3,Tabla2[Nivel Nominación],"Undergraduate / Bachelor")</f>
        <v>0</v>
      </c>
      <c r="Q37" s="73">
        <f t="shared" si="0"/>
        <v>6</v>
      </c>
      <c r="R37" s="74">
        <f t="shared" si="0"/>
        <v>0</v>
      </c>
    </row>
    <row r="38" spans="2:18">
      <c r="B38" s="246"/>
      <c r="C38" s="130" t="s">
        <v>102</v>
      </c>
      <c r="D38" s="137" t="s">
        <v>103</v>
      </c>
      <c r="E38" s="132">
        <f>COUNTIFS(Tabla1[Tipo de Movilidad],"Intercambio*",Tabla1[Universidad KPIs],'Utilización Convenios'!$C38,Tabla1[Año de Movilidad],'Utilización Convenios'!E$3,Tabla1[Nivel],"Pregrado")</f>
        <v>0</v>
      </c>
      <c r="F38" s="23">
        <f>COUNTIFS(Tabla2[Tipo de Movilidad],"Intercambio*",Tabla2[Universidad KPIs],'Utilización Convenios'!$C38,Tabla2[Año],'Utilización Convenios'!E$3,Tabla2[Nivel Nominación],"Undergraduate / Bachelor")</f>
        <v>0</v>
      </c>
      <c r="G38" s="22">
        <f>COUNTIFS(Tabla1[Tipo de Movilidad],"Intercambio*",Tabla1[Universidad KPIs],'Utilización Convenios'!$C38,Tabla1[Año de Movilidad],'Utilización Convenios'!G$3,Tabla1[Nivel],"Pregrado")</f>
        <v>0</v>
      </c>
      <c r="H38" s="23">
        <f>COUNTIFS(Tabla2[Tipo de Movilidad],"Intercambio*",Tabla2[Universidad KPIs],'Utilización Convenios'!$C38,Tabla2[Año],'Utilización Convenios'!G$3,Tabla2[Nivel Nominación],"Undergraduate / Bachelor")</f>
        <v>1</v>
      </c>
      <c r="I38" s="22">
        <f>COUNTIFS(Tabla1[Tipo de Movilidad],"Intercambio*",Tabla1[Universidad KPIs],'Utilización Convenios'!$C38,Tabla1[Año de Movilidad],'Utilización Convenios'!I$3,Tabla1[Nivel],"Pregrado")</f>
        <v>0</v>
      </c>
      <c r="J38" s="23">
        <f>COUNTIFS(Tabla2[Tipo de Movilidad],"Intercambio*",Tabla2[Universidad KPIs],'Utilización Convenios'!$C38,Tabla2[Año],'Utilización Convenios'!I$3,Tabla2[Nivel Nominación],"Undergraduate / Bachelor")</f>
        <v>1</v>
      </c>
      <c r="K38" s="22">
        <f>COUNTIFS(Tabla1[Tipo de Movilidad],"Intercambio*",Tabla1[Universidad KPIs],'Utilización Convenios'!$C38,Tabla1[Año de Movilidad],'Utilización Convenios'!K$3,Tabla1[Nivel],"Pregrado")</f>
        <v>6</v>
      </c>
      <c r="L38" s="23">
        <f>COUNTIFS(Tabla2[Tipo de Movilidad],"Intercambio*",Tabla2[Universidad KPIs],'Utilización Convenios'!$C38,Tabla2[Año],'Utilización Convenios'!K$3,Tabla2[Nivel Nominación],"Undergraduate / Bachelor")</f>
        <v>1</v>
      </c>
      <c r="M38" s="22">
        <f>COUNTIFS(Tabla1[Tipo de Movilidad],"Intercambio*",Tabla1[Universidad KPIs],'Utilización Convenios'!$C38,Tabla1[Año de Movilidad],'Utilización Convenios'!M$3,Tabla1[Nivel],"Pregrado")</f>
        <v>4</v>
      </c>
      <c r="N38" s="57">
        <f>COUNTIFS(Tabla2[Tipo de Movilidad],"Intercambio*",Tabla2[Universidad KPIs],'Utilización Convenios'!$C38,Tabla2[Año],'Utilización Convenios'!M$3,Tabla2[Nivel Nominación],"Undergraduate / Bachelor")</f>
        <v>2</v>
      </c>
      <c r="O38" s="22">
        <f>COUNTIFS(Tabla1[Tipo de Movilidad],"Intercambio*",Tabla1[Universidad KPIs],'Utilización Convenios'!$C38,Tabla1[Año de Movilidad],'Utilización Convenios'!O$3,Tabla1[Nivel],"Pregrado")</f>
        <v>0</v>
      </c>
      <c r="P38" s="57">
        <f>COUNTIFS(Tabla2[Tipo de Movilidad],"Intercambio*",Tabla2[Universidad KPIs],'Utilización Convenios'!$C38,Tabla2[Año],'Utilización Convenios'!O$3,Tabla2[Nivel Nominación],"Undergraduate / Bachelor")</f>
        <v>1</v>
      </c>
      <c r="Q38" s="73">
        <f t="shared" ref="Q38:R69" si="1">SUMIF($E$4:$P$4,Q$4,$E38:$P38)</f>
        <v>10</v>
      </c>
      <c r="R38" s="74">
        <f t="shared" si="1"/>
        <v>6</v>
      </c>
    </row>
    <row r="39" spans="2:18">
      <c r="B39" s="246"/>
      <c r="C39" s="130" t="s">
        <v>104</v>
      </c>
      <c r="D39" s="137" t="s">
        <v>74</v>
      </c>
      <c r="E39" s="132">
        <f>COUNTIFS(Tabla1[Tipo de Movilidad],"Intercambio*",Tabla1[Universidad KPIs],'Utilización Convenios'!$C39,Tabla1[Año de Movilidad],'Utilización Convenios'!E$3,Tabla1[Nivel],"Pregrado")</f>
        <v>0</v>
      </c>
      <c r="F39" s="23">
        <f>COUNTIFS(Tabla2[Tipo de Movilidad],"Intercambio*",Tabla2[Universidad KPIs],'Utilización Convenios'!$C39,Tabla2[Año],'Utilización Convenios'!E$3,Tabla2[Nivel Nominación],"Undergraduate / Bachelor")</f>
        <v>1</v>
      </c>
      <c r="G39" s="22">
        <f>COUNTIFS(Tabla1[Tipo de Movilidad],"Intercambio*",Tabla1[Universidad KPIs],'Utilización Convenios'!$C39,Tabla1[Año de Movilidad],'Utilización Convenios'!G$3,Tabla1[Nivel],"Pregrado")</f>
        <v>0</v>
      </c>
      <c r="H39" s="23">
        <f>COUNTIFS(Tabla2[Tipo de Movilidad],"Intercambio*",Tabla2[Universidad KPIs],'Utilización Convenios'!$C39,Tabla2[Año],'Utilización Convenios'!G$3,Tabla2[Nivel Nominación],"Undergraduate / Bachelor")</f>
        <v>0</v>
      </c>
      <c r="I39" s="22">
        <f>COUNTIFS(Tabla1[Tipo de Movilidad],"Intercambio*",Tabla1[Universidad KPIs],'Utilización Convenios'!$C39,Tabla1[Año de Movilidad],'Utilización Convenios'!I$3,Tabla1[Nivel],"Pregrado")</f>
        <v>2</v>
      </c>
      <c r="J39" s="23">
        <f>COUNTIFS(Tabla2[Tipo de Movilidad],"Intercambio*",Tabla2[Universidad KPIs],'Utilización Convenios'!$C39,Tabla2[Año],'Utilización Convenios'!I$3,Tabla2[Nivel Nominación],"Undergraduate / Bachelor")</f>
        <v>0</v>
      </c>
      <c r="K39" s="22">
        <f>COUNTIFS(Tabla1[Tipo de Movilidad],"Intercambio*",Tabla1[Universidad KPIs],'Utilización Convenios'!$C39,Tabla1[Año de Movilidad],'Utilización Convenios'!K$3,Tabla1[Nivel],"Pregrado")</f>
        <v>2</v>
      </c>
      <c r="L39" s="23">
        <f>COUNTIFS(Tabla2[Tipo de Movilidad],"Intercambio*",Tabla2[Universidad KPIs],'Utilización Convenios'!$C39,Tabla2[Año],'Utilización Convenios'!K$3,Tabla2[Nivel Nominación],"Undergraduate / Bachelor")</f>
        <v>0</v>
      </c>
      <c r="M39" s="22">
        <f>COUNTIFS(Tabla1[Tipo de Movilidad],"Intercambio*",Tabla1[Universidad KPIs],'Utilización Convenios'!$C39,Tabla1[Año de Movilidad],'Utilización Convenios'!M$3,Tabla1[Nivel],"Pregrado")</f>
        <v>0</v>
      </c>
      <c r="N39" s="57">
        <f>COUNTIFS(Tabla2[Tipo de Movilidad],"Intercambio*",Tabla2[Universidad KPIs],'Utilización Convenios'!$C39,Tabla2[Año],'Utilización Convenios'!M$3,Tabla2[Nivel Nominación],"Undergraduate / Bachelor")</f>
        <v>0</v>
      </c>
      <c r="O39" s="22">
        <f>COUNTIFS(Tabla1[Tipo de Movilidad],"Intercambio*",Tabla1[Universidad KPIs],'Utilización Convenios'!$C39,Tabla1[Año de Movilidad],'Utilización Convenios'!O$3,Tabla1[Nivel],"Pregrado")</f>
        <v>0</v>
      </c>
      <c r="P39" s="57">
        <f>COUNTIFS(Tabla2[Tipo de Movilidad],"Intercambio*",Tabla2[Universidad KPIs],'Utilización Convenios'!$C39,Tabla2[Año],'Utilización Convenios'!O$3,Tabla2[Nivel Nominación],"Undergraduate / Bachelor")</f>
        <v>0</v>
      </c>
      <c r="Q39" s="73">
        <f t="shared" si="1"/>
        <v>4</v>
      </c>
      <c r="R39" s="74">
        <f t="shared" si="1"/>
        <v>1</v>
      </c>
    </row>
    <row r="40" spans="2:18">
      <c r="B40" s="246"/>
      <c r="C40" s="130" t="s">
        <v>105</v>
      </c>
      <c r="D40" s="137" t="s">
        <v>106</v>
      </c>
      <c r="E40" s="132">
        <f>COUNTIFS(Tabla1[Tipo de Movilidad],"Intercambio*",Tabla1[Universidad KPIs],'Utilización Convenios'!$C40,Tabla1[Año de Movilidad],'Utilización Convenios'!E$3,Tabla1[Nivel],"Pregrado")</f>
        <v>0</v>
      </c>
      <c r="F40" s="23">
        <f>COUNTIFS(Tabla2[Tipo de Movilidad],"Intercambio*",Tabla2[Universidad KPIs],'Utilización Convenios'!$C40,Tabla2[Año],'Utilización Convenios'!E$3,Tabla2[Nivel Nominación],"Undergraduate / Bachelor")</f>
        <v>0</v>
      </c>
      <c r="G40" s="22">
        <f>COUNTIFS(Tabla1[Tipo de Movilidad],"Intercambio*",Tabla1[Universidad KPIs],'Utilización Convenios'!$C40,Tabla1[Año de Movilidad],'Utilización Convenios'!G$3,Tabla1[Nivel],"Pregrado")</f>
        <v>0</v>
      </c>
      <c r="H40" s="23">
        <f>COUNTIFS(Tabla2[Tipo de Movilidad],"Intercambio*",Tabla2[Universidad KPIs],'Utilización Convenios'!$C40,Tabla2[Año],'Utilización Convenios'!G$3,Tabla2[Nivel Nominación],"Undergraduate / Bachelor")</f>
        <v>0</v>
      </c>
      <c r="I40" s="22">
        <f>COUNTIFS(Tabla1[Tipo de Movilidad],"Intercambio*",Tabla1[Universidad KPIs],'Utilización Convenios'!$C40,Tabla1[Año de Movilidad],'Utilización Convenios'!I$3,Tabla1[Nivel],"Pregrado")</f>
        <v>0</v>
      </c>
      <c r="J40" s="23">
        <f>COUNTIFS(Tabla2[Tipo de Movilidad],"Intercambio*",Tabla2[Universidad KPIs],'Utilización Convenios'!$C40,Tabla2[Año],'Utilización Convenios'!I$3,Tabla2[Nivel Nominación],"Undergraduate / Bachelor")</f>
        <v>0</v>
      </c>
      <c r="K40" s="22">
        <f>COUNTIFS(Tabla1[Tipo de Movilidad],"Intercambio*",Tabla1[Universidad KPIs],'Utilización Convenios'!$C40,Tabla1[Año de Movilidad],'Utilización Convenios'!K$3,Tabla1[Nivel],"Pregrado")</f>
        <v>1</v>
      </c>
      <c r="L40" s="23">
        <f>COUNTIFS(Tabla2[Tipo de Movilidad],"Intercambio*",Tabla2[Universidad KPIs],'Utilización Convenios'!$C40,Tabla2[Año],'Utilización Convenios'!K$3,Tabla2[Nivel Nominación],"Undergraduate / Bachelor")</f>
        <v>0</v>
      </c>
      <c r="M40" s="22">
        <f>COUNTIFS(Tabla1[Tipo de Movilidad],"Intercambio*",Tabla1[Universidad KPIs],'Utilización Convenios'!$C40,Tabla1[Año de Movilidad],'Utilización Convenios'!M$3,Tabla1[Nivel],"Pregrado")</f>
        <v>2</v>
      </c>
      <c r="N40" s="57">
        <f>COUNTIFS(Tabla2[Tipo de Movilidad],"Intercambio*",Tabla2[Universidad KPIs],'Utilización Convenios'!$C40,Tabla2[Año],'Utilización Convenios'!M$3,Tabla2[Nivel Nominación],"Undergraduate / Bachelor")</f>
        <v>0</v>
      </c>
      <c r="O40" s="22">
        <f>COUNTIFS(Tabla1[Tipo de Movilidad],"Intercambio*",Tabla1[Universidad KPIs],'Utilización Convenios'!$C40,Tabla1[Año de Movilidad],'Utilización Convenios'!O$3,Tabla1[Nivel],"Pregrado")</f>
        <v>2</v>
      </c>
      <c r="P40" s="57">
        <f>COUNTIFS(Tabla2[Tipo de Movilidad],"Intercambio*",Tabla2[Universidad KPIs],'Utilización Convenios'!$C40,Tabla2[Año],'Utilización Convenios'!O$3,Tabla2[Nivel Nominación],"Undergraduate / Bachelor")</f>
        <v>0</v>
      </c>
      <c r="Q40" s="73">
        <f t="shared" si="1"/>
        <v>5</v>
      </c>
      <c r="R40" s="74">
        <f t="shared" si="1"/>
        <v>0</v>
      </c>
    </row>
    <row r="41" spans="2:18">
      <c r="B41" s="246"/>
      <c r="C41" s="130" t="s">
        <v>107</v>
      </c>
      <c r="D41" s="137" t="s">
        <v>57</v>
      </c>
      <c r="E41" s="132">
        <f>COUNTIFS(Tabla1[Tipo de Movilidad],"Intercambio*",Tabla1[Universidad KPIs],'Utilización Convenios'!$C41,Tabla1[Año de Movilidad],'Utilización Convenios'!E$3,Tabla1[Nivel],"Pregrado")</f>
        <v>3</v>
      </c>
      <c r="F41" s="23">
        <f>COUNTIFS(Tabla2[Tipo de Movilidad],"Intercambio*",Tabla2[Universidad KPIs],'Utilización Convenios'!$C41,Tabla2[Año],'Utilización Convenios'!E$3,Tabla2[Nivel Nominación],"Undergraduate / Bachelor")</f>
        <v>3</v>
      </c>
      <c r="G41" s="22">
        <f>COUNTIFS(Tabla1[Tipo de Movilidad],"Intercambio*",Tabla1[Universidad KPIs],'Utilización Convenios'!$C41,Tabla1[Año de Movilidad],'Utilización Convenios'!G$3,Tabla1[Nivel],"Pregrado")</f>
        <v>2</v>
      </c>
      <c r="H41" s="23">
        <f>COUNTIFS(Tabla2[Tipo de Movilidad],"Intercambio*",Tabla2[Universidad KPIs],'Utilización Convenios'!$C41,Tabla2[Año],'Utilización Convenios'!G$3,Tabla2[Nivel Nominación],"Undergraduate / Bachelor")</f>
        <v>2</v>
      </c>
      <c r="I41" s="22">
        <f>COUNTIFS(Tabla1[Tipo de Movilidad],"Intercambio*",Tabla1[Universidad KPIs],'Utilización Convenios'!$C41,Tabla1[Año de Movilidad],'Utilización Convenios'!I$3,Tabla1[Nivel],"Pregrado")</f>
        <v>5</v>
      </c>
      <c r="J41" s="23">
        <f>COUNTIFS(Tabla2[Tipo de Movilidad],"Intercambio*",Tabla2[Universidad KPIs],'Utilización Convenios'!$C41,Tabla2[Año],'Utilización Convenios'!I$3,Tabla2[Nivel Nominación],"Undergraduate / Bachelor")</f>
        <v>4</v>
      </c>
      <c r="K41" s="22">
        <f>COUNTIFS(Tabla1[Tipo de Movilidad],"Intercambio*",Tabla1[Universidad KPIs],'Utilización Convenios'!$C41,Tabla1[Año de Movilidad],'Utilización Convenios'!K$3,Tabla1[Nivel],"Pregrado")</f>
        <v>5</v>
      </c>
      <c r="L41" s="23">
        <f>COUNTIFS(Tabla2[Tipo de Movilidad],"Intercambio*",Tabla2[Universidad KPIs],'Utilización Convenios'!$C41,Tabla2[Año],'Utilización Convenios'!K$3,Tabla2[Nivel Nominación],"Undergraduate / Bachelor")</f>
        <v>0</v>
      </c>
      <c r="M41" s="22">
        <f>COUNTIFS(Tabla1[Tipo de Movilidad],"Intercambio*",Tabla1[Universidad KPIs],'Utilización Convenios'!$C41,Tabla1[Año de Movilidad],'Utilización Convenios'!M$3,Tabla1[Nivel],"Pregrado")</f>
        <v>3</v>
      </c>
      <c r="N41" s="57">
        <f>COUNTIFS(Tabla2[Tipo de Movilidad],"Intercambio*",Tabla2[Universidad KPIs],'Utilización Convenios'!$C41,Tabla2[Año],'Utilización Convenios'!M$3,Tabla2[Nivel Nominación],"Undergraduate / Bachelor")</f>
        <v>0</v>
      </c>
      <c r="O41" s="22">
        <f>COUNTIFS(Tabla1[Tipo de Movilidad],"Intercambio*",Tabla1[Universidad KPIs],'Utilización Convenios'!$C41,Tabla1[Año de Movilidad],'Utilización Convenios'!O$3,Tabla1[Nivel],"Pregrado")</f>
        <v>2</v>
      </c>
      <c r="P41" s="57">
        <f>COUNTIFS(Tabla2[Tipo de Movilidad],"Intercambio*",Tabla2[Universidad KPIs],'Utilización Convenios'!$C41,Tabla2[Año],'Utilización Convenios'!O$3,Tabla2[Nivel Nominación],"Undergraduate / Bachelor")</f>
        <v>0</v>
      </c>
      <c r="Q41" s="73">
        <f t="shared" si="1"/>
        <v>20</v>
      </c>
      <c r="R41" s="74">
        <f t="shared" si="1"/>
        <v>9</v>
      </c>
    </row>
    <row r="42" spans="2:18">
      <c r="B42" s="246"/>
      <c r="C42" s="130" t="s">
        <v>108</v>
      </c>
      <c r="D42" s="137" t="s">
        <v>109</v>
      </c>
      <c r="E42" s="132">
        <f>COUNTIFS(Tabla1[Tipo de Movilidad],"Intercambio*",Tabla1[Universidad KPIs],'Utilización Convenios'!$C42,Tabla1[Año de Movilidad],'Utilización Convenios'!E$3,Tabla1[Nivel],"Pregrado")</f>
        <v>0</v>
      </c>
      <c r="F42" s="23">
        <f>COUNTIFS(Tabla2[Tipo de Movilidad],"Intercambio*",Tabla2[Universidad KPIs],'Utilización Convenios'!$C42,Tabla2[Año],'Utilización Convenios'!E$3,Tabla2[Nivel Nominación],"Undergraduate / Bachelor")</f>
        <v>0</v>
      </c>
      <c r="G42" s="22">
        <f>COUNTIFS(Tabla1[Tipo de Movilidad],"Intercambio*",Tabla1[Universidad KPIs],'Utilización Convenios'!$C42,Tabla1[Año de Movilidad],'Utilización Convenios'!G$3,Tabla1[Nivel],"Pregrado")</f>
        <v>0</v>
      </c>
      <c r="H42" s="23">
        <f>COUNTIFS(Tabla2[Tipo de Movilidad],"Intercambio*",Tabla2[Universidad KPIs],'Utilización Convenios'!$C42,Tabla2[Año],'Utilización Convenios'!G$3,Tabla2[Nivel Nominación],"Undergraduate / Bachelor")</f>
        <v>0</v>
      </c>
      <c r="I42" s="22">
        <f>COUNTIFS(Tabla1[Tipo de Movilidad],"Intercambio*",Tabla1[Universidad KPIs],'Utilización Convenios'!$C42,Tabla1[Año de Movilidad],'Utilización Convenios'!I$3,Tabla1[Nivel],"Pregrado")</f>
        <v>0</v>
      </c>
      <c r="J42" s="23">
        <f>COUNTIFS(Tabla2[Tipo de Movilidad],"Intercambio*",Tabla2[Universidad KPIs],'Utilización Convenios'!$C42,Tabla2[Año],'Utilización Convenios'!I$3,Tabla2[Nivel Nominación],"Undergraduate / Bachelor")</f>
        <v>0</v>
      </c>
      <c r="K42" s="22">
        <f>COUNTIFS(Tabla1[Tipo de Movilidad],"Intercambio*",Tabla1[Universidad KPIs],'Utilización Convenios'!$C42,Tabla1[Año de Movilidad],'Utilización Convenios'!K$3,Tabla1[Nivel],"Pregrado")</f>
        <v>1</v>
      </c>
      <c r="L42" s="23">
        <f>COUNTIFS(Tabla2[Tipo de Movilidad],"Intercambio*",Tabla2[Universidad KPIs],'Utilización Convenios'!$C42,Tabla2[Año],'Utilización Convenios'!K$3,Tabla2[Nivel Nominación],"Undergraduate / Bachelor")</f>
        <v>0</v>
      </c>
      <c r="M42" s="22">
        <f>COUNTIFS(Tabla1[Tipo de Movilidad],"Intercambio*",Tabla1[Universidad KPIs],'Utilización Convenios'!$C42,Tabla1[Año de Movilidad],'Utilización Convenios'!M$3,Tabla1[Nivel],"Pregrado")</f>
        <v>0</v>
      </c>
      <c r="N42" s="57">
        <f>COUNTIFS(Tabla2[Tipo de Movilidad],"Intercambio*",Tabla2[Universidad KPIs],'Utilización Convenios'!$C42,Tabla2[Año],'Utilización Convenios'!M$3,Tabla2[Nivel Nominación],"Undergraduate / Bachelor")</f>
        <v>0</v>
      </c>
      <c r="O42" s="22">
        <f>COUNTIFS(Tabla1[Tipo de Movilidad],"Intercambio*",Tabla1[Universidad KPIs],'Utilización Convenios'!$C42,Tabla1[Año de Movilidad],'Utilización Convenios'!O$3,Tabla1[Nivel],"Pregrado")</f>
        <v>0</v>
      </c>
      <c r="P42" s="57">
        <f>COUNTIFS(Tabla2[Tipo de Movilidad],"Intercambio*",Tabla2[Universidad KPIs],'Utilización Convenios'!$C42,Tabla2[Año],'Utilización Convenios'!O$3,Tabla2[Nivel Nominación],"Undergraduate / Bachelor")</f>
        <v>0</v>
      </c>
      <c r="Q42" s="73">
        <f t="shared" si="1"/>
        <v>1</v>
      </c>
      <c r="R42" s="74">
        <f t="shared" si="1"/>
        <v>0</v>
      </c>
    </row>
    <row r="43" spans="2:18">
      <c r="B43" s="246"/>
      <c r="C43" s="130" t="s">
        <v>110</v>
      </c>
      <c r="D43" s="137" t="s">
        <v>95</v>
      </c>
      <c r="E43" s="132">
        <f>COUNTIFS(Tabla1[Tipo de Movilidad],"Intercambio*",Tabla1[Universidad KPIs],'Utilización Convenios'!$C43,Tabla1[Año de Movilidad],'Utilización Convenios'!E$3,Tabla1[Nivel],"Pregrado")</f>
        <v>0</v>
      </c>
      <c r="F43" s="23">
        <f>COUNTIFS(Tabla2[Tipo de Movilidad],"Intercambio*",Tabla2[Universidad KPIs],'Utilización Convenios'!$C43,Tabla2[Año],'Utilización Convenios'!E$3,Tabla2[Nivel Nominación],"Undergraduate / Bachelor")</f>
        <v>0</v>
      </c>
      <c r="G43" s="22">
        <f>COUNTIFS(Tabla1[Tipo de Movilidad],"Intercambio*",Tabla1[Universidad KPIs],'Utilización Convenios'!$C43,Tabla1[Año de Movilidad],'Utilización Convenios'!G$3,Tabla1[Nivel],"Pregrado")</f>
        <v>0</v>
      </c>
      <c r="H43" s="23">
        <f>COUNTIFS(Tabla2[Tipo de Movilidad],"Intercambio*",Tabla2[Universidad KPIs],'Utilización Convenios'!$C43,Tabla2[Año],'Utilización Convenios'!G$3,Tabla2[Nivel Nominación],"Undergraduate / Bachelor")</f>
        <v>0</v>
      </c>
      <c r="I43" s="22">
        <f>COUNTIFS(Tabla1[Tipo de Movilidad],"Intercambio*",Tabla1[Universidad KPIs],'Utilización Convenios'!$C43,Tabla1[Año de Movilidad],'Utilización Convenios'!I$3,Tabla1[Nivel],"Pregrado")</f>
        <v>1</v>
      </c>
      <c r="J43" s="23">
        <f>COUNTIFS(Tabla2[Tipo de Movilidad],"Intercambio*",Tabla2[Universidad KPIs],'Utilización Convenios'!$C43,Tabla2[Año],'Utilización Convenios'!I$3,Tabla2[Nivel Nominación],"Undergraduate / Bachelor")</f>
        <v>0</v>
      </c>
      <c r="K43" s="22">
        <f>COUNTIFS(Tabla1[Tipo de Movilidad],"Intercambio*",Tabla1[Universidad KPIs],'Utilización Convenios'!$C43,Tabla1[Año de Movilidad],'Utilización Convenios'!K$3,Tabla1[Nivel],"Pregrado")</f>
        <v>2</v>
      </c>
      <c r="L43" s="23">
        <f>COUNTIFS(Tabla2[Tipo de Movilidad],"Intercambio*",Tabla2[Universidad KPIs],'Utilización Convenios'!$C43,Tabla2[Año],'Utilización Convenios'!K$3,Tabla2[Nivel Nominación],"Undergraduate / Bachelor")</f>
        <v>0</v>
      </c>
      <c r="M43" s="22">
        <f>COUNTIFS(Tabla1[Tipo de Movilidad],"Intercambio*",Tabla1[Universidad KPIs],'Utilización Convenios'!$C43,Tabla1[Año de Movilidad],'Utilización Convenios'!M$3,Tabla1[Nivel],"Pregrado")</f>
        <v>0</v>
      </c>
      <c r="N43" s="57">
        <f>COUNTIFS(Tabla2[Tipo de Movilidad],"Intercambio*",Tabla2[Universidad KPIs],'Utilización Convenios'!$C43,Tabla2[Año],'Utilización Convenios'!M$3,Tabla2[Nivel Nominación],"Undergraduate / Bachelor")</f>
        <v>2</v>
      </c>
      <c r="O43" s="22">
        <f>COUNTIFS(Tabla1[Tipo de Movilidad],"Intercambio*",Tabla1[Universidad KPIs],'Utilización Convenios'!$C43,Tabla1[Año de Movilidad],'Utilización Convenios'!O$3,Tabla1[Nivel],"Pregrado")</f>
        <v>1</v>
      </c>
      <c r="P43" s="57">
        <f>COUNTIFS(Tabla2[Tipo de Movilidad],"Intercambio*",Tabla2[Universidad KPIs],'Utilización Convenios'!$C43,Tabla2[Año],'Utilización Convenios'!O$3,Tabla2[Nivel Nominación],"Undergraduate / Bachelor")</f>
        <v>0</v>
      </c>
      <c r="Q43" s="73">
        <f t="shared" si="1"/>
        <v>4</v>
      </c>
      <c r="R43" s="74">
        <f t="shared" si="1"/>
        <v>2</v>
      </c>
    </row>
    <row r="44" spans="2:18">
      <c r="B44" s="246"/>
      <c r="C44" s="130" t="s">
        <v>111</v>
      </c>
      <c r="D44" s="137" t="s">
        <v>112</v>
      </c>
      <c r="E44" s="132">
        <f>COUNTIFS(Tabla1[Tipo de Movilidad],"Intercambio*",Tabla1[Universidad KPIs],'Utilización Convenios'!$C44,Tabla1[Año de Movilidad],'Utilización Convenios'!E$3,Tabla1[Nivel],"Pregrado")</f>
        <v>0</v>
      </c>
      <c r="F44" s="23">
        <f>COUNTIFS(Tabla2[Tipo de Movilidad],"Intercambio*",Tabla2[Universidad KPIs],'Utilización Convenios'!$C44,Tabla2[Año],'Utilización Convenios'!E$3,Tabla2[Nivel Nominación],"Undergraduate / Bachelor")</f>
        <v>0</v>
      </c>
      <c r="G44" s="22">
        <f>COUNTIFS(Tabla1[Tipo de Movilidad],"Intercambio*",Tabla1[Universidad KPIs],'Utilización Convenios'!$C44,Tabla1[Año de Movilidad],'Utilización Convenios'!G$3,Tabla1[Nivel],"Pregrado")</f>
        <v>0</v>
      </c>
      <c r="H44" s="23">
        <f>COUNTIFS(Tabla2[Tipo de Movilidad],"Intercambio*",Tabla2[Universidad KPIs],'Utilización Convenios'!$C44,Tabla2[Año],'Utilización Convenios'!G$3,Tabla2[Nivel Nominación],"Undergraduate / Bachelor")</f>
        <v>0</v>
      </c>
      <c r="I44" s="22">
        <f>COUNTIFS(Tabla1[Tipo de Movilidad],"Intercambio*",Tabla1[Universidad KPIs],'Utilización Convenios'!$C44,Tabla1[Año de Movilidad],'Utilización Convenios'!I$3,Tabla1[Nivel],"Pregrado")</f>
        <v>0</v>
      </c>
      <c r="J44" s="23">
        <f>COUNTIFS(Tabla2[Tipo de Movilidad],"Intercambio*",Tabla2[Universidad KPIs],'Utilización Convenios'!$C44,Tabla2[Año],'Utilización Convenios'!I$3,Tabla2[Nivel Nominación],"Undergraduate / Bachelor")</f>
        <v>0</v>
      </c>
      <c r="K44" s="22">
        <f>COUNTIFS(Tabla1[Tipo de Movilidad],"Intercambio*",Tabla1[Universidad KPIs],'Utilización Convenios'!$C44,Tabla1[Año de Movilidad],'Utilización Convenios'!K$3,Tabla1[Nivel],"Pregrado")</f>
        <v>1</v>
      </c>
      <c r="L44" s="23">
        <f>COUNTIFS(Tabla2[Tipo de Movilidad],"Intercambio*",Tabla2[Universidad KPIs],'Utilización Convenios'!$C44,Tabla2[Año],'Utilización Convenios'!K$3,Tabla2[Nivel Nominación],"Undergraduate / Bachelor")</f>
        <v>1</v>
      </c>
      <c r="M44" s="22">
        <f>COUNTIFS(Tabla1[Tipo de Movilidad],"Intercambio*",Tabla1[Universidad KPIs],'Utilización Convenios'!$C44,Tabla1[Año de Movilidad],'Utilización Convenios'!M$3,Tabla1[Nivel],"Pregrado")</f>
        <v>0</v>
      </c>
      <c r="N44" s="57">
        <f>COUNTIFS(Tabla2[Tipo de Movilidad],"Intercambio*",Tabla2[Universidad KPIs],'Utilización Convenios'!$C44,Tabla2[Año],'Utilización Convenios'!M$3,Tabla2[Nivel Nominación],"Undergraduate / Bachelor")</f>
        <v>1</v>
      </c>
      <c r="O44" s="22">
        <f>COUNTIFS(Tabla1[Tipo de Movilidad],"Intercambio*",Tabla1[Universidad KPIs],'Utilización Convenios'!$C44,Tabla1[Año de Movilidad],'Utilización Convenios'!O$3,Tabla1[Nivel],"Pregrado")</f>
        <v>0</v>
      </c>
      <c r="P44" s="57">
        <f>COUNTIFS(Tabla2[Tipo de Movilidad],"Intercambio*",Tabla2[Universidad KPIs],'Utilización Convenios'!$C44,Tabla2[Año],'Utilización Convenios'!O$3,Tabla2[Nivel Nominación],"Undergraduate / Bachelor")</f>
        <v>1</v>
      </c>
      <c r="Q44" s="73">
        <f t="shared" si="1"/>
        <v>1</v>
      </c>
      <c r="R44" s="74">
        <f t="shared" si="1"/>
        <v>3</v>
      </c>
    </row>
    <row r="45" spans="2:18">
      <c r="B45" s="246"/>
      <c r="C45" s="130" t="s">
        <v>113</v>
      </c>
      <c r="D45" s="137" t="s">
        <v>103</v>
      </c>
      <c r="E45" s="132">
        <f>COUNTIFS(Tabla1[Tipo de Movilidad],"Intercambio*",Tabla1[Universidad KPIs],'Utilización Convenios'!$C45,Tabla1[Año de Movilidad],'Utilización Convenios'!E$3,Tabla1[Nivel],"Pregrado")</f>
        <v>2</v>
      </c>
      <c r="F45" s="23">
        <f>COUNTIFS(Tabla2[Tipo de Movilidad],"Intercambio*",Tabla2[Universidad KPIs],'Utilización Convenios'!$C45,Tabla2[Año],'Utilización Convenios'!E$3,Tabla2[Nivel Nominación],"Undergraduate / Bachelor")</f>
        <v>0</v>
      </c>
      <c r="G45" s="22">
        <f>COUNTIFS(Tabla1[Tipo de Movilidad],"Intercambio*",Tabla1[Universidad KPIs],'Utilización Convenios'!$C45,Tabla1[Año de Movilidad],'Utilización Convenios'!G$3,Tabla1[Nivel],"Pregrado")</f>
        <v>0</v>
      </c>
      <c r="H45" s="23">
        <f>COUNTIFS(Tabla2[Tipo de Movilidad],"Intercambio*",Tabla2[Universidad KPIs],'Utilización Convenios'!$C45,Tabla2[Año],'Utilización Convenios'!G$3,Tabla2[Nivel Nominación],"Undergraduate / Bachelor")</f>
        <v>0</v>
      </c>
      <c r="I45" s="22">
        <f>COUNTIFS(Tabla1[Tipo de Movilidad],"Intercambio*",Tabla1[Universidad KPIs],'Utilización Convenios'!$C45,Tabla1[Año de Movilidad],'Utilización Convenios'!I$3,Tabla1[Nivel],"Pregrado")</f>
        <v>0</v>
      </c>
      <c r="J45" s="23">
        <f>COUNTIFS(Tabla2[Tipo de Movilidad],"Intercambio*",Tabla2[Universidad KPIs],'Utilización Convenios'!$C45,Tabla2[Año],'Utilización Convenios'!I$3,Tabla2[Nivel Nominación],"Undergraduate / Bachelor")</f>
        <v>0</v>
      </c>
      <c r="K45" s="22">
        <f>COUNTIFS(Tabla1[Tipo de Movilidad],"Intercambio*",Tabla1[Universidad KPIs],'Utilización Convenios'!$C45,Tabla1[Año de Movilidad],'Utilización Convenios'!K$3,Tabla1[Nivel],"Pregrado")</f>
        <v>0</v>
      </c>
      <c r="L45" s="23">
        <f>COUNTIFS(Tabla2[Tipo de Movilidad],"Intercambio*",Tabla2[Universidad KPIs],'Utilización Convenios'!$C45,Tabla2[Año],'Utilización Convenios'!K$3,Tabla2[Nivel Nominación],"Undergraduate / Bachelor")</f>
        <v>2</v>
      </c>
      <c r="M45" s="22">
        <f>COUNTIFS(Tabla1[Tipo de Movilidad],"Intercambio*",Tabla1[Universidad KPIs],'Utilización Convenios'!$C45,Tabla1[Año de Movilidad],'Utilización Convenios'!M$3,Tabla1[Nivel],"Pregrado")</f>
        <v>2</v>
      </c>
      <c r="N45" s="57">
        <f>COUNTIFS(Tabla2[Tipo de Movilidad],"Intercambio*",Tabla2[Universidad KPIs],'Utilización Convenios'!$C45,Tabla2[Año],'Utilización Convenios'!M$3,Tabla2[Nivel Nominación],"Undergraduate / Bachelor")</f>
        <v>3</v>
      </c>
      <c r="O45" s="22">
        <f>COUNTIFS(Tabla1[Tipo de Movilidad],"Intercambio*",Tabla1[Universidad KPIs],'Utilización Convenios'!$C45,Tabla1[Año de Movilidad],'Utilización Convenios'!O$3,Tabla1[Nivel],"Pregrado")</f>
        <v>1</v>
      </c>
      <c r="P45" s="57">
        <f>COUNTIFS(Tabla2[Tipo de Movilidad],"Intercambio*",Tabla2[Universidad KPIs],'Utilización Convenios'!$C45,Tabla2[Año],'Utilización Convenios'!O$3,Tabla2[Nivel Nominación],"Undergraduate / Bachelor")</f>
        <v>0</v>
      </c>
      <c r="Q45" s="73">
        <f t="shared" si="1"/>
        <v>5</v>
      </c>
      <c r="R45" s="74">
        <f t="shared" si="1"/>
        <v>5</v>
      </c>
    </row>
    <row r="46" spans="2:18">
      <c r="B46" s="246"/>
      <c r="C46" s="130" t="s">
        <v>114</v>
      </c>
      <c r="D46" s="137" t="s">
        <v>95</v>
      </c>
      <c r="E46" s="132">
        <f>COUNTIFS(Tabla1[Tipo de Movilidad],"Intercambio*",Tabla1[Universidad KPIs],'Utilización Convenios'!$C46,Tabla1[Año de Movilidad],'Utilización Convenios'!E$3,Tabla1[Nivel],"Pregrado")</f>
        <v>0</v>
      </c>
      <c r="F46" s="23">
        <f>COUNTIFS(Tabla2[Tipo de Movilidad],"Intercambio*",Tabla2[Universidad KPIs],'Utilización Convenios'!$C46,Tabla2[Año],'Utilización Convenios'!E$3,Tabla2[Nivel Nominación],"Undergraduate / Bachelor")</f>
        <v>0</v>
      </c>
      <c r="G46" s="22">
        <f>COUNTIFS(Tabla1[Tipo de Movilidad],"Intercambio*",Tabla1[Universidad KPIs],'Utilización Convenios'!$C46,Tabla1[Año de Movilidad],'Utilización Convenios'!G$3,Tabla1[Nivel],"Pregrado")</f>
        <v>0</v>
      </c>
      <c r="H46" s="23">
        <f>COUNTIFS(Tabla2[Tipo de Movilidad],"Intercambio*",Tabla2[Universidad KPIs],'Utilización Convenios'!$C46,Tabla2[Año],'Utilización Convenios'!G$3,Tabla2[Nivel Nominación],"Undergraduate / Bachelor")</f>
        <v>0</v>
      </c>
      <c r="I46" s="22">
        <f>COUNTIFS(Tabla1[Tipo de Movilidad],"Intercambio*",Tabla1[Universidad KPIs],'Utilización Convenios'!$C46,Tabla1[Año de Movilidad],'Utilización Convenios'!I$3,Tabla1[Nivel],"Pregrado")</f>
        <v>0</v>
      </c>
      <c r="J46" s="23">
        <f>COUNTIFS(Tabla2[Tipo de Movilidad],"Intercambio*",Tabla2[Universidad KPIs],'Utilización Convenios'!$C46,Tabla2[Año],'Utilización Convenios'!I$3,Tabla2[Nivel Nominación],"Undergraduate / Bachelor")</f>
        <v>1</v>
      </c>
      <c r="K46" s="22">
        <f>COUNTIFS(Tabla1[Tipo de Movilidad],"Intercambio*",Tabla1[Universidad KPIs],'Utilización Convenios'!$C46,Tabla1[Año de Movilidad],'Utilización Convenios'!K$3,Tabla1[Nivel],"Pregrado")</f>
        <v>0</v>
      </c>
      <c r="L46" s="23">
        <f>COUNTIFS(Tabla2[Tipo de Movilidad],"Intercambio*",Tabla2[Universidad KPIs],'Utilización Convenios'!$C46,Tabla2[Año],'Utilización Convenios'!K$3,Tabla2[Nivel Nominación],"Undergraduate / Bachelor")</f>
        <v>1</v>
      </c>
      <c r="M46" s="22">
        <f>COUNTIFS(Tabla1[Tipo de Movilidad],"Intercambio*",Tabla1[Universidad KPIs],'Utilización Convenios'!$C46,Tabla1[Año de Movilidad],'Utilización Convenios'!M$3,Tabla1[Nivel],"Pregrado")</f>
        <v>0</v>
      </c>
      <c r="N46" s="57">
        <f>COUNTIFS(Tabla2[Tipo de Movilidad],"Intercambio*",Tabla2[Universidad KPIs],'Utilización Convenios'!$C46,Tabla2[Año],'Utilización Convenios'!M$3,Tabla2[Nivel Nominación],"Undergraduate / Bachelor")</f>
        <v>0</v>
      </c>
      <c r="O46" s="22">
        <f>COUNTIFS(Tabla1[Tipo de Movilidad],"Intercambio*",Tabla1[Universidad KPIs],'Utilización Convenios'!$C46,Tabla1[Año de Movilidad],'Utilización Convenios'!O$3,Tabla1[Nivel],"Pregrado")</f>
        <v>0</v>
      </c>
      <c r="P46" s="57">
        <f>COUNTIFS(Tabla2[Tipo de Movilidad],"Intercambio*",Tabla2[Universidad KPIs],'Utilización Convenios'!$C46,Tabla2[Año],'Utilización Convenios'!O$3,Tabla2[Nivel Nominación],"Undergraduate / Bachelor")</f>
        <v>0</v>
      </c>
      <c r="Q46" s="73">
        <f t="shared" si="1"/>
        <v>0</v>
      </c>
      <c r="R46" s="74">
        <f t="shared" si="1"/>
        <v>2</v>
      </c>
    </row>
    <row r="47" spans="2:18">
      <c r="B47" s="246"/>
      <c r="C47" s="130" t="s">
        <v>115</v>
      </c>
      <c r="D47" s="137" t="s">
        <v>55</v>
      </c>
      <c r="E47" s="132">
        <f>COUNTIFS(Tabla1[Tipo de Movilidad],"Intercambio*",Tabla1[Universidad KPIs],'Utilización Convenios'!$C47,Tabla1[Año de Movilidad],'Utilización Convenios'!E$3,Tabla1[Nivel],"Pregrado")</f>
        <v>0</v>
      </c>
      <c r="F47" s="23">
        <f>COUNTIFS(Tabla2[Tipo de Movilidad],"Intercambio*",Tabla2[Universidad KPIs],'Utilización Convenios'!$C47,Tabla2[Año],'Utilización Convenios'!E$3,Tabla2[Nivel Nominación],"Undergraduate / Bachelor")</f>
        <v>0</v>
      </c>
      <c r="G47" s="22">
        <f>COUNTIFS(Tabla1[Tipo de Movilidad],"Intercambio*",Tabla1[Universidad KPIs],'Utilización Convenios'!$C47,Tabla1[Año de Movilidad],'Utilización Convenios'!G$3,Tabla1[Nivel],"Pregrado")</f>
        <v>0</v>
      </c>
      <c r="H47" s="23">
        <f>COUNTIFS(Tabla2[Tipo de Movilidad],"Intercambio*",Tabla2[Universidad KPIs],'Utilización Convenios'!$C47,Tabla2[Año],'Utilización Convenios'!G$3,Tabla2[Nivel Nominación],"Undergraduate / Bachelor")</f>
        <v>0</v>
      </c>
      <c r="I47" s="22">
        <f>COUNTIFS(Tabla1[Tipo de Movilidad],"Intercambio*",Tabla1[Universidad KPIs],'Utilización Convenios'!$C47,Tabla1[Año de Movilidad],'Utilización Convenios'!I$3,Tabla1[Nivel],"Pregrado")</f>
        <v>0</v>
      </c>
      <c r="J47" s="23">
        <f>COUNTIFS(Tabla2[Tipo de Movilidad],"Intercambio*",Tabla2[Universidad KPIs],'Utilización Convenios'!$C47,Tabla2[Año],'Utilización Convenios'!I$3,Tabla2[Nivel Nominación],"Undergraduate / Bachelor")</f>
        <v>0</v>
      </c>
      <c r="K47" s="22">
        <f>COUNTIFS(Tabla1[Tipo de Movilidad],"Intercambio*",Tabla1[Universidad KPIs],'Utilización Convenios'!$C47,Tabla1[Año de Movilidad],'Utilización Convenios'!K$3,Tabla1[Nivel],"Pregrado")</f>
        <v>1</v>
      </c>
      <c r="L47" s="23">
        <f>COUNTIFS(Tabla2[Tipo de Movilidad],"Intercambio*",Tabla2[Universidad KPIs],'Utilización Convenios'!$C47,Tabla2[Año],'Utilización Convenios'!K$3,Tabla2[Nivel Nominación],"Undergraduate / Bachelor")</f>
        <v>0</v>
      </c>
      <c r="M47" s="22">
        <f>COUNTIFS(Tabla1[Tipo de Movilidad],"Intercambio*",Tabla1[Universidad KPIs],'Utilización Convenios'!$C47,Tabla1[Año de Movilidad],'Utilización Convenios'!M$3,Tabla1[Nivel],"Pregrado")</f>
        <v>1</v>
      </c>
      <c r="N47" s="57">
        <f>COUNTIFS(Tabla2[Tipo de Movilidad],"Intercambio*",Tabla2[Universidad KPIs],'Utilización Convenios'!$C47,Tabla2[Año],'Utilización Convenios'!M$3,Tabla2[Nivel Nominación],"Undergraduate / Bachelor")</f>
        <v>0</v>
      </c>
      <c r="O47" s="22">
        <f>COUNTIFS(Tabla1[Tipo de Movilidad],"Intercambio*",Tabla1[Universidad KPIs],'Utilización Convenios'!$C47,Tabla1[Año de Movilidad],'Utilización Convenios'!O$3,Tabla1[Nivel],"Pregrado")</f>
        <v>1</v>
      </c>
      <c r="P47" s="57">
        <f>COUNTIFS(Tabla2[Tipo de Movilidad],"Intercambio*",Tabla2[Universidad KPIs],'Utilización Convenios'!$C47,Tabla2[Año],'Utilización Convenios'!O$3,Tabla2[Nivel Nominación],"Undergraduate / Bachelor")</f>
        <v>0</v>
      </c>
      <c r="Q47" s="73">
        <f t="shared" si="1"/>
        <v>3</v>
      </c>
      <c r="R47" s="74">
        <f t="shared" si="1"/>
        <v>0</v>
      </c>
    </row>
    <row r="48" spans="2:18">
      <c r="B48" s="246"/>
      <c r="C48" s="130" t="s">
        <v>116</v>
      </c>
      <c r="D48" s="137" t="s">
        <v>55</v>
      </c>
      <c r="E48" s="132">
        <f>COUNTIFS(Tabla1[Tipo de Movilidad],"Intercambio*",Tabla1[Universidad KPIs],'Utilización Convenios'!$C48,Tabla1[Año de Movilidad],'Utilización Convenios'!E$3,Tabla1[Nivel],"Pregrado")</f>
        <v>0</v>
      </c>
      <c r="F48" s="23">
        <f>COUNTIFS(Tabla2[Tipo de Movilidad],"Intercambio*",Tabla2[Universidad KPIs],'Utilización Convenios'!$C48,Tabla2[Año],'Utilización Convenios'!E$3,Tabla2[Nivel Nominación],"Undergraduate / Bachelor")</f>
        <v>0</v>
      </c>
      <c r="G48" s="22">
        <f>COUNTIFS(Tabla1[Tipo de Movilidad],"Intercambio*",Tabla1[Universidad KPIs],'Utilización Convenios'!$C48,Tabla1[Año de Movilidad],'Utilización Convenios'!G$3,Tabla1[Nivel],"Pregrado")</f>
        <v>0</v>
      </c>
      <c r="H48" s="23">
        <f>COUNTIFS(Tabla2[Tipo de Movilidad],"Intercambio*",Tabla2[Universidad KPIs],'Utilización Convenios'!$C48,Tabla2[Año],'Utilización Convenios'!G$3,Tabla2[Nivel Nominación],"Undergraduate / Bachelor")</f>
        <v>0</v>
      </c>
      <c r="I48" s="22">
        <f>COUNTIFS(Tabla1[Tipo de Movilidad],"Intercambio*",Tabla1[Universidad KPIs],'Utilización Convenios'!$C48,Tabla1[Año de Movilidad],'Utilización Convenios'!I$3,Tabla1[Nivel],"Pregrado")</f>
        <v>0</v>
      </c>
      <c r="J48" s="23">
        <f>COUNTIFS(Tabla2[Tipo de Movilidad],"Intercambio*",Tabla2[Universidad KPIs],'Utilización Convenios'!$C48,Tabla2[Año],'Utilización Convenios'!I$3,Tabla2[Nivel Nominación],"Undergraduate / Bachelor")</f>
        <v>0</v>
      </c>
      <c r="K48" s="22">
        <f>COUNTIFS(Tabla1[Tipo de Movilidad],"Intercambio*",Tabla1[Universidad KPIs],'Utilización Convenios'!$C48,Tabla1[Año de Movilidad],'Utilización Convenios'!K$3,Tabla1[Nivel],"Pregrado")</f>
        <v>0</v>
      </c>
      <c r="L48" s="23">
        <f>COUNTIFS(Tabla2[Tipo de Movilidad],"Intercambio*",Tabla2[Universidad KPIs],'Utilización Convenios'!$C48,Tabla2[Año],'Utilización Convenios'!K$3,Tabla2[Nivel Nominación],"Undergraduate / Bachelor")</f>
        <v>0</v>
      </c>
      <c r="M48" s="22">
        <f>COUNTIFS(Tabla1[Tipo de Movilidad],"Intercambio*",Tabla1[Universidad KPIs],'Utilización Convenios'!$C48,Tabla1[Año de Movilidad],'Utilización Convenios'!M$3,Tabla1[Nivel],"Pregrado")</f>
        <v>0</v>
      </c>
      <c r="N48" s="57">
        <f>COUNTIFS(Tabla2[Tipo de Movilidad],"Intercambio*",Tabla2[Universidad KPIs],'Utilización Convenios'!$C48,Tabla2[Año],'Utilización Convenios'!M$3,Tabla2[Nivel Nominación],"Undergraduate / Bachelor")</f>
        <v>0</v>
      </c>
      <c r="O48" s="22">
        <f>COUNTIFS(Tabla1[Tipo de Movilidad],"Intercambio*",Tabla1[Universidad KPIs],'Utilización Convenios'!$C48,Tabla1[Año de Movilidad],'Utilización Convenios'!O$3,Tabla1[Nivel],"Pregrado")</f>
        <v>0</v>
      </c>
      <c r="P48" s="57">
        <f>COUNTIFS(Tabla2[Tipo de Movilidad],"Intercambio*",Tabla2[Universidad KPIs],'Utilización Convenios'!$C48,Tabla2[Año],'Utilización Convenios'!O$3,Tabla2[Nivel Nominación],"Undergraduate / Bachelor")</f>
        <v>0</v>
      </c>
      <c r="Q48" s="73">
        <f t="shared" si="1"/>
        <v>0</v>
      </c>
      <c r="R48" s="74">
        <f t="shared" si="1"/>
        <v>0</v>
      </c>
    </row>
    <row r="49" spans="2:18">
      <c r="B49" s="246"/>
      <c r="C49" s="130" t="s">
        <v>117</v>
      </c>
      <c r="D49" s="137" t="s">
        <v>118</v>
      </c>
      <c r="E49" s="132">
        <f>COUNTIFS(Tabla1[Tipo de Movilidad],"Intercambio*",Tabla1[Universidad KPIs],'Utilización Convenios'!$C49,Tabla1[Año de Movilidad],'Utilización Convenios'!E$3,Tabla1[Nivel],"Pregrado")</f>
        <v>1</v>
      </c>
      <c r="F49" s="23">
        <f>COUNTIFS(Tabla2[Tipo de Movilidad],"Intercambio*",Tabla2[Universidad KPIs],'Utilización Convenios'!$C49,Tabla2[Año],'Utilización Convenios'!E$3,Tabla2[Nivel Nominación],"Undergraduate / Bachelor")</f>
        <v>0</v>
      </c>
      <c r="G49" s="22">
        <f>COUNTIFS(Tabla1[Tipo de Movilidad],"Intercambio*",Tabla1[Universidad KPIs],'Utilización Convenios'!$C49,Tabla1[Año de Movilidad],'Utilización Convenios'!G$3,Tabla1[Nivel],"Pregrado")</f>
        <v>1</v>
      </c>
      <c r="H49" s="23">
        <f>COUNTIFS(Tabla2[Tipo de Movilidad],"Intercambio*",Tabla2[Universidad KPIs],'Utilización Convenios'!$C49,Tabla2[Año],'Utilización Convenios'!G$3,Tabla2[Nivel Nominación],"Undergraduate / Bachelor")</f>
        <v>0</v>
      </c>
      <c r="I49" s="22">
        <f>COUNTIFS(Tabla1[Tipo de Movilidad],"Intercambio*",Tabla1[Universidad KPIs],'Utilización Convenios'!$C49,Tabla1[Año de Movilidad],'Utilización Convenios'!I$3,Tabla1[Nivel],"Pregrado")</f>
        <v>1</v>
      </c>
      <c r="J49" s="23">
        <f>COUNTIFS(Tabla2[Tipo de Movilidad],"Intercambio*",Tabla2[Universidad KPIs],'Utilización Convenios'!$C49,Tabla2[Año],'Utilización Convenios'!I$3,Tabla2[Nivel Nominación],"Undergraduate / Bachelor")</f>
        <v>0</v>
      </c>
      <c r="K49" s="22">
        <f>COUNTIFS(Tabla1[Tipo de Movilidad],"Intercambio*",Tabla1[Universidad KPIs],'Utilización Convenios'!$C49,Tabla1[Año de Movilidad],'Utilización Convenios'!K$3,Tabla1[Nivel],"Pregrado")</f>
        <v>2</v>
      </c>
      <c r="L49" s="23">
        <f>COUNTIFS(Tabla2[Tipo de Movilidad],"Intercambio*",Tabla2[Universidad KPIs],'Utilización Convenios'!$C49,Tabla2[Año],'Utilización Convenios'!K$3,Tabla2[Nivel Nominación],"Undergraduate / Bachelor")</f>
        <v>0</v>
      </c>
      <c r="M49" s="22">
        <f>COUNTIFS(Tabla1[Tipo de Movilidad],"Intercambio*",Tabla1[Universidad KPIs],'Utilización Convenios'!$C49,Tabla1[Año de Movilidad],'Utilización Convenios'!M$3,Tabla1[Nivel],"Pregrado")</f>
        <v>0</v>
      </c>
      <c r="N49" s="57">
        <f>COUNTIFS(Tabla2[Tipo de Movilidad],"Intercambio*",Tabla2[Universidad KPIs],'Utilización Convenios'!$C49,Tabla2[Año],'Utilización Convenios'!M$3,Tabla2[Nivel Nominación],"Undergraduate / Bachelor")</f>
        <v>0</v>
      </c>
      <c r="O49" s="22">
        <f>COUNTIFS(Tabla1[Tipo de Movilidad],"Intercambio*",Tabla1[Universidad KPIs],'Utilización Convenios'!$C49,Tabla1[Año de Movilidad],'Utilización Convenios'!O$3,Tabla1[Nivel],"Pregrado")</f>
        <v>1</v>
      </c>
      <c r="P49" s="57">
        <f>COUNTIFS(Tabla2[Tipo de Movilidad],"Intercambio*",Tabla2[Universidad KPIs],'Utilización Convenios'!$C49,Tabla2[Año],'Utilización Convenios'!O$3,Tabla2[Nivel Nominación],"Undergraduate / Bachelor")</f>
        <v>0</v>
      </c>
      <c r="Q49" s="73">
        <f t="shared" si="1"/>
        <v>6</v>
      </c>
      <c r="R49" s="74">
        <f t="shared" si="1"/>
        <v>0</v>
      </c>
    </row>
    <row r="50" spans="2:18">
      <c r="B50" s="246"/>
      <c r="C50" s="130" t="s">
        <v>119</v>
      </c>
      <c r="D50" s="137" t="s">
        <v>76</v>
      </c>
      <c r="E50" s="132">
        <f>COUNTIFS(Tabla1[Tipo de Movilidad],"Intercambio*",Tabla1[Universidad KPIs],'Utilización Convenios'!$C50,Tabla1[Año de Movilidad],'Utilización Convenios'!E$3,Tabla1[Nivel],"Pregrado")</f>
        <v>1</v>
      </c>
      <c r="F50" s="23">
        <f>COUNTIFS(Tabla2[Tipo de Movilidad],"Intercambio*",Tabla2[Universidad KPIs],'Utilización Convenios'!$C50,Tabla2[Año],'Utilización Convenios'!E$3,Tabla2[Nivel Nominación],"Undergraduate / Bachelor")</f>
        <v>0</v>
      </c>
      <c r="G50" s="22">
        <f>COUNTIFS(Tabla1[Tipo de Movilidad],"Intercambio*",Tabla1[Universidad KPIs],'Utilización Convenios'!$C50,Tabla1[Año de Movilidad],'Utilización Convenios'!G$3,Tabla1[Nivel],"Pregrado")</f>
        <v>0</v>
      </c>
      <c r="H50" s="23">
        <f>COUNTIFS(Tabla2[Tipo de Movilidad],"Intercambio*",Tabla2[Universidad KPIs],'Utilización Convenios'!$C50,Tabla2[Año],'Utilización Convenios'!G$3,Tabla2[Nivel Nominación],"Undergraduate / Bachelor")</f>
        <v>3</v>
      </c>
      <c r="I50" s="22">
        <f>COUNTIFS(Tabla1[Tipo de Movilidad],"Intercambio*",Tabla1[Universidad KPIs],'Utilización Convenios'!$C50,Tabla1[Año de Movilidad],'Utilización Convenios'!I$3,Tabla1[Nivel],"Pregrado")</f>
        <v>4</v>
      </c>
      <c r="J50" s="23">
        <f>COUNTIFS(Tabla2[Tipo de Movilidad],"Intercambio*",Tabla2[Universidad KPIs],'Utilización Convenios'!$C50,Tabla2[Año],'Utilización Convenios'!I$3,Tabla2[Nivel Nominación],"Undergraduate / Bachelor")</f>
        <v>0</v>
      </c>
      <c r="K50" s="22">
        <f>COUNTIFS(Tabla1[Tipo de Movilidad],"Intercambio*",Tabla1[Universidad KPIs],'Utilización Convenios'!$C50,Tabla1[Año de Movilidad],'Utilización Convenios'!K$3,Tabla1[Nivel],"Pregrado")</f>
        <v>2</v>
      </c>
      <c r="L50" s="23">
        <f>COUNTIFS(Tabla2[Tipo de Movilidad],"Intercambio*",Tabla2[Universidad KPIs],'Utilización Convenios'!$C50,Tabla2[Año],'Utilización Convenios'!K$3,Tabla2[Nivel Nominación],"Undergraduate / Bachelor")</f>
        <v>0</v>
      </c>
      <c r="M50" s="22">
        <f>COUNTIFS(Tabla1[Tipo de Movilidad],"Intercambio*",Tabla1[Universidad KPIs],'Utilización Convenios'!$C50,Tabla1[Año de Movilidad],'Utilización Convenios'!M$3,Tabla1[Nivel],"Pregrado")</f>
        <v>1</v>
      </c>
      <c r="N50" s="57">
        <f>COUNTIFS(Tabla2[Tipo de Movilidad],"Intercambio*",Tabla2[Universidad KPIs],'Utilización Convenios'!$C50,Tabla2[Año],'Utilización Convenios'!M$3,Tabla2[Nivel Nominación],"Undergraduate / Bachelor")</f>
        <v>0</v>
      </c>
      <c r="O50" s="22">
        <f>COUNTIFS(Tabla1[Tipo de Movilidad],"Intercambio*",Tabla1[Universidad KPIs],'Utilización Convenios'!$C50,Tabla1[Año de Movilidad],'Utilización Convenios'!O$3,Tabla1[Nivel],"Pregrado")</f>
        <v>2</v>
      </c>
      <c r="P50" s="57">
        <f>COUNTIFS(Tabla2[Tipo de Movilidad],"Intercambio*",Tabla2[Universidad KPIs],'Utilización Convenios'!$C50,Tabla2[Año],'Utilización Convenios'!O$3,Tabla2[Nivel Nominación],"Undergraduate / Bachelor")</f>
        <v>0</v>
      </c>
      <c r="Q50" s="73">
        <f t="shared" si="1"/>
        <v>10</v>
      </c>
      <c r="R50" s="74">
        <f t="shared" si="1"/>
        <v>3</v>
      </c>
    </row>
    <row r="51" spans="2:18">
      <c r="B51" s="246"/>
      <c r="C51" s="130" t="s">
        <v>120</v>
      </c>
      <c r="D51" s="137" t="s">
        <v>106</v>
      </c>
      <c r="E51" s="132">
        <f>COUNTIFS(Tabla1[Tipo de Movilidad],"Intercambio*",Tabla1[Universidad KPIs],'Utilización Convenios'!$C51,Tabla1[Año de Movilidad],'Utilización Convenios'!E$3,Tabla1[Nivel],"Pregrado")</f>
        <v>1</v>
      </c>
      <c r="F51" s="23">
        <f>COUNTIFS(Tabla2[Tipo de Movilidad],"Intercambio*",Tabla2[Universidad KPIs],'Utilización Convenios'!$C51,Tabla2[Año],'Utilización Convenios'!E$3,Tabla2[Nivel Nominación],"Undergraduate / Bachelor")</f>
        <v>0</v>
      </c>
      <c r="G51" s="22">
        <f>COUNTIFS(Tabla1[Tipo de Movilidad],"Intercambio*",Tabla1[Universidad KPIs],'Utilización Convenios'!$C51,Tabla1[Año de Movilidad],'Utilización Convenios'!G$3,Tabla1[Nivel],"Pregrado")</f>
        <v>0</v>
      </c>
      <c r="H51" s="23">
        <f>COUNTIFS(Tabla2[Tipo de Movilidad],"Intercambio*",Tabla2[Universidad KPIs],'Utilización Convenios'!$C51,Tabla2[Año],'Utilización Convenios'!G$3,Tabla2[Nivel Nominación],"Undergraduate / Bachelor")</f>
        <v>0</v>
      </c>
      <c r="I51" s="22">
        <f>COUNTIFS(Tabla1[Tipo de Movilidad],"Intercambio*",Tabla1[Universidad KPIs],'Utilización Convenios'!$C51,Tabla1[Año de Movilidad],'Utilización Convenios'!I$3,Tabla1[Nivel],"Pregrado")</f>
        <v>0</v>
      </c>
      <c r="J51" s="23">
        <f>COUNTIFS(Tabla2[Tipo de Movilidad],"Intercambio*",Tabla2[Universidad KPIs],'Utilización Convenios'!$C51,Tabla2[Año],'Utilización Convenios'!I$3,Tabla2[Nivel Nominación],"Undergraduate / Bachelor")</f>
        <v>0</v>
      </c>
      <c r="K51" s="22">
        <f>COUNTIFS(Tabla1[Tipo de Movilidad],"Intercambio*",Tabla1[Universidad KPIs],'Utilización Convenios'!$C51,Tabla1[Año de Movilidad],'Utilización Convenios'!K$3,Tabla1[Nivel],"Pregrado")</f>
        <v>2</v>
      </c>
      <c r="L51" s="23">
        <f>COUNTIFS(Tabla2[Tipo de Movilidad],"Intercambio*",Tabla2[Universidad KPIs],'Utilización Convenios'!$C51,Tabla2[Año],'Utilización Convenios'!K$3,Tabla2[Nivel Nominación],"Undergraduate / Bachelor")</f>
        <v>0</v>
      </c>
      <c r="M51" s="22">
        <f>COUNTIFS(Tabla1[Tipo de Movilidad],"Intercambio*",Tabla1[Universidad KPIs],'Utilización Convenios'!$C51,Tabla1[Año de Movilidad],'Utilización Convenios'!M$3,Tabla1[Nivel],"Pregrado")</f>
        <v>1</v>
      </c>
      <c r="N51" s="57">
        <f>COUNTIFS(Tabla2[Tipo de Movilidad],"Intercambio*",Tabla2[Universidad KPIs],'Utilización Convenios'!$C51,Tabla2[Año],'Utilización Convenios'!M$3,Tabla2[Nivel Nominación],"Undergraduate / Bachelor")</f>
        <v>0</v>
      </c>
      <c r="O51" s="22">
        <f>COUNTIFS(Tabla1[Tipo de Movilidad],"Intercambio*",Tabla1[Universidad KPIs],'Utilización Convenios'!$C51,Tabla1[Año de Movilidad],'Utilización Convenios'!O$3,Tabla1[Nivel],"Pregrado")</f>
        <v>0</v>
      </c>
      <c r="P51" s="57">
        <f>COUNTIFS(Tabla2[Tipo de Movilidad],"Intercambio*",Tabla2[Universidad KPIs],'Utilización Convenios'!$C51,Tabla2[Año],'Utilización Convenios'!O$3,Tabla2[Nivel Nominación],"Undergraduate / Bachelor")</f>
        <v>0</v>
      </c>
      <c r="Q51" s="73">
        <f t="shared" si="1"/>
        <v>4</v>
      </c>
      <c r="R51" s="74">
        <f t="shared" si="1"/>
        <v>0</v>
      </c>
    </row>
    <row r="52" spans="2:18">
      <c r="B52" s="246"/>
      <c r="C52" s="130" t="s">
        <v>121</v>
      </c>
      <c r="D52" s="137" t="s">
        <v>81</v>
      </c>
      <c r="E52" s="132">
        <f>COUNTIFS(Tabla1[Tipo de Movilidad],"Intercambio*",Tabla1[Universidad KPIs],'Utilización Convenios'!$C52,Tabla1[Año de Movilidad],'Utilización Convenios'!E$3,Tabla1[Nivel],"Pregrado")</f>
        <v>0</v>
      </c>
      <c r="F52" s="23">
        <f>COUNTIFS(Tabla2[Tipo de Movilidad],"Intercambio*",Tabla2[Universidad KPIs],'Utilización Convenios'!$C52,Tabla2[Año],'Utilización Convenios'!E$3,Tabla2[Nivel Nominación],"Undergraduate / Bachelor")</f>
        <v>0</v>
      </c>
      <c r="G52" s="22">
        <f>COUNTIFS(Tabla1[Tipo de Movilidad],"Intercambio*",Tabla1[Universidad KPIs],'Utilización Convenios'!$C52,Tabla1[Año de Movilidad],'Utilización Convenios'!G$3,Tabla1[Nivel],"Pregrado")</f>
        <v>2</v>
      </c>
      <c r="H52" s="23">
        <f>COUNTIFS(Tabla2[Tipo de Movilidad],"Intercambio*",Tabla2[Universidad KPIs],'Utilización Convenios'!$C52,Tabla2[Año],'Utilización Convenios'!G$3,Tabla2[Nivel Nominación],"Undergraduate / Bachelor")</f>
        <v>0</v>
      </c>
      <c r="I52" s="22">
        <f>COUNTIFS(Tabla1[Tipo de Movilidad],"Intercambio*",Tabla1[Universidad KPIs],'Utilización Convenios'!$C52,Tabla1[Año de Movilidad],'Utilización Convenios'!I$3,Tabla1[Nivel],"Pregrado")</f>
        <v>1</v>
      </c>
      <c r="J52" s="23">
        <f>COUNTIFS(Tabla2[Tipo de Movilidad],"Intercambio*",Tabla2[Universidad KPIs],'Utilización Convenios'!$C52,Tabla2[Año],'Utilización Convenios'!I$3,Tabla2[Nivel Nominación],"Undergraduate / Bachelor")</f>
        <v>0</v>
      </c>
      <c r="K52" s="22">
        <f>COUNTIFS(Tabla1[Tipo de Movilidad],"Intercambio*",Tabla1[Universidad KPIs],'Utilización Convenios'!$C52,Tabla1[Año de Movilidad],'Utilización Convenios'!K$3,Tabla1[Nivel],"Pregrado")</f>
        <v>2</v>
      </c>
      <c r="L52" s="23">
        <f>COUNTIFS(Tabla2[Tipo de Movilidad],"Intercambio*",Tabla2[Universidad KPIs],'Utilización Convenios'!$C52,Tabla2[Año],'Utilización Convenios'!K$3,Tabla2[Nivel Nominación],"Undergraduate / Bachelor")</f>
        <v>1</v>
      </c>
      <c r="M52" s="22">
        <f>COUNTIFS(Tabla1[Tipo de Movilidad],"Intercambio*",Tabla1[Universidad KPIs],'Utilización Convenios'!$C52,Tabla1[Año de Movilidad],'Utilización Convenios'!M$3,Tabla1[Nivel],"Pregrado")</f>
        <v>2</v>
      </c>
      <c r="N52" s="57">
        <f>COUNTIFS(Tabla2[Tipo de Movilidad],"Intercambio*",Tabla2[Universidad KPIs],'Utilización Convenios'!$C52,Tabla2[Año],'Utilización Convenios'!M$3,Tabla2[Nivel Nominación],"Undergraduate / Bachelor")</f>
        <v>0</v>
      </c>
      <c r="O52" s="22">
        <f>COUNTIFS(Tabla1[Tipo de Movilidad],"Intercambio*",Tabla1[Universidad KPIs],'Utilización Convenios'!$C52,Tabla1[Año de Movilidad],'Utilización Convenios'!O$3,Tabla1[Nivel],"Pregrado")</f>
        <v>1</v>
      </c>
      <c r="P52" s="57">
        <f>COUNTIFS(Tabla2[Tipo de Movilidad],"Intercambio*",Tabla2[Universidad KPIs],'Utilización Convenios'!$C52,Tabla2[Año],'Utilización Convenios'!O$3,Tabla2[Nivel Nominación],"Undergraduate / Bachelor")</f>
        <v>0</v>
      </c>
      <c r="Q52" s="73">
        <f t="shared" si="1"/>
        <v>8</v>
      </c>
      <c r="R52" s="74">
        <f t="shared" si="1"/>
        <v>1</v>
      </c>
    </row>
    <row r="53" spans="2:18">
      <c r="B53" s="246"/>
      <c r="C53" s="130" t="s">
        <v>122</v>
      </c>
      <c r="D53" s="137" t="s">
        <v>123</v>
      </c>
      <c r="E53" s="132">
        <f>COUNTIFS(Tabla1[Tipo de Movilidad],"Intercambio*",Tabla1[Universidad KPIs],'Utilización Convenios'!$C53,Tabla1[Año de Movilidad],'Utilización Convenios'!E$3,Tabla1[Nivel],"Pregrado")</f>
        <v>0</v>
      </c>
      <c r="F53" s="23">
        <f>COUNTIFS(Tabla2[Tipo de Movilidad],"Intercambio*",Tabla2[Universidad KPIs],'Utilización Convenios'!$C53,Tabla2[Año],'Utilización Convenios'!E$3,Tabla2[Nivel Nominación],"Undergraduate / Bachelor")</f>
        <v>0</v>
      </c>
      <c r="G53" s="22">
        <f>COUNTIFS(Tabla1[Tipo de Movilidad],"Intercambio*",Tabla1[Universidad KPIs],'Utilización Convenios'!$C53,Tabla1[Año de Movilidad],'Utilización Convenios'!G$3,Tabla1[Nivel],"Pregrado")</f>
        <v>0</v>
      </c>
      <c r="H53" s="23">
        <f>COUNTIFS(Tabla2[Tipo de Movilidad],"Intercambio*",Tabla2[Universidad KPIs],'Utilización Convenios'!$C53,Tabla2[Año],'Utilización Convenios'!G$3,Tabla2[Nivel Nominación],"Undergraduate / Bachelor")</f>
        <v>0</v>
      </c>
      <c r="I53" s="22">
        <f>COUNTIFS(Tabla1[Tipo de Movilidad],"Intercambio*",Tabla1[Universidad KPIs],'Utilización Convenios'!$C53,Tabla1[Año de Movilidad],'Utilización Convenios'!I$3,Tabla1[Nivel],"Pregrado")</f>
        <v>0</v>
      </c>
      <c r="J53" s="23">
        <f>COUNTIFS(Tabla2[Tipo de Movilidad],"Intercambio*",Tabla2[Universidad KPIs],'Utilización Convenios'!$C53,Tabla2[Año],'Utilización Convenios'!I$3,Tabla2[Nivel Nominación],"Undergraduate / Bachelor")</f>
        <v>0</v>
      </c>
      <c r="K53" s="22">
        <f>COUNTIFS(Tabla1[Tipo de Movilidad],"Intercambio*",Tabla1[Universidad KPIs],'Utilización Convenios'!$C53,Tabla1[Año de Movilidad],'Utilización Convenios'!K$3,Tabla1[Nivel],"Pregrado")</f>
        <v>0</v>
      </c>
      <c r="L53" s="23">
        <f>COUNTIFS(Tabla2[Tipo de Movilidad],"Intercambio*",Tabla2[Universidad KPIs],'Utilización Convenios'!$C53,Tabla2[Año],'Utilización Convenios'!K$3,Tabla2[Nivel Nominación],"Undergraduate / Bachelor")</f>
        <v>0</v>
      </c>
      <c r="M53" s="22">
        <f>COUNTIFS(Tabla1[Tipo de Movilidad],"Intercambio*",Tabla1[Universidad KPIs],'Utilización Convenios'!$C53,Tabla1[Año de Movilidad],'Utilización Convenios'!M$3,Tabla1[Nivel],"Pregrado")</f>
        <v>0</v>
      </c>
      <c r="N53" s="57">
        <f>COUNTIFS(Tabla2[Tipo de Movilidad],"Intercambio*",Tabla2[Universidad KPIs],'Utilización Convenios'!$C53,Tabla2[Año],'Utilización Convenios'!M$3,Tabla2[Nivel Nominación],"Undergraduate / Bachelor")</f>
        <v>0</v>
      </c>
      <c r="O53" s="22">
        <f>COUNTIFS(Tabla1[Tipo de Movilidad],"Intercambio*",Tabla1[Universidad KPIs],'Utilización Convenios'!$C53,Tabla1[Año de Movilidad],'Utilización Convenios'!O$3,Tabla1[Nivel],"Pregrado")</f>
        <v>1</v>
      </c>
      <c r="P53" s="57">
        <f>COUNTIFS(Tabla2[Tipo de Movilidad],"Intercambio*",Tabla2[Universidad KPIs],'Utilización Convenios'!$C53,Tabla2[Año],'Utilización Convenios'!O$3,Tabla2[Nivel Nominación],"Undergraduate / Bachelor")</f>
        <v>0</v>
      </c>
      <c r="Q53" s="73">
        <f t="shared" si="1"/>
        <v>1</v>
      </c>
      <c r="R53" s="74">
        <f t="shared" si="1"/>
        <v>0</v>
      </c>
    </row>
    <row r="54" spans="2:18">
      <c r="B54" s="246"/>
      <c r="C54" s="130" t="s">
        <v>124</v>
      </c>
      <c r="D54" s="137" t="s">
        <v>51</v>
      </c>
      <c r="E54" s="132">
        <f>COUNTIFS(Tabla1[Tipo de Movilidad],"Intercambio*",Tabla1[Universidad KPIs],'Utilización Convenios'!$C54,Tabla1[Año de Movilidad],'Utilización Convenios'!E$3,Tabla1[Nivel],"Pregrado")</f>
        <v>1</v>
      </c>
      <c r="F54" s="23">
        <f>COUNTIFS(Tabla2[Tipo de Movilidad],"Intercambio*",Tabla2[Universidad KPIs],'Utilización Convenios'!$C54,Tabla2[Año],'Utilización Convenios'!E$3,Tabla2[Nivel Nominación],"Undergraduate / Bachelor")</f>
        <v>0</v>
      </c>
      <c r="G54" s="22">
        <f>COUNTIFS(Tabla1[Tipo de Movilidad],"Intercambio*",Tabla1[Universidad KPIs],'Utilización Convenios'!$C54,Tabla1[Año de Movilidad],'Utilización Convenios'!G$3,Tabla1[Nivel],"Pregrado")</f>
        <v>0</v>
      </c>
      <c r="H54" s="23">
        <f>COUNTIFS(Tabla2[Tipo de Movilidad],"Intercambio*",Tabla2[Universidad KPIs],'Utilización Convenios'!$C54,Tabla2[Año],'Utilización Convenios'!G$3,Tabla2[Nivel Nominación],"Undergraduate / Bachelor")</f>
        <v>0</v>
      </c>
      <c r="I54" s="22">
        <f>COUNTIFS(Tabla1[Tipo de Movilidad],"Intercambio*",Tabla1[Universidad KPIs],'Utilización Convenios'!$C54,Tabla1[Año de Movilidad],'Utilización Convenios'!I$3,Tabla1[Nivel],"Pregrado")</f>
        <v>0</v>
      </c>
      <c r="J54" s="23">
        <f>COUNTIFS(Tabla2[Tipo de Movilidad],"Intercambio*",Tabla2[Universidad KPIs],'Utilización Convenios'!$C54,Tabla2[Año],'Utilización Convenios'!I$3,Tabla2[Nivel Nominación],"Undergraduate / Bachelor")</f>
        <v>0</v>
      </c>
      <c r="K54" s="22">
        <f>COUNTIFS(Tabla1[Tipo de Movilidad],"Intercambio*",Tabla1[Universidad KPIs],'Utilización Convenios'!$C54,Tabla1[Año de Movilidad],'Utilización Convenios'!K$3,Tabla1[Nivel],"Pregrado")</f>
        <v>0</v>
      </c>
      <c r="L54" s="23">
        <f>COUNTIFS(Tabla2[Tipo de Movilidad],"Intercambio*",Tabla2[Universidad KPIs],'Utilización Convenios'!$C54,Tabla2[Año],'Utilización Convenios'!K$3,Tabla2[Nivel Nominación],"Undergraduate / Bachelor")</f>
        <v>0</v>
      </c>
      <c r="M54" s="22">
        <f>COUNTIFS(Tabla1[Tipo de Movilidad],"Intercambio*",Tabla1[Universidad KPIs],'Utilización Convenios'!$C54,Tabla1[Año de Movilidad],'Utilización Convenios'!M$3,Tabla1[Nivel],"Pregrado")</f>
        <v>0</v>
      </c>
      <c r="N54" s="57">
        <f>COUNTIFS(Tabla2[Tipo de Movilidad],"Intercambio*",Tabla2[Universidad KPIs],'Utilización Convenios'!$C54,Tabla2[Año],'Utilización Convenios'!M$3,Tabla2[Nivel Nominación],"Undergraduate / Bachelor")</f>
        <v>0</v>
      </c>
      <c r="O54" s="22">
        <f>COUNTIFS(Tabla1[Tipo de Movilidad],"Intercambio*",Tabla1[Universidad KPIs],'Utilización Convenios'!$C54,Tabla1[Año de Movilidad],'Utilización Convenios'!O$3,Tabla1[Nivel],"Pregrado")</f>
        <v>1</v>
      </c>
      <c r="P54" s="57">
        <f>COUNTIFS(Tabla2[Tipo de Movilidad],"Intercambio*",Tabla2[Universidad KPIs],'Utilización Convenios'!$C54,Tabla2[Año],'Utilización Convenios'!O$3,Tabla2[Nivel Nominación],"Undergraduate / Bachelor")</f>
        <v>0</v>
      </c>
      <c r="Q54" s="73">
        <f t="shared" si="1"/>
        <v>2</v>
      </c>
      <c r="R54" s="74">
        <f t="shared" si="1"/>
        <v>0</v>
      </c>
    </row>
    <row r="55" spans="2:18">
      <c r="B55" s="246"/>
      <c r="C55" s="130" t="s">
        <v>125</v>
      </c>
      <c r="D55" s="137" t="s">
        <v>126</v>
      </c>
      <c r="E55" s="132">
        <f>COUNTIFS(Tabla1[Tipo de Movilidad],"Intercambio*",Tabla1[Universidad KPIs],'Utilización Convenios'!$C55,Tabla1[Año de Movilidad],'Utilización Convenios'!E$3,Tabla1[Nivel],"Pregrado")</f>
        <v>0</v>
      </c>
      <c r="F55" s="23">
        <f>COUNTIFS(Tabla2[Tipo de Movilidad],"Intercambio*",Tabla2[Universidad KPIs],'Utilización Convenios'!$C55,Tabla2[Año],'Utilización Convenios'!E$3,Tabla2[Nivel Nominación],"Undergraduate / Bachelor")</f>
        <v>0</v>
      </c>
      <c r="G55" s="22">
        <f>COUNTIFS(Tabla1[Tipo de Movilidad],"Intercambio*",Tabla1[Universidad KPIs],'Utilización Convenios'!$C55,Tabla1[Año de Movilidad],'Utilización Convenios'!G$3,Tabla1[Nivel],"Pregrado")</f>
        <v>0</v>
      </c>
      <c r="H55" s="23">
        <f>COUNTIFS(Tabla2[Tipo de Movilidad],"Intercambio*",Tabla2[Universidad KPIs],'Utilización Convenios'!$C55,Tabla2[Año],'Utilización Convenios'!G$3,Tabla2[Nivel Nominación],"Undergraduate / Bachelor")</f>
        <v>0</v>
      </c>
      <c r="I55" s="22">
        <f>COUNTIFS(Tabla1[Tipo de Movilidad],"Intercambio*",Tabla1[Universidad KPIs],'Utilización Convenios'!$C55,Tabla1[Año de Movilidad],'Utilización Convenios'!I$3,Tabla1[Nivel],"Pregrado")</f>
        <v>0</v>
      </c>
      <c r="J55" s="23">
        <f>COUNTIFS(Tabla2[Tipo de Movilidad],"Intercambio*",Tabla2[Universidad KPIs],'Utilización Convenios'!$C55,Tabla2[Año],'Utilización Convenios'!I$3,Tabla2[Nivel Nominación],"Undergraduate / Bachelor")</f>
        <v>0</v>
      </c>
      <c r="K55" s="22">
        <f>COUNTIFS(Tabla1[Tipo de Movilidad],"Intercambio*",Tabla1[Universidad KPIs],'Utilización Convenios'!$C55,Tabla1[Año de Movilidad],'Utilización Convenios'!K$3,Tabla1[Nivel],"Pregrado")</f>
        <v>0</v>
      </c>
      <c r="L55" s="23">
        <f>COUNTIFS(Tabla2[Tipo de Movilidad],"Intercambio*",Tabla2[Universidad KPIs],'Utilización Convenios'!$C55,Tabla2[Año],'Utilización Convenios'!K$3,Tabla2[Nivel Nominación],"Undergraduate / Bachelor")</f>
        <v>0</v>
      </c>
      <c r="M55" s="22">
        <f>COUNTIFS(Tabla1[Tipo de Movilidad],"Intercambio*",Tabla1[Universidad KPIs],'Utilización Convenios'!$C55,Tabla1[Año de Movilidad],'Utilización Convenios'!M$3,Tabla1[Nivel],"Pregrado")</f>
        <v>0</v>
      </c>
      <c r="N55" s="57">
        <f>COUNTIFS(Tabla2[Tipo de Movilidad],"Intercambio*",Tabla2[Universidad KPIs],'Utilización Convenios'!$C55,Tabla2[Año],'Utilización Convenios'!M$3,Tabla2[Nivel Nominación],"Undergraduate / Bachelor")</f>
        <v>0</v>
      </c>
      <c r="O55" s="22">
        <f>COUNTIFS(Tabla1[Tipo de Movilidad],"Intercambio*",Tabla1[Universidad KPIs],'Utilización Convenios'!$C55,Tabla1[Año de Movilidad],'Utilización Convenios'!O$3,Tabla1[Nivel],"Pregrado")</f>
        <v>0</v>
      </c>
      <c r="P55" s="57">
        <f>COUNTIFS(Tabla2[Tipo de Movilidad],"Intercambio*",Tabla2[Universidad KPIs],'Utilización Convenios'!$C55,Tabla2[Año],'Utilización Convenios'!O$3,Tabla2[Nivel Nominación],"Undergraduate / Bachelor")</f>
        <v>0</v>
      </c>
      <c r="Q55" s="73">
        <f t="shared" si="1"/>
        <v>0</v>
      </c>
      <c r="R55" s="74">
        <f t="shared" si="1"/>
        <v>0</v>
      </c>
    </row>
    <row r="56" spans="2:18">
      <c r="B56" s="246"/>
      <c r="C56" s="130" t="s">
        <v>127</v>
      </c>
      <c r="D56" s="137" t="s">
        <v>128</v>
      </c>
      <c r="E56" s="132">
        <f>COUNTIFS(Tabla1[Tipo de Movilidad],"Intercambio*",Tabla1[Universidad KPIs],'Utilización Convenios'!$C56,Tabla1[Año de Movilidad],'Utilización Convenios'!E$3,Tabla1[Nivel],"Pregrado")</f>
        <v>0</v>
      </c>
      <c r="F56" s="23">
        <f>COUNTIFS(Tabla2[Tipo de Movilidad],"Intercambio*",Tabla2[Universidad KPIs],'Utilización Convenios'!$C56,Tabla2[Año],'Utilización Convenios'!E$3,Tabla2[Nivel Nominación],"Undergraduate / Bachelor")</f>
        <v>0</v>
      </c>
      <c r="G56" s="22">
        <f>COUNTIFS(Tabla1[Tipo de Movilidad],"Intercambio*",Tabla1[Universidad KPIs],'Utilización Convenios'!$C56,Tabla1[Año de Movilidad],'Utilización Convenios'!G$3,Tabla1[Nivel],"Pregrado")</f>
        <v>0</v>
      </c>
      <c r="H56" s="23">
        <f>COUNTIFS(Tabla2[Tipo de Movilidad],"Intercambio*",Tabla2[Universidad KPIs],'Utilización Convenios'!$C56,Tabla2[Año],'Utilización Convenios'!G$3,Tabla2[Nivel Nominación],"Undergraduate / Bachelor")</f>
        <v>0</v>
      </c>
      <c r="I56" s="22">
        <f>COUNTIFS(Tabla1[Tipo de Movilidad],"Intercambio*",Tabla1[Universidad KPIs],'Utilización Convenios'!$C56,Tabla1[Año de Movilidad],'Utilización Convenios'!I$3,Tabla1[Nivel],"Pregrado")</f>
        <v>0</v>
      </c>
      <c r="J56" s="23">
        <f>COUNTIFS(Tabla2[Tipo de Movilidad],"Intercambio*",Tabla2[Universidad KPIs],'Utilización Convenios'!$C56,Tabla2[Año],'Utilización Convenios'!I$3,Tabla2[Nivel Nominación],"Undergraduate / Bachelor")</f>
        <v>0</v>
      </c>
      <c r="K56" s="22">
        <f>COUNTIFS(Tabla1[Tipo de Movilidad],"Intercambio*",Tabla1[Universidad KPIs],'Utilización Convenios'!$C56,Tabla1[Año de Movilidad],'Utilización Convenios'!K$3,Tabla1[Nivel],"Pregrado")</f>
        <v>0</v>
      </c>
      <c r="L56" s="23">
        <f>COUNTIFS(Tabla2[Tipo de Movilidad],"Intercambio*",Tabla2[Universidad KPIs],'Utilización Convenios'!$C56,Tabla2[Año],'Utilización Convenios'!K$3,Tabla2[Nivel Nominación],"Undergraduate / Bachelor")</f>
        <v>0</v>
      </c>
      <c r="M56" s="22">
        <f>COUNTIFS(Tabla1[Tipo de Movilidad],"Intercambio*",Tabla1[Universidad KPIs],'Utilización Convenios'!$C56,Tabla1[Año de Movilidad],'Utilización Convenios'!M$3,Tabla1[Nivel],"Pregrado")</f>
        <v>0</v>
      </c>
      <c r="N56" s="57">
        <f>COUNTIFS(Tabla2[Tipo de Movilidad],"Intercambio*",Tabla2[Universidad KPIs],'Utilización Convenios'!$C56,Tabla2[Año],'Utilización Convenios'!M$3,Tabla2[Nivel Nominación],"Undergraduate / Bachelor")</f>
        <v>0</v>
      </c>
      <c r="O56" s="22">
        <f>COUNTIFS(Tabla1[Tipo de Movilidad],"Intercambio*",Tabla1[Universidad KPIs],'Utilización Convenios'!$C56,Tabla1[Año de Movilidad],'Utilización Convenios'!O$3,Tabla1[Nivel],"Pregrado")</f>
        <v>0</v>
      </c>
      <c r="P56" s="57">
        <f>COUNTIFS(Tabla2[Tipo de Movilidad],"Intercambio*",Tabla2[Universidad KPIs],'Utilización Convenios'!$C56,Tabla2[Año],'Utilización Convenios'!O$3,Tabla2[Nivel Nominación],"Undergraduate / Bachelor")</f>
        <v>0</v>
      </c>
      <c r="Q56" s="73">
        <f t="shared" si="1"/>
        <v>0</v>
      </c>
      <c r="R56" s="74">
        <f t="shared" si="1"/>
        <v>0</v>
      </c>
    </row>
    <row r="57" spans="2:18">
      <c r="B57" s="246"/>
      <c r="C57" s="130" t="s">
        <v>129</v>
      </c>
      <c r="D57" s="137" t="s">
        <v>130</v>
      </c>
      <c r="E57" s="132">
        <f>COUNTIFS(Tabla1[Tipo de Movilidad],"Intercambio*",Tabla1[Universidad KPIs],'Utilización Convenios'!$C57,Tabla1[Año de Movilidad],'Utilización Convenios'!E$3,Tabla1[Nivel],"Pregrado")</f>
        <v>0</v>
      </c>
      <c r="F57" s="23">
        <f>COUNTIFS(Tabla2[Tipo de Movilidad],"Intercambio*",Tabla2[Universidad KPIs],'Utilización Convenios'!$C57,Tabla2[Año],'Utilización Convenios'!E$3,Tabla2[Nivel Nominación],"Undergraduate / Bachelor")</f>
        <v>0</v>
      </c>
      <c r="G57" s="22">
        <f>COUNTIFS(Tabla1[Tipo de Movilidad],"Intercambio*",Tabla1[Universidad KPIs],'Utilización Convenios'!$C57,Tabla1[Año de Movilidad],'Utilización Convenios'!G$3,Tabla1[Nivel],"Pregrado")</f>
        <v>0</v>
      </c>
      <c r="H57" s="23">
        <f>COUNTIFS(Tabla2[Tipo de Movilidad],"Intercambio*",Tabla2[Universidad KPIs],'Utilización Convenios'!$C57,Tabla2[Año],'Utilización Convenios'!G$3,Tabla2[Nivel Nominación],"Undergraduate / Bachelor")</f>
        <v>0</v>
      </c>
      <c r="I57" s="22">
        <f>COUNTIFS(Tabla1[Tipo de Movilidad],"Intercambio*",Tabla1[Universidad KPIs],'Utilización Convenios'!$C57,Tabla1[Año de Movilidad],'Utilización Convenios'!I$3,Tabla1[Nivel],"Pregrado")</f>
        <v>0</v>
      </c>
      <c r="J57" s="23">
        <f>COUNTIFS(Tabla2[Tipo de Movilidad],"Intercambio*",Tabla2[Universidad KPIs],'Utilización Convenios'!$C57,Tabla2[Año],'Utilización Convenios'!I$3,Tabla2[Nivel Nominación],"Undergraduate / Bachelor")</f>
        <v>0</v>
      </c>
      <c r="K57" s="22">
        <f>COUNTIFS(Tabla1[Tipo de Movilidad],"Intercambio*",Tabla1[Universidad KPIs],'Utilización Convenios'!$C57,Tabla1[Año de Movilidad],'Utilización Convenios'!K$3,Tabla1[Nivel],"Pregrado")</f>
        <v>0</v>
      </c>
      <c r="L57" s="23">
        <f>COUNTIFS(Tabla2[Tipo de Movilidad],"Intercambio*",Tabla2[Universidad KPIs],'Utilización Convenios'!$C57,Tabla2[Año],'Utilización Convenios'!K$3,Tabla2[Nivel Nominación],"Undergraduate / Bachelor")</f>
        <v>0</v>
      </c>
      <c r="M57" s="22">
        <f>COUNTIFS(Tabla1[Tipo de Movilidad],"Intercambio*",Tabla1[Universidad KPIs],'Utilización Convenios'!$C57,Tabla1[Año de Movilidad],'Utilización Convenios'!M$3,Tabla1[Nivel],"Pregrado")</f>
        <v>0</v>
      </c>
      <c r="N57" s="57">
        <f>COUNTIFS(Tabla2[Tipo de Movilidad],"Intercambio*",Tabla2[Universidad KPIs],'Utilización Convenios'!$C57,Tabla2[Año],'Utilización Convenios'!M$3,Tabla2[Nivel Nominación],"Undergraduate / Bachelor")</f>
        <v>0</v>
      </c>
      <c r="O57" s="22">
        <f>COUNTIFS(Tabla1[Tipo de Movilidad],"Intercambio*",Tabla1[Universidad KPIs],'Utilización Convenios'!$C57,Tabla1[Año de Movilidad],'Utilización Convenios'!O$3,Tabla1[Nivel],"Pregrado")</f>
        <v>0</v>
      </c>
      <c r="P57" s="57">
        <f>COUNTIFS(Tabla2[Tipo de Movilidad],"Intercambio*",Tabla2[Universidad KPIs],'Utilización Convenios'!$C57,Tabla2[Año],'Utilización Convenios'!O$3,Tabla2[Nivel Nominación],"Undergraduate / Bachelor")</f>
        <v>0</v>
      </c>
      <c r="Q57" s="73">
        <f t="shared" si="1"/>
        <v>0</v>
      </c>
      <c r="R57" s="74">
        <f t="shared" si="1"/>
        <v>0</v>
      </c>
    </row>
    <row r="58" spans="2:18">
      <c r="B58" s="246"/>
      <c r="C58" s="130" t="s">
        <v>131</v>
      </c>
      <c r="D58" s="137" t="s">
        <v>55</v>
      </c>
      <c r="E58" s="132">
        <f>COUNTIFS(Tabla1[Tipo de Movilidad],"Intercambio*",Tabla1[Universidad KPIs],'Utilización Convenios'!$C58,Tabla1[Año de Movilidad],'Utilización Convenios'!E$3,Tabla1[Nivel],"Pregrado")</f>
        <v>0</v>
      </c>
      <c r="F58" s="23">
        <f>COUNTIFS(Tabla2[Tipo de Movilidad],"Intercambio*",Tabla2[Universidad KPIs],'Utilización Convenios'!$C58,Tabla2[Año],'Utilización Convenios'!E$3,Tabla2[Nivel Nominación],"Undergraduate / Bachelor")</f>
        <v>0</v>
      </c>
      <c r="G58" s="22">
        <f>COUNTIFS(Tabla1[Tipo de Movilidad],"Intercambio*",Tabla1[Universidad KPIs],'Utilización Convenios'!$C58,Tabla1[Año de Movilidad],'Utilización Convenios'!G$3,Tabla1[Nivel],"Pregrado")</f>
        <v>0</v>
      </c>
      <c r="H58" s="23">
        <f>COUNTIFS(Tabla2[Tipo de Movilidad],"Intercambio*",Tabla2[Universidad KPIs],'Utilización Convenios'!$C58,Tabla2[Año],'Utilización Convenios'!G$3,Tabla2[Nivel Nominación],"Undergraduate / Bachelor")</f>
        <v>0</v>
      </c>
      <c r="I58" s="22">
        <f>COUNTIFS(Tabla1[Tipo de Movilidad],"Intercambio*",Tabla1[Universidad KPIs],'Utilización Convenios'!$C58,Tabla1[Año de Movilidad],'Utilización Convenios'!I$3,Tabla1[Nivel],"Pregrado")</f>
        <v>0</v>
      </c>
      <c r="J58" s="23">
        <f>COUNTIFS(Tabla2[Tipo de Movilidad],"Intercambio*",Tabla2[Universidad KPIs],'Utilización Convenios'!$C58,Tabla2[Año],'Utilización Convenios'!I$3,Tabla2[Nivel Nominación],"Undergraduate / Bachelor")</f>
        <v>0</v>
      </c>
      <c r="K58" s="22">
        <f>COUNTIFS(Tabla1[Tipo de Movilidad],"Intercambio*",Tabla1[Universidad KPIs],'Utilización Convenios'!$C58,Tabla1[Año de Movilidad],'Utilización Convenios'!K$3,Tabla1[Nivel],"Pregrado")</f>
        <v>0</v>
      </c>
      <c r="L58" s="23">
        <f>COUNTIFS(Tabla2[Tipo de Movilidad],"Intercambio*",Tabla2[Universidad KPIs],'Utilización Convenios'!$C58,Tabla2[Año],'Utilización Convenios'!K$3,Tabla2[Nivel Nominación],"Undergraduate / Bachelor")</f>
        <v>0</v>
      </c>
      <c r="M58" s="22">
        <f>COUNTIFS(Tabla1[Tipo de Movilidad],"Intercambio*",Tabla1[Universidad KPIs],'Utilización Convenios'!$C58,Tabla1[Año de Movilidad],'Utilización Convenios'!M$3,Tabla1[Nivel],"Pregrado")</f>
        <v>0</v>
      </c>
      <c r="N58" s="57">
        <f>COUNTIFS(Tabla2[Tipo de Movilidad],"Intercambio*",Tabla2[Universidad KPIs],'Utilización Convenios'!$C58,Tabla2[Año],'Utilización Convenios'!M$3,Tabla2[Nivel Nominación],"Undergraduate / Bachelor")</f>
        <v>0</v>
      </c>
      <c r="O58" s="22">
        <f>COUNTIFS(Tabla1[Tipo de Movilidad],"Intercambio*",Tabla1[Universidad KPIs],'Utilización Convenios'!$C58,Tabla1[Año de Movilidad],'Utilización Convenios'!O$3,Tabla1[Nivel],"Pregrado")</f>
        <v>0</v>
      </c>
      <c r="P58" s="57">
        <f>COUNTIFS(Tabla2[Tipo de Movilidad],"Intercambio*",Tabla2[Universidad KPIs],'Utilización Convenios'!$C58,Tabla2[Año],'Utilización Convenios'!O$3,Tabla2[Nivel Nominación],"Undergraduate / Bachelor")</f>
        <v>0</v>
      </c>
      <c r="Q58" s="73">
        <f t="shared" si="1"/>
        <v>0</v>
      </c>
      <c r="R58" s="74">
        <f t="shared" si="1"/>
        <v>0</v>
      </c>
    </row>
    <row r="59" spans="2:18">
      <c r="B59" s="246"/>
      <c r="C59" s="130" t="s">
        <v>132</v>
      </c>
      <c r="D59" s="137" t="s">
        <v>133</v>
      </c>
      <c r="E59" s="132">
        <f>COUNTIFS(Tabla1[Tipo de Movilidad],"Intercambio*",Tabla1[Universidad KPIs],'Utilización Convenios'!$C59,Tabla1[Año de Movilidad],'Utilización Convenios'!E$3,Tabla1[Nivel],"Pregrado")</f>
        <v>0</v>
      </c>
      <c r="F59" s="23">
        <f>COUNTIFS(Tabla2[Tipo de Movilidad],"Intercambio*",Tabla2[Universidad KPIs],'Utilización Convenios'!$C59,Tabla2[Año],'Utilización Convenios'!E$3,Tabla2[Nivel Nominación],"Undergraduate / Bachelor")</f>
        <v>0</v>
      </c>
      <c r="G59" s="22">
        <f>COUNTIFS(Tabla1[Tipo de Movilidad],"Intercambio*",Tabla1[Universidad KPIs],'Utilización Convenios'!$C59,Tabla1[Año de Movilidad],'Utilización Convenios'!G$3,Tabla1[Nivel],"Pregrado")</f>
        <v>0</v>
      </c>
      <c r="H59" s="23">
        <f>COUNTIFS(Tabla2[Tipo de Movilidad],"Intercambio*",Tabla2[Universidad KPIs],'Utilización Convenios'!$C59,Tabla2[Año],'Utilización Convenios'!G$3,Tabla2[Nivel Nominación],"Undergraduate / Bachelor")</f>
        <v>0</v>
      </c>
      <c r="I59" s="22">
        <f>COUNTIFS(Tabla1[Tipo de Movilidad],"Intercambio*",Tabla1[Universidad KPIs],'Utilización Convenios'!$C59,Tabla1[Año de Movilidad],'Utilización Convenios'!I$3,Tabla1[Nivel],"Pregrado")</f>
        <v>0</v>
      </c>
      <c r="J59" s="23">
        <f>COUNTIFS(Tabla2[Tipo de Movilidad],"Intercambio*",Tabla2[Universidad KPIs],'Utilización Convenios'!$C59,Tabla2[Año],'Utilización Convenios'!I$3,Tabla2[Nivel Nominación],"Undergraduate / Bachelor")</f>
        <v>0</v>
      </c>
      <c r="K59" s="22">
        <f>COUNTIFS(Tabla1[Tipo de Movilidad],"Intercambio*",Tabla1[Universidad KPIs],'Utilización Convenios'!$C59,Tabla1[Año de Movilidad],'Utilización Convenios'!K$3,Tabla1[Nivel],"Pregrado")</f>
        <v>0</v>
      </c>
      <c r="L59" s="23">
        <f>COUNTIFS(Tabla2[Tipo de Movilidad],"Intercambio*",Tabla2[Universidad KPIs],'Utilización Convenios'!$C59,Tabla2[Año],'Utilización Convenios'!K$3,Tabla2[Nivel Nominación],"Undergraduate / Bachelor")</f>
        <v>0</v>
      </c>
      <c r="M59" s="22">
        <f>COUNTIFS(Tabla1[Tipo de Movilidad],"Intercambio*",Tabla1[Universidad KPIs],'Utilización Convenios'!$C59,Tabla1[Año de Movilidad],'Utilización Convenios'!M$3,Tabla1[Nivel],"Pregrado")</f>
        <v>0</v>
      </c>
      <c r="N59" s="57">
        <f>COUNTIFS(Tabla2[Tipo de Movilidad],"Intercambio*",Tabla2[Universidad KPIs],'Utilización Convenios'!$C59,Tabla2[Año],'Utilización Convenios'!M$3,Tabla2[Nivel Nominación],"Undergraduate / Bachelor")</f>
        <v>0</v>
      </c>
      <c r="O59" s="22">
        <f>COUNTIFS(Tabla1[Tipo de Movilidad],"Intercambio*",Tabla1[Universidad KPIs],'Utilización Convenios'!$C59,Tabla1[Año de Movilidad],'Utilización Convenios'!O$3,Tabla1[Nivel],"Pregrado")</f>
        <v>0</v>
      </c>
      <c r="P59" s="57">
        <f>COUNTIFS(Tabla2[Tipo de Movilidad],"Intercambio*",Tabla2[Universidad KPIs],'Utilización Convenios'!$C59,Tabla2[Año],'Utilización Convenios'!O$3,Tabla2[Nivel Nominación],"Undergraduate / Bachelor")</f>
        <v>0</v>
      </c>
      <c r="Q59" s="73">
        <f t="shared" si="1"/>
        <v>0</v>
      </c>
      <c r="R59" s="74">
        <f t="shared" si="1"/>
        <v>0</v>
      </c>
    </row>
    <row r="60" spans="2:18">
      <c r="B60" s="246"/>
      <c r="C60" s="130" t="s">
        <v>134</v>
      </c>
      <c r="D60" s="137" t="s">
        <v>135</v>
      </c>
      <c r="E60" s="132">
        <f>COUNTIFS(Tabla1[Tipo de Movilidad],"Intercambio*",Tabla1[Universidad KPIs],'Utilización Convenios'!$C60,Tabla1[Año de Movilidad],'Utilización Convenios'!E$3,Tabla1[Nivel],"Pregrado")</f>
        <v>0</v>
      </c>
      <c r="F60" s="23">
        <f>COUNTIFS(Tabla2[Tipo de Movilidad],"Intercambio*",Tabla2[Universidad KPIs],'Utilización Convenios'!$C60,Tabla2[Año],'Utilización Convenios'!E$3,Tabla2[Nivel Nominación],"Undergraduate / Bachelor")</f>
        <v>0</v>
      </c>
      <c r="G60" s="22">
        <f>COUNTIFS(Tabla1[Tipo de Movilidad],"Intercambio*",Tabla1[Universidad KPIs],'Utilización Convenios'!$C60,Tabla1[Año de Movilidad],'Utilización Convenios'!G$3,Tabla1[Nivel],"Pregrado")</f>
        <v>0</v>
      </c>
      <c r="H60" s="23">
        <f>COUNTIFS(Tabla2[Tipo de Movilidad],"Intercambio*",Tabla2[Universidad KPIs],'Utilización Convenios'!$C60,Tabla2[Año],'Utilización Convenios'!G$3,Tabla2[Nivel Nominación],"Undergraduate / Bachelor")</f>
        <v>0</v>
      </c>
      <c r="I60" s="22">
        <f>COUNTIFS(Tabla1[Tipo de Movilidad],"Intercambio*",Tabla1[Universidad KPIs],'Utilización Convenios'!$C60,Tabla1[Año de Movilidad],'Utilización Convenios'!I$3,Tabla1[Nivel],"Pregrado")</f>
        <v>0</v>
      </c>
      <c r="J60" s="23">
        <f>COUNTIFS(Tabla2[Tipo de Movilidad],"Intercambio*",Tabla2[Universidad KPIs],'Utilización Convenios'!$C60,Tabla2[Año],'Utilización Convenios'!I$3,Tabla2[Nivel Nominación],"Undergraduate / Bachelor")</f>
        <v>0</v>
      </c>
      <c r="K60" s="22">
        <f>COUNTIFS(Tabla1[Tipo de Movilidad],"Intercambio*",Tabla1[Universidad KPIs],'Utilización Convenios'!$C60,Tabla1[Año de Movilidad],'Utilización Convenios'!K$3,Tabla1[Nivel],"Pregrado")</f>
        <v>0</v>
      </c>
      <c r="L60" s="23">
        <f>COUNTIFS(Tabla2[Tipo de Movilidad],"Intercambio*",Tabla2[Universidad KPIs],'Utilización Convenios'!$C60,Tabla2[Año],'Utilización Convenios'!K$3,Tabla2[Nivel Nominación],"Undergraduate / Bachelor")</f>
        <v>0</v>
      </c>
      <c r="M60" s="22">
        <f>COUNTIFS(Tabla1[Tipo de Movilidad],"Intercambio*",Tabla1[Universidad KPIs],'Utilización Convenios'!$C60,Tabla1[Año de Movilidad],'Utilización Convenios'!M$3,Tabla1[Nivel],"Pregrado")</f>
        <v>0</v>
      </c>
      <c r="N60" s="57">
        <f>COUNTIFS(Tabla2[Tipo de Movilidad],"Intercambio*",Tabla2[Universidad KPIs],'Utilización Convenios'!$C60,Tabla2[Año],'Utilización Convenios'!M$3,Tabla2[Nivel Nominación],"Undergraduate / Bachelor")</f>
        <v>0</v>
      </c>
      <c r="O60" s="22">
        <f>COUNTIFS(Tabla1[Tipo de Movilidad],"Intercambio*",Tabla1[Universidad KPIs],'Utilización Convenios'!$C60,Tabla1[Año de Movilidad],'Utilización Convenios'!O$3,Tabla1[Nivel],"Pregrado")</f>
        <v>0</v>
      </c>
      <c r="P60" s="57">
        <f>COUNTIFS(Tabla2[Tipo de Movilidad],"Intercambio*",Tabla2[Universidad KPIs],'Utilización Convenios'!$C60,Tabla2[Año],'Utilización Convenios'!O$3,Tabla2[Nivel Nominación],"Undergraduate / Bachelor")</f>
        <v>0</v>
      </c>
      <c r="Q60" s="73">
        <f t="shared" si="1"/>
        <v>0</v>
      </c>
      <c r="R60" s="74">
        <f t="shared" si="1"/>
        <v>0</v>
      </c>
    </row>
    <row r="61" spans="2:18">
      <c r="B61" s="246"/>
      <c r="C61" s="130" t="s">
        <v>136</v>
      </c>
      <c r="D61" s="137" t="s">
        <v>76</v>
      </c>
      <c r="E61" s="132">
        <f>COUNTIFS(Tabla1[Tipo de Movilidad],"Intercambio*",Tabla1[Universidad KPIs],'Utilización Convenios'!$C61,Tabla1[Año de Movilidad],'Utilización Convenios'!E$3,Tabla1[Nivel],"Pregrado")</f>
        <v>0</v>
      </c>
      <c r="F61" s="23">
        <f>COUNTIFS(Tabla2[Tipo de Movilidad],"Intercambio*",Tabla2[Universidad KPIs],'Utilización Convenios'!$C61,Tabla2[Año],'Utilización Convenios'!E$3,Tabla2[Nivel Nominación],"Undergraduate / Bachelor")</f>
        <v>0</v>
      </c>
      <c r="G61" s="22">
        <f>COUNTIFS(Tabla1[Tipo de Movilidad],"Intercambio*",Tabla1[Universidad KPIs],'Utilización Convenios'!$C61,Tabla1[Año de Movilidad],'Utilización Convenios'!G$3,Tabla1[Nivel],"Pregrado")</f>
        <v>0</v>
      </c>
      <c r="H61" s="23">
        <f>COUNTIFS(Tabla2[Tipo de Movilidad],"Intercambio*",Tabla2[Universidad KPIs],'Utilización Convenios'!$C61,Tabla2[Año],'Utilización Convenios'!G$3,Tabla2[Nivel Nominación],"Undergraduate / Bachelor")</f>
        <v>0</v>
      </c>
      <c r="I61" s="22">
        <f>COUNTIFS(Tabla1[Tipo de Movilidad],"Intercambio*",Tabla1[Universidad KPIs],'Utilización Convenios'!$C61,Tabla1[Año de Movilidad],'Utilización Convenios'!I$3,Tabla1[Nivel],"Pregrado")</f>
        <v>0</v>
      </c>
      <c r="J61" s="23">
        <f>COUNTIFS(Tabla2[Tipo de Movilidad],"Intercambio*",Tabla2[Universidad KPIs],'Utilización Convenios'!$C61,Tabla2[Año],'Utilización Convenios'!I$3,Tabla2[Nivel Nominación],"Undergraduate / Bachelor")</f>
        <v>0</v>
      </c>
      <c r="K61" s="22">
        <f>COUNTIFS(Tabla1[Tipo de Movilidad],"Intercambio*",Tabla1[Universidad KPIs],'Utilización Convenios'!$C61,Tabla1[Año de Movilidad],'Utilización Convenios'!K$3,Tabla1[Nivel],"Pregrado")</f>
        <v>0</v>
      </c>
      <c r="L61" s="23">
        <f>COUNTIFS(Tabla2[Tipo de Movilidad],"Intercambio*",Tabla2[Universidad KPIs],'Utilización Convenios'!$C61,Tabla2[Año],'Utilización Convenios'!K$3,Tabla2[Nivel Nominación],"Undergraduate / Bachelor")</f>
        <v>0</v>
      </c>
      <c r="M61" s="22">
        <f>COUNTIFS(Tabla1[Tipo de Movilidad],"Intercambio*",Tabla1[Universidad KPIs],'Utilización Convenios'!$C61,Tabla1[Año de Movilidad],'Utilización Convenios'!M$3,Tabla1[Nivel],"Pregrado")</f>
        <v>0</v>
      </c>
      <c r="N61" s="57">
        <f>COUNTIFS(Tabla2[Tipo de Movilidad],"Intercambio*",Tabla2[Universidad KPIs],'Utilización Convenios'!$C61,Tabla2[Año],'Utilización Convenios'!M$3,Tabla2[Nivel Nominación],"Undergraduate / Bachelor")</f>
        <v>0</v>
      </c>
      <c r="O61" s="22">
        <f>COUNTIFS(Tabla1[Tipo de Movilidad],"Intercambio*",Tabla1[Universidad KPIs],'Utilización Convenios'!$C61,Tabla1[Año de Movilidad],'Utilización Convenios'!O$3,Tabla1[Nivel],"Pregrado")</f>
        <v>0</v>
      </c>
      <c r="P61" s="57">
        <f>COUNTIFS(Tabla2[Tipo de Movilidad],"Intercambio*",Tabla2[Universidad KPIs],'Utilización Convenios'!$C61,Tabla2[Año],'Utilización Convenios'!O$3,Tabla2[Nivel Nominación],"Undergraduate / Bachelor")</f>
        <v>0</v>
      </c>
      <c r="Q61" s="73">
        <f t="shared" si="1"/>
        <v>0</v>
      </c>
      <c r="R61" s="74">
        <f t="shared" si="1"/>
        <v>0</v>
      </c>
    </row>
    <row r="62" spans="2:18">
      <c r="B62" s="246"/>
      <c r="C62" s="130" t="s">
        <v>137</v>
      </c>
      <c r="D62" s="137" t="s">
        <v>76</v>
      </c>
      <c r="E62" s="132">
        <f>COUNTIFS(Tabla1[Tipo de Movilidad],"Intercambio*",Tabla1[Universidad KPIs],'Utilización Convenios'!$C62,Tabla1[Año de Movilidad],'Utilización Convenios'!E$3,Tabla1[Nivel],"Pregrado")</f>
        <v>0</v>
      </c>
      <c r="F62" s="23">
        <f>COUNTIFS(Tabla2[Tipo de Movilidad],"Intercambio*",Tabla2[Universidad KPIs],'Utilización Convenios'!$C62,Tabla2[Año],'Utilización Convenios'!E$3,Tabla2[Nivel Nominación],"Undergraduate / Bachelor")</f>
        <v>0</v>
      </c>
      <c r="G62" s="22">
        <f>COUNTIFS(Tabla1[Tipo de Movilidad],"Intercambio*",Tabla1[Universidad KPIs],'Utilización Convenios'!$C62,Tabla1[Año de Movilidad],'Utilización Convenios'!G$3,Tabla1[Nivel],"Pregrado")</f>
        <v>0</v>
      </c>
      <c r="H62" s="23">
        <f>COUNTIFS(Tabla2[Tipo de Movilidad],"Intercambio*",Tabla2[Universidad KPIs],'Utilización Convenios'!$C62,Tabla2[Año],'Utilización Convenios'!G$3,Tabla2[Nivel Nominación],"Undergraduate / Bachelor")</f>
        <v>0</v>
      </c>
      <c r="I62" s="22">
        <f>COUNTIFS(Tabla1[Tipo de Movilidad],"Intercambio*",Tabla1[Universidad KPIs],'Utilización Convenios'!$C62,Tabla1[Año de Movilidad],'Utilización Convenios'!I$3,Tabla1[Nivel],"Pregrado")</f>
        <v>0</v>
      </c>
      <c r="J62" s="23">
        <f>COUNTIFS(Tabla2[Tipo de Movilidad],"Intercambio*",Tabla2[Universidad KPIs],'Utilización Convenios'!$C62,Tabla2[Año],'Utilización Convenios'!I$3,Tabla2[Nivel Nominación],"Undergraduate / Bachelor")</f>
        <v>0</v>
      </c>
      <c r="K62" s="22">
        <f>COUNTIFS(Tabla1[Tipo de Movilidad],"Intercambio*",Tabla1[Universidad KPIs],'Utilización Convenios'!$C62,Tabla1[Año de Movilidad],'Utilización Convenios'!K$3,Tabla1[Nivel],"Pregrado")</f>
        <v>0</v>
      </c>
      <c r="L62" s="23">
        <f>COUNTIFS(Tabla2[Tipo de Movilidad],"Intercambio*",Tabla2[Universidad KPIs],'Utilización Convenios'!$C62,Tabla2[Año],'Utilización Convenios'!K$3,Tabla2[Nivel Nominación],"Undergraduate / Bachelor")</f>
        <v>0</v>
      </c>
      <c r="M62" s="22">
        <f>COUNTIFS(Tabla1[Tipo de Movilidad],"Intercambio*",Tabla1[Universidad KPIs],'Utilización Convenios'!$C62,Tabla1[Año de Movilidad],'Utilización Convenios'!M$3,Tabla1[Nivel],"Pregrado")</f>
        <v>0</v>
      </c>
      <c r="N62" s="57">
        <f>COUNTIFS(Tabla2[Tipo de Movilidad],"Intercambio*",Tabla2[Universidad KPIs],'Utilización Convenios'!$C62,Tabla2[Año],'Utilización Convenios'!M$3,Tabla2[Nivel Nominación],"Undergraduate / Bachelor")</f>
        <v>0</v>
      </c>
      <c r="O62" s="22">
        <f>COUNTIFS(Tabla1[Tipo de Movilidad],"Intercambio*",Tabla1[Universidad KPIs],'Utilización Convenios'!$C62,Tabla1[Año de Movilidad],'Utilización Convenios'!O$3,Tabla1[Nivel],"Pregrado")</f>
        <v>0</v>
      </c>
      <c r="P62" s="57">
        <f>COUNTIFS(Tabla2[Tipo de Movilidad],"Intercambio*",Tabla2[Universidad KPIs],'Utilización Convenios'!$C62,Tabla2[Año],'Utilización Convenios'!O$3,Tabla2[Nivel Nominación],"Undergraduate / Bachelor")</f>
        <v>0</v>
      </c>
      <c r="Q62" s="73">
        <f t="shared" si="1"/>
        <v>0</v>
      </c>
      <c r="R62" s="74">
        <f t="shared" si="1"/>
        <v>0</v>
      </c>
    </row>
    <row r="63" spans="2:18" ht="15.75" thickBot="1">
      <c r="B63" s="246"/>
      <c r="C63" s="142" t="s">
        <v>138</v>
      </c>
      <c r="D63" s="143" t="s">
        <v>130</v>
      </c>
      <c r="E63" s="133">
        <f>COUNTIFS(Tabla1[Tipo de Movilidad],"Intercambio*",Tabla1[Universidad KPIs],'Utilización Convenios'!$C63,Tabla1[Año de Movilidad],'Utilización Convenios'!E$3,Tabla1[Nivel],"Pregrado")</f>
        <v>0</v>
      </c>
      <c r="F63" s="64">
        <f>COUNTIFS(Tabla2[Tipo de Movilidad],"Intercambio*",Tabla2[Universidad KPIs],'Utilización Convenios'!$C63,Tabla2[Año],'Utilización Convenios'!E$3,Tabla2[Nivel Nominación],"Undergraduate / Bachelor")</f>
        <v>0</v>
      </c>
      <c r="G63" s="56">
        <f>COUNTIFS(Tabla1[Tipo de Movilidad],"Intercambio*",Tabla1[Universidad KPIs],'Utilización Convenios'!$C63,Tabla1[Año de Movilidad],'Utilización Convenios'!G$3,Tabla1[Nivel],"Pregrado")</f>
        <v>0</v>
      </c>
      <c r="H63" s="64">
        <f>COUNTIFS(Tabla2[Tipo de Movilidad],"Intercambio*",Tabla2[Universidad KPIs],'Utilización Convenios'!$C63,Tabla2[Año],'Utilización Convenios'!G$3,Tabla2[Nivel Nominación],"Undergraduate / Bachelor")</f>
        <v>0</v>
      </c>
      <c r="I63" s="56">
        <f>COUNTIFS(Tabla1[Tipo de Movilidad],"Intercambio*",Tabla1[Universidad KPIs],'Utilización Convenios'!$C63,Tabla1[Año de Movilidad],'Utilización Convenios'!I$3,Tabla1[Nivel],"Pregrado")</f>
        <v>0</v>
      </c>
      <c r="J63" s="64">
        <f>COUNTIFS(Tabla2[Tipo de Movilidad],"Intercambio*",Tabla2[Universidad KPIs],'Utilización Convenios'!$C63,Tabla2[Año],'Utilización Convenios'!I$3,Tabla2[Nivel Nominación],"Undergraduate / Bachelor")</f>
        <v>0</v>
      </c>
      <c r="K63" s="56">
        <f>COUNTIFS(Tabla1[Tipo de Movilidad],"Intercambio*",Tabla1[Universidad KPIs],'Utilización Convenios'!$C63,Tabla1[Año de Movilidad],'Utilización Convenios'!K$3,Tabla1[Nivel],"Pregrado")</f>
        <v>0</v>
      </c>
      <c r="L63" s="64">
        <f>COUNTIFS(Tabla2[Tipo de Movilidad],"Intercambio*",Tabla2[Universidad KPIs],'Utilización Convenios'!$C63,Tabla2[Año],'Utilización Convenios'!K$3,Tabla2[Nivel Nominación],"Undergraduate / Bachelor")</f>
        <v>0</v>
      </c>
      <c r="M63" s="56">
        <f>COUNTIFS(Tabla1[Tipo de Movilidad],"Intercambio*",Tabla1[Universidad KPIs],'Utilización Convenios'!$C63,Tabla1[Año de Movilidad],'Utilización Convenios'!M$3,Tabla1[Nivel],"Pregrado")</f>
        <v>0</v>
      </c>
      <c r="N63" s="61">
        <f>COUNTIFS(Tabla2[Tipo de Movilidad],"Intercambio*",Tabla2[Universidad KPIs],'Utilización Convenios'!$C63,Tabla2[Año],'Utilización Convenios'!M$3,Tabla2[Nivel Nominación],"Undergraduate / Bachelor")</f>
        <v>0</v>
      </c>
      <c r="O63" s="56">
        <f>COUNTIFS(Tabla1[Tipo de Movilidad],"Intercambio*",Tabla1[Universidad KPIs],'Utilización Convenios'!$C63,Tabla1[Año de Movilidad],'Utilización Convenios'!O$3,Tabla1[Nivel],"Pregrado")</f>
        <v>0</v>
      </c>
      <c r="P63" s="61">
        <f>COUNTIFS(Tabla2[Tipo de Movilidad],"Intercambio*",Tabla2[Universidad KPIs],'Utilización Convenios'!$C63,Tabla2[Año],'Utilización Convenios'!O$3,Tabla2[Nivel Nominación],"Undergraduate / Bachelor")</f>
        <v>0</v>
      </c>
      <c r="Q63" s="79">
        <f t="shared" si="1"/>
        <v>0</v>
      </c>
      <c r="R63" s="80">
        <f t="shared" si="1"/>
        <v>0</v>
      </c>
    </row>
    <row r="64" spans="2:18" ht="15" customHeight="1">
      <c r="B64" s="241" t="s">
        <v>139</v>
      </c>
      <c r="C64" s="144" t="s">
        <v>140</v>
      </c>
      <c r="D64" s="145" t="s">
        <v>141</v>
      </c>
      <c r="E64" s="134">
        <f>COUNTIFS(Tabla1[Tipo de Movilidad],"Intercambio*",Tabla1[Universidad KPIs],'Utilización Convenios'!$C64,Tabla1[Año de Movilidad],'Utilización Convenios'!E$3,Tabla1[Nivel],"Pregrado")</f>
        <v>0</v>
      </c>
      <c r="F64" s="65">
        <f>COUNTIFS(Tabla2[Tipo de Movilidad],"Intercambio*",Tabla2[Universidad KPIs],'Utilización Convenios'!$C64,Tabla2[Año],'Utilización Convenios'!E$3,Tabla2[Nivel Nominación],"Undergraduate / Bachelor")</f>
        <v>0</v>
      </c>
      <c r="G64" s="29">
        <f>COUNTIFS(Tabla1[Tipo de Movilidad],"Intercambio*",Tabla1[Universidad KPIs],'Utilización Convenios'!$C64,Tabla1[Año de Movilidad],'Utilización Convenios'!G$3,Tabla1[Nivel],"Pregrado")</f>
        <v>0</v>
      </c>
      <c r="H64" s="65">
        <f>COUNTIFS(Tabla2[Tipo de Movilidad],"Intercambio*",Tabla2[Universidad KPIs],'Utilización Convenios'!$C64,Tabla2[Año],'Utilización Convenios'!G$3,Tabla2[Nivel Nominación],"Undergraduate / Bachelor")</f>
        <v>0</v>
      </c>
      <c r="I64" s="29">
        <f>COUNTIFS(Tabla1[Tipo de Movilidad],"Intercambio*",Tabla1[Universidad KPIs],'Utilización Convenios'!$C64,Tabla1[Año de Movilidad],'Utilización Convenios'!I$3,Tabla1[Nivel],"Pregrado")</f>
        <v>0</v>
      </c>
      <c r="J64" s="65">
        <f>COUNTIFS(Tabla2[Tipo de Movilidad],"Intercambio*",Tabla2[Universidad KPIs],'Utilización Convenios'!$C64,Tabla2[Año],'Utilización Convenios'!I$3,Tabla2[Nivel Nominación],"Undergraduate / Bachelor")</f>
        <v>0</v>
      </c>
      <c r="K64" s="29">
        <f>COUNTIFS(Tabla1[Tipo de Movilidad],"Intercambio*",Tabla1[Universidad KPIs],'Utilización Convenios'!$C64,Tabla1[Año de Movilidad],'Utilización Convenios'!K$3,Tabla1[Nivel],"Pregrado")</f>
        <v>1</v>
      </c>
      <c r="L64" s="65">
        <f>COUNTIFS(Tabla2[Tipo de Movilidad],"Intercambio*",Tabla2[Universidad KPIs],'Utilización Convenios'!$C64,Tabla2[Año],'Utilización Convenios'!K$3,Tabla2[Nivel Nominación],"Undergraduate / Bachelor")</f>
        <v>2</v>
      </c>
      <c r="M64" s="29">
        <f>COUNTIFS(Tabla1[Tipo de Movilidad],"Intercambio*",Tabla1[Universidad KPIs],'Utilización Convenios'!$C64,Tabla1[Año de Movilidad],'Utilización Convenios'!M$3,Tabla1[Nivel],"Pregrado")</f>
        <v>0</v>
      </c>
      <c r="N64" s="68">
        <f>COUNTIFS(Tabla2[Tipo de Movilidad],"Intercambio*",Tabla2[Universidad KPIs],'Utilización Convenios'!$C64,Tabla2[Año],'Utilización Convenios'!M$3,Tabla2[Nivel Nominación],"Undergraduate / Bachelor")</f>
        <v>2</v>
      </c>
      <c r="O64" s="29">
        <f>COUNTIFS(Tabla1[Tipo de Movilidad],"Intercambio*",Tabla1[Universidad KPIs],'Utilización Convenios'!$C64,Tabla1[Año de Movilidad],'Utilización Convenios'!O$3,Tabla1[Nivel],"Pregrado")</f>
        <v>0</v>
      </c>
      <c r="P64" s="68">
        <f>COUNTIFS(Tabla2[Tipo de Movilidad],"Intercambio*",Tabla2[Universidad KPIs],'Utilización Convenios'!$C64,Tabla2[Año],'Utilización Convenios'!O$3,Tabla2[Nivel Nominación],"Undergraduate / Bachelor")</f>
        <v>0</v>
      </c>
      <c r="Q64" s="75">
        <f t="shared" si="1"/>
        <v>1</v>
      </c>
      <c r="R64" s="76">
        <f t="shared" si="1"/>
        <v>4</v>
      </c>
    </row>
    <row r="65" spans="2:18">
      <c r="B65" s="242"/>
      <c r="C65" s="138" t="s">
        <v>142</v>
      </c>
      <c r="D65" s="139" t="s">
        <v>51</v>
      </c>
      <c r="E65" s="134">
        <f>COUNTIFS(Tabla1[Tipo de Movilidad],"Intercambio*",Tabla1[Universidad KPIs],'Utilización Convenios'!$C65,Tabla1[Año de Movilidad],'Utilización Convenios'!E$3,Tabla1[Nivel],"Pregrado")</f>
        <v>0</v>
      </c>
      <c r="F65" s="65">
        <f>COUNTIFS(Tabla2[Tipo de Movilidad],"Intercambio*",Tabla2[Universidad KPIs],'Utilización Convenios'!$C65,Tabla2[Año],'Utilización Convenios'!E$3,Tabla2[Nivel Nominación],"Undergraduate / Bachelor")</f>
        <v>0</v>
      </c>
      <c r="G65" s="29">
        <f>COUNTIFS(Tabla1[Tipo de Movilidad],"Intercambio*",Tabla1[Universidad KPIs],'Utilización Convenios'!$C65,Tabla1[Año de Movilidad],'Utilización Convenios'!G$3,Tabla1[Nivel],"Pregrado")</f>
        <v>0</v>
      </c>
      <c r="H65" s="65">
        <f>COUNTIFS(Tabla2[Tipo de Movilidad],"Intercambio*",Tabla2[Universidad KPIs],'Utilización Convenios'!$C65,Tabla2[Año],'Utilización Convenios'!G$3,Tabla2[Nivel Nominación],"Undergraduate / Bachelor")</f>
        <v>0</v>
      </c>
      <c r="I65" s="29">
        <f>COUNTIFS(Tabla1[Tipo de Movilidad],"Intercambio*",Tabla1[Universidad KPIs],'Utilización Convenios'!$C65,Tabla1[Año de Movilidad],'Utilización Convenios'!I$3,Tabla1[Nivel],"Pregrado")</f>
        <v>0</v>
      </c>
      <c r="J65" s="65">
        <f>COUNTIFS(Tabla2[Tipo de Movilidad],"Intercambio*",Tabla2[Universidad KPIs],'Utilización Convenios'!$C65,Tabla2[Año],'Utilización Convenios'!I$3,Tabla2[Nivel Nominación],"Undergraduate / Bachelor")</f>
        <v>0</v>
      </c>
      <c r="K65" s="29">
        <f>COUNTIFS(Tabla1[Tipo de Movilidad],"Intercambio*",Tabla1[Universidad KPIs],'Utilización Convenios'!$C65,Tabla1[Año de Movilidad],'Utilización Convenios'!K$3,Tabla1[Nivel],"Pregrado")</f>
        <v>0</v>
      </c>
      <c r="L65" s="65">
        <f>COUNTIFS(Tabla2[Tipo de Movilidad],"Intercambio*",Tabla2[Universidad KPIs],'Utilización Convenios'!$C65,Tabla2[Año],'Utilización Convenios'!K$3,Tabla2[Nivel Nominación],"Undergraduate / Bachelor")</f>
        <v>0</v>
      </c>
      <c r="M65" s="29">
        <f>COUNTIFS(Tabla1[Tipo de Movilidad],"Intercambio*",Tabla1[Universidad KPIs],'Utilización Convenios'!$C65,Tabla1[Año de Movilidad],'Utilización Convenios'!M$3,Tabla1[Nivel],"Pregrado")</f>
        <v>1</v>
      </c>
      <c r="N65" s="68">
        <f>COUNTIFS(Tabla2[Tipo de Movilidad],"Intercambio*",Tabla2[Universidad KPIs],'Utilización Convenios'!$C65,Tabla2[Año],'Utilización Convenios'!M$3,Tabla2[Nivel Nominación],"Undergraduate / Bachelor")</f>
        <v>0</v>
      </c>
      <c r="O65" s="29">
        <f>COUNTIFS(Tabla1[Tipo de Movilidad],"Intercambio*",Tabla1[Universidad KPIs],'Utilización Convenios'!$C65,Tabla1[Año de Movilidad],'Utilización Convenios'!O$3,Tabla1[Nivel],"Pregrado")</f>
        <v>1</v>
      </c>
      <c r="P65" s="68">
        <f>COUNTIFS(Tabla2[Tipo de Movilidad],"Intercambio*",Tabla2[Universidad KPIs],'Utilización Convenios'!$C65,Tabla2[Año],'Utilización Convenios'!O$3,Tabla2[Nivel Nominación],"Undergraduate / Bachelor")</f>
        <v>0</v>
      </c>
      <c r="Q65" s="75">
        <f t="shared" si="1"/>
        <v>2</v>
      </c>
      <c r="R65" s="76">
        <f t="shared" si="1"/>
        <v>0</v>
      </c>
    </row>
    <row r="66" spans="2:18">
      <c r="B66" s="242"/>
      <c r="C66" s="138" t="s">
        <v>143</v>
      </c>
      <c r="D66" s="139" t="s">
        <v>106</v>
      </c>
      <c r="E66" s="134">
        <f>COUNTIFS(Tabla1[Tipo de Movilidad],"Intercambio*",Tabla1[Universidad KPIs],'Utilización Convenios'!$C66,Tabla1[Año de Movilidad],'Utilización Convenios'!E$3,Tabla1[Nivel],"Pregrado")</f>
        <v>0</v>
      </c>
      <c r="F66" s="65">
        <f>COUNTIFS(Tabla2[Tipo de Movilidad],"Intercambio*",Tabla2[Universidad KPIs],'Utilización Convenios'!$C66,Tabla2[Año],'Utilización Convenios'!E$3,Tabla2[Nivel Nominación],"Undergraduate / Bachelor")</f>
        <v>0</v>
      </c>
      <c r="G66" s="29">
        <f>COUNTIFS(Tabla1[Tipo de Movilidad],"Intercambio*",Tabla1[Universidad KPIs],'Utilización Convenios'!$C66,Tabla1[Año de Movilidad],'Utilización Convenios'!G$3,Tabla1[Nivel],"Pregrado")</f>
        <v>0</v>
      </c>
      <c r="H66" s="65">
        <f>COUNTIFS(Tabla2[Tipo de Movilidad],"Intercambio*",Tabla2[Universidad KPIs],'Utilización Convenios'!$C66,Tabla2[Año],'Utilización Convenios'!G$3,Tabla2[Nivel Nominación],"Undergraduate / Bachelor")</f>
        <v>0</v>
      </c>
      <c r="I66" s="29">
        <f>COUNTIFS(Tabla1[Tipo de Movilidad],"Intercambio*",Tabla1[Universidad KPIs],'Utilización Convenios'!$C66,Tabla1[Año de Movilidad],'Utilización Convenios'!I$3,Tabla1[Nivel],"Pregrado")</f>
        <v>0</v>
      </c>
      <c r="J66" s="65">
        <f>COUNTIFS(Tabla2[Tipo de Movilidad],"Intercambio*",Tabla2[Universidad KPIs],'Utilización Convenios'!$C66,Tabla2[Año],'Utilización Convenios'!I$3,Tabla2[Nivel Nominación],"Undergraduate / Bachelor")</f>
        <v>0</v>
      </c>
      <c r="K66" s="29">
        <f>COUNTIFS(Tabla1[Tipo de Movilidad],"Intercambio*",Tabla1[Universidad KPIs],'Utilización Convenios'!$C66,Tabla1[Año de Movilidad],'Utilización Convenios'!K$3,Tabla1[Nivel],"Pregrado")</f>
        <v>1</v>
      </c>
      <c r="L66" s="65">
        <f>COUNTIFS(Tabla2[Tipo de Movilidad],"Intercambio*",Tabla2[Universidad KPIs],'Utilización Convenios'!$C66,Tabla2[Año],'Utilización Convenios'!K$3,Tabla2[Nivel Nominación],"Undergraduate / Bachelor")</f>
        <v>0</v>
      </c>
      <c r="M66" s="29">
        <f>COUNTIFS(Tabla1[Tipo de Movilidad],"Intercambio*",Tabla1[Universidad KPIs],'Utilización Convenios'!$C66,Tabla1[Año de Movilidad],'Utilización Convenios'!M$3,Tabla1[Nivel],"Pregrado")</f>
        <v>0</v>
      </c>
      <c r="N66" s="68">
        <f>COUNTIFS(Tabla2[Tipo de Movilidad],"Intercambio*",Tabla2[Universidad KPIs],'Utilización Convenios'!$C66,Tabla2[Año],'Utilización Convenios'!M$3,Tabla2[Nivel Nominación],"Undergraduate / Bachelor")</f>
        <v>0</v>
      </c>
      <c r="O66" s="29">
        <f>COUNTIFS(Tabla1[Tipo de Movilidad],"Intercambio*",Tabla1[Universidad KPIs],'Utilización Convenios'!$C66,Tabla1[Año de Movilidad],'Utilización Convenios'!O$3,Tabla1[Nivel],"Pregrado")</f>
        <v>0</v>
      </c>
      <c r="P66" s="68">
        <f>COUNTIFS(Tabla2[Tipo de Movilidad],"Intercambio*",Tabla2[Universidad KPIs],'Utilización Convenios'!$C66,Tabla2[Año],'Utilización Convenios'!O$3,Tabla2[Nivel Nominación],"Undergraduate / Bachelor")</f>
        <v>0</v>
      </c>
      <c r="Q66" s="75">
        <f t="shared" si="1"/>
        <v>1</v>
      </c>
      <c r="R66" s="76">
        <f t="shared" si="1"/>
        <v>0</v>
      </c>
    </row>
    <row r="67" spans="2:18">
      <c r="B67" s="242"/>
      <c r="C67" s="138" t="s">
        <v>144</v>
      </c>
      <c r="D67" s="139" t="s">
        <v>57</v>
      </c>
      <c r="E67" s="134">
        <f>COUNTIFS(Tabla1[Tipo de Movilidad],"Intercambio*",Tabla1[Universidad KPIs],'Utilización Convenios'!$C67,Tabla1[Año de Movilidad],'Utilización Convenios'!E$3,Tabla1[Nivel],"Pregrado")</f>
        <v>0</v>
      </c>
      <c r="F67" s="65">
        <f>COUNTIFS(Tabla2[Tipo de Movilidad],"Intercambio*",Tabla2[Universidad KPIs],'Utilización Convenios'!$C67,Tabla2[Año],'Utilización Convenios'!E$3,Tabla2[Nivel Nominación],"Undergraduate / Bachelor")</f>
        <v>0</v>
      </c>
      <c r="G67" s="29">
        <f>COUNTIFS(Tabla1[Tipo de Movilidad],"Intercambio*",Tabla1[Universidad KPIs],'Utilización Convenios'!$C67,Tabla1[Año de Movilidad],'Utilización Convenios'!G$3,Tabla1[Nivel],"Pregrado")</f>
        <v>0</v>
      </c>
      <c r="H67" s="65">
        <f>COUNTIFS(Tabla2[Tipo de Movilidad],"Intercambio*",Tabla2[Universidad KPIs],'Utilización Convenios'!$C67,Tabla2[Año],'Utilización Convenios'!G$3,Tabla2[Nivel Nominación],"Undergraduate / Bachelor")</f>
        <v>2</v>
      </c>
      <c r="I67" s="29">
        <f>COUNTIFS(Tabla1[Tipo de Movilidad],"Intercambio*",Tabla1[Universidad KPIs],'Utilización Convenios'!$C67,Tabla1[Año de Movilidad],'Utilización Convenios'!I$3,Tabla1[Nivel],"Pregrado")</f>
        <v>0</v>
      </c>
      <c r="J67" s="65">
        <f>COUNTIFS(Tabla2[Tipo de Movilidad],"Intercambio*",Tabla2[Universidad KPIs],'Utilización Convenios'!$C67,Tabla2[Año],'Utilización Convenios'!I$3,Tabla2[Nivel Nominación],"Undergraduate / Bachelor")</f>
        <v>0</v>
      </c>
      <c r="K67" s="29">
        <f>COUNTIFS(Tabla1[Tipo de Movilidad],"Intercambio*",Tabla1[Universidad KPIs],'Utilización Convenios'!$C67,Tabla1[Año de Movilidad],'Utilización Convenios'!K$3,Tabla1[Nivel],"Pregrado")</f>
        <v>0</v>
      </c>
      <c r="L67" s="65">
        <f>COUNTIFS(Tabla2[Tipo de Movilidad],"Intercambio*",Tabla2[Universidad KPIs],'Utilización Convenios'!$C67,Tabla2[Año],'Utilización Convenios'!K$3,Tabla2[Nivel Nominación],"Undergraduate / Bachelor")</f>
        <v>0</v>
      </c>
      <c r="M67" s="29">
        <f>COUNTIFS(Tabla1[Tipo de Movilidad],"Intercambio*",Tabla1[Universidad KPIs],'Utilización Convenios'!$C67,Tabla1[Año de Movilidad],'Utilización Convenios'!M$3,Tabla1[Nivel],"Pregrado")</f>
        <v>0</v>
      </c>
      <c r="N67" s="68">
        <f>COUNTIFS(Tabla2[Tipo de Movilidad],"Intercambio*",Tabla2[Universidad KPIs],'Utilización Convenios'!$C67,Tabla2[Año],'Utilización Convenios'!M$3,Tabla2[Nivel Nominación],"Undergraduate / Bachelor")</f>
        <v>0</v>
      </c>
      <c r="O67" s="29">
        <f>COUNTIFS(Tabla1[Tipo de Movilidad],"Intercambio*",Tabla1[Universidad KPIs],'Utilización Convenios'!$C67,Tabla1[Año de Movilidad],'Utilización Convenios'!O$3,Tabla1[Nivel],"Pregrado")</f>
        <v>0</v>
      </c>
      <c r="P67" s="68">
        <f>COUNTIFS(Tabla2[Tipo de Movilidad],"Intercambio*",Tabla2[Universidad KPIs],'Utilización Convenios'!$C67,Tabla2[Año],'Utilización Convenios'!O$3,Tabla2[Nivel Nominación],"Undergraduate / Bachelor")</f>
        <v>0</v>
      </c>
      <c r="Q67" s="75">
        <f t="shared" si="1"/>
        <v>0</v>
      </c>
      <c r="R67" s="76">
        <f t="shared" si="1"/>
        <v>2</v>
      </c>
    </row>
    <row r="68" spans="2:18">
      <c r="B68" s="242"/>
      <c r="C68" s="138" t="s">
        <v>145</v>
      </c>
      <c r="D68" s="139" t="s">
        <v>81</v>
      </c>
      <c r="E68" s="134">
        <f>COUNTIFS(Tabla1[Tipo de Movilidad],"Intercambio*",Tabla1[Universidad KPIs],'Utilización Convenios'!$C68,Tabla1[Año de Movilidad],'Utilización Convenios'!E$3,Tabla1[Nivel],"Pregrado")</f>
        <v>0</v>
      </c>
      <c r="F68" s="65">
        <f>COUNTIFS(Tabla2[Tipo de Movilidad],"Intercambio*",Tabla2[Universidad KPIs],'Utilización Convenios'!$C68,Tabla2[Año],'Utilización Convenios'!E$3,Tabla2[Nivel Nominación],"Undergraduate / Bachelor")</f>
        <v>1</v>
      </c>
      <c r="G68" s="29">
        <f>COUNTIFS(Tabla1[Tipo de Movilidad],"Intercambio*",Tabla1[Universidad KPIs],'Utilización Convenios'!$C68,Tabla1[Año de Movilidad],'Utilización Convenios'!G$3,Tabla1[Nivel],"Pregrado")</f>
        <v>0</v>
      </c>
      <c r="H68" s="65">
        <f>COUNTIFS(Tabla2[Tipo de Movilidad],"Intercambio*",Tabla2[Universidad KPIs],'Utilización Convenios'!$C68,Tabla2[Año],'Utilización Convenios'!G$3,Tabla2[Nivel Nominación],"Undergraduate / Bachelor")</f>
        <v>1</v>
      </c>
      <c r="I68" s="29">
        <f>COUNTIFS(Tabla1[Tipo de Movilidad],"Intercambio*",Tabla1[Universidad KPIs],'Utilización Convenios'!$C68,Tabla1[Año de Movilidad],'Utilización Convenios'!I$3,Tabla1[Nivel],"Pregrado")</f>
        <v>0</v>
      </c>
      <c r="J68" s="65">
        <f>COUNTIFS(Tabla2[Tipo de Movilidad],"Intercambio*",Tabla2[Universidad KPIs],'Utilización Convenios'!$C68,Tabla2[Año],'Utilización Convenios'!I$3,Tabla2[Nivel Nominación],"Undergraduate / Bachelor")</f>
        <v>0</v>
      </c>
      <c r="K68" s="29">
        <f>COUNTIFS(Tabla1[Tipo de Movilidad],"Intercambio*",Tabla1[Universidad KPIs],'Utilización Convenios'!$C68,Tabla1[Año de Movilidad],'Utilización Convenios'!K$3,Tabla1[Nivel],"Pregrado")</f>
        <v>0</v>
      </c>
      <c r="L68" s="65">
        <f>COUNTIFS(Tabla2[Tipo de Movilidad],"Intercambio*",Tabla2[Universidad KPIs],'Utilización Convenios'!$C68,Tabla2[Año],'Utilización Convenios'!K$3,Tabla2[Nivel Nominación],"Undergraduate / Bachelor")</f>
        <v>0</v>
      </c>
      <c r="M68" s="29">
        <f>COUNTIFS(Tabla1[Tipo de Movilidad],"Intercambio*",Tabla1[Universidad KPIs],'Utilización Convenios'!$C68,Tabla1[Año de Movilidad],'Utilización Convenios'!M$3,Tabla1[Nivel],"Pregrado")</f>
        <v>0</v>
      </c>
      <c r="N68" s="68">
        <f>COUNTIFS(Tabla2[Tipo de Movilidad],"Intercambio*",Tabla2[Universidad KPIs],'Utilización Convenios'!$C68,Tabla2[Año],'Utilización Convenios'!M$3,Tabla2[Nivel Nominación],"Undergraduate / Bachelor")</f>
        <v>1</v>
      </c>
      <c r="O68" s="29">
        <f>COUNTIFS(Tabla1[Tipo de Movilidad],"Intercambio*",Tabla1[Universidad KPIs],'Utilización Convenios'!$C68,Tabla1[Año de Movilidad],'Utilización Convenios'!O$3,Tabla1[Nivel],"Pregrado")</f>
        <v>0</v>
      </c>
      <c r="P68" s="68">
        <f>COUNTIFS(Tabla2[Tipo de Movilidad],"Intercambio*",Tabla2[Universidad KPIs],'Utilización Convenios'!$C68,Tabla2[Año],'Utilización Convenios'!O$3,Tabla2[Nivel Nominación],"Undergraduate / Bachelor")</f>
        <v>0</v>
      </c>
      <c r="Q68" s="75">
        <f t="shared" si="1"/>
        <v>0</v>
      </c>
      <c r="R68" s="76">
        <f t="shared" si="1"/>
        <v>3</v>
      </c>
    </row>
    <row r="69" spans="2:18">
      <c r="B69" s="242"/>
      <c r="C69" s="138" t="s">
        <v>146</v>
      </c>
      <c r="D69" s="139" t="s">
        <v>57</v>
      </c>
      <c r="E69" s="134">
        <f>COUNTIFS(Tabla1[Tipo de Movilidad],"Intercambio*",Tabla1[Universidad KPIs],'Utilización Convenios'!$C69,Tabla1[Año de Movilidad],'Utilización Convenios'!E$3,Tabla1[Nivel],"Pregrado")</f>
        <v>0</v>
      </c>
      <c r="F69" s="65">
        <f>COUNTIFS(Tabla2[Tipo de Movilidad],"Intercambio*",Tabla2[Universidad KPIs],'Utilización Convenios'!$C69,Tabla2[Año],'Utilización Convenios'!E$3,Tabla2[Nivel Nominación],"Undergraduate / Bachelor")</f>
        <v>0</v>
      </c>
      <c r="G69" s="29">
        <f>COUNTIFS(Tabla1[Tipo de Movilidad],"Intercambio*",Tabla1[Universidad KPIs],'Utilización Convenios'!$C69,Tabla1[Año de Movilidad],'Utilización Convenios'!G$3,Tabla1[Nivel],"Pregrado")</f>
        <v>0</v>
      </c>
      <c r="H69" s="65">
        <f>COUNTIFS(Tabla2[Tipo de Movilidad],"Intercambio*",Tabla2[Universidad KPIs],'Utilización Convenios'!$C69,Tabla2[Año],'Utilización Convenios'!G$3,Tabla2[Nivel Nominación],"Undergraduate / Bachelor")</f>
        <v>0</v>
      </c>
      <c r="I69" s="29">
        <f>COUNTIFS(Tabla1[Tipo de Movilidad],"Intercambio*",Tabla1[Universidad KPIs],'Utilización Convenios'!$C69,Tabla1[Año de Movilidad],'Utilización Convenios'!I$3,Tabla1[Nivel],"Pregrado")</f>
        <v>0</v>
      </c>
      <c r="J69" s="65">
        <f>COUNTIFS(Tabla2[Tipo de Movilidad],"Intercambio*",Tabla2[Universidad KPIs],'Utilización Convenios'!$C69,Tabla2[Año],'Utilización Convenios'!I$3,Tabla2[Nivel Nominación],"Undergraduate / Bachelor")</f>
        <v>1</v>
      </c>
      <c r="K69" s="29">
        <f>COUNTIFS(Tabla1[Tipo de Movilidad],"Intercambio*",Tabla1[Universidad KPIs],'Utilización Convenios'!$C69,Tabla1[Año de Movilidad],'Utilización Convenios'!K$3,Tabla1[Nivel],"Pregrado")</f>
        <v>0</v>
      </c>
      <c r="L69" s="65">
        <f>COUNTIFS(Tabla2[Tipo de Movilidad],"Intercambio*",Tabla2[Universidad KPIs],'Utilización Convenios'!$C69,Tabla2[Año],'Utilización Convenios'!K$3,Tabla2[Nivel Nominación],"Undergraduate / Bachelor")</f>
        <v>0</v>
      </c>
      <c r="M69" s="29">
        <f>COUNTIFS(Tabla1[Tipo de Movilidad],"Intercambio*",Tabla1[Universidad KPIs],'Utilización Convenios'!$C69,Tabla1[Año de Movilidad],'Utilización Convenios'!M$3,Tabla1[Nivel],"Pregrado")</f>
        <v>0</v>
      </c>
      <c r="N69" s="68">
        <f>COUNTIFS(Tabla2[Tipo de Movilidad],"Intercambio*",Tabla2[Universidad KPIs],'Utilización Convenios'!$C69,Tabla2[Año],'Utilización Convenios'!M$3,Tabla2[Nivel Nominación],"Undergraduate / Bachelor")</f>
        <v>0</v>
      </c>
      <c r="O69" s="29">
        <f>COUNTIFS(Tabla1[Tipo de Movilidad],"Intercambio*",Tabla1[Universidad KPIs],'Utilización Convenios'!$C69,Tabla1[Año de Movilidad],'Utilización Convenios'!O$3,Tabla1[Nivel],"Pregrado")</f>
        <v>0</v>
      </c>
      <c r="P69" s="68">
        <f>COUNTIFS(Tabla2[Tipo de Movilidad],"Intercambio*",Tabla2[Universidad KPIs],'Utilización Convenios'!$C69,Tabla2[Año],'Utilización Convenios'!O$3,Tabla2[Nivel Nominación],"Undergraduate / Bachelor")</f>
        <v>0</v>
      </c>
      <c r="Q69" s="75">
        <f t="shared" si="1"/>
        <v>0</v>
      </c>
      <c r="R69" s="76">
        <f t="shared" si="1"/>
        <v>1</v>
      </c>
    </row>
    <row r="70" spans="2:18">
      <c r="B70" s="242"/>
      <c r="C70" s="138" t="s">
        <v>147</v>
      </c>
      <c r="D70" s="139" t="s">
        <v>76</v>
      </c>
      <c r="E70" s="134">
        <f>COUNTIFS(Tabla1[Tipo de Movilidad],"Intercambio*",Tabla1[Universidad KPIs],'Utilización Convenios'!$C70,Tabla1[Año de Movilidad],'Utilización Convenios'!E$3,Tabla1[Nivel],"Pregrado")</f>
        <v>0</v>
      </c>
      <c r="F70" s="65">
        <f>COUNTIFS(Tabla2[Tipo de Movilidad],"Intercambio*",Tabla2[Universidad KPIs],'Utilización Convenios'!$C70,Tabla2[Año],'Utilización Convenios'!E$3,Tabla2[Nivel Nominación],"Undergraduate / Bachelor")</f>
        <v>0</v>
      </c>
      <c r="G70" s="29">
        <f>COUNTIFS(Tabla1[Tipo de Movilidad],"Intercambio*",Tabla1[Universidad KPIs],'Utilización Convenios'!$C70,Tabla1[Año de Movilidad],'Utilización Convenios'!G$3,Tabla1[Nivel],"Pregrado")</f>
        <v>0</v>
      </c>
      <c r="H70" s="65">
        <f>COUNTIFS(Tabla2[Tipo de Movilidad],"Intercambio*",Tabla2[Universidad KPIs],'Utilización Convenios'!$C70,Tabla2[Año],'Utilización Convenios'!G$3,Tabla2[Nivel Nominación],"Undergraduate / Bachelor")</f>
        <v>0</v>
      </c>
      <c r="I70" s="29">
        <f>COUNTIFS(Tabla1[Tipo de Movilidad],"Intercambio*",Tabla1[Universidad KPIs],'Utilización Convenios'!$C70,Tabla1[Año de Movilidad],'Utilización Convenios'!I$3,Tabla1[Nivel],"Pregrado")</f>
        <v>1</v>
      </c>
      <c r="J70" s="65">
        <f>COUNTIFS(Tabla2[Tipo de Movilidad],"Intercambio*",Tabla2[Universidad KPIs],'Utilización Convenios'!$C70,Tabla2[Año],'Utilización Convenios'!I$3,Tabla2[Nivel Nominación],"Undergraduate / Bachelor")</f>
        <v>0</v>
      </c>
      <c r="K70" s="29">
        <f>COUNTIFS(Tabla1[Tipo de Movilidad],"Intercambio*",Tabla1[Universidad KPIs],'Utilización Convenios'!$C70,Tabla1[Año de Movilidad],'Utilización Convenios'!K$3,Tabla1[Nivel],"Pregrado")</f>
        <v>0</v>
      </c>
      <c r="L70" s="65">
        <f>COUNTIFS(Tabla2[Tipo de Movilidad],"Intercambio*",Tabla2[Universidad KPIs],'Utilización Convenios'!$C70,Tabla2[Año],'Utilización Convenios'!K$3,Tabla2[Nivel Nominación],"Undergraduate / Bachelor")</f>
        <v>0</v>
      </c>
      <c r="M70" s="29">
        <f>COUNTIFS(Tabla1[Tipo de Movilidad],"Intercambio*",Tabla1[Universidad KPIs],'Utilización Convenios'!$C70,Tabla1[Año de Movilidad],'Utilización Convenios'!M$3,Tabla1[Nivel],"Pregrado")</f>
        <v>0</v>
      </c>
      <c r="N70" s="68">
        <f>COUNTIFS(Tabla2[Tipo de Movilidad],"Intercambio*",Tabla2[Universidad KPIs],'Utilización Convenios'!$C70,Tabla2[Año],'Utilización Convenios'!M$3,Tabla2[Nivel Nominación],"Undergraduate / Bachelor")</f>
        <v>0</v>
      </c>
      <c r="O70" s="29">
        <f>COUNTIFS(Tabla1[Tipo de Movilidad],"Intercambio*",Tabla1[Universidad KPIs],'Utilización Convenios'!$C70,Tabla1[Año de Movilidad],'Utilización Convenios'!O$3,Tabla1[Nivel],"Pregrado")</f>
        <v>0</v>
      </c>
      <c r="P70" s="68">
        <f>COUNTIFS(Tabla2[Tipo de Movilidad],"Intercambio*",Tabla2[Universidad KPIs],'Utilización Convenios'!$C70,Tabla2[Año],'Utilización Convenios'!O$3,Tabla2[Nivel Nominación],"Undergraduate / Bachelor")</f>
        <v>0</v>
      </c>
      <c r="Q70" s="75">
        <f t="shared" ref="Q70:R112" si="2">SUMIF($E$4:$P$4,Q$4,$E70:$P70)</f>
        <v>1</v>
      </c>
      <c r="R70" s="76">
        <f t="shared" si="2"/>
        <v>0</v>
      </c>
    </row>
    <row r="71" spans="2:18">
      <c r="B71" s="242"/>
      <c r="C71" s="138" t="s">
        <v>148</v>
      </c>
      <c r="D71" s="139" t="s">
        <v>55</v>
      </c>
      <c r="E71" s="134">
        <f>COUNTIFS(Tabla1[Tipo de Movilidad],"Intercambio*",Tabla1[Universidad KPIs],'Utilización Convenios'!$C71,Tabla1[Año de Movilidad],'Utilización Convenios'!E$3,Tabla1[Nivel],"Pregrado")</f>
        <v>0</v>
      </c>
      <c r="F71" s="65">
        <f>COUNTIFS(Tabla2[Tipo de Movilidad],"Intercambio*",Tabla2[Universidad KPIs],'Utilización Convenios'!$C71,Tabla2[Año],'Utilización Convenios'!E$3,Tabla2[Nivel Nominación],"Undergraduate / Bachelor")</f>
        <v>1</v>
      </c>
      <c r="G71" s="29">
        <f>COUNTIFS(Tabla1[Tipo de Movilidad],"Intercambio*",Tabla1[Universidad KPIs],'Utilización Convenios'!$C71,Tabla1[Año de Movilidad],'Utilización Convenios'!G$3,Tabla1[Nivel],"Pregrado")</f>
        <v>0</v>
      </c>
      <c r="H71" s="65">
        <f>COUNTIFS(Tabla2[Tipo de Movilidad],"Intercambio*",Tabla2[Universidad KPIs],'Utilización Convenios'!$C71,Tabla2[Año],'Utilización Convenios'!G$3,Tabla2[Nivel Nominación],"Undergraduate / Bachelor")</f>
        <v>0</v>
      </c>
      <c r="I71" s="29">
        <f>COUNTIFS(Tabla1[Tipo de Movilidad],"Intercambio*",Tabla1[Universidad KPIs],'Utilización Convenios'!$C71,Tabla1[Año de Movilidad],'Utilización Convenios'!I$3,Tabla1[Nivel],"Pregrado")</f>
        <v>0</v>
      </c>
      <c r="J71" s="65">
        <f>COUNTIFS(Tabla2[Tipo de Movilidad],"Intercambio*",Tabla2[Universidad KPIs],'Utilización Convenios'!$C71,Tabla2[Año],'Utilización Convenios'!I$3,Tabla2[Nivel Nominación],"Undergraduate / Bachelor")</f>
        <v>0</v>
      </c>
      <c r="K71" s="29">
        <f>COUNTIFS(Tabla1[Tipo de Movilidad],"Intercambio*",Tabla1[Universidad KPIs],'Utilización Convenios'!$C71,Tabla1[Año de Movilidad],'Utilización Convenios'!K$3,Tabla1[Nivel],"Pregrado")</f>
        <v>1</v>
      </c>
      <c r="L71" s="65">
        <f>COUNTIFS(Tabla2[Tipo de Movilidad],"Intercambio*",Tabla2[Universidad KPIs],'Utilización Convenios'!$C71,Tabla2[Año],'Utilización Convenios'!K$3,Tabla2[Nivel Nominación],"Undergraduate / Bachelor")</f>
        <v>0</v>
      </c>
      <c r="M71" s="29">
        <f>COUNTIFS(Tabla1[Tipo de Movilidad],"Intercambio*",Tabla1[Universidad KPIs],'Utilización Convenios'!$C71,Tabla1[Año de Movilidad],'Utilización Convenios'!M$3,Tabla1[Nivel],"Pregrado")</f>
        <v>0</v>
      </c>
      <c r="N71" s="68">
        <f>COUNTIFS(Tabla2[Tipo de Movilidad],"Intercambio*",Tabla2[Universidad KPIs],'Utilización Convenios'!$C71,Tabla2[Año],'Utilización Convenios'!M$3,Tabla2[Nivel Nominación],"Undergraduate / Bachelor")</f>
        <v>0</v>
      </c>
      <c r="O71" s="29">
        <f>COUNTIFS(Tabla1[Tipo de Movilidad],"Intercambio*",Tabla1[Universidad KPIs],'Utilización Convenios'!$C71,Tabla1[Año de Movilidad],'Utilización Convenios'!O$3,Tabla1[Nivel],"Pregrado")</f>
        <v>1</v>
      </c>
      <c r="P71" s="68">
        <f>COUNTIFS(Tabla2[Tipo de Movilidad],"Intercambio*",Tabla2[Universidad KPIs],'Utilización Convenios'!$C71,Tabla2[Año],'Utilización Convenios'!O$3,Tabla2[Nivel Nominación],"Undergraduate / Bachelor")</f>
        <v>0</v>
      </c>
      <c r="Q71" s="75">
        <f t="shared" si="2"/>
        <v>2</v>
      </c>
      <c r="R71" s="76">
        <f t="shared" si="2"/>
        <v>1</v>
      </c>
    </row>
    <row r="72" spans="2:18">
      <c r="B72" s="242"/>
      <c r="C72" s="138" t="s">
        <v>149</v>
      </c>
      <c r="D72" s="139" t="s">
        <v>109</v>
      </c>
      <c r="E72" s="134">
        <f>COUNTIFS(Tabla1[Tipo de Movilidad],"Intercambio*",Tabla1[Universidad KPIs],'Utilización Convenios'!$C72,Tabla1[Año de Movilidad],'Utilización Convenios'!E$3,Tabla1[Nivel],"Pregrado")</f>
        <v>0</v>
      </c>
      <c r="F72" s="65">
        <f>COUNTIFS(Tabla2[Tipo de Movilidad],"Intercambio*",Tabla2[Universidad KPIs],'Utilización Convenios'!$C72,Tabla2[Año],'Utilización Convenios'!E$3,Tabla2[Nivel Nominación],"Undergraduate / Bachelor")</f>
        <v>0</v>
      </c>
      <c r="G72" s="29">
        <f>COUNTIFS(Tabla1[Tipo de Movilidad],"Intercambio*",Tabla1[Universidad KPIs],'Utilización Convenios'!$C72,Tabla1[Año de Movilidad],'Utilización Convenios'!G$3,Tabla1[Nivel],"Pregrado")</f>
        <v>0</v>
      </c>
      <c r="H72" s="65">
        <f>COUNTIFS(Tabla2[Tipo de Movilidad],"Intercambio*",Tabla2[Universidad KPIs],'Utilización Convenios'!$C72,Tabla2[Año],'Utilización Convenios'!G$3,Tabla2[Nivel Nominación],"Undergraduate / Bachelor")</f>
        <v>0</v>
      </c>
      <c r="I72" s="29">
        <f>COUNTIFS(Tabla1[Tipo de Movilidad],"Intercambio*",Tabla1[Universidad KPIs],'Utilización Convenios'!$C72,Tabla1[Año de Movilidad],'Utilización Convenios'!I$3,Tabla1[Nivel],"Pregrado")</f>
        <v>0</v>
      </c>
      <c r="J72" s="65">
        <f>COUNTIFS(Tabla2[Tipo de Movilidad],"Intercambio*",Tabla2[Universidad KPIs],'Utilización Convenios'!$C72,Tabla2[Año],'Utilización Convenios'!I$3,Tabla2[Nivel Nominación],"Undergraduate / Bachelor")</f>
        <v>1</v>
      </c>
      <c r="K72" s="29">
        <f>COUNTIFS(Tabla1[Tipo de Movilidad],"Intercambio*",Tabla1[Universidad KPIs],'Utilización Convenios'!$C72,Tabla1[Año de Movilidad],'Utilización Convenios'!K$3,Tabla1[Nivel],"Pregrado")</f>
        <v>0</v>
      </c>
      <c r="L72" s="65">
        <f>COUNTIFS(Tabla2[Tipo de Movilidad],"Intercambio*",Tabla2[Universidad KPIs],'Utilización Convenios'!$C72,Tabla2[Año],'Utilización Convenios'!K$3,Tabla2[Nivel Nominación],"Undergraduate / Bachelor")</f>
        <v>0</v>
      </c>
      <c r="M72" s="29">
        <f>COUNTIFS(Tabla1[Tipo de Movilidad],"Intercambio*",Tabla1[Universidad KPIs],'Utilización Convenios'!$C72,Tabla1[Año de Movilidad],'Utilización Convenios'!M$3,Tabla1[Nivel],"Pregrado")</f>
        <v>0</v>
      </c>
      <c r="N72" s="68">
        <f>COUNTIFS(Tabla2[Tipo de Movilidad],"Intercambio*",Tabla2[Universidad KPIs],'Utilización Convenios'!$C72,Tabla2[Año],'Utilización Convenios'!M$3,Tabla2[Nivel Nominación],"Undergraduate / Bachelor")</f>
        <v>0</v>
      </c>
      <c r="O72" s="29">
        <f>COUNTIFS(Tabla1[Tipo de Movilidad],"Intercambio*",Tabla1[Universidad KPIs],'Utilización Convenios'!$C72,Tabla1[Año de Movilidad],'Utilización Convenios'!O$3,Tabla1[Nivel],"Pregrado")</f>
        <v>0</v>
      </c>
      <c r="P72" s="68">
        <f>COUNTIFS(Tabla2[Tipo de Movilidad],"Intercambio*",Tabla2[Universidad KPIs],'Utilización Convenios'!$C72,Tabla2[Año],'Utilización Convenios'!O$3,Tabla2[Nivel Nominación],"Undergraduate / Bachelor")</f>
        <v>0</v>
      </c>
      <c r="Q72" s="75">
        <f t="shared" si="2"/>
        <v>0</v>
      </c>
      <c r="R72" s="76">
        <f t="shared" si="2"/>
        <v>1</v>
      </c>
    </row>
    <row r="73" spans="2:18">
      <c r="B73" s="242"/>
      <c r="C73" s="138" t="s">
        <v>150</v>
      </c>
      <c r="D73" s="139" t="s">
        <v>112</v>
      </c>
      <c r="E73" s="134">
        <f>COUNTIFS(Tabla1[Tipo de Movilidad],"Intercambio*",Tabla1[Universidad KPIs],'Utilización Convenios'!$C73,Tabla1[Año de Movilidad],'Utilización Convenios'!E$3,Tabla1[Nivel],"Pregrado")</f>
        <v>0</v>
      </c>
      <c r="F73" s="65">
        <f>COUNTIFS(Tabla2[Tipo de Movilidad],"Intercambio*",Tabla2[Universidad KPIs],'Utilización Convenios'!$C73,Tabla2[Año],'Utilización Convenios'!E$3,Tabla2[Nivel Nominación],"Undergraduate / Bachelor")</f>
        <v>0</v>
      </c>
      <c r="G73" s="29">
        <f>COUNTIFS(Tabla1[Tipo de Movilidad],"Intercambio*",Tabla1[Universidad KPIs],'Utilización Convenios'!$C73,Tabla1[Año de Movilidad],'Utilización Convenios'!G$3,Tabla1[Nivel],"Pregrado")</f>
        <v>0</v>
      </c>
      <c r="H73" s="65">
        <f>COUNTIFS(Tabla2[Tipo de Movilidad],"Intercambio*",Tabla2[Universidad KPIs],'Utilización Convenios'!$C73,Tabla2[Año],'Utilización Convenios'!G$3,Tabla2[Nivel Nominación],"Undergraduate / Bachelor")</f>
        <v>0</v>
      </c>
      <c r="I73" s="29">
        <f>COUNTIFS(Tabla1[Tipo de Movilidad],"Intercambio*",Tabla1[Universidad KPIs],'Utilización Convenios'!$C73,Tabla1[Año de Movilidad],'Utilización Convenios'!I$3,Tabla1[Nivel],"Pregrado")</f>
        <v>0</v>
      </c>
      <c r="J73" s="65">
        <f>COUNTIFS(Tabla2[Tipo de Movilidad],"Intercambio*",Tabla2[Universidad KPIs],'Utilización Convenios'!$C73,Tabla2[Año],'Utilización Convenios'!I$3,Tabla2[Nivel Nominación],"Undergraduate / Bachelor")</f>
        <v>0</v>
      </c>
      <c r="K73" s="29">
        <f>COUNTIFS(Tabla1[Tipo de Movilidad],"Intercambio*",Tabla1[Universidad KPIs],'Utilización Convenios'!$C73,Tabla1[Año de Movilidad],'Utilización Convenios'!K$3,Tabla1[Nivel],"Pregrado")</f>
        <v>1</v>
      </c>
      <c r="L73" s="65">
        <f>COUNTIFS(Tabla2[Tipo de Movilidad],"Intercambio*",Tabla2[Universidad KPIs],'Utilización Convenios'!$C73,Tabla2[Año],'Utilización Convenios'!K$3,Tabla2[Nivel Nominación],"Undergraduate / Bachelor")</f>
        <v>0</v>
      </c>
      <c r="M73" s="29">
        <f>COUNTIFS(Tabla1[Tipo de Movilidad],"Intercambio*",Tabla1[Universidad KPIs],'Utilización Convenios'!$C73,Tabla1[Año de Movilidad],'Utilización Convenios'!M$3,Tabla1[Nivel],"Pregrado")</f>
        <v>0</v>
      </c>
      <c r="N73" s="68">
        <f>COUNTIFS(Tabla2[Tipo de Movilidad],"Intercambio*",Tabla2[Universidad KPIs],'Utilización Convenios'!$C73,Tabla2[Año],'Utilización Convenios'!M$3,Tabla2[Nivel Nominación],"Undergraduate / Bachelor")</f>
        <v>0</v>
      </c>
      <c r="O73" s="29">
        <f>COUNTIFS(Tabla1[Tipo de Movilidad],"Intercambio*",Tabla1[Universidad KPIs],'Utilización Convenios'!$C73,Tabla1[Año de Movilidad],'Utilización Convenios'!O$3,Tabla1[Nivel],"Pregrado")</f>
        <v>0</v>
      </c>
      <c r="P73" s="68">
        <f>COUNTIFS(Tabla2[Tipo de Movilidad],"Intercambio*",Tabla2[Universidad KPIs],'Utilización Convenios'!$C73,Tabla2[Año],'Utilización Convenios'!O$3,Tabla2[Nivel Nominación],"Undergraduate / Bachelor")</f>
        <v>0</v>
      </c>
      <c r="Q73" s="75">
        <f t="shared" si="2"/>
        <v>1</v>
      </c>
      <c r="R73" s="76">
        <f t="shared" si="2"/>
        <v>0</v>
      </c>
    </row>
    <row r="74" spans="2:18">
      <c r="B74" s="242"/>
      <c r="C74" s="138" t="s">
        <v>151</v>
      </c>
      <c r="D74" s="139" t="s">
        <v>78</v>
      </c>
      <c r="E74" s="134">
        <f>COUNTIFS(Tabla1[Tipo de Movilidad],"Intercambio*",Tabla1[Universidad KPIs],'Utilización Convenios'!$C74,Tabla1[Año de Movilidad],'Utilización Convenios'!E$3,Tabla1[Nivel],"Pregrado")</f>
        <v>0</v>
      </c>
      <c r="F74" s="65">
        <f>COUNTIFS(Tabla2[Tipo de Movilidad],"Intercambio*",Tabla2[Universidad KPIs],'Utilización Convenios'!$C74,Tabla2[Año],'Utilización Convenios'!E$3,Tabla2[Nivel Nominación],"Undergraduate / Bachelor")</f>
        <v>0</v>
      </c>
      <c r="G74" s="29">
        <f>COUNTIFS(Tabla1[Tipo de Movilidad],"Intercambio*",Tabla1[Universidad KPIs],'Utilización Convenios'!$C74,Tabla1[Año de Movilidad],'Utilización Convenios'!G$3,Tabla1[Nivel],"Pregrado")</f>
        <v>0</v>
      </c>
      <c r="H74" s="65">
        <f>COUNTIFS(Tabla2[Tipo de Movilidad],"Intercambio*",Tabla2[Universidad KPIs],'Utilización Convenios'!$C74,Tabla2[Año],'Utilización Convenios'!G$3,Tabla2[Nivel Nominación],"Undergraduate / Bachelor")</f>
        <v>0</v>
      </c>
      <c r="I74" s="29">
        <f>COUNTIFS(Tabla1[Tipo de Movilidad],"Intercambio*",Tabla1[Universidad KPIs],'Utilización Convenios'!$C74,Tabla1[Año de Movilidad],'Utilización Convenios'!I$3,Tabla1[Nivel],"Pregrado")</f>
        <v>1</v>
      </c>
      <c r="J74" s="65">
        <f>COUNTIFS(Tabla2[Tipo de Movilidad],"Intercambio*",Tabla2[Universidad KPIs],'Utilización Convenios'!$C74,Tabla2[Año],'Utilización Convenios'!I$3,Tabla2[Nivel Nominación],"Undergraduate / Bachelor")</f>
        <v>0</v>
      </c>
      <c r="K74" s="29">
        <f>COUNTIFS(Tabla1[Tipo de Movilidad],"Intercambio*",Tabla1[Universidad KPIs],'Utilización Convenios'!$C74,Tabla1[Año de Movilidad],'Utilización Convenios'!K$3,Tabla1[Nivel],"Pregrado")</f>
        <v>0</v>
      </c>
      <c r="L74" s="65">
        <f>COUNTIFS(Tabla2[Tipo de Movilidad],"Intercambio*",Tabla2[Universidad KPIs],'Utilización Convenios'!$C74,Tabla2[Año],'Utilización Convenios'!K$3,Tabla2[Nivel Nominación],"Undergraduate / Bachelor")</f>
        <v>0</v>
      </c>
      <c r="M74" s="29">
        <f>COUNTIFS(Tabla1[Tipo de Movilidad],"Intercambio*",Tabla1[Universidad KPIs],'Utilización Convenios'!$C74,Tabla1[Año de Movilidad],'Utilización Convenios'!M$3,Tabla1[Nivel],"Pregrado")</f>
        <v>0</v>
      </c>
      <c r="N74" s="68">
        <f>COUNTIFS(Tabla2[Tipo de Movilidad],"Intercambio*",Tabla2[Universidad KPIs],'Utilización Convenios'!$C74,Tabla2[Año],'Utilización Convenios'!M$3,Tabla2[Nivel Nominación],"Undergraduate / Bachelor")</f>
        <v>0</v>
      </c>
      <c r="O74" s="29">
        <f>COUNTIFS(Tabla1[Tipo de Movilidad],"Intercambio*",Tabla1[Universidad KPIs],'Utilización Convenios'!$C74,Tabla1[Año de Movilidad],'Utilización Convenios'!O$3,Tabla1[Nivel],"Pregrado")</f>
        <v>0</v>
      </c>
      <c r="P74" s="68">
        <f>COUNTIFS(Tabla2[Tipo de Movilidad],"Intercambio*",Tabla2[Universidad KPIs],'Utilización Convenios'!$C74,Tabla2[Año],'Utilización Convenios'!O$3,Tabla2[Nivel Nominación],"Undergraduate / Bachelor")</f>
        <v>0</v>
      </c>
      <c r="Q74" s="75">
        <f t="shared" si="2"/>
        <v>1</v>
      </c>
      <c r="R74" s="76">
        <f t="shared" si="2"/>
        <v>0</v>
      </c>
    </row>
    <row r="75" spans="2:18">
      <c r="B75" s="242"/>
      <c r="C75" s="138" t="s">
        <v>152</v>
      </c>
      <c r="D75" s="139" t="s">
        <v>63</v>
      </c>
      <c r="E75" s="134">
        <f>COUNTIFS(Tabla1[Tipo de Movilidad],"Intercambio*",Tabla1[Universidad KPIs],'Utilización Convenios'!$C75,Tabla1[Año de Movilidad],'Utilización Convenios'!E$3,Tabla1[Nivel],"Pregrado")</f>
        <v>1</v>
      </c>
      <c r="F75" s="65">
        <f>COUNTIFS(Tabla2[Tipo de Movilidad],"Intercambio*",Tabla2[Universidad KPIs],'Utilización Convenios'!$C75,Tabla2[Año],'Utilización Convenios'!E$3,Tabla2[Nivel Nominación],"Undergraduate / Bachelor")</f>
        <v>0</v>
      </c>
      <c r="G75" s="29">
        <f>COUNTIFS(Tabla1[Tipo de Movilidad],"Intercambio*",Tabla1[Universidad KPIs],'Utilización Convenios'!$C75,Tabla1[Año de Movilidad],'Utilización Convenios'!G$3,Tabla1[Nivel],"Pregrado")</f>
        <v>0</v>
      </c>
      <c r="H75" s="65">
        <f>COUNTIFS(Tabla2[Tipo de Movilidad],"Intercambio*",Tabla2[Universidad KPIs],'Utilización Convenios'!$C75,Tabla2[Año],'Utilización Convenios'!G$3,Tabla2[Nivel Nominación],"Undergraduate / Bachelor")</f>
        <v>0</v>
      </c>
      <c r="I75" s="29">
        <f>COUNTIFS(Tabla1[Tipo de Movilidad],"Intercambio*",Tabla1[Universidad KPIs],'Utilización Convenios'!$C75,Tabla1[Año de Movilidad],'Utilización Convenios'!I$3,Tabla1[Nivel],"Pregrado")</f>
        <v>0</v>
      </c>
      <c r="J75" s="65">
        <f>COUNTIFS(Tabla2[Tipo de Movilidad],"Intercambio*",Tabla2[Universidad KPIs],'Utilización Convenios'!$C75,Tabla2[Año],'Utilización Convenios'!I$3,Tabla2[Nivel Nominación],"Undergraduate / Bachelor")</f>
        <v>1</v>
      </c>
      <c r="K75" s="29">
        <f>COUNTIFS(Tabla1[Tipo de Movilidad],"Intercambio*",Tabla1[Universidad KPIs],'Utilización Convenios'!$C75,Tabla1[Año de Movilidad],'Utilización Convenios'!K$3,Tabla1[Nivel],"Pregrado")</f>
        <v>0</v>
      </c>
      <c r="L75" s="65">
        <f>COUNTIFS(Tabla2[Tipo de Movilidad],"Intercambio*",Tabla2[Universidad KPIs],'Utilización Convenios'!$C75,Tabla2[Año],'Utilización Convenios'!K$3,Tabla2[Nivel Nominación],"Undergraduate / Bachelor")</f>
        <v>0</v>
      </c>
      <c r="M75" s="29">
        <f>COUNTIFS(Tabla1[Tipo de Movilidad],"Intercambio*",Tabla1[Universidad KPIs],'Utilización Convenios'!$C75,Tabla1[Año de Movilidad],'Utilización Convenios'!M$3,Tabla1[Nivel],"Pregrado")</f>
        <v>0</v>
      </c>
      <c r="N75" s="68">
        <f>COUNTIFS(Tabla2[Tipo de Movilidad],"Intercambio*",Tabla2[Universidad KPIs],'Utilización Convenios'!$C75,Tabla2[Año],'Utilización Convenios'!M$3,Tabla2[Nivel Nominación],"Undergraduate / Bachelor")</f>
        <v>0</v>
      </c>
      <c r="O75" s="29">
        <f>COUNTIFS(Tabla1[Tipo de Movilidad],"Intercambio*",Tabla1[Universidad KPIs],'Utilización Convenios'!$C75,Tabla1[Año de Movilidad],'Utilización Convenios'!O$3,Tabla1[Nivel],"Pregrado")</f>
        <v>0</v>
      </c>
      <c r="P75" s="68">
        <f>COUNTIFS(Tabla2[Tipo de Movilidad],"Intercambio*",Tabla2[Universidad KPIs],'Utilización Convenios'!$C75,Tabla2[Año],'Utilización Convenios'!O$3,Tabla2[Nivel Nominación],"Undergraduate / Bachelor")</f>
        <v>0</v>
      </c>
      <c r="Q75" s="75">
        <f t="shared" si="2"/>
        <v>1</v>
      </c>
      <c r="R75" s="76">
        <f t="shared" si="2"/>
        <v>1</v>
      </c>
    </row>
    <row r="76" spans="2:18">
      <c r="B76" s="242"/>
      <c r="C76" s="138" t="s">
        <v>153</v>
      </c>
      <c r="D76" s="139" t="s">
        <v>51</v>
      </c>
      <c r="E76" s="134">
        <f>COUNTIFS(Tabla1[Tipo de Movilidad],"Intercambio*",Tabla1[Universidad KPIs],'Utilización Convenios'!$C76,Tabla1[Año de Movilidad],'Utilización Convenios'!E$3,Tabla1[Nivel],"Pregrado")</f>
        <v>0</v>
      </c>
      <c r="F76" s="65">
        <f>COUNTIFS(Tabla2[Tipo de Movilidad],"Intercambio*",Tabla2[Universidad KPIs],'Utilización Convenios'!$C76,Tabla2[Año],'Utilización Convenios'!E$3,Tabla2[Nivel Nominación],"Undergraduate / Bachelor")</f>
        <v>0</v>
      </c>
      <c r="G76" s="29">
        <f>COUNTIFS(Tabla1[Tipo de Movilidad],"Intercambio*",Tabla1[Universidad KPIs],'Utilización Convenios'!$C76,Tabla1[Año de Movilidad],'Utilización Convenios'!G$3,Tabla1[Nivel],"Pregrado")</f>
        <v>0</v>
      </c>
      <c r="H76" s="65">
        <f>COUNTIFS(Tabla2[Tipo de Movilidad],"Intercambio*",Tabla2[Universidad KPIs],'Utilización Convenios'!$C76,Tabla2[Año],'Utilización Convenios'!G$3,Tabla2[Nivel Nominación],"Undergraduate / Bachelor")</f>
        <v>0</v>
      </c>
      <c r="I76" s="29">
        <f>COUNTIFS(Tabla1[Tipo de Movilidad],"Intercambio*",Tabla1[Universidad KPIs],'Utilización Convenios'!$C76,Tabla1[Año de Movilidad],'Utilización Convenios'!I$3,Tabla1[Nivel],"Pregrado")</f>
        <v>2</v>
      </c>
      <c r="J76" s="65">
        <f>COUNTIFS(Tabla2[Tipo de Movilidad],"Intercambio*",Tabla2[Universidad KPIs],'Utilización Convenios'!$C76,Tabla2[Año],'Utilización Convenios'!I$3,Tabla2[Nivel Nominación],"Undergraduate / Bachelor")</f>
        <v>0</v>
      </c>
      <c r="K76" s="29">
        <f>COUNTIFS(Tabla1[Tipo de Movilidad],"Intercambio*",Tabla1[Universidad KPIs],'Utilización Convenios'!$C76,Tabla1[Año de Movilidad],'Utilización Convenios'!K$3,Tabla1[Nivel],"Pregrado")</f>
        <v>1</v>
      </c>
      <c r="L76" s="65">
        <f>COUNTIFS(Tabla2[Tipo de Movilidad],"Intercambio*",Tabla2[Universidad KPIs],'Utilización Convenios'!$C76,Tabla2[Año],'Utilización Convenios'!K$3,Tabla2[Nivel Nominación],"Undergraduate / Bachelor")</f>
        <v>0</v>
      </c>
      <c r="M76" s="29">
        <f>COUNTIFS(Tabla1[Tipo de Movilidad],"Intercambio*",Tabla1[Universidad KPIs],'Utilización Convenios'!$C76,Tabla1[Año de Movilidad],'Utilización Convenios'!M$3,Tabla1[Nivel],"Pregrado")</f>
        <v>0</v>
      </c>
      <c r="N76" s="68">
        <f>COUNTIFS(Tabla2[Tipo de Movilidad],"Intercambio*",Tabla2[Universidad KPIs],'Utilización Convenios'!$C76,Tabla2[Año],'Utilización Convenios'!M$3,Tabla2[Nivel Nominación],"Undergraduate / Bachelor")</f>
        <v>0</v>
      </c>
      <c r="O76" s="29">
        <f>COUNTIFS(Tabla1[Tipo de Movilidad],"Intercambio*",Tabla1[Universidad KPIs],'Utilización Convenios'!$C76,Tabla1[Año de Movilidad],'Utilización Convenios'!O$3,Tabla1[Nivel],"Pregrado")</f>
        <v>0</v>
      </c>
      <c r="P76" s="68">
        <f>COUNTIFS(Tabla2[Tipo de Movilidad],"Intercambio*",Tabla2[Universidad KPIs],'Utilización Convenios'!$C76,Tabla2[Año],'Utilización Convenios'!O$3,Tabla2[Nivel Nominación],"Undergraduate / Bachelor")</f>
        <v>0</v>
      </c>
      <c r="Q76" s="75">
        <f t="shared" si="2"/>
        <v>3</v>
      </c>
      <c r="R76" s="76">
        <f t="shared" si="2"/>
        <v>0</v>
      </c>
    </row>
    <row r="77" spans="2:18">
      <c r="B77" s="242"/>
      <c r="C77" s="138" t="s">
        <v>154</v>
      </c>
      <c r="D77" s="139" t="s">
        <v>76</v>
      </c>
      <c r="E77" s="134">
        <f>COUNTIFS(Tabla1[Tipo de Movilidad],"Intercambio*",Tabla1[Universidad KPIs],'Utilización Convenios'!$C77,Tabla1[Año de Movilidad],'Utilización Convenios'!E$3,Tabla1[Nivel],"Pregrado")</f>
        <v>0</v>
      </c>
      <c r="F77" s="65">
        <f>COUNTIFS(Tabla2[Tipo de Movilidad],"Intercambio*",Tabla2[Universidad KPIs],'Utilización Convenios'!$C77,Tabla2[Año],'Utilización Convenios'!E$3,Tabla2[Nivel Nominación],"Undergraduate / Bachelor")</f>
        <v>0</v>
      </c>
      <c r="G77" s="29">
        <f>COUNTIFS(Tabla1[Tipo de Movilidad],"Intercambio*",Tabla1[Universidad KPIs],'Utilización Convenios'!$C77,Tabla1[Año de Movilidad],'Utilización Convenios'!G$3,Tabla1[Nivel],"Pregrado")</f>
        <v>1</v>
      </c>
      <c r="H77" s="65">
        <f>COUNTIFS(Tabla2[Tipo de Movilidad],"Intercambio*",Tabla2[Universidad KPIs],'Utilización Convenios'!$C77,Tabla2[Año],'Utilización Convenios'!G$3,Tabla2[Nivel Nominación],"Undergraduate / Bachelor")</f>
        <v>0</v>
      </c>
      <c r="I77" s="29">
        <f>COUNTIFS(Tabla1[Tipo de Movilidad],"Intercambio*",Tabla1[Universidad KPIs],'Utilización Convenios'!$C77,Tabla1[Año de Movilidad],'Utilización Convenios'!I$3,Tabla1[Nivel],"Pregrado")</f>
        <v>0</v>
      </c>
      <c r="J77" s="65">
        <f>COUNTIFS(Tabla2[Tipo de Movilidad],"Intercambio*",Tabla2[Universidad KPIs],'Utilización Convenios'!$C77,Tabla2[Año],'Utilización Convenios'!I$3,Tabla2[Nivel Nominación],"Undergraduate / Bachelor")</f>
        <v>0</v>
      </c>
      <c r="K77" s="29">
        <f>COUNTIFS(Tabla1[Tipo de Movilidad],"Intercambio*",Tabla1[Universidad KPIs],'Utilización Convenios'!$C77,Tabla1[Año de Movilidad],'Utilización Convenios'!K$3,Tabla1[Nivel],"Pregrado")</f>
        <v>0</v>
      </c>
      <c r="L77" s="65">
        <f>COUNTIFS(Tabla2[Tipo de Movilidad],"Intercambio*",Tabla2[Universidad KPIs],'Utilización Convenios'!$C77,Tabla2[Año],'Utilización Convenios'!K$3,Tabla2[Nivel Nominación],"Undergraduate / Bachelor")</f>
        <v>0</v>
      </c>
      <c r="M77" s="29">
        <f>COUNTIFS(Tabla1[Tipo de Movilidad],"Intercambio*",Tabla1[Universidad KPIs],'Utilización Convenios'!$C77,Tabla1[Año de Movilidad],'Utilización Convenios'!M$3,Tabla1[Nivel],"Pregrado")</f>
        <v>0</v>
      </c>
      <c r="N77" s="68">
        <f>COUNTIFS(Tabla2[Tipo de Movilidad],"Intercambio*",Tabla2[Universidad KPIs],'Utilización Convenios'!$C77,Tabla2[Año],'Utilización Convenios'!M$3,Tabla2[Nivel Nominación],"Undergraduate / Bachelor")</f>
        <v>0</v>
      </c>
      <c r="O77" s="29">
        <f>COUNTIFS(Tabla1[Tipo de Movilidad],"Intercambio*",Tabla1[Universidad KPIs],'Utilización Convenios'!$C77,Tabla1[Año de Movilidad],'Utilización Convenios'!O$3,Tabla1[Nivel],"Pregrado")</f>
        <v>0</v>
      </c>
      <c r="P77" s="68">
        <f>COUNTIFS(Tabla2[Tipo de Movilidad],"Intercambio*",Tabla2[Universidad KPIs],'Utilización Convenios'!$C77,Tabla2[Año],'Utilización Convenios'!O$3,Tabla2[Nivel Nominación],"Undergraduate / Bachelor")</f>
        <v>0</v>
      </c>
      <c r="Q77" s="75">
        <f t="shared" si="2"/>
        <v>1</v>
      </c>
      <c r="R77" s="76">
        <f t="shared" si="2"/>
        <v>0</v>
      </c>
    </row>
    <row r="78" spans="2:18">
      <c r="B78" s="242"/>
      <c r="C78" s="138" t="s">
        <v>155</v>
      </c>
      <c r="D78" s="139" t="s">
        <v>76</v>
      </c>
      <c r="E78" s="134">
        <f>COUNTIFS(Tabla1[Tipo de Movilidad],"Intercambio*",Tabla1[Universidad KPIs],'Utilización Convenios'!$C78,Tabla1[Año de Movilidad],'Utilización Convenios'!E$3,Tabla1[Nivel],"Pregrado")</f>
        <v>0</v>
      </c>
      <c r="F78" s="65">
        <f>COUNTIFS(Tabla2[Tipo de Movilidad],"Intercambio*",Tabla2[Universidad KPIs],'Utilización Convenios'!$C78,Tabla2[Año],'Utilización Convenios'!E$3,Tabla2[Nivel Nominación],"Undergraduate / Bachelor")</f>
        <v>2</v>
      </c>
      <c r="G78" s="29">
        <f>COUNTIFS(Tabla1[Tipo de Movilidad],"Intercambio*",Tabla1[Universidad KPIs],'Utilización Convenios'!$C78,Tabla1[Año de Movilidad],'Utilización Convenios'!G$3,Tabla1[Nivel],"Pregrado")</f>
        <v>0</v>
      </c>
      <c r="H78" s="65">
        <f>COUNTIFS(Tabla2[Tipo de Movilidad],"Intercambio*",Tabla2[Universidad KPIs],'Utilización Convenios'!$C78,Tabla2[Año],'Utilización Convenios'!G$3,Tabla2[Nivel Nominación],"Undergraduate / Bachelor")</f>
        <v>0</v>
      </c>
      <c r="I78" s="29">
        <f>COUNTIFS(Tabla1[Tipo de Movilidad],"Intercambio*",Tabla1[Universidad KPIs],'Utilización Convenios'!$C78,Tabla1[Año de Movilidad],'Utilización Convenios'!I$3,Tabla1[Nivel],"Pregrado")</f>
        <v>0</v>
      </c>
      <c r="J78" s="65">
        <f>COUNTIFS(Tabla2[Tipo de Movilidad],"Intercambio*",Tabla2[Universidad KPIs],'Utilización Convenios'!$C78,Tabla2[Año],'Utilización Convenios'!I$3,Tabla2[Nivel Nominación],"Undergraduate / Bachelor")</f>
        <v>1</v>
      </c>
      <c r="K78" s="29">
        <f>COUNTIFS(Tabla1[Tipo de Movilidad],"Intercambio*",Tabla1[Universidad KPIs],'Utilización Convenios'!$C78,Tabla1[Año de Movilidad],'Utilización Convenios'!K$3,Tabla1[Nivel],"Pregrado")</f>
        <v>0</v>
      </c>
      <c r="L78" s="65">
        <f>COUNTIFS(Tabla2[Tipo de Movilidad],"Intercambio*",Tabla2[Universidad KPIs],'Utilización Convenios'!$C78,Tabla2[Año],'Utilización Convenios'!K$3,Tabla2[Nivel Nominación],"Undergraduate / Bachelor")</f>
        <v>0</v>
      </c>
      <c r="M78" s="29">
        <f>COUNTIFS(Tabla1[Tipo de Movilidad],"Intercambio*",Tabla1[Universidad KPIs],'Utilización Convenios'!$C78,Tabla1[Año de Movilidad],'Utilización Convenios'!M$3,Tabla1[Nivel],"Pregrado")</f>
        <v>0</v>
      </c>
      <c r="N78" s="68">
        <f>COUNTIFS(Tabla2[Tipo de Movilidad],"Intercambio*",Tabla2[Universidad KPIs],'Utilización Convenios'!$C78,Tabla2[Año],'Utilización Convenios'!M$3,Tabla2[Nivel Nominación],"Undergraduate / Bachelor")</f>
        <v>0</v>
      </c>
      <c r="O78" s="29">
        <f>COUNTIFS(Tabla1[Tipo de Movilidad],"Intercambio*",Tabla1[Universidad KPIs],'Utilización Convenios'!$C78,Tabla1[Año de Movilidad],'Utilización Convenios'!O$3,Tabla1[Nivel],"Pregrado")</f>
        <v>0</v>
      </c>
      <c r="P78" s="68">
        <f>COUNTIFS(Tabla2[Tipo de Movilidad],"Intercambio*",Tabla2[Universidad KPIs],'Utilización Convenios'!$C78,Tabla2[Año],'Utilización Convenios'!O$3,Tabla2[Nivel Nominación],"Undergraduate / Bachelor")</f>
        <v>0</v>
      </c>
      <c r="Q78" s="75">
        <f t="shared" si="2"/>
        <v>0</v>
      </c>
      <c r="R78" s="76">
        <f t="shared" si="2"/>
        <v>3</v>
      </c>
    </row>
    <row r="79" spans="2:18">
      <c r="B79" s="242"/>
      <c r="C79" s="138" t="s">
        <v>156</v>
      </c>
      <c r="D79" s="139" t="s">
        <v>69</v>
      </c>
      <c r="E79" s="134">
        <f>COUNTIFS(Tabla1[Tipo de Movilidad],"Intercambio*",Tabla1[Universidad KPIs],'Utilización Convenios'!$C79,Tabla1[Año de Movilidad],'Utilización Convenios'!E$3,Tabla1[Nivel],"Pregrado")</f>
        <v>1</v>
      </c>
      <c r="F79" s="65">
        <f>COUNTIFS(Tabla2[Tipo de Movilidad],"Intercambio*",Tabla2[Universidad KPIs],'Utilización Convenios'!$C79,Tabla2[Año],'Utilización Convenios'!E$3,Tabla2[Nivel Nominación],"Undergraduate / Bachelor")</f>
        <v>0</v>
      </c>
      <c r="G79" s="29">
        <f>COUNTIFS(Tabla1[Tipo de Movilidad],"Intercambio*",Tabla1[Universidad KPIs],'Utilización Convenios'!$C79,Tabla1[Año de Movilidad],'Utilización Convenios'!G$3,Tabla1[Nivel],"Pregrado")</f>
        <v>0</v>
      </c>
      <c r="H79" s="65">
        <f>COUNTIFS(Tabla2[Tipo de Movilidad],"Intercambio*",Tabla2[Universidad KPIs],'Utilización Convenios'!$C79,Tabla2[Año],'Utilización Convenios'!G$3,Tabla2[Nivel Nominación],"Undergraduate / Bachelor")</f>
        <v>0</v>
      </c>
      <c r="I79" s="29">
        <f>COUNTIFS(Tabla1[Tipo de Movilidad],"Intercambio*",Tabla1[Universidad KPIs],'Utilización Convenios'!$C79,Tabla1[Año de Movilidad],'Utilización Convenios'!I$3,Tabla1[Nivel],"Pregrado")</f>
        <v>0</v>
      </c>
      <c r="J79" s="65">
        <f>COUNTIFS(Tabla2[Tipo de Movilidad],"Intercambio*",Tabla2[Universidad KPIs],'Utilización Convenios'!$C79,Tabla2[Año],'Utilización Convenios'!I$3,Tabla2[Nivel Nominación],"Undergraduate / Bachelor")</f>
        <v>0</v>
      </c>
      <c r="K79" s="29">
        <f>COUNTIFS(Tabla1[Tipo de Movilidad],"Intercambio*",Tabla1[Universidad KPIs],'Utilización Convenios'!$C79,Tabla1[Año de Movilidad],'Utilización Convenios'!K$3,Tabla1[Nivel],"Pregrado")</f>
        <v>0</v>
      </c>
      <c r="L79" s="65">
        <f>COUNTIFS(Tabla2[Tipo de Movilidad],"Intercambio*",Tabla2[Universidad KPIs],'Utilización Convenios'!$C79,Tabla2[Año],'Utilización Convenios'!K$3,Tabla2[Nivel Nominación],"Undergraduate / Bachelor")</f>
        <v>0</v>
      </c>
      <c r="M79" s="29">
        <f>COUNTIFS(Tabla1[Tipo de Movilidad],"Intercambio*",Tabla1[Universidad KPIs],'Utilización Convenios'!$C79,Tabla1[Año de Movilidad],'Utilización Convenios'!M$3,Tabla1[Nivel],"Pregrado")</f>
        <v>0</v>
      </c>
      <c r="N79" s="68">
        <f>COUNTIFS(Tabla2[Tipo de Movilidad],"Intercambio*",Tabla2[Universidad KPIs],'Utilización Convenios'!$C79,Tabla2[Año],'Utilización Convenios'!M$3,Tabla2[Nivel Nominación],"Undergraduate / Bachelor")</f>
        <v>0</v>
      </c>
      <c r="O79" s="29">
        <f>COUNTIFS(Tabla1[Tipo de Movilidad],"Intercambio*",Tabla1[Universidad KPIs],'Utilización Convenios'!$C79,Tabla1[Año de Movilidad],'Utilización Convenios'!O$3,Tabla1[Nivel],"Pregrado")</f>
        <v>0</v>
      </c>
      <c r="P79" s="68">
        <f>COUNTIFS(Tabla2[Tipo de Movilidad],"Intercambio*",Tabla2[Universidad KPIs],'Utilización Convenios'!$C79,Tabla2[Año],'Utilización Convenios'!O$3,Tabla2[Nivel Nominación],"Undergraduate / Bachelor")</f>
        <v>0</v>
      </c>
      <c r="Q79" s="75">
        <f t="shared" si="2"/>
        <v>1</v>
      </c>
      <c r="R79" s="76">
        <f t="shared" si="2"/>
        <v>0</v>
      </c>
    </row>
    <row r="80" spans="2:18">
      <c r="B80" s="242"/>
      <c r="C80" s="138" t="s">
        <v>157</v>
      </c>
      <c r="D80" s="139" t="s">
        <v>158</v>
      </c>
      <c r="E80" s="134">
        <f>COUNTIFS(Tabla1[Tipo de Movilidad],"Intercambio*",Tabla1[Universidad KPIs],'Utilización Convenios'!$C80,Tabla1[Año de Movilidad],'Utilización Convenios'!E$3,Tabla1[Nivel],"Pregrado")</f>
        <v>0</v>
      </c>
      <c r="F80" s="65">
        <f>COUNTIFS(Tabla2[Tipo de Movilidad],"Intercambio*",Tabla2[Universidad KPIs],'Utilización Convenios'!$C80,Tabla2[Año],'Utilización Convenios'!E$3,Tabla2[Nivel Nominación],"Undergraduate / Bachelor")</f>
        <v>0</v>
      </c>
      <c r="G80" s="29">
        <f>COUNTIFS(Tabla1[Tipo de Movilidad],"Intercambio*",Tabla1[Universidad KPIs],'Utilización Convenios'!$C80,Tabla1[Año de Movilidad],'Utilización Convenios'!G$3,Tabla1[Nivel],"Pregrado")</f>
        <v>0</v>
      </c>
      <c r="H80" s="65">
        <f>COUNTIFS(Tabla2[Tipo de Movilidad],"Intercambio*",Tabla2[Universidad KPIs],'Utilización Convenios'!$C80,Tabla2[Año],'Utilización Convenios'!G$3,Tabla2[Nivel Nominación],"Undergraduate / Bachelor")</f>
        <v>0</v>
      </c>
      <c r="I80" s="29">
        <f>COUNTIFS(Tabla1[Tipo de Movilidad],"Intercambio*",Tabla1[Universidad KPIs],'Utilización Convenios'!$C80,Tabla1[Año de Movilidad],'Utilización Convenios'!I$3,Tabla1[Nivel],"Pregrado")</f>
        <v>0</v>
      </c>
      <c r="J80" s="65">
        <f>COUNTIFS(Tabla2[Tipo de Movilidad],"Intercambio*",Tabla2[Universidad KPIs],'Utilización Convenios'!$C80,Tabla2[Año],'Utilización Convenios'!I$3,Tabla2[Nivel Nominación],"Undergraduate / Bachelor")</f>
        <v>3</v>
      </c>
      <c r="K80" s="29">
        <f>COUNTIFS(Tabla1[Tipo de Movilidad],"Intercambio*",Tabla1[Universidad KPIs],'Utilización Convenios'!$C80,Tabla1[Año de Movilidad],'Utilización Convenios'!K$3,Tabla1[Nivel],"Pregrado")</f>
        <v>0</v>
      </c>
      <c r="L80" s="65">
        <f>COUNTIFS(Tabla2[Tipo de Movilidad],"Intercambio*",Tabla2[Universidad KPIs],'Utilización Convenios'!$C80,Tabla2[Año],'Utilización Convenios'!K$3,Tabla2[Nivel Nominación],"Undergraduate / Bachelor")</f>
        <v>0</v>
      </c>
      <c r="M80" s="29">
        <f>COUNTIFS(Tabla1[Tipo de Movilidad],"Intercambio*",Tabla1[Universidad KPIs],'Utilización Convenios'!$C80,Tabla1[Año de Movilidad],'Utilización Convenios'!M$3,Tabla1[Nivel],"Pregrado")</f>
        <v>0</v>
      </c>
      <c r="N80" s="68">
        <f>COUNTIFS(Tabla2[Tipo de Movilidad],"Intercambio*",Tabla2[Universidad KPIs],'Utilización Convenios'!$C80,Tabla2[Año],'Utilización Convenios'!M$3,Tabla2[Nivel Nominación],"Undergraduate / Bachelor")</f>
        <v>0</v>
      </c>
      <c r="O80" s="29">
        <f>COUNTIFS(Tabla1[Tipo de Movilidad],"Intercambio*",Tabla1[Universidad KPIs],'Utilización Convenios'!$C80,Tabla1[Año de Movilidad],'Utilización Convenios'!O$3,Tabla1[Nivel],"Pregrado")</f>
        <v>0</v>
      </c>
      <c r="P80" s="68">
        <f>COUNTIFS(Tabla2[Tipo de Movilidad],"Intercambio*",Tabla2[Universidad KPIs],'Utilización Convenios'!$C80,Tabla2[Año],'Utilización Convenios'!O$3,Tabla2[Nivel Nominación],"Undergraduate / Bachelor")</f>
        <v>1</v>
      </c>
      <c r="Q80" s="75">
        <f t="shared" si="2"/>
        <v>0</v>
      </c>
      <c r="R80" s="76">
        <f t="shared" si="2"/>
        <v>4</v>
      </c>
    </row>
    <row r="81" spans="2:18">
      <c r="B81" s="242"/>
      <c r="C81" s="138" t="s">
        <v>159</v>
      </c>
      <c r="D81" s="139" t="s">
        <v>69</v>
      </c>
      <c r="E81" s="134">
        <f>COUNTIFS(Tabla1[Tipo de Movilidad],"Intercambio*",Tabla1[Universidad KPIs],'Utilización Convenios'!$C81,Tabla1[Año de Movilidad],'Utilización Convenios'!E$3,Tabla1[Nivel],"Pregrado")</f>
        <v>0</v>
      </c>
      <c r="F81" s="65">
        <f>COUNTIFS(Tabla2[Tipo de Movilidad],"Intercambio*",Tabla2[Universidad KPIs],'Utilización Convenios'!$C81,Tabla2[Año],'Utilización Convenios'!E$3,Tabla2[Nivel Nominación],"Undergraduate / Bachelor")</f>
        <v>0</v>
      </c>
      <c r="G81" s="29">
        <f>COUNTIFS(Tabla1[Tipo de Movilidad],"Intercambio*",Tabla1[Universidad KPIs],'Utilización Convenios'!$C81,Tabla1[Año de Movilidad],'Utilización Convenios'!G$3,Tabla1[Nivel],"Pregrado")</f>
        <v>0</v>
      </c>
      <c r="H81" s="65">
        <f>COUNTIFS(Tabla2[Tipo de Movilidad],"Intercambio*",Tabla2[Universidad KPIs],'Utilización Convenios'!$C81,Tabla2[Año],'Utilización Convenios'!G$3,Tabla2[Nivel Nominación],"Undergraduate / Bachelor")</f>
        <v>0</v>
      </c>
      <c r="I81" s="29">
        <f>COUNTIFS(Tabla1[Tipo de Movilidad],"Intercambio*",Tabla1[Universidad KPIs],'Utilización Convenios'!$C81,Tabla1[Año de Movilidad],'Utilización Convenios'!I$3,Tabla1[Nivel],"Pregrado")</f>
        <v>0</v>
      </c>
      <c r="J81" s="65">
        <f>COUNTIFS(Tabla2[Tipo de Movilidad],"Intercambio*",Tabla2[Universidad KPIs],'Utilización Convenios'!$C81,Tabla2[Año],'Utilización Convenios'!I$3,Tabla2[Nivel Nominación],"Undergraduate / Bachelor")</f>
        <v>0</v>
      </c>
      <c r="K81" s="29">
        <f>COUNTIFS(Tabla1[Tipo de Movilidad],"Intercambio*",Tabla1[Universidad KPIs],'Utilización Convenios'!$C81,Tabla1[Año de Movilidad],'Utilización Convenios'!K$3,Tabla1[Nivel],"Pregrado")</f>
        <v>0</v>
      </c>
      <c r="L81" s="65">
        <f>COUNTIFS(Tabla2[Tipo de Movilidad],"Intercambio*",Tabla2[Universidad KPIs],'Utilización Convenios'!$C81,Tabla2[Año],'Utilización Convenios'!K$3,Tabla2[Nivel Nominación],"Undergraduate / Bachelor")</f>
        <v>0</v>
      </c>
      <c r="M81" s="29">
        <f>COUNTIFS(Tabla1[Tipo de Movilidad],"Intercambio*",Tabla1[Universidad KPIs],'Utilización Convenios'!$C81,Tabla1[Año de Movilidad],'Utilización Convenios'!M$3,Tabla1[Nivel],"Pregrado")</f>
        <v>2</v>
      </c>
      <c r="N81" s="68">
        <f>COUNTIFS(Tabla2[Tipo de Movilidad],"Intercambio*",Tabla2[Universidad KPIs],'Utilización Convenios'!$C81,Tabla2[Año],'Utilización Convenios'!M$3,Tabla2[Nivel Nominación],"Undergraduate / Bachelor")</f>
        <v>0</v>
      </c>
      <c r="O81" s="29">
        <f>COUNTIFS(Tabla1[Tipo de Movilidad],"Intercambio*",Tabla1[Universidad KPIs],'Utilización Convenios'!$C81,Tabla1[Año de Movilidad],'Utilización Convenios'!O$3,Tabla1[Nivel],"Pregrado")</f>
        <v>0</v>
      </c>
      <c r="P81" s="68">
        <f>COUNTIFS(Tabla2[Tipo de Movilidad],"Intercambio*",Tabla2[Universidad KPIs],'Utilización Convenios'!$C81,Tabla2[Año],'Utilización Convenios'!O$3,Tabla2[Nivel Nominación],"Undergraduate / Bachelor")</f>
        <v>0</v>
      </c>
      <c r="Q81" s="75">
        <f t="shared" si="2"/>
        <v>2</v>
      </c>
      <c r="R81" s="76">
        <f t="shared" si="2"/>
        <v>0</v>
      </c>
    </row>
    <row r="82" spans="2:18">
      <c r="B82" s="242"/>
      <c r="C82" s="138" t="s">
        <v>160</v>
      </c>
      <c r="D82" s="139" t="s">
        <v>69</v>
      </c>
      <c r="E82" s="134">
        <f>COUNTIFS(Tabla1[Tipo de Movilidad],"Intercambio*",Tabla1[Universidad KPIs],'Utilización Convenios'!$C82,Tabla1[Año de Movilidad],'Utilización Convenios'!E$3,Tabla1[Nivel],"Pregrado")</f>
        <v>0</v>
      </c>
      <c r="F82" s="65">
        <f>COUNTIFS(Tabla2[Tipo de Movilidad],"Intercambio*",Tabla2[Universidad KPIs],'Utilización Convenios'!$C82,Tabla2[Año],'Utilización Convenios'!E$3,Tabla2[Nivel Nominación],"Undergraduate / Bachelor")</f>
        <v>0</v>
      </c>
      <c r="G82" s="29">
        <f>COUNTIFS(Tabla1[Tipo de Movilidad],"Intercambio*",Tabla1[Universidad KPIs],'Utilización Convenios'!$C82,Tabla1[Año de Movilidad],'Utilización Convenios'!G$3,Tabla1[Nivel],"Pregrado")</f>
        <v>0</v>
      </c>
      <c r="H82" s="65">
        <f>COUNTIFS(Tabla2[Tipo de Movilidad],"Intercambio*",Tabla2[Universidad KPIs],'Utilización Convenios'!$C82,Tabla2[Año],'Utilización Convenios'!G$3,Tabla2[Nivel Nominación],"Undergraduate / Bachelor")</f>
        <v>0</v>
      </c>
      <c r="I82" s="29">
        <f>COUNTIFS(Tabla1[Tipo de Movilidad],"Intercambio*",Tabla1[Universidad KPIs],'Utilización Convenios'!$C82,Tabla1[Año de Movilidad],'Utilización Convenios'!I$3,Tabla1[Nivel],"Pregrado")</f>
        <v>1</v>
      </c>
      <c r="J82" s="65">
        <f>COUNTIFS(Tabla2[Tipo de Movilidad],"Intercambio*",Tabla2[Universidad KPIs],'Utilización Convenios'!$C82,Tabla2[Año],'Utilización Convenios'!I$3,Tabla2[Nivel Nominación],"Undergraduate / Bachelor")</f>
        <v>0</v>
      </c>
      <c r="K82" s="29">
        <f>COUNTIFS(Tabla1[Tipo de Movilidad],"Intercambio*",Tabla1[Universidad KPIs],'Utilización Convenios'!$C82,Tabla1[Año de Movilidad],'Utilización Convenios'!K$3,Tabla1[Nivel],"Pregrado")</f>
        <v>1</v>
      </c>
      <c r="L82" s="65">
        <f>COUNTIFS(Tabla2[Tipo de Movilidad],"Intercambio*",Tabla2[Universidad KPIs],'Utilización Convenios'!$C82,Tabla2[Año],'Utilización Convenios'!K$3,Tabla2[Nivel Nominación],"Undergraduate / Bachelor")</f>
        <v>0</v>
      </c>
      <c r="M82" s="29">
        <f>COUNTIFS(Tabla1[Tipo de Movilidad],"Intercambio*",Tabla1[Universidad KPIs],'Utilización Convenios'!$C82,Tabla1[Año de Movilidad],'Utilización Convenios'!M$3,Tabla1[Nivel],"Pregrado")</f>
        <v>2</v>
      </c>
      <c r="N82" s="68">
        <f>COUNTIFS(Tabla2[Tipo de Movilidad],"Intercambio*",Tabla2[Universidad KPIs],'Utilización Convenios'!$C82,Tabla2[Año],'Utilización Convenios'!M$3,Tabla2[Nivel Nominación],"Undergraduate / Bachelor")</f>
        <v>0</v>
      </c>
      <c r="O82" s="29">
        <f>COUNTIFS(Tabla1[Tipo de Movilidad],"Intercambio*",Tabla1[Universidad KPIs],'Utilización Convenios'!$C82,Tabla1[Año de Movilidad],'Utilización Convenios'!O$3,Tabla1[Nivel],"Pregrado")</f>
        <v>1</v>
      </c>
      <c r="P82" s="68">
        <f>COUNTIFS(Tabla2[Tipo de Movilidad],"Intercambio*",Tabla2[Universidad KPIs],'Utilización Convenios'!$C82,Tabla2[Año],'Utilización Convenios'!O$3,Tabla2[Nivel Nominación],"Undergraduate / Bachelor")</f>
        <v>0</v>
      </c>
      <c r="Q82" s="75">
        <f t="shared" si="2"/>
        <v>5</v>
      </c>
      <c r="R82" s="76">
        <f t="shared" si="2"/>
        <v>0</v>
      </c>
    </row>
    <row r="83" spans="2:18">
      <c r="B83" s="242"/>
      <c r="C83" s="138" t="s">
        <v>161</v>
      </c>
      <c r="D83" s="139" t="s">
        <v>69</v>
      </c>
      <c r="E83" s="134">
        <f>COUNTIFS(Tabla1[Tipo de Movilidad],"Intercambio*",Tabla1[Universidad KPIs],'Utilización Convenios'!$C83,Tabla1[Año de Movilidad],'Utilización Convenios'!E$3,Tabla1[Nivel],"Pregrado")</f>
        <v>0</v>
      </c>
      <c r="F83" s="65">
        <f>COUNTIFS(Tabla2[Tipo de Movilidad],"Intercambio*",Tabla2[Universidad KPIs],'Utilización Convenios'!$C83,Tabla2[Año],'Utilización Convenios'!E$3,Tabla2[Nivel Nominación],"Undergraduate / Bachelor")</f>
        <v>0</v>
      </c>
      <c r="G83" s="29">
        <f>COUNTIFS(Tabla1[Tipo de Movilidad],"Intercambio*",Tabla1[Universidad KPIs],'Utilización Convenios'!$C83,Tabla1[Año de Movilidad],'Utilización Convenios'!G$3,Tabla1[Nivel],"Pregrado")</f>
        <v>0</v>
      </c>
      <c r="H83" s="65">
        <f>COUNTIFS(Tabla2[Tipo de Movilidad],"Intercambio*",Tabla2[Universidad KPIs],'Utilización Convenios'!$C83,Tabla2[Año],'Utilización Convenios'!G$3,Tabla2[Nivel Nominación],"Undergraduate / Bachelor")</f>
        <v>0</v>
      </c>
      <c r="I83" s="29">
        <f>COUNTIFS(Tabla1[Tipo de Movilidad],"Intercambio*",Tabla1[Universidad KPIs],'Utilización Convenios'!$C83,Tabla1[Año de Movilidad],'Utilización Convenios'!I$3,Tabla1[Nivel],"Pregrado")</f>
        <v>0</v>
      </c>
      <c r="J83" s="65">
        <f>COUNTIFS(Tabla2[Tipo de Movilidad],"Intercambio*",Tabla2[Universidad KPIs],'Utilización Convenios'!$C83,Tabla2[Año],'Utilización Convenios'!I$3,Tabla2[Nivel Nominación],"Undergraduate / Bachelor")</f>
        <v>0</v>
      </c>
      <c r="K83" s="29">
        <f>COUNTIFS(Tabla1[Tipo de Movilidad],"Intercambio*",Tabla1[Universidad KPIs],'Utilización Convenios'!$C83,Tabla1[Año de Movilidad],'Utilización Convenios'!K$3,Tabla1[Nivel],"Pregrado")</f>
        <v>2</v>
      </c>
      <c r="L83" s="65">
        <f>COUNTIFS(Tabla2[Tipo de Movilidad],"Intercambio*",Tabla2[Universidad KPIs],'Utilización Convenios'!$C83,Tabla2[Año],'Utilización Convenios'!K$3,Tabla2[Nivel Nominación],"Undergraduate / Bachelor")</f>
        <v>0</v>
      </c>
      <c r="M83" s="29">
        <f>COUNTIFS(Tabla1[Tipo de Movilidad],"Intercambio*",Tabla1[Universidad KPIs],'Utilización Convenios'!$C83,Tabla1[Año de Movilidad],'Utilización Convenios'!M$3,Tabla1[Nivel],"Pregrado")</f>
        <v>0</v>
      </c>
      <c r="N83" s="68">
        <f>COUNTIFS(Tabla2[Tipo de Movilidad],"Intercambio*",Tabla2[Universidad KPIs],'Utilización Convenios'!$C83,Tabla2[Año],'Utilización Convenios'!M$3,Tabla2[Nivel Nominación],"Undergraduate / Bachelor")</f>
        <v>0</v>
      </c>
      <c r="O83" s="29">
        <f>COUNTIFS(Tabla1[Tipo de Movilidad],"Intercambio*",Tabla1[Universidad KPIs],'Utilización Convenios'!$C83,Tabla1[Año de Movilidad],'Utilización Convenios'!O$3,Tabla1[Nivel],"Pregrado")</f>
        <v>0</v>
      </c>
      <c r="P83" s="68">
        <f>COUNTIFS(Tabla2[Tipo de Movilidad],"Intercambio*",Tabla2[Universidad KPIs],'Utilización Convenios'!$C83,Tabla2[Año],'Utilización Convenios'!O$3,Tabla2[Nivel Nominación],"Undergraduate / Bachelor")</f>
        <v>0</v>
      </c>
      <c r="Q83" s="75">
        <f t="shared" si="2"/>
        <v>2</v>
      </c>
      <c r="R83" s="76">
        <f t="shared" si="2"/>
        <v>0</v>
      </c>
    </row>
    <row r="84" spans="2:18">
      <c r="B84" s="242"/>
      <c r="C84" s="138" t="s">
        <v>162</v>
      </c>
      <c r="D84" s="139" t="s">
        <v>109</v>
      </c>
      <c r="E84" s="134">
        <f>COUNTIFS(Tabla1[Tipo de Movilidad],"Intercambio*",Tabla1[Universidad KPIs],'Utilización Convenios'!$C84,Tabla1[Año de Movilidad],'Utilización Convenios'!E$3,Tabla1[Nivel],"Pregrado")</f>
        <v>0</v>
      </c>
      <c r="F84" s="65">
        <f>COUNTIFS(Tabla2[Tipo de Movilidad],"Intercambio*",Tabla2[Universidad KPIs],'Utilización Convenios'!$C84,Tabla2[Año],'Utilización Convenios'!E$3,Tabla2[Nivel Nominación],"Undergraduate / Bachelor")</f>
        <v>1</v>
      </c>
      <c r="G84" s="29">
        <f>COUNTIFS(Tabla1[Tipo de Movilidad],"Intercambio*",Tabla1[Universidad KPIs],'Utilización Convenios'!$C84,Tabla1[Año de Movilidad],'Utilización Convenios'!G$3,Tabla1[Nivel],"Pregrado")</f>
        <v>0</v>
      </c>
      <c r="H84" s="65">
        <f>COUNTIFS(Tabla2[Tipo de Movilidad],"Intercambio*",Tabla2[Universidad KPIs],'Utilización Convenios'!$C84,Tabla2[Año],'Utilización Convenios'!G$3,Tabla2[Nivel Nominación],"Undergraduate / Bachelor")</f>
        <v>0</v>
      </c>
      <c r="I84" s="29">
        <f>COUNTIFS(Tabla1[Tipo de Movilidad],"Intercambio*",Tabla1[Universidad KPIs],'Utilización Convenios'!$C84,Tabla1[Año de Movilidad],'Utilización Convenios'!I$3,Tabla1[Nivel],"Pregrado")</f>
        <v>0</v>
      </c>
      <c r="J84" s="65">
        <f>COUNTIFS(Tabla2[Tipo de Movilidad],"Intercambio*",Tabla2[Universidad KPIs],'Utilización Convenios'!$C84,Tabla2[Año],'Utilización Convenios'!I$3,Tabla2[Nivel Nominación],"Undergraduate / Bachelor")</f>
        <v>0</v>
      </c>
      <c r="K84" s="29">
        <f>COUNTIFS(Tabla1[Tipo de Movilidad],"Intercambio*",Tabla1[Universidad KPIs],'Utilización Convenios'!$C84,Tabla1[Año de Movilidad],'Utilización Convenios'!K$3,Tabla1[Nivel],"Pregrado")</f>
        <v>0</v>
      </c>
      <c r="L84" s="65">
        <f>COUNTIFS(Tabla2[Tipo de Movilidad],"Intercambio*",Tabla2[Universidad KPIs],'Utilización Convenios'!$C84,Tabla2[Año],'Utilización Convenios'!K$3,Tabla2[Nivel Nominación],"Undergraduate / Bachelor")</f>
        <v>0</v>
      </c>
      <c r="M84" s="29">
        <f>COUNTIFS(Tabla1[Tipo de Movilidad],"Intercambio*",Tabla1[Universidad KPIs],'Utilización Convenios'!$C84,Tabla1[Año de Movilidad],'Utilización Convenios'!M$3,Tabla1[Nivel],"Pregrado")</f>
        <v>0</v>
      </c>
      <c r="N84" s="68">
        <f>COUNTIFS(Tabla2[Tipo de Movilidad],"Intercambio*",Tabla2[Universidad KPIs],'Utilización Convenios'!$C84,Tabla2[Año],'Utilización Convenios'!M$3,Tabla2[Nivel Nominación],"Undergraduate / Bachelor")</f>
        <v>0</v>
      </c>
      <c r="O84" s="29">
        <f>COUNTIFS(Tabla1[Tipo de Movilidad],"Intercambio*",Tabla1[Universidad KPIs],'Utilización Convenios'!$C84,Tabla1[Año de Movilidad],'Utilización Convenios'!O$3,Tabla1[Nivel],"Pregrado")</f>
        <v>0</v>
      </c>
      <c r="P84" s="68">
        <f>COUNTIFS(Tabla2[Tipo de Movilidad],"Intercambio*",Tabla2[Universidad KPIs],'Utilización Convenios'!$C84,Tabla2[Año],'Utilización Convenios'!O$3,Tabla2[Nivel Nominación],"Undergraduate / Bachelor")</f>
        <v>0</v>
      </c>
      <c r="Q84" s="75">
        <f t="shared" si="2"/>
        <v>0</v>
      </c>
      <c r="R84" s="76">
        <f t="shared" si="2"/>
        <v>1</v>
      </c>
    </row>
    <row r="85" spans="2:18">
      <c r="B85" s="242"/>
      <c r="C85" s="138" t="s">
        <v>163</v>
      </c>
      <c r="D85" s="139" t="s">
        <v>101</v>
      </c>
      <c r="E85" s="134">
        <f>COUNTIFS(Tabla1[Tipo de Movilidad],"Intercambio*",Tabla1[Universidad KPIs],'Utilización Convenios'!$C85,Tabla1[Año de Movilidad],'Utilización Convenios'!E$3,Tabla1[Nivel],"Pregrado")</f>
        <v>0</v>
      </c>
      <c r="F85" s="65">
        <f>COUNTIFS(Tabla2[Tipo de Movilidad],"Intercambio*",Tabla2[Universidad KPIs],'Utilización Convenios'!$C85,Tabla2[Año],'Utilización Convenios'!E$3,Tabla2[Nivel Nominación],"Undergraduate / Bachelor")</f>
        <v>0</v>
      </c>
      <c r="G85" s="29">
        <f>COUNTIFS(Tabla1[Tipo de Movilidad],"Intercambio*",Tabla1[Universidad KPIs],'Utilización Convenios'!$C85,Tabla1[Año de Movilidad],'Utilización Convenios'!G$3,Tabla1[Nivel],"Pregrado")</f>
        <v>0</v>
      </c>
      <c r="H85" s="65">
        <f>COUNTIFS(Tabla2[Tipo de Movilidad],"Intercambio*",Tabla2[Universidad KPIs],'Utilización Convenios'!$C85,Tabla2[Año],'Utilización Convenios'!G$3,Tabla2[Nivel Nominación],"Undergraduate / Bachelor")</f>
        <v>0</v>
      </c>
      <c r="I85" s="29">
        <f>COUNTIFS(Tabla1[Tipo de Movilidad],"Intercambio*",Tabla1[Universidad KPIs],'Utilización Convenios'!$C85,Tabla1[Año de Movilidad],'Utilización Convenios'!I$3,Tabla1[Nivel],"Pregrado")</f>
        <v>0</v>
      </c>
      <c r="J85" s="65">
        <f>COUNTIFS(Tabla2[Tipo de Movilidad],"Intercambio*",Tabla2[Universidad KPIs],'Utilización Convenios'!$C85,Tabla2[Año],'Utilización Convenios'!I$3,Tabla2[Nivel Nominación],"Undergraduate / Bachelor")</f>
        <v>0</v>
      </c>
      <c r="K85" s="29">
        <f>COUNTIFS(Tabla1[Tipo de Movilidad],"Intercambio*",Tabla1[Universidad KPIs],'Utilización Convenios'!$C85,Tabla1[Año de Movilidad],'Utilización Convenios'!K$3,Tabla1[Nivel],"Pregrado")</f>
        <v>0</v>
      </c>
      <c r="L85" s="65">
        <f>COUNTIFS(Tabla2[Tipo de Movilidad],"Intercambio*",Tabla2[Universidad KPIs],'Utilización Convenios'!$C85,Tabla2[Año],'Utilización Convenios'!K$3,Tabla2[Nivel Nominación],"Undergraduate / Bachelor")</f>
        <v>0</v>
      </c>
      <c r="M85" s="29">
        <f>COUNTIFS(Tabla1[Tipo de Movilidad],"Intercambio*",Tabla1[Universidad KPIs],'Utilización Convenios'!$C85,Tabla1[Año de Movilidad],'Utilización Convenios'!M$3,Tabla1[Nivel],"Pregrado")</f>
        <v>0</v>
      </c>
      <c r="N85" s="68">
        <f>COUNTIFS(Tabla2[Tipo de Movilidad],"Intercambio*",Tabla2[Universidad KPIs],'Utilización Convenios'!$C85,Tabla2[Año],'Utilización Convenios'!M$3,Tabla2[Nivel Nominación],"Undergraduate / Bachelor")</f>
        <v>0</v>
      </c>
      <c r="O85" s="29">
        <f>COUNTIFS(Tabla1[Tipo de Movilidad],"Intercambio*",Tabla1[Universidad KPIs],'Utilización Convenios'!$C85,Tabla1[Año de Movilidad],'Utilización Convenios'!O$3,Tabla1[Nivel],"Pregrado")</f>
        <v>1</v>
      </c>
      <c r="P85" s="68">
        <f>COUNTIFS(Tabla2[Tipo de Movilidad],"Intercambio*",Tabla2[Universidad KPIs],'Utilización Convenios'!$C85,Tabla2[Año],'Utilización Convenios'!O$3,Tabla2[Nivel Nominación],"Undergraduate / Bachelor")</f>
        <v>0</v>
      </c>
      <c r="Q85" s="75">
        <f t="shared" si="2"/>
        <v>1</v>
      </c>
      <c r="R85" s="76">
        <f t="shared" si="2"/>
        <v>0</v>
      </c>
    </row>
    <row r="86" spans="2:18">
      <c r="B86" s="242"/>
      <c r="C86" s="138" t="s">
        <v>164</v>
      </c>
      <c r="D86" s="139" t="s">
        <v>55</v>
      </c>
      <c r="E86" s="134">
        <f>COUNTIFS(Tabla1[Tipo de Movilidad],"Intercambio*",Tabla1[Universidad KPIs],'Utilización Convenios'!$C86,Tabla1[Año de Movilidad],'Utilización Convenios'!E$3,Tabla1[Nivel],"Pregrado")</f>
        <v>0</v>
      </c>
      <c r="F86" s="65">
        <f>COUNTIFS(Tabla2[Tipo de Movilidad],"Intercambio*",Tabla2[Universidad KPIs],'Utilización Convenios'!$C86,Tabla2[Año],'Utilización Convenios'!E$3,Tabla2[Nivel Nominación],"Undergraduate / Bachelor")</f>
        <v>0</v>
      </c>
      <c r="G86" s="29">
        <f>COUNTIFS(Tabla1[Tipo de Movilidad],"Intercambio*",Tabla1[Universidad KPIs],'Utilización Convenios'!$C86,Tabla1[Año de Movilidad],'Utilización Convenios'!G$3,Tabla1[Nivel],"Pregrado")</f>
        <v>0</v>
      </c>
      <c r="H86" s="65">
        <f>COUNTIFS(Tabla2[Tipo de Movilidad],"Intercambio*",Tabla2[Universidad KPIs],'Utilización Convenios'!$C86,Tabla2[Año],'Utilización Convenios'!G$3,Tabla2[Nivel Nominación],"Undergraduate / Bachelor")</f>
        <v>0</v>
      </c>
      <c r="I86" s="29">
        <f>COUNTIFS(Tabla1[Tipo de Movilidad],"Intercambio*",Tabla1[Universidad KPIs],'Utilización Convenios'!$C86,Tabla1[Año de Movilidad],'Utilización Convenios'!I$3,Tabla1[Nivel],"Pregrado")</f>
        <v>0</v>
      </c>
      <c r="J86" s="65">
        <f>COUNTIFS(Tabla2[Tipo de Movilidad],"Intercambio*",Tabla2[Universidad KPIs],'Utilización Convenios'!$C86,Tabla2[Año],'Utilización Convenios'!I$3,Tabla2[Nivel Nominación],"Undergraduate / Bachelor")</f>
        <v>0</v>
      </c>
      <c r="K86" s="29">
        <f>COUNTIFS(Tabla1[Tipo de Movilidad],"Intercambio*",Tabla1[Universidad KPIs],'Utilización Convenios'!$C86,Tabla1[Año de Movilidad],'Utilización Convenios'!K$3,Tabla1[Nivel],"Pregrado")</f>
        <v>0</v>
      </c>
      <c r="L86" s="65">
        <f>COUNTIFS(Tabla2[Tipo de Movilidad],"Intercambio*",Tabla2[Universidad KPIs],'Utilización Convenios'!$C86,Tabla2[Año],'Utilización Convenios'!K$3,Tabla2[Nivel Nominación],"Undergraduate / Bachelor")</f>
        <v>0</v>
      </c>
      <c r="M86" s="29">
        <f>COUNTIFS(Tabla1[Tipo de Movilidad],"Intercambio*",Tabla1[Universidad KPIs],'Utilización Convenios'!$C86,Tabla1[Año de Movilidad],'Utilización Convenios'!M$3,Tabla1[Nivel],"Pregrado")</f>
        <v>0</v>
      </c>
      <c r="N86" s="68">
        <f>COUNTIFS(Tabla2[Tipo de Movilidad],"Intercambio*",Tabla2[Universidad KPIs],'Utilización Convenios'!$C86,Tabla2[Año],'Utilización Convenios'!M$3,Tabla2[Nivel Nominación],"Undergraduate / Bachelor")</f>
        <v>0</v>
      </c>
      <c r="O86" s="29">
        <f>COUNTIFS(Tabla1[Tipo de Movilidad],"Intercambio*",Tabla1[Universidad KPIs],'Utilización Convenios'!$C86,Tabla1[Año de Movilidad],'Utilización Convenios'!O$3,Tabla1[Nivel],"Pregrado")</f>
        <v>2</v>
      </c>
      <c r="P86" s="68">
        <f>COUNTIFS(Tabla2[Tipo de Movilidad],"Intercambio*",Tabla2[Universidad KPIs],'Utilización Convenios'!$C86,Tabla2[Año],'Utilización Convenios'!O$3,Tabla2[Nivel Nominación],"Undergraduate / Bachelor")</f>
        <v>0</v>
      </c>
      <c r="Q86" s="75">
        <f t="shared" si="2"/>
        <v>2</v>
      </c>
      <c r="R86" s="76">
        <f t="shared" si="2"/>
        <v>0</v>
      </c>
    </row>
    <row r="87" spans="2:18">
      <c r="B87" s="242"/>
      <c r="C87" s="138" t="s">
        <v>165</v>
      </c>
      <c r="D87" s="139" t="s">
        <v>106</v>
      </c>
      <c r="E87" s="134">
        <f>COUNTIFS(Tabla1[Tipo de Movilidad],"Intercambio*",Tabla1[Universidad KPIs],'Utilización Convenios'!$C87,Tabla1[Año de Movilidad],'Utilización Convenios'!E$3,Tabla1[Nivel],"Pregrado")</f>
        <v>0</v>
      </c>
      <c r="F87" s="65">
        <f>COUNTIFS(Tabla2[Tipo de Movilidad],"Intercambio*",Tabla2[Universidad KPIs],'Utilización Convenios'!$C87,Tabla2[Año],'Utilización Convenios'!E$3,Tabla2[Nivel Nominación],"Undergraduate / Bachelor")</f>
        <v>0</v>
      </c>
      <c r="G87" s="29">
        <f>COUNTIFS(Tabla1[Tipo de Movilidad],"Intercambio*",Tabla1[Universidad KPIs],'Utilización Convenios'!$C87,Tabla1[Año de Movilidad],'Utilización Convenios'!G$3,Tabla1[Nivel],"Pregrado")</f>
        <v>0</v>
      </c>
      <c r="H87" s="65">
        <f>COUNTIFS(Tabla2[Tipo de Movilidad],"Intercambio*",Tabla2[Universidad KPIs],'Utilización Convenios'!$C87,Tabla2[Año],'Utilización Convenios'!G$3,Tabla2[Nivel Nominación],"Undergraduate / Bachelor")</f>
        <v>0</v>
      </c>
      <c r="I87" s="29">
        <f>COUNTIFS(Tabla1[Tipo de Movilidad],"Intercambio*",Tabla1[Universidad KPIs],'Utilización Convenios'!$C87,Tabla1[Año de Movilidad],'Utilización Convenios'!I$3,Tabla1[Nivel],"Pregrado")</f>
        <v>0</v>
      </c>
      <c r="J87" s="65">
        <f>COUNTIFS(Tabla2[Tipo de Movilidad],"Intercambio*",Tabla2[Universidad KPIs],'Utilización Convenios'!$C87,Tabla2[Año],'Utilización Convenios'!I$3,Tabla2[Nivel Nominación],"Undergraduate / Bachelor")</f>
        <v>0</v>
      </c>
      <c r="K87" s="29">
        <f>COUNTIFS(Tabla1[Tipo de Movilidad],"Intercambio*",Tabla1[Universidad KPIs],'Utilización Convenios'!$C87,Tabla1[Año de Movilidad],'Utilización Convenios'!K$3,Tabla1[Nivel],"Pregrado")</f>
        <v>0</v>
      </c>
      <c r="L87" s="65">
        <f>COUNTIFS(Tabla2[Tipo de Movilidad],"Intercambio*",Tabla2[Universidad KPIs],'Utilización Convenios'!$C87,Tabla2[Año],'Utilización Convenios'!K$3,Tabla2[Nivel Nominación],"Undergraduate / Bachelor")</f>
        <v>0</v>
      </c>
      <c r="M87" s="29">
        <f>COUNTIFS(Tabla1[Tipo de Movilidad],"Intercambio*",Tabla1[Universidad KPIs],'Utilización Convenios'!$C87,Tabla1[Año de Movilidad],'Utilización Convenios'!M$3,Tabla1[Nivel],"Pregrado")</f>
        <v>0</v>
      </c>
      <c r="N87" s="68">
        <f>COUNTIFS(Tabla2[Tipo de Movilidad],"Intercambio*",Tabla2[Universidad KPIs],'Utilización Convenios'!$C87,Tabla2[Año],'Utilización Convenios'!M$3,Tabla2[Nivel Nominación],"Undergraduate / Bachelor")</f>
        <v>0</v>
      </c>
      <c r="O87" s="29">
        <f>COUNTIFS(Tabla1[Tipo de Movilidad],"Intercambio*",Tabla1[Universidad KPIs],'Utilización Convenios'!$C87,Tabla1[Año de Movilidad],'Utilización Convenios'!O$3,Tabla1[Nivel],"Pregrado")</f>
        <v>1</v>
      </c>
      <c r="P87" s="68">
        <f>COUNTIFS(Tabla2[Tipo de Movilidad],"Intercambio*",Tabla2[Universidad KPIs],'Utilización Convenios'!$C87,Tabla2[Año],'Utilización Convenios'!O$3,Tabla2[Nivel Nominación],"Undergraduate / Bachelor")</f>
        <v>0</v>
      </c>
      <c r="Q87" s="75">
        <f t="shared" si="2"/>
        <v>1</v>
      </c>
      <c r="R87" s="76">
        <f t="shared" si="2"/>
        <v>0</v>
      </c>
    </row>
    <row r="88" spans="2:18">
      <c r="B88" s="242"/>
      <c r="C88" s="138" t="s">
        <v>166</v>
      </c>
      <c r="D88" s="139" t="s">
        <v>57</v>
      </c>
      <c r="E88" s="134">
        <f>COUNTIFS(Tabla1[Tipo de Movilidad],"Intercambio*",Tabla1[Universidad KPIs],'Utilización Convenios'!$C88,Tabla1[Año de Movilidad],'Utilización Convenios'!E$3,Tabla1[Nivel],"Pregrado")</f>
        <v>0</v>
      </c>
      <c r="F88" s="65">
        <f>COUNTIFS(Tabla2[Tipo de Movilidad],"Intercambio*",Tabla2[Universidad KPIs],'Utilización Convenios'!$C88,Tabla2[Año],'Utilización Convenios'!E$3,Tabla2[Nivel Nominación],"Undergraduate / Bachelor")</f>
        <v>3</v>
      </c>
      <c r="G88" s="29">
        <f>COUNTIFS(Tabla1[Tipo de Movilidad],"Intercambio*",Tabla1[Universidad KPIs],'Utilización Convenios'!$C88,Tabla1[Año de Movilidad],'Utilización Convenios'!G$3,Tabla1[Nivel],"Pregrado")</f>
        <v>0</v>
      </c>
      <c r="H88" s="65">
        <f>COUNTIFS(Tabla2[Tipo de Movilidad],"Intercambio*",Tabla2[Universidad KPIs],'Utilización Convenios'!$C88,Tabla2[Año],'Utilización Convenios'!G$3,Tabla2[Nivel Nominación],"Undergraduate / Bachelor")</f>
        <v>0</v>
      </c>
      <c r="I88" s="29">
        <f>COUNTIFS(Tabla1[Tipo de Movilidad],"Intercambio*",Tabla1[Universidad KPIs],'Utilización Convenios'!$C88,Tabla1[Año de Movilidad],'Utilización Convenios'!I$3,Tabla1[Nivel],"Pregrado")</f>
        <v>1</v>
      </c>
      <c r="J88" s="65">
        <f>COUNTIFS(Tabla2[Tipo de Movilidad],"Intercambio*",Tabla2[Universidad KPIs],'Utilización Convenios'!$C88,Tabla2[Año],'Utilización Convenios'!I$3,Tabla2[Nivel Nominación],"Undergraduate / Bachelor")</f>
        <v>1</v>
      </c>
      <c r="K88" s="29">
        <f>COUNTIFS(Tabla1[Tipo de Movilidad],"Intercambio*",Tabla1[Universidad KPIs],'Utilización Convenios'!$C88,Tabla1[Año de Movilidad],'Utilización Convenios'!K$3,Tabla1[Nivel],"Pregrado")</f>
        <v>0</v>
      </c>
      <c r="L88" s="65">
        <f>COUNTIFS(Tabla2[Tipo de Movilidad],"Intercambio*",Tabla2[Universidad KPIs],'Utilización Convenios'!$C88,Tabla2[Año],'Utilización Convenios'!K$3,Tabla2[Nivel Nominación],"Undergraduate / Bachelor")</f>
        <v>1</v>
      </c>
      <c r="M88" s="29">
        <f>COUNTIFS(Tabla1[Tipo de Movilidad],"Intercambio*",Tabla1[Universidad KPIs],'Utilización Convenios'!$C88,Tabla1[Año de Movilidad],'Utilización Convenios'!M$3,Tabla1[Nivel],"Pregrado")</f>
        <v>1</v>
      </c>
      <c r="N88" s="68">
        <f>COUNTIFS(Tabla2[Tipo de Movilidad],"Intercambio*",Tabla2[Universidad KPIs],'Utilización Convenios'!$C88,Tabla2[Año],'Utilización Convenios'!M$3,Tabla2[Nivel Nominación],"Undergraduate / Bachelor")</f>
        <v>0</v>
      </c>
      <c r="O88" s="29">
        <f>COUNTIFS(Tabla1[Tipo de Movilidad],"Intercambio*",Tabla1[Universidad KPIs],'Utilización Convenios'!$C88,Tabla1[Año de Movilidad],'Utilización Convenios'!O$3,Tabla1[Nivel],"Pregrado")</f>
        <v>0</v>
      </c>
      <c r="P88" s="68">
        <f>COUNTIFS(Tabla2[Tipo de Movilidad],"Intercambio*",Tabla2[Universidad KPIs],'Utilización Convenios'!$C88,Tabla2[Año],'Utilización Convenios'!O$3,Tabla2[Nivel Nominación],"Undergraduate / Bachelor")</f>
        <v>0</v>
      </c>
      <c r="Q88" s="75">
        <f t="shared" si="2"/>
        <v>2</v>
      </c>
      <c r="R88" s="76">
        <f t="shared" si="2"/>
        <v>5</v>
      </c>
    </row>
    <row r="89" spans="2:18">
      <c r="B89" s="242"/>
      <c r="C89" s="138" t="s">
        <v>167</v>
      </c>
      <c r="D89" s="139" t="s">
        <v>87</v>
      </c>
      <c r="E89" s="134">
        <f>COUNTIFS(Tabla1[Tipo de Movilidad],"Intercambio*",Tabla1[Universidad KPIs],'Utilización Convenios'!$C89,Tabla1[Año de Movilidad],'Utilización Convenios'!E$3,Tabla1[Nivel],"Pregrado")</f>
        <v>0</v>
      </c>
      <c r="F89" s="65">
        <f>COUNTIFS(Tabla2[Tipo de Movilidad],"Intercambio*",Tabla2[Universidad KPIs],'Utilización Convenios'!$C89,Tabla2[Año],'Utilización Convenios'!E$3,Tabla2[Nivel Nominación],"Undergraduate / Bachelor")</f>
        <v>0</v>
      </c>
      <c r="G89" s="29">
        <f>COUNTIFS(Tabla1[Tipo de Movilidad],"Intercambio*",Tabla1[Universidad KPIs],'Utilización Convenios'!$C89,Tabla1[Año de Movilidad],'Utilización Convenios'!G$3,Tabla1[Nivel],"Pregrado")</f>
        <v>0</v>
      </c>
      <c r="H89" s="65">
        <f>COUNTIFS(Tabla2[Tipo de Movilidad],"Intercambio*",Tabla2[Universidad KPIs],'Utilización Convenios'!$C89,Tabla2[Año],'Utilización Convenios'!G$3,Tabla2[Nivel Nominación],"Undergraduate / Bachelor")</f>
        <v>0</v>
      </c>
      <c r="I89" s="29">
        <f>COUNTIFS(Tabla1[Tipo de Movilidad],"Intercambio*",Tabla1[Universidad KPIs],'Utilización Convenios'!$C89,Tabla1[Año de Movilidad],'Utilización Convenios'!I$3,Tabla1[Nivel],"Pregrado")</f>
        <v>0</v>
      </c>
      <c r="J89" s="65">
        <f>COUNTIFS(Tabla2[Tipo de Movilidad],"Intercambio*",Tabla2[Universidad KPIs],'Utilización Convenios'!$C89,Tabla2[Año],'Utilización Convenios'!I$3,Tabla2[Nivel Nominación],"Undergraduate / Bachelor")</f>
        <v>1</v>
      </c>
      <c r="K89" s="29">
        <f>COUNTIFS(Tabla1[Tipo de Movilidad],"Intercambio*",Tabla1[Universidad KPIs],'Utilización Convenios'!$C89,Tabla1[Año de Movilidad],'Utilización Convenios'!K$3,Tabla1[Nivel],"Pregrado")</f>
        <v>0</v>
      </c>
      <c r="L89" s="65">
        <f>COUNTIFS(Tabla2[Tipo de Movilidad],"Intercambio*",Tabla2[Universidad KPIs],'Utilización Convenios'!$C89,Tabla2[Año],'Utilización Convenios'!K$3,Tabla2[Nivel Nominación],"Undergraduate / Bachelor")</f>
        <v>0</v>
      </c>
      <c r="M89" s="29">
        <f>COUNTIFS(Tabla1[Tipo de Movilidad],"Intercambio*",Tabla1[Universidad KPIs],'Utilización Convenios'!$C89,Tabla1[Año de Movilidad],'Utilización Convenios'!M$3,Tabla1[Nivel],"Pregrado")</f>
        <v>0</v>
      </c>
      <c r="N89" s="68">
        <f>COUNTIFS(Tabla2[Tipo de Movilidad],"Intercambio*",Tabla2[Universidad KPIs],'Utilización Convenios'!$C89,Tabla2[Año],'Utilización Convenios'!M$3,Tabla2[Nivel Nominación],"Undergraduate / Bachelor")</f>
        <v>0</v>
      </c>
      <c r="O89" s="29">
        <f>COUNTIFS(Tabla1[Tipo de Movilidad],"Intercambio*",Tabla1[Universidad KPIs],'Utilización Convenios'!$C89,Tabla1[Año de Movilidad],'Utilización Convenios'!O$3,Tabla1[Nivel],"Pregrado")</f>
        <v>0</v>
      </c>
      <c r="P89" s="68">
        <f>COUNTIFS(Tabla2[Tipo de Movilidad],"Intercambio*",Tabla2[Universidad KPIs],'Utilización Convenios'!$C89,Tabla2[Año],'Utilización Convenios'!O$3,Tabla2[Nivel Nominación],"Undergraduate / Bachelor")</f>
        <v>0</v>
      </c>
      <c r="Q89" s="75">
        <f t="shared" si="2"/>
        <v>0</v>
      </c>
      <c r="R89" s="76">
        <f t="shared" si="2"/>
        <v>1</v>
      </c>
    </row>
    <row r="90" spans="2:18">
      <c r="B90" s="242"/>
      <c r="C90" s="138" t="s">
        <v>168</v>
      </c>
      <c r="D90" s="139" t="s">
        <v>112</v>
      </c>
      <c r="E90" s="134">
        <f>COUNTIFS(Tabla1[Tipo de Movilidad],"Intercambio*",Tabla1[Universidad KPIs],'Utilización Convenios'!$C90,Tabla1[Año de Movilidad],'Utilización Convenios'!E$3,Tabla1[Nivel],"Pregrado")</f>
        <v>0</v>
      </c>
      <c r="F90" s="65">
        <f>COUNTIFS(Tabla2[Tipo de Movilidad],"Intercambio*",Tabla2[Universidad KPIs],'Utilización Convenios'!$C90,Tabla2[Año],'Utilización Convenios'!E$3,Tabla2[Nivel Nominación],"Undergraduate / Bachelor")</f>
        <v>0</v>
      </c>
      <c r="G90" s="29">
        <f>COUNTIFS(Tabla1[Tipo de Movilidad],"Intercambio*",Tabla1[Universidad KPIs],'Utilización Convenios'!$C90,Tabla1[Año de Movilidad],'Utilización Convenios'!G$3,Tabla1[Nivel],"Pregrado")</f>
        <v>0</v>
      </c>
      <c r="H90" s="65">
        <f>COUNTIFS(Tabla2[Tipo de Movilidad],"Intercambio*",Tabla2[Universidad KPIs],'Utilización Convenios'!$C90,Tabla2[Año],'Utilización Convenios'!G$3,Tabla2[Nivel Nominación],"Undergraduate / Bachelor")</f>
        <v>1</v>
      </c>
      <c r="I90" s="29">
        <f>COUNTIFS(Tabla1[Tipo de Movilidad],"Intercambio*",Tabla1[Universidad KPIs],'Utilización Convenios'!$C90,Tabla1[Año de Movilidad],'Utilización Convenios'!I$3,Tabla1[Nivel],"Pregrado")</f>
        <v>0</v>
      </c>
      <c r="J90" s="65">
        <f>COUNTIFS(Tabla2[Tipo de Movilidad],"Intercambio*",Tabla2[Universidad KPIs],'Utilización Convenios'!$C90,Tabla2[Año],'Utilización Convenios'!I$3,Tabla2[Nivel Nominación],"Undergraduate / Bachelor")</f>
        <v>0</v>
      </c>
      <c r="K90" s="29">
        <f>COUNTIFS(Tabla1[Tipo de Movilidad],"Intercambio*",Tabla1[Universidad KPIs],'Utilización Convenios'!$C90,Tabla1[Año de Movilidad],'Utilización Convenios'!K$3,Tabla1[Nivel],"Pregrado")</f>
        <v>0</v>
      </c>
      <c r="L90" s="65">
        <f>COUNTIFS(Tabla2[Tipo de Movilidad],"Intercambio*",Tabla2[Universidad KPIs],'Utilización Convenios'!$C90,Tabla2[Año],'Utilización Convenios'!K$3,Tabla2[Nivel Nominación],"Undergraduate / Bachelor")</f>
        <v>0</v>
      </c>
      <c r="M90" s="29">
        <f>COUNTIFS(Tabla1[Tipo de Movilidad],"Intercambio*",Tabla1[Universidad KPIs],'Utilización Convenios'!$C90,Tabla1[Año de Movilidad],'Utilización Convenios'!M$3,Tabla1[Nivel],"Pregrado")</f>
        <v>0</v>
      </c>
      <c r="N90" s="68">
        <f>COUNTIFS(Tabla2[Tipo de Movilidad],"Intercambio*",Tabla2[Universidad KPIs],'Utilización Convenios'!$C90,Tabla2[Año],'Utilización Convenios'!M$3,Tabla2[Nivel Nominación],"Undergraduate / Bachelor")</f>
        <v>0</v>
      </c>
      <c r="O90" s="29">
        <f>COUNTIFS(Tabla1[Tipo de Movilidad],"Intercambio*",Tabla1[Universidad KPIs],'Utilización Convenios'!$C90,Tabla1[Año de Movilidad],'Utilización Convenios'!O$3,Tabla1[Nivel],"Pregrado")</f>
        <v>0</v>
      </c>
      <c r="P90" s="68">
        <f>COUNTIFS(Tabla2[Tipo de Movilidad],"Intercambio*",Tabla2[Universidad KPIs],'Utilización Convenios'!$C90,Tabla2[Año],'Utilización Convenios'!O$3,Tabla2[Nivel Nominación],"Undergraduate / Bachelor")</f>
        <v>0</v>
      </c>
      <c r="Q90" s="75">
        <f t="shared" si="2"/>
        <v>0</v>
      </c>
      <c r="R90" s="76">
        <f t="shared" si="2"/>
        <v>1</v>
      </c>
    </row>
    <row r="91" spans="2:18">
      <c r="B91" s="242"/>
      <c r="C91" s="138" t="s">
        <v>169</v>
      </c>
      <c r="D91" s="139" t="s">
        <v>61</v>
      </c>
      <c r="E91" s="134">
        <f>COUNTIFS(Tabla1[Tipo de Movilidad],"Intercambio*",Tabla1[Universidad KPIs],'Utilización Convenios'!$C91,Tabla1[Año de Movilidad],'Utilización Convenios'!E$3,Tabla1[Nivel],"Pregrado")</f>
        <v>0</v>
      </c>
      <c r="F91" s="65">
        <f>COUNTIFS(Tabla2[Tipo de Movilidad],"Intercambio*",Tabla2[Universidad KPIs],'Utilización Convenios'!$C91,Tabla2[Año],'Utilización Convenios'!E$3,Tabla2[Nivel Nominación],"Undergraduate / Bachelor")</f>
        <v>0</v>
      </c>
      <c r="G91" s="29">
        <f>COUNTIFS(Tabla1[Tipo de Movilidad],"Intercambio*",Tabla1[Universidad KPIs],'Utilización Convenios'!$C91,Tabla1[Año de Movilidad],'Utilización Convenios'!G$3,Tabla1[Nivel],"Pregrado")</f>
        <v>0</v>
      </c>
      <c r="H91" s="65">
        <f>COUNTIFS(Tabla2[Tipo de Movilidad],"Intercambio*",Tabla2[Universidad KPIs],'Utilización Convenios'!$C91,Tabla2[Año],'Utilización Convenios'!G$3,Tabla2[Nivel Nominación],"Undergraduate / Bachelor")</f>
        <v>0</v>
      </c>
      <c r="I91" s="29">
        <f>COUNTIFS(Tabla1[Tipo de Movilidad],"Intercambio*",Tabla1[Universidad KPIs],'Utilización Convenios'!$C91,Tabla1[Año de Movilidad],'Utilización Convenios'!I$3,Tabla1[Nivel],"Pregrado")</f>
        <v>0</v>
      </c>
      <c r="J91" s="65">
        <f>COUNTIFS(Tabla2[Tipo de Movilidad],"Intercambio*",Tabla2[Universidad KPIs],'Utilización Convenios'!$C91,Tabla2[Año],'Utilización Convenios'!I$3,Tabla2[Nivel Nominación],"Undergraduate / Bachelor")</f>
        <v>0</v>
      </c>
      <c r="K91" s="29">
        <f>COUNTIFS(Tabla1[Tipo de Movilidad],"Intercambio*",Tabla1[Universidad KPIs],'Utilización Convenios'!$C91,Tabla1[Año de Movilidad],'Utilización Convenios'!K$3,Tabla1[Nivel],"Pregrado")</f>
        <v>1</v>
      </c>
      <c r="L91" s="65">
        <f>COUNTIFS(Tabla2[Tipo de Movilidad],"Intercambio*",Tabla2[Universidad KPIs],'Utilización Convenios'!$C91,Tabla2[Año],'Utilización Convenios'!K$3,Tabla2[Nivel Nominación],"Undergraduate / Bachelor")</f>
        <v>0</v>
      </c>
      <c r="M91" s="29">
        <f>COUNTIFS(Tabla1[Tipo de Movilidad],"Intercambio*",Tabla1[Universidad KPIs],'Utilización Convenios'!$C91,Tabla1[Año de Movilidad],'Utilización Convenios'!M$3,Tabla1[Nivel],"Pregrado")</f>
        <v>1</v>
      </c>
      <c r="N91" s="68">
        <f>COUNTIFS(Tabla2[Tipo de Movilidad],"Intercambio*",Tabla2[Universidad KPIs],'Utilización Convenios'!$C91,Tabla2[Año],'Utilización Convenios'!M$3,Tabla2[Nivel Nominación],"Undergraduate / Bachelor")</f>
        <v>0</v>
      </c>
      <c r="O91" s="29">
        <f>COUNTIFS(Tabla1[Tipo de Movilidad],"Intercambio*",Tabla1[Universidad KPIs],'Utilización Convenios'!$C91,Tabla1[Año de Movilidad],'Utilización Convenios'!O$3,Tabla1[Nivel],"Pregrado")</f>
        <v>0</v>
      </c>
      <c r="P91" s="68">
        <f>COUNTIFS(Tabla2[Tipo de Movilidad],"Intercambio*",Tabla2[Universidad KPIs],'Utilización Convenios'!$C91,Tabla2[Año],'Utilización Convenios'!O$3,Tabla2[Nivel Nominación],"Undergraduate / Bachelor")</f>
        <v>0</v>
      </c>
      <c r="Q91" s="75">
        <f t="shared" si="2"/>
        <v>2</v>
      </c>
      <c r="R91" s="76">
        <f t="shared" si="2"/>
        <v>0</v>
      </c>
    </row>
    <row r="92" spans="2:18">
      <c r="B92" s="242"/>
      <c r="C92" s="138" t="s">
        <v>170</v>
      </c>
      <c r="D92" s="139" t="s">
        <v>103</v>
      </c>
      <c r="E92" s="134">
        <f>COUNTIFS(Tabla1[Tipo de Movilidad],"Intercambio*",Tabla1[Universidad KPIs],'Utilización Convenios'!$C92,Tabla1[Año de Movilidad],'Utilización Convenios'!E$3,Tabla1[Nivel],"Pregrado")</f>
        <v>0</v>
      </c>
      <c r="F92" s="65">
        <f>COUNTIFS(Tabla2[Tipo de Movilidad],"Intercambio*",Tabla2[Universidad KPIs],'Utilización Convenios'!$C92,Tabla2[Año],'Utilización Convenios'!E$3,Tabla2[Nivel Nominación],"Undergraduate / Bachelor")</f>
        <v>0</v>
      </c>
      <c r="G92" s="29">
        <f>COUNTIFS(Tabla1[Tipo de Movilidad],"Intercambio*",Tabla1[Universidad KPIs],'Utilización Convenios'!$C92,Tabla1[Año de Movilidad],'Utilización Convenios'!G$3,Tabla1[Nivel],"Pregrado")</f>
        <v>0</v>
      </c>
      <c r="H92" s="65">
        <f>COUNTIFS(Tabla2[Tipo de Movilidad],"Intercambio*",Tabla2[Universidad KPIs],'Utilización Convenios'!$C92,Tabla2[Año],'Utilización Convenios'!G$3,Tabla2[Nivel Nominación],"Undergraduate / Bachelor")</f>
        <v>0</v>
      </c>
      <c r="I92" s="29">
        <f>COUNTIFS(Tabla1[Tipo de Movilidad],"Intercambio*",Tabla1[Universidad KPIs],'Utilización Convenios'!$C92,Tabla1[Año de Movilidad],'Utilización Convenios'!I$3,Tabla1[Nivel],"Pregrado")</f>
        <v>1</v>
      </c>
      <c r="J92" s="65">
        <f>COUNTIFS(Tabla2[Tipo de Movilidad],"Intercambio*",Tabla2[Universidad KPIs],'Utilización Convenios'!$C92,Tabla2[Año],'Utilización Convenios'!I$3,Tabla2[Nivel Nominación],"Undergraduate / Bachelor")</f>
        <v>0</v>
      </c>
      <c r="K92" s="29">
        <f>COUNTIFS(Tabla1[Tipo de Movilidad],"Intercambio*",Tabla1[Universidad KPIs],'Utilización Convenios'!$C92,Tabla1[Año de Movilidad],'Utilización Convenios'!K$3,Tabla1[Nivel],"Pregrado")</f>
        <v>0</v>
      </c>
      <c r="L92" s="65">
        <f>COUNTIFS(Tabla2[Tipo de Movilidad],"Intercambio*",Tabla2[Universidad KPIs],'Utilización Convenios'!$C92,Tabla2[Año],'Utilización Convenios'!K$3,Tabla2[Nivel Nominación],"Undergraduate / Bachelor")</f>
        <v>0</v>
      </c>
      <c r="M92" s="29">
        <f>COUNTIFS(Tabla1[Tipo de Movilidad],"Intercambio*",Tabla1[Universidad KPIs],'Utilización Convenios'!$C92,Tabla1[Año de Movilidad],'Utilización Convenios'!M$3,Tabla1[Nivel],"Pregrado")</f>
        <v>0</v>
      </c>
      <c r="N92" s="68">
        <f>COUNTIFS(Tabla2[Tipo de Movilidad],"Intercambio*",Tabla2[Universidad KPIs],'Utilización Convenios'!$C92,Tabla2[Año],'Utilización Convenios'!M$3,Tabla2[Nivel Nominación],"Undergraduate / Bachelor")</f>
        <v>0</v>
      </c>
      <c r="O92" s="29">
        <f>COUNTIFS(Tabla1[Tipo de Movilidad],"Intercambio*",Tabla1[Universidad KPIs],'Utilización Convenios'!$C92,Tabla1[Año de Movilidad],'Utilización Convenios'!O$3,Tabla1[Nivel],"Pregrado")</f>
        <v>0</v>
      </c>
      <c r="P92" s="68">
        <f>COUNTIFS(Tabla2[Tipo de Movilidad],"Intercambio*",Tabla2[Universidad KPIs],'Utilización Convenios'!$C92,Tabla2[Año],'Utilización Convenios'!O$3,Tabla2[Nivel Nominación],"Undergraduate / Bachelor")</f>
        <v>0</v>
      </c>
      <c r="Q92" s="75">
        <f t="shared" si="2"/>
        <v>1</v>
      </c>
      <c r="R92" s="76">
        <f t="shared" si="2"/>
        <v>0</v>
      </c>
    </row>
    <row r="93" spans="2:18">
      <c r="B93" s="242"/>
      <c r="C93" s="138" t="s">
        <v>171</v>
      </c>
      <c r="D93" s="139" t="s">
        <v>103</v>
      </c>
      <c r="E93" s="134">
        <f>COUNTIFS(Tabla1[Tipo de Movilidad],"Intercambio*",Tabla1[Universidad KPIs],'Utilización Convenios'!$C93,Tabla1[Año de Movilidad],'Utilización Convenios'!E$3,Tabla1[Nivel],"Pregrado")</f>
        <v>0</v>
      </c>
      <c r="F93" s="65">
        <f>COUNTIFS(Tabla2[Tipo de Movilidad],"Intercambio*",Tabla2[Universidad KPIs],'Utilización Convenios'!$C93,Tabla2[Año],'Utilización Convenios'!E$3,Tabla2[Nivel Nominación],"Undergraduate / Bachelor")</f>
        <v>0</v>
      </c>
      <c r="G93" s="29">
        <f>COUNTIFS(Tabla1[Tipo de Movilidad],"Intercambio*",Tabla1[Universidad KPIs],'Utilización Convenios'!$C93,Tabla1[Año de Movilidad],'Utilización Convenios'!G$3,Tabla1[Nivel],"Pregrado")</f>
        <v>0</v>
      </c>
      <c r="H93" s="65">
        <f>COUNTIFS(Tabla2[Tipo de Movilidad],"Intercambio*",Tabla2[Universidad KPIs],'Utilización Convenios'!$C93,Tabla2[Año],'Utilización Convenios'!G$3,Tabla2[Nivel Nominación],"Undergraduate / Bachelor")</f>
        <v>0</v>
      </c>
      <c r="I93" s="29">
        <f>COUNTIFS(Tabla1[Tipo de Movilidad],"Intercambio*",Tabla1[Universidad KPIs],'Utilización Convenios'!$C93,Tabla1[Año de Movilidad],'Utilización Convenios'!I$3,Tabla1[Nivel],"Pregrado")</f>
        <v>3</v>
      </c>
      <c r="J93" s="65">
        <f>COUNTIFS(Tabla2[Tipo de Movilidad],"Intercambio*",Tabla2[Universidad KPIs],'Utilización Convenios'!$C93,Tabla2[Año],'Utilización Convenios'!I$3,Tabla2[Nivel Nominación],"Undergraduate / Bachelor")</f>
        <v>0</v>
      </c>
      <c r="K93" s="29">
        <f>COUNTIFS(Tabla1[Tipo de Movilidad],"Intercambio*",Tabla1[Universidad KPIs],'Utilización Convenios'!$C93,Tabla1[Año de Movilidad],'Utilización Convenios'!K$3,Tabla1[Nivel],"Pregrado")</f>
        <v>1</v>
      </c>
      <c r="L93" s="65">
        <f>COUNTIFS(Tabla2[Tipo de Movilidad],"Intercambio*",Tabla2[Universidad KPIs],'Utilización Convenios'!$C93,Tabla2[Año],'Utilización Convenios'!K$3,Tabla2[Nivel Nominación],"Undergraduate / Bachelor")</f>
        <v>0</v>
      </c>
      <c r="M93" s="29">
        <f>COUNTIFS(Tabla1[Tipo de Movilidad],"Intercambio*",Tabla1[Universidad KPIs],'Utilización Convenios'!$C93,Tabla1[Año de Movilidad],'Utilización Convenios'!M$3,Tabla1[Nivel],"Pregrado")</f>
        <v>1</v>
      </c>
      <c r="N93" s="68">
        <f>COUNTIFS(Tabla2[Tipo de Movilidad],"Intercambio*",Tabla2[Universidad KPIs],'Utilización Convenios'!$C93,Tabla2[Año],'Utilización Convenios'!M$3,Tabla2[Nivel Nominación],"Undergraduate / Bachelor")</f>
        <v>0</v>
      </c>
      <c r="O93" s="29">
        <f>COUNTIFS(Tabla1[Tipo de Movilidad],"Intercambio*",Tabla1[Universidad KPIs],'Utilización Convenios'!$C93,Tabla1[Año de Movilidad],'Utilización Convenios'!O$3,Tabla1[Nivel],"Pregrado")</f>
        <v>0</v>
      </c>
      <c r="P93" s="68">
        <f>COUNTIFS(Tabla2[Tipo de Movilidad],"Intercambio*",Tabla2[Universidad KPIs],'Utilización Convenios'!$C93,Tabla2[Año],'Utilización Convenios'!O$3,Tabla2[Nivel Nominación],"Undergraduate / Bachelor")</f>
        <v>0</v>
      </c>
      <c r="Q93" s="75">
        <f t="shared" si="2"/>
        <v>5</v>
      </c>
      <c r="R93" s="76">
        <f t="shared" si="2"/>
        <v>0</v>
      </c>
    </row>
    <row r="94" spans="2:18">
      <c r="B94" s="242"/>
      <c r="C94" s="138" t="s">
        <v>172</v>
      </c>
      <c r="D94" s="139" t="s">
        <v>103</v>
      </c>
      <c r="E94" s="134">
        <f>COUNTIFS(Tabla1[Tipo de Movilidad],"Intercambio*",Tabla1[Universidad KPIs],'Utilización Convenios'!$C94,Tabla1[Año de Movilidad],'Utilización Convenios'!E$3,Tabla1[Nivel],"Pregrado")</f>
        <v>0</v>
      </c>
      <c r="F94" s="65">
        <f>COUNTIFS(Tabla2[Tipo de Movilidad],"Intercambio*",Tabla2[Universidad KPIs],'Utilización Convenios'!$C94,Tabla2[Año],'Utilización Convenios'!E$3,Tabla2[Nivel Nominación],"Undergraduate / Bachelor")</f>
        <v>0</v>
      </c>
      <c r="G94" s="29">
        <f>COUNTIFS(Tabla1[Tipo de Movilidad],"Intercambio*",Tabla1[Universidad KPIs],'Utilización Convenios'!$C94,Tabla1[Año de Movilidad],'Utilización Convenios'!G$3,Tabla1[Nivel],"Pregrado")</f>
        <v>0</v>
      </c>
      <c r="H94" s="65">
        <f>COUNTIFS(Tabla2[Tipo de Movilidad],"Intercambio*",Tabla2[Universidad KPIs],'Utilización Convenios'!$C94,Tabla2[Año],'Utilización Convenios'!G$3,Tabla2[Nivel Nominación],"Undergraduate / Bachelor")</f>
        <v>0</v>
      </c>
      <c r="I94" s="29">
        <f>COUNTIFS(Tabla1[Tipo de Movilidad],"Intercambio*",Tabla1[Universidad KPIs],'Utilización Convenios'!$C94,Tabla1[Año de Movilidad],'Utilización Convenios'!I$3,Tabla1[Nivel],"Pregrado")</f>
        <v>1</v>
      </c>
      <c r="J94" s="65">
        <f>COUNTIFS(Tabla2[Tipo de Movilidad],"Intercambio*",Tabla2[Universidad KPIs],'Utilización Convenios'!$C94,Tabla2[Año],'Utilización Convenios'!I$3,Tabla2[Nivel Nominación],"Undergraduate / Bachelor")</f>
        <v>0</v>
      </c>
      <c r="K94" s="29">
        <f>COUNTIFS(Tabla1[Tipo de Movilidad],"Intercambio*",Tabla1[Universidad KPIs],'Utilización Convenios'!$C94,Tabla1[Año de Movilidad],'Utilización Convenios'!K$3,Tabla1[Nivel],"Pregrado")</f>
        <v>1</v>
      </c>
      <c r="L94" s="65">
        <f>COUNTIFS(Tabla2[Tipo de Movilidad],"Intercambio*",Tabla2[Universidad KPIs],'Utilización Convenios'!$C94,Tabla2[Año],'Utilización Convenios'!K$3,Tabla2[Nivel Nominación],"Undergraduate / Bachelor")</f>
        <v>0</v>
      </c>
      <c r="M94" s="29">
        <f>COUNTIFS(Tabla1[Tipo de Movilidad],"Intercambio*",Tabla1[Universidad KPIs],'Utilización Convenios'!$C94,Tabla1[Año de Movilidad],'Utilización Convenios'!M$3,Tabla1[Nivel],"Pregrado")</f>
        <v>0</v>
      </c>
      <c r="N94" s="68">
        <f>COUNTIFS(Tabla2[Tipo de Movilidad],"Intercambio*",Tabla2[Universidad KPIs],'Utilización Convenios'!$C94,Tabla2[Año],'Utilización Convenios'!M$3,Tabla2[Nivel Nominación],"Undergraduate / Bachelor")</f>
        <v>0</v>
      </c>
      <c r="O94" s="29">
        <f>COUNTIFS(Tabla1[Tipo de Movilidad],"Intercambio*",Tabla1[Universidad KPIs],'Utilización Convenios'!$C94,Tabla1[Año de Movilidad],'Utilización Convenios'!O$3,Tabla1[Nivel],"Pregrado")</f>
        <v>0</v>
      </c>
      <c r="P94" s="68">
        <f>COUNTIFS(Tabla2[Tipo de Movilidad],"Intercambio*",Tabla2[Universidad KPIs],'Utilización Convenios'!$C94,Tabla2[Año],'Utilización Convenios'!O$3,Tabla2[Nivel Nominación],"Undergraduate / Bachelor")</f>
        <v>0</v>
      </c>
      <c r="Q94" s="75">
        <f t="shared" si="2"/>
        <v>2</v>
      </c>
      <c r="R94" s="76">
        <f t="shared" si="2"/>
        <v>0</v>
      </c>
    </row>
    <row r="95" spans="2:18">
      <c r="B95" s="242"/>
      <c r="C95" s="138" t="s">
        <v>173</v>
      </c>
      <c r="D95" s="139" t="s">
        <v>103</v>
      </c>
      <c r="E95" s="134">
        <f>COUNTIFS(Tabla1[Tipo de Movilidad],"Intercambio*",Tabla1[Universidad KPIs],'Utilización Convenios'!$C95,Tabla1[Año de Movilidad],'Utilización Convenios'!E$3,Tabla1[Nivel],"Pregrado")</f>
        <v>0</v>
      </c>
      <c r="F95" s="65">
        <f>COUNTIFS(Tabla2[Tipo de Movilidad],"Intercambio*",Tabla2[Universidad KPIs],'Utilización Convenios'!$C95,Tabla2[Año],'Utilización Convenios'!E$3,Tabla2[Nivel Nominación],"Undergraduate / Bachelor")</f>
        <v>0</v>
      </c>
      <c r="G95" s="29">
        <f>COUNTIFS(Tabla1[Tipo de Movilidad],"Intercambio*",Tabla1[Universidad KPIs],'Utilización Convenios'!$C95,Tabla1[Año de Movilidad],'Utilización Convenios'!G$3,Tabla1[Nivel],"Pregrado")</f>
        <v>1</v>
      </c>
      <c r="H95" s="65">
        <f>COUNTIFS(Tabla2[Tipo de Movilidad],"Intercambio*",Tabla2[Universidad KPIs],'Utilización Convenios'!$C95,Tabla2[Año],'Utilización Convenios'!G$3,Tabla2[Nivel Nominación],"Undergraduate / Bachelor")</f>
        <v>0</v>
      </c>
      <c r="I95" s="29">
        <f>COUNTIFS(Tabla1[Tipo de Movilidad],"Intercambio*",Tabla1[Universidad KPIs],'Utilización Convenios'!$C95,Tabla1[Año de Movilidad],'Utilización Convenios'!I$3,Tabla1[Nivel],"Pregrado")</f>
        <v>0</v>
      </c>
      <c r="J95" s="65">
        <f>COUNTIFS(Tabla2[Tipo de Movilidad],"Intercambio*",Tabla2[Universidad KPIs],'Utilización Convenios'!$C95,Tabla2[Año],'Utilización Convenios'!I$3,Tabla2[Nivel Nominación],"Undergraduate / Bachelor")</f>
        <v>0</v>
      </c>
      <c r="K95" s="29">
        <f>COUNTIFS(Tabla1[Tipo de Movilidad],"Intercambio*",Tabla1[Universidad KPIs],'Utilización Convenios'!$C95,Tabla1[Año de Movilidad],'Utilización Convenios'!K$3,Tabla1[Nivel],"Pregrado")</f>
        <v>0</v>
      </c>
      <c r="L95" s="65">
        <f>COUNTIFS(Tabla2[Tipo de Movilidad],"Intercambio*",Tabla2[Universidad KPIs],'Utilización Convenios'!$C95,Tabla2[Año],'Utilización Convenios'!K$3,Tabla2[Nivel Nominación],"Undergraduate / Bachelor")</f>
        <v>0</v>
      </c>
      <c r="M95" s="29">
        <f>COUNTIFS(Tabla1[Tipo de Movilidad],"Intercambio*",Tabla1[Universidad KPIs],'Utilización Convenios'!$C95,Tabla1[Año de Movilidad],'Utilización Convenios'!M$3,Tabla1[Nivel],"Pregrado")</f>
        <v>0</v>
      </c>
      <c r="N95" s="68">
        <f>COUNTIFS(Tabla2[Tipo de Movilidad],"Intercambio*",Tabla2[Universidad KPIs],'Utilización Convenios'!$C95,Tabla2[Año],'Utilización Convenios'!M$3,Tabla2[Nivel Nominación],"Undergraduate / Bachelor")</f>
        <v>0</v>
      </c>
      <c r="O95" s="29">
        <f>COUNTIFS(Tabla1[Tipo de Movilidad],"Intercambio*",Tabla1[Universidad KPIs],'Utilización Convenios'!$C95,Tabla1[Año de Movilidad],'Utilización Convenios'!O$3,Tabla1[Nivel],"Pregrado")</f>
        <v>0</v>
      </c>
      <c r="P95" s="68">
        <f>COUNTIFS(Tabla2[Tipo de Movilidad],"Intercambio*",Tabla2[Universidad KPIs],'Utilización Convenios'!$C95,Tabla2[Año],'Utilización Convenios'!O$3,Tabla2[Nivel Nominación],"Undergraduate / Bachelor")</f>
        <v>0</v>
      </c>
      <c r="Q95" s="75">
        <f t="shared" si="2"/>
        <v>1</v>
      </c>
      <c r="R95" s="76">
        <f t="shared" si="2"/>
        <v>0</v>
      </c>
    </row>
    <row r="96" spans="2:18">
      <c r="B96" s="242"/>
      <c r="C96" s="138" t="s">
        <v>174</v>
      </c>
      <c r="D96" s="139" t="s">
        <v>69</v>
      </c>
      <c r="E96" s="134">
        <f>COUNTIFS(Tabla1[Tipo de Movilidad],"Intercambio*",Tabla1[Universidad KPIs],'Utilización Convenios'!$C96,Tabla1[Año de Movilidad],'Utilización Convenios'!E$3,Tabla1[Nivel],"Pregrado")</f>
        <v>0</v>
      </c>
      <c r="F96" s="65">
        <f>COUNTIFS(Tabla2[Tipo de Movilidad],"Intercambio*",Tabla2[Universidad KPIs],'Utilización Convenios'!$C96,Tabla2[Año],'Utilización Convenios'!E$3,Tabla2[Nivel Nominación],"Undergraduate / Bachelor")</f>
        <v>0</v>
      </c>
      <c r="G96" s="29">
        <f>COUNTIFS(Tabla1[Tipo de Movilidad],"Intercambio*",Tabla1[Universidad KPIs],'Utilización Convenios'!$C96,Tabla1[Año de Movilidad],'Utilización Convenios'!G$3,Tabla1[Nivel],"Pregrado")</f>
        <v>0</v>
      </c>
      <c r="H96" s="65">
        <f>COUNTIFS(Tabla2[Tipo de Movilidad],"Intercambio*",Tabla2[Universidad KPIs],'Utilización Convenios'!$C96,Tabla2[Año],'Utilización Convenios'!G$3,Tabla2[Nivel Nominación],"Undergraduate / Bachelor")</f>
        <v>0</v>
      </c>
      <c r="I96" s="29">
        <f>COUNTIFS(Tabla1[Tipo de Movilidad],"Intercambio*",Tabla1[Universidad KPIs],'Utilización Convenios'!$C96,Tabla1[Año de Movilidad],'Utilización Convenios'!I$3,Tabla1[Nivel],"Pregrado")</f>
        <v>2</v>
      </c>
      <c r="J96" s="65">
        <f>COUNTIFS(Tabla2[Tipo de Movilidad],"Intercambio*",Tabla2[Universidad KPIs],'Utilización Convenios'!$C96,Tabla2[Año],'Utilización Convenios'!I$3,Tabla2[Nivel Nominación],"Undergraduate / Bachelor")</f>
        <v>1</v>
      </c>
      <c r="K96" s="29">
        <f>COUNTIFS(Tabla1[Tipo de Movilidad],"Intercambio*",Tabla1[Universidad KPIs],'Utilización Convenios'!$C96,Tabla1[Año de Movilidad],'Utilización Convenios'!K$3,Tabla1[Nivel],"Pregrado")</f>
        <v>2</v>
      </c>
      <c r="L96" s="65">
        <f>COUNTIFS(Tabla2[Tipo de Movilidad],"Intercambio*",Tabla2[Universidad KPIs],'Utilización Convenios'!$C96,Tabla2[Año],'Utilización Convenios'!K$3,Tabla2[Nivel Nominación],"Undergraduate / Bachelor")</f>
        <v>0</v>
      </c>
      <c r="M96" s="29">
        <f>COUNTIFS(Tabla1[Tipo de Movilidad],"Intercambio*",Tabla1[Universidad KPIs],'Utilización Convenios'!$C96,Tabla1[Año de Movilidad],'Utilización Convenios'!M$3,Tabla1[Nivel],"Pregrado")</f>
        <v>2</v>
      </c>
      <c r="N96" s="68">
        <f>COUNTIFS(Tabla2[Tipo de Movilidad],"Intercambio*",Tabla2[Universidad KPIs],'Utilización Convenios'!$C96,Tabla2[Año],'Utilización Convenios'!M$3,Tabla2[Nivel Nominación],"Undergraduate / Bachelor")</f>
        <v>0</v>
      </c>
      <c r="O96" s="29">
        <f>COUNTIFS(Tabla1[Tipo de Movilidad],"Intercambio*",Tabla1[Universidad KPIs],'Utilización Convenios'!$C96,Tabla1[Año de Movilidad],'Utilización Convenios'!O$3,Tabla1[Nivel],"Pregrado")</f>
        <v>2</v>
      </c>
      <c r="P96" s="68">
        <f>COUNTIFS(Tabla2[Tipo de Movilidad],"Intercambio*",Tabla2[Universidad KPIs],'Utilización Convenios'!$C96,Tabla2[Año],'Utilización Convenios'!O$3,Tabla2[Nivel Nominación],"Undergraduate / Bachelor")</f>
        <v>0</v>
      </c>
      <c r="Q96" s="75">
        <f t="shared" si="2"/>
        <v>8</v>
      </c>
      <c r="R96" s="76">
        <f t="shared" si="2"/>
        <v>1</v>
      </c>
    </row>
    <row r="97" spans="2:18">
      <c r="B97" s="242"/>
      <c r="C97" s="138" t="s">
        <v>175</v>
      </c>
      <c r="D97" s="139" t="s">
        <v>69</v>
      </c>
      <c r="E97" s="134">
        <f>COUNTIFS(Tabla1[Tipo de Movilidad],"Intercambio*",Tabla1[Universidad KPIs],'Utilización Convenios'!$C97,Tabla1[Año de Movilidad],'Utilización Convenios'!E$3,Tabla1[Nivel],"Pregrado")</f>
        <v>0</v>
      </c>
      <c r="F97" s="65">
        <f>COUNTIFS(Tabla2[Tipo de Movilidad],"Intercambio*",Tabla2[Universidad KPIs],'Utilización Convenios'!$C97,Tabla2[Año],'Utilización Convenios'!E$3,Tabla2[Nivel Nominación],"Undergraduate / Bachelor")</f>
        <v>1</v>
      </c>
      <c r="G97" s="29">
        <f>COUNTIFS(Tabla1[Tipo de Movilidad],"Intercambio*",Tabla1[Universidad KPIs],'Utilización Convenios'!$C97,Tabla1[Año de Movilidad],'Utilización Convenios'!G$3,Tabla1[Nivel],"Pregrado")</f>
        <v>0</v>
      </c>
      <c r="H97" s="65">
        <f>COUNTIFS(Tabla2[Tipo de Movilidad],"Intercambio*",Tabla2[Universidad KPIs],'Utilización Convenios'!$C97,Tabla2[Año],'Utilización Convenios'!G$3,Tabla2[Nivel Nominación],"Undergraduate / Bachelor")</f>
        <v>0</v>
      </c>
      <c r="I97" s="29">
        <f>COUNTIFS(Tabla1[Tipo de Movilidad],"Intercambio*",Tabla1[Universidad KPIs],'Utilización Convenios'!$C97,Tabla1[Año de Movilidad],'Utilización Convenios'!I$3,Tabla1[Nivel],"Pregrado")</f>
        <v>0</v>
      </c>
      <c r="J97" s="65">
        <f>COUNTIFS(Tabla2[Tipo de Movilidad],"Intercambio*",Tabla2[Universidad KPIs],'Utilización Convenios'!$C97,Tabla2[Año],'Utilización Convenios'!I$3,Tabla2[Nivel Nominación],"Undergraduate / Bachelor")</f>
        <v>0</v>
      </c>
      <c r="K97" s="29">
        <f>COUNTIFS(Tabla1[Tipo de Movilidad],"Intercambio*",Tabla1[Universidad KPIs],'Utilización Convenios'!$C97,Tabla1[Año de Movilidad],'Utilización Convenios'!K$3,Tabla1[Nivel],"Pregrado")</f>
        <v>0</v>
      </c>
      <c r="L97" s="65">
        <f>COUNTIFS(Tabla2[Tipo de Movilidad],"Intercambio*",Tabla2[Universidad KPIs],'Utilización Convenios'!$C97,Tabla2[Año],'Utilización Convenios'!K$3,Tabla2[Nivel Nominación],"Undergraduate / Bachelor")</f>
        <v>0</v>
      </c>
      <c r="M97" s="29">
        <f>COUNTIFS(Tabla1[Tipo de Movilidad],"Intercambio*",Tabla1[Universidad KPIs],'Utilización Convenios'!$C97,Tabla1[Año de Movilidad],'Utilización Convenios'!M$3,Tabla1[Nivel],"Pregrado")</f>
        <v>0</v>
      </c>
      <c r="N97" s="68">
        <f>COUNTIFS(Tabla2[Tipo de Movilidad],"Intercambio*",Tabla2[Universidad KPIs],'Utilización Convenios'!$C97,Tabla2[Año],'Utilización Convenios'!M$3,Tabla2[Nivel Nominación],"Undergraduate / Bachelor")</f>
        <v>0</v>
      </c>
      <c r="O97" s="29">
        <f>COUNTIFS(Tabla1[Tipo de Movilidad],"Intercambio*",Tabla1[Universidad KPIs],'Utilización Convenios'!$C97,Tabla1[Año de Movilidad],'Utilización Convenios'!O$3,Tabla1[Nivel],"Pregrado")</f>
        <v>0</v>
      </c>
      <c r="P97" s="68">
        <f>COUNTIFS(Tabla2[Tipo de Movilidad],"Intercambio*",Tabla2[Universidad KPIs],'Utilización Convenios'!$C97,Tabla2[Año],'Utilización Convenios'!O$3,Tabla2[Nivel Nominación],"Undergraduate / Bachelor")</f>
        <v>0</v>
      </c>
      <c r="Q97" s="75">
        <f t="shared" si="2"/>
        <v>0</v>
      </c>
      <c r="R97" s="76">
        <f t="shared" si="2"/>
        <v>1</v>
      </c>
    </row>
    <row r="98" spans="2:18">
      <c r="B98" s="242"/>
      <c r="C98" s="138" t="s">
        <v>176</v>
      </c>
      <c r="D98" s="139" t="s">
        <v>57</v>
      </c>
      <c r="E98" s="134">
        <f>COUNTIFS(Tabla1[Tipo de Movilidad],"Intercambio*",Tabla1[Universidad KPIs],'Utilización Convenios'!$C98,Tabla1[Año de Movilidad],'Utilización Convenios'!E$3,Tabla1[Nivel],"Pregrado")</f>
        <v>0</v>
      </c>
      <c r="F98" s="65">
        <f>COUNTIFS(Tabla2[Tipo de Movilidad],"Intercambio*",Tabla2[Universidad KPIs],'Utilización Convenios'!$C98,Tabla2[Año],'Utilización Convenios'!E$3,Tabla2[Nivel Nominación],"Undergraduate / Bachelor")</f>
        <v>0</v>
      </c>
      <c r="G98" s="29">
        <f>COUNTIFS(Tabla1[Tipo de Movilidad],"Intercambio*",Tabla1[Universidad KPIs],'Utilización Convenios'!$C98,Tabla1[Año de Movilidad],'Utilización Convenios'!G$3,Tabla1[Nivel],"Pregrado")</f>
        <v>0</v>
      </c>
      <c r="H98" s="65">
        <f>COUNTIFS(Tabla2[Tipo de Movilidad],"Intercambio*",Tabla2[Universidad KPIs],'Utilización Convenios'!$C98,Tabla2[Año],'Utilización Convenios'!G$3,Tabla2[Nivel Nominación],"Undergraduate / Bachelor")</f>
        <v>0</v>
      </c>
      <c r="I98" s="29">
        <f>COUNTIFS(Tabla1[Tipo de Movilidad],"Intercambio*",Tabla1[Universidad KPIs],'Utilización Convenios'!$C98,Tabla1[Año de Movilidad],'Utilización Convenios'!I$3,Tabla1[Nivel],"Pregrado")</f>
        <v>1</v>
      </c>
      <c r="J98" s="65">
        <f>COUNTIFS(Tabla2[Tipo de Movilidad],"Intercambio*",Tabla2[Universidad KPIs],'Utilización Convenios'!$C98,Tabla2[Año],'Utilización Convenios'!I$3,Tabla2[Nivel Nominación],"Undergraduate / Bachelor")</f>
        <v>0</v>
      </c>
      <c r="K98" s="29">
        <f>COUNTIFS(Tabla1[Tipo de Movilidad],"Intercambio*",Tabla1[Universidad KPIs],'Utilización Convenios'!$C98,Tabla1[Año de Movilidad],'Utilización Convenios'!K$3,Tabla1[Nivel],"Pregrado")</f>
        <v>0</v>
      </c>
      <c r="L98" s="65">
        <f>COUNTIFS(Tabla2[Tipo de Movilidad],"Intercambio*",Tabla2[Universidad KPIs],'Utilización Convenios'!$C98,Tabla2[Año],'Utilización Convenios'!K$3,Tabla2[Nivel Nominación],"Undergraduate / Bachelor")</f>
        <v>0</v>
      </c>
      <c r="M98" s="29">
        <f>COUNTIFS(Tabla1[Tipo de Movilidad],"Intercambio*",Tabla1[Universidad KPIs],'Utilización Convenios'!$C98,Tabla1[Año de Movilidad],'Utilización Convenios'!M$3,Tabla1[Nivel],"Pregrado")</f>
        <v>0</v>
      </c>
      <c r="N98" s="68">
        <f>COUNTIFS(Tabla2[Tipo de Movilidad],"Intercambio*",Tabla2[Universidad KPIs],'Utilización Convenios'!$C98,Tabla2[Año],'Utilización Convenios'!M$3,Tabla2[Nivel Nominación],"Undergraduate / Bachelor")</f>
        <v>0</v>
      </c>
      <c r="O98" s="29">
        <f>COUNTIFS(Tabla1[Tipo de Movilidad],"Intercambio*",Tabla1[Universidad KPIs],'Utilización Convenios'!$C98,Tabla1[Año de Movilidad],'Utilización Convenios'!O$3,Tabla1[Nivel],"Pregrado")</f>
        <v>1</v>
      </c>
      <c r="P98" s="68">
        <f>COUNTIFS(Tabla2[Tipo de Movilidad],"Intercambio*",Tabla2[Universidad KPIs],'Utilización Convenios'!$C98,Tabla2[Año],'Utilización Convenios'!O$3,Tabla2[Nivel Nominación],"Undergraduate / Bachelor")</f>
        <v>0</v>
      </c>
      <c r="Q98" s="75">
        <f t="shared" si="2"/>
        <v>2</v>
      </c>
      <c r="R98" s="76">
        <f t="shared" si="2"/>
        <v>0</v>
      </c>
    </row>
    <row r="99" spans="2:18">
      <c r="B99" s="242"/>
      <c r="C99" s="138" t="s">
        <v>177</v>
      </c>
      <c r="D99" s="139" t="s">
        <v>81</v>
      </c>
      <c r="E99" s="134">
        <f>COUNTIFS(Tabla1[Tipo de Movilidad],"Intercambio*",Tabla1[Universidad KPIs],'Utilización Convenios'!$C99,Tabla1[Año de Movilidad],'Utilización Convenios'!E$3,Tabla1[Nivel],"Pregrado")</f>
        <v>0</v>
      </c>
      <c r="F99" s="65">
        <f>COUNTIFS(Tabla2[Tipo de Movilidad],"Intercambio*",Tabla2[Universidad KPIs],'Utilización Convenios'!$C99,Tabla2[Año],'Utilización Convenios'!E$3,Tabla2[Nivel Nominación],"Undergraduate / Bachelor")</f>
        <v>0</v>
      </c>
      <c r="G99" s="29">
        <f>COUNTIFS(Tabla1[Tipo de Movilidad],"Intercambio*",Tabla1[Universidad KPIs],'Utilización Convenios'!$C99,Tabla1[Año de Movilidad],'Utilización Convenios'!G$3,Tabla1[Nivel],"Pregrado")</f>
        <v>0</v>
      </c>
      <c r="H99" s="65">
        <f>COUNTIFS(Tabla2[Tipo de Movilidad],"Intercambio*",Tabla2[Universidad KPIs],'Utilización Convenios'!$C99,Tabla2[Año],'Utilización Convenios'!G$3,Tabla2[Nivel Nominación],"Undergraduate / Bachelor")</f>
        <v>0</v>
      </c>
      <c r="I99" s="29">
        <f>COUNTIFS(Tabla1[Tipo de Movilidad],"Intercambio*",Tabla1[Universidad KPIs],'Utilización Convenios'!$C99,Tabla1[Año de Movilidad],'Utilización Convenios'!I$3,Tabla1[Nivel],"Pregrado")</f>
        <v>0</v>
      </c>
      <c r="J99" s="65">
        <f>COUNTIFS(Tabla2[Tipo de Movilidad],"Intercambio*",Tabla2[Universidad KPIs],'Utilización Convenios'!$C99,Tabla2[Año],'Utilización Convenios'!I$3,Tabla2[Nivel Nominación],"Undergraduate / Bachelor")</f>
        <v>0</v>
      </c>
      <c r="K99" s="29">
        <f>COUNTIFS(Tabla1[Tipo de Movilidad],"Intercambio*",Tabla1[Universidad KPIs],'Utilización Convenios'!$C99,Tabla1[Año de Movilidad],'Utilización Convenios'!K$3,Tabla1[Nivel],"Pregrado")</f>
        <v>0</v>
      </c>
      <c r="L99" s="65">
        <f>COUNTIFS(Tabla2[Tipo de Movilidad],"Intercambio*",Tabla2[Universidad KPIs],'Utilización Convenios'!$C99,Tabla2[Año],'Utilización Convenios'!K$3,Tabla2[Nivel Nominación],"Undergraduate / Bachelor")</f>
        <v>1</v>
      </c>
      <c r="M99" s="29">
        <f>COUNTIFS(Tabla1[Tipo de Movilidad],"Intercambio*",Tabla1[Universidad KPIs],'Utilización Convenios'!$C99,Tabla1[Año de Movilidad],'Utilización Convenios'!M$3,Tabla1[Nivel],"Pregrado")</f>
        <v>0</v>
      </c>
      <c r="N99" s="68">
        <f>COUNTIFS(Tabla2[Tipo de Movilidad],"Intercambio*",Tabla2[Universidad KPIs],'Utilización Convenios'!$C99,Tabla2[Año],'Utilización Convenios'!M$3,Tabla2[Nivel Nominación],"Undergraduate / Bachelor")</f>
        <v>0</v>
      </c>
      <c r="O99" s="29">
        <f>COUNTIFS(Tabla1[Tipo de Movilidad],"Intercambio*",Tabla1[Universidad KPIs],'Utilización Convenios'!$C99,Tabla1[Año de Movilidad],'Utilización Convenios'!O$3,Tabla1[Nivel],"Pregrado")</f>
        <v>0</v>
      </c>
      <c r="P99" s="68">
        <f>COUNTIFS(Tabla2[Tipo de Movilidad],"Intercambio*",Tabla2[Universidad KPIs],'Utilización Convenios'!$C99,Tabla2[Año],'Utilización Convenios'!O$3,Tabla2[Nivel Nominación],"Undergraduate / Bachelor")</f>
        <v>0</v>
      </c>
      <c r="Q99" s="75">
        <f t="shared" si="2"/>
        <v>0</v>
      </c>
      <c r="R99" s="76">
        <f t="shared" si="2"/>
        <v>1</v>
      </c>
    </row>
    <row r="100" spans="2:18">
      <c r="B100" s="242"/>
      <c r="C100" s="138" t="s">
        <v>178</v>
      </c>
      <c r="D100" s="139" t="s">
        <v>57</v>
      </c>
      <c r="E100" s="134">
        <f>COUNTIFS(Tabla1[Tipo de Movilidad],"Intercambio*",Tabla1[Universidad KPIs],'Utilización Convenios'!$C100,Tabla1[Año de Movilidad],'Utilización Convenios'!E$3,Tabla1[Nivel],"Pregrado")</f>
        <v>0</v>
      </c>
      <c r="F100" s="65">
        <f>COUNTIFS(Tabla2[Tipo de Movilidad],"Intercambio*",Tabla2[Universidad KPIs],'Utilización Convenios'!$C100,Tabla2[Año],'Utilización Convenios'!E$3,Tabla2[Nivel Nominación],"Undergraduate / Bachelor")</f>
        <v>1</v>
      </c>
      <c r="G100" s="29">
        <f>COUNTIFS(Tabla1[Tipo de Movilidad],"Intercambio*",Tabla1[Universidad KPIs],'Utilización Convenios'!$C100,Tabla1[Año de Movilidad],'Utilización Convenios'!G$3,Tabla1[Nivel],"Pregrado")</f>
        <v>0</v>
      </c>
      <c r="H100" s="65">
        <f>COUNTIFS(Tabla2[Tipo de Movilidad],"Intercambio*",Tabla2[Universidad KPIs],'Utilización Convenios'!$C100,Tabla2[Año],'Utilización Convenios'!G$3,Tabla2[Nivel Nominación],"Undergraduate / Bachelor")</f>
        <v>0</v>
      </c>
      <c r="I100" s="29">
        <f>COUNTIFS(Tabla1[Tipo de Movilidad],"Intercambio*",Tabla1[Universidad KPIs],'Utilización Convenios'!$C100,Tabla1[Año de Movilidad],'Utilización Convenios'!I$3,Tabla1[Nivel],"Pregrado")</f>
        <v>1</v>
      </c>
      <c r="J100" s="65">
        <f>COUNTIFS(Tabla2[Tipo de Movilidad],"Intercambio*",Tabla2[Universidad KPIs],'Utilización Convenios'!$C100,Tabla2[Año],'Utilización Convenios'!I$3,Tabla2[Nivel Nominación],"Undergraduate / Bachelor")</f>
        <v>1</v>
      </c>
      <c r="K100" s="29">
        <f>COUNTIFS(Tabla1[Tipo de Movilidad],"Intercambio*",Tabla1[Universidad KPIs],'Utilización Convenios'!$C100,Tabla1[Año de Movilidad],'Utilización Convenios'!K$3,Tabla1[Nivel],"Pregrado")</f>
        <v>0</v>
      </c>
      <c r="L100" s="65">
        <f>COUNTIFS(Tabla2[Tipo de Movilidad],"Intercambio*",Tabla2[Universidad KPIs],'Utilización Convenios'!$C100,Tabla2[Año],'Utilización Convenios'!K$3,Tabla2[Nivel Nominación],"Undergraduate / Bachelor")</f>
        <v>0</v>
      </c>
      <c r="M100" s="29">
        <f>COUNTIFS(Tabla1[Tipo de Movilidad],"Intercambio*",Tabla1[Universidad KPIs],'Utilización Convenios'!$C100,Tabla1[Año de Movilidad],'Utilización Convenios'!M$3,Tabla1[Nivel],"Pregrado")</f>
        <v>0</v>
      </c>
      <c r="N100" s="68">
        <f>COUNTIFS(Tabla2[Tipo de Movilidad],"Intercambio*",Tabla2[Universidad KPIs],'Utilización Convenios'!$C100,Tabla2[Año],'Utilización Convenios'!M$3,Tabla2[Nivel Nominación],"Undergraduate / Bachelor")</f>
        <v>2</v>
      </c>
      <c r="O100" s="29">
        <f>COUNTIFS(Tabla1[Tipo de Movilidad],"Intercambio*",Tabla1[Universidad KPIs],'Utilización Convenios'!$C100,Tabla1[Año de Movilidad],'Utilización Convenios'!O$3,Tabla1[Nivel],"Pregrado")</f>
        <v>1</v>
      </c>
      <c r="P100" s="68">
        <f>COUNTIFS(Tabla2[Tipo de Movilidad],"Intercambio*",Tabla2[Universidad KPIs],'Utilización Convenios'!$C100,Tabla2[Año],'Utilización Convenios'!O$3,Tabla2[Nivel Nominación],"Undergraduate / Bachelor")</f>
        <v>1</v>
      </c>
      <c r="Q100" s="75">
        <f t="shared" si="2"/>
        <v>2</v>
      </c>
      <c r="R100" s="76">
        <f t="shared" si="2"/>
        <v>5</v>
      </c>
    </row>
    <row r="101" spans="2:18">
      <c r="B101" s="242"/>
      <c r="C101" s="138" t="s">
        <v>179</v>
      </c>
      <c r="D101" s="139" t="s">
        <v>55</v>
      </c>
      <c r="E101" s="134">
        <f>COUNTIFS(Tabla1[Tipo de Movilidad],"Intercambio*",Tabla1[Universidad KPIs],'Utilización Convenios'!$C101,Tabla1[Año de Movilidad],'Utilización Convenios'!E$3,Tabla1[Nivel],"Pregrado")</f>
        <v>0</v>
      </c>
      <c r="F101" s="65">
        <f>COUNTIFS(Tabla2[Tipo de Movilidad],"Intercambio*",Tabla2[Universidad KPIs],'Utilización Convenios'!$C101,Tabla2[Año],'Utilización Convenios'!E$3,Tabla2[Nivel Nominación],"Undergraduate / Bachelor")</f>
        <v>0</v>
      </c>
      <c r="G101" s="29">
        <f>COUNTIFS(Tabla1[Tipo de Movilidad],"Intercambio*",Tabla1[Universidad KPIs],'Utilización Convenios'!$C101,Tabla1[Año de Movilidad],'Utilización Convenios'!G$3,Tabla1[Nivel],"Pregrado")</f>
        <v>0</v>
      </c>
      <c r="H101" s="65">
        <f>COUNTIFS(Tabla2[Tipo de Movilidad],"Intercambio*",Tabla2[Universidad KPIs],'Utilización Convenios'!$C101,Tabla2[Año],'Utilización Convenios'!G$3,Tabla2[Nivel Nominación],"Undergraduate / Bachelor")</f>
        <v>0</v>
      </c>
      <c r="I101" s="29">
        <f>COUNTIFS(Tabla1[Tipo de Movilidad],"Intercambio*",Tabla1[Universidad KPIs],'Utilización Convenios'!$C101,Tabla1[Año de Movilidad],'Utilización Convenios'!I$3,Tabla1[Nivel],"Pregrado")</f>
        <v>0</v>
      </c>
      <c r="J101" s="65">
        <f>COUNTIFS(Tabla2[Tipo de Movilidad],"Intercambio*",Tabla2[Universidad KPIs],'Utilización Convenios'!$C101,Tabla2[Año],'Utilización Convenios'!I$3,Tabla2[Nivel Nominación],"Undergraduate / Bachelor")</f>
        <v>0</v>
      </c>
      <c r="K101" s="29">
        <f>COUNTIFS(Tabla1[Tipo de Movilidad],"Intercambio*",Tabla1[Universidad KPIs],'Utilización Convenios'!$C101,Tabla1[Año de Movilidad],'Utilización Convenios'!K$3,Tabla1[Nivel],"Pregrado")</f>
        <v>1</v>
      </c>
      <c r="L101" s="65">
        <f>COUNTIFS(Tabla2[Tipo de Movilidad],"Intercambio*",Tabla2[Universidad KPIs],'Utilización Convenios'!$C101,Tabla2[Año],'Utilización Convenios'!K$3,Tabla2[Nivel Nominación],"Undergraduate / Bachelor")</f>
        <v>0</v>
      </c>
      <c r="M101" s="29">
        <f>COUNTIFS(Tabla1[Tipo de Movilidad],"Intercambio*",Tabla1[Universidad KPIs],'Utilización Convenios'!$C101,Tabla1[Año de Movilidad],'Utilización Convenios'!M$3,Tabla1[Nivel],"Pregrado")</f>
        <v>1</v>
      </c>
      <c r="N101" s="68">
        <f>COUNTIFS(Tabla2[Tipo de Movilidad],"Intercambio*",Tabla2[Universidad KPIs],'Utilización Convenios'!$C101,Tabla2[Año],'Utilización Convenios'!M$3,Tabla2[Nivel Nominación],"Undergraduate / Bachelor")</f>
        <v>0</v>
      </c>
      <c r="O101" s="29">
        <f>COUNTIFS(Tabla1[Tipo de Movilidad],"Intercambio*",Tabla1[Universidad KPIs],'Utilización Convenios'!$C101,Tabla1[Año de Movilidad],'Utilización Convenios'!O$3,Tabla1[Nivel],"Pregrado")</f>
        <v>0</v>
      </c>
      <c r="P101" s="68">
        <f>COUNTIFS(Tabla2[Tipo de Movilidad],"Intercambio*",Tabla2[Universidad KPIs],'Utilización Convenios'!$C101,Tabla2[Año],'Utilización Convenios'!O$3,Tabla2[Nivel Nominación],"Undergraduate / Bachelor")</f>
        <v>0</v>
      </c>
      <c r="Q101" s="75">
        <f t="shared" si="2"/>
        <v>2</v>
      </c>
      <c r="R101" s="76">
        <f t="shared" si="2"/>
        <v>0</v>
      </c>
    </row>
    <row r="102" spans="2:18">
      <c r="B102" s="242"/>
      <c r="C102" s="138" t="s">
        <v>180</v>
      </c>
      <c r="D102" s="139" t="s">
        <v>55</v>
      </c>
      <c r="E102" s="134">
        <f>COUNTIFS(Tabla1[Tipo de Movilidad],"Intercambio*",Tabla1[Universidad KPIs],'Utilización Convenios'!$C102,Tabla1[Año de Movilidad],'Utilización Convenios'!E$3,Tabla1[Nivel],"Pregrado")</f>
        <v>0</v>
      </c>
      <c r="F102" s="65">
        <f>COUNTIFS(Tabla2[Tipo de Movilidad],"Intercambio*",Tabla2[Universidad KPIs],'Utilización Convenios'!$C102,Tabla2[Año],'Utilización Convenios'!E$3,Tabla2[Nivel Nominación],"Undergraduate / Bachelor")</f>
        <v>0</v>
      </c>
      <c r="G102" s="29">
        <f>COUNTIFS(Tabla1[Tipo de Movilidad],"Intercambio*",Tabla1[Universidad KPIs],'Utilización Convenios'!$C102,Tabla1[Año de Movilidad],'Utilización Convenios'!G$3,Tabla1[Nivel],"Pregrado")</f>
        <v>0</v>
      </c>
      <c r="H102" s="65">
        <f>COUNTIFS(Tabla2[Tipo de Movilidad],"Intercambio*",Tabla2[Universidad KPIs],'Utilización Convenios'!$C102,Tabla2[Año],'Utilización Convenios'!G$3,Tabla2[Nivel Nominación],"Undergraduate / Bachelor")</f>
        <v>0</v>
      </c>
      <c r="I102" s="29">
        <f>COUNTIFS(Tabla1[Tipo de Movilidad],"Intercambio*",Tabla1[Universidad KPIs],'Utilización Convenios'!$C102,Tabla1[Año de Movilidad],'Utilización Convenios'!I$3,Tabla1[Nivel],"Pregrado")</f>
        <v>0</v>
      </c>
      <c r="J102" s="65">
        <f>COUNTIFS(Tabla2[Tipo de Movilidad],"Intercambio*",Tabla2[Universidad KPIs],'Utilización Convenios'!$C102,Tabla2[Año],'Utilización Convenios'!I$3,Tabla2[Nivel Nominación],"Undergraduate / Bachelor")</f>
        <v>0</v>
      </c>
      <c r="K102" s="29">
        <f>COUNTIFS(Tabla1[Tipo de Movilidad],"Intercambio*",Tabla1[Universidad KPIs],'Utilización Convenios'!$C102,Tabla1[Año de Movilidad],'Utilización Convenios'!K$3,Tabla1[Nivel],"Pregrado")</f>
        <v>1</v>
      </c>
      <c r="L102" s="65">
        <f>COUNTIFS(Tabla2[Tipo de Movilidad],"Intercambio*",Tabla2[Universidad KPIs],'Utilización Convenios'!$C102,Tabla2[Año],'Utilización Convenios'!K$3,Tabla2[Nivel Nominación],"Undergraduate / Bachelor")</f>
        <v>0</v>
      </c>
      <c r="M102" s="29">
        <f>COUNTIFS(Tabla1[Tipo de Movilidad],"Intercambio*",Tabla1[Universidad KPIs],'Utilización Convenios'!$C102,Tabla1[Año de Movilidad],'Utilización Convenios'!M$3,Tabla1[Nivel],"Pregrado")</f>
        <v>1</v>
      </c>
      <c r="N102" s="68">
        <f>COUNTIFS(Tabla2[Tipo de Movilidad],"Intercambio*",Tabla2[Universidad KPIs],'Utilización Convenios'!$C102,Tabla2[Año],'Utilización Convenios'!M$3,Tabla2[Nivel Nominación],"Undergraduate / Bachelor")</f>
        <v>0</v>
      </c>
      <c r="O102" s="29">
        <f>COUNTIFS(Tabla1[Tipo de Movilidad],"Intercambio*",Tabla1[Universidad KPIs],'Utilización Convenios'!$C102,Tabla1[Año de Movilidad],'Utilización Convenios'!O$3,Tabla1[Nivel],"Pregrado")</f>
        <v>0</v>
      </c>
      <c r="P102" s="68">
        <f>COUNTIFS(Tabla2[Tipo de Movilidad],"Intercambio*",Tabla2[Universidad KPIs],'Utilización Convenios'!$C102,Tabla2[Año],'Utilización Convenios'!O$3,Tabla2[Nivel Nominación],"Undergraduate / Bachelor")</f>
        <v>0</v>
      </c>
      <c r="Q102" s="75">
        <f t="shared" si="2"/>
        <v>2</v>
      </c>
      <c r="R102" s="76">
        <f t="shared" si="2"/>
        <v>0</v>
      </c>
    </row>
    <row r="103" spans="2:18">
      <c r="B103" s="242"/>
      <c r="C103" s="138" t="s">
        <v>181</v>
      </c>
      <c r="D103" s="139" t="s">
        <v>106</v>
      </c>
      <c r="E103" s="134">
        <f>COUNTIFS(Tabla1[Tipo de Movilidad],"Intercambio*",Tabla1[Universidad KPIs],'Utilización Convenios'!$C103,Tabla1[Año de Movilidad],'Utilización Convenios'!E$3,Tabla1[Nivel],"Pregrado")</f>
        <v>0</v>
      </c>
      <c r="F103" s="65">
        <f>COUNTIFS(Tabla2[Tipo de Movilidad],"Intercambio*",Tabla2[Universidad KPIs],'Utilización Convenios'!$C103,Tabla2[Año],'Utilización Convenios'!E$3,Tabla2[Nivel Nominación],"Undergraduate / Bachelor")</f>
        <v>0</v>
      </c>
      <c r="G103" s="29">
        <f>COUNTIFS(Tabla1[Tipo de Movilidad],"Intercambio*",Tabla1[Universidad KPIs],'Utilización Convenios'!$C103,Tabla1[Año de Movilidad],'Utilización Convenios'!G$3,Tabla1[Nivel],"Pregrado")</f>
        <v>0</v>
      </c>
      <c r="H103" s="65">
        <f>COUNTIFS(Tabla2[Tipo de Movilidad],"Intercambio*",Tabla2[Universidad KPIs],'Utilización Convenios'!$C103,Tabla2[Año],'Utilización Convenios'!G$3,Tabla2[Nivel Nominación],"Undergraduate / Bachelor")</f>
        <v>0</v>
      </c>
      <c r="I103" s="29">
        <f>COUNTIFS(Tabla1[Tipo de Movilidad],"Intercambio*",Tabla1[Universidad KPIs],'Utilización Convenios'!$C103,Tabla1[Año de Movilidad],'Utilización Convenios'!I$3,Tabla1[Nivel],"Pregrado")</f>
        <v>0</v>
      </c>
      <c r="J103" s="65">
        <f>COUNTIFS(Tabla2[Tipo de Movilidad],"Intercambio*",Tabla2[Universidad KPIs],'Utilización Convenios'!$C103,Tabla2[Año],'Utilización Convenios'!I$3,Tabla2[Nivel Nominación],"Undergraduate / Bachelor")</f>
        <v>0</v>
      </c>
      <c r="K103" s="29">
        <f>COUNTIFS(Tabla1[Tipo de Movilidad],"Intercambio*",Tabla1[Universidad KPIs],'Utilización Convenios'!$C103,Tabla1[Año de Movilidad],'Utilización Convenios'!K$3,Tabla1[Nivel],"Pregrado")</f>
        <v>0</v>
      </c>
      <c r="L103" s="65">
        <f>COUNTIFS(Tabla2[Tipo de Movilidad],"Intercambio*",Tabla2[Universidad KPIs],'Utilización Convenios'!$C103,Tabla2[Año],'Utilización Convenios'!K$3,Tabla2[Nivel Nominación],"Undergraduate / Bachelor")</f>
        <v>0</v>
      </c>
      <c r="M103" s="29">
        <f>COUNTIFS(Tabla1[Tipo de Movilidad],"Intercambio*",Tabla1[Universidad KPIs],'Utilización Convenios'!$C103,Tabla1[Año de Movilidad],'Utilización Convenios'!M$3,Tabla1[Nivel],"Pregrado")</f>
        <v>2</v>
      </c>
      <c r="N103" s="68">
        <f>COUNTIFS(Tabla2[Tipo de Movilidad],"Intercambio*",Tabla2[Universidad KPIs],'Utilización Convenios'!$C103,Tabla2[Año],'Utilización Convenios'!M$3,Tabla2[Nivel Nominación],"Undergraduate / Bachelor")</f>
        <v>0</v>
      </c>
      <c r="O103" s="29">
        <f>COUNTIFS(Tabla1[Tipo de Movilidad],"Intercambio*",Tabla1[Universidad KPIs],'Utilización Convenios'!$C103,Tabla1[Año de Movilidad],'Utilización Convenios'!O$3,Tabla1[Nivel],"Pregrado")</f>
        <v>1</v>
      </c>
      <c r="P103" s="68">
        <f>COUNTIFS(Tabla2[Tipo de Movilidad],"Intercambio*",Tabla2[Universidad KPIs],'Utilización Convenios'!$C103,Tabla2[Año],'Utilización Convenios'!O$3,Tabla2[Nivel Nominación],"Undergraduate / Bachelor")</f>
        <v>0</v>
      </c>
      <c r="Q103" s="75">
        <f t="shared" si="2"/>
        <v>3</v>
      </c>
      <c r="R103" s="76">
        <f t="shared" si="2"/>
        <v>0</v>
      </c>
    </row>
    <row r="104" spans="2:18">
      <c r="B104" s="242"/>
      <c r="C104" s="138" t="s">
        <v>182</v>
      </c>
      <c r="D104" s="139" t="s">
        <v>51</v>
      </c>
      <c r="E104" s="134">
        <f>COUNTIFS(Tabla1[Tipo de Movilidad],"Intercambio*",Tabla1[Universidad KPIs],'Utilización Convenios'!$C104,Tabla1[Año de Movilidad],'Utilización Convenios'!E$3,Tabla1[Nivel],"Pregrado")</f>
        <v>0</v>
      </c>
      <c r="F104" s="65">
        <f>COUNTIFS(Tabla2[Tipo de Movilidad],"Intercambio*",Tabla2[Universidad KPIs],'Utilización Convenios'!$C104,Tabla2[Año],'Utilización Convenios'!E$3,Tabla2[Nivel Nominación],"Undergraduate / Bachelor")</f>
        <v>0</v>
      </c>
      <c r="G104" s="29">
        <f>COUNTIFS(Tabla1[Tipo de Movilidad],"Intercambio*",Tabla1[Universidad KPIs],'Utilización Convenios'!$C104,Tabla1[Año de Movilidad],'Utilización Convenios'!G$3,Tabla1[Nivel],"Pregrado")</f>
        <v>0</v>
      </c>
      <c r="H104" s="65">
        <f>COUNTIFS(Tabla2[Tipo de Movilidad],"Intercambio*",Tabla2[Universidad KPIs],'Utilización Convenios'!$C104,Tabla2[Año],'Utilización Convenios'!G$3,Tabla2[Nivel Nominación],"Undergraduate / Bachelor")</f>
        <v>0</v>
      </c>
      <c r="I104" s="29">
        <f>COUNTIFS(Tabla1[Tipo de Movilidad],"Intercambio*",Tabla1[Universidad KPIs],'Utilización Convenios'!$C104,Tabla1[Año de Movilidad],'Utilización Convenios'!I$3,Tabla1[Nivel],"Pregrado")</f>
        <v>2</v>
      </c>
      <c r="J104" s="65">
        <f>COUNTIFS(Tabla2[Tipo de Movilidad],"Intercambio*",Tabla2[Universidad KPIs],'Utilización Convenios'!$C104,Tabla2[Año],'Utilización Convenios'!I$3,Tabla2[Nivel Nominación],"Undergraduate / Bachelor")</f>
        <v>0</v>
      </c>
      <c r="K104" s="29">
        <f>COUNTIFS(Tabla1[Tipo de Movilidad],"Intercambio*",Tabla1[Universidad KPIs],'Utilización Convenios'!$C104,Tabla1[Año de Movilidad],'Utilización Convenios'!K$3,Tabla1[Nivel],"Pregrado")</f>
        <v>0</v>
      </c>
      <c r="L104" s="65">
        <f>COUNTIFS(Tabla2[Tipo de Movilidad],"Intercambio*",Tabla2[Universidad KPIs],'Utilización Convenios'!$C104,Tabla2[Año],'Utilización Convenios'!K$3,Tabla2[Nivel Nominación],"Undergraduate / Bachelor")</f>
        <v>0</v>
      </c>
      <c r="M104" s="29">
        <f>COUNTIFS(Tabla1[Tipo de Movilidad],"Intercambio*",Tabla1[Universidad KPIs],'Utilización Convenios'!$C104,Tabla1[Año de Movilidad],'Utilización Convenios'!M$3,Tabla1[Nivel],"Pregrado")</f>
        <v>0</v>
      </c>
      <c r="N104" s="68">
        <f>COUNTIFS(Tabla2[Tipo de Movilidad],"Intercambio*",Tabla2[Universidad KPIs],'Utilización Convenios'!$C104,Tabla2[Año],'Utilización Convenios'!M$3,Tabla2[Nivel Nominación],"Undergraduate / Bachelor")</f>
        <v>0</v>
      </c>
      <c r="O104" s="29">
        <f>COUNTIFS(Tabla1[Tipo de Movilidad],"Intercambio*",Tabla1[Universidad KPIs],'Utilización Convenios'!$C104,Tabla1[Año de Movilidad],'Utilización Convenios'!O$3,Tabla1[Nivel],"Pregrado")</f>
        <v>0</v>
      </c>
      <c r="P104" s="68">
        <f>COUNTIFS(Tabla2[Tipo de Movilidad],"Intercambio*",Tabla2[Universidad KPIs],'Utilización Convenios'!$C104,Tabla2[Año],'Utilización Convenios'!O$3,Tabla2[Nivel Nominación],"Undergraduate / Bachelor")</f>
        <v>0</v>
      </c>
      <c r="Q104" s="75">
        <f t="shared" si="2"/>
        <v>2</v>
      </c>
      <c r="R104" s="76">
        <f t="shared" si="2"/>
        <v>0</v>
      </c>
    </row>
    <row r="105" spans="2:18">
      <c r="B105" s="242"/>
      <c r="C105" s="138" t="s">
        <v>183</v>
      </c>
      <c r="D105" s="139" t="s">
        <v>55</v>
      </c>
      <c r="E105" s="134">
        <f>COUNTIFS(Tabla1[Tipo de Movilidad],"Intercambio*",Tabla1[Universidad KPIs],'Utilización Convenios'!$C105,Tabla1[Año de Movilidad],'Utilización Convenios'!E$3,Tabla1[Nivel],"Pregrado")</f>
        <v>0</v>
      </c>
      <c r="F105" s="65">
        <f>COUNTIFS(Tabla2[Tipo de Movilidad],"Intercambio*",Tabla2[Universidad KPIs],'Utilización Convenios'!$C105,Tabla2[Año],'Utilización Convenios'!E$3,Tabla2[Nivel Nominación],"Undergraduate / Bachelor")</f>
        <v>1</v>
      </c>
      <c r="G105" s="29">
        <f>COUNTIFS(Tabla1[Tipo de Movilidad],"Intercambio*",Tabla1[Universidad KPIs],'Utilización Convenios'!$C105,Tabla1[Año de Movilidad],'Utilización Convenios'!G$3,Tabla1[Nivel],"Pregrado")</f>
        <v>0</v>
      </c>
      <c r="H105" s="65">
        <f>COUNTIFS(Tabla2[Tipo de Movilidad],"Intercambio*",Tabla2[Universidad KPIs],'Utilización Convenios'!$C105,Tabla2[Año],'Utilización Convenios'!G$3,Tabla2[Nivel Nominación],"Undergraduate / Bachelor")</f>
        <v>0</v>
      </c>
      <c r="I105" s="29">
        <f>COUNTIFS(Tabla1[Tipo de Movilidad],"Intercambio*",Tabla1[Universidad KPIs],'Utilización Convenios'!$C105,Tabla1[Año de Movilidad],'Utilización Convenios'!I$3,Tabla1[Nivel],"Pregrado")</f>
        <v>0</v>
      </c>
      <c r="J105" s="65">
        <f>COUNTIFS(Tabla2[Tipo de Movilidad],"Intercambio*",Tabla2[Universidad KPIs],'Utilización Convenios'!$C105,Tabla2[Año],'Utilización Convenios'!I$3,Tabla2[Nivel Nominación],"Undergraduate / Bachelor")</f>
        <v>0</v>
      </c>
      <c r="K105" s="29">
        <f>COUNTIFS(Tabla1[Tipo de Movilidad],"Intercambio*",Tabla1[Universidad KPIs],'Utilización Convenios'!$C105,Tabla1[Año de Movilidad],'Utilización Convenios'!K$3,Tabla1[Nivel],"Pregrado")</f>
        <v>0</v>
      </c>
      <c r="L105" s="65">
        <f>COUNTIFS(Tabla2[Tipo de Movilidad],"Intercambio*",Tabla2[Universidad KPIs],'Utilización Convenios'!$C105,Tabla2[Año],'Utilización Convenios'!K$3,Tabla2[Nivel Nominación],"Undergraduate / Bachelor")</f>
        <v>1</v>
      </c>
      <c r="M105" s="29">
        <f>COUNTIFS(Tabla1[Tipo de Movilidad],"Intercambio*",Tabla1[Universidad KPIs],'Utilización Convenios'!$C105,Tabla1[Año de Movilidad],'Utilización Convenios'!M$3,Tabla1[Nivel],"Pregrado")</f>
        <v>0</v>
      </c>
      <c r="N105" s="68">
        <f>COUNTIFS(Tabla2[Tipo de Movilidad],"Intercambio*",Tabla2[Universidad KPIs],'Utilización Convenios'!$C105,Tabla2[Año],'Utilización Convenios'!M$3,Tabla2[Nivel Nominación],"Undergraduate / Bachelor")</f>
        <v>0</v>
      </c>
      <c r="O105" s="29">
        <f>COUNTIFS(Tabla1[Tipo de Movilidad],"Intercambio*",Tabla1[Universidad KPIs],'Utilización Convenios'!$C105,Tabla1[Año de Movilidad],'Utilización Convenios'!O$3,Tabla1[Nivel],"Pregrado")</f>
        <v>0</v>
      </c>
      <c r="P105" s="68">
        <f>COUNTIFS(Tabla2[Tipo de Movilidad],"Intercambio*",Tabla2[Universidad KPIs],'Utilización Convenios'!$C105,Tabla2[Año],'Utilización Convenios'!O$3,Tabla2[Nivel Nominación],"Undergraduate / Bachelor")</f>
        <v>0</v>
      </c>
      <c r="Q105" s="75">
        <f t="shared" si="2"/>
        <v>0</v>
      </c>
      <c r="R105" s="76">
        <f t="shared" si="2"/>
        <v>2</v>
      </c>
    </row>
    <row r="106" spans="2:18">
      <c r="B106" s="242"/>
      <c r="C106" s="138" t="s">
        <v>184</v>
      </c>
      <c r="D106" s="139" t="s">
        <v>185</v>
      </c>
      <c r="E106" s="134">
        <f>COUNTIFS(Tabla1[Tipo de Movilidad],"Intercambio*",Tabla1[Universidad KPIs],'Utilización Convenios'!$C106,Tabla1[Año de Movilidad],'Utilización Convenios'!E$3,Tabla1[Nivel],"Pregrado")</f>
        <v>0</v>
      </c>
      <c r="F106" s="65">
        <f>COUNTIFS(Tabla2[Tipo de Movilidad],"Intercambio*",Tabla2[Universidad KPIs],'Utilización Convenios'!$C106,Tabla2[Año],'Utilización Convenios'!E$3,Tabla2[Nivel Nominación],"Undergraduate / Bachelor")</f>
        <v>0</v>
      </c>
      <c r="G106" s="29">
        <f>COUNTIFS(Tabla1[Tipo de Movilidad],"Intercambio*",Tabla1[Universidad KPIs],'Utilización Convenios'!$C106,Tabla1[Año de Movilidad],'Utilización Convenios'!G$3,Tabla1[Nivel],"Pregrado")</f>
        <v>0</v>
      </c>
      <c r="H106" s="65">
        <f>COUNTIFS(Tabla2[Tipo de Movilidad],"Intercambio*",Tabla2[Universidad KPIs],'Utilización Convenios'!$C106,Tabla2[Año],'Utilización Convenios'!G$3,Tabla2[Nivel Nominación],"Undergraduate / Bachelor")</f>
        <v>0</v>
      </c>
      <c r="I106" s="29">
        <f>COUNTIFS(Tabla1[Tipo de Movilidad],"Intercambio*",Tabla1[Universidad KPIs],'Utilización Convenios'!$C106,Tabla1[Año de Movilidad],'Utilización Convenios'!I$3,Tabla1[Nivel],"Pregrado")</f>
        <v>0</v>
      </c>
      <c r="J106" s="65">
        <f>COUNTIFS(Tabla2[Tipo de Movilidad],"Intercambio*",Tabla2[Universidad KPIs],'Utilización Convenios'!$C106,Tabla2[Año],'Utilización Convenios'!I$3,Tabla2[Nivel Nominación],"Undergraduate / Bachelor")</f>
        <v>0</v>
      </c>
      <c r="K106" s="29">
        <f>COUNTIFS(Tabla1[Tipo de Movilidad],"Intercambio*",Tabla1[Universidad KPIs],'Utilización Convenios'!$C106,Tabla1[Año de Movilidad],'Utilización Convenios'!K$3,Tabla1[Nivel],"Pregrado")</f>
        <v>0</v>
      </c>
      <c r="L106" s="65">
        <f>COUNTIFS(Tabla2[Tipo de Movilidad],"Intercambio*",Tabla2[Universidad KPIs],'Utilización Convenios'!$C106,Tabla2[Año],'Utilización Convenios'!K$3,Tabla2[Nivel Nominación],"Undergraduate / Bachelor")</f>
        <v>0</v>
      </c>
      <c r="M106" s="29">
        <f>COUNTIFS(Tabla1[Tipo de Movilidad],"Intercambio*",Tabla1[Universidad KPIs],'Utilización Convenios'!$C106,Tabla1[Año de Movilidad],'Utilización Convenios'!M$3,Tabla1[Nivel],"Pregrado")</f>
        <v>1</v>
      </c>
      <c r="N106" s="68">
        <f>COUNTIFS(Tabla2[Tipo de Movilidad],"Intercambio*",Tabla2[Universidad KPIs],'Utilización Convenios'!$C106,Tabla2[Año],'Utilización Convenios'!M$3,Tabla2[Nivel Nominación],"Undergraduate / Bachelor")</f>
        <v>0</v>
      </c>
      <c r="O106" s="29">
        <f>COUNTIFS(Tabla1[Tipo de Movilidad],"Intercambio*",Tabla1[Universidad KPIs],'Utilización Convenios'!$C106,Tabla1[Año de Movilidad],'Utilización Convenios'!O$3,Tabla1[Nivel],"Pregrado")</f>
        <v>1</v>
      </c>
      <c r="P106" s="68">
        <f>COUNTIFS(Tabla2[Tipo de Movilidad],"Intercambio*",Tabla2[Universidad KPIs],'Utilización Convenios'!$C106,Tabla2[Año],'Utilización Convenios'!O$3,Tabla2[Nivel Nominación],"Undergraduate / Bachelor")</f>
        <v>0</v>
      </c>
      <c r="Q106" s="75">
        <f t="shared" si="2"/>
        <v>2</v>
      </c>
      <c r="R106" s="76">
        <f t="shared" si="2"/>
        <v>0</v>
      </c>
    </row>
    <row r="107" spans="2:18">
      <c r="B107" s="242"/>
      <c r="C107" s="138" t="s">
        <v>186</v>
      </c>
      <c r="D107" s="139" t="s">
        <v>76</v>
      </c>
      <c r="E107" s="134">
        <f>COUNTIFS(Tabla1[Tipo de Movilidad],"Intercambio*",Tabla1[Universidad KPIs],'Utilización Convenios'!$C107,Tabla1[Año de Movilidad],'Utilización Convenios'!E$3,Tabla1[Nivel],"Pregrado")</f>
        <v>0</v>
      </c>
      <c r="F107" s="65">
        <f>COUNTIFS(Tabla2[Tipo de Movilidad],"Intercambio*",Tabla2[Universidad KPIs],'Utilización Convenios'!$C107,Tabla2[Año],'Utilización Convenios'!E$3,Tabla2[Nivel Nominación],"Undergraduate / Bachelor")</f>
        <v>0</v>
      </c>
      <c r="G107" s="29">
        <f>COUNTIFS(Tabla1[Tipo de Movilidad],"Intercambio*",Tabla1[Universidad KPIs],'Utilización Convenios'!$C107,Tabla1[Año de Movilidad],'Utilización Convenios'!G$3,Tabla1[Nivel],"Pregrado")</f>
        <v>0</v>
      </c>
      <c r="H107" s="65">
        <f>COUNTIFS(Tabla2[Tipo de Movilidad],"Intercambio*",Tabla2[Universidad KPIs],'Utilización Convenios'!$C107,Tabla2[Año],'Utilización Convenios'!G$3,Tabla2[Nivel Nominación],"Undergraduate / Bachelor")</f>
        <v>0</v>
      </c>
      <c r="I107" s="29">
        <f>COUNTIFS(Tabla1[Tipo de Movilidad],"Intercambio*",Tabla1[Universidad KPIs],'Utilización Convenios'!$C107,Tabla1[Año de Movilidad],'Utilización Convenios'!I$3,Tabla1[Nivel],"Pregrado")</f>
        <v>0</v>
      </c>
      <c r="J107" s="65">
        <f>COUNTIFS(Tabla2[Tipo de Movilidad],"Intercambio*",Tabla2[Universidad KPIs],'Utilización Convenios'!$C107,Tabla2[Año],'Utilización Convenios'!I$3,Tabla2[Nivel Nominación],"Undergraduate / Bachelor")</f>
        <v>0</v>
      </c>
      <c r="K107" s="29">
        <f>COUNTIFS(Tabla1[Tipo de Movilidad],"Intercambio*",Tabla1[Universidad KPIs],'Utilización Convenios'!$C107,Tabla1[Año de Movilidad],'Utilización Convenios'!K$3,Tabla1[Nivel],"Pregrado")</f>
        <v>0</v>
      </c>
      <c r="L107" s="65">
        <f>COUNTIFS(Tabla2[Tipo de Movilidad],"Intercambio*",Tabla2[Universidad KPIs],'Utilización Convenios'!$C107,Tabla2[Año],'Utilización Convenios'!K$3,Tabla2[Nivel Nominación],"Undergraduate / Bachelor")</f>
        <v>0</v>
      </c>
      <c r="M107" s="29">
        <f>COUNTIFS(Tabla1[Tipo de Movilidad],"Intercambio*",Tabla1[Universidad KPIs],'Utilización Convenios'!$C107,Tabla1[Año de Movilidad],'Utilización Convenios'!M$3,Tabla1[Nivel],"Pregrado")</f>
        <v>1</v>
      </c>
      <c r="N107" s="68">
        <f>COUNTIFS(Tabla2[Tipo de Movilidad],"Intercambio*",Tabla2[Universidad KPIs],'Utilización Convenios'!$C107,Tabla2[Año],'Utilización Convenios'!M$3,Tabla2[Nivel Nominación],"Undergraduate / Bachelor")</f>
        <v>0</v>
      </c>
      <c r="O107" s="29">
        <f>COUNTIFS(Tabla1[Tipo de Movilidad],"Intercambio*",Tabla1[Universidad KPIs],'Utilización Convenios'!$C107,Tabla1[Año de Movilidad],'Utilización Convenios'!O$3,Tabla1[Nivel],"Pregrado")</f>
        <v>1</v>
      </c>
      <c r="P107" s="68">
        <f>COUNTIFS(Tabla2[Tipo de Movilidad],"Intercambio*",Tabla2[Universidad KPIs],'Utilización Convenios'!$C107,Tabla2[Año],'Utilización Convenios'!O$3,Tabla2[Nivel Nominación],"Undergraduate / Bachelor")</f>
        <v>0</v>
      </c>
      <c r="Q107" s="75">
        <f t="shared" si="2"/>
        <v>2</v>
      </c>
      <c r="R107" s="76">
        <f t="shared" si="2"/>
        <v>0</v>
      </c>
    </row>
    <row r="108" spans="2:18">
      <c r="B108" s="242"/>
      <c r="C108" s="138" t="s">
        <v>187</v>
      </c>
      <c r="D108" s="139" t="s">
        <v>78</v>
      </c>
      <c r="E108" s="134">
        <f>COUNTIFS(Tabla1[Tipo de Movilidad],"Intercambio*",Tabla1[Universidad KPIs],'Utilización Convenios'!$C108,Tabla1[Año de Movilidad],'Utilización Convenios'!E$3,Tabla1[Nivel],"Pregrado")</f>
        <v>0</v>
      </c>
      <c r="F108" s="65">
        <f>COUNTIFS(Tabla2[Tipo de Movilidad],"Intercambio*",Tabla2[Universidad KPIs],'Utilización Convenios'!$C108,Tabla2[Año],'Utilización Convenios'!E$3,Tabla2[Nivel Nominación],"Undergraduate / Bachelor")</f>
        <v>0</v>
      </c>
      <c r="G108" s="29">
        <f>COUNTIFS(Tabla1[Tipo de Movilidad],"Intercambio*",Tabla1[Universidad KPIs],'Utilización Convenios'!$C108,Tabla1[Año de Movilidad],'Utilización Convenios'!G$3,Tabla1[Nivel],"Pregrado")</f>
        <v>0</v>
      </c>
      <c r="H108" s="65">
        <f>COUNTIFS(Tabla2[Tipo de Movilidad],"Intercambio*",Tabla2[Universidad KPIs],'Utilización Convenios'!$C108,Tabla2[Año],'Utilización Convenios'!G$3,Tabla2[Nivel Nominación],"Undergraduate / Bachelor")</f>
        <v>0</v>
      </c>
      <c r="I108" s="29">
        <f>COUNTIFS(Tabla1[Tipo de Movilidad],"Intercambio*",Tabla1[Universidad KPIs],'Utilización Convenios'!$C108,Tabla1[Año de Movilidad],'Utilización Convenios'!I$3,Tabla1[Nivel],"Pregrado")</f>
        <v>0</v>
      </c>
      <c r="J108" s="65">
        <f>COUNTIFS(Tabla2[Tipo de Movilidad],"Intercambio*",Tabla2[Universidad KPIs],'Utilización Convenios'!$C108,Tabla2[Año],'Utilización Convenios'!I$3,Tabla2[Nivel Nominación],"Undergraduate / Bachelor")</f>
        <v>0</v>
      </c>
      <c r="K108" s="29">
        <f>COUNTIFS(Tabla1[Tipo de Movilidad],"Intercambio*",Tabla1[Universidad KPIs],'Utilización Convenios'!$C108,Tabla1[Año de Movilidad],'Utilización Convenios'!K$3,Tabla1[Nivel],"Pregrado")</f>
        <v>0</v>
      </c>
      <c r="L108" s="65">
        <f>COUNTIFS(Tabla2[Tipo de Movilidad],"Intercambio*",Tabla2[Universidad KPIs],'Utilización Convenios'!$C108,Tabla2[Año],'Utilización Convenios'!K$3,Tabla2[Nivel Nominación],"Undergraduate / Bachelor")</f>
        <v>0</v>
      </c>
      <c r="M108" s="29">
        <f>COUNTIFS(Tabla1[Tipo de Movilidad],"Intercambio*",Tabla1[Universidad KPIs],'Utilización Convenios'!$C108,Tabla1[Año de Movilidad],'Utilización Convenios'!M$3,Tabla1[Nivel],"Pregrado")</f>
        <v>1</v>
      </c>
      <c r="N108" s="68">
        <f>COUNTIFS(Tabla2[Tipo de Movilidad],"Intercambio*",Tabla2[Universidad KPIs],'Utilización Convenios'!$C108,Tabla2[Año],'Utilización Convenios'!M$3,Tabla2[Nivel Nominación],"Undergraduate / Bachelor")</f>
        <v>0</v>
      </c>
      <c r="O108" s="29">
        <f>COUNTIFS(Tabla1[Tipo de Movilidad],"Intercambio*",Tabla1[Universidad KPIs],'Utilización Convenios'!$C108,Tabla1[Año de Movilidad],'Utilización Convenios'!O$3,Tabla1[Nivel],"Pregrado")</f>
        <v>0</v>
      </c>
      <c r="P108" s="68">
        <f>COUNTIFS(Tabla2[Tipo de Movilidad],"Intercambio*",Tabla2[Universidad KPIs],'Utilización Convenios'!$C108,Tabla2[Año],'Utilización Convenios'!O$3,Tabla2[Nivel Nominación],"Undergraduate / Bachelor")</f>
        <v>0</v>
      </c>
      <c r="Q108" s="75">
        <f t="shared" si="2"/>
        <v>1</v>
      </c>
      <c r="R108" s="76">
        <f t="shared" si="2"/>
        <v>0</v>
      </c>
    </row>
    <row r="109" spans="2:18">
      <c r="B109" s="242"/>
      <c r="C109" s="138" t="s">
        <v>188</v>
      </c>
      <c r="D109" s="139" t="s">
        <v>69</v>
      </c>
      <c r="E109" s="134">
        <f>COUNTIFS(Tabla1[Tipo de Movilidad],"Intercambio*",Tabla1[Universidad KPIs],'Utilización Convenios'!$C109,Tabla1[Año de Movilidad],'Utilización Convenios'!E$3,Tabla1[Nivel],"Pregrado")</f>
        <v>0</v>
      </c>
      <c r="F109" s="65">
        <f>COUNTIFS(Tabla2[Tipo de Movilidad],"Intercambio*",Tabla2[Universidad KPIs],'Utilización Convenios'!$C109,Tabla2[Año],'Utilización Convenios'!E$3,Tabla2[Nivel Nominación],"Undergraduate / Bachelor")</f>
        <v>0</v>
      </c>
      <c r="G109" s="29">
        <f>COUNTIFS(Tabla1[Tipo de Movilidad],"Intercambio*",Tabla1[Universidad KPIs],'Utilización Convenios'!$C109,Tabla1[Año de Movilidad],'Utilización Convenios'!G$3,Tabla1[Nivel],"Pregrado")</f>
        <v>0</v>
      </c>
      <c r="H109" s="65">
        <f>COUNTIFS(Tabla2[Tipo de Movilidad],"Intercambio*",Tabla2[Universidad KPIs],'Utilización Convenios'!$C109,Tabla2[Año],'Utilización Convenios'!G$3,Tabla2[Nivel Nominación],"Undergraduate / Bachelor")</f>
        <v>0</v>
      </c>
      <c r="I109" s="29">
        <f>COUNTIFS(Tabla1[Tipo de Movilidad],"Intercambio*",Tabla1[Universidad KPIs],'Utilización Convenios'!$C109,Tabla1[Año de Movilidad],'Utilización Convenios'!I$3,Tabla1[Nivel],"Pregrado")</f>
        <v>0</v>
      </c>
      <c r="J109" s="65">
        <f>COUNTIFS(Tabla2[Tipo de Movilidad],"Intercambio*",Tabla2[Universidad KPIs],'Utilización Convenios'!$C109,Tabla2[Año],'Utilización Convenios'!I$3,Tabla2[Nivel Nominación],"Undergraduate / Bachelor")</f>
        <v>0</v>
      </c>
      <c r="K109" s="29">
        <f>COUNTIFS(Tabla1[Tipo de Movilidad],"Intercambio*",Tabla1[Universidad KPIs],'Utilización Convenios'!$C109,Tabla1[Año de Movilidad],'Utilización Convenios'!K$3,Tabla1[Nivel],"Pregrado")</f>
        <v>0</v>
      </c>
      <c r="L109" s="65">
        <f>COUNTIFS(Tabla2[Tipo de Movilidad],"Intercambio*",Tabla2[Universidad KPIs],'Utilización Convenios'!$C109,Tabla2[Año],'Utilización Convenios'!K$3,Tabla2[Nivel Nominación],"Undergraduate / Bachelor")</f>
        <v>0</v>
      </c>
      <c r="M109" s="29">
        <f>COUNTIFS(Tabla1[Tipo de Movilidad],"Intercambio*",Tabla1[Universidad KPIs],'Utilización Convenios'!$C109,Tabla1[Año de Movilidad],'Utilización Convenios'!M$3,Tabla1[Nivel],"Pregrado")</f>
        <v>1</v>
      </c>
      <c r="N109" s="68">
        <f>COUNTIFS(Tabla2[Tipo de Movilidad],"Intercambio*",Tabla2[Universidad KPIs],'Utilización Convenios'!$C109,Tabla2[Año],'Utilización Convenios'!M$3,Tabla2[Nivel Nominación],"Undergraduate / Bachelor")</f>
        <v>0</v>
      </c>
      <c r="O109" s="29">
        <f>COUNTIFS(Tabla1[Tipo de Movilidad],"Intercambio*",Tabla1[Universidad KPIs],'Utilización Convenios'!$C109,Tabla1[Año de Movilidad],'Utilización Convenios'!O$3,Tabla1[Nivel],"Pregrado")</f>
        <v>0</v>
      </c>
      <c r="P109" s="68">
        <f>COUNTIFS(Tabla2[Tipo de Movilidad],"Intercambio*",Tabla2[Universidad KPIs],'Utilización Convenios'!$C109,Tabla2[Año],'Utilización Convenios'!O$3,Tabla2[Nivel Nominación],"Undergraduate / Bachelor")</f>
        <v>0</v>
      </c>
      <c r="Q109" s="75">
        <f t="shared" si="2"/>
        <v>1</v>
      </c>
      <c r="R109" s="76">
        <f t="shared" si="2"/>
        <v>0</v>
      </c>
    </row>
    <row r="110" spans="2:18">
      <c r="B110" s="242"/>
      <c r="C110" s="138" t="s">
        <v>189</v>
      </c>
      <c r="D110" s="139" t="s">
        <v>57</v>
      </c>
      <c r="E110" s="134">
        <f>COUNTIFS(Tabla1[Tipo de Movilidad],"Intercambio*",Tabla1[Universidad KPIs],'Utilización Convenios'!$C110,Tabla1[Año de Movilidad],'Utilización Convenios'!E$3,Tabla1[Nivel],"Pregrado")</f>
        <v>0</v>
      </c>
      <c r="F110" s="65">
        <f>COUNTIFS(Tabla2[Tipo de Movilidad],"Intercambio*",Tabla2[Universidad KPIs],'Utilización Convenios'!$C110,Tabla2[Año],'Utilización Convenios'!E$3,Tabla2[Nivel Nominación],"Undergraduate / Bachelor")</f>
        <v>0</v>
      </c>
      <c r="G110" s="29">
        <f>COUNTIFS(Tabla1[Tipo de Movilidad],"Intercambio*",Tabla1[Universidad KPIs],'Utilización Convenios'!$C110,Tabla1[Año de Movilidad],'Utilización Convenios'!G$3,Tabla1[Nivel],"Pregrado")</f>
        <v>0</v>
      </c>
      <c r="H110" s="65">
        <f>COUNTIFS(Tabla2[Tipo de Movilidad],"Intercambio*",Tabla2[Universidad KPIs],'Utilización Convenios'!$C110,Tabla2[Año],'Utilización Convenios'!G$3,Tabla2[Nivel Nominación],"Undergraduate / Bachelor")</f>
        <v>0</v>
      </c>
      <c r="I110" s="29">
        <f>COUNTIFS(Tabla1[Tipo de Movilidad],"Intercambio*",Tabla1[Universidad KPIs],'Utilización Convenios'!$C110,Tabla1[Año de Movilidad],'Utilización Convenios'!I$3,Tabla1[Nivel],"Pregrado")</f>
        <v>0</v>
      </c>
      <c r="J110" s="65">
        <f>COUNTIFS(Tabla2[Tipo de Movilidad],"Intercambio*",Tabla2[Universidad KPIs],'Utilización Convenios'!$C110,Tabla2[Año],'Utilización Convenios'!I$3,Tabla2[Nivel Nominación],"Undergraduate / Bachelor")</f>
        <v>0</v>
      </c>
      <c r="K110" s="29">
        <f>COUNTIFS(Tabla1[Tipo de Movilidad],"Intercambio*",Tabla1[Universidad KPIs],'Utilización Convenios'!$C110,Tabla1[Año de Movilidad],'Utilización Convenios'!K$3,Tabla1[Nivel],"Pregrado")</f>
        <v>0</v>
      </c>
      <c r="L110" s="65">
        <f>COUNTIFS(Tabla2[Tipo de Movilidad],"Intercambio*",Tabla2[Universidad KPIs],'Utilización Convenios'!$C110,Tabla2[Año],'Utilización Convenios'!K$3,Tabla2[Nivel Nominación],"Undergraduate / Bachelor")</f>
        <v>0</v>
      </c>
      <c r="M110" s="29">
        <f>COUNTIFS(Tabla1[Tipo de Movilidad],"Intercambio*",Tabla1[Universidad KPIs],'Utilización Convenios'!$C110,Tabla1[Año de Movilidad],'Utilización Convenios'!M$3,Tabla1[Nivel],"Pregrado")</f>
        <v>1</v>
      </c>
      <c r="N110" s="68">
        <f>COUNTIFS(Tabla2[Tipo de Movilidad],"Intercambio*",Tabla2[Universidad KPIs],'Utilización Convenios'!$C110,Tabla2[Año],'Utilización Convenios'!M$3,Tabla2[Nivel Nominación],"Undergraduate / Bachelor")</f>
        <v>0</v>
      </c>
      <c r="O110" s="29">
        <f>COUNTIFS(Tabla1[Tipo de Movilidad],"Intercambio*",Tabla1[Universidad KPIs],'Utilización Convenios'!$C110,Tabla1[Año de Movilidad],'Utilización Convenios'!O$3,Tabla1[Nivel],"Pregrado")</f>
        <v>1</v>
      </c>
      <c r="P110" s="68">
        <f>COUNTIFS(Tabla2[Tipo de Movilidad],"Intercambio*",Tabla2[Universidad KPIs],'Utilización Convenios'!$C110,Tabla2[Año],'Utilización Convenios'!O$3,Tabla2[Nivel Nominación],"Undergraduate / Bachelor")</f>
        <v>0</v>
      </c>
      <c r="Q110" s="75">
        <f t="shared" si="2"/>
        <v>2</v>
      </c>
      <c r="R110" s="76">
        <f t="shared" si="2"/>
        <v>0</v>
      </c>
    </row>
    <row r="111" spans="2:18">
      <c r="B111" s="242"/>
      <c r="C111" s="210" t="s">
        <v>190</v>
      </c>
      <c r="D111" s="211" t="s">
        <v>191</v>
      </c>
      <c r="E111" s="134">
        <f>COUNTIFS(Tabla1[Tipo de Movilidad],"Intercambio*",Tabla1[Universidad KPIs],'Utilización Convenios'!$C111,Tabla1[Año de Movilidad],'Utilización Convenios'!E$3,Tabla1[Nivel],"Pregrado")</f>
        <v>0</v>
      </c>
      <c r="F111" s="65">
        <f>COUNTIFS(Tabla2[Tipo de Movilidad],"Intercambio*",Tabla2[Universidad KPIs],'Utilización Convenios'!$C111,Tabla2[Año],'Utilización Convenios'!E$3,Tabla2[Nivel Nominación],"Undergraduate / Bachelor")</f>
        <v>0</v>
      </c>
      <c r="G111" s="29">
        <f>COUNTIFS(Tabla1[Tipo de Movilidad],"Intercambio*",Tabla1[Universidad KPIs],'Utilización Convenios'!$C111,Tabla1[Año de Movilidad],'Utilización Convenios'!G$3,Tabla1[Nivel],"Pregrado")</f>
        <v>0</v>
      </c>
      <c r="H111" s="65">
        <f>COUNTIFS(Tabla2[Tipo de Movilidad],"Intercambio*",Tabla2[Universidad KPIs],'Utilización Convenios'!$C111,Tabla2[Año],'Utilización Convenios'!G$3,Tabla2[Nivel Nominación],"Undergraduate / Bachelor")</f>
        <v>0</v>
      </c>
      <c r="I111" s="29">
        <f>COUNTIFS(Tabla1[Tipo de Movilidad],"Intercambio*",Tabla1[Universidad KPIs],'Utilización Convenios'!$C111,Tabla1[Año de Movilidad],'Utilización Convenios'!I$3,Tabla1[Nivel],"Pregrado")</f>
        <v>0</v>
      </c>
      <c r="J111" s="65">
        <f>COUNTIFS(Tabla2[Tipo de Movilidad],"Intercambio*",Tabla2[Universidad KPIs],'Utilización Convenios'!$C111,Tabla2[Año],'Utilización Convenios'!I$3,Tabla2[Nivel Nominación],"Undergraduate / Bachelor")</f>
        <v>0</v>
      </c>
      <c r="K111" s="29">
        <f>COUNTIFS(Tabla1[Tipo de Movilidad],"Intercambio*",Tabla1[Universidad KPIs],'Utilización Convenios'!$C111,Tabla1[Año de Movilidad],'Utilización Convenios'!K$3,Tabla1[Nivel],"Pregrado")</f>
        <v>0</v>
      </c>
      <c r="L111" s="65">
        <f>COUNTIFS(Tabla2[Tipo de Movilidad],"Intercambio*",Tabla2[Universidad KPIs],'Utilización Convenios'!$C111,Tabla2[Año],'Utilización Convenios'!K$3,Tabla2[Nivel Nominación],"Undergraduate / Bachelor")</f>
        <v>0</v>
      </c>
      <c r="M111" s="29">
        <f>COUNTIFS(Tabla1[Tipo de Movilidad],"Intercambio*",Tabla1[Universidad KPIs],'Utilización Convenios'!$C111,Tabla1[Año de Movilidad],'Utilización Convenios'!M$3,Tabla1[Nivel],"Pregrado")</f>
        <v>0</v>
      </c>
      <c r="N111" s="68">
        <f>COUNTIFS(Tabla2[Tipo de Movilidad],"Intercambio*",Tabla2[Universidad KPIs],'Utilización Convenios'!$C111,Tabla2[Año],'Utilización Convenios'!M$3,Tabla2[Nivel Nominación],"Undergraduate / Bachelor")</f>
        <v>0</v>
      </c>
      <c r="O111" s="29">
        <f>COUNTIFS(Tabla1[Tipo de Movilidad],"Intercambio*",Tabla1[Universidad KPIs],'Utilización Convenios'!$C111,Tabla1[Año de Movilidad],'Utilización Convenios'!O$3,Tabla1[Nivel],"Pregrado")</f>
        <v>0</v>
      </c>
      <c r="P111" s="68">
        <f>COUNTIFS(Tabla2[Tipo de Movilidad],"Intercambio*",Tabla2[Universidad KPIs],'Utilización Convenios'!$C111,Tabla2[Año],'Utilización Convenios'!O$3,Tabla2[Nivel Nominación],"Undergraduate / Bachelor")</f>
        <v>1</v>
      </c>
      <c r="Q111" s="75">
        <f t="shared" si="2"/>
        <v>0</v>
      </c>
      <c r="R111" s="76">
        <f t="shared" si="2"/>
        <v>1</v>
      </c>
    </row>
    <row r="112" spans="2:18" ht="15.75" thickBot="1">
      <c r="B112" s="243"/>
      <c r="C112" s="140" t="s">
        <v>192</v>
      </c>
      <c r="D112" s="141" t="s">
        <v>95</v>
      </c>
      <c r="E112" s="134">
        <f>COUNTIFS(Tabla1[Tipo de Movilidad],"Intercambio*",Tabla1[Universidad KPIs],'Utilización Convenios'!$C112,Tabla1[Año de Movilidad],'Utilización Convenios'!E$3,Tabla1[Nivel],"Pregrado")</f>
        <v>0</v>
      </c>
      <c r="F112" s="65">
        <f>COUNTIFS(Tabla2[Tipo de Movilidad],"Intercambio*",Tabla2[Universidad KPIs],'Utilización Convenios'!$C112,Tabla2[Año],'Utilización Convenios'!E$3,Tabla2[Nivel Nominación],"Undergraduate / Bachelor")</f>
        <v>0</v>
      </c>
      <c r="G112" s="29">
        <f>COUNTIFS(Tabla1[Tipo de Movilidad],"Intercambio*",Tabla1[Universidad KPIs],'Utilización Convenios'!$C112,Tabla1[Año de Movilidad],'Utilización Convenios'!G$3,Tabla1[Nivel],"Pregrado")</f>
        <v>0</v>
      </c>
      <c r="H112" s="65">
        <f>COUNTIFS(Tabla2[Tipo de Movilidad],"Intercambio*",Tabla2[Universidad KPIs],'Utilización Convenios'!$C112,Tabla2[Año],'Utilización Convenios'!G$3,Tabla2[Nivel Nominación],"Undergraduate / Bachelor")</f>
        <v>0</v>
      </c>
      <c r="I112" s="29">
        <f>COUNTIFS(Tabla1[Tipo de Movilidad],"Intercambio*",Tabla1[Universidad KPIs],'Utilización Convenios'!$C112,Tabla1[Año de Movilidad],'Utilización Convenios'!I$3,Tabla1[Nivel],"Pregrado")</f>
        <v>0</v>
      </c>
      <c r="J112" s="65">
        <f>COUNTIFS(Tabla2[Tipo de Movilidad],"Intercambio*",Tabla2[Universidad KPIs],'Utilización Convenios'!$C112,Tabla2[Año],'Utilización Convenios'!I$3,Tabla2[Nivel Nominación],"Undergraduate / Bachelor")</f>
        <v>0</v>
      </c>
      <c r="K112" s="29">
        <f>COUNTIFS(Tabla1[Tipo de Movilidad],"Intercambio*",Tabla1[Universidad KPIs],'Utilización Convenios'!$C112,Tabla1[Año de Movilidad],'Utilización Convenios'!K$3,Tabla1[Nivel],"Pregrado")</f>
        <v>0</v>
      </c>
      <c r="L112" s="65">
        <f>COUNTIFS(Tabla2[Tipo de Movilidad],"Intercambio*",Tabla2[Universidad KPIs],'Utilización Convenios'!$C112,Tabla2[Año],'Utilización Convenios'!K$3,Tabla2[Nivel Nominación],"Undergraduate / Bachelor")</f>
        <v>0</v>
      </c>
      <c r="M112" s="29">
        <f>COUNTIFS(Tabla1[Tipo de Movilidad],"Intercambio*",Tabla1[Universidad KPIs],'Utilización Convenios'!$C112,Tabla1[Año de Movilidad],'Utilización Convenios'!M$3,Tabla1[Nivel],"Pregrado")</f>
        <v>0</v>
      </c>
      <c r="N112" s="68">
        <f>COUNTIFS(Tabla2[Tipo de Movilidad],"Intercambio*",Tabla2[Universidad KPIs],'Utilización Convenios'!$C112,Tabla2[Año],'Utilización Convenios'!M$3,Tabla2[Nivel Nominación],"Undergraduate / Bachelor")</f>
        <v>2</v>
      </c>
      <c r="O112" s="29">
        <f>COUNTIFS(Tabla1[Tipo de Movilidad],"Intercambio*",Tabla1[Universidad KPIs],'Utilización Convenios'!$C112,Tabla1[Año de Movilidad],'Utilización Convenios'!O$3,Tabla1[Nivel],"Pregrado")</f>
        <v>0</v>
      </c>
      <c r="P112" s="68">
        <f>COUNTIFS(Tabla2[Tipo de Movilidad],"Intercambio*",Tabla2[Universidad KPIs],'Utilización Convenios'!$C112,Tabla2[Año],'Utilización Convenios'!O$3,Tabla2[Nivel Nominación],"Undergraduate / Bachelor")</f>
        <v>0</v>
      </c>
      <c r="Q112" s="75">
        <f t="shared" si="2"/>
        <v>0</v>
      </c>
      <c r="R112" s="76">
        <f t="shared" si="2"/>
        <v>2</v>
      </c>
    </row>
    <row r="113" spans="3:18" ht="15.75" thickBot="1">
      <c r="C113" s="231" t="s">
        <v>193</v>
      </c>
      <c r="D113" s="232"/>
      <c r="E113" s="59">
        <f t="shared" ref="E113:L113" si="3">SUM(E5:E112)</f>
        <v>43</v>
      </c>
      <c r="F113" s="70">
        <f t="shared" si="3"/>
        <v>30</v>
      </c>
      <c r="G113" s="59">
        <f t="shared" si="3"/>
        <v>47</v>
      </c>
      <c r="H113" s="70">
        <f t="shared" si="3"/>
        <v>20</v>
      </c>
      <c r="I113" s="59">
        <f t="shared" si="3"/>
        <v>90</v>
      </c>
      <c r="J113" s="70">
        <f t="shared" si="3"/>
        <v>52</v>
      </c>
      <c r="K113" s="59">
        <f t="shared" si="3"/>
        <v>137</v>
      </c>
      <c r="L113" s="70">
        <f t="shared" si="3"/>
        <v>61</v>
      </c>
      <c r="M113" s="59">
        <f t="shared" ref="M113:R113" si="4">SUM(M5:M112)</f>
        <v>90</v>
      </c>
      <c r="N113" s="70">
        <f t="shared" si="4"/>
        <v>52</v>
      </c>
      <c r="O113" s="59">
        <f t="shared" si="4"/>
        <v>63</v>
      </c>
      <c r="P113" s="70">
        <f t="shared" si="4"/>
        <v>26</v>
      </c>
      <c r="Q113" s="77">
        <f t="shared" si="4"/>
        <v>470</v>
      </c>
      <c r="R113" s="78">
        <f t="shared" si="4"/>
        <v>241</v>
      </c>
    </row>
    <row r="114" spans="3:18" ht="15.75" thickBot="1"/>
    <row r="115" spans="3:18" ht="21.75" thickBot="1">
      <c r="C115" s="90" t="s">
        <v>194</v>
      </c>
      <c r="D115" s="90"/>
      <c r="E115" s="236">
        <v>2020</v>
      </c>
      <c r="F115" s="237"/>
      <c r="G115" s="236">
        <v>2021</v>
      </c>
      <c r="H115" s="237"/>
      <c r="I115" s="236">
        <v>2022</v>
      </c>
      <c r="J115" s="237"/>
      <c r="K115" s="236">
        <v>2023</v>
      </c>
      <c r="L115" s="237"/>
      <c r="M115" s="236">
        <v>2024</v>
      </c>
      <c r="N115" s="237"/>
      <c r="O115" s="236">
        <v>2025</v>
      </c>
      <c r="P115" s="237"/>
      <c r="Q115" s="251" t="s">
        <v>45</v>
      </c>
      <c r="R115" s="252"/>
    </row>
    <row r="116" spans="3:18" ht="15.75" thickBot="1">
      <c r="C116" s="25" t="s">
        <v>46</v>
      </c>
      <c r="D116" s="26" t="s">
        <v>27</v>
      </c>
      <c r="E116" s="58" t="s">
        <v>47</v>
      </c>
      <c r="F116" s="69" t="s">
        <v>48</v>
      </c>
      <c r="G116" s="58" t="s">
        <v>47</v>
      </c>
      <c r="H116" s="69" t="s">
        <v>48</v>
      </c>
      <c r="I116" s="58" t="s">
        <v>47</v>
      </c>
      <c r="J116" s="69" t="s">
        <v>48</v>
      </c>
      <c r="K116" s="58" t="s">
        <v>47</v>
      </c>
      <c r="L116" s="69" t="s">
        <v>48</v>
      </c>
      <c r="M116" s="58" t="s">
        <v>47</v>
      </c>
      <c r="N116" s="69" t="s">
        <v>48</v>
      </c>
      <c r="O116" s="58" t="s">
        <v>47</v>
      </c>
      <c r="P116" s="69" t="s">
        <v>48</v>
      </c>
      <c r="Q116" s="83" t="s">
        <v>47</v>
      </c>
      <c r="R116" s="84" t="s">
        <v>48</v>
      </c>
    </row>
    <row r="117" spans="3:18">
      <c r="C117" s="50" t="s">
        <v>50</v>
      </c>
      <c r="D117" s="60" t="s">
        <v>51</v>
      </c>
      <c r="E117" s="50">
        <f>COUNTIFS(Tabla1[Tipo de Movilidad],"Doble*",Tabla1[Universidad KPIs],'Utilización Convenios'!$C117,Tabla1[Año de Movilidad],'Utilización Convenios'!E$115,Tabla1[Nivel],"Pregrado")</f>
        <v>1</v>
      </c>
      <c r="F117" s="51">
        <f>COUNTIFS(Tabla2[Tipo de Movilidad],"Doble*",Tabla2[Universidad KPIs],'Utilización Convenios'!$C117,Tabla2[Año],'Utilización Convenios'!E$115)</f>
        <v>0</v>
      </c>
      <c r="G117" s="50">
        <f>COUNTIFS(Tabla1[Tipo de Movilidad],"Doble*",Tabla1[Universidad KPIs],'Utilización Convenios'!$C117,Tabla1[Año de Movilidad],'Utilización Convenios'!G$115,Tabla1[Nivel],"Pregrado")</f>
        <v>0</v>
      </c>
      <c r="H117" s="51">
        <f>COUNTIFS(Tabla2[Tipo de Movilidad],"Doble*",Tabla2[Universidad KPIs],'Utilización Convenios'!$C117,Tabla2[Año],'Utilización Convenios'!G$115)</f>
        <v>0</v>
      </c>
      <c r="I117" s="50">
        <f>COUNTIFS(Tabla1[Tipo de Movilidad],"Doble*",Tabla1[Universidad KPIs],'Utilización Convenios'!$C117,Tabla1[Año de Movilidad],'Utilización Convenios'!I$115,Tabla1[Nivel],"Pregrado")</f>
        <v>0</v>
      </c>
      <c r="J117" s="51">
        <f>COUNTIFS(Tabla2[Tipo de Movilidad],"Doble*",Tabla2[Universidad KPIs],'Utilización Convenios'!$C117,Tabla2[Año],'Utilización Convenios'!I$115)</f>
        <v>0</v>
      </c>
      <c r="K117" s="50">
        <f>COUNTIFS(Tabla1[Tipo de Movilidad],"Doble*",Tabla1[Universidad KPIs],'Utilización Convenios'!$C117,Tabla1[Año de Movilidad],'Utilización Convenios'!K$115,Tabla1[Nivel],"Pregrado")</f>
        <v>1</v>
      </c>
      <c r="L117" s="51">
        <f>COUNTIFS(Tabla2[Tipo de Movilidad],"Doble*",Tabla2[Universidad KPIs],'Utilización Convenios'!$C117,Tabla2[Año],'Utilización Convenios'!K$115)</f>
        <v>0</v>
      </c>
      <c r="M117" s="50">
        <f>COUNTIFS(Tabla1[Tipo de Movilidad],"Doble*",Tabla1[Universidad KPIs],'Utilización Convenios'!$C117,Tabla1[Año de Movilidad],'Utilización Convenios'!M$115,Tabla1[Nivel],"Pregrado")</f>
        <v>1</v>
      </c>
      <c r="N117" s="51">
        <f>COUNTIFS(Tabla2[Tipo de Movilidad],"Doble*",Tabla2[Universidad KPIs],'Utilización Convenios'!$C117,Tabla2[Año],'Utilización Convenios'!M$115)</f>
        <v>0</v>
      </c>
      <c r="O117" s="50">
        <f>COUNTIFS(Tabla1[Tipo de Movilidad],"Doble*",Tabla1[Universidad KPIs],'Utilización Convenios'!$C117,Tabla1[Año de Movilidad],'Utilización Convenios'!O$115,Tabla1[Nivel],"Pregrado")</f>
        <v>0</v>
      </c>
      <c r="P117" s="51">
        <f>COUNTIFS(Tabla2[Tipo de Movilidad],"Doble*",Tabla2[Universidad KPIs],'Utilización Convenios'!$C117,Tabla2[Año],'Utilización Convenios'!O$115)</f>
        <v>0</v>
      </c>
      <c r="Q117" s="73">
        <f>SUMIF($E$4:$M$4,Q$4,$E117:$P117)</f>
        <v>3</v>
      </c>
      <c r="R117" s="74">
        <f>SUMIF($E$4:$N$4,R$4,$E117:$P117)</f>
        <v>0</v>
      </c>
    </row>
    <row r="118" spans="3:18">
      <c r="C118" s="22" t="s">
        <v>107</v>
      </c>
      <c r="D118" s="57" t="s">
        <v>57</v>
      </c>
      <c r="E118" s="22">
        <f>COUNTIFS(Tabla1[Tipo de Movilidad],"Doble*",Tabla1[Universidad KPIs],'Utilización Convenios'!$C118,Tabla1[Año de Movilidad],'Utilización Convenios'!E$115,Tabla1[Nivel],"Pregrado")</f>
        <v>5</v>
      </c>
      <c r="F118" s="23">
        <f>COUNTIFS(Tabla2[Tipo de Movilidad],"Doble*",Tabla2[Universidad KPIs],'Utilización Convenios'!$C118,Tabla2[Año],'Utilización Convenios'!E$115)</f>
        <v>2</v>
      </c>
      <c r="G118" s="22">
        <f>COUNTIFS(Tabla1[Tipo de Movilidad],"Doble*",Tabla1[Universidad KPIs],'Utilización Convenios'!$C118,Tabla1[Año de Movilidad],'Utilización Convenios'!G$115,Tabla1[Nivel],"Pregrado")</f>
        <v>5</v>
      </c>
      <c r="H118" s="23">
        <f>COUNTIFS(Tabla2[Tipo de Movilidad],"Doble*",Tabla2[Universidad KPIs],'Utilización Convenios'!$C118,Tabla2[Año],'Utilización Convenios'!G$115)</f>
        <v>1</v>
      </c>
      <c r="I118" s="22">
        <f>COUNTIFS(Tabla1[Tipo de Movilidad],"Doble*",Tabla1[Universidad KPIs],'Utilización Convenios'!$C118,Tabla1[Año de Movilidad],'Utilización Convenios'!I$115,Tabla1[Nivel],"Pregrado")</f>
        <v>10</v>
      </c>
      <c r="J118" s="23">
        <f>COUNTIFS(Tabla2[Tipo de Movilidad],"Doble*",Tabla2[Universidad KPIs],'Utilización Convenios'!$C118,Tabla2[Año],'Utilización Convenios'!I$115)</f>
        <v>0</v>
      </c>
      <c r="K118" s="22">
        <f>COUNTIFS(Tabla1[Tipo de Movilidad],"Doble*",Tabla1[Universidad KPIs],'Utilización Convenios'!$C118,Tabla1[Año de Movilidad],'Utilización Convenios'!K$115,Tabla1[Nivel],"Pregrado")</f>
        <v>9</v>
      </c>
      <c r="L118" s="23">
        <f>COUNTIFS(Tabla2[Tipo de Movilidad],"Doble*",Tabla2[Universidad KPIs],'Utilización Convenios'!$C118,Tabla2[Año],'Utilización Convenios'!K$115)</f>
        <v>0</v>
      </c>
      <c r="M118" s="22">
        <f>COUNTIFS(Tabla1[Tipo de Movilidad],"Doble*",Tabla1[Universidad KPIs],'Utilización Convenios'!$C118,Tabla1[Año de Movilidad],'Utilización Convenios'!M$115,Tabla1[Nivel],"Pregrado")</f>
        <v>6</v>
      </c>
      <c r="N118" s="23">
        <f>COUNTIFS(Tabla2[Tipo de Movilidad],"Doble*",Tabla2[Universidad KPIs],'Utilización Convenios'!$C118,Tabla2[Año],'Utilización Convenios'!M$115)</f>
        <v>0</v>
      </c>
      <c r="O118" s="22">
        <f>COUNTIFS(Tabla1[Tipo de Movilidad],"Doble*",Tabla1[Universidad KPIs],'Utilización Convenios'!$C118,Tabla1[Año de Movilidad],'Utilización Convenios'!O$115,Tabla1[Nivel],"Pregrado")</f>
        <v>0</v>
      </c>
      <c r="P118" s="23">
        <f>COUNTIFS(Tabla2[Tipo de Movilidad],"Doble*",Tabla2[Universidad KPIs],'Utilización Convenios'!$C118,Tabla2[Año],'Utilización Convenios'!O$115)</f>
        <v>0</v>
      </c>
      <c r="Q118" s="73">
        <f>SUMIF($E$4:$M$4,Q$4,$E118:$P118)</f>
        <v>35</v>
      </c>
      <c r="R118" s="74">
        <f>SUMIF($E$4:$N$4,R$4,$E118:$P118)</f>
        <v>3</v>
      </c>
    </row>
    <row r="119" spans="3:18" ht="15.75" thickBot="1">
      <c r="C119" s="56" t="s">
        <v>110</v>
      </c>
      <c r="D119" s="61" t="s">
        <v>95</v>
      </c>
      <c r="E119" s="56">
        <f>COUNTIFS(Tabla1[Tipo de Movilidad],"Doble*",Tabla1[Universidad KPIs],'Utilización Convenios'!$C119,Tabla1[Año de Movilidad],'Utilización Convenios'!E$115,Tabla1[Nivel],"Pregrado")</f>
        <v>0</v>
      </c>
      <c r="F119" s="64">
        <f>COUNTIFS(Tabla2[Tipo de Movilidad],"Doble*",Tabla2[Universidad KPIs],'Utilización Convenios'!$C119,Tabla2[Año],'Utilización Convenios'!E$115)</f>
        <v>0</v>
      </c>
      <c r="G119" s="56">
        <f>COUNTIFS(Tabla1[Tipo de Movilidad],"Doble*",Tabla1[Universidad KPIs],'Utilización Convenios'!$C119,Tabla1[Año de Movilidad],'Utilización Convenios'!G$115,Tabla1[Nivel],"Pregrado")</f>
        <v>0</v>
      </c>
      <c r="H119" s="64">
        <f>COUNTIFS(Tabla2[Tipo de Movilidad],"Doble*",Tabla2[Universidad KPIs],'Utilización Convenios'!$C119,Tabla2[Año],'Utilización Convenios'!G$115)</f>
        <v>0</v>
      </c>
      <c r="I119" s="56">
        <f>COUNTIFS(Tabla1[Tipo de Movilidad],"Doble*",Tabla1[Universidad KPIs],'Utilización Convenios'!$C119,Tabla1[Año de Movilidad],'Utilización Convenios'!I$115,Tabla1[Nivel],"Pregrado")</f>
        <v>2</v>
      </c>
      <c r="J119" s="64">
        <f>COUNTIFS(Tabla2[Tipo de Movilidad],"Doble*",Tabla2[Universidad KPIs],'Utilización Convenios'!$C119,Tabla2[Año],'Utilización Convenios'!I$115)</f>
        <v>0</v>
      </c>
      <c r="K119" s="56">
        <f>COUNTIFS(Tabla1[Tipo de Movilidad],"Doble*",Tabla1[Universidad KPIs],'Utilización Convenios'!$C119,Tabla1[Año de Movilidad],'Utilización Convenios'!K$115,Tabla1[Nivel],"Pregrado")</f>
        <v>2</v>
      </c>
      <c r="L119" s="64">
        <f>COUNTIFS(Tabla2[Tipo de Movilidad],"Doble*",Tabla2[Universidad KPIs],'Utilización Convenios'!$C119,Tabla2[Año],'Utilización Convenios'!K$115)</f>
        <v>0</v>
      </c>
      <c r="M119" s="56">
        <f>COUNTIFS(Tabla1[Tipo de Movilidad],"Doble*",Tabla1[Universidad KPIs],'Utilización Convenios'!$C119,Tabla1[Año de Movilidad],'Utilización Convenios'!M$115,Tabla1[Nivel],"Pregrado")</f>
        <v>1</v>
      </c>
      <c r="N119" s="64">
        <f>COUNTIFS(Tabla2[Tipo de Movilidad],"Doble*",Tabla2[Universidad KPIs],'Utilización Convenios'!$C119,Tabla2[Año],'Utilización Convenios'!M$115)</f>
        <v>0</v>
      </c>
      <c r="O119" s="56">
        <f>COUNTIFS(Tabla1[Tipo de Movilidad],"Doble*",Tabla1[Universidad KPIs],'Utilización Convenios'!$C119,Tabla1[Año de Movilidad],'Utilización Convenios'!O$115,Tabla1[Nivel],"Pregrado")</f>
        <v>0</v>
      </c>
      <c r="P119" s="64">
        <f>COUNTIFS(Tabla2[Tipo de Movilidad],"Doble*",Tabla2[Universidad KPIs],'Utilización Convenios'!$C119,Tabla2[Año],'Utilización Convenios'!O$115)</f>
        <v>0</v>
      </c>
      <c r="Q119" s="93">
        <f>SUMIF($E$4:$M$4,Q$4,$E119:$P119)</f>
        <v>5</v>
      </c>
      <c r="R119" s="94">
        <f>SUMIF($E$4:$N$4,R$4,$E119:$P119)</f>
        <v>0</v>
      </c>
    </row>
    <row r="120" spans="3:18" ht="15.75" thickBot="1">
      <c r="C120" s="249" t="s">
        <v>193</v>
      </c>
      <c r="D120" s="250"/>
      <c r="E120" s="91">
        <f t="shared" ref="E120:N120" si="5">SUM(E116:E119)</f>
        <v>6</v>
      </c>
      <c r="F120" s="92">
        <f t="shared" si="5"/>
        <v>2</v>
      </c>
      <c r="G120" s="91">
        <f t="shared" si="5"/>
        <v>5</v>
      </c>
      <c r="H120" s="92">
        <f t="shared" si="5"/>
        <v>1</v>
      </c>
      <c r="I120" s="91">
        <f t="shared" si="5"/>
        <v>12</v>
      </c>
      <c r="J120" s="92">
        <f t="shared" si="5"/>
        <v>0</v>
      </c>
      <c r="K120" s="91">
        <f t="shared" si="5"/>
        <v>12</v>
      </c>
      <c r="L120" s="92">
        <f t="shared" si="5"/>
        <v>0</v>
      </c>
      <c r="M120" s="91">
        <f t="shared" si="5"/>
        <v>8</v>
      </c>
      <c r="N120" s="92">
        <f t="shared" si="5"/>
        <v>0</v>
      </c>
      <c r="O120" s="91">
        <f t="shared" ref="O120:P120" si="6">SUM(O116:O119)</f>
        <v>0</v>
      </c>
      <c r="P120" s="92">
        <f t="shared" si="6"/>
        <v>0</v>
      </c>
      <c r="Q120" s="95">
        <f>SUM(Q117:Q119)</f>
        <v>43</v>
      </c>
      <c r="R120" s="96">
        <f>SUM(R117:R119)</f>
        <v>3</v>
      </c>
    </row>
    <row r="121" spans="3:18" ht="15.75" thickBot="1"/>
    <row r="122" spans="3:18" ht="21.75" thickBot="1">
      <c r="C122" s="90" t="s">
        <v>195</v>
      </c>
      <c r="E122" s="205">
        <v>2020</v>
      </c>
      <c r="F122" s="205">
        <v>2021</v>
      </c>
      <c r="G122" s="205">
        <v>2022</v>
      </c>
      <c r="H122" s="205">
        <v>2023</v>
      </c>
      <c r="I122" s="205">
        <v>2024</v>
      </c>
      <c r="J122" s="205">
        <v>2025</v>
      </c>
      <c r="K122" s="206" t="s">
        <v>45</v>
      </c>
    </row>
    <row r="123" spans="3:18" ht="15.75" thickBot="1">
      <c r="C123" s="62" t="s">
        <v>145</v>
      </c>
      <c r="D123" s="63" t="s">
        <v>81</v>
      </c>
      <c r="E123" s="97">
        <f>COUNTIFS(Tabla2[Tipo de Movilidad],"Free*",Tabla2[Universidad KPIs],'Utilización Convenios'!$C123,Tabla2[Año],'Utilización Convenios'!E$122)</f>
        <v>1</v>
      </c>
      <c r="F123" s="97">
        <f>COUNTIFS(Tabla2[Grupo Banner],"Free*",Tabla2[Tipo Convenio],'Utilización Convenios'!$C123,Tabla2[Semestre de Movilidad],'Utilización Convenios'!F$122)</f>
        <v>0</v>
      </c>
      <c r="G123" s="97">
        <f>COUNTIFS(Tabla2[Cruce de Programa],"Free*",Tabla2[País],'Utilización Convenios'!$C123,Tabla2[Código],'Utilización Convenios'!G$122)</f>
        <v>0</v>
      </c>
      <c r="H123" s="97">
        <f>COUNTIFS(Tabla2[Total Cursos],"Free*",Tabla2[Continente],'Utilización Convenios'!$C123,Tabla2[Nombre],'Utilización Convenios'!H$122)</f>
        <v>0</v>
      </c>
      <c r="I123" s="97">
        <f>COUNTIFS(Tabla2[Curso 1],"Free*",Tabla2[Cuenta Alterna],'Utilización Convenios'!$C123,Tabla2[Apellido],'Utilización Convenios'!I$122)</f>
        <v>0</v>
      </c>
      <c r="J123" s="97">
        <f>COUNTIFS(Tabla2[Curso 1],"Free*",Tabla2[Cuenta Alterna],'Utilización Convenios'!$C123,Tabla2[Apellido],'Utilización Convenios'!J$122)</f>
        <v>0</v>
      </c>
      <c r="K123" s="98">
        <f>SUM(E123:J123)</f>
        <v>1</v>
      </c>
    </row>
    <row r="124" spans="3:18" ht="15.75" thickBot="1"/>
    <row r="125" spans="3:18" ht="21.75" thickBot="1">
      <c r="C125" s="90" t="s">
        <v>196</v>
      </c>
      <c r="E125" s="203">
        <v>2020</v>
      </c>
      <c r="F125" s="203">
        <v>2021</v>
      </c>
      <c r="G125" s="203">
        <v>2022</v>
      </c>
      <c r="H125" s="203">
        <v>2023</v>
      </c>
      <c r="I125" s="203">
        <v>2024</v>
      </c>
      <c r="J125" s="203">
        <v>2025</v>
      </c>
      <c r="K125" s="204" t="s">
        <v>45</v>
      </c>
    </row>
    <row r="126" spans="3:18" ht="15.75" thickBot="1">
      <c r="C126" s="62" t="s">
        <v>197</v>
      </c>
      <c r="D126" s="207" t="s">
        <v>51</v>
      </c>
      <c r="E126" s="209">
        <f>COUNTIFS(Tabla1[Tipo de Movilidad],"Pasant*",Tabla1[Universidad KPIs],$C126,Tabla1[Año de Movilidad],'Utilización Convenios'!E$125)</f>
        <v>2</v>
      </c>
      <c r="F126" s="209">
        <f>COUNTIFS(Tabla1[Tipo de Movilidad],"Pasant*",Tabla1[Universidad KPIs],$C126,Tabla1[Año de Movilidad],'Utilización Convenios'!F$125)</f>
        <v>8</v>
      </c>
      <c r="G126" s="209">
        <f>COUNTIFS(Tabla1[Tipo de Movilidad],"Pasant*",Tabla1[Universidad KPIs],$C126,Tabla1[Año de Movilidad],'Utilización Convenios'!G$125)</f>
        <v>3</v>
      </c>
      <c r="H126" s="209">
        <f>COUNTIFS(Tabla1[Tipo de Movilidad],"Pasant*",Tabla1[Universidad KPIs],$C126,Tabla1[Año de Movilidad],'Utilización Convenios'!H$125)</f>
        <v>1</v>
      </c>
      <c r="I126" s="209">
        <f>COUNTIFS(Tabla1[Tipo de Movilidad],"Pasant*",Tabla1[Universidad KPIs],$C126,Tabla1[Año de Movilidad],'Utilización Convenios'!I$125)</f>
        <v>2</v>
      </c>
      <c r="J126" s="209">
        <f>COUNTIFS(Tabla1[Tipo de Movilidad],"Pasant*",Tabla1[Universidad KPIs],$C126,Tabla1[Año de Movilidad],'Utilización Convenios'!J$125)</f>
        <v>0</v>
      </c>
      <c r="K126" s="208">
        <f>SUM(E126:J126)</f>
        <v>16</v>
      </c>
    </row>
    <row r="128" spans="3:18" s="30" customFormat="1" ht="27" customHeight="1" thickBot="1">
      <c r="C128" s="233" t="s">
        <v>198</v>
      </c>
      <c r="D128" s="233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67"/>
    </row>
    <row r="129" spans="2:18" ht="15.75" thickBot="1">
      <c r="E129" s="238">
        <v>2020</v>
      </c>
      <c r="F129" s="239"/>
      <c r="G129" s="238">
        <v>2021</v>
      </c>
      <c r="H129" s="239"/>
      <c r="I129" s="238">
        <v>2022</v>
      </c>
      <c r="J129" s="239"/>
      <c r="K129" s="238">
        <v>2023</v>
      </c>
      <c r="L129" s="239"/>
      <c r="M129" s="238">
        <v>2024</v>
      </c>
      <c r="N129" s="239"/>
      <c r="O129" s="238">
        <v>2025</v>
      </c>
      <c r="P129" s="239"/>
      <c r="Q129" s="229" t="s">
        <v>45</v>
      </c>
      <c r="R129" s="230"/>
    </row>
    <row r="130" spans="2:18" ht="15.75" thickBot="1">
      <c r="C130" s="25" t="s">
        <v>46</v>
      </c>
      <c r="D130" s="26" t="s">
        <v>27</v>
      </c>
      <c r="E130" s="27" t="s">
        <v>47</v>
      </c>
      <c r="F130" s="69" t="s">
        <v>48</v>
      </c>
      <c r="G130" s="27" t="s">
        <v>47</v>
      </c>
      <c r="H130" s="69" t="s">
        <v>48</v>
      </c>
      <c r="I130" s="27" t="s">
        <v>47</v>
      </c>
      <c r="J130" s="69" t="s">
        <v>48</v>
      </c>
      <c r="K130" s="27" t="s">
        <v>47</v>
      </c>
      <c r="L130" s="69" t="s">
        <v>48</v>
      </c>
      <c r="M130" s="27" t="s">
        <v>47</v>
      </c>
      <c r="N130" s="66" t="s">
        <v>48</v>
      </c>
      <c r="O130" s="27" t="s">
        <v>47</v>
      </c>
      <c r="P130" s="66" t="s">
        <v>48</v>
      </c>
      <c r="Q130" s="53" t="s">
        <v>47</v>
      </c>
      <c r="R130" s="82" t="s">
        <v>48</v>
      </c>
    </row>
    <row r="131" spans="2:18">
      <c r="B131" s="247" t="s">
        <v>49</v>
      </c>
      <c r="C131" s="50" t="s">
        <v>50</v>
      </c>
      <c r="D131" s="51" t="s">
        <v>51</v>
      </c>
      <c r="E131" s="50">
        <f>COUNTIFS(Tabla1[Tipo de Movilidad],"Intercambio*",Tabla1[Universidad KPIs],'Utilización Convenios'!$C131,Tabla1[Año de Movilidad],'Utilización Convenios'!E$3,Tabla1[Nivel],"Maestría")</f>
        <v>0</v>
      </c>
      <c r="F131" s="51">
        <f>COUNTIFS(Tabla2[Tipo de Movilidad],"Intercambio*",Tabla2[Universidad KPIs],'Utilización Convenios'!$C131,Tabla2[Año],'Utilización Convenios'!E$129,Tabla2[Nivel Nominación],"Postgraduate / Master")</f>
        <v>0</v>
      </c>
      <c r="G131" s="50">
        <f>COUNTIFS(Tabla1[Tipo de Movilidad],"Intercambio*",Tabla1[Universidad KPIs],'Utilización Convenios'!$C131,Tabla1[Año de Movilidad],'Utilización Convenios'!G$3,Tabla1[Nivel],"Maestría")</f>
        <v>0</v>
      </c>
      <c r="H131" s="51">
        <f>COUNTIFS(Tabla2[Tipo de Movilidad],"Intercambio*",Tabla2[Universidad KPIs],'Utilización Convenios'!$C131,Tabla2[Año],'Utilización Convenios'!G$129,Tabla2[Nivel Nominación],"Postgraduate / Master")</f>
        <v>0</v>
      </c>
      <c r="I131" s="50">
        <f>COUNTIFS(Tabla1[Tipo de Movilidad],"Intercambio*",Tabla1[Universidad KPIs],'Utilización Convenios'!$C131,Tabla1[Año de Movilidad],'Utilización Convenios'!I$3,Tabla1[Nivel],"Maestría")</f>
        <v>0</v>
      </c>
      <c r="J131" s="51">
        <f>COUNTIFS(Tabla2[Tipo de Movilidad],"Intercambio*",Tabla2[Universidad KPIs],'Utilización Convenios'!$C131,Tabla2[Año],'Utilización Convenios'!I$129,Tabla2[Nivel Nominación],"Postgraduate / Master")</f>
        <v>0</v>
      </c>
      <c r="K131" s="50">
        <f>COUNTIFS(Tabla1[Tipo de Movilidad],"Intercambio*",Tabla1[Universidad KPIs],'Utilización Convenios'!$C131,Tabla1[Año de Movilidad],'Utilización Convenios'!K$3,Tabla1[Nivel],"Maestría")</f>
        <v>0</v>
      </c>
      <c r="L131" s="51">
        <f>COUNTIFS(Tabla2[Tipo de Movilidad],"Intercambio*",Tabla2[Universidad KPIs],'Utilización Convenios'!$C131,Tabla2[Año],'Utilización Convenios'!K$129,Tabla2[Nivel Nominación],"Postgraduate / Master")</f>
        <v>0</v>
      </c>
      <c r="M131" s="50">
        <f>COUNTIFS(Tabla1[Tipo de Movilidad],"Intercambio*",Tabla1[Universidad KPIs],'Utilización Convenios'!$C131,Tabla1[Año de Movilidad],'Utilización Convenios'!M$3,Tabla1[Nivel],"Maestría")</f>
        <v>0</v>
      </c>
      <c r="N131" s="60">
        <f>COUNTIFS(Tabla2[Tipo de Movilidad],"Intercambio*",Tabla2[Universidad KPIs],'Utilización Convenios'!$C131,Tabla2[Año],'Utilización Convenios'!M$129,Tabla2[Nivel Nominación],"Postgraduate / Master")</f>
        <v>0</v>
      </c>
      <c r="O131" s="50">
        <f>COUNTIFS(Tabla1[Tipo de Movilidad],"Intercambio*",Tabla1[Universidad KPIs],'Utilización Convenios'!$C131,Tabla1[Año de Movilidad],'Utilización Convenios'!O$3,Tabla1[Nivel],"Maestría")</f>
        <v>0</v>
      </c>
      <c r="P131" s="60">
        <f>COUNTIFS(Tabla2[Tipo de Movilidad],"Intercambio*",Tabla2[Universidad KPIs],'Utilización Convenios'!$C131,Tabla2[Año],'Utilización Convenios'!O$129,Tabla2[Nivel Nominación],"Postgraduate / Master")</f>
        <v>0</v>
      </c>
      <c r="Q131" s="73">
        <f>SUMIF($E$130:$P$130,Q$130,$E131:$P131)</f>
        <v>0</v>
      </c>
      <c r="R131" s="81">
        <f>SUMIF($E$130:$P$130,R$130,$E131:$P131)</f>
        <v>0</v>
      </c>
    </row>
    <row r="132" spans="2:18">
      <c r="B132" s="248"/>
      <c r="C132" s="22" t="s">
        <v>52</v>
      </c>
      <c r="D132" s="23" t="s">
        <v>53</v>
      </c>
      <c r="E132" s="22">
        <f>COUNTIFS(Tabla1[Tipo de Movilidad],"Intercambio*",Tabla1[Universidad KPIs],'Utilización Convenios'!$C132,Tabla1[Año de Movilidad],'Utilización Convenios'!E$3,Tabla1[Nivel],"Maestría")</f>
        <v>0</v>
      </c>
      <c r="F132" s="23">
        <f>COUNTIFS(Tabla2[Tipo de Movilidad],"Intercambio*",Tabla2[Universidad KPIs],'Utilización Convenios'!$C132,Tabla2[Año],'Utilización Convenios'!E$129,Tabla2[Nivel Nominación],"Postgraduate / Master")</f>
        <v>0</v>
      </c>
      <c r="G132" s="22">
        <f>COUNTIFS(Tabla1[Tipo de Movilidad],"Intercambio*",Tabla1[Universidad KPIs],'Utilización Convenios'!$C132,Tabla1[Año de Movilidad],'Utilización Convenios'!G$3,Tabla1[Nivel],"Maestría")</f>
        <v>0</v>
      </c>
      <c r="H132" s="23">
        <f>COUNTIFS(Tabla2[Tipo de Movilidad],"Intercambio*",Tabla2[Universidad KPIs],'Utilización Convenios'!$C132,Tabla2[Año],'Utilización Convenios'!G$129,Tabla2[Nivel Nominación],"Postgraduate / Master")</f>
        <v>0</v>
      </c>
      <c r="I132" s="22">
        <f>COUNTIFS(Tabla1[Tipo de Movilidad],"Intercambio*",Tabla1[Universidad KPIs],'Utilización Convenios'!$C132,Tabla1[Año de Movilidad],'Utilización Convenios'!I$3,Tabla1[Nivel],"Maestría")</f>
        <v>0</v>
      </c>
      <c r="J132" s="23">
        <f>COUNTIFS(Tabla2[Tipo de Movilidad],"Intercambio*",Tabla2[Universidad KPIs],'Utilización Convenios'!$C132,Tabla2[Año],'Utilización Convenios'!I$129,Tabla2[Nivel Nominación],"Postgraduate / Master")</f>
        <v>0</v>
      </c>
      <c r="K132" s="22">
        <f>COUNTIFS(Tabla1[Tipo de Movilidad],"Intercambio*",Tabla1[Universidad KPIs],'Utilización Convenios'!$C132,Tabla1[Año de Movilidad],'Utilización Convenios'!K$3,Tabla1[Nivel],"Maestría")</f>
        <v>0</v>
      </c>
      <c r="L132" s="23">
        <f>COUNTIFS(Tabla2[Tipo de Movilidad],"Intercambio*",Tabla2[Universidad KPIs],'Utilización Convenios'!$C132,Tabla2[Año],'Utilización Convenios'!K$129,Tabla2[Nivel Nominación],"Postgraduate / Master")</f>
        <v>0</v>
      </c>
      <c r="M132" s="22">
        <f>COUNTIFS(Tabla1[Tipo de Movilidad],"Intercambio*",Tabla1[Universidad KPIs],'Utilización Convenios'!$C132,Tabla1[Año de Movilidad],'Utilización Convenios'!M$3,Tabla1[Nivel],"Maestría")</f>
        <v>0</v>
      </c>
      <c r="N132" s="57">
        <f>COUNTIFS(Tabla2[Tipo de Movilidad],"Intercambio*",Tabla2[Universidad KPIs],'Utilización Convenios'!$C132,Tabla2[Año],'Utilización Convenios'!M$129,Tabla2[Nivel Nominación],"Postgraduate / Master")</f>
        <v>1</v>
      </c>
      <c r="O132" s="22">
        <f>COUNTIFS(Tabla1[Tipo de Movilidad],"Intercambio*",Tabla1[Universidad KPIs],'Utilización Convenios'!$C132,Tabla1[Año de Movilidad],'Utilización Convenios'!O$3,Tabla1[Nivel],"Maestría")</f>
        <v>0</v>
      </c>
      <c r="P132" s="57">
        <f>COUNTIFS(Tabla2[Tipo de Movilidad],"Intercambio*",Tabla2[Universidad KPIs],'Utilización Convenios'!$C132,Tabla2[Año],'Utilización Convenios'!O$129,Tabla2[Nivel Nominación],"Postgraduate / Master")</f>
        <v>0</v>
      </c>
      <c r="Q132" s="73">
        <f t="shared" ref="Q132:R163" si="7">SUMIF($E$130:$P$130,Q$130,$E132:$P132)</f>
        <v>0</v>
      </c>
      <c r="R132" s="74">
        <f t="shared" si="7"/>
        <v>1</v>
      </c>
    </row>
    <row r="133" spans="2:18">
      <c r="B133" s="248"/>
      <c r="C133" s="22" t="s">
        <v>54</v>
      </c>
      <c r="D133" s="23" t="s">
        <v>55</v>
      </c>
      <c r="E133" s="22">
        <f>COUNTIFS(Tabla1[Tipo de Movilidad],"Intercambio*",Tabla1[Universidad KPIs],'Utilización Convenios'!$C133,Tabla1[Año de Movilidad],'Utilización Convenios'!E$3,Tabla1[Nivel],"Maestría")</f>
        <v>0</v>
      </c>
      <c r="F133" s="23">
        <f>COUNTIFS(Tabla2[Tipo de Movilidad],"Intercambio*",Tabla2[Universidad KPIs],'Utilización Convenios'!$C133,Tabla2[Año],'Utilización Convenios'!E$129,Tabla2[Nivel Nominación],"Postgraduate / Master")</f>
        <v>0</v>
      </c>
      <c r="G133" s="22">
        <f>COUNTIFS(Tabla1[Tipo de Movilidad],"Intercambio*",Tabla1[Universidad KPIs],'Utilización Convenios'!$C133,Tabla1[Año de Movilidad],'Utilización Convenios'!G$3,Tabla1[Nivel],"Maestría")</f>
        <v>0</v>
      </c>
      <c r="H133" s="23">
        <f>COUNTIFS(Tabla2[Tipo de Movilidad],"Intercambio*",Tabla2[Universidad KPIs],'Utilización Convenios'!$C133,Tabla2[Año],'Utilización Convenios'!G$129,Tabla2[Nivel Nominación],"Postgraduate / Master")</f>
        <v>0</v>
      </c>
      <c r="I133" s="22">
        <f>COUNTIFS(Tabla1[Tipo de Movilidad],"Intercambio*",Tabla1[Universidad KPIs],'Utilización Convenios'!$C133,Tabla1[Año de Movilidad],'Utilización Convenios'!I$3,Tabla1[Nivel],"Maestría")</f>
        <v>0</v>
      </c>
      <c r="J133" s="23">
        <f>COUNTIFS(Tabla2[Tipo de Movilidad],"Intercambio*",Tabla2[Universidad KPIs],'Utilización Convenios'!$C133,Tabla2[Año],'Utilización Convenios'!I$129,Tabla2[Nivel Nominación],"Postgraduate / Master")</f>
        <v>0</v>
      </c>
      <c r="K133" s="22">
        <f>COUNTIFS(Tabla1[Tipo de Movilidad],"Intercambio*",Tabla1[Universidad KPIs],'Utilización Convenios'!$C133,Tabla1[Año de Movilidad],'Utilización Convenios'!K$3,Tabla1[Nivel],"Maestría")</f>
        <v>0</v>
      </c>
      <c r="L133" s="23">
        <f>COUNTIFS(Tabla2[Tipo de Movilidad],"Intercambio*",Tabla2[Universidad KPIs],'Utilización Convenios'!$C133,Tabla2[Año],'Utilización Convenios'!K$129,Tabla2[Nivel Nominación],"Postgraduate / Master")</f>
        <v>0</v>
      </c>
      <c r="M133" s="22">
        <f>COUNTIFS(Tabla1[Tipo de Movilidad],"Intercambio*",Tabla1[Universidad KPIs],'Utilización Convenios'!$C133,Tabla1[Año de Movilidad],'Utilización Convenios'!M$3,Tabla1[Nivel],"Maestría")</f>
        <v>0</v>
      </c>
      <c r="N133" s="57">
        <f>COUNTIFS(Tabla2[Tipo de Movilidad],"Intercambio*",Tabla2[Universidad KPIs],'Utilización Convenios'!$C133,Tabla2[Año],'Utilización Convenios'!M$129,Tabla2[Nivel Nominación],"Postgraduate / Master")</f>
        <v>0</v>
      </c>
      <c r="O133" s="22">
        <f>COUNTIFS(Tabla1[Tipo de Movilidad],"Intercambio*",Tabla1[Universidad KPIs],'Utilización Convenios'!$C133,Tabla1[Año de Movilidad],'Utilización Convenios'!O$3,Tabla1[Nivel],"Maestría")</f>
        <v>0</v>
      </c>
      <c r="P133" s="57">
        <f>COUNTIFS(Tabla2[Tipo de Movilidad],"Intercambio*",Tabla2[Universidad KPIs],'Utilización Convenios'!$C133,Tabla2[Año],'Utilización Convenios'!O$129,Tabla2[Nivel Nominación],"Postgraduate / Master")</f>
        <v>0</v>
      </c>
      <c r="Q133" s="73">
        <f t="shared" si="7"/>
        <v>0</v>
      </c>
      <c r="R133" s="74">
        <f t="shared" si="7"/>
        <v>0</v>
      </c>
    </row>
    <row r="134" spans="2:18">
      <c r="B134" s="248"/>
      <c r="C134" s="22" t="s">
        <v>56</v>
      </c>
      <c r="D134" s="23" t="s">
        <v>57</v>
      </c>
      <c r="E134" s="22">
        <f>COUNTIFS(Tabla1[Tipo de Movilidad],"Intercambio*",Tabla1[Universidad KPIs],'Utilización Convenios'!$C134,Tabla1[Año de Movilidad],'Utilización Convenios'!E$3,Tabla1[Nivel],"Maestría")</f>
        <v>0</v>
      </c>
      <c r="F134" s="23">
        <f>COUNTIFS(Tabla2[Tipo de Movilidad],"Intercambio*",Tabla2[Universidad KPIs],'Utilización Convenios'!$C134,Tabla2[Año],'Utilización Convenios'!E$129,Tabla2[Nivel Nominación],"Postgraduate / Master")</f>
        <v>0</v>
      </c>
      <c r="G134" s="22">
        <f>COUNTIFS(Tabla1[Tipo de Movilidad],"Intercambio*",Tabla1[Universidad KPIs],'Utilización Convenios'!$C134,Tabla1[Año de Movilidad],'Utilización Convenios'!G$3,Tabla1[Nivel],"Maestría")</f>
        <v>0</v>
      </c>
      <c r="H134" s="23">
        <f>COUNTIFS(Tabla2[Tipo de Movilidad],"Intercambio*",Tabla2[Universidad KPIs],'Utilización Convenios'!$C134,Tabla2[Año],'Utilización Convenios'!G$129,Tabla2[Nivel Nominación],"Postgraduate / Master")</f>
        <v>1</v>
      </c>
      <c r="I134" s="22">
        <f>COUNTIFS(Tabla1[Tipo de Movilidad],"Intercambio*",Tabla1[Universidad KPIs],'Utilización Convenios'!$C134,Tabla1[Año de Movilidad],'Utilización Convenios'!I$3,Tabla1[Nivel],"Maestría")</f>
        <v>0</v>
      </c>
      <c r="J134" s="23">
        <f>COUNTIFS(Tabla2[Tipo de Movilidad],"Intercambio*",Tabla2[Universidad KPIs],'Utilización Convenios'!$C134,Tabla2[Año],'Utilización Convenios'!I$129,Tabla2[Nivel Nominación],"Postgraduate / Master")</f>
        <v>1</v>
      </c>
      <c r="K134" s="22">
        <f>COUNTIFS(Tabla1[Tipo de Movilidad],"Intercambio*",Tabla1[Universidad KPIs],'Utilización Convenios'!$C134,Tabla1[Año de Movilidad],'Utilización Convenios'!K$3,Tabla1[Nivel],"Maestría")</f>
        <v>0</v>
      </c>
      <c r="L134" s="23">
        <f>COUNTIFS(Tabla2[Tipo de Movilidad],"Intercambio*",Tabla2[Universidad KPIs],'Utilización Convenios'!$C134,Tabla2[Año],'Utilización Convenios'!K$129,Tabla2[Nivel Nominación],"Postgraduate / Master")</f>
        <v>0</v>
      </c>
      <c r="M134" s="22">
        <f>COUNTIFS(Tabla1[Tipo de Movilidad],"Intercambio*",Tabla1[Universidad KPIs],'Utilización Convenios'!$C134,Tabla1[Año de Movilidad],'Utilización Convenios'!M$3,Tabla1[Nivel],"Maestría")</f>
        <v>0</v>
      </c>
      <c r="N134" s="57">
        <f>COUNTIFS(Tabla2[Tipo de Movilidad],"Intercambio*",Tabla2[Universidad KPIs],'Utilización Convenios'!$C134,Tabla2[Año],'Utilización Convenios'!M$129,Tabla2[Nivel Nominación],"Postgraduate / Master")</f>
        <v>0</v>
      </c>
      <c r="O134" s="22">
        <f>COUNTIFS(Tabla1[Tipo de Movilidad],"Intercambio*",Tabla1[Universidad KPIs],'Utilización Convenios'!$C134,Tabla1[Año de Movilidad],'Utilización Convenios'!O$3,Tabla1[Nivel],"Maestría")</f>
        <v>0</v>
      </c>
      <c r="P134" s="57">
        <f>COUNTIFS(Tabla2[Tipo de Movilidad],"Intercambio*",Tabla2[Universidad KPIs],'Utilización Convenios'!$C134,Tabla2[Año],'Utilización Convenios'!O$129,Tabla2[Nivel Nominación],"Postgraduate / Master")</f>
        <v>1</v>
      </c>
      <c r="Q134" s="73">
        <f t="shared" si="7"/>
        <v>0</v>
      </c>
      <c r="R134" s="74">
        <f t="shared" si="7"/>
        <v>3</v>
      </c>
    </row>
    <row r="135" spans="2:18">
      <c r="B135" s="248"/>
      <c r="C135" s="22" t="s">
        <v>58</v>
      </c>
      <c r="D135" s="23" t="s">
        <v>59</v>
      </c>
      <c r="E135" s="22">
        <f>COUNTIFS(Tabla1[Tipo de Movilidad],"Intercambio*",Tabla1[Universidad KPIs],'Utilización Convenios'!$C135,Tabla1[Año de Movilidad],'Utilización Convenios'!E$3,Tabla1[Nivel],"Maestría")</f>
        <v>0</v>
      </c>
      <c r="F135" s="23">
        <f>COUNTIFS(Tabla2[Tipo de Movilidad],"Intercambio*",Tabla2[Universidad KPIs],'Utilización Convenios'!$C135,Tabla2[Año],'Utilización Convenios'!E$129,Tabla2[Nivel Nominación],"Postgraduate / Master")</f>
        <v>0</v>
      </c>
      <c r="G135" s="22">
        <f>COUNTIFS(Tabla1[Tipo de Movilidad],"Intercambio*",Tabla1[Universidad KPIs],'Utilización Convenios'!$C135,Tabla1[Año de Movilidad],'Utilización Convenios'!G$3,Tabla1[Nivel],"Maestría")</f>
        <v>0</v>
      </c>
      <c r="H135" s="23">
        <f>COUNTIFS(Tabla2[Tipo de Movilidad],"Intercambio*",Tabla2[Universidad KPIs],'Utilización Convenios'!$C135,Tabla2[Año],'Utilización Convenios'!G$129,Tabla2[Nivel Nominación],"Postgraduate / Master")</f>
        <v>0</v>
      </c>
      <c r="I135" s="22">
        <f>COUNTIFS(Tabla1[Tipo de Movilidad],"Intercambio*",Tabla1[Universidad KPIs],'Utilización Convenios'!$C135,Tabla1[Año de Movilidad],'Utilización Convenios'!I$3,Tabla1[Nivel],"Maestría")</f>
        <v>0</v>
      </c>
      <c r="J135" s="23">
        <f>COUNTIFS(Tabla2[Tipo de Movilidad],"Intercambio*",Tabla2[Universidad KPIs],'Utilización Convenios'!$C135,Tabla2[Año],'Utilización Convenios'!I$129,Tabla2[Nivel Nominación],"Postgraduate / Master")</f>
        <v>0</v>
      </c>
      <c r="K135" s="22">
        <f>COUNTIFS(Tabla1[Tipo de Movilidad],"Intercambio*",Tabla1[Universidad KPIs],'Utilización Convenios'!$C135,Tabla1[Año de Movilidad],'Utilización Convenios'!K$3,Tabla1[Nivel],"Maestría")</f>
        <v>0</v>
      </c>
      <c r="L135" s="23">
        <f>COUNTIFS(Tabla2[Tipo de Movilidad],"Intercambio*",Tabla2[Universidad KPIs],'Utilización Convenios'!$C135,Tabla2[Año],'Utilización Convenios'!K$129,Tabla2[Nivel Nominación],"Postgraduate / Master")</f>
        <v>0</v>
      </c>
      <c r="M135" s="22">
        <f>COUNTIFS(Tabla1[Tipo de Movilidad],"Intercambio*",Tabla1[Universidad KPIs],'Utilización Convenios'!$C135,Tabla1[Año de Movilidad],'Utilización Convenios'!M$3,Tabla1[Nivel],"Maestría")</f>
        <v>0</v>
      </c>
      <c r="N135" s="57">
        <f>COUNTIFS(Tabla2[Tipo de Movilidad],"Intercambio*",Tabla2[Universidad KPIs],'Utilización Convenios'!$C135,Tabla2[Año],'Utilización Convenios'!M$129,Tabla2[Nivel Nominación],"Postgraduate / Master")</f>
        <v>0</v>
      </c>
      <c r="O135" s="22">
        <f>COUNTIFS(Tabla1[Tipo de Movilidad],"Intercambio*",Tabla1[Universidad KPIs],'Utilización Convenios'!$C135,Tabla1[Año de Movilidad],'Utilización Convenios'!O$3,Tabla1[Nivel],"Maestría")</f>
        <v>0</v>
      </c>
      <c r="P135" s="57">
        <f>COUNTIFS(Tabla2[Tipo de Movilidad],"Intercambio*",Tabla2[Universidad KPIs],'Utilización Convenios'!$C135,Tabla2[Año],'Utilización Convenios'!O$129,Tabla2[Nivel Nominación],"Postgraduate / Master")</f>
        <v>0</v>
      </c>
      <c r="Q135" s="73">
        <f t="shared" si="7"/>
        <v>0</v>
      </c>
      <c r="R135" s="74">
        <f t="shared" si="7"/>
        <v>0</v>
      </c>
    </row>
    <row r="136" spans="2:18">
      <c r="B136" s="248"/>
      <c r="C136" s="22" t="s">
        <v>60</v>
      </c>
      <c r="D136" s="23" t="s">
        <v>61</v>
      </c>
      <c r="E136" s="22">
        <f>COUNTIFS(Tabla1[Tipo de Movilidad],"Intercambio*",Tabla1[Universidad KPIs],'Utilización Convenios'!$C136,Tabla1[Año de Movilidad],'Utilización Convenios'!E$3,Tabla1[Nivel],"Maestría")</f>
        <v>0</v>
      </c>
      <c r="F136" s="23">
        <f>COUNTIFS(Tabla2[Tipo de Movilidad],"Intercambio*",Tabla2[Universidad KPIs],'Utilización Convenios'!$C136,Tabla2[Año],'Utilización Convenios'!E$129,Tabla2[Nivel Nominación],"Postgraduate / Master")</f>
        <v>0</v>
      </c>
      <c r="G136" s="22">
        <f>COUNTIFS(Tabla1[Tipo de Movilidad],"Intercambio*",Tabla1[Universidad KPIs],'Utilización Convenios'!$C136,Tabla1[Año de Movilidad],'Utilización Convenios'!G$3,Tabla1[Nivel],"Maestría")</f>
        <v>0</v>
      </c>
      <c r="H136" s="23">
        <f>COUNTIFS(Tabla2[Tipo de Movilidad],"Intercambio*",Tabla2[Universidad KPIs],'Utilización Convenios'!$C136,Tabla2[Año],'Utilización Convenios'!G$129,Tabla2[Nivel Nominación],"Postgraduate / Master")</f>
        <v>0</v>
      </c>
      <c r="I136" s="22">
        <f>COUNTIFS(Tabla1[Tipo de Movilidad],"Intercambio*",Tabla1[Universidad KPIs],'Utilización Convenios'!$C136,Tabla1[Año de Movilidad],'Utilización Convenios'!I$3,Tabla1[Nivel],"Maestría")</f>
        <v>0</v>
      </c>
      <c r="J136" s="23">
        <f>COUNTIFS(Tabla2[Tipo de Movilidad],"Intercambio*",Tabla2[Universidad KPIs],'Utilización Convenios'!$C136,Tabla2[Año],'Utilización Convenios'!I$129,Tabla2[Nivel Nominación],"Postgraduate / Master")</f>
        <v>0</v>
      </c>
      <c r="K136" s="22">
        <f>COUNTIFS(Tabla1[Tipo de Movilidad],"Intercambio*",Tabla1[Universidad KPIs],'Utilización Convenios'!$C136,Tabla1[Año de Movilidad],'Utilización Convenios'!K$3,Tabla1[Nivel],"Maestría")</f>
        <v>0</v>
      </c>
      <c r="L136" s="23">
        <f>COUNTIFS(Tabla2[Tipo de Movilidad],"Intercambio*",Tabla2[Universidad KPIs],'Utilización Convenios'!$C136,Tabla2[Año],'Utilización Convenios'!K$129,Tabla2[Nivel Nominación],"Postgraduate / Master")</f>
        <v>0</v>
      </c>
      <c r="M136" s="22">
        <f>COUNTIFS(Tabla1[Tipo de Movilidad],"Intercambio*",Tabla1[Universidad KPIs],'Utilización Convenios'!$C136,Tabla1[Año de Movilidad],'Utilización Convenios'!M$3,Tabla1[Nivel],"Maestría")</f>
        <v>0</v>
      </c>
      <c r="N136" s="57">
        <f>COUNTIFS(Tabla2[Tipo de Movilidad],"Intercambio*",Tabla2[Universidad KPIs],'Utilización Convenios'!$C136,Tabla2[Año],'Utilización Convenios'!M$129,Tabla2[Nivel Nominación],"Postgraduate / Master")</f>
        <v>0</v>
      </c>
      <c r="O136" s="22">
        <f>COUNTIFS(Tabla1[Tipo de Movilidad],"Intercambio*",Tabla1[Universidad KPIs],'Utilización Convenios'!$C136,Tabla1[Año de Movilidad],'Utilización Convenios'!O$3,Tabla1[Nivel],"Maestría")</f>
        <v>0</v>
      </c>
      <c r="P136" s="57">
        <f>COUNTIFS(Tabla2[Tipo de Movilidad],"Intercambio*",Tabla2[Universidad KPIs],'Utilización Convenios'!$C136,Tabla2[Año],'Utilización Convenios'!O$129,Tabla2[Nivel Nominación],"Postgraduate / Master")</f>
        <v>0</v>
      </c>
      <c r="Q136" s="73">
        <f t="shared" si="7"/>
        <v>0</v>
      </c>
      <c r="R136" s="74">
        <f t="shared" si="7"/>
        <v>0</v>
      </c>
    </row>
    <row r="137" spans="2:18">
      <c r="B137" s="248"/>
      <c r="C137" s="22" t="s">
        <v>62</v>
      </c>
      <c r="D137" s="23" t="s">
        <v>63</v>
      </c>
      <c r="E137" s="22">
        <f>COUNTIFS(Tabla1[Tipo de Movilidad],"Intercambio*",Tabla1[Universidad KPIs],'Utilización Convenios'!$C137,Tabla1[Año de Movilidad],'Utilización Convenios'!E$3,Tabla1[Nivel],"Maestría")</f>
        <v>0</v>
      </c>
      <c r="F137" s="23">
        <f>COUNTIFS(Tabla2[Tipo de Movilidad],"Intercambio*",Tabla2[Universidad KPIs],'Utilización Convenios'!$C137,Tabla2[Año],'Utilización Convenios'!E$129,Tabla2[Nivel Nominación],"Postgraduate / Master")</f>
        <v>0</v>
      </c>
      <c r="G137" s="22">
        <f>COUNTIFS(Tabla1[Tipo de Movilidad],"Intercambio*",Tabla1[Universidad KPIs],'Utilización Convenios'!$C137,Tabla1[Año de Movilidad],'Utilización Convenios'!G$3,Tabla1[Nivel],"Maestría")</f>
        <v>0</v>
      </c>
      <c r="H137" s="23">
        <f>COUNTIFS(Tabla2[Tipo de Movilidad],"Intercambio*",Tabla2[Universidad KPIs],'Utilización Convenios'!$C137,Tabla2[Año],'Utilización Convenios'!G$129,Tabla2[Nivel Nominación],"Postgraduate / Master")</f>
        <v>0</v>
      </c>
      <c r="I137" s="22">
        <f>COUNTIFS(Tabla1[Tipo de Movilidad],"Intercambio*",Tabla1[Universidad KPIs],'Utilización Convenios'!$C137,Tabla1[Año de Movilidad],'Utilización Convenios'!I$3,Tabla1[Nivel],"Maestría")</f>
        <v>0</v>
      </c>
      <c r="J137" s="23">
        <f>COUNTIFS(Tabla2[Tipo de Movilidad],"Intercambio*",Tabla2[Universidad KPIs],'Utilización Convenios'!$C137,Tabla2[Año],'Utilización Convenios'!I$129,Tabla2[Nivel Nominación],"Postgraduate / Master")</f>
        <v>0</v>
      </c>
      <c r="K137" s="22">
        <f>COUNTIFS(Tabla1[Tipo de Movilidad],"Intercambio*",Tabla1[Universidad KPIs],'Utilización Convenios'!$C137,Tabla1[Año de Movilidad],'Utilización Convenios'!K$3,Tabla1[Nivel],"Maestría")</f>
        <v>0</v>
      </c>
      <c r="L137" s="23">
        <f>COUNTIFS(Tabla2[Tipo de Movilidad],"Intercambio*",Tabla2[Universidad KPIs],'Utilización Convenios'!$C137,Tabla2[Año],'Utilización Convenios'!K$129,Tabla2[Nivel Nominación],"Postgraduate / Master")</f>
        <v>1</v>
      </c>
      <c r="M137" s="22">
        <f>COUNTIFS(Tabla1[Tipo de Movilidad],"Intercambio*",Tabla1[Universidad KPIs],'Utilización Convenios'!$C137,Tabla1[Año de Movilidad],'Utilización Convenios'!M$3,Tabla1[Nivel],"Maestría")</f>
        <v>0</v>
      </c>
      <c r="N137" s="57">
        <f>COUNTIFS(Tabla2[Tipo de Movilidad],"Intercambio*",Tabla2[Universidad KPIs],'Utilización Convenios'!$C137,Tabla2[Año],'Utilización Convenios'!M$129,Tabla2[Nivel Nominación],"Postgraduate / Master")</f>
        <v>0</v>
      </c>
      <c r="O137" s="22">
        <f>COUNTIFS(Tabla1[Tipo de Movilidad],"Intercambio*",Tabla1[Universidad KPIs],'Utilización Convenios'!$C137,Tabla1[Año de Movilidad],'Utilización Convenios'!O$3,Tabla1[Nivel],"Maestría")</f>
        <v>0</v>
      </c>
      <c r="P137" s="57">
        <f>COUNTIFS(Tabla2[Tipo de Movilidad],"Intercambio*",Tabla2[Universidad KPIs],'Utilización Convenios'!$C137,Tabla2[Año],'Utilización Convenios'!O$129,Tabla2[Nivel Nominación],"Postgraduate / Master")</f>
        <v>0</v>
      </c>
      <c r="Q137" s="73">
        <f t="shared" si="7"/>
        <v>0</v>
      </c>
      <c r="R137" s="74">
        <f t="shared" si="7"/>
        <v>1</v>
      </c>
    </row>
    <row r="138" spans="2:18">
      <c r="B138" s="248"/>
      <c r="C138" s="22" t="s">
        <v>64</v>
      </c>
      <c r="D138" s="23" t="s">
        <v>65</v>
      </c>
      <c r="E138" s="22">
        <f>COUNTIFS(Tabla1[Tipo de Movilidad],"Intercambio*",Tabla1[Universidad KPIs],'Utilización Convenios'!$C138,Tabla1[Año de Movilidad],'Utilización Convenios'!E$3,Tabla1[Nivel],"Maestría")</f>
        <v>0</v>
      </c>
      <c r="F138" s="23">
        <f>COUNTIFS(Tabla2[Tipo de Movilidad],"Intercambio*",Tabla2[Universidad KPIs],'Utilización Convenios'!$C138,Tabla2[Año],'Utilización Convenios'!E$129,Tabla2[Nivel Nominación],"Postgraduate / Master")</f>
        <v>0</v>
      </c>
      <c r="G138" s="22">
        <f>COUNTIFS(Tabla1[Tipo de Movilidad],"Intercambio*",Tabla1[Universidad KPIs],'Utilización Convenios'!$C138,Tabla1[Año de Movilidad],'Utilización Convenios'!G$3,Tabla1[Nivel],"Maestría")</f>
        <v>0</v>
      </c>
      <c r="H138" s="23">
        <f>COUNTIFS(Tabla2[Tipo de Movilidad],"Intercambio*",Tabla2[Universidad KPIs],'Utilización Convenios'!$C138,Tabla2[Año],'Utilización Convenios'!G$129,Tabla2[Nivel Nominación],"Postgraduate / Master")</f>
        <v>0</v>
      </c>
      <c r="I138" s="22">
        <f>COUNTIFS(Tabla1[Tipo de Movilidad],"Intercambio*",Tabla1[Universidad KPIs],'Utilización Convenios'!$C138,Tabla1[Año de Movilidad],'Utilización Convenios'!I$3,Tabla1[Nivel],"Maestría")</f>
        <v>0</v>
      </c>
      <c r="J138" s="23">
        <f>COUNTIFS(Tabla2[Tipo de Movilidad],"Intercambio*",Tabla2[Universidad KPIs],'Utilización Convenios'!$C138,Tabla2[Año],'Utilización Convenios'!I$129,Tabla2[Nivel Nominación],"Postgraduate / Master")</f>
        <v>0</v>
      </c>
      <c r="K138" s="22">
        <f>COUNTIFS(Tabla1[Tipo de Movilidad],"Intercambio*",Tabla1[Universidad KPIs],'Utilización Convenios'!$C138,Tabla1[Año de Movilidad],'Utilización Convenios'!K$3,Tabla1[Nivel],"Maestría")</f>
        <v>0</v>
      </c>
      <c r="L138" s="23">
        <f>COUNTIFS(Tabla2[Tipo de Movilidad],"Intercambio*",Tabla2[Universidad KPIs],'Utilización Convenios'!$C138,Tabla2[Año],'Utilización Convenios'!K$129,Tabla2[Nivel Nominación],"Postgraduate / Master")</f>
        <v>0</v>
      </c>
      <c r="M138" s="22">
        <f>COUNTIFS(Tabla1[Tipo de Movilidad],"Intercambio*",Tabla1[Universidad KPIs],'Utilización Convenios'!$C138,Tabla1[Año de Movilidad],'Utilización Convenios'!M$3,Tabla1[Nivel],"Maestría")</f>
        <v>0</v>
      </c>
      <c r="N138" s="57">
        <f>COUNTIFS(Tabla2[Tipo de Movilidad],"Intercambio*",Tabla2[Universidad KPIs],'Utilización Convenios'!$C138,Tabla2[Año],'Utilización Convenios'!M$129,Tabla2[Nivel Nominación],"Postgraduate / Master")</f>
        <v>0</v>
      </c>
      <c r="O138" s="22">
        <f>COUNTIFS(Tabla1[Tipo de Movilidad],"Intercambio*",Tabla1[Universidad KPIs],'Utilización Convenios'!$C138,Tabla1[Año de Movilidad],'Utilización Convenios'!O$3,Tabla1[Nivel],"Maestría")</f>
        <v>0</v>
      </c>
      <c r="P138" s="57">
        <f>COUNTIFS(Tabla2[Tipo de Movilidad],"Intercambio*",Tabla2[Universidad KPIs],'Utilización Convenios'!$C138,Tabla2[Año],'Utilización Convenios'!O$129,Tabla2[Nivel Nominación],"Postgraduate / Master")</f>
        <v>0</v>
      </c>
      <c r="Q138" s="73">
        <f t="shared" si="7"/>
        <v>0</v>
      </c>
      <c r="R138" s="74">
        <f t="shared" si="7"/>
        <v>0</v>
      </c>
    </row>
    <row r="139" spans="2:18">
      <c r="B139" s="248"/>
      <c r="C139" s="22" t="s">
        <v>66</v>
      </c>
      <c r="D139" s="23" t="s">
        <v>57</v>
      </c>
      <c r="E139" s="22">
        <f>COUNTIFS(Tabla1[Tipo de Movilidad],"Intercambio*",Tabla1[Universidad KPIs],'Utilización Convenios'!$C139,Tabla1[Año de Movilidad],'Utilización Convenios'!E$3,Tabla1[Nivel],"Maestría")</f>
        <v>0</v>
      </c>
      <c r="F139" s="23">
        <f>COUNTIFS(Tabla2[Tipo de Movilidad],"Intercambio*",Tabla2[Universidad KPIs],'Utilización Convenios'!$C139,Tabla2[Año],'Utilización Convenios'!E$129,Tabla2[Nivel Nominación],"Postgraduate / Master")</f>
        <v>0</v>
      </c>
      <c r="G139" s="22">
        <f>COUNTIFS(Tabla1[Tipo de Movilidad],"Intercambio*",Tabla1[Universidad KPIs],'Utilización Convenios'!$C139,Tabla1[Año de Movilidad],'Utilización Convenios'!G$3,Tabla1[Nivel],"Maestría")</f>
        <v>0</v>
      </c>
      <c r="H139" s="23">
        <f>COUNTIFS(Tabla2[Tipo de Movilidad],"Intercambio*",Tabla2[Universidad KPIs],'Utilización Convenios'!$C139,Tabla2[Año],'Utilización Convenios'!G$129,Tabla2[Nivel Nominación],"Postgraduate / Master")</f>
        <v>0</v>
      </c>
      <c r="I139" s="22">
        <f>COUNTIFS(Tabla1[Tipo de Movilidad],"Intercambio*",Tabla1[Universidad KPIs],'Utilización Convenios'!$C139,Tabla1[Año de Movilidad],'Utilización Convenios'!I$3,Tabla1[Nivel],"Maestría")</f>
        <v>0</v>
      </c>
      <c r="J139" s="23">
        <f>COUNTIFS(Tabla2[Tipo de Movilidad],"Intercambio*",Tabla2[Universidad KPIs],'Utilización Convenios'!$C139,Tabla2[Año],'Utilización Convenios'!I$129,Tabla2[Nivel Nominación],"Postgraduate / Master")</f>
        <v>0</v>
      </c>
      <c r="K139" s="22">
        <f>COUNTIFS(Tabla1[Tipo de Movilidad],"Intercambio*",Tabla1[Universidad KPIs],'Utilización Convenios'!$C139,Tabla1[Año de Movilidad],'Utilización Convenios'!K$3,Tabla1[Nivel],"Maestría")</f>
        <v>0</v>
      </c>
      <c r="L139" s="23">
        <f>COUNTIFS(Tabla2[Tipo de Movilidad],"Intercambio*",Tabla2[Universidad KPIs],'Utilización Convenios'!$C139,Tabla2[Año],'Utilización Convenios'!K$129,Tabla2[Nivel Nominación],"Postgraduate / Master")</f>
        <v>0</v>
      </c>
      <c r="M139" s="22">
        <f>COUNTIFS(Tabla1[Tipo de Movilidad],"Intercambio*",Tabla1[Universidad KPIs],'Utilización Convenios'!$C139,Tabla1[Año de Movilidad],'Utilización Convenios'!M$3,Tabla1[Nivel],"Maestría")</f>
        <v>0</v>
      </c>
      <c r="N139" s="57">
        <f>COUNTIFS(Tabla2[Tipo de Movilidad],"Intercambio*",Tabla2[Universidad KPIs],'Utilización Convenios'!$C139,Tabla2[Año],'Utilización Convenios'!M$129,Tabla2[Nivel Nominación],"Postgraduate / Master")</f>
        <v>0</v>
      </c>
      <c r="O139" s="22">
        <f>COUNTIFS(Tabla1[Tipo de Movilidad],"Intercambio*",Tabla1[Universidad KPIs],'Utilización Convenios'!$C139,Tabla1[Año de Movilidad],'Utilización Convenios'!O$3,Tabla1[Nivel],"Maestría")</f>
        <v>0</v>
      </c>
      <c r="P139" s="57">
        <f>COUNTIFS(Tabla2[Tipo de Movilidad],"Intercambio*",Tabla2[Universidad KPIs],'Utilización Convenios'!$C139,Tabla2[Año],'Utilización Convenios'!O$129,Tabla2[Nivel Nominación],"Postgraduate / Master")</f>
        <v>0</v>
      </c>
      <c r="Q139" s="73">
        <f t="shared" si="7"/>
        <v>0</v>
      </c>
      <c r="R139" s="74">
        <f t="shared" si="7"/>
        <v>0</v>
      </c>
    </row>
    <row r="140" spans="2:18">
      <c r="B140" s="248"/>
      <c r="C140" s="22" t="s">
        <v>67</v>
      </c>
      <c r="D140" s="23" t="s">
        <v>57</v>
      </c>
      <c r="E140" s="22">
        <f>COUNTIFS(Tabla1[Tipo de Movilidad],"Intercambio*",Tabla1[Universidad KPIs],'Utilización Convenios'!$C140,Tabla1[Año de Movilidad],'Utilización Convenios'!E$3,Tabla1[Nivel],"Maestría")</f>
        <v>0</v>
      </c>
      <c r="F140" s="23">
        <f>COUNTIFS(Tabla2[Tipo de Movilidad],"Intercambio*",Tabla2[Universidad KPIs],'Utilización Convenios'!$C140,Tabla2[Año],'Utilización Convenios'!E$129,Tabla2[Nivel Nominación],"Postgraduate / Master")</f>
        <v>0</v>
      </c>
      <c r="G140" s="22">
        <f>COUNTIFS(Tabla1[Tipo de Movilidad],"Intercambio*",Tabla1[Universidad KPIs],'Utilización Convenios'!$C140,Tabla1[Año de Movilidad],'Utilización Convenios'!G$3,Tabla1[Nivel],"Maestría")</f>
        <v>0</v>
      </c>
      <c r="H140" s="23">
        <f>COUNTIFS(Tabla2[Tipo de Movilidad],"Intercambio*",Tabla2[Universidad KPIs],'Utilización Convenios'!$C140,Tabla2[Año],'Utilización Convenios'!G$129,Tabla2[Nivel Nominación],"Postgraduate / Master")</f>
        <v>0</v>
      </c>
      <c r="I140" s="22">
        <f>COUNTIFS(Tabla1[Tipo de Movilidad],"Intercambio*",Tabla1[Universidad KPIs],'Utilización Convenios'!$C140,Tabla1[Año de Movilidad],'Utilización Convenios'!I$3,Tabla1[Nivel],"Maestría")</f>
        <v>0</v>
      </c>
      <c r="J140" s="23">
        <f>COUNTIFS(Tabla2[Tipo de Movilidad],"Intercambio*",Tabla2[Universidad KPIs],'Utilización Convenios'!$C140,Tabla2[Año],'Utilización Convenios'!I$129,Tabla2[Nivel Nominación],"Postgraduate / Master")</f>
        <v>1</v>
      </c>
      <c r="K140" s="22">
        <f>COUNTIFS(Tabla1[Tipo de Movilidad],"Intercambio*",Tabla1[Universidad KPIs],'Utilización Convenios'!$C140,Tabla1[Año de Movilidad],'Utilización Convenios'!K$3,Tabla1[Nivel],"Maestría")</f>
        <v>0</v>
      </c>
      <c r="L140" s="23">
        <f>COUNTIFS(Tabla2[Tipo de Movilidad],"Intercambio*",Tabla2[Universidad KPIs],'Utilización Convenios'!$C140,Tabla2[Año],'Utilización Convenios'!K$129,Tabla2[Nivel Nominación],"Postgraduate / Master")</f>
        <v>0</v>
      </c>
      <c r="M140" s="22">
        <f>COUNTIFS(Tabla1[Tipo de Movilidad],"Intercambio*",Tabla1[Universidad KPIs],'Utilización Convenios'!$C140,Tabla1[Año de Movilidad],'Utilización Convenios'!M$3,Tabla1[Nivel],"Maestría")</f>
        <v>0</v>
      </c>
      <c r="N140" s="57">
        <f>COUNTIFS(Tabla2[Tipo de Movilidad],"Intercambio*",Tabla2[Universidad KPIs],'Utilización Convenios'!$C140,Tabla2[Año],'Utilización Convenios'!M$129,Tabla2[Nivel Nominación],"Postgraduate / Master")</f>
        <v>0</v>
      </c>
      <c r="O140" s="22">
        <f>COUNTIFS(Tabla1[Tipo de Movilidad],"Intercambio*",Tabla1[Universidad KPIs],'Utilización Convenios'!$C140,Tabla1[Año de Movilidad],'Utilización Convenios'!O$3,Tabla1[Nivel],"Maestría")</f>
        <v>0</v>
      </c>
      <c r="P140" s="57">
        <f>COUNTIFS(Tabla2[Tipo de Movilidad],"Intercambio*",Tabla2[Universidad KPIs],'Utilización Convenios'!$C140,Tabla2[Año],'Utilización Convenios'!O$129,Tabla2[Nivel Nominación],"Postgraduate / Master")</f>
        <v>0</v>
      </c>
      <c r="Q140" s="73">
        <f t="shared" si="7"/>
        <v>0</v>
      </c>
      <c r="R140" s="74">
        <f t="shared" si="7"/>
        <v>1</v>
      </c>
    </row>
    <row r="141" spans="2:18">
      <c r="B141" s="248"/>
      <c r="C141" s="22" t="s">
        <v>68</v>
      </c>
      <c r="D141" s="23" t="s">
        <v>69</v>
      </c>
      <c r="E141" s="22">
        <f>COUNTIFS(Tabla1[Tipo de Movilidad],"Intercambio*",Tabla1[Universidad KPIs],'Utilización Convenios'!$C141,Tabla1[Año de Movilidad],'Utilización Convenios'!E$3,Tabla1[Nivel],"Maestría")</f>
        <v>0</v>
      </c>
      <c r="F141" s="23">
        <f>COUNTIFS(Tabla2[Tipo de Movilidad],"Intercambio*",Tabla2[Universidad KPIs],'Utilización Convenios'!$C141,Tabla2[Año],'Utilización Convenios'!E$129,Tabla2[Nivel Nominación],"Postgraduate / Master")</f>
        <v>0</v>
      </c>
      <c r="G141" s="22">
        <f>COUNTIFS(Tabla1[Tipo de Movilidad],"Intercambio*",Tabla1[Universidad KPIs],'Utilización Convenios'!$C141,Tabla1[Año de Movilidad],'Utilización Convenios'!G$3,Tabla1[Nivel],"Maestría")</f>
        <v>0</v>
      </c>
      <c r="H141" s="23">
        <f>COUNTIFS(Tabla2[Tipo de Movilidad],"Intercambio*",Tabla2[Universidad KPIs],'Utilización Convenios'!$C141,Tabla2[Año],'Utilización Convenios'!G$129,Tabla2[Nivel Nominación],"Postgraduate / Master")</f>
        <v>0</v>
      </c>
      <c r="I141" s="22">
        <f>COUNTIFS(Tabla1[Tipo de Movilidad],"Intercambio*",Tabla1[Universidad KPIs],'Utilización Convenios'!$C141,Tabla1[Año de Movilidad],'Utilización Convenios'!I$3,Tabla1[Nivel],"Maestría")</f>
        <v>0</v>
      </c>
      <c r="J141" s="23">
        <f>COUNTIFS(Tabla2[Tipo de Movilidad],"Intercambio*",Tabla2[Universidad KPIs],'Utilización Convenios'!$C141,Tabla2[Año],'Utilización Convenios'!I$129,Tabla2[Nivel Nominación],"Postgraduate / Master")</f>
        <v>0</v>
      </c>
      <c r="K141" s="22">
        <f>COUNTIFS(Tabla1[Tipo de Movilidad],"Intercambio*",Tabla1[Universidad KPIs],'Utilización Convenios'!$C141,Tabla1[Año de Movilidad],'Utilización Convenios'!K$3,Tabla1[Nivel],"Maestría")</f>
        <v>0</v>
      </c>
      <c r="L141" s="23">
        <f>COUNTIFS(Tabla2[Tipo de Movilidad],"Intercambio*",Tabla2[Universidad KPIs],'Utilización Convenios'!$C141,Tabla2[Año],'Utilización Convenios'!K$129,Tabla2[Nivel Nominación],"Postgraduate / Master")</f>
        <v>1</v>
      </c>
      <c r="M141" s="22">
        <f>COUNTIFS(Tabla1[Tipo de Movilidad],"Intercambio*",Tabla1[Universidad KPIs],'Utilización Convenios'!$C141,Tabla1[Año de Movilidad],'Utilización Convenios'!M$3,Tabla1[Nivel],"Maestría")</f>
        <v>0</v>
      </c>
      <c r="N141" s="57">
        <f>COUNTIFS(Tabla2[Tipo de Movilidad],"Intercambio*",Tabla2[Universidad KPIs],'Utilización Convenios'!$C141,Tabla2[Año],'Utilización Convenios'!M$129,Tabla2[Nivel Nominación],"Postgraduate / Master")</f>
        <v>0</v>
      </c>
      <c r="O141" s="22">
        <f>COUNTIFS(Tabla1[Tipo de Movilidad],"Intercambio*",Tabla1[Universidad KPIs],'Utilización Convenios'!$C141,Tabla1[Año de Movilidad],'Utilización Convenios'!O$3,Tabla1[Nivel],"Maestría")</f>
        <v>0</v>
      </c>
      <c r="P141" s="57">
        <f>COUNTIFS(Tabla2[Tipo de Movilidad],"Intercambio*",Tabla2[Universidad KPIs],'Utilización Convenios'!$C141,Tabla2[Año],'Utilización Convenios'!O$129,Tabla2[Nivel Nominación],"Postgraduate / Master")</f>
        <v>0</v>
      </c>
      <c r="Q141" s="73">
        <f t="shared" si="7"/>
        <v>0</v>
      </c>
      <c r="R141" s="74">
        <f t="shared" si="7"/>
        <v>1</v>
      </c>
    </row>
    <row r="142" spans="2:18">
      <c r="B142" s="248"/>
      <c r="C142" s="22" t="s">
        <v>70</v>
      </c>
      <c r="D142" s="23" t="s">
        <v>57</v>
      </c>
      <c r="E142" s="22">
        <f>COUNTIFS(Tabla1[Tipo de Movilidad],"Intercambio*",Tabla1[Universidad KPIs],'Utilización Convenios'!$C142,Tabla1[Año de Movilidad],'Utilización Convenios'!E$3,Tabla1[Nivel],"Maestría")</f>
        <v>0</v>
      </c>
      <c r="F142" s="23">
        <f>COUNTIFS(Tabla2[Tipo de Movilidad],"Intercambio*",Tabla2[Universidad KPIs],'Utilización Convenios'!$C142,Tabla2[Año],'Utilización Convenios'!E$129,Tabla2[Nivel Nominación],"Postgraduate / Master")</f>
        <v>2</v>
      </c>
      <c r="G142" s="22">
        <f>COUNTIFS(Tabla1[Tipo de Movilidad],"Intercambio*",Tabla1[Universidad KPIs],'Utilización Convenios'!$C142,Tabla1[Año de Movilidad],'Utilización Convenios'!G$3,Tabla1[Nivel],"Maestría")</f>
        <v>0</v>
      </c>
      <c r="H142" s="23">
        <f>COUNTIFS(Tabla2[Tipo de Movilidad],"Intercambio*",Tabla2[Universidad KPIs],'Utilización Convenios'!$C142,Tabla2[Año],'Utilización Convenios'!G$129,Tabla2[Nivel Nominación],"Postgraduate / Master")</f>
        <v>4</v>
      </c>
      <c r="I142" s="22">
        <f>COUNTIFS(Tabla1[Tipo de Movilidad],"Intercambio*",Tabla1[Universidad KPIs],'Utilización Convenios'!$C142,Tabla1[Año de Movilidad],'Utilización Convenios'!I$3,Tabla1[Nivel],"Maestría")</f>
        <v>0</v>
      </c>
      <c r="J142" s="23">
        <f>COUNTIFS(Tabla2[Tipo de Movilidad],"Intercambio*",Tabla2[Universidad KPIs],'Utilización Convenios'!$C142,Tabla2[Año],'Utilización Convenios'!I$129,Tabla2[Nivel Nominación],"Postgraduate / Master")</f>
        <v>3</v>
      </c>
      <c r="K142" s="22">
        <f>COUNTIFS(Tabla1[Tipo de Movilidad],"Intercambio*",Tabla1[Universidad KPIs],'Utilización Convenios'!$C142,Tabla1[Año de Movilidad],'Utilización Convenios'!K$3,Tabla1[Nivel],"Maestría")</f>
        <v>0</v>
      </c>
      <c r="L142" s="23">
        <f>COUNTIFS(Tabla2[Tipo de Movilidad],"Intercambio*",Tabla2[Universidad KPIs],'Utilización Convenios'!$C142,Tabla2[Año],'Utilización Convenios'!K$129,Tabla2[Nivel Nominación],"Postgraduate / Master")</f>
        <v>2</v>
      </c>
      <c r="M142" s="22">
        <f>COUNTIFS(Tabla1[Tipo de Movilidad],"Intercambio*",Tabla1[Universidad KPIs],'Utilización Convenios'!$C142,Tabla1[Año de Movilidad],'Utilización Convenios'!M$3,Tabla1[Nivel],"Maestría")</f>
        <v>0</v>
      </c>
      <c r="N142" s="57">
        <f>COUNTIFS(Tabla2[Tipo de Movilidad],"Intercambio*",Tabla2[Universidad KPIs],'Utilización Convenios'!$C142,Tabla2[Año],'Utilización Convenios'!M$129,Tabla2[Nivel Nominación],"Postgraduate / Master")</f>
        <v>2</v>
      </c>
      <c r="O142" s="22">
        <f>COUNTIFS(Tabla1[Tipo de Movilidad],"Intercambio*",Tabla1[Universidad KPIs],'Utilización Convenios'!$C142,Tabla1[Año de Movilidad],'Utilización Convenios'!O$3,Tabla1[Nivel],"Maestría")</f>
        <v>0</v>
      </c>
      <c r="P142" s="57">
        <f>COUNTIFS(Tabla2[Tipo de Movilidad],"Intercambio*",Tabla2[Universidad KPIs],'Utilización Convenios'!$C142,Tabla2[Año],'Utilización Convenios'!O$129,Tabla2[Nivel Nominación],"Postgraduate / Master")</f>
        <v>0</v>
      </c>
      <c r="Q142" s="73">
        <f t="shared" si="7"/>
        <v>0</v>
      </c>
      <c r="R142" s="74">
        <f t="shared" si="7"/>
        <v>13</v>
      </c>
    </row>
    <row r="143" spans="2:18">
      <c r="B143" s="248"/>
      <c r="C143" s="22" t="s">
        <v>71</v>
      </c>
      <c r="D143" s="23" t="s">
        <v>57</v>
      </c>
      <c r="E143" s="22">
        <f>COUNTIFS(Tabla1[Tipo de Movilidad],"Intercambio*",Tabla1[Universidad KPIs],'Utilización Convenios'!$C143,Tabla1[Año de Movilidad],'Utilización Convenios'!E$3,Tabla1[Nivel],"Maestría")</f>
        <v>0</v>
      </c>
      <c r="F143" s="23">
        <f>COUNTIFS(Tabla2[Tipo de Movilidad],"Intercambio*",Tabla2[Universidad KPIs],'Utilización Convenios'!$C143,Tabla2[Año],'Utilización Convenios'!E$129,Tabla2[Nivel Nominación],"Postgraduate / Master")</f>
        <v>0</v>
      </c>
      <c r="G143" s="22">
        <f>COUNTIFS(Tabla1[Tipo de Movilidad],"Intercambio*",Tabla1[Universidad KPIs],'Utilización Convenios'!$C143,Tabla1[Año de Movilidad],'Utilización Convenios'!G$3,Tabla1[Nivel],"Maestría")</f>
        <v>0</v>
      </c>
      <c r="H143" s="23">
        <f>COUNTIFS(Tabla2[Tipo de Movilidad],"Intercambio*",Tabla2[Universidad KPIs],'Utilización Convenios'!$C143,Tabla2[Año],'Utilización Convenios'!G$129,Tabla2[Nivel Nominación],"Postgraduate / Master")</f>
        <v>1</v>
      </c>
      <c r="I143" s="22">
        <f>COUNTIFS(Tabla1[Tipo de Movilidad],"Intercambio*",Tabla1[Universidad KPIs],'Utilización Convenios'!$C143,Tabla1[Año de Movilidad],'Utilización Convenios'!I$3,Tabla1[Nivel],"Maestría")</f>
        <v>0</v>
      </c>
      <c r="J143" s="23">
        <f>COUNTIFS(Tabla2[Tipo de Movilidad],"Intercambio*",Tabla2[Universidad KPIs],'Utilización Convenios'!$C143,Tabla2[Año],'Utilización Convenios'!I$129,Tabla2[Nivel Nominación],"Postgraduate / Master")</f>
        <v>3</v>
      </c>
      <c r="K143" s="22">
        <f>COUNTIFS(Tabla1[Tipo de Movilidad],"Intercambio*",Tabla1[Universidad KPIs],'Utilización Convenios'!$C143,Tabla1[Año de Movilidad],'Utilización Convenios'!K$3,Tabla1[Nivel],"Maestría")</f>
        <v>0</v>
      </c>
      <c r="L143" s="23">
        <f>COUNTIFS(Tabla2[Tipo de Movilidad],"Intercambio*",Tabla2[Universidad KPIs],'Utilización Convenios'!$C143,Tabla2[Año],'Utilización Convenios'!K$129,Tabla2[Nivel Nominación],"Postgraduate / Master")</f>
        <v>3</v>
      </c>
      <c r="M143" s="22">
        <f>COUNTIFS(Tabla1[Tipo de Movilidad],"Intercambio*",Tabla1[Universidad KPIs],'Utilización Convenios'!$C143,Tabla1[Año de Movilidad],'Utilización Convenios'!M$3,Tabla1[Nivel],"Maestría")</f>
        <v>0</v>
      </c>
      <c r="N143" s="57">
        <f>COUNTIFS(Tabla2[Tipo de Movilidad],"Intercambio*",Tabla2[Universidad KPIs],'Utilización Convenios'!$C143,Tabla2[Año],'Utilización Convenios'!M$129,Tabla2[Nivel Nominación],"Postgraduate / Master")</f>
        <v>3</v>
      </c>
      <c r="O143" s="22">
        <f>COUNTIFS(Tabla1[Tipo de Movilidad],"Intercambio*",Tabla1[Universidad KPIs],'Utilización Convenios'!$C143,Tabla1[Año de Movilidad],'Utilización Convenios'!O$3,Tabla1[Nivel],"Maestría")</f>
        <v>0</v>
      </c>
      <c r="P143" s="57">
        <f>COUNTIFS(Tabla2[Tipo de Movilidad],"Intercambio*",Tabla2[Universidad KPIs],'Utilización Convenios'!$C143,Tabla2[Año],'Utilización Convenios'!O$129,Tabla2[Nivel Nominación],"Postgraduate / Master")</f>
        <v>2</v>
      </c>
      <c r="Q143" s="73">
        <f t="shared" si="7"/>
        <v>0</v>
      </c>
      <c r="R143" s="74">
        <f t="shared" si="7"/>
        <v>12</v>
      </c>
    </row>
    <row r="144" spans="2:18">
      <c r="B144" s="248"/>
      <c r="C144" s="22" t="s">
        <v>72</v>
      </c>
      <c r="D144" s="23" t="s">
        <v>57</v>
      </c>
      <c r="E144" s="22">
        <f>COUNTIFS(Tabla1[Tipo de Movilidad],"Intercambio*",Tabla1[Universidad KPIs],'Utilización Convenios'!$C144,Tabla1[Año de Movilidad],'Utilización Convenios'!E$3,Tabla1[Nivel],"Maestría")</f>
        <v>0</v>
      </c>
      <c r="F144" s="23">
        <f>COUNTIFS(Tabla2[Tipo de Movilidad],"Intercambio*",Tabla2[Universidad KPIs],'Utilización Convenios'!$C144,Tabla2[Año],'Utilización Convenios'!E$129,Tabla2[Nivel Nominación],"Postgraduate / Master")</f>
        <v>3</v>
      </c>
      <c r="G144" s="22">
        <f>COUNTIFS(Tabla1[Tipo de Movilidad],"Intercambio*",Tabla1[Universidad KPIs],'Utilización Convenios'!$C144,Tabla1[Año de Movilidad],'Utilización Convenios'!G$3,Tabla1[Nivel],"Maestría")</f>
        <v>0</v>
      </c>
      <c r="H144" s="23">
        <f>COUNTIFS(Tabla2[Tipo de Movilidad],"Intercambio*",Tabla2[Universidad KPIs],'Utilización Convenios'!$C144,Tabla2[Año],'Utilización Convenios'!G$129,Tabla2[Nivel Nominación],"Postgraduate / Master")</f>
        <v>3</v>
      </c>
      <c r="I144" s="22">
        <f>COUNTIFS(Tabla1[Tipo de Movilidad],"Intercambio*",Tabla1[Universidad KPIs],'Utilización Convenios'!$C144,Tabla1[Año de Movilidad],'Utilización Convenios'!I$3,Tabla1[Nivel],"Maestría")</f>
        <v>2</v>
      </c>
      <c r="J144" s="23">
        <f>COUNTIFS(Tabla2[Tipo de Movilidad],"Intercambio*",Tabla2[Universidad KPIs],'Utilización Convenios'!$C144,Tabla2[Año],'Utilización Convenios'!I$129,Tabla2[Nivel Nominación],"Postgraduate / Master")</f>
        <v>1</v>
      </c>
      <c r="K144" s="22">
        <f>COUNTIFS(Tabla1[Tipo de Movilidad],"Intercambio*",Tabla1[Universidad KPIs],'Utilización Convenios'!$C144,Tabla1[Año de Movilidad],'Utilización Convenios'!K$3,Tabla1[Nivel],"Maestría")</f>
        <v>0</v>
      </c>
      <c r="L144" s="23">
        <f>COUNTIFS(Tabla2[Tipo de Movilidad],"Intercambio*",Tabla2[Universidad KPIs],'Utilización Convenios'!$C144,Tabla2[Año],'Utilización Convenios'!K$129,Tabla2[Nivel Nominación],"Postgraduate / Master")</f>
        <v>0</v>
      </c>
      <c r="M144" s="22">
        <f>COUNTIFS(Tabla1[Tipo de Movilidad],"Intercambio*",Tabla1[Universidad KPIs],'Utilización Convenios'!$C144,Tabla1[Año de Movilidad],'Utilización Convenios'!M$3,Tabla1[Nivel],"Maestría")</f>
        <v>0</v>
      </c>
      <c r="N144" s="57">
        <f>COUNTIFS(Tabla2[Tipo de Movilidad],"Intercambio*",Tabla2[Universidad KPIs],'Utilización Convenios'!$C144,Tabla2[Año],'Utilización Convenios'!M$129,Tabla2[Nivel Nominación],"Postgraduate / Master")</f>
        <v>4</v>
      </c>
      <c r="O144" s="22">
        <f>COUNTIFS(Tabla1[Tipo de Movilidad],"Intercambio*",Tabla1[Universidad KPIs],'Utilización Convenios'!$C144,Tabla1[Año de Movilidad],'Utilización Convenios'!O$3,Tabla1[Nivel],"Maestría")</f>
        <v>0</v>
      </c>
      <c r="P144" s="57">
        <f>COUNTIFS(Tabla2[Tipo de Movilidad],"Intercambio*",Tabla2[Universidad KPIs],'Utilización Convenios'!$C144,Tabla2[Año],'Utilización Convenios'!O$129,Tabla2[Nivel Nominación],"Postgraduate / Master")</f>
        <v>0</v>
      </c>
      <c r="Q144" s="73">
        <f t="shared" si="7"/>
        <v>2</v>
      </c>
      <c r="R144" s="74">
        <f t="shared" si="7"/>
        <v>11</v>
      </c>
    </row>
    <row r="145" spans="2:18">
      <c r="B145" s="248"/>
      <c r="C145" s="22" t="s">
        <v>73</v>
      </c>
      <c r="D145" s="23" t="s">
        <v>74</v>
      </c>
      <c r="E145" s="22">
        <f>COUNTIFS(Tabla1[Tipo de Movilidad],"Intercambio*",Tabla1[Universidad KPIs],'Utilización Convenios'!$C145,Tabla1[Año de Movilidad],'Utilización Convenios'!E$3,Tabla1[Nivel],"Maestría")</f>
        <v>0</v>
      </c>
      <c r="F145" s="23">
        <f>COUNTIFS(Tabla2[Tipo de Movilidad],"Intercambio*",Tabla2[Universidad KPIs],'Utilización Convenios'!$C145,Tabla2[Año],'Utilización Convenios'!E$129,Tabla2[Nivel Nominación],"Postgraduate / Master")</f>
        <v>0</v>
      </c>
      <c r="G145" s="22">
        <f>COUNTIFS(Tabla1[Tipo de Movilidad],"Intercambio*",Tabla1[Universidad KPIs],'Utilización Convenios'!$C145,Tabla1[Año de Movilidad],'Utilización Convenios'!G$3,Tabla1[Nivel],"Maestría")</f>
        <v>0</v>
      </c>
      <c r="H145" s="23">
        <f>COUNTIFS(Tabla2[Tipo de Movilidad],"Intercambio*",Tabla2[Universidad KPIs],'Utilización Convenios'!$C145,Tabla2[Año],'Utilización Convenios'!G$129,Tabla2[Nivel Nominación],"Postgraduate / Master")</f>
        <v>0</v>
      </c>
      <c r="I145" s="22">
        <f>COUNTIFS(Tabla1[Tipo de Movilidad],"Intercambio*",Tabla1[Universidad KPIs],'Utilización Convenios'!$C145,Tabla1[Año de Movilidad],'Utilización Convenios'!I$3,Tabla1[Nivel],"Maestría")</f>
        <v>0</v>
      </c>
      <c r="J145" s="23">
        <f>COUNTIFS(Tabla2[Tipo de Movilidad],"Intercambio*",Tabla2[Universidad KPIs],'Utilización Convenios'!$C145,Tabla2[Año],'Utilización Convenios'!I$129,Tabla2[Nivel Nominación],"Postgraduate / Master")</f>
        <v>0</v>
      </c>
      <c r="K145" s="22">
        <f>COUNTIFS(Tabla1[Tipo de Movilidad],"Intercambio*",Tabla1[Universidad KPIs],'Utilización Convenios'!$C145,Tabla1[Año de Movilidad],'Utilización Convenios'!K$3,Tabla1[Nivel],"Maestría")</f>
        <v>0</v>
      </c>
      <c r="L145" s="23">
        <f>COUNTIFS(Tabla2[Tipo de Movilidad],"Intercambio*",Tabla2[Universidad KPIs],'Utilización Convenios'!$C145,Tabla2[Año],'Utilización Convenios'!K$129,Tabla2[Nivel Nominación],"Postgraduate / Master")</f>
        <v>0</v>
      </c>
      <c r="M145" s="22">
        <f>COUNTIFS(Tabla1[Tipo de Movilidad],"Intercambio*",Tabla1[Universidad KPIs],'Utilización Convenios'!$C145,Tabla1[Año de Movilidad],'Utilización Convenios'!M$3,Tabla1[Nivel],"Maestría")</f>
        <v>0</v>
      </c>
      <c r="N145" s="57">
        <f>COUNTIFS(Tabla2[Tipo de Movilidad],"Intercambio*",Tabla2[Universidad KPIs],'Utilización Convenios'!$C145,Tabla2[Año],'Utilización Convenios'!M$129,Tabla2[Nivel Nominación],"Postgraduate / Master")</f>
        <v>1</v>
      </c>
      <c r="O145" s="22">
        <f>COUNTIFS(Tabla1[Tipo de Movilidad],"Intercambio*",Tabla1[Universidad KPIs],'Utilización Convenios'!$C145,Tabla1[Año de Movilidad],'Utilización Convenios'!O$3,Tabla1[Nivel],"Maestría")</f>
        <v>0</v>
      </c>
      <c r="P145" s="57">
        <f>COUNTIFS(Tabla2[Tipo de Movilidad],"Intercambio*",Tabla2[Universidad KPIs],'Utilización Convenios'!$C145,Tabla2[Año],'Utilización Convenios'!O$129,Tabla2[Nivel Nominación],"Postgraduate / Master")</f>
        <v>0</v>
      </c>
      <c r="Q145" s="73">
        <f t="shared" si="7"/>
        <v>0</v>
      </c>
      <c r="R145" s="74">
        <f t="shared" si="7"/>
        <v>1</v>
      </c>
    </row>
    <row r="146" spans="2:18">
      <c r="B146" s="248"/>
      <c r="C146" s="22" t="s">
        <v>75</v>
      </c>
      <c r="D146" s="23" t="s">
        <v>76</v>
      </c>
      <c r="E146" s="22">
        <f>COUNTIFS(Tabla1[Tipo de Movilidad],"Intercambio*",Tabla1[Universidad KPIs],'Utilización Convenios'!$C146,Tabla1[Año de Movilidad],'Utilización Convenios'!E$3,Tabla1[Nivel],"Maestría")</f>
        <v>0</v>
      </c>
      <c r="F146" s="23">
        <f>COUNTIFS(Tabla2[Tipo de Movilidad],"Intercambio*",Tabla2[Universidad KPIs],'Utilización Convenios'!$C146,Tabla2[Año],'Utilización Convenios'!E$129,Tabla2[Nivel Nominación],"Postgraduate / Master")</f>
        <v>1</v>
      </c>
      <c r="G146" s="22">
        <f>COUNTIFS(Tabla1[Tipo de Movilidad],"Intercambio*",Tabla1[Universidad KPIs],'Utilización Convenios'!$C146,Tabla1[Año de Movilidad],'Utilización Convenios'!G$3,Tabla1[Nivel],"Maestría")</f>
        <v>0</v>
      </c>
      <c r="H146" s="23">
        <f>COUNTIFS(Tabla2[Tipo de Movilidad],"Intercambio*",Tabla2[Universidad KPIs],'Utilización Convenios'!$C146,Tabla2[Año],'Utilización Convenios'!G$129,Tabla2[Nivel Nominación],"Postgraduate / Master")</f>
        <v>0</v>
      </c>
      <c r="I146" s="22">
        <f>COUNTIFS(Tabla1[Tipo de Movilidad],"Intercambio*",Tabla1[Universidad KPIs],'Utilización Convenios'!$C146,Tabla1[Año de Movilidad],'Utilización Convenios'!I$3,Tabla1[Nivel],"Maestría")</f>
        <v>1</v>
      </c>
      <c r="J146" s="23">
        <f>COUNTIFS(Tabla2[Tipo de Movilidad],"Intercambio*",Tabla2[Universidad KPIs],'Utilización Convenios'!$C146,Tabla2[Año],'Utilización Convenios'!I$129,Tabla2[Nivel Nominación],"Postgraduate / Master")</f>
        <v>0</v>
      </c>
      <c r="K146" s="22">
        <f>COUNTIFS(Tabla1[Tipo de Movilidad],"Intercambio*",Tabla1[Universidad KPIs],'Utilización Convenios'!$C146,Tabla1[Año de Movilidad],'Utilización Convenios'!K$3,Tabla1[Nivel],"Maestría")</f>
        <v>0</v>
      </c>
      <c r="L146" s="23">
        <f>COUNTIFS(Tabla2[Tipo de Movilidad],"Intercambio*",Tabla2[Universidad KPIs],'Utilización Convenios'!$C146,Tabla2[Año],'Utilización Convenios'!K$129,Tabla2[Nivel Nominación],"Postgraduate / Master")</f>
        <v>0</v>
      </c>
      <c r="M146" s="22">
        <f>COUNTIFS(Tabla1[Tipo de Movilidad],"Intercambio*",Tabla1[Universidad KPIs],'Utilización Convenios'!$C146,Tabla1[Año de Movilidad],'Utilización Convenios'!M$3,Tabla1[Nivel],"Maestría")</f>
        <v>0</v>
      </c>
      <c r="N146" s="57">
        <f>COUNTIFS(Tabla2[Tipo de Movilidad],"Intercambio*",Tabla2[Universidad KPIs],'Utilización Convenios'!$C146,Tabla2[Año],'Utilización Convenios'!M$129,Tabla2[Nivel Nominación],"Postgraduate / Master")</f>
        <v>0</v>
      </c>
      <c r="O146" s="22">
        <f>COUNTIFS(Tabla1[Tipo de Movilidad],"Intercambio*",Tabla1[Universidad KPIs],'Utilización Convenios'!$C146,Tabla1[Año de Movilidad],'Utilización Convenios'!O$3,Tabla1[Nivel],"Maestría")</f>
        <v>0</v>
      </c>
      <c r="P146" s="57">
        <f>COUNTIFS(Tabla2[Tipo de Movilidad],"Intercambio*",Tabla2[Universidad KPIs],'Utilización Convenios'!$C146,Tabla2[Año],'Utilización Convenios'!O$129,Tabla2[Nivel Nominación],"Postgraduate / Master")</f>
        <v>0</v>
      </c>
      <c r="Q146" s="73">
        <f t="shared" si="7"/>
        <v>1</v>
      </c>
      <c r="R146" s="74">
        <f t="shared" si="7"/>
        <v>1</v>
      </c>
    </row>
    <row r="147" spans="2:18">
      <c r="B147" s="248"/>
      <c r="C147" s="22" t="s">
        <v>77</v>
      </c>
      <c r="D147" s="23" t="s">
        <v>78</v>
      </c>
      <c r="E147" s="22">
        <f>COUNTIFS(Tabla1[Tipo de Movilidad],"Intercambio*",Tabla1[Universidad KPIs],'Utilización Convenios'!$C147,Tabla1[Año de Movilidad],'Utilización Convenios'!E$3,Tabla1[Nivel],"Maestría")</f>
        <v>0</v>
      </c>
      <c r="F147" s="23">
        <f>COUNTIFS(Tabla2[Tipo de Movilidad],"Intercambio*",Tabla2[Universidad KPIs],'Utilización Convenios'!$C147,Tabla2[Año],'Utilización Convenios'!E$129,Tabla2[Nivel Nominación],"Postgraduate / Master")</f>
        <v>0</v>
      </c>
      <c r="G147" s="22">
        <f>COUNTIFS(Tabla1[Tipo de Movilidad],"Intercambio*",Tabla1[Universidad KPIs],'Utilización Convenios'!$C147,Tabla1[Año de Movilidad],'Utilización Convenios'!G$3,Tabla1[Nivel],"Maestría")</f>
        <v>0</v>
      </c>
      <c r="H147" s="23">
        <f>COUNTIFS(Tabla2[Tipo de Movilidad],"Intercambio*",Tabla2[Universidad KPIs],'Utilización Convenios'!$C147,Tabla2[Año],'Utilización Convenios'!G$129,Tabla2[Nivel Nominación],"Postgraduate / Master")</f>
        <v>0</v>
      </c>
      <c r="I147" s="22">
        <f>COUNTIFS(Tabla1[Tipo de Movilidad],"Intercambio*",Tabla1[Universidad KPIs],'Utilización Convenios'!$C147,Tabla1[Año de Movilidad],'Utilización Convenios'!I$3,Tabla1[Nivel],"Maestría")</f>
        <v>0</v>
      </c>
      <c r="J147" s="23">
        <f>COUNTIFS(Tabla2[Tipo de Movilidad],"Intercambio*",Tabla2[Universidad KPIs],'Utilización Convenios'!$C147,Tabla2[Año],'Utilización Convenios'!I$129,Tabla2[Nivel Nominación],"Postgraduate / Master")</f>
        <v>0</v>
      </c>
      <c r="K147" s="22">
        <f>COUNTIFS(Tabla1[Tipo de Movilidad],"Intercambio*",Tabla1[Universidad KPIs],'Utilización Convenios'!$C147,Tabla1[Año de Movilidad],'Utilización Convenios'!K$3,Tabla1[Nivel],"Maestría")</f>
        <v>0</v>
      </c>
      <c r="L147" s="23">
        <f>COUNTIFS(Tabla2[Tipo de Movilidad],"Intercambio*",Tabla2[Universidad KPIs],'Utilización Convenios'!$C147,Tabla2[Año],'Utilización Convenios'!K$129,Tabla2[Nivel Nominación],"Postgraduate / Master")</f>
        <v>0</v>
      </c>
      <c r="M147" s="22">
        <f>COUNTIFS(Tabla1[Tipo de Movilidad],"Intercambio*",Tabla1[Universidad KPIs],'Utilización Convenios'!$C147,Tabla1[Año de Movilidad],'Utilización Convenios'!M$3,Tabla1[Nivel],"Maestría")</f>
        <v>0</v>
      </c>
      <c r="N147" s="57">
        <f>COUNTIFS(Tabla2[Tipo de Movilidad],"Intercambio*",Tabla2[Universidad KPIs],'Utilización Convenios'!$C147,Tabla2[Año],'Utilización Convenios'!M$129,Tabla2[Nivel Nominación],"Postgraduate / Master")</f>
        <v>0</v>
      </c>
      <c r="O147" s="22">
        <f>COUNTIFS(Tabla1[Tipo de Movilidad],"Intercambio*",Tabla1[Universidad KPIs],'Utilización Convenios'!$C147,Tabla1[Año de Movilidad],'Utilización Convenios'!O$3,Tabla1[Nivel],"Maestría")</f>
        <v>0</v>
      </c>
      <c r="P147" s="57">
        <f>COUNTIFS(Tabla2[Tipo de Movilidad],"Intercambio*",Tabla2[Universidad KPIs],'Utilización Convenios'!$C147,Tabla2[Año],'Utilización Convenios'!O$129,Tabla2[Nivel Nominación],"Postgraduate / Master")</f>
        <v>0</v>
      </c>
      <c r="Q147" s="73">
        <f t="shared" si="7"/>
        <v>0</v>
      </c>
      <c r="R147" s="74">
        <f t="shared" si="7"/>
        <v>0</v>
      </c>
    </row>
    <row r="148" spans="2:18">
      <c r="B148" s="248"/>
      <c r="C148" s="22" t="s">
        <v>79</v>
      </c>
      <c r="D148" s="23" t="s">
        <v>57</v>
      </c>
      <c r="E148" s="22">
        <f>COUNTIFS(Tabla1[Tipo de Movilidad],"Intercambio*",Tabla1[Universidad KPIs],'Utilización Convenios'!$C148,Tabla1[Año de Movilidad],'Utilización Convenios'!E$3,Tabla1[Nivel],"Maestría")</f>
        <v>0</v>
      </c>
      <c r="F148" s="23">
        <f>COUNTIFS(Tabla2[Tipo de Movilidad],"Intercambio*",Tabla2[Universidad KPIs],'Utilización Convenios'!$C148,Tabla2[Año],'Utilización Convenios'!E$129,Tabla2[Nivel Nominación],"Postgraduate / Master")</f>
        <v>0</v>
      </c>
      <c r="G148" s="22">
        <f>COUNTIFS(Tabla1[Tipo de Movilidad],"Intercambio*",Tabla1[Universidad KPIs],'Utilización Convenios'!$C148,Tabla1[Año de Movilidad],'Utilización Convenios'!G$3,Tabla1[Nivel],"Maestría")</f>
        <v>0</v>
      </c>
      <c r="H148" s="23">
        <f>COUNTIFS(Tabla2[Tipo de Movilidad],"Intercambio*",Tabla2[Universidad KPIs],'Utilización Convenios'!$C148,Tabla2[Año],'Utilización Convenios'!G$129,Tabla2[Nivel Nominación],"Postgraduate / Master")</f>
        <v>2</v>
      </c>
      <c r="I148" s="22">
        <f>COUNTIFS(Tabla1[Tipo de Movilidad],"Intercambio*",Tabla1[Universidad KPIs],'Utilización Convenios'!$C148,Tabla1[Año de Movilidad],'Utilización Convenios'!I$3,Tabla1[Nivel],"Maestría")</f>
        <v>0</v>
      </c>
      <c r="J148" s="23">
        <f>COUNTIFS(Tabla2[Tipo de Movilidad],"Intercambio*",Tabla2[Universidad KPIs],'Utilización Convenios'!$C148,Tabla2[Año],'Utilización Convenios'!I$129,Tabla2[Nivel Nominación],"Postgraduate / Master")</f>
        <v>1</v>
      </c>
      <c r="K148" s="22">
        <f>COUNTIFS(Tabla1[Tipo de Movilidad],"Intercambio*",Tabla1[Universidad KPIs],'Utilización Convenios'!$C148,Tabla1[Año de Movilidad],'Utilización Convenios'!K$3,Tabla1[Nivel],"Maestría")</f>
        <v>0</v>
      </c>
      <c r="L148" s="23">
        <f>COUNTIFS(Tabla2[Tipo de Movilidad],"Intercambio*",Tabla2[Universidad KPIs],'Utilización Convenios'!$C148,Tabla2[Año],'Utilización Convenios'!K$129,Tabla2[Nivel Nominación],"Postgraduate / Master")</f>
        <v>2</v>
      </c>
      <c r="M148" s="22">
        <f>COUNTIFS(Tabla1[Tipo de Movilidad],"Intercambio*",Tabla1[Universidad KPIs],'Utilización Convenios'!$C148,Tabla1[Año de Movilidad],'Utilización Convenios'!M$3,Tabla1[Nivel],"Maestría")</f>
        <v>0</v>
      </c>
      <c r="N148" s="57">
        <f>COUNTIFS(Tabla2[Tipo de Movilidad],"Intercambio*",Tabla2[Universidad KPIs],'Utilización Convenios'!$C148,Tabla2[Año],'Utilización Convenios'!M$129,Tabla2[Nivel Nominación],"Postgraduate / Master")</f>
        <v>1</v>
      </c>
      <c r="O148" s="22">
        <f>COUNTIFS(Tabla1[Tipo de Movilidad],"Intercambio*",Tabla1[Universidad KPIs],'Utilización Convenios'!$C148,Tabla1[Año de Movilidad],'Utilización Convenios'!O$3,Tabla1[Nivel],"Maestría")</f>
        <v>0</v>
      </c>
      <c r="P148" s="57">
        <f>COUNTIFS(Tabla2[Tipo de Movilidad],"Intercambio*",Tabla2[Universidad KPIs],'Utilización Convenios'!$C148,Tabla2[Año],'Utilización Convenios'!O$129,Tabla2[Nivel Nominación],"Postgraduate / Master")</f>
        <v>0</v>
      </c>
      <c r="Q148" s="73">
        <f t="shared" si="7"/>
        <v>0</v>
      </c>
      <c r="R148" s="74">
        <f t="shared" si="7"/>
        <v>6</v>
      </c>
    </row>
    <row r="149" spans="2:18">
      <c r="B149" s="248"/>
      <c r="C149" s="22" t="s">
        <v>80</v>
      </c>
      <c r="D149" s="23" t="s">
        <v>81</v>
      </c>
      <c r="E149" s="22">
        <f>COUNTIFS(Tabla1[Tipo de Movilidad],"Intercambio*",Tabla1[Universidad KPIs],'Utilización Convenios'!$C149,Tabla1[Año de Movilidad],'Utilización Convenios'!E$3,Tabla1[Nivel],"Maestría")</f>
        <v>0</v>
      </c>
      <c r="F149" s="23">
        <f>COUNTIFS(Tabla2[Tipo de Movilidad],"Intercambio*",Tabla2[Universidad KPIs],'Utilización Convenios'!$C149,Tabla2[Año],'Utilización Convenios'!E$129,Tabla2[Nivel Nominación],"Postgraduate / Master")</f>
        <v>0</v>
      </c>
      <c r="G149" s="22">
        <f>COUNTIFS(Tabla1[Tipo de Movilidad],"Intercambio*",Tabla1[Universidad KPIs],'Utilización Convenios'!$C149,Tabla1[Año de Movilidad],'Utilización Convenios'!G$3,Tabla1[Nivel],"Maestría")</f>
        <v>0</v>
      </c>
      <c r="H149" s="23">
        <f>COUNTIFS(Tabla2[Tipo de Movilidad],"Intercambio*",Tabla2[Universidad KPIs],'Utilización Convenios'!$C149,Tabla2[Año],'Utilización Convenios'!G$129,Tabla2[Nivel Nominación],"Postgraduate / Master")</f>
        <v>0</v>
      </c>
      <c r="I149" s="22">
        <f>COUNTIFS(Tabla1[Tipo de Movilidad],"Intercambio*",Tabla1[Universidad KPIs],'Utilización Convenios'!$C149,Tabla1[Año de Movilidad],'Utilización Convenios'!I$3,Tabla1[Nivel],"Maestría")</f>
        <v>0</v>
      </c>
      <c r="J149" s="23">
        <f>COUNTIFS(Tabla2[Tipo de Movilidad],"Intercambio*",Tabla2[Universidad KPIs],'Utilización Convenios'!$C149,Tabla2[Año],'Utilización Convenios'!I$129,Tabla2[Nivel Nominación],"Postgraduate / Master")</f>
        <v>0</v>
      </c>
      <c r="K149" s="22">
        <f>COUNTIFS(Tabla1[Tipo de Movilidad],"Intercambio*",Tabla1[Universidad KPIs],'Utilización Convenios'!$C149,Tabla1[Año de Movilidad],'Utilización Convenios'!K$3,Tabla1[Nivel],"Maestría")</f>
        <v>0</v>
      </c>
      <c r="L149" s="23">
        <f>COUNTIFS(Tabla2[Tipo de Movilidad],"Intercambio*",Tabla2[Universidad KPIs],'Utilización Convenios'!$C149,Tabla2[Año],'Utilización Convenios'!K$129,Tabla2[Nivel Nominación],"Postgraduate / Master")</f>
        <v>0</v>
      </c>
      <c r="M149" s="22">
        <f>COUNTIFS(Tabla1[Tipo de Movilidad],"Intercambio*",Tabla1[Universidad KPIs],'Utilización Convenios'!$C149,Tabla1[Año de Movilidad],'Utilización Convenios'!M$3,Tabla1[Nivel],"Maestría")</f>
        <v>0</v>
      </c>
      <c r="N149" s="57">
        <f>COUNTIFS(Tabla2[Tipo de Movilidad],"Intercambio*",Tabla2[Universidad KPIs],'Utilización Convenios'!$C149,Tabla2[Año],'Utilización Convenios'!M$129,Tabla2[Nivel Nominación],"Postgraduate / Master")</f>
        <v>0</v>
      </c>
      <c r="O149" s="22">
        <f>COUNTIFS(Tabla1[Tipo de Movilidad],"Intercambio*",Tabla1[Universidad KPIs],'Utilización Convenios'!$C149,Tabla1[Año de Movilidad],'Utilización Convenios'!O$3,Tabla1[Nivel],"Maestría")</f>
        <v>0</v>
      </c>
      <c r="P149" s="57">
        <f>COUNTIFS(Tabla2[Tipo de Movilidad],"Intercambio*",Tabla2[Universidad KPIs],'Utilización Convenios'!$C149,Tabla2[Año],'Utilización Convenios'!O$129,Tabla2[Nivel Nominación],"Postgraduate / Master")</f>
        <v>0</v>
      </c>
      <c r="Q149" s="73">
        <f t="shared" si="7"/>
        <v>0</v>
      </c>
      <c r="R149" s="74">
        <f t="shared" si="7"/>
        <v>0</v>
      </c>
    </row>
    <row r="150" spans="2:18">
      <c r="B150" s="248"/>
      <c r="C150" s="22" t="s">
        <v>82</v>
      </c>
      <c r="D150" s="23" t="s">
        <v>74</v>
      </c>
      <c r="E150" s="22">
        <f>COUNTIFS(Tabla1[Tipo de Movilidad],"Intercambio*",Tabla1[Universidad KPIs],'Utilización Convenios'!$C150,Tabla1[Año de Movilidad],'Utilización Convenios'!E$3,Tabla1[Nivel],"Maestría")</f>
        <v>0</v>
      </c>
      <c r="F150" s="23">
        <f>COUNTIFS(Tabla2[Tipo de Movilidad],"Intercambio*",Tabla2[Universidad KPIs],'Utilización Convenios'!$C150,Tabla2[Año],'Utilización Convenios'!E$129,Tabla2[Nivel Nominación],"Postgraduate / Master")</f>
        <v>0</v>
      </c>
      <c r="G150" s="22">
        <f>COUNTIFS(Tabla1[Tipo de Movilidad],"Intercambio*",Tabla1[Universidad KPIs],'Utilización Convenios'!$C150,Tabla1[Año de Movilidad],'Utilización Convenios'!G$3,Tabla1[Nivel],"Maestría")</f>
        <v>0</v>
      </c>
      <c r="H150" s="23">
        <f>COUNTIFS(Tabla2[Tipo de Movilidad],"Intercambio*",Tabla2[Universidad KPIs],'Utilización Convenios'!$C150,Tabla2[Año],'Utilización Convenios'!G$129,Tabla2[Nivel Nominación],"Postgraduate / Master")</f>
        <v>0</v>
      </c>
      <c r="I150" s="22">
        <f>COUNTIFS(Tabla1[Tipo de Movilidad],"Intercambio*",Tabla1[Universidad KPIs],'Utilización Convenios'!$C150,Tabla1[Año de Movilidad],'Utilización Convenios'!I$3,Tabla1[Nivel],"Maestría")</f>
        <v>0</v>
      </c>
      <c r="J150" s="23">
        <f>COUNTIFS(Tabla2[Tipo de Movilidad],"Intercambio*",Tabla2[Universidad KPIs],'Utilización Convenios'!$C150,Tabla2[Año],'Utilización Convenios'!I$129,Tabla2[Nivel Nominación],"Postgraduate / Master")</f>
        <v>0</v>
      </c>
      <c r="K150" s="22">
        <f>COUNTIFS(Tabla1[Tipo de Movilidad],"Intercambio*",Tabla1[Universidad KPIs],'Utilización Convenios'!$C150,Tabla1[Año de Movilidad],'Utilización Convenios'!K$3,Tabla1[Nivel],"Maestría")</f>
        <v>0</v>
      </c>
      <c r="L150" s="23">
        <f>COUNTIFS(Tabla2[Tipo de Movilidad],"Intercambio*",Tabla2[Universidad KPIs],'Utilización Convenios'!$C150,Tabla2[Año],'Utilización Convenios'!K$129,Tabla2[Nivel Nominación],"Postgraduate / Master")</f>
        <v>0</v>
      </c>
      <c r="M150" s="22">
        <f>COUNTIFS(Tabla1[Tipo de Movilidad],"Intercambio*",Tabla1[Universidad KPIs],'Utilización Convenios'!$C150,Tabla1[Año de Movilidad],'Utilización Convenios'!M$3,Tabla1[Nivel],"Maestría")</f>
        <v>0</v>
      </c>
      <c r="N150" s="57">
        <f>COUNTIFS(Tabla2[Tipo de Movilidad],"Intercambio*",Tabla2[Universidad KPIs],'Utilización Convenios'!$C150,Tabla2[Año],'Utilización Convenios'!M$129,Tabla2[Nivel Nominación],"Postgraduate / Master")</f>
        <v>0</v>
      </c>
      <c r="O150" s="22">
        <f>COUNTIFS(Tabla1[Tipo de Movilidad],"Intercambio*",Tabla1[Universidad KPIs],'Utilización Convenios'!$C150,Tabla1[Año de Movilidad],'Utilización Convenios'!O$3,Tabla1[Nivel],"Maestría")</f>
        <v>0</v>
      </c>
      <c r="P150" s="57">
        <f>COUNTIFS(Tabla2[Tipo de Movilidad],"Intercambio*",Tabla2[Universidad KPIs],'Utilización Convenios'!$C150,Tabla2[Año],'Utilización Convenios'!O$129,Tabla2[Nivel Nominación],"Postgraduate / Master")</f>
        <v>0</v>
      </c>
      <c r="Q150" s="73">
        <f t="shared" si="7"/>
        <v>0</v>
      </c>
      <c r="R150" s="74">
        <f t="shared" si="7"/>
        <v>0</v>
      </c>
    </row>
    <row r="151" spans="2:18">
      <c r="B151" s="248"/>
      <c r="C151" s="22" t="s">
        <v>83</v>
      </c>
      <c r="D151" s="23" t="s">
        <v>57</v>
      </c>
      <c r="E151" s="22">
        <f>COUNTIFS(Tabla1[Tipo de Movilidad],"Intercambio*",Tabla1[Universidad KPIs],'Utilización Convenios'!$C151,Tabla1[Año de Movilidad],'Utilización Convenios'!E$3,Tabla1[Nivel],"Maestría")</f>
        <v>0</v>
      </c>
      <c r="F151" s="23">
        <f>COUNTIFS(Tabla2[Tipo de Movilidad],"Intercambio*",Tabla2[Universidad KPIs],'Utilización Convenios'!$C151,Tabla2[Año],'Utilización Convenios'!E$129,Tabla2[Nivel Nominación],"Postgraduate / Master")</f>
        <v>0</v>
      </c>
      <c r="G151" s="22">
        <f>COUNTIFS(Tabla1[Tipo de Movilidad],"Intercambio*",Tabla1[Universidad KPIs],'Utilización Convenios'!$C151,Tabla1[Año de Movilidad],'Utilización Convenios'!G$3,Tabla1[Nivel],"Maestría")</f>
        <v>0</v>
      </c>
      <c r="H151" s="23">
        <f>COUNTIFS(Tabla2[Tipo de Movilidad],"Intercambio*",Tabla2[Universidad KPIs],'Utilización Convenios'!$C151,Tabla2[Año],'Utilización Convenios'!G$129,Tabla2[Nivel Nominación],"Postgraduate / Master")</f>
        <v>0</v>
      </c>
      <c r="I151" s="22">
        <f>COUNTIFS(Tabla1[Tipo de Movilidad],"Intercambio*",Tabla1[Universidad KPIs],'Utilización Convenios'!$C151,Tabla1[Año de Movilidad],'Utilización Convenios'!I$3,Tabla1[Nivel],"Maestría")</f>
        <v>0</v>
      </c>
      <c r="J151" s="23">
        <f>COUNTIFS(Tabla2[Tipo de Movilidad],"Intercambio*",Tabla2[Universidad KPIs],'Utilización Convenios'!$C151,Tabla2[Año],'Utilización Convenios'!I$129,Tabla2[Nivel Nominación],"Postgraduate / Master")</f>
        <v>0</v>
      </c>
      <c r="K151" s="22">
        <f>COUNTIFS(Tabla1[Tipo de Movilidad],"Intercambio*",Tabla1[Universidad KPIs],'Utilización Convenios'!$C151,Tabla1[Año de Movilidad],'Utilización Convenios'!K$3,Tabla1[Nivel],"Maestría")</f>
        <v>0</v>
      </c>
      <c r="L151" s="23">
        <f>COUNTIFS(Tabla2[Tipo de Movilidad],"Intercambio*",Tabla2[Universidad KPIs],'Utilización Convenios'!$C151,Tabla2[Año],'Utilización Convenios'!K$129,Tabla2[Nivel Nominación],"Postgraduate / Master")</f>
        <v>2</v>
      </c>
      <c r="M151" s="22">
        <f>COUNTIFS(Tabla1[Tipo de Movilidad],"Intercambio*",Tabla1[Universidad KPIs],'Utilización Convenios'!$C151,Tabla1[Año de Movilidad],'Utilización Convenios'!M$3,Tabla1[Nivel],"Maestría")</f>
        <v>0</v>
      </c>
      <c r="N151" s="57">
        <f>COUNTIFS(Tabla2[Tipo de Movilidad],"Intercambio*",Tabla2[Universidad KPIs],'Utilización Convenios'!$C151,Tabla2[Año],'Utilización Convenios'!M$129,Tabla2[Nivel Nominación],"Postgraduate / Master")</f>
        <v>0</v>
      </c>
      <c r="O151" s="22">
        <f>COUNTIFS(Tabla1[Tipo de Movilidad],"Intercambio*",Tabla1[Universidad KPIs],'Utilización Convenios'!$C151,Tabla1[Año de Movilidad],'Utilización Convenios'!O$3,Tabla1[Nivel],"Maestría")</f>
        <v>0</v>
      </c>
      <c r="P151" s="57">
        <f>COUNTIFS(Tabla2[Tipo de Movilidad],"Intercambio*",Tabla2[Universidad KPIs],'Utilización Convenios'!$C151,Tabla2[Año],'Utilización Convenios'!O$129,Tabla2[Nivel Nominación],"Postgraduate / Master")</f>
        <v>0</v>
      </c>
      <c r="Q151" s="73">
        <f t="shared" si="7"/>
        <v>0</v>
      </c>
      <c r="R151" s="74">
        <f t="shared" si="7"/>
        <v>2</v>
      </c>
    </row>
    <row r="152" spans="2:18">
      <c r="B152" s="248"/>
      <c r="C152" s="22" t="s">
        <v>84</v>
      </c>
      <c r="D152" s="23" t="s">
        <v>57</v>
      </c>
      <c r="E152" s="22">
        <f>COUNTIFS(Tabla1[Tipo de Movilidad],"Intercambio*",Tabla1[Universidad KPIs],'Utilización Convenios'!$C152,Tabla1[Año de Movilidad],'Utilización Convenios'!E$3,Tabla1[Nivel],"Maestría")</f>
        <v>0</v>
      </c>
      <c r="F152" s="23">
        <f>COUNTIFS(Tabla2[Tipo de Movilidad],"Intercambio*",Tabla2[Universidad KPIs],'Utilización Convenios'!$C152,Tabla2[Año],'Utilización Convenios'!E$129,Tabla2[Nivel Nominación],"Postgraduate / Master")</f>
        <v>0</v>
      </c>
      <c r="G152" s="22">
        <f>COUNTIFS(Tabla1[Tipo de Movilidad],"Intercambio*",Tabla1[Universidad KPIs],'Utilización Convenios'!$C152,Tabla1[Año de Movilidad],'Utilización Convenios'!G$3,Tabla1[Nivel],"Maestría")</f>
        <v>0</v>
      </c>
      <c r="H152" s="23">
        <f>COUNTIFS(Tabla2[Tipo de Movilidad],"Intercambio*",Tabla2[Universidad KPIs],'Utilización Convenios'!$C152,Tabla2[Año],'Utilización Convenios'!G$129,Tabla2[Nivel Nominación],"Postgraduate / Master")</f>
        <v>0</v>
      </c>
      <c r="I152" s="22">
        <f>COUNTIFS(Tabla1[Tipo de Movilidad],"Intercambio*",Tabla1[Universidad KPIs],'Utilización Convenios'!$C152,Tabla1[Año de Movilidad],'Utilización Convenios'!I$3,Tabla1[Nivel],"Maestría")</f>
        <v>0</v>
      </c>
      <c r="J152" s="23">
        <f>COUNTIFS(Tabla2[Tipo de Movilidad],"Intercambio*",Tabla2[Universidad KPIs],'Utilización Convenios'!$C152,Tabla2[Año],'Utilización Convenios'!I$129,Tabla2[Nivel Nominación],"Postgraduate / Master")</f>
        <v>0</v>
      </c>
      <c r="K152" s="22">
        <f>COUNTIFS(Tabla1[Tipo de Movilidad],"Intercambio*",Tabla1[Universidad KPIs],'Utilización Convenios'!$C152,Tabla1[Año de Movilidad],'Utilización Convenios'!K$3,Tabla1[Nivel],"Maestría")</f>
        <v>0</v>
      </c>
      <c r="L152" s="23">
        <f>COUNTIFS(Tabla2[Tipo de Movilidad],"Intercambio*",Tabla2[Universidad KPIs],'Utilización Convenios'!$C152,Tabla2[Año],'Utilización Convenios'!K$129,Tabla2[Nivel Nominación],"Postgraduate / Master")</f>
        <v>0</v>
      </c>
      <c r="M152" s="22">
        <f>COUNTIFS(Tabla1[Tipo de Movilidad],"Intercambio*",Tabla1[Universidad KPIs],'Utilización Convenios'!$C152,Tabla1[Año de Movilidad],'Utilización Convenios'!M$3,Tabla1[Nivel],"Maestría")</f>
        <v>0</v>
      </c>
      <c r="N152" s="57">
        <f>COUNTIFS(Tabla2[Tipo de Movilidad],"Intercambio*",Tabla2[Universidad KPIs],'Utilización Convenios'!$C152,Tabla2[Año],'Utilización Convenios'!M$129,Tabla2[Nivel Nominación],"Postgraduate / Master")</f>
        <v>0</v>
      </c>
      <c r="O152" s="22">
        <f>COUNTIFS(Tabla1[Tipo de Movilidad],"Intercambio*",Tabla1[Universidad KPIs],'Utilización Convenios'!$C152,Tabla1[Año de Movilidad],'Utilización Convenios'!O$3,Tabla1[Nivel],"Maestría")</f>
        <v>0</v>
      </c>
      <c r="P152" s="57">
        <f>COUNTIFS(Tabla2[Tipo de Movilidad],"Intercambio*",Tabla2[Universidad KPIs],'Utilización Convenios'!$C152,Tabla2[Año],'Utilización Convenios'!O$129,Tabla2[Nivel Nominación],"Postgraduate / Master")</f>
        <v>0</v>
      </c>
      <c r="Q152" s="73">
        <f t="shared" si="7"/>
        <v>0</v>
      </c>
      <c r="R152" s="74">
        <f t="shared" si="7"/>
        <v>0</v>
      </c>
    </row>
    <row r="153" spans="2:18">
      <c r="B153" s="248"/>
      <c r="C153" s="22" t="s">
        <v>85</v>
      </c>
      <c r="D153" s="23" t="s">
        <v>69</v>
      </c>
      <c r="E153" s="22">
        <f>COUNTIFS(Tabla1[Tipo de Movilidad],"Intercambio*",Tabla1[Universidad KPIs],'Utilización Convenios'!$C153,Tabla1[Año de Movilidad],'Utilización Convenios'!E$3,Tabla1[Nivel],"Maestría")</f>
        <v>0</v>
      </c>
      <c r="F153" s="23">
        <f>COUNTIFS(Tabla2[Tipo de Movilidad],"Intercambio*",Tabla2[Universidad KPIs],'Utilización Convenios'!$C153,Tabla2[Año],'Utilización Convenios'!E$129,Tabla2[Nivel Nominación],"Postgraduate / Master")</f>
        <v>0</v>
      </c>
      <c r="G153" s="22">
        <f>COUNTIFS(Tabla1[Tipo de Movilidad],"Intercambio*",Tabla1[Universidad KPIs],'Utilización Convenios'!$C153,Tabla1[Año de Movilidad],'Utilización Convenios'!G$3,Tabla1[Nivel],"Maestría")</f>
        <v>0</v>
      </c>
      <c r="H153" s="23">
        <f>COUNTIFS(Tabla2[Tipo de Movilidad],"Intercambio*",Tabla2[Universidad KPIs],'Utilización Convenios'!$C153,Tabla2[Año],'Utilización Convenios'!G$129,Tabla2[Nivel Nominación],"Postgraduate / Master")</f>
        <v>0</v>
      </c>
      <c r="I153" s="22">
        <f>COUNTIFS(Tabla1[Tipo de Movilidad],"Intercambio*",Tabla1[Universidad KPIs],'Utilización Convenios'!$C153,Tabla1[Año de Movilidad],'Utilización Convenios'!I$3,Tabla1[Nivel],"Maestría")</f>
        <v>0</v>
      </c>
      <c r="J153" s="23">
        <f>COUNTIFS(Tabla2[Tipo de Movilidad],"Intercambio*",Tabla2[Universidad KPIs],'Utilización Convenios'!$C153,Tabla2[Año],'Utilización Convenios'!I$129,Tabla2[Nivel Nominación],"Postgraduate / Master")</f>
        <v>0</v>
      </c>
      <c r="K153" s="22">
        <f>COUNTIFS(Tabla1[Tipo de Movilidad],"Intercambio*",Tabla1[Universidad KPIs],'Utilización Convenios'!$C153,Tabla1[Año de Movilidad],'Utilización Convenios'!K$3,Tabla1[Nivel],"Maestría")</f>
        <v>0</v>
      </c>
      <c r="L153" s="23">
        <f>COUNTIFS(Tabla2[Tipo de Movilidad],"Intercambio*",Tabla2[Universidad KPIs],'Utilización Convenios'!$C153,Tabla2[Año],'Utilización Convenios'!K$129,Tabla2[Nivel Nominación],"Postgraduate / Master")</f>
        <v>0</v>
      </c>
      <c r="M153" s="22">
        <f>COUNTIFS(Tabla1[Tipo de Movilidad],"Intercambio*",Tabla1[Universidad KPIs],'Utilización Convenios'!$C153,Tabla1[Año de Movilidad],'Utilización Convenios'!M$3,Tabla1[Nivel],"Maestría")</f>
        <v>0</v>
      </c>
      <c r="N153" s="57">
        <f>COUNTIFS(Tabla2[Tipo de Movilidad],"Intercambio*",Tabla2[Universidad KPIs],'Utilización Convenios'!$C153,Tabla2[Año],'Utilización Convenios'!M$129,Tabla2[Nivel Nominación],"Postgraduate / Master")</f>
        <v>0</v>
      </c>
      <c r="O153" s="22">
        <f>COUNTIFS(Tabla1[Tipo de Movilidad],"Intercambio*",Tabla1[Universidad KPIs],'Utilización Convenios'!$C153,Tabla1[Año de Movilidad],'Utilización Convenios'!O$3,Tabla1[Nivel],"Maestría")</f>
        <v>0</v>
      </c>
      <c r="P153" s="57">
        <f>COUNTIFS(Tabla2[Tipo de Movilidad],"Intercambio*",Tabla2[Universidad KPIs],'Utilización Convenios'!$C153,Tabla2[Año],'Utilización Convenios'!O$129,Tabla2[Nivel Nominación],"Postgraduate / Master")</f>
        <v>0</v>
      </c>
      <c r="Q153" s="73">
        <f t="shared" si="7"/>
        <v>0</v>
      </c>
      <c r="R153" s="74">
        <f t="shared" si="7"/>
        <v>0</v>
      </c>
    </row>
    <row r="154" spans="2:18">
      <c r="B154" s="248"/>
      <c r="C154" s="22" t="s">
        <v>86</v>
      </c>
      <c r="D154" s="23" t="s">
        <v>87</v>
      </c>
      <c r="E154" s="22">
        <f>COUNTIFS(Tabla1[Tipo de Movilidad],"Intercambio*",Tabla1[Universidad KPIs],'Utilización Convenios'!$C154,Tabla1[Año de Movilidad],'Utilización Convenios'!E$3,Tabla1[Nivel],"Maestría")</f>
        <v>0</v>
      </c>
      <c r="F154" s="23">
        <f>COUNTIFS(Tabla2[Tipo de Movilidad],"Intercambio*",Tabla2[Universidad KPIs],'Utilización Convenios'!$C154,Tabla2[Año],'Utilización Convenios'!E$129,Tabla2[Nivel Nominación],"Postgraduate / Master")</f>
        <v>0</v>
      </c>
      <c r="G154" s="22">
        <f>COUNTIFS(Tabla1[Tipo de Movilidad],"Intercambio*",Tabla1[Universidad KPIs],'Utilización Convenios'!$C154,Tabla1[Año de Movilidad],'Utilización Convenios'!G$3,Tabla1[Nivel],"Maestría")</f>
        <v>0</v>
      </c>
      <c r="H154" s="23">
        <f>COUNTIFS(Tabla2[Tipo de Movilidad],"Intercambio*",Tabla2[Universidad KPIs],'Utilización Convenios'!$C154,Tabla2[Año],'Utilización Convenios'!G$129,Tabla2[Nivel Nominación],"Postgraduate / Master")</f>
        <v>0</v>
      </c>
      <c r="I154" s="22">
        <f>COUNTIFS(Tabla1[Tipo de Movilidad],"Intercambio*",Tabla1[Universidad KPIs],'Utilización Convenios'!$C154,Tabla1[Año de Movilidad],'Utilización Convenios'!I$3,Tabla1[Nivel],"Maestría")</f>
        <v>0</v>
      </c>
      <c r="J154" s="23">
        <f>COUNTIFS(Tabla2[Tipo de Movilidad],"Intercambio*",Tabla2[Universidad KPIs],'Utilización Convenios'!$C154,Tabla2[Año],'Utilización Convenios'!I$129,Tabla2[Nivel Nominación],"Postgraduate / Master")</f>
        <v>0</v>
      </c>
      <c r="K154" s="22">
        <f>COUNTIFS(Tabla1[Tipo de Movilidad],"Intercambio*",Tabla1[Universidad KPIs],'Utilización Convenios'!$C154,Tabla1[Año de Movilidad],'Utilización Convenios'!K$3,Tabla1[Nivel],"Maestría")</f>
        <v>0</v>
      </c>
      <c r="L154" s="23">
        <f>COUNTIFS(Tabla2[Tipo de Movilidad],"Intercambio*",Tabla2[Universidad KPIs],'Utilización Convenios'!$C154,Tabla2[Año],'Utilización Convenios'!K$129,Tabla2[Nivel Nominación],"Postgraduate / Master")</f>
        <v>0</v>
      </c>
      <c r="M154" s="22">
        <f>COUNTIFS(Tabla1[Tipo de Movilidad],"Intercambio*",Tabla1[Universidad KPIs],'Utilización Convenios'!$C154,Tabla1[Año de Movilidad],'Utilización Convenios'!M$3,Tabla1[Nivel],"Maestría")</f>
        <v>0</v>
      </c>
      <c r="N154" s="57">
        <f>COUNTIFS(Tabla2[Tipo de Movilidad],"Intercambio*",Tabla2[Universidad KPIs],'Utilización Convenios'!$C154,Tabla2[Año],'Utilización Convenios'!M$129,Tabla2[Nivel Nominación],"Postgraduate / Master")</f>
        <v>0</v>
      </c>
      <c r="O154" s="22">
        <f>COUNTIFS(Tabla1[Tipo de Movilidad],"Intercambio*",Tabla1[Universidad KPIs],'Utilización Convenios'!$C154,Tabla1[Año de Movilidad],'Utilización Convenios'!O$3,Tabla1[Nivel],"Maestría")</f>
        <v>0</v>
      </c>
      <c r="P154" s="57">
        <f>COUNTIFS(Tabla2[Tipo de Movilidad],"Intercambio*",Tabla2[Universidad KPIs],'Utilización Convenios'!$C154,Tabla2[Año],'Utilización Convenios'!O$129,Tabla2[Nivel Nominación],"Postgraduate / Master")</f>
        <v>0</v>
      </c>
      <c r="Q154" s="73">
        <f t="shared" si="7"/>
        <v>0</v>
      </c>
      <c r="R154" s="74">
        <f t="shared" si="7"/>
        <v>0</v>
      </c>
    </row>
    <row r="155" spans="2:18">
      <c r="B155" s="248"/>
      <c r="C155" s="22" t="s">
        <v>88</v>
      </c>
      <c r="D155" s="23" t="s">
        <v>87</v>
      </c>
      <c r="E155" s="22">
        <f>COUNTIFS(Tabla1[Tipo de Movilidad],"Intercambio*",Tabla1[Universidad KPIs],'Utilización Convenios'!$C155,Tabla1[Año de Movilidad],'Utilización Convenios'!E$3,Tabla1[Nivel],"Maestría")</f>
        <v>0</v>
      </c>
      <c r="F155" s="23">
        <f>COUNTIFS(Tabla2[Tipo de Movilidad],"Intercambio*",Tabla2[Universidad KPIs],'Utilización Convenios'!$C155,Tabla2[Año],'Utilización Convenios'!E$129,Tabla2[Nivel Nominación],"Postgraduate / Master")</f>
        <v>0</v>
      </c>
      <c r="G155" s="22">
        <f>COUNTIFS(Tabla1[Tipo de Movilidad],"Intercambio*",Tabla1[Universidad KPIs],'Utilización Convenios'!$C155,Tabla1[Año de Movilidad],'Utilización Convenios'!G$3,Tabla1[Nivel],"Maestría")</f>
        <v>0</v>
      </c>
      <c r="H155" s="23">
        <f>COUNTIFS(Tabla2[Tipo de Movilidad],"Intercambio*",Tabla2[Universidad KPIs],'Utilización Convenios'!$C155,Tabla2[Año],'Utilización Convenios'!G$129,Tabla2[Nivel Nominación],"Postgraduate / Master")</f>
        <v>0</v>
      </c>
      <c r="I155" s="22">
        <f>COUNTIFS(Tabla1[Tipo de Movilidad],"Intercambio*",Tabla1[Universidad KPIs],'Utilización Convenios'!$C155,Tabla1[Año de Movilidad],'Utilización Convenios'!I$3,Tabla1[Nivel],"Maestría")</f>
        <v>0</v>
      </c>
      <c r="J155" s="23">
        <f>COUNTIFS(Tabla2[Tipo de Movilidad],"Intercambio*",Tabla2[Universidad KPIs],'Utilización Convenios'!$C155,Tabla2[Año],'Utilización Convenios'!I$129,Tabla2[Nivel Nominación],"Postgraduate / Master")</f>
        <v>0</v>
      </c>
      <c r="K155" s="22">
        <f>COUNTIFS(Tabla1[Tipo de Movilidad],"Intercambio*",Tabla1[Universidad KPIs],'Utilización Convenios'!$C155,Tabla1[Año de Movilidad],'Utilización Convenios'!K$3,Tabla1[Nivel],"Maestría")</f>
        <v>0</v>
      </c>
      <c r="L155" s="23">
        <f>COUNTIFS(Tabla2[Tipo de Movilidad],"Intercambio*",Tabla2[Universidad KPIs],'Utilización Convenios'!$C155,Tabla2[Año],'Utilización Convenios'!K$129,Tabla2[Nivel Nominación],"Postgraduate / Master")</f>
        <v>0</v>
      </c>
      <c r="M155" s="22">
        <f>COUNTIFS(Tabla1[Tipo de Movilidad],"Intercambio*",Tabla1[Universidad KPIs],'Utilización Convenios'!$C155,Tabla1[Año de Movilidad],'Utilización Convenios'!M$3,Tabla1[Nivel],"Maestría")+1</f>
        <v>1</v>
      </c>
      <c r="N155" s="57">
        <f>COUNTIFS(Tabla2[Tipo de Movilidad],"Intercambio*",Tabla2[Universidad KPIs],'Utilización Convenios'!$C155,Tabla2[Año],'Utilización Convenios'!M$129,Tabla2[Nivel Nominación],"Postgraduate / Master")</f>
        <v>0</v>
      </c>
      <c r="O155" s="22">
        <f>COUNTIFS(Tabla1[Tipo de Movilidad],"Intercambio*",Tabla1[Universidad KPIs],'Utilización Convenios'!$C155,Tabla1[Año de Movilidad],'Utilización Convenios'!O$3,Tabla1[Nivel],"Maestría")</f>
        <v>0</v>
      </c>
      <c r="P155" s="57">
        <f>COUNTIFS(Tabla2[Tipo de Movilidad],"Intercambio*",Tabla2[Universidad KPIs],'Utilización Convenios'!$C155,Tabla2[Año],'Utilización Convenios'!O$129,Tabla2[Nivel Nominación],"Postgraduate / Master")</f>
        <v>0</v>
      </c>
      <c r="Q155" s="73">
        <f t="shared" si="7"/>
        <v>1</v>
      </c>
      <c r="R155" s="74">
        <f t="shared" si="7"/>
        <v>0</v>
      </c>
    </row>
    <row r="156" spans="2:18">
      <c r="B156" s="248"/>
      <c r="C156" s="22" t="s">
        <v>89</v>
      </c>
      <c r="D156" s="23" t="s">
        <v>90</v>
      </c>
      <c r="E156" s="22">
        <f>COUNTIFS(Tabla1[Tipo de Movilidad],"Intercambio*",Tabla1[Universidad KPIs],'Utilización Convenios'!$C156,Tabla1[Año de Movilidad],'Utilización Convenios'!E$3,Tabla1[Nivel],"Maestría")</f>
        <v>0</v>
      </c>
      <c r="F156" s="23">
        <f>COUNTIFS(Tabla2[Tipo de Movilidad],"Intercambio*",Tabla2[Universidad KPIs],'Utilización Convenios'!$C156,Tabla2[Año],'Utilización Convenios'!E$129,Tabla2[Nivel Nominación],"Postgraduate / Master")</f>
        <v>0</v>
      </c>
      <c r="G156" s="22">
        <f>COUNTIFS(Tabla1[Tipo de Movilidad],"Intercambio*",Tabla1[Universidad KPIs],'Utilización Convenios'!$C156,Tabla1[Año de Movilidad],'Utilización Convenios'!G$3,Tabla1[Nivel],"Maestría")</f>
        <v>2</v>
      </c>
      <c r="H156" s="23">
        <f>COUNTIFS(Tabla2[Tipo de Movilidad],"Intercambio*",Tabla2[Universidad KPIs],'Utilización Convenios'!$C156,Tabla2[Año],'Utilización Convenios'!G$129,Tabla2[Nivel Nominación],"Postgraduate / Master")</f>
        <v>0</v>
      </c>
      <c r="I156" s="22">
        <f>COUNTIFS(Tabla1[Tipo de Movilidad],"Intercambio*",Tabla1[Universidad KPIs],'Utilización Convenios'!$C156,Tabla1[Año de Movilidad],'Utilización Convenios'!I$3,Tabla1[Nivel],"Maestría")</f>
        <v>0</v>
      </c>
      <c r="J156" s="23">
        <f>COUNTIFS(Tabla2[Tipo de Movilidad],"Intercambio*",Tabla2[Universidad KPIs],'Utilización Convenios'!$C156,Tabla2[Año],'Utilización Convenios'!I$129,Tabla2[Nivel Nominación],"Postgraduate / Master")</f>
        <v>2</v>
      </c>
      <c r="K156" s="22">
        <f>COUNTIFS(Tabla1[Tipo de Movilidad],"Intercambio*",Tabla1[Universidad KPIs],'Utilización Convenios'!$C156,Tabla1[Año de Movilidad],'Utilización Convenios'!K$3,Tabla1[Nivel],"Maestría")</f>
        <v>0</v>
      </c>
      <c r="L156" s="23">
        <f>COUNTIFS(Tabla2[Tipo de Movilidad],"Intercambio*",Tabla2[Universidad KPIs],'Utilización Convenios'!$C156,Tabla2[Año],'Utilización Convenios'!K$129,Tabla2[Nivel Nominación],"Postgraduate / Master")</f>
        <v>0</v>
      </c>
      <c r="M156" s="22">
        <f>COUNTIFS(Tabla1[Tipo de Movilidad],"Intercambio*",Tabla1[Universidad KPIs],'Utilización Convenios'!$C156,Tabla1[Año de Movilidad],'Utilización Convenios'!M$3,Tabla1[Nivel],"Maestría")</f>
        <v>0</v>
      </c>
      <c r="N156" s="57">
        <f>COUNTIFS(Tabla2[Tipo de Movilidad],"Intercambio*",Tabla2[Universidad KPIs],'Utilización Convenios'!$C156,Tabla2[Año],'Utilización Convenios'!M$129,Tabla2[Nivel Nominación],"Postgraduate / Master")</f>
        <v>0</v>
      </c>
      <c r="O156" s="22">
        <f>COUNTIFS(Tabla1[Tipo de Movilidad],"Intercambio*",Tabla1[Universidad KPIs],'Utilización Convenios'!$C156,Tabla1[Año de Movilidad],'Utilización Convenios'!O$3,Tabla1[Nivel],"Maestría")</f>
        <v>0</v>
      </c>
      <c r="P156" s="57">
        <f>COUNTIFS(Tabla2[Tipo de Movilidad],"Intercambio*",Tabla2[Universidad KPIs],'Utilización Convenios'!$C156,Tabla2[Año],'Utilización Convenios'!O$129,Tabla2[Nivel Nominación],"Postgraduate / Master")</f>
        <v>0</v>
      </c>
      <c r="Q156" s="73">
        <f t="shared" si="7"/>
        <v>2</v>
      </c>
      <c r="R156" s="74">
        <f t="shared" si="7"/>
        <v>2</v>
      </c>
    </row>
    <row r="157" spans="2:18">
      <c r="B157" s="248"/>
      <c r="C157" s="22" t="s">
        <v>91</v>
      </c>
      <c r="D157" s="23" t="s">
        <v>76</v>
      </c>
      <c r="E157" s="22">
        <f>COUNTIFS(Tabla1[Tipo de Movilidad],"Intercambio*",Tabla1[Universidad KPIs],'Utilización Convenios'!$C157,Tabla1[Año de Movilidad],'Utilización Convenios'!E$3,Tabla1[Nivel],"Maestría")</f>
        <v>0</v>
      </c>
      <c r="F157" s="23">
        <f>COUNTIFS(Tabla2[Tipo de Movilidad],"Intercambio*",Tabla2[Universidad KPIs],'Utilización Convenios'!$C157,Tabla2[Año],'Utilización Convenios'!E$129,Tabla2[Nivel Nominación],"Postgraduate / Master")</f>
        <v>0</v>
      </c>
      <c r="G157" s="22">
        <f>COUNTIFS(Tabla1[Tipo de Movilidad],"Intercambio*",Tabla1[Universidad KPIs],'Utilización Convenios'!$C157,Tabla1[Año de Movilidad],'Utilización Convenios'!G$3,Tabla1[Nivel],"Maestría")</f>
        <v>0</v>
      </c>
      <c r="H157" s="23">
        <f>COUNTIFS(Tabla2[Tipo de Movilidad],"Intercambio*",Tabla2[Universidad KPIs],'Utilización Convenios'!$C157,Tabla2[Año],'Utilización Convenios'!G$129,Tabla2[Nivel Nominación],"Postgraduate / Master")</f>
        <v>0</v>
      </c>
      <c r="I157" s="22">
        <f>COUNTIFS(Tabla1[Tipo de Movilidad],"Intercambio*",Tabla1[Universidad KPIs],'Utilización Convenios'!$C157,Tabla1[Año de Movilidad],'Utilización Convenios'!I$3,Tabla1[Nivel],"Maestría")</f>
        <v>1</v>
      </c>
      <c r="J157" s="23">
        <f>COUNTIFS(Tabla2[Tipo de Movilidad],"Intercambio*",Tabla2[Universidad KPIs],'Utilización Convenios'!$C157,Tabla2[Año],'Utilización Convenios'!I$129,Tabla2[Nivel Nominación],"Postgraduate / Master")</f>
        <v>0</v>
      </c>
      <c r="K157" s="22">
        <f>COUNTIFS(Tabla1[Tipo de Movilidad],"Intercambio*",Tabla1[Universidad KPIs],'Utilización Convenios'!$C157,Tabla1[Año de Movilidad],'Utilización Convenios'!K$3,Tabla1[Nivel],"Maestría")</f>
        <v>1</v>
      </c>
      <c r="L157" s="23">
        <f>COUNTIFS(Tabla2[Tipo de Movilidad],"Intercambio*",Tabla2[Universidad KPIs],'Utilización Convenios'!$C157,Tabla2[Año],'Utilización Convenios'!K$129,Tabla2[Nivel Nominación],"Postgraduate / Master")</f>
        <v>1</v>
      </c>
      <c r="M157" s="22">
        <f>COUNTIFS(Tabla1[Tipo de Movilidad],"Intercambio*",Tabla1[Universidad KPIs],'Utilización Convenios'!$C157,Tabla1[Año de Movilidad],'Utilización Convenios'!M$3,Tabla1[Nivel],"Maestría")</f>
        <v>0</v>
      </c>
      <c r="N157" s="57">
        <f>COUNTIFS(Tabla2[Tipo de Movilidad],"Intercambio*",Tabla2[Universidad KPIs],'Utilización Convenios'!$C157,Tabla2[Año],'Utilización Convenios'!M$129,Tabla2[Nivel Nominación],"Postgraduate / Master")</f>
        <v>0</v>
      </c>
      <c r="O157" s="22">
        <f>COUNTIFS(Tabla1[Tipo de Movilidad],"Intercambio*",Tabla1[Universidad KPIs],'Utilización Convenios'!$C157,Tabla1[Año de Movilidad],'Utilización Convenios'!O$3,Tabla1[Nivel],"Maestría")</f>
        <v>0</v>
      </c>
      <c r="P157" s="57">
        <f>COUNTIFS(Tabla2[Tipo de Movilidad],"Intercambio*",Tabla2[Universidad KPIs],'Utilización Convenios'!$C157,Tabla2[Año],'Utilización Convenios'!O$129,Tabla2[Nivel Nominación],"Postgraduate / Master")</f>
        <v>0</v>
      </c>
      <c r="Q157" s="73">
        <f t="shared" si="7"/>
        <v>2</v>
      </c>
      <c r="R157" s="74">
        <f t="shared" si="7"/>
        <v>1</v>
      </c>
    </row>
    <row r="158" spans="2:18">
      <c r="B158" s="248"/>
      <c r="C158" s="22" t="s">
        <v>92</v>
      </c>
      <c r="D158" s="23" t="s">
        <v>93</v>
      </c>
      <c r="E158" s="22">
        <f>COUNTIFS(Tabla1[Tipo de Movilidad],"Intercambio*",Tabla1[Universidad KPIs],'Utilización Convenios'!$C158,Tabla1[Año de Movilidad],'Utilización Convenios'!E$3,Tabla1[Nivel],"Maestría")</f>
        <v>0</v>
      </c>
      <c r="F158" s="23">
        <f>COUNTIFS(Tabla2[Tipo de Movilidad],"Intercambio*",Tabla2[Universidad KPIs],'Utilización Convenios'!$C158,Tabla2[Año],'Utilización Convenios'!E$129,Tabla2[Nivel Nominación],"Postgraduate / Master")</f>
        <v>0</v>
      </c>
      <c r="G158" s="22">
        <f>COUNTIFS(Tabla1[Tipo de Movilidad],"Intercambio*",Tabla1[Universidad KPIs],'Utilización Convenios'!$C158,Tabla1[Año de Movilidad],'Utilización Convenios'!G$3,Tabla1[Nivel],"Maestría")</f>
        <v>0</v>
      </c>
      <c r="H158" s="23">
        <f>COUNTIFS(Tabla2[Tipo de Movilidad],"Intercambio*",Tabla2[Universidad KPIs],'Utilización Convenios'!$C158,Tabla2[Año],'Utilización Convenios'!G$129,Tabla2[Nivel Nominación],"Postgraduate / Master")</f>
        <v>0</v>
      </c>
      <c r="I158" s="22">
        <f>COUNTIFS(Tabla1[Tipo de Movilidad],"Intercambio*",Tabla1[Universidad KPIs],'Utilización Convenios'!$C158,Tabla1[Año de Movilidad],'Utilización Convenios'!I$3,Tabla1[Nivel],"Maestría")</f>
        <v>0</v>
      </c>
      <c r="J158" s="23">
        <f>COUNTIFS(Tabla2[Tipo de Movilidad],"Intercambio*",Tabla2[Universidad KPIs],'Utilización Convenios'!$C158,Tabla2[Año],'Utilización Convenios'!I$129,Tabla2[Nivel Nominación],"Postgraduate / Master")</f>
        <v>0</v>
      </c>
      <c r="K158" s="22">
        <f>COUNTIFS(Tabla1[Tipo de Movilidad],"Intercambio*",Tabla1[Universidad KPIs],'Utilización Convenios'!$C158,Tabla1[Año de Movilidad],'Utilización Convenios'!K$3,Tabla1[Nivel],"Maestría")</f>
        <v>0</v>
      </c>
      <c r="L158" s="23">
        <f>COUNTIFS(Tabla2[Tipo de Movilidad],"Intercambio*",Tabla2[Universidad KPIs],'Utilización Convenios'!$C158,Tabla2[Año],'Utilización Convenios'!K$129,Tabla2[Nivel Nominación],"Postgraduate / Master")</f>
        <v>0</v>
      </c>
      <c r="M158" s="22">
        <f>COUNTIFS(Tabla1[Tipo de Movilidad],"Intercambio*",Tabla1[Universidad KPIs],'Utilización Convenios'!$C158,Tabla1[Año de Movilidad],'Utilización Convenios'!M$3,Tabla1[Nivel],"Maestría")</f>
        <v>0</v>
      </c>
      <c r="N158" s="57">
        <f>COUNTIFS(Tabla2[Tipo de Movilidad],"Intercambio*",Tabla2[Universidad KPIs],'Utilización Convenios'!$C158,Tabla2[Año],'Utilización Convenios'!M$129,Tabla2[Nivel Nominación],"Postgraduate / Master")</f>
        <v>0</v>
      </c>
      <c r="O158" s="22">
        <f>COUNTIFS(Tabla1[Tipo de Movilidad],"Intercambio*",Tabla1[Universidad KPIs],'Utilización Convenios'!$C158,Tabla1[Año de Movilidad],'Utilización Convenios'!O$3,Tabla1[Nivel],"Maestría")</f>
        <v>0</v>
      </c>
      <c r="P158" s="57">
        <f>COUNTIFS(Tabla2[Tipo de Movilidad],"Intercambio*",Tabla2[Universidad KPIs],'Utilización Convenios'!$C158,Tabla2[Año],'Utilización Convenios'!O$129,Tabla2[Nivel Nominación],"Postgraduate / Master")</f>
        <v>0</v>
      </c>
      <c r="Q158" s="73">
        <f t="shared" si="7"/>
        <v>0</v>
      </c>
      <c r="R158" s="74">
        <f t="shared" si="7"/>
        <v>0</v>
      </c>
    </row>
    <row r="159" spans="2:18">
      <c r="B159" s="248"/>
      <c r="C159" s="22" t="s">
        <v>131</v>
      </c>
      <c r="D159" s="23" t="s">
        <v>55</v>
      </c>
      <c r="E159" s="22">
        <f>COUNTIFS(Tabla1[Tipo de Movilidad],"Intercambio*",Tabla1[Universidad KPIs],'Utilización Convenios'!$C159,Tabla1[Año de Movilidad],'Utilización Convenios'!E$3,Tabla1[Nivel],"Maestría")</f>
        <v>0</v>
      </c>
      <c r="F159" s="23">
        <f>COUNTIFS(Tabla2[Tipo de Movilidad],"Intercambio*",Tabla2[Universidad KPIs],'Utilización Convenios'!$C159,Tabla2[Año],'Utilización Convenios'!E$129,Tabla2[Nivel Nominación],"Postgraduate / Master")</f>
        <v>0</v>
      </c>
      <c r="G159" s="22">
        <f>COUNTIFS(Tabla1[Tipo de Movilidad],"Intercambio*",Tabla1[Universidad KPIs],'Utilización Convenios'!$C159,Tabla1[Año de Movilidad],'Utilización Convenios'!G$3,Tabla1[Nivel],"Maestría")</f>
        <v>0</v>
      </c>
      <c r="H159" s="23">
        <f>COUNTIFS(Tabla2[Tipo de Movilidad],"Intercambio*",Tabla2[Universidad KPIs],'Utilización Convenios'!$C159,Tabla2[Año],'Utilización Convenios'!G$129,Tabla2[Nivel Nominación],"Postgraduate / Master")</f>
        <v>0</v>
      </c>
      <c r="I159" s="22">
        <f>COUNTIFS(Tabla1[Tipo de Movilidad],"Intercambio*",Tabla1[Universidad KPIs],'Utilización Convenios'!$C159,Tabla1[Año de Movilidad],'Utilización Convenios'!I$3,Tabla1[Nivel],"Maestría")</f>
        <v>1</v>
      </c>
      <c r="J159" s="23">
        <f>COUNTIFS(Tabla2[Tipo de Movilidad],"Intercambio*",Tabla2[Universidad KPIs],'Utilización Convenios'!$C159,Tabla2[Año],'Utilización Convenios'!I$129,Tabla2[Nivel Nominación],"Postgraduate / Master")</f>
        <v>0</v>
      </c>
      <c r="K159" s="22">
        <f>COUNTIFS(Tabla1[Tipo de Movilidad],"Intercambio*",Tabla1[Universidad KPIs],'Utilización Convenios'!$C159,Tabla1[Año de Movilidad],'Utilización Convenios'!K$3,Tabla1[Nivel],"Maestría")</f>
        <v>0</v>
      </c>
      <c r="L159" s="23">
        <f>COUNTIFS(Tabla2[Tipo de Movilidad],"Intercambio*",Tabla2[Universidad KPIs],'Utilización Convenios'!$C159,Tabla2[Año],'Utilización Convenios'!K$129,Tabla2[Nivel Nominación],"Postgraduate / Master")</f>
        <v>0</v>
      </c>
      <c r="M159" s="22">
        <f>COUNTIFS(Tabla1[Tipo de Movilidad],"Intercambio*",Tabla1[Universidad KPIs],'Utilización Convenios'!$C159,Tabla1[Año de Movilidad],'Utilización Convenios'!M$3,Tabla1[Nivel],"Maestría")</f>
        <v>0</v>
      </c>
      <c r="N159" s="57">
        <f>COUNTIFS(Tabla2[Tipo de Movilidad],"Intercambio*",Tabla2[Universidad KPIs],'Utilización Convenios'!$C159,Tabla2[Año],'Utilización Convenios'!M$129,Tabla2[Nivel Nominación],"Postgraduate / Master")</f>
        <v>0</v>
      </c>
      <c r="O159" s="22">
        <f>COUNTIFS(Tabla1[Tipo de Movilidad],"Intercambio*",Tabla1[Universidad KPIs],'Utilización Convenios'!$C159,Tabla1[Año de Movilidad],'Utilización Convenios'!O$3,Tabla1[Nivel],"Maestría")</f>
        <v>0</v>
      </c>
      <c r="P159" s="57">
        <f>COUNTIFS(Tabla2[Tipo de Movilidad],"Intercambio*",Tabla2[Universidad KPIs],'Utilización Convenios'!$C159,Tabla2[Año],'Utilización Convenios'!O$129,Tabla2[Nivel Nominación],"Postgraduate / Master")</f>
        <v>0</v>
      </c>
      <c r="Q159" s="73">
        <f t="shared" si="7"/>
        <v>1</v>
      </c>
      <c r="R159" s="74">
        <f t="shared" si="7"/>
        <v>0</v>
      </c>
    </row>
    <row r="160" spans="2:18">
      <c r="B160" s="248"/>
      <c r="C160" s="22" t="s">
        <v>94</v>
      </c>
      <c r="D160" s="23" t="s">
        <v>95</v>
      </c>
      <c r="E160" s="22">
        <f>COUNTIFS(Tabla1[Tipo de Movilidad],"Intercambio*",Tabla1[Universidad KPIs],'Utilización Convenios'!$C160,Tabla1[Año de Movilidad],'Utilización Convenios'!E$3,Tabla1[Nivel],"Maestría")</f>
        <v>0</v>
      </c>
      <c r="F160" s="23">
        <f>COUNTIFS(Tabla2[Tipo de Movilidad],"Intercambio*",Tabla2[Universidad KPIs],'Utilización Convenios'!$C160,Tabla2[Año],'Utilización Convenios'!E$129,Tabla2[Nivel Nominación],"Postgraduate / Master")</f>
        <v>0</v>
      </c>
      <c r="G160" s="22">
        <f>COUNTIFS(Tabla1[Tipo de Movilidad],"Intercambio*",Tabla1[Universidad KPIs],'Utilización Convenios'!$C160,Tabla1[Año de Movilidad],'Utilización Convenios'!G$3,Tabla1[Nivel],"Maestría")</f>
        <v>0</v>
      </c>
      <c r="H160" s="23">
        <f>COUNTIFS(Tabla2[Tipo de Movilidad],"Intercambio*",Tabla2[Universidad KPIs],'Utilización Convenios'!$C160,Tabla2[Año],'Utilización Convenios'!G$129,Tabla2[Nivel Nominación],"Postgraduate / Master")</f>
        <v>0</v>
      </c>
      <c r="I160" s="22">
        <f>COUNTIFS(Tabla1[Tipo de Movilidad],"Intercambio*",Tabla1[Universidad KPIs],'Utilización Convenios'!$C160,Tabla1[Año de Movilidad],'Utilización Convenios'!I$3,Tabla1[Nivel],"Maestría")</f>
        <v>1</v>
      </c>
      <c r="J160" s="23">
        <f>COUNTIFS(Tabla2[Tipo de Movilidad],"Intercambio*",Tabla2[Universidad KPIs],'Utilización Convenios'!$C160,Tabla2[Año],'Utilización Convenios'!I$129,Tabla2[Nivel Nominación],"Postgraduate / Master")</f>
        <v>1</v>
      </c>
      <c r="K160" s="22">
        <f>COUNTIFS(Tabla1[Tipo de Movilidad],"Intercambio*",Tabla1[Universidad KPIs],'Utilización Convenios'!$C160,Tabla1[Año de Movilidad],'Utilización Convenios'!K$3,Tabla1[Nivel],"Maestría")</f>
        <v>0</v>
      </c>
      <c r="L160" s="23">
        <f>COUNTIFS(Tabla2[Tipo de Movilidad],"Intercambio*",Tabla2[Universidad KPIs],'Utilización Convenios'!$C160,Tabla2[Año],'Utilización Convenios'!K$129,Tabla2[Nivel Nominación],"Postgraduate / Master")</f>
        <v>0</v>
      </c>
      <c r="M160" s="22">
        <f>COUNTIFS(Tabla1[Tipo de Movilidad],"Intercambio*",Tabla1[Universidad KPIs],'Utilización Convenios'!$C160,Tabla1[Año de Movilidad],'Utilización Convenios'!M$3,Tabla1[Nivel],"Maestría")</f>
        <v>1</v>
      </c>
      <c r="N160" s="57">
        <f>COUNTIFS(Tabla2[Tipo de Movilidad],"Intercambio*",Tabla2[Universidad KPIs],'Utilización Convenios'!$C160,Tabla2[Año],'Utilización Convenios'!M$129,Tabla2[Nivel Nominación],"Postgraduate / Master")</f>
        <v>1</v>
      </c>
      <c r="O160" s="22">
        <f>COUNTIFS(Tabla1[Tipo de Movilidad],"Intercambio*",Tabla1[Universidad KPIs],'Utilización Convenios'!$C160,Tabla1[Año de Movilidad],'Utilización Convenios'!O$3,Tabla1[Nivel],"Maestría")</f>
        <v>0</v>
      </c>
      <c r="P160" s="57">
        <f>COUNTIFS(Tabla2[Tipo de Movilidad],"Intercambio*",Tabla2[Universidad KPIs],'Utilización Convenios'!$C160,Tabla2[Año],'Utilización Convenios'!O$129,Tabla2[Nivel Nominación],"Postgraduate / Master")</f>
        <v>0</v>
      </c>
      <c r="Q160" s="73">
        <f t="shared" si="7"/>
        <v>2</v>
      </c>
      <c r="R160" s="74">
        <f t="shared" si="7"/>
        <v>2</v>
      </c>
    </row>
    <row r="161" spans="2:18">
      <c r="B161" s="248"/>
      <c r="C161" s="22" t="s">
        <v>96</v>
      </c>
      <c r="D161" s="23" t="s">
        <v>74</v>
      </c>
      <c r="E161" s="22">
        <f>COUNTIFS(Tabla1[Tipo de Movilidad],"Intercambio*",Tabla1[Universidad KPIs],'Utilización Convenios'!$C161,Tabla1[Año de Movilidad],'Utilización Convenios'!E$3,Tabla1[Nivel],"Maestría")</f>
        <v>0</v>
      </c>
      <c r="F161" s="23">
        <f>COUNTIFS(Tabla2[Tipo de Movilidad],"Intercambio*",Tabla2[Universidad KPIs],'Utilización Convenios'!$C161,Tabla2[Año],'Utilización Convenios'!E$129,Tabla2[Nivel Nominación],"Postgraduate / Master")</f>
        <v>0</v>
      </c>
      <c r="G161" s="22">
        <f>COUNTIFS(Tabla1[Tipo de Movilidad],"Intercambio*",Tabla1[Universidad KPIs],'Utilización Convenios'!$C161,Tabla1[Año de Movilidad],'Utilización Convenios'!G$3,Tabla1[Nivel],"Maestría")</f>
        <v>0</v>
      </c>
      <c r="H161" s="23">
        <f>COUNTIFS(Tabla2[Tipo de Movilidad],"Intercambio*",Tabla2[Universidad KPIs],'Utilización Convenios'!$C161,Tabla2[Año],'Utilización Convenios'!G$129,Tabla2[Nivel Nominación],"Postgraduate / Master")</f>
        <v>0</v>
      </c>
      <c r="I161" s="22">
        <f>COUNTIFS(Tabla1[Tipo de Movilidad],"Intercambio*",Tabla1[Universidad KPIs],'Utilización Convenios'!$C161,Tabla1[Año de Movilidad],'Utilización Convenios'!I$3,Tabla1[Nivel],"Maestría")</f>
        <v>0</v>
      </c>
      <c r="J161" s="23">
        <f>COUNTIFS(Tabla2[Tipo de Movilidad],"Intercambio*",Tabla2[Universidad KPIs],'Utilización Convenios'!$C161,Tabla2[Año],'Utilización Convenios'!I$129,Tabla2[Nivel Nominación],"Postgraduate / Master")</f>
        <v>0</v>
      </c>
      <c r="K161" s="22">
        <f>COUNTIFS(Tabla1[Tipo de Movilidad],"Intercambio*",Tabla1[Universidad KPIs],'Utilización Convenios'!$C161,Tabla1[Año de Movilidad],'Utilización Convenios'!K$3,Tabla1[Nivel],"Maestría")</f>
        <v>0</v>
      </c>
      <c r="L161" s="23">
        <f>COUNTIFS(Tabla2[Tipo de Movilidad],"Intercambio*",Tabla2[Universidad KPIs],'Utilización Convenios'!$C161,Tabla2[Año],'Utilización Convenios'!K$129,Tabla2[Nivel Nominación],"Postgraduate / Master")</f>
        <v>0</v>
      </c>
      <c r="M161" s="22">
        <f>COUNTIFS(Tabla1[Tipo de Movilidad],"Intercambio*",Tabla1[Universidad KPIs],'Utilización Convenios'!$C161,Tabla1[Año de Movilidad],'Utilización Convenios'!M$3,Tabla1[Nivel],"Maestría")</f>
        <v>0</v>
      </c>
      <c r="N161" s="57">
        <f>COUNTIFS(Tabla2[Tipo de Movilidad],"Intercambio*",Tabla2[Universidad KPIs],'Utilización Convenios'!$C161,Tabla2[Año],'Utilización Convenios'!M$129,Tabla2[Nivel Nominación],"Postgraduate / Master")</f>
        <v>0</v>
      </c>
      <c r="O161" s="22">
        <f>COUNTIFS(Tabla1[Tipo de Movilidad],"Intercambio*",Tabla1[Universidad KPIs],'Utilización Convenios'!$C161,Tabla1[Año de Movilidad],'Utilización Convenios'!O$3,Tabla1[Nivel],"Maestría")</f>
        <v>0</v>
      </c>
      <c r="P161" s="57">
        <f>COUNTIFS(Tabla2[Tipo de Movilidad],"Intercambio*",Tabla2[Universidad KPIs],'Utilización Convenios'!$C161,Tabla2[Año],'Utilización Convenios'!O$129,Tabla2[Nivel Nominación],"Postgraduate / Master")</f>
        <v>0</v>
      </c>
      <c r="Q161" s="73">
        <f t="shared" si="7"/>
        <v>0</v>
      </c>
      <c r="R161" s="74">
        <f t="shared" si="7"/>
        <v>0</v>
      </c>
    </row>
    <row r="162" spans="2:18">
      <c r="B162" s="248"/>
      <c r="C162" s="22" t="s">
        <v>97</v>
      </c>
      <c r="D162" s="23" t="s">
        <v>98</v>
      </c>
      <c r="E162" s="22">
        <f>COUNTIFS(Tabla1[Tipo de Movilidad],"Intercambio*",Tabla1[Universidad KPIs],'Utilización Convenios'!$C162,Tabla1[Año de Movilidad],'Utilización Convenios'!E$3,Tabla1[Nivel],"Maestría")</f>
        <v>0</v>
      </c>
      <c r="F162" s="23">
        <f>COUNTIFS(Tabla2[Tipo de Movilidad],"Intercambio*",Tabla2[Universidad KPIs],'Utilización Convenios'!$C162,Tabla2[Año],'Utilización Convenios'!E$129,Tabla2[Nivel Nominación],"Postgraduate / Master")</f>
        <v>0</v>
      </c>
      <c r="G162" s="22">
        <f>COUNTIFS(Tabla1[Tipo de Movilidad],"Intercambio*",Tabla1[Universidad KPIs],'Utilización Convenios'!$C162,Tabla1[Año de Movilidad],'Utilización Convenios'!G$3,Tabla1[Nivel],"Maestría")</f>
        <v>0</v>
      </c>
      <c r="H162" s="23">
        <f>COUNTIFS(Tabla2[Tipo de Movilidad],"Intercambio*",Tabla2[Universidad KPIs],'Utilización Convenios'!$C162,Tabla2[Año],'Utilización Convenios'!G$129,Tabla2[Nivel Nominación],"Postgraduate / Master")</f>
        <v>0</v>
      </c>
      <c r="I162" s="22">
        <f>COUNTIFS(Tabla1[Tipo de Movilidad],"Intercambio*",Tabla1[Universidad KPIs],'Utilización Convenios'!$C162,Tabla1[Año de Movilidad],'Utilización Convenios'!I$3,Tabla1[Nivel],"Maestría")</f>
        <v>0</v>
      </c>
      <c r="J162" s="23">
        <f>COUNTIFS(Tabla2[Tipo de Movilidad],"Intercambio*",Tabla2[Universidad KPIs],'Utilización Convenios'!$C162,Tabla2[Año],'Utilización Convenios'!I$129,Tabla2[Nivel Nominación],"Postgraduate / Master")</f>
        <v>0</v>
      </c>
      <c r="K162" s="22">
        <f>COUNTIFS(Tabla1[Tipo de Movilidad],"Intercambio*",Tabla1[Universidad KPIs],'Utilización Convenios'!$C162,Tabla1[Año de Movilidad],'Utilización Convenios'!K$3,Tabla1[Nivel],"Maestría")</f>
        <v>0</v>
      </c>
      <c r="L162" s="23">
        <f>COUNTIFS(Tabla2[Tipo de Movilidad],"Intercambio*",Tabla2[Universidad KPIs],'Utilización Convenios'!$C162,Tabla2[Año],'Utilización Convenios'!K$129,Tabla2[Nivel Nominación],"Postgraduate / Master")</f>
        <v>0</v>
      </c>
      <c r="M162" s="22">
        <f>COUNTIFS(Tabla1[Tipo de Movilidad],"Intercambio*",Tabla1[Universidad KPIs],'Utilización Convenios'!$C162,Tabla1[Año de Movilidad],'Utilización Convenios'!M$3,Tabla1[Nivel],"Maestría")</f>
        <v>0</v>
      </c>
      <c r="N162" s="57">
        <f>COUNTIFS(Tabla2[Tipo de Movilidad],"Intercambio*",Tabla2[Universidad KPIs],'Utilización Convenios'!$C162,Tabla2[Año],'Utilización Convenios'!M$129,Tabla2[Nivel Nominación],"Postgraduate / Master")</f>
        <v>0</v>
      </c>
      <c r="O162" s="22">
        <f>COUNTIFS(Tabla1[Tipo de Movilidad],"Intercambio*",Tabla1[Universidad KPIs],'Utilización Convenios'!$C162,Tabla1[Año de Movilidad],'Utilización Convenios'!O$3,Tabla1[Nivel],"Maestría")</f>
        <v>0</v>
      </c>
      <c r="P162" s="57">
        <f>COUNTIFS(Tabla2[Tipo de Movilidad],"Intercambio*",Tabla2[Universidad KPIs],'Utilización Convenios'!$C162,Tabla2[Año],'Utilización Convenios'!O$129,Tabla2[Nivel Nominación],"Postgraduate / Master")</f>
        <v>0</v>
      </c>
      <c r="Q162" s="73">
        <f t="shared" si="7"/>
        <v>0</v>
      </c>
      <c r="R162" s="74">
        <f t="shared" si="7"/>
        <v>0</v>
      </c>
    </row>
    <row r="163" spans="2:18">
      <c r="B163" s="248"/>
      <c r="C163" s="22" t="s">
        <v>99</v>
      </c>
      <c r="D163" s="23" t="s">
        <v>61</v>
      </c>
      <c r="E163" s="22">
        <f>COUNTIFS(Tabla1[Tipo de Movilidad],"Intercambio*",Tabla1[Universidad KPIs],'Utilización Convenios'!$C163,Tabla1[Año de Movilidad],'Utilización Convenios'!E$3,Tabla1[Nivel],"Maestría")</f>
        <v>0</v>
      </c>
      <c r="F163" s="23">
        <f>COUNTIFS(Tabla2[Tipo de Movilidad],"Intercambio*",Tabla2[Universidad KPIs],'Utilización Convenios'!$C163,Tabla2[Año],'Utilización Convenios'!E$129,Tabla2[Nivel Nominación],"Postgraduate / Master")</f>
        <v>0</v>
      </c>
      <c r="G163" s="22">
        <f>COUNTIFS(Tabla1[Tipo de Movilidad],"Intercambio*",Tabla1[Universidad KPIs],'Utilización Convenios'!$C163,Tabla1[Año de Movilidad],'Utilización Convenios'!G$3,Tabla1[Nivel],"Maestría")</f>
        <v>0</v>
      </c>
      <c r="H163" s="23">
        <f>COUNTIFS(Tabla2[Tipo de Movilidad],"Intercambio*",Tabla2[Universidad KPIs],'Utilización Convenios'!$C163,Tabla2[Año],'Utilización Convenios'!G$129,Tabla2[Nivel Nominación],"Postgraduate / Master")</f>
        <v>0</v>
      </c>
      <c r="I163" s="22">
        <f>COUNTIFS(Tabla1[Tipo de Movilidad],"Intercambio*",Tabla1[Universidad KPIs],'Utilización Convenios'!$C163,Tabla1[Año de Movilidad],'Utilización Convenios'!I$3,Tabla1[Nivel],"Maestría")</f>
        <v>0</v>
      </c>
      <c r="J163" s="23">
        <f>COUNTIFS(Tabla2[Tipo de Movilidad],"Intercambio*",Tabla2[Universidad KPIs],'Utilización Convenios'!$C163,Tabla2[Año],'Utilización Convenios'!I$129,Tabla2[Nivel Nominación],"Postgraduate / Master")</f>
        <v>0</v>
      </c>
      <c r="K163" s="22">
        <f>COUNTIFS(Tabla1[Tipo de Movilidad],"Intercambio*",Tabla1[Universidad KPIs],'Utilización Convenios'!$C163,Tabla1[Año de Movilidad],'Utilización Convenios'!K$3,Tabla1[Nivel],"Maestría")</f>
        <v>1</v>
      </c>
      <c r="L163" s="23">
        <f>COUNTIFS(Tabla2[Tipo de Movilidad],"Intercambio*",Tabla2[Universidad KPIs],'Utilización Convenios'!$C163,Tabla2[Año],'Utilización Convenios'!K$129,Tabla2[Nivel Nominación],"Postgraduate / Master")</f>
        <v>1</v>
      </c>
      <c r="M163" s="22">
        <f>COUNTIFS(Tabla1[Tipo de Movilidad],"Intercambio*",Tabla1[Universidad KPIs],'Utilización Convenios'!$C163,Tabla1[Año de Movilidad],'Utilización Convenios'!M$3,Tabla1[Nivel],"Maestría")</f>
        <v>0</v>
      </c>
      <c r="N163" s="57">
        <f>COUNTIFS(Tabla2[Tipo de Movilidad],"Intercambio*",Tabla2[Universidad KPIs],'Utilización Convenios'!$C163,Tabla2[Año],'Utilización Convenios'!M$129,Tabla2[Nivel Nominación],"Postgraduate / Master")</f>
        <v>1</v>
      </c>
      <c r="O163" s="22">
        <f>COUNTIFS(Tabla1[Tipo de Movilidad],"Intercambio*",Tabla1[Universidad KPIs],'Utilización Convenios'!$C163,Tabla1[Año de Movilidad],'Utilización Convenios'!O$3,Tabla1[Nivel],"Maestría")</f>
        <v>0</v>
      </c>
      <c r="P163" s="57">
        <f>COUNTIFS(Tabla2[Tipo de Movilidad],"Intercambio*",Tabla2[Universidad KPIs],'Utilización Convenios'!$C163,Tabla2[Año],'Utilización Convenios'!O$129,Tabla2[Nivel Nominación],"Postgraduate / Master")</f>
        <v>2</v>
      </c>
      <c r="Q163" s="73">
        <f t="shared" si="7"/>
        <v>1</v>
      </c>
      <c r="R163" s="74">
        <f t="shared" si="7"/>
        <v>4</v>
      </c>
    </row>
    <row r="164" spans="2:18">
      <c r="B164" s="248"/>
      <c r="C164" s="22" t="s">
        <v>100</v>
      </c>
      <c r="D164" s="23" t="s">
        <v>101</v>
      </c>
      <c r="E164" s="22">
        <f>COUNTIFS(Tabla1[Tipo de Movilidad],"Intercambio*",Tabla1[Universidad KPIs],'Utilización Convenios'!$C164,Tabla1[Año de Movilidad],'Utilización Convenios'!E$3,Tabla1[Nivel],"Maestría")</f>
        <v>0</v>
      </c>
      <c r="F164" s="23">
        <f>COUNTIFS(Tabla2[Tipo de Movilidad],"Intercambio*",Tabla2[Universidad KPIs],'Utilización Convenios'!$C164,Tabla2[Año],'Utilización Convenios'!E$129,Tabla2[Nivel Nominación],"Postgraduate / Master")</f>
        <v>0</v>
      </c>
      <c r="G164" s="22">
        <f>COUNTIFS(Tabla1[Tipo de Movilidad],"Intercambio*",Tabla1[Universidad KPIs],'Utilización Convenios'!$C164,Tabla1[Año de Movilidad],'Utilización Convenios'!G$3,Tabla1[Nivel],"Maestría")</f>
        <v>0</v>
      </c>
      <c r="H164" s="23">
        <f>COUNTIFS(Tabla2[Tipo de Movilidad],"Intercambio*",Tabla2[Universidad KPIs],'Utilización Convenios'!$C164,Tabla2[Año],'Utilización Convenios'!G$129,Tabla2[Nivel Nominación],"Postgraduate / Master")</f>
        <v>0</v>
      </c>
      <c r="I164" s="22">
        <f>COUNTIFS(Tabla1[Tipo de Movilidad],"Intercambio*",Tabla1[Universidad KPIs],'Utilización Convenios'!$C164,Tabla1[Año de Movilidad],'Utilización Convenios'!I$3,Tabla1[Nivel],"Maestría")</f>
        <v>0</v>
      </c>
      <c r="J164" s="23">
        <f>COUNTIFS(Tabla2[Tipo de Movilidad],"Intercambio*",Tabla2[Universidad KPIs],'Utilización Convenios'!$C164,Tabla2[Año],'Utilización Convenios'!I$129,Tabla2[Nivel Nominación],"Postgraduate / Master")</f>
        <v>0</v>
      </c>
      <c r="K164" s="22">
        <f>COUNTIFS(Tabla1[Tipo de Movilidad],"Intercambio*",Tabla1[Universidad KPIs],'Utilización Convenios'!$C164,Tabla1[Año de Movilidad],'Utilización Convenios'!K$3,Tabla1[Nivel],"Maestría")</f>
        <v>0</v>
      </c>
      <c r="L164" s="23">
        <f>COUNTIFS(Tabla2[Tipo de Movilidad],"Intercambio*",Tabla2[Universidad KPIs],'Utilización Convenios'!$C164,Tabla2[Año],'Utilización Convenios'!K$129,Tabla2[Nivel Nominación],"Postgraduate / Master")</f>
        <v>0</v>
      </c>
      <c r="M164" s="22">
        <f>COUNTIFS(Tabla1[Tipo de Movilidad],"Intercambio*",Tabla1[Universidad KPIs],'Utilización Convenios'!$C164,Tabla1[Año de Movilidad],'Utilización Convenios'!M$3,Tabla1[Nivel],"Maestría")</f>
        <v>0</v>
      </c>
      <c r="N164" s="57">
        <f>COUNTIFS(Tabla2[Tipo de Movilidad],"Intercambio*",Tabla2[Universidad KPIs],'Utilización Convenios'!$C164,Tabla2[Año],'Utilización Convenios'!M$129,Tabla2[Nivel Nominación],"Postgraduate / Master")</f>
        <v>0</v>
      </c>
      <c r="O164" s="22">
        <f>COUNTIFS(Tabla1[Tipo de Movilidad],"Intercambio*",Tabla1[Universidad KPIs],'Utilización Convenios'!$C164,Tabla1[Año de Movilidad],'Utilización Convenios'!O$3,Tabla1[Nivel],"Maestría")</f>
        <v>0</v>
      </c>
      <c r="P164" s="57">
        <f>COUNTIFS(Tabla2[Tipo de Movilidad],"Intercambio*",Tabla2[Universidad KPIs],'Utilización Convenios'!$C164,Tabla2[Año],'Utilización Convenios'!O$129,Tabla2[Nivel Nominación],"Postgraduate / Master")</f>
        <v>0</v>
      </c>
      <c r="Q164" s="73">
        <f t="shared" ref="Q164:R206" si="8">SUMIF($E$130:$P$130,Q$130,$E164:$P164)</f>
        <v>0</v>
      </c>
      <c r="R164" s="74">
        <f t="shared" si="8"/>
        <v>0</v>
      </c>
    </row>
    <row r="165" spans="2:18">
      <c r="B165" s="248"/>
      <c r="C165" s="22" t="s">
        <v>102</v>
      </c>
      <c r="D165" s="23" t="s">
        <v>103</v>
      </c>
      <c r="E165" s="22">
        <f>COUNTIFS(Tabla1[Tipo de Movilidad],"Intercambio*",Tabla1[Universidad KPIs],'Utilización Convenios'!$C165,Tabla1[Año de Movilidad],'Utilización Convenios'!E$3,Tabla1[Nivel],"Maestría")</f>
        <v>0</v>
      </c>
      <c r="F165" s="23">
        <f>COUNTIFS(Tabla2[Tipo de Movilidad],"Intercambio*",Tabla2[Universidad KPIs],'Utilización Convenios'!$C165,Tabla2[Año],'Utilización Convenios'!E$129,Tabla2[Nivel Nominación],"Postgraduate / Master")</f>
        <v>0</v>
      </c>
      <c r="G165" s="22">
        <f>COUNTIFS(Tabla1[Tipo de Movilidad],"Intercambio*",Tabla1[Universidad KPIs],'Utilización Convenios'!$C165,Tabla1[Año de Movilidad],'Utilización Convenios'!G$3,Tabla1[Nivel],"Maestría")</f>
        <v>0</v>
      </c>
      <c r="H165" s="23">
        <f>COUNTIFS(Tabla2[Tipo de Movilidad],"Intercambio*",Tabla2[Universidad KPIs],'Utilización Convenios'!$C165,Tabla2[Año],'Utilización Convenios'!G$129,Tabla2[Nivel Nominación],"Postgraduate / Master")</f>
        <v>2</v>
      </c>
      <c r="I165" s="22">
        <f>COUNTIFS(Tabla1[Tipo de Movilidad],"Intercambio*",Tabla1[Universidad KPIs],'Utilización Convenios'!$C165,Tabla1[Año de Movilidad],'Utilización Convenios'!I$3,Tabla1[Nivel],"Maestría")</f>
        <v>0</v>
      </c>
      <c r="J165" s="23">
        <f>COUNTIFS(Tabla2[Tipo de Movilidad],"Intercambio*",Tabla2[Universidad KPIs],'Utilización Convenios'!$C165,Tabla2[Año],'Utilización Convenios'!I$129,Tabla2[Nivel Nominación],"Postgraduate / Master")</f>
        <v>1</v>
      </c>
      <c r="K165" s="22">
        <f>COUNTIFS(Tabla1[Tipo de Movilidad],"Intercambio*",Tabla1[Universidad KPIs],'Utilización Convenios'!$C165,Tabla1[Año de Movilidad],'Utilización Convenios'!K$3,Tabla1[Nivel],"Maestría")</f>
        <v>0</v>
      </c>
      <c r="L165" s="23">
        <f>COUNTIFS(Tabla2[Tipo de Movilidad],"Intercambio*",Tabla2[Universidad KPIs],'Utilización Convenios'!$C165,Tabla2[Año],'Utilización Convenios'!K$129,Tabla2[Nivel Nominación],"Postgraduate / Master")</f>
        <v>7</v>
      </c>
      <c r="M165" s="22">
        <f>COUNTIFS(Tabla1[Tipo de Movilidad],"Intercambio*",Tabla1[Universidad KPIs],'Utilización Convenios'!$C165,Tabla1[Año de Movilidad],'Utilización Convenios'!M$3,Tabla1[Nivel],"Maestría")</f>
        <v>0</v>
      </c>
      <c r="N165" s="57">
        <f>COUNTIFS(Tabla2[Tipo de Movilidad],"Intercambio*",Tabla2[Universidad KPIs],'Utilización Convenios'!$C165,Tabla2[Año],'Utilización Convenios'!M$129,Tabla2[Nivel Nominación],"Postgraduate / Master")</f>
        <v>4</v>
      </c>
      <c r="O165" s="22">
        <f>COUNTIFS(Tabla1[Tipo de Movilidad],"Intercambio*",Tabla1[Universidad KPIs],'Utilización Convenios'!$C165,Tabla1[Año de Movilidad],'Utilización Convenios'!O$3,Tabla1[Nivel],"Maestría")</f>
        <v>0</v>
      </c>
      <c r="P165" s="57">
        <f>COUNTIFS(Tabla2[Tipo de Movilidad],"Intercambio*",Tabla2[Universidad KPIs],'Utilización Convenios'!$C165,Tabla2[Año],'Utilización Convenios'!O$129,Tabla2[Nivel Nominación],"Postgraduate / Master")</f>
        <v>0</v>
      </c>
      <c r="Q165" s="73">
        <f t="shared" si="8"/>
        <v>0</v>
      </c>
      <c r="R165" s="74">
        <f t="shared" si="8"/>
        <v>14</v>
      </c>
    </row>
    <row r="166" spans="2:18">
      <c r="B166" s="248"/>
      <c r="C166" s="22" t="s">
        <v>104</v>
      </c>
      <c r="D166" s="23" t="s">
        <v>74</v>
      </c>
      <c r="E166" s="22">
        <f>COUNTIFS(Tabla1[Tipo de Movilidad],"Intercambio*",Tabla1[Universidad KPIs],'Utilización Convenios'!$C166,Tabla1[Año de Movilidad],'Utilización Convenios'!E$3,Tabla1[Nivel],"Maestría")</f>
        <v>0</v>
      </c>
      <c r="F166" s="23">
        <f>COUNTIFS(Tabla2[Tipo de Movilidad],"Intercambio*",Tabla2[Universidad KPIs],'Utilización Convenios'!$C166,Tabla2[Año],'Utilización Convenios'!E$129,Tabla2[Nivel Nominación],"Postgraduate / Master")</f>
        <v>0</v>
      </c>
      <c r="G166" s="22">
        <f>COUNTIFS(Tabla1[Tipo de Movilidad],"Intercambio*",Tabla1[Universidad KPIs],'Utilización Convenios'!$C166,Tabla1[Año de Movilidad],'Utilización Convenios'!G$3,Tabla1[Nivel],"Maestría")</f>
        <v>0</v>
      </c>
      <c r="H166" s="23">
        <f>COUNTIFS(Tabla2[Tipo de Movilidad],"Intercambio*",Tabla2[Universidad KPIs],'Utilización Convenios'!$C166,Tabla2[Año],'Utilización Convenios'!G$129,Tabla2[Nivel Nominación],"Postgraduate / Master")</f>
        <v>0</v>
      </c>
      <c r="I166" s="22">
        <f>COUNTIFS(Tabla1[Tipo de Movilidad],"Intercambio*",Tabla1[Universidad KPIs],'Utilización Convenios'!$C166,Tabla1[Año de Movilidad],'Utilización Convenios'!I$3,Tabla1[Nivel],"Maestría")</f>
        <v>0</v>
      </c>
      <c r="J166" s="23">
        <f>COUNTIFS(Tabla2[Tipo de Movilidad],"Intercambio*",Tabla2[Universidad KPIs],'Utilización Convenios'!$C166,Tabla2[Año],'Utilización Convenios'!I$129,Tabla2[Nivel Nominación],"Postgraduate / Master")</f>
        <v>0</v>
      </c>
      <c r="K166" s="22">
        <f>COUNTIFS(Tabla1[Tipo de Movilidad],"Intercambio*",Tabla1[Universidad KPIs],'Utilización Convenios'!$C166,Tabla1[Año de Movilidad],'Utilización Convenios'!K$3,Tabla1[Nivel],"Maestría")</f>
        <v>0</v>
      </c>
      <c r="L166" s="23">
        <f>COUNTIFS(Tabla2[Tipo de Movilidad],"Intercambio*",Tabla2[Universidad KPIs],'Utilización Convenios'!$C166,Tabla2[Año],'Utilización Convenios'!K$129,Tabla2[Nivel Nominación],"Postgraduate / Master")</f>
        <v>0</v>
      </c>
      <c r="M166" s="22">
        <f>COUNTIFS(Tabla1[Tipo de Movilidad],"Intercambio*",Tabla1[Universidad KPIs],'Utilización Convenios'!$C166,Tabla1[Año de Movilidad],'Utilización Convenios'!M$3,Tabla1[Nivel],"Maestría")</f>
        <v>0</v>
      </c>
      <c r="N166" s="57">
        <f>COUNTIFS(Tabla2[Tipo de Movilidad],"Intercambio*",Tabla2[Universidad KPIs],'Utilización Convenios'!$C166,Tabla2[Año],'Utilización Convenios'!M$129,Tabla2[Nivel Nominación],"Postgraduate / Master")</f>
        <v>0</v>
      </c>
      <c r="O166" s="22">
        <f>COUNTIFS(Tabla1[Tipo de Movilidad],"Intercambio*",Tabla1[Universidad KPIs],'Utilización Convenios'!$C166,Tabla1[Año de Movilidad],'Utilización Convenios'!O$3,Tabla1[Nivel],"Maestría")</f>
        <v>0</v>
      </c>
      <c r="P166" s="57">
        <f>COUNTIFS(Tabla2[Tipo de Movilidad],"Intercambio*",Tabla2[Universidad KPIs],'Utilización Convenios'!$C166,Tabla2[Año],'Utilización Convenios'!O$129,Tabla2[Nivel Nominación],"Postgraduate / Master")</f>
        <v>0</v>
      </c>
      <c r="Q166" s="73">
        <f t="shared" si="8"/>
        <v>0</v>
      </c>
      <c r="R166" s="74">
        <f t="shared" si="8"/>
        <v>0</v>
      </c>
    </row>
    <row r="167" spans="2:18">
      <c r="B167" s="248"/>
      <c r="C167" s="22" t="s">
        <v>105</v>
      </c>
      <c r="D167" s="23" t="s">
        <v>106</v>
      </c>
      <c r="E167" s="22">
        <f>COUNTIFS(Tabla1[Tipo de Movilidad],"Intercambio*",Tabla1[Universidad KPIs],'Utilización Convenios'!$C167,Tabla1[Año de Movilidad],'Utilización Convenios'!E$3,Tabla1[Nivel],"Maestría")</f>
        <v>0</v>
      </c>
      <c r="F167" s="23">
        <f>COUNTIFS(Tabla2[Tipo de Movilidad],"Intercambio*",Tabla2[Universidad KPIs],'Utilización Convenios'!$C167,Tabla2[Año],'Utilización Convenios'!E$129,Tabla2[Nivel Nominación],"Postgraduate / Master")</f>
        <v>0</v>
      </c>
      <c r="G167" s="22">
        <f>COUNTIFS(Tabla1[Tipo de Movilidad],"Intercambio*",Tabla1[Universidad KPIs],'Utilización Convenios'!$C167,Tabla1[Año de Movilidad],'Utilización Convenios'!G$3,Tabla1[Nivel],"Maestría")</f>
        <v>0</v>
      </c>
      <c r="H167" s="23">
        <f>COUNTIFS(Tabla2[Tipo de Movilidad],"Intercambio*",Tabla2[Universidad KPIs],'Utilización Convenios'!$C167,Tabla2[Año],'Utilización Convenios'!G$129,Tabla2[Nivel Nominación],"Postgraduate / Master")</f>
        <v>0</v>
      </c>
      <c r="I167" s="22">
        <f>COUNTIFS(Tabla1[Tipo de Movilidad],"Intercambio*",Tabla1[Universidad KPIs],'Utilización Convenios'!$C167,Tabla1[Año de Movilidad],'Utilización Convenios'!I$3,Tabla1[Nivel],"Maestría")</f>
        <v>0</v>
      </c>
      <c r="J167" s="23">
        <f>COUNTIFS(Tabla2[Tipo de Movilidad],"Intercambio*",Tabla2[Universidad KPIs],'Utilización Convenios'!$C167,Tabla2[Año],'Utilización Convenios'!I$129,Tabla2[Nivel Nominación],"Postgraduate / Master")</f>
        <v>0</v>
      </c>
      <c r="K167" s="22">
        <f>COUNTIFS(Tabla1[Tipo de Movilidad],"Intercambio*",Tabla1[Universidad KPIs],'Utilización Convenios'!$C167,Tabla1[Año de Movilidad],'Utilización Convenios'!K$3,Tabla1[Nivel],"Maestría")</f>
        <v>0</v>
      </c>
      <c r="L167" s="23">
        <f>COUNTIFS(Tabla2[Tipo de Movilidad],"Intercambio*",Tabla2[Universidad KPIs],'Utilización Convenios'!$C167,Tabla2[Año],'Utilización Convenios'!K$129,Tabla2[Nivel Nominación],"Postgraduate / Master")</f>
        <v>0</v>
      </c>
      <c r="M167" s="22">
        <f>COUNTIFS(Tabla1[Tipo de Movilidad],"Intercambio*",Tabla1[Universidad KPIs],'Utilización Convenios'!$C167,Tabla1[Año de Movilidad],'Utilización Convenios'!M$3,Tabla1[Nivel],"Maestría")</f>
        <v>0</v>
      </c>
      <c r="N167" s="57">
        <f>COUNTIFS(Tabla2[Tipo de Movilidad],"Intercambio*",Tabla2[Universidad KPIs],'Utilización Convenios'!$C167,Tabla2[Año],'Utilización Convenios'!M$129,Tabla2[Nivel Nominación],"Postgraduate / Master")</f>
        <v>0</v>
      </c>
      <c r="O167" s="22">
        <f>COUNTIFS(Tabla1[Tipo de Movilidad],"Intercambio*",Tabla1[Universidad KPIs],'Utilización Convenios'!$C167,Tabla1[Año de Movilidad],'Utilización Convenios'!O$3,Tabla1[Nivel],"Maestría")</f>
        <v>0</v>
      </c>
      <c r="P167" s="57">
        <f>COUNTIFS(Tabla2[Tipo de Movilidad],"Intercambio*",Tabla2[Universidad KPIs],'Utilización Convenios'!$C167,Tabla2[Año],'Utilización Convenios'!O$129,Tabla2[Nivel Nominación],"Postgraduate / Master")</f>
        <v>0</v>
      </c>
      <c r="Q167" s="73">
        <f t="shared" si="8"/>
        <v>0</v>
      </c>
      <c r="R167" s="74">
        <f t="shared" si="8"/>
        <v>0</v>
      </c>
    </row>
    <row r="168" spans="2:18">
      <c r="B168" s="248"/>
      <c r="C168" s="22" t="s">
        <v>107</v>
      </c>
      <c r="D168" s="23" t="s">
        <v>57</v>
      </c>
      <c r="E168" s="22">
        <f>COUNTIFS(Tabla1[Tipo de Movilidad],"Intercambio*",Tabla1[Universidad KPIs],'Utilización Convenios'!$C168,Tabla1[Año de Movilidad],'Utilización Convenios'!E$3,Tabla1[Nivel],"Maestría")</f>
        <v>0</v>
      </c>
      <c r="F168" s="23">
        <f>COUNTIFS(Tabla2[Tipo de Movilidad],"Intercambio*",Tabla2[Universidad KPIs],'Utilización Convenios'!$C168,Tabla2[Año],'Utilización Convenios'!E$129,Tabla2[Nivel Nominación],"Postgraduate / Master")</f>
        <v>0</v>
      </c>
      <c r="G168" s="22">
        <f>COUNTIFS(Tabla1[Tipo de Movilidad],"Intercambio*",Tabla1[Universidad KPIs],'Utilización Convenios'!$C168,Tabla1[Año de Movilidad],'Utilización Convenios'!G$3,Tabla1[Nivel],"Maestría")</f>
        <v>0</v>
      </c>
      <c r="H168" s="23">
        <f>COUNTIFS(Tabla2[Tipo de Movilidad],"Intercambio*",Tabla2[Universidad KPIs],'Utilización Convenios'!$C168,Tabla2[Año],'Utilización Convenios'!G$129,Tabla2[Nivel Nominación],"Postgraduate / Master")</f>
        <v>0</v>
      </c>
      <c r="I168" s="22">
        <f>COUNTIFS(Tabla1[Tipo de Movilidad],"Intercambio*",Tabla1[Universidad KPIs],'Utilización Convenios'!$C168,Tabla1[Año de Movilidad],'Utilización Convenios'!I$3,Tabla1[Nivel],"Maestría")</f>
        <v>0</v>
      </c>
      <c r="J168" s="23">
        <f>COUNTIFS(Tabla2[Tipo de Movilidad],"Intercambio*",Tabla2[Universidad KPIs],'Utilización Convenios'!$C168,Tabla2[Año],'Utilización Convenios'!I$129,Tabla2[Nivel Nominación],"Postgraduate / Master")</f>
        <v>0</v>
      </c>
      <c r="K168" s="22">
        <f>COUNTIFS(Tabla1[Tipo de Movilidad],"Intercambio*",Tabla1[Universidad KPIs],'Utilización Convenios'!$C168,Tabla1[Año de Movilidad],'Utilización Convenios'!K$3,Tabla1[Nivel],"Maestría")</f>
        <v>1</v>
      </c>
      <c r="L168" s="23">
        <f>COUNTIFS(Tabla2[Tipo de Movilidad],"Intercambio*",Tabla2[Universidad KPIs],'Utilización Convenios'!$C168,Tabla2[Año],'Utilización Convenios'!K$129,Tabla2[Nivel Nominación],"Postgraduate / Master")</f>
        <v>0</v>
      </c>
      <c r="M168" s="22">
        <f>COUNTIFS(Tabla1[Tipo de Movilidad],"Intercambio*",Tabla1[Universidad KPIs],'Utilización Convenios'!$C168,Tabla1[Año de Movilidad],'Utilización Convenios'!M$3,Tabla1[Nivel],"Maestría")</f>
        <v>0</v>
      </c>
      <c r="N168" s="57">
        <f>COUNTIFS(Tabla2[Tipo de Movilidad],"Intercambio*",Tabla2[Universidad KPIs],'Utilización Convenios'!$C168,Tabla2[Año],'Utilización Convenios'!M$129,Tabla2[Nivel Nominación],"Postgraduate / Master")</f>
        <v>0</v>
      </c>
      <c r="O168" s="22">
        <f>COUNTIFS(Tabla1[Tipo de Movilidad],"Intercambio*",Tabla1[Universidad KPIs],'Utilización Convenios'!$C168,Tabla1[Año de Movilidad],'Utilización Convenios'!O$3,Tabla1[Nivel],"Maestría")</f>
        <v>0</v>
      </c>
      <c r="P168" s="57">
        <f>COUNTIFS(Tabla2[Tipo de Movilidad],"Intercambio*",Tabla2[Universidad KPIs],'Utilización Convenios'!$C168,Tabla2[Año],'Utilización Convenios'!O$129,Tabla2[Nivel Nominación],"Postgraduate / Master")</f>
        <v>0</v>
      </c>
      <c r="Q168" s="73">
        <f t="shared" si="8"/>
        <v>1</v>
      </c>
      <c r="R168" s="74">
        <f t="shared" si="8"/>
        <v>0</v>
      </c>
    </row>
    <row r="169" spans="2:18">
      <c r="B169" s="248"/>
      <c r="C169" s="22" t="s">
        <v>108</v>
      </c>
      <c r="D169" s="23" t="s">
        <v>109</v>
      </c>
      <c r="E169" s="22">
        <f>COUNTIFS(Tabla1[Tipo de Movilidad],"Intercambio*",Tabla1[Universidad KPIs],'Utilización Convenios'!$C169,Tabla1[Año de Movilidad],'Utilización Convenios'!E$3,Tabla1[Nivel],"Maestría")</f>
        <v>0</v>
      </c>
      <c r="F169" s="23">
        <f>COUNTIFS(Tabla2[Tipo de Movilidad],"Intercambio*",Tabla2[Universidad KPIs],'Utilización Convenios'!$C169,Tabla2[Año],'Utilización Convenios'!E$129,Tabla2[Nivel Nominación],"Postgraduate / Master")</f>
        <v>0</v>
      </c>
      <c r="G169" s="22">
        <f>COUNTIFS(Tabla1[Tipo de Movilidad],"Intercambio*",Tabla1[Universidad KPIs],'Utilización Convenios'!$C169,Tabla1[Año de Movilidad],'Utilización Convenios'!G$3,Tabla1[Nivel],"Maestría")</f>
        <v>0</v>
      </c>
      <c r="H169" s="23">
        <f>COUNTIFS(Tabla2[Tipo de Movilidad],"Intercambio*",Tabla2[Universidad KPIs],'Utilización Convenios'!$C169,Tabla2[Año],'Utilización Convenios'!G$129,Tabla2[Nivel Nominación],"Postgraduate / Master")</f>
        <v>0</v>
      </c>
      <c r="I169" s="22">
        <f>COUNTIFS(Tabla1[Tipo de Movilidad],"Intercambio*",Tabla1[Universidad KPIs],'Utilización Convenios'!$C169,Tabla1[Año de Movilidad],'Utilización Convenios'!I$3,Tabla1[Nivel],"Maestría")</f>
        <v>0</v>
      </c>
      <c r="J169" s="23">
        <f>COUNTIFS(Tabla2[Tipo de Movilidad],"Intercambio*",Tabla2[Universidad KPIs],'Utilización Convenios'!$C169,Tabla2[Año],'Utilización Convenios'!I$129,Tabla2[Nivel Nominación],"Postgraduate / Master")</f>
        <v>0</v>
      </c>
      <c r="K169" s="22">
        <f>COUNTIFS(Tabla1[Tipo de Movilidad],"Intercambio*",Tabla1[Universidad KPIs],'Utilización Convenios'!$C169,Tabla1[Año de Movilidad],'Utilización Convenios'!K$3,Tabla1[Nivel],"Maestría")</f>
        <v>0</v>
      </c>
      <c r="L169" s="23">
        <f>COUNTIFS(Tabla2[Tipo de Movilidad],"Intercambio*",Tabla2[Universidad KPIs],'Utilización Convenios'!$C169,Tabla2[Año],'Utilización Convenios'!K$129,Tabla2[Nivel Nominación],"Postgraduate / Master")</f>
        <v>0</v>
      </c>
      <c r="M169" s="22">
        <f>COUNTIFS(Tabla1[Tipo de Movilidad],"Intercambio*",Tabla1[Universidad KPIs],'Utilización Convenios'!$C169,Tabla1[Año de Movilidad],'Utilización Convenios'!M$3,Tabla1[Nivel],"Maestría")</f>
        <v>0</v>
      </c>
      <c r="N169" s="57">
        <f>COUNTIFS(Tabla2[Tipo de Movilidad],"Intercambio*",Tabla2[Universidad KPIs],'Utilización Convenios'!$C169,Tabla2[Año],'Utilización Convenios'!M$129,Tabla2[Nivel Nominación],"Postgraduate / Master")</f>
        <v>0</v>
      </c>
      <c r="O169" s="22">
        <f>COUNTIFS(Tabla1[Tipo de Movilidad],"Intercambio*",Tabla1[Universidad KPIs],'Utilización Convenios'!$C169,Tabla1[Año de Movilidad],'Utilización Convenios'!O$3,Tabla1[Nivel],"Maestría")</f>
        <v>0</v>
      </c>
      <c r="P169" s="57">
        <f>COUNTIFS(Tabla2[Tipo de Movilidad],"Intercambio*",Tabla2[Universidad KPIs],'Utilización Convenios'!$C169,Tabla2[Año],'Utilización Convenios'!O$129,Tabla2[Nivel Nominación],"Postgraduate / Master")</f>
        <v>0</v>
      </c>
      <c r="Q169" s="73">
        <f t="shared" si="8"/>
        <v>0</v>
      </c>
      <c r="R169" s="74">
        <f t="shared" si="8"/>
        <v>0</v>
      </c>
    </row>
    <row r="170" spans="2:18">
      <c r="B170" s="248"/>
      <c r="C170" s="22" t="s">
        <v>110</v>
      </c>
      <c r="D170" s="23" t="s">
        <v>95</v>
      </c>
      <c r="E170" s="22">
        <f>COUNTIFS(Tabla1[Tipo de Movilidad],"Intercambio*",Tabla1[Universidad KPIs],'Utilización Convenios'!$C170,Tabla1[Año de Movilidad],'Utilización Convenios'!E$3,Tabla1[Nivel],"Maestría")</f>
        <v>0</v>
      </c>
      <c r="F170" s="23">
        <f>COUNTIFS(Tabla2[Tipo de Movilidad],"Intercambio*",Tabla2[Universidad KPIs],'Utilización Convenios'!$C170,Tabla2[Año],'Utilización Convenios'!E$129,Tabla2[Nivel Nominación],"Postgraduate / Master")</f>
        <v>0</v>
      </c>
      <c r="G170" s="22">
        <f>COUNTIFS(Tabla1[Tipo de Movilidad],"Intercambio*",Tabla1[Universidad KPIs],'Utilización Convenios'!$C170,Tabla1[Año de Movilidad],'Utilización Convenios'!G$3,Tabla1[Nivel],"Maestría")</f>
        <v>0</v>
      </c>
      <c r="H170" s="23">
        <f>COUNTIFS(Tabla2[Tipo de Movilidad],"Intercambio*",Tabla2[Universidad KPIs],'Utilización Convenios'!$C170,Tabla2[Año],'Utilización Convenios'!G$129,Tabla2[Nivel Nominación],"Postgraduate / Master")</f>
        <v>0</v>
      </c>
      <c r="I170" s="22">
        <f>COUNTIFS(Tabla1[Tipo de Movilidad],"Intercambio*",Tabla1[Universidad KPIs],'Utilización Convenios'!$C170,Tabla1[Año de Movilidad],'Utilización Convenios'!I$3,Tabla1[Nivel],"Maestría")</f>
        <v>0</v>
      </c>
      <c r="J170" s="23">
        <f>COUNTIFS(Tabla2[Tipo de Movilidad],"Intercambio*",Tabla2[Universidad KPIs],'Utilización Convenios'!$C170,Tabla2[Año],'Utilización Convenios'!I$129,Tabla2[Nivel Nominación],"Postgraduate / Master")</f>
        <v>0</v>
      </c>
      <c r="K170" s="22">
        <f>COUNTIFS(Tabla1[Tipo de Movilidad],"Intercambio*",Tabla1[Universidad KPIs],'Utilización Convenios'!$C170,Tabla1[Año de Movilidad],'Utilización Convenios'!K$3,Tabla1[Nivel],"Maestría")</f>
        <v>0</v>
      </c>
      <c r="L170" s="23">
        <f>COUNTIFS(Tabla2[Tipo de Movilidad],"Intercambio*",Tabla2[Universidad KPIs],'Utilización Convenios'!$C170,Tabla2[Año],'Utilización Convenios'!K$129,Tabla2[Nivel Nominación],"Postgraduate / Master")</f>
        <v>0</v>
      </c>
      <c r="M170" s="22">
        <f>COUNTIFS(Tabla1[Tipo de Movilidad],"Intercambio*",Tabla1[Universidad KPIs],'Utilización Convenios'!$C170,Tabla1[Año de Movilidad],'Utilización Convenios'!M$3,Tabla1[Nivel],"Maestría")</f>
        <v>0</v>
      </c>
      <c r="N170" s="57">
        <f>COUNTIFS(Tabla2[Tipo de Movilidad],"Intercambio*",Tabla2[Universidad KPIs],'Utilización Convenios'!$C170,Tabla2[Año],'Utilización Convenios'!M$129,Tabla2[Nivel Nominación],"Postgraduate / Master")</f>
        <v>0</v>
      </c>
      <c r="O170" s="22">
        <f>COUNTIFS(Tabla1[Tipo de Movilidad],"Intercambio*",Tabla1[Universidad KPIs],'Utilización Convenios'!$C170,Tabla1[Año de Movilidad],'Utilización Convenios'!O$3,Tabla1[Nivel],"Maestría")</f>
        <v>0</v>
      </c>
      <c r="P170" s="57">
        <f>COUNTIFS(Tabla2[Tipo de Movilidad],"Intercambio*",Tabla2[Universidad KPIs],'Utilización Convenios'!$C170,Tabla2[Año],'Utilización Convenios'!O$129,Tabla2[Nivel Nominación],"Postgraduate / Master")</f>
        <v>0</v>
      </c>
      <c r="Q170" s="73">
        <f t="shared" si="8"/>
        <v>0</v>
      </c>
      <c r="R170" s="74">
        <f t="shared" si="8"/>
        <v>0</v>
      </c>
    </row>
    <row r="171" spans="2:18">
      <c r="B171" s="248"/>
      <c r="C171" s="22" t="s">
        <v>111</v>
      </c>
      <c r="D171" s="23" t="s">
        <v>112</v>
      </c>
      <c r="E171" s="22">
        <f>COUNTIFS(Tabla1[Tipo de Movilidad],"Intercambio*",Tabla1[Universidad KPIs],'Utilización Convenios'!$C171,Tabla1[Año de Movilidad],'Utilización Convenios'!E$3,Tabla1[Nivel],"Maestría")</f>
        <v>0</v>
      </c>
      <c r="F171" s="23">
        <f>COUNTIFS(Tabla2[Tipo de Movilidad],"Intercambio*",Tabla2[Universidad KPIs],'Utilización Convenios'!$C171,Tabla2[Año],'Utilización Convenios'!E$129,Tabla2[Nivel Nominación],"Postgraduate / Master")</f>
        <v>0</v>
      </c>
      <c r="G171" s="22">
        <f>COUNTIFS(Tabla1[Tipo de Movilidad],"Intercambio*",Tabla1[Universidad KPIs],'Utilización Convenios'!$C171,Tabla1[Año de Movilidad],'Utilización Convenios'!G$3,Tabla1[Nivel],"Maestría")</f>
        <v>0</v>
      </c>
      <c r="H171" s="23">
        <f>COUNTIFS(Tabla2[Tipo de Movilidad],"Intercambio*",Tabla2[Universidad KPIs],'Utilización Convenios'!$C171,Tabla2[Año],'Utilización Convenios'!G$129,Tabla2[Nivel Nominación],"Postgraduate / Master")</f>
        <v>0</v>
      </c>
      <c r="I171" s="22">
        <f>COUNTIFS(Tabla1[Tipo de Movilidad],"Intercambio*",Tabla1[Universidad KPIs],'Utilización Convenios'!$C171,Tabla1[Año de Movilidad],'Utilización Convenios'!I$3,Tabla1[Nivel],"Maestría")</f>
        <v>0</v>
      </c>
      <c r="J171" s="23">
        <f>COUNTIFS(Tabla2[Tipo de Movilidad],"Intercambio*",Tabla2[Universidad KPIs],'Utilización Convenios'!$C171,Tabla2[Año],'Utilización Convenios'!I$129,Tabla2[Nivel Nominación],"Postgraduate / Master")</f>
        <v>0</v>
      </c>
      <c r="K171" s="22">
        <f>COUNTIFS(Tabla1[Tipo de Movilidad],"Intercambio*",Tabla1[Universidad KPIs],'Utilización Convenios'!$C171,Tabla1[Año de Movilidad],'Utilización Convenios'!K$3,Tabla1[Nivel],"Maestría")</f>
        <v>0</v>
      </c>
      <c r="L171" s="23">
        <f>COUNTIFS(Tabla2[Tipo de Movilidad],"Intercambio*",Tabla2[Universidad KPIs],'Utilización Convenios'!$C171,Tabla2[Año],'Utilización Convenios'!K$129,Tabla2[Nivel Nominación],"Postgraduate / Master")</f>
        <v>0</v>
      </c>
      <c r="M171" s="22">
        <f>COUNTIFS(Tabla1[Tipo de Movilidad],"Intercambio*",Tabla1[Universidad KPIs],'Utilización Convenios'!$C171,Tabla1[Año de Movilidad],'Utilización Convenios'!M$3,Tabla1[Nivel],"Maestría")</f>
        <v>1</v>
      </c>
      <c r="N171" s="57">
        <f>COUNTIFS(Tabla2[Tipo de Movilidad],"Intercambio*",Tabla2[Universidad KPIs],'Utilización Convenios'!$C171,Tabla2[Año],'Utilización Convenios'!M$129,Tabla2[Nivel Nominación],"Postgraduate / Master")</f>
        <v>0</v>
      </c>
      <c r="O171" s="22">
        <f>COUNTIFS(Tabla1[Tipo de Movilidad],"Intercambio*",Tabla1[Universidad KPIs],'Utilización Convenios'!$C171,Tabla1[Año de Movilidad],'Utilización Convenios'!O$3,Tabla1[Nivel],"Maestría")</f>
        <v>0</v>
      </c>
      <c r="P171" s="57">
        <f>COUNTIFS(Tabla2[Tipo de Movilidad],"Intercambio*",Tabla2[Universidad KPIs],'Utilización Convenios'!$C171,Tabla2[Año],'Utilización Convenios'!O$129,Tabla2[Nivel Nominación],"Postgraduate / Master")</f>
        <v>0</v>
      </c>
      <c r="Q171" s="73">
        <f t="shared" si="8"/>
        <v>1</v>
      </c>
      <c r="R171" s="74">
        <f t="shared" si="8"/>
        <v>0</v>
      </c>
    </row>
    <row r="172" spans="2:18">
      <c r="B172" s="248"/>
      <c r="C172" s="22" t="s">
        <v>113</v>
      </c>
      <c r="D172" s="23" t="s">
        <v>103</v>
      </c>
      <c r="E172" s="22">
        <f>COUNTIFS(Tabla1[Tipo de Movilidad],"Intercambio*",Tabla1[Universidad KPIs],'Utilización Convenios'!$C172,Tabla1[Año de Movilidad],'Utilización Convenios'!E$3,Tabla1[Nivel],"Maestría")</f>
        <v>0</v>
      </c>
      <c r="F172" s="23">
        <f>COUNTIFS(Tabla2[Tipo de Movilidad],"Intercambio*",Tabla2[Universidad KPIs],'Utilización Convenios'!$C172,Tabla2[Año],'Utilización Convenios'!E$129,Tabla2[Nivel Nominación],"Postgraduate / Master")</f>
        <v>0</v>
      </c>
      <c r="G172" s="22">
        <f>COUNTIFS(Tabla1[Tipo de Movilidad],"Intercambio*",Tabla1[Universidad KPIs],'Utilización Convenios'!$C172,Tabla1[Año de Movilidad],'Utilización Convenios'!G$3,Tabla1[Nivel],"Maestría")</f>
        <v>0</v>
      </c>
      <c r="H172" s="23">
        <f>COUNTIFS(Tabla2[Tipo de Movilidad],"Intercambio*",Tabla2[Universidad KPIs],'Utilización Convenios'!$C172,Tabla2[Año],'Utilización Convenios'!G$129,Tabla2[Nivel Nominación],"Postgraduate / Master")</f>
        <v>0</v>
      </c>
      <c r="I172" s="22">
        <f>COUNTIFS(Tabla1[Tipo de Movilidad],"Intercambio*",Tabla1[Universidad KPIs],'Utilización Convenios'!$C172,Tabla1[Año de Movilidad],'Utilización Convenios'!I$3,Tabla1[Nivel],"Maestría")</f>
        <v>0</v>
      </c>
      <c r="J172" s="23">
        <f>COUNTIFS(Tabla2[Tipo de Movilidad],"Intercambio*",Tabla2[Universidad KPIs],'Utilización Convenios'!$C172,Tabla2[Año],'Utilización Convenios'!I$129,Tabla2[Nivel Nominación],"Postgraduate / Master")</f>
        <v>0</v>
      </c>
      <c r="K172" s="22">
        <f>COUNTIFS(Tabla1[Tipo de Movilidad],"Intercambio*",Tabla1[Universidad KPIs],'Utilización Convenios'!$C172,Tabla1[Año de Movilidad],'Utilización Convenios'!K$3,Tabla1[Nivel],"Maestría")</f>
        <v>0</v>
      </c>
      <c r="L172" s="23">
        <f>COUNTIFS(Tabla2[Tipo de Movilidad],"Intercambio*",Tabla2[Universidad KPIs],'Utilización Convenios'!$C172,Tabla2[Año],'Utilización Convenios'!K$129,Tabla2[Nivel Nominación],"Postgraduate / Master")</f>
        <v>1</v>
      </c>
      <c r="M172" s="22">
        <f>COUNTIFS(Tabla1[Tipo de Movilidad],"Intercambio*",Tabla1[Universidad KPIs],'Utilización Convenios'!$C172,Tabla1[Año de Movilidad],'Utilización Convenios'!M$3,Tabla1[Nivel],"Maestría")</f>
        <v>0</v>
      </c>
      <c r="N172" s="57">
        <f>COUNTIFS(Tabla2[Tipo de Movilidad],"Intercambio*",Tabla2[Universidad KPIs],'Utilización Convenios'!$C172,Tabla2[Año],'Utilización Convenios'!M$129,Tabla2[Nivel Nominación],"Postgraduate / Master")</f>
        <v>3</v>
      </c>
      <c r="O172" s="22">
        <f>COUNTIFS(Tabla1[Tipo de Movilidad],"Intercambio*",Tabla1[Universidad KPIs],'Utilización Convenios'!$C172,Tabla1[Año de Movilidad],'Utilización Convenios'!O$3,Tabla1[Nivel],"Maestría")</f>
        <v>0</v>
      </c>
      <c r="P172" s="57">
        <f>COUNTIFS(Tabla2[Tipo de Movilidad],"Intercambio*",Tabla2[Universidad KPIs],'Utilización Convenios'!$C172,Tabla2[Año],'Utilización Convenios'!O$129,Tabla2[Nivel Nominación],"Postgraduate / Master")</f>
        <v>1</v>
      </c>
      <c r="Q172" s="73">
        <f t="shared" si="8"/>
        <v>0</v>
      </c>
      <c r="R172" s="74">
        <f t="shared" si="8"/>
        <v>5</v>
      </c>
    </row>
    <row r="173" spans="2:18">
      <c r="B173" s="248"/>
      <c r="C173" s="22" t="s">
        <v>114</v>
      </c>
      <c r="D173" s="23" t="s">
        <v>95</v>
      </c>
      <c r="E173" s="22">
        <f>COUNTIFS(Tabla1[Tipo de Movilidad],"Intercambio*",Tabla1[Universidad KPIs],'Utilización Convenios'!$C173,Tabla1[Año de Movilidad],'Utilización Convenios'!E$3,Tabla1[Nivel],"Maestría")</f>
        <v>0</v>
      </c>
      <c r="F173" s="23">
        <f>COUNTIFS(Tabla2[Tipo de Movilidad],"Intercambio*",Tabla2[Universidad KPIs],'Utilización Convenios'!$C173,Tabla2[Año],'Utilización Convenios'!E$129,Tabla2[Nivel Nominación],"Postgraduate / Master")</f>
        <v>0</v>
      </c>
      <c r="G173" s="22">
        <f>COUNTIFS(Tabla1[Tipo de Movilidad],"Intercambio*",Tabla1[Universidad KPIs],'Utilización Convenios'!$C173,Tabla1[Año de Movilidad],'Utilización Convenios'!G$3,Tabla1[Nivel],"Maestría")</f>
        <v>0</v>
      </c>
      <c r="H173" s="23">
        <f>COUNTIFS(Tabla2[Tipo de Movilidad],"Intercambio*",Tabla2[Universidad KPIs],'Utilización Convenios'!$C173,Tabla2[Año],'Utilización Convenios'!G$129,Tabla2[Nivel Nominación],"Postgraduate / Master")</f>
        <v>0</v>
      </c>
      <c r="I173" s="22">
        <f>COUNTIFS(Tabla1[Tipo de Movilidad],"Intercambio*",Tabla1[Universidad KPIs],'Utilización Convenios'!$C173,Tabla1[Año de Movilidad],'Utilización Convenios'!I$3,Tabla1[Nivel],"Maestría")</f>
        <v>0</v>
      </c>
      <c r="J173" s="23">
        <f>COUNTIFS(Tabla2[Tipo de Movilidad],"Intercambio*",Tabla2[Universidad KPIs],'Utilización Convenios'!$C173,Tabla2[Año],'Utilización Convenios'!I$129,Tabla2[Nivel Nominación],"Postgraduate / Master")</f>
        <v>1</v>
      </c>
      <c r="K173" s="22">
        <f>COUNTIFS(Tabla1[Tipo de Movilidad],"Intercambio*",Tabla1[Universidad KPIs],'Utilización Convenios'!$C173,Tabla1[Año de Movilidad],'Utilización Convenios'!K$3,Tabla1[Nivel],"Maestría")</f>
        <v>0</v>
      </c>
      <c r="L173" s="23">
        <f>COUNTIFS(Tabla2[Tipo de Movilidad],"Intercambio*",Tabla2[Universidad KPIs],'Utilización Convenios'!$C173,Tabla2[Año],'Utilización Convenios'!K$129,Tabla2[Nivel Nominación],"Postgraduate / Master")</f>
        <v>1</v>
      </c>
      <c r="M173" s="22">
        <f>COUNTIFS(Tabla1[Tipo de Movilidad],"Intercambio*",Tabla1[Universidad KPIs],'Utilización Convenios'!$C173,Tabla1[Año de Movilidad],'Utilización Convenios'!M$3,Tabla1[Nivel],"Maestría")</f>
        <v>0</v>
      </c>
      <c r="N173" s="57">
        <f>COUNTIFS(Tabla2[Tipo de Movilidad],"Intercambio*",Tabla2[Universidad KPIs],'Utilización Convenios'!$C173,Tabla2[Año],'Utilización Convenios'!M$129,Tabla2[Nivel Nominación],"Postgraduate / Master")</f>
        <v>1</v>
      </c>
      <c r="O173" s="22">
        <f>COUNTIFS(Tabla1[Tipo de Movilidad],"Intercambio*",Tabla1[Universidad KPIs],'Utilización Convenios'!$C173,Tabla1[Año de Movilidad],'Utilización Convenios'!O$3,Tabla1[Nivel],"Maestría")</f>
        <v>0</v>
      </c>
      <c r="P173" s="57">
        <f>COUNTIFS(Tabla2[Tipo de Movilidad],"Intercambio*",Tabla2[Universidad KPIs],'Utilización Convenios'!$C173,Tabla2[Año],'Utilización Convenios'!O$129,Tabla2[Nivel Nominación],"Postgraduate / Master")</f>
        <v>0</v>
      </c>
      <c r="Q173" s="73">
        <f t="shared" si="8"/>
        <v>0</v>
      </c>
      <c r="R173" s="74">
        <f t="shared" si="8"/>
        <v>3</v>
      </c>
    </row>
    <row r="174" spans="2:18">
      <c r="B174" s="248"/>
      <c r="C174" s="22" t="s">
        <v>115</v>
      </c>
      <c r="D174" s="23" t="s">
        <v>55</v>
      </c>
      <c r="E174" s="22">
        <f>COUNTIFS(Tabla1[Tipo de Movilidad],"Intercambio*",Tabla1[Universidad KPIs],'Utilización Convenios'!$C174,Tabla1[Año de Movilidad],'Utilización Convenios'!E$3,Tabla1[Nivel],"Maestría")</f>
        <v>0</v>
      </c>
      <c r="F174" s="23">
        <f>COUNTIFS(Tabla2[Tipo de Movilidad],"Intercambio*",Tabla2[Universidad KPIs],'Utilización Convenios'!$C174,Tabla2[Año],'Utilización Convenios'!E$129,Tabla2[Nivel Nominación],"Postgraduate / Master")</f>
        <v>0</v>
      </c>
      <c r="G174" s="22">
        <f>COUNTIFS(Tabla1[Tipo de Movilidad],"Intercambio*",Tabla1[Universidad KPIs],'Utilización Convenios'!$C174,Tabla1[Año de Movilidad],'Utilización Convenios'!G$3,Tabla1[Nivel],"Maestría")</f>
        <v>0</v>
      </c>
      <c r="H174" s="23">
        <f>COUNTIFS(Tabla2[Tipo de Movilidad],"Intercambio*",Tabla2[Universidad KPIs],'Utilización Convenios'!$C174,Tabla2[Año],'Utilización Convenios'!G$129,Tabla2[Nivel Nominación],"Postgraduate / Master")</f>
        <v>0</v>
      </c>
      <c r="I174" s="22">
        <f>COUNTIFS(Tabla1[Tipo de Movilidad],"Intercambio*",Tabla1[Universidad KPIs],'Utilización Convenios'!$C174,Tabla1[Año de Movilidad],'Utilización Convenios'!I$3,Tabla1[Nivel],"Maestría")</f>
        <v>0</v>
      </c>
      <c r="J174" s="23">
        <f>COUNTIFS(Tabla2[Tipo de Movilidad],"Intercambio*",Tabla2[Universidad KPIs],'Utilización Convenios'!$C174,Tabla2[Año],'Utilización Convenios'!I$129,Tabla2[Nivel Nominación],"Postgraduate / Master")</f>
        <v>0</v>
      </c>
      <c r="K174" s="22">
        <f>COUNTIFS(Tabla1[Tipo de Movilidad],"Intercambio*",Tabla1[Universidad KPIs],'Utilización Convenios'!$C174,Tabla1[Año de Movilidad],'Utilización Convenios'!K$3,Tabla1[Nivel],"Maestría")</f>
        <v>0</v>
      </c>
      <c r="L174" s="23">
        <f>COUNTIFS(Tabla2[Tipo de Movilidad],"Intercambio*",Tabla2[Universidad KPIs],'Utilización Convenios'!$C174,Tabla2[Año],'Utilización Convenios'!K$129,Tabla2[Nivel Nominación],"Postgraduate / Master")</f>
        <v>0</v>
      </c>
      <c r="M174" s="22">
        <f>COUNTIFS(Tabla1[Tipo de Movilidad],"Intercambio*",Tabla1[Universidad KPIs],'Utilización Convenios'!$C174,Tabla1[Año de Movilidad],'Utilización Convenios'!M$3,Tabla1[Nivel],"Maestría")</f>
        <v>0</v>
      </c>
      <c r="N174" s="57">
        <f>COUNTIFS(Tabla2[Tipo de Movilidad],"Intercambio*",Tabla2[Universidad KPIs],'Utilización Convenios'!$C174,Tabla2[Año],'Utilización Convenios'!M$129,Tabla2[Nivel Nominación],"Postgraduate / Master")</f>
        <v>0</v>
      </c>
      <c r="O174" s="22">
        <f>COUNTIFS(Tabla1[Tipo de Movilidad],"Intercambio*",Tabla1[Universidad KPIs],'Utilización Convenios'!$C174,Tabla1[Año de Movilidad],'Utilización Convenios'!O$3,Tabla1[Nivel],"Maestría")</f>
        <v>0</v>
      </c>
      <c r="P174" s="57">
        <f>COUNTIFS(Tabla2[Tipo de Movilidad],"Intercambio*",Tabla2[Universidad KPIs],'Utilización Convenios'!$C174,Tabla2[Año],'Utilización Convenios'!O$129,Tabla2[Nivel Nominación],"Postgraduate / Master")</f>
        <v>0</v>
      </c>
      <c r="Q174" s="73">
        <f t="shared" si="8"/>
        <v>0</v>
      </c>
      <c r="R174" s="74">
        <f t="shared" si="8"/>
        <v>0</v>
      </c>
    </row>
    <row r="175" spans="2:18">
      <c r="B175" s="248"/>
      <c r="C175" s="22" t="s">
        <v>116</v>
      </c>
      <c r="D175" s="23" t="s">
        <v>55</v>
      </c>
      <c r="E175" s="22">
        <f>COUNTIFS(Tabla1[Tipo de Movilidad],"Intercambio*",Tabla1[Universidad KPIs],'Utilización Convenios'!$C175,Tabla1[Año de Movilidad],'Utilización Convenios'!E$3,Tabla1[Nivel],"Maestría")</f>
        <v>0</v>
      </c>
      <c r="F175" s="23">
        <f>COUNTIFS(Tabla2[Tipo de Movilidad],"Intercambio*",Tabla2[Universidad KPIs],'Utilización Convenios'!$C175,Tabla2[Año],'Utilización Convenios'!E$129,Tabla2[Nivel Nominación],"Postgraduate / Master")</f>
        <v>0</v>
      </c>
      <c r="G175" s="22">
        <f>COUNTIFS(Tabla1[Tipo de Movilidad],"Intercambio*",Tabla1[Universidad KPIs],'Utilización Convenios'!$C175,Tabla1[Año de Movilidad],'Utilización Convenios'!G$3,Tabla1[Nivel],"Maestría")</f>
        <v>0</v>
      </c>
      <c r="H175" s="23">
        <f>COUNTIFS(Tabla2[Tipo de Movilidad],"Intercambio*",Tabla2[Universidad KPIs],'Utilización Convenios'!$C175,Tabla2[Año],'Utilización Convenios'!G$129,Tabla2[Nivel Nominación],"Postgraduate / Master")</f>
        <v>6</v>
      </c>
      <c r="I175" s="22">
        <f>COUNTIFS(Tabla1[Tipo de Movilidad],"Intercambio*",Tabla1[Universidad KPIs],'Utilización Convenios'!$C175,Tabla1[Año de Movilidad],'Utilización Convenios'!I$3,Tabla1[Nivel],"Maestría")</f>
        <v>0</v>
      </c>
      <c r="J175" s="23">
        <f>COUNTIFS(Tabla2[Tipo de Movilidad],"Intercambio*",Tabla2[Universidad KPIs],'Utilización Convenios'!$C175,Tabla2[Año],'Utilización Convenios'!I$129,Tabla2[Nivel Nominación],"Postgraduate / Master")</f>
        <v>12</v>
      </c>
      <c r="K175" s="22">
        <f>COUNTIFS(Tabla1[Tipo de Movilidad],"Intercambio*",Tabla1[Universidad KPIs],'Utilización Convenios'!$C175,Tabla1[Año de Movilidad],'Utilización Convenios'!K$3,Tabla1[Nivel],"Maestría")</f>
        <v>0</v>
      </c>
      <c r="L175" s="23">
        <f>COUNTIFS(Tabla2[Tipo de Movilidad],"Intercambio*",Tabla2[Universidad KPIs],'Utilización Convenios'!$C175,Tabla2[Año],'Utilización Convenios'!K$129,Tabla2[Nivel Nominación],"Postgraduate / Master")</f>
        <v>5</v>
      </c>
      <c r="M175" s="22">
        <f>COUNTIFS(Tabla1[Tipo de Movilidad],"Intercambio*",Tabla1[Universidad KPIs],'Utilización Convenios'!$C175,Tabla1[Año de Movilidad],'Utilización Convenios'!M$3,Tabla1[Nivel],"Maestría")</f>
        <v>0</v>
      </c>
      <c r="N175" s="57">
        <f>COUNTIFS(Tabla2[Tipo de Movilidad],"Intercambio*",Tabla2[Universidad KPIs],'Utilización Convenios'!$C175,Tabla2[Año],'Utilización Convenios'!M$129,Tabla2[Nivel Nominación],"Postgraduate / Master")</f>
        <v>0</v>
      </c>
      <c r="O175" s="22">
        <f>COUNTIFS(Tabla1[Tipo de Movilidad],"Intercambio*",Tabla1[Universidad KPIs],'Utilización Convenios'!$C175,Tabla1[Año de Movilidad],'Utilización Convenios'!O$3,Tabla1[Nivel],"Maestría")</f>
        <v>0</v>
      </c>
      <c r="P175" s="57">
        <f>COUNTIFS(Tabla2[Tipo de Movilidad],"Intercambio*",Tabla2[Universidad KPIs],'Utilización Convenios'!$C175,Tabla2[Año],'Utilización Convenios'!O$129,Tabla2[Nivel Nominación],"Postgraduate / Master")</f>
        <v>0</v>
      </c>
      <c r="Q175" s="73">
        <f t="shared" si="8"/>
        <v>0</v>
      </c>
      <c r="R175" s="74">
        <f t="shared" si="8"/>
        <v>23</v>
      </c>
    </row>
    <row r="176" spans="2:18">
      <c r="B176" s="248"/>
      <c r="C176" s="22" t="s">
        <v>117</v>
      </c>
      <c r="D176" s="23" t="s">
        <v>118</v>
      </c>
      <c r="E176" s="22">
        <f>COUNTIFS(Tabla1[Tipo de Movilidad],"Intercambio*",Tabla1[Universidad KPIs],'Utilización Convenios'!$C176,Tabla1[Año de Movilidad],'Utilización Convenios'!E$3,Tabla1[Nivel],"Maestría")</f>
        <v>0</v>
      </c>
      <c r="F176" s="23">
        <f>COUNTIFS(Tabla2[Tipo de Movilidad],"Intercambio*",Tabla2[Universidad KPIs],'Utilización Convenios'!$C176,Tabla2[Año],'Utilización Convenios'!E$129,Tabla2[Nivel Nominación],"Postgraduate / Master")</f>
        <v>0</v>
      </c>
      <c r="G176" s="22">
        <f>COUNTIFS(Tabla1[Tipo de Movilidad],"Intercambio*",Tabla1[Universidad KPIs],'Utilización Convenios'!$C176,Tabla1[Año de Movilidad],'Utilización Convenios'!G$3,Tabla1[Nivel],"Maestría")</f>
        <v>0</v>
      </c>
      <c r="H176" s="23">
        <f>COUNTIFS(Tabla2[Tipo de Movilidad],"Intercambio*",Tabla2[Universidad KPIs],'Utilización Convenios'!$C176,Tabla2[Año],'Utilización Convenios'!G$129,Tabla2[Nivel Nominación],"Postgraduate / Master")</f>
        <v>0</v>
      </c>
      <c r="I176" s="22">
        <f>COUNTIFS(Tabla1[Tipo de Movilidad],"Intercambio*",Tabla1[Universidad KPIs],'Utilización Convenios'!$C176,Tabla1[Año de Movilidad],'Utilización Convenios'!I$3,Tabla1[Nivel],"Maestría")</f>
        <v>0</v>
      </c>
      <c r="J176" s="23">
        <f>COUNTIFS(Tabla2[Tipo de Movilidad],"Intercambio*",Tabla2[Universidad KPIs],'Utilización Convenios'!$C176,Tabla2[Año],'Utilización Convenios'!I$129,Tabla2[Nivel Nominación],"Postgraduate / Master")</f>
        <v>0</v>
      </c>
      <c r="K176" s="22">
        <f>COUNTIFS(Tabla1[Tipo de Movilidad],"Intercambio*",Tabla1[Universidad KPIs],'Utilización Convenios'!$C176,Tabla1[Año de Movilidad],'Utilización Convenios'!K$3,Tabla1[Nivel],"Maestría")</f>
        <v>0</v>
      </c>
      <c r="L176" s="23">
        <f>COUNTIFS(Tabla2[Tipo de Movilidad],"Intercambio*",Tabla2[Universidad KPIs],'Utilización Convenios'!$C176,Tabla2[Año],'Utilización Convenios'!K$129,Tabla2[Nivel Nominación],"Postgraduate / Master")</f>
        <v>0</v>
      </c>
      <c r="M176" s="22">
        <f>COUNTIFS(Tabla1[Tipo de Movilidad],"Intercambio*",Tabla1[Universidad KPIs],'Utilización Convenios'!$C176,Tabla1[Año de Movilidad],'Utilización Convenios'!M$3,Tabla1[Nivel],"Maestría")</f>
        <v>0</v>
      </c>
      <c r="N176" s="57">
        <f>COUNTIFS(Tabla2[Tipo de Movilidad],"Intercambio*",Tabla2[Universidad KPIs],'Utilización Convenios'!$C176,Tabla2[Año],'Utilización Convenios'!M$129,Tabla2[Nivel Nominación],"Postgraduate / Master")</f>
        <v>0</v>
      </c>
      <c r="O176" s="22">
        <f>COUNTIFS(Tabla1[Tipo de Movilidad],"Intercambio*",Tabla1[Universidad KPIs],'Utilización Convenios'!$C176,Tabla1[Año de Movilidad],'Utilización Convenios'!O$3,Tabla1[Nivel],"Maestría")</f>
        <v>0</v>
      </c>
      <c r="P176" s="57">
        <f>COUNTIFS(Tabla2[Tipo de Movilidad],"Intercambio*",Tabla2[Universidad KPIs],'Utilización Convenios'!$C176,Tabla2[Año],'Utilización Convenios'!O$129,Tabla2[Nivel Nominación],"Postgraduate / Master")</f>
        <v>0</v>
      </c>
      <c r="Q176" s="73">
        <f t="shared" si="8"/>
        <v>0</v>
      </c>
      <c r="R176" s="74">
        <f t="shared" si="8"/>
        <v>0</v>
      </c>
    </row>
    <row r="177" spans="2:18">
      <c r="B177" s="248"/>
      <c r="C177" s="22" t="s">
        <v>119</v>
      </c>
      <c r="D177" s="23" t="s">
        <v>76</v>
      </c>
      <c r="E177" s="22">
        <f>COUNTIFS(Tabla1[Tipo de Movilidad],"Intercambio*",Tabla1[Universidad KPIs],'Utilización Convenios'!$C177,Tabla1[Año de Movilidad],'Utilización Convenios'!E$3,Tabla1[Nivel],"Maestría")</f>
        <v>0</v>
      </c>
      <c r="F177" s="23">
        <f>COUNTIFS(Tabla2[Tipo de Movilidad],"Intercambio*",Tabla2[Universidad KPIs],'Utilización Convenios'!$C177,Tabla2[Año],'Utilización Convenios'!E$129,Tabla2[Nivel Nominación],"Postgraduate / Master")</f>
        <v>1</v>
      </c>
      <c r="G177" s="22">
        <f>COUNTIFS(Tabla1[Tipo de Movilidad],"Intercambio*",Tabla1[Universidad KPIs],'Utilización Convenios'!$C177,Tabla1[Año de Movilidad],'Utilización Convenios'!G$3,Tabla1[Nivel],"Maestría")</f>
        <v>0</v>
      </c>
      <c r="H177" s="23">
        <f>COUNTIFS(Tabla2[Tipo de Movilidad],"Intercambio*",Tabla2[Universidad KPIs],'Utilización Convenios'!$C177,Tabla2[Año],'Utilización Convenios'!G$129,Tabla2[Nivel Nominación],"Postgraduate / Master")</f>
        <v>1</v>
      </c>
      <c r="I177" s="22">
        <f>COUNTIFS(Tabla1[Tipo de Movilidad],"Intercambio*",Tabla1[Universidad KPIs],'Utilización Convenios'!$C177,Tabla1[Año de Movilidad],'Utilización Convenios'!I$3,Tabla1[Nivel],"Maestría")</f>
        <v>0</v>
      </c>
      <c r="J177" s="23">
        <f>COUNTIFS(Tabla2[Tipo de Movilidad],"Intercambio*",Tabla2[Universidad KPIs],'Utilización Convenios'!$C177,Tabla2[Año],'Utilización Convenios'!I$129,Tabla2[Nivel Nominación],"Postgraduate / Master")</f>
        <v>1</v>
      </c>
      <c r="K177" s="22">
        <f>COUNTIFS(Tabla1[Tipo de Movilidad],"Intercambio*",Tabla1[Universidad KPIs],'Utilización Convenios'!$C177,Tabla1[Año de Movilidad],'Utilización Convenios'!K$3,Tabla1[Nivel],"Maestría")</f>
        <v>0</v>
      </c>
      <c r="L177" s="23">
        <f>COUNTIFS(Tabla2[Tipo de Movilidad],"Intercambio*",Tabla2[Universidad KPIs],'Utilización Convenios'!$C177,Tabla2[Año],'Utilización Convenios'!K$129,Tabla2[Nivel Nominación],"Postgraduate / Master")</f>
        <v>0</v>
      </c>
      <c r="M177" s="22">
        <f>COUNTIFS(Tabla1[Tipo de Movilidad],"Intercambio*",Tabla1[Universidad KPIs],'Utilización Convenios'!$C177,Tabla1[Año de Movilidad],'Utilización Convenios'!M$3,Tabla1[Nivel],"Maestría")</f>
        <v>0</v>
      </c>
      <c r="N177" s="57">
        <f>COUNTIFS(Tabla2[Tipo de Movilidad],"Intercambio*",Tabla2[Universidad KPIs],'Utilización Convenios'!$C177,Tabla2[Año],'Utilización Convenios'!M$129,Tabla2[Nivel Nominación],"Postgraduate / Master")</f>
        <v>1</v>
      </c>
      <c r="O177" s="22">
        <f>COUNTIFS(Tabla1[Tipo de Movilidad],"Intercambio*",Tabla1[Universidad KPIs],'Utilización Convenios'!$C177,Tabla1[Año de Movilidad],'Utilización Convenios'!O$3,Tabla1[Nivel],"Maestría")</f>
        <v>0</v>
      </c>
      <c r="P177" s="57">
        <f>COUNTIFS(Tabla2[Tipo de Movilidad],"Intercambio*",Tabla2[Universidad KPIs],'Utilización Convenios'!$C177,Tabla2[Año],'Utilización Convenios'!O$129,Tabla2[Nivel Nominación],"Postgraduate / Master")</f>
        <v>1</v>
      </c>
      <c r="Q177" s="73">
        <f t="shared" si="8"/>
        <v>0</v>
      </c>
      <c r="R177" s="74">
        <f t="shared" si="8"/>
        <v>5</v>
      </c>
    </row>
    <row r="178" spans="2:18">
      <c r="B178" s="248"/>
      <c r="C178" s="22" t="s">
        <v>120</v>
      </c>
      <c r="D178" s="23" t="s">
        <v>106</v>
      </c>
      <c r="E178" s="22">
        <f>COUNTIFS(Tabla1[Tipo de Movilidad],"Intercambio*",Tabla1[Universidad KPIs],'Utilización Convenios'!$C178,Tabla1[Año de Movilidad],'Utilización Convenios'!E$3,Tabla1[Nivel],"Maestría")</f>
        <v>0</v>
      </c>
      <c r="F178" s="23">
        <f>COUNTIFS(Tabla2[Tipo de Movilidad],"Intercambio*",Tabla2[Universidad KPIs],'Utilización Convenios'!$C178,Tabla2[Año],'Utilización Convenios'!E$129,Tabla2[Nivel Nominación],"Postgraduate / Master")</f>
        <v>0</v>
      </c>
      <c r="G178" s="22">
        <f>COUNTIFS(Tabla1[Tipo de Movilidad],"Intercambio*",Tabla1[Universidad KPIs],'Utilización Convenios'!$C178,Tabla1[Año de Movilidad],'Utilización Convenios'!G$3,Tabla1[Nivel],"Maestría")</f>
        <v>0</v>
      </c>
      <c r="H178" s="23">
        <f>COUNTIFS(Tabla2[Tipo de Movilidad],"Intercambio*",Tabla2[Universidad KPIs],'Utilización Convenios'!$C178,Tabla2[Año],'Utilización Convenios'!G$129,Tabla2[Nivel Nominación],"Postgraduate / Master")</f>
        <v>0</v>
      </c>
      <c r="I178" s="22">
        <f>COUNTIFS(Tabla1[Tipo de Movilidad],"Intercambio*",Tabla1[Universidad KPIs],'Utilización Convenios'!$C178,Tabla1[Año de Movilidad],'Utilización Convenios'!I$3,Tabla1[Nivel],"Maestría")</f>
        <v>0</v>
      </c>
      <c r="J178" s="23">
        <f>COUNTIFS(Tabla2[Tipo de Movilidad],"Intercambio*",Tabla2[Universidad KPIs],'Utilización Convenios'!$C178,Tabla2[Año],'Utilización Convenios'!I$129,Tabla2[Nivel Nominación],"Postgraduate / Master")</f>
        <v>0</v>
      </c>
      <c r="K178" s="22">
        <f>COUNTIFS(Tabla1[Tipo de Movilidad],"Intercambio*",Tabla1[Universidad KPIs],'Utilización Convenios'!$C178,Tabla1[Año de Movilidad],'Utilización Convenios'!K$3,Tabla1[Nivel],"Maestría")</f>
        <v>0</v>
      </c>
      <c r="L178" s="23">
        <f>COUNTIFS(Tabla2[Tipo de Movilidad],"Intercambio*",Tabla2[Universidad KPIs],'Utilización Convenios'!$C178,Tabla2[Año],'Utilización Convenios'!K$129,Tabla2[Nivel Nominación],"Postgraduate / Master")</f>
        <v>0</v>
      </c>
      <c r="M178" s="22">
        <f>COUNTIFS(Tabla1[Tipo de Movilidad],"Intercambio*",Tabla1[Universidad KPIs],'Utilización Convenios'!$C178,Tabla1[Año de Movilidad],'Utilización Convenios'!M$3,Tabla1[Nivel],"Maestría")</f>
        <v>0</v>
      </c>
      <c r="N178" s="57">
        <f>COUNTIFS(Tabla2[Tipo de Movilidad],"Intercambio*",Tabla2[Universidad KPIs],'Utilización Convenios'!$C178,Tabla2[Año],'Utilización Convenios'!M$129,Tabla2[Nivel Nominación],"Postgraduate / Master")</f>
        <v>0</v>
      </c>
      <c r="O178" s="22">
        <f>COUNTIFS(Tabla1[Tipo de Movilidad],"Intercambio*",Tabla1[Universidad KPIs],'Utilización Convenios'!$C178,Tabla1[Año de Movilidad],'Utilización Convenios'!O$3,Tabla1[Nivel],"Maestría")</f>
        <v>0</v>
      </c>
      <c r="P178" s="57">
        <f>COUNTIFS(Tabla2[Tipo de Movilidad],"Intercambio*",Tabla2[Universidad KPIs],'Utilización Convenios'!$C178,Tabla2[Año],'Utilización Convenios'!O$129,Tabla2[Nivel Nominación],"Postgraduate / Master")</f>
        <v>0</v>
      </c>
      <c r="Q178" s="73">
        <f t="shared" si="8"/>
        <v>0</v>
      </c>
      <c r="R178" s="74">
        <f t="shared" si="8"/>
        <v>0</v>
      </c>
    </row>
    <row r="179" spans="2:18">
      <c r="B179" s="248"/>
      <c r="C179" s="22" t="s">
        <v>121</v>
      </c>
      <c r="D179" s="23" t="s">
        <v>81</v>
      </c>
      <c r="E179" s="22">
        <f>COUNTIFS(Tabla1[Tipo de Movilidad],"Intercambio*",Tabla1[Universidad KPIs],'Utilización Convenios'!$C179,Tabla1[Año de Movilidad],'Utilización Convenios'!E$3,Tabla1[Nivel],"Maestría")</f>
        <v>0</v>
      </c>
      <c r="F179" s="23">
        <f>COUNTIFS(Tabla2[Tipo de Movilidad],"Intercambio*",Tabla2[Universidad KPIs],'Utilización Convenios'!$C179,Tabla2[Año],'Utilización Convenios'!E$129,Tabla2[Nivel Nominación],"Postgraduate / Master")</f>
        <v>1</v>
      </c>
      <c r="G179" s="22">
        <f>COUNTIFS(Tabla1[Tipo de Movilidad],"Intercambio*",Tabla1[Universidad KPIs],'Utilización Convenios'!$C179,Tabla1[Año de Movilidad],'Utilización Convenios'!G$3,Tabla1[Nivel],"Maestría")</f>
        <v>0</v>
      </c>
      <c r="H179" s="23">
        <f>COUNTIFS(Tabla2[Tipo de Movilidad],"Intercambio*",Tabla2[Universidad KPIs],'Utilización Convenios'!$C179,Tabla2[Año],'Utilización Convenios'!G$129,Tabla2[Nivel Nominación],"Postgraduate / Master")</f>
        <v>1</v>
      </c>
      <c r="I179" s="22">
        <f>COUNTIFS(Tabla1[Tipo de Movilidad],"Intercambio*",Tabla1[Universidad KPIs],'Utilización Convenios'!$C179,Tabla1[Año de Movilidad],'Utilización Convenios'!I$3,Tabla1[Nivel],"Maestría")</f>
        <v>0</v>
      </c>
      <c r="J179" s="23">
        <f>COUNTIFS(Tabla2[Tipo de Movilidad],"Intercambio*",Tabla2[Universidad KPIs],'Utilización Convenios'!$C179,Tabla2[Año],'Utilización Convenios'!I$129,Tabla2[Nivel Nominación],"Postgraduate / Master")</f>
        <v>0</v>
      </c>
      <c r="K179" s="22">
        <f>COUNTIFS(Tabla1[Tipo de Movilidad],"Intercambio*",Tabla1[Universidad KPIs],'Utilización Convenios'!$C179,Tabla1[Año de Movilidad],'Utilización Convenios'!K$3,Tabla1[Nivel],"Maestría")</f>
        <v>0</v>
      </c>
      <c r="L179" s="23">
        <f>COUNTIFS(Tabla2[Tipo de Movilidad],"Intercambio*",Tabla2[Universidad KPIs],'Utilización Convenios'!$C179,Tabla2[Año],'Utilización Convenios'!K$129,Tabla2[Nivel Nominación],"Postgraduate / Master")</f>
        <v>2</v>
      </c>
      <c r="M179" s="22">
        <f>COUNTIFS(Tabla1[Tipo de Movilidad],"Intercambio*",Tabla1[Universidad KPIs],'Utilización Convenios'!$C179,Tabla1[Año de Movilidad],'Utilización Convenios'!M$3,Tabla1[Nivel],"Maestría")</f>
        <v>0</v>
      </c>
      <c r="N179" s="57">
        <f>COUNTIFS(Tabla2[Tipo de Movilidad],"Intercambio*",Tabla2[Universidad KPIs],'Utilización Convenios'!$C179,Tabla2[Año],'Utilización Convenios'!M$129,Tabla2[Nivel Nominación],"Postgraduate / Master")</f>
        <v>3</v>
      </c>
      <c r="O179" s="22">
        <f>COUNTIFS(Tabla1[Tipo de Movilidad],"Intercambio*",Tabla1[Universidad KPIs],'Utilización Convenios'!$C179,Tabla1[Año de Movilidad],'Utilización Convenios'!O$3,Tabla1[Nivel],"Maestría")</f>
        <v>0</v>
      </c>
      <c r="P179" s="57">
        <f>COUNTIFS(Tabla2[Tipo de Movilidad],"Intercambio*",Tabla2[Universidad KPIs],'Utilización Convenios'!$C179,Tabla2[Año],'Utilización Convenios'!O$129,Tabla2[Nivel Nominación],"Postgraduate / Master")</f>
        <v>0</v>
      </c>
      <c r="Q179" s="73">
        <f t="shared" si="8"/>
        <v>0</v>
      </c>
      <c r="R179" s="74">
        <f t="shared" si="8"/>
        <v>7</v>
      </c>
    </row>
    <row r="180" spans="2:18">
      <c r="B180" s="248"/>
      <c r="C180" s="22" t="s">
        <v>124</v>
      </c>
      <c r="D180" s="23" t="s">
        <v>51</v>
      </c>
      <c r="E180" s="22">
        <f>COUNTIFS(Tabla1[Tipo de Movilidad],"Intercambio*",Tabla1[Universidad KPIs],'Utilización Convenios'!$C180,Tabla1[Año de Movilidad],'Utilización Convenios'!E$3,Tabla1[Nivel],"Maestría")</f>
        <v>0</v>
      </c>
      <c r="F180" s="23">
        <f>COUNTIFS(Tabla2[Tipo de Movilidad],"Intercambio*",Tabla2[Universidad KPIs],'Utilización Convenios'!$C180,Tabla2[Año],'Utilización Convenios'!E$129,Tabla2[Nivel Nominación],"Postgraduate / Master")</f>
        <v>0</v>
      </c>
      <c r="G180" s="22">
        <f>COUNTIFS(Tabla1[Tipo de Movilidad],"Intercambio*",Tabla1[Universidad KPIs],'Utilización Convenios'!$C180,Tabla1[Año de Movilidad],'Utilización Convenios'!G$3,Tabla1[Nivel],"Maestría")</f>
        <v>0</v>
      </c>
      <c r="H180" s="23">
        <f>COUNTIFS(Tabla2[Tipo de Movilidad],"Intercambio*",Tabla2[Universidad KPIs],'Utilización Convenios'!$C180,Tabla2[Año],'Utilización Convenios'!G$129,Tabla2[Nivel Nominación],"Postgraduate / Master")</f>
        <v>0</v>
      </c>
      <c r="I180" s="22">
        <f>COUNTIFS(Tabla1[Tipo de Movilidad],"Intercambio*",Tabla1[Universidad KPIs],'Utilización Convenios'!$C180,Tabla1[Año de Movilidad],'Utilización Convenios'!I$3,Tabla1[Nivel],"Maestría")</f>
        <v>0</v>
      </c>
      <c r="J180" s="23">
        <f>COUNTIFS(Tabla2[Tipo de Movilidad],"Intercambio*",Tabla2[Universidad KPIs],'Utilización Convenios'!$C180,Tabla2[Año],'Utilización Convenios'!I$129,Tabla2[Nivel Nominación],"Postgraduate / Master")</f>
        <v>0</v>
      </c>
      <c r="K180" s="22">
        <f>COUNTIFS(Tabla1[Tipo de Movilidad],"Intercambio*",Tabla1[Universidad KPIs],'Utilización Convenios'!$C180,Tabla1[Año de Movilidad],'Utilización Convenios'!K$3,Tabla1[Nivel],"Maestría")</f>
        <v>0</v>
      </c>
      <c r="L180" s="23">
        <f>COUNTIFS(Tabla2[Tipo de Movilidad],"Intercambio*",Tabla2[Universidad KPIs],'Utilización Convenios'!$C180,Tabla2[Año],'Utilización Convenios'!K$129,Tabla2[Nivel Nominación],"Postgraduate / Master")</f>
        <v>0</v>
      </c>
      <c r="M180" s="22">
        <f>COUNTIFS(Tabla1[Tipo de Movilidad],"Intercambio*",Tabla1[Universidad KPIs],'Utilización Convenios'!$C180,Tabla1[Año de Movilidad],'Utilización Convenios'!M$3,Tabla1[Nivel],"Maestría")</f>
        <v>0</v>
      </c>
      <c r="N180" s="57">
        <f>COUNTIFS(Tabla2[Tipo de Movilidad],"Intercambio*",Tabla2[Universidad KPIs],'Utilización Convenios'!$C180,Tabla2[Año],'Utilización Convenios'!M$129,Tabla2[Nivel Nominación],"Postgraduate / Master")</f>
        <v>0</v>
      </c>
      <c r="O180" s="22">
        <f>COUNTIFS(Tabla1[Tipo de Movilidad],"Intercambio*",Tabla1[Universidad KPIs],'Utilización Convenios'!$C180,Tabla1[Año de Movilidad],'Utilización Convenios'!O$3,Tabla1[Nivel],"Maestría")</f>
        <v>0</v>
      </c>
      <c r="P180" s="57">
        <f>COUNTIFS(Tabla2[Tipo de Movilidad],"Intercambio*",Tabla2[Universidad KPIs],'Utilización Convenios'!$C180,Tabla2[Año],'Utilización Convenios'!O$129,Tabla2[Nivel Nominación],"Postgraduate / Master")</f>
        <v>0</v>
      </c>
      <c r="Q180" s="73">
        <f t="shared" si="8"/>
        <v>0</v>
      </c>
      <c r="R180" s="74">
        <f t="shared" si="8"/>
        <v>0</v>
      </c>
    </row>
    <row r="181" spans="2:18">
      <c r="B181" s="248"/>
      <c r="C181" s="22" t="s">
        <v>122</v>
      </c>
      <c r="D181" s="23" t="s">
        <v>123</v>
      </c>
      <c r="E181" s="22">
        <f>COUNTIFS(Tabla1[Tipo de Movilidad],"Intercambio*",Tabla1[Universidad KPIs],'Utilización Convenios'!$C181,Tabla1[Año de Movilidad],'Utilización Convenios'!E$3,Tabla1[Nivel],"Maestría")</f>
        <v>0</v>
      </c>
      <c r="F181" s="23">
        <f>COUNTIFS(Tabla2[Tipo de Movilidad],"Intercambio*",Tabla2[Universidad KPIs],'Utilización Convenios'!$C181,Tabla2[Año],'Utilización Convenios'!E$129,Tabla2[Nivel Nominación],"Postgraduate / Master")</f>
        <v>2</v>
      </c>
      <c r="G181" s="22">
        <f>COUNTIFS(Tabla1[Tipo de Movilidad],"Intercambio*",Tabla1[Universidad KPIs],'Utilización Convenios'!$C181,Tabla1[Año de Movilidad],'Utilización Convenios'!G$3,Tabla1[Nivel],"Maestría")</f>
        <v>0</v>
      </c>
      <c r="H181" s="23">
        <f>COUNTIFS(Tabla2[Tipo de Movilidad],"Intercambio*",Tabla2[Universidad KPIs],'Utilización Convenios'!$C181,Tabla2[Año],'Utilización Convenios'!G$129,Tabla2[Nivel Nominación],"Postgraduate / Master")</f>
        <v>1</v>
      </c>
      <c r="I181" s="22">
        <f>COUNTIFS(Tabla1[Tipo de Movilidad],"Intercambio*",Tabla1[Universidad KPIs],'Utilización Convenios'!$C181,Tabla1[Año de Movilidad],'Utilización Convenios'!I$3,Tabla1[Nivel],"Maestría")</f>
        <v>0</v>
      </c>
      <c r="J181" s="23">
        <f>COUNTIFS(Tabla2[Tipo de Movilidad],"Intercambio*",Tabla2[Universidad KPIs],'Utilización Convenios'!$C181,Tabla2[Año],'Utilización Convenios'!I$129,Tabla2[Nivel Nominación],"Postgraduate / Master")</f>
        <v>0</v>
      </c>
      <c r="K181" s="22">
        <f>COUNTIFS(Tabla1[Tipo de Movilidad],"Intercambio*",Tabla1[Universidad KPIs],'Utilización Convenios'!$C181,Tabla1[Año de Movilidad],'Utilización Convenios'!K$3,Tabla1[Nivel],"Maestría")</f>
        <v>0</v>
      </c>
      <c r="L181" s="23">
        <f>COUNTIFS(Tabla2[Tipo de Movilidad],"Intercambio*",Tabla2[Universidad KPIs],'Utilización Convenios'!$C181,Tabla2[Año],'Utilización Convenios'!K$129,Tabla2[Nivel Nominación],"Postgraduate / Master")</f>
        <v>0</v>
      </c>
      <c r="M181" s="22">
        <f>COUNTIFS(Tabla1[Tipo de Movilidad],"Intercambio*",Tabla1[Universidad KPIs],'Utilización Convenios'!$C181,Tabla1[Año de Movilidad],'Utilización Convenios'!M$3,Tabla1[Nivel],"Maestría")</f>
        <v>0</v>
      </c>
      <c r="N181" s="57">
        <f>COUNTIFS(Tabla2[Tipo de Movilidad],"Intercambio*",Tabla2[Universidad KPIs],'Utilización Convenios'!$C181,Tabla2[Año],'Utilización Convenios'!M$129,Tabla2[Nivel Nominación],"Postgraduate / Master")</f>
        <v>1</v>
      </c>
      <c r="O181" s="22">
        <f>COUNTIFS(Tabla1[Tipo de Movilidad],"Intercambio*",Tabla1[Universidad KPIs],'Utilización Convenios'!$C181,Tabla1[Año de Movilidad],'Utilización Convenios'!O$3,Tabla1[Nivel],"Maestría")</f>
        <v>0</v>
      </c>
      <c r="P181" s="57">
        <f>COUNTIFS(Tabla2[Tipo de Movilidad],"Intercambio*",Tabla2[Universidad KPIs],'Utilización Convenios'!$C181,Tabla2[Año],'Utilización Convenios'!O$129,Tabla2[Nivel Nominación],"Postgraduate / Master")</f>
        <v>0</v>
      </c>
      <c r="Q181" s="73">
        <f t="shared" si="8"/>
        <v>0</v>
      </c>
      <c r="R181" s="74">
        <f t="shared" si="8"/>
        <v>4</v>
      </c>
    </row>
    <row r="182" spans="2:18">
      <c r="B182" s="248"/>
      <c r="C182" s="22" t="s">
        <v>125</v>
      </c>
      <c r="D182" s="23" t="s">
        <v>126</v>
      </c>
      <c r="E182" s="22">
        <f>COUNTIFS(Tabla1[Tipo de Movilidad],"Intercambio*",Tabla1[Universidad KPIs],'Utilización Convenios'!$C182,Tabla1[Año de Movilidad],'Utilización Convenios'!E$3,Tabla1[Nivel],"Maestría")</f>
        <v>0</v>
      </c>
      <c r="F182" s="23">
        <f>COUNTIFS(Tabla2[Tipo de Movilidad],"Intercambio*",Tabla2[Universidad KPIs],'Utilización Convenios'!$C182,Tabla2[Año],'Utilización Convenios'!E$129,Tabla2[Nivel Nominación],"Postgraduate / Master")</f>
        <v>0</v>
      </c>
      <c r="G182" s="22">
        <f>COUNTIFS(Tabla1[Tipo de Movilidad],"Intercambio*",Tabla1[Universidad KPIs],'Utilización Convenios'!$C182,Tabla1[Año de Movilidad],'Utilización Convenios'!G$3,Tabla1[Nivel],"Maestría")</f>
        <v>0</v>
      </c>
      <c r="H182" s="23">
        <f>COUNTIFS(Tabla2[Tipo de Movilidad],"Intercambio*",Tabla2[Universidad KPIs],'Utilización Convenios'!$C182,Tabla2[Año],'Utilización Convenios'!G$129,Tabla2[Nivel Nominación],"Postgraduate / Master")</f>
        <v>0</v>
      </c>
      <c r="I182" s="22">
        <f>COUNTIFS(Tabla1[Tipo de Movilidad],"Intercambio*",Tabla1[Universidad KPIs],'Utilización Convenios'!$C182,Tabla1[Año de Movilidad],'Utilización Convenios'!I$3,Tabla1[Nivel],"Maestría")</f>
        <v>0</v>
      </c>
      <c r="J182" s="23">
        <f>COUNTIFS(Tabla2[Tipo de Movilidad],"Intercambio*",Tabla2[Universidad KPIs],'Utilización Convenios'!$C182,Tabla2[Año],'Utilización Convenios'!I$129,Tabla2[Nivel Nominación],"Postgraduate / Master")</f>
        <v>0</v>
      </c>
      <c r="K182" s="22">
        <f>COUNTIFS(Tabla1[Tipo de Movilidad],"Intercambio*",Tabla1[Universidad KPIs],'Utilización Convenios'!$C182,Tabla1[Año de Movilidad],'Utilización Convenios'!K$3,Tabla1[Nivel],"Maestría")</f>
        <v>0</v>
      </c>
      <c r="L182" s="23">
        <f>COUNTIFS(Tabla2[Tipo de Movilidad],"Intercambio*",Tabla2[Universidad KPIs],'Utilización Convenios'!$C182,Tabla2[Año],'Utilización Convenios'!K$129,Tabla2[Nivel Nominación],"Postgraduate / Master")</f>
        <v>0</v>
      </c>
      <c r="M182" s="22">
        <f>COUNTIFS(Tabla1[Tipo de Movilidad],"Intercambio*",Tabla1[Universidad KPIs],'Utilización Convenios'!$C182,Tabla1[Año de Movilidad],'Utilización Convenios'!M$3,Tabla1[Nivel],"Maestría")</f>
        <v>0</v>
      </c>
      <c r="N182" s="57">
        <f>COUNTIFS(Tabla2[Tipo de Movilidad],"Intercambio*",Tabla2[Universidad KPIs],'Utilización Convenios'!$C182,Tabla2[Año],'Utilización Convenios'!M$129,Tabla2[Nivel Nominación],"Postgraduate / Master")</f>
        <v>0</v>
      </c>
      <c r="O182" s="22">
        <f>COUNTIFS(Tabla1[Tipo de Movilidad],"Intercambio*",Tabla1[Universidad KPIs],'Utilización Convenios'!$C182,Tabla1[Año de Movilidad],'Utilización Convenios'!O$3,Tabla1[Nivel],"Maestría")</f>
        <v>0</v>
      </c>
      <c r="P182" s="57">
        <f>COUNTIFS(Tabla2[Tipo de Movilidad],"Intercambio*",Tabla2[Universidad KPIs],'Utilización Convenios'!$C182,Tabla2[Año],'Utilización Convenios'!O$129,Tabla2[Nivel Nominación],"Postgraduate / Master")</f>
        <v>0</v>
      </c>
      <c r="Q182" s="73">
        <f t="shared" si="8"/>
        <v>0</v>
      </c>
      <c r="R182" s="74">
        <f t="shared" si="8"/>
        <v>0</v>
      </c>
    </row>
    <row r="183" spans="2:18">
      <c r="B183" s="248"/>
      <c r="C183" s="22" t="s">
        <v>127</v>
      </c>
      <c r="D183" s="23" t="s">
        <v>128</v>
      </c>
      <c r="E183" s="22">
        <f>COUNTIFS(Tabla1[Tipo de Movilidad],"Intercambio*",Tabla1[Universidad KPIs],'Utilización Convenios'!$C183,Tabla1[Año de Movilidad],'Utilización Convenios'!E$3,Tabla1[Nivel],"Maestría")</f>
        <v>0</v>
      </c>
      <c r="F183" s="23">
        <f>COUNTIFS(Tabla2[Tipo de Movilidad],"Intercambio*",Tabla2[Universidad KPIs],'Utilización Convenios'!$C183,Tabla2[Año],'Utilización Convenios'!E$129,Tabla2[Nivel Nominación],"Postgraduate / Master")</f>
        <v>0</v>
      </c>
      <c r="G183" s="22">
        <f>COUNTIFS(Tabla1[Tipo de Movilidad],"Intercambio*",Tabla1[Universidad KPIs],'Utilización Convenios'!$C183,Tabla1[Año de Movilidad],'Utilización Convenios'!G$3,Tabla1[Nivel],"Maestría")</f>
        <v>0</v>
      </c>
      <c r="H183" s="23">
        <f>COUNTIFS(Tabla2[Tipo de Movilidad],"Intercambio*",Tabla2[Universidad KPIs],'Utilización Convenios'!$C183,Tabla2[Año],'Utilización Convenios'!G$129,Tabla2[Nivel Nominación],"Postgraduate / Master")</f>
        <v>0</v>
      </c>
      <c r="I183" s="22">
        <f>COUNTIFS(Tabla1[Tipo de Movilidad],"Intercambio*",Tabla1[Universidad KPIs],'Utilización Convenios'!$C183,Tabla1[Año de Movilidad],'Utilización Convenios'!I$3,Tabla1[Nivel],"Maestría")</f>
        <v>0</v>
      </c>
      <c r="J183" s="23">
        <f>COUNTIFS(Tabla2[Tipo de Movilidad],"Intercambio*",Tabla2[Universidad KPIs],'Utilización Convenios'!$C183,Tabla2[Año],'Utilización Convenios'!I$129,Tabla2[Nivel Nominación],"Postgraduate / Master")</f>
        <v>0</v>
      </c>
      <c r="K183" s="22">
        <f>COUNTIFS(Tabla1[Tipo de Movilidad],"Intercambio*",Tabla1[Universidad KPIs],'Utilización Convenios'!$C183,Tabla1[Año de Movilidad],'Utilización Convenios'!K$3,Tabla1[Nivel],"Maestría")</f>
        <v>0</v>
      </c>
      <c r="L183" s="23">
        <f>COUNTIFS(Tabla2[Tipo de Movilidad],"Intercambio*",Tabla2[Universidad KPIs],'Utilización Convenios'!$C183,Tabla2[Año],'Utilización Convenios'!K$129,Tabla2[Nivel Nominación],"Postgraduate / Master")</f>
        <v>0</v>
      </c>
      <c r="M183" s="22">
        <f>COUNTIFS(Tabla1[Tipo de Movilidad],"Intercambio*",Tabla1[Universidad KPIs],'Utilización Convenios'!$C183,Tabla1[Año de Movilidad],'Utilización Convenios'!M$3,Tabla1[Nivel],"Maestría")</f>
        <v>0</v>
      </c>
      <c r="N183" s="57">
        <f>COUNTIFS(Tabla2[Tipo de Movilidad],"Intercambio*",Tabla2[Universidad KPIs],'Utilización Convenios'!$C183,Tabla2[Año],'Utilización Convenios'!M$129,Tabla2[Nivel Nominación],"Postgraduate / Master")</f>
        <v>0</v>
      </c>
      <c r="O183" s="22">
        <f>COUNTIFS(Tabla1[Tipo de Movilidad],"Intercambio*",Tabla1[Universidad KPIs],'Utilización Convenios'!$C183,Tabla1[Año de Movilidad],'Utilización Convenios'!O$3,Tabla1[Nivel],"Maestría")</f>
        <v>0</v>
      </c>
      <c r="P183" s="57">
        <f>COUNTIFS(Tabla2[Tipo de Movilidad],"Intercambio*",Tabla2[Universidad KPIs],'Utilización Convenios'!$C183,Tabla2[Año],'Utilización Convenios'!O$129,Tabla2[Nivel Nominación],"Postgraduate / Master")</f>
        <v>0</v>
      </c>
      <c r="Q183" s="73">
        <f t="shared" si="8"/>
        <v>0</v>
      </c>
      <c r="R183" s="74">
        <f t="shared" si="8"/>
        <v>0</v>
      </c>
    </row>
    <row r="184" spans="2:18">
      <c r="B184" s="248"/>
      <c r="C184" s="22" t="s">
        <v>129</v>
      </c>
      <c r="D184" s="23" t="s">
        <v>130</v>
      </c>
      <c r="E184" s="22">
        <f>COUNTIFS(Tabla1[Tipo de Movilidad],"Intercambio*",Tabla1[Universidad KPIs],'Utilización Convenios'!$C184,Tabla1[Año de Movilidad],'Utilización Convenios'!E$3,Tabla1[Nivel],"Maestría")</f>
        <v>0</v>
      </c>
      <c r="F184" s="23">
        <f>COUNTIFS(Tabla2[Tipo de Movilidad],"Intercambio*",Tabla2[Universidad KPIs],'Utilización Convenios'!$C184,Tabla2[Año],'Utilización Convenios'!E$129,Tabla2[Nivel Nominación],"Postgraduate / Master")</f>
        <v>0</v>
      </c>
      <c r="G184" s="22">
        <f>COUNTIFS(Tabla1[Tipo de Movilidad],"Intercambio*",Tabla1[Universidad KPIs],'Utilización Convenios'!$C184,Tabla1[Año de Movilidad],'Utilización Convenios'!G$3,Tabla1[Nivel],"Maestría")</f>
        <v>0</v>
      </c>
      <c r="H184" s="23">
        <f>COUNTIFS(Tabla2[Tipo de Movilidad],"Intercambio*",Tabla2[Universidad KPIs],'Utilización Convenios'!$C184,Tabla2[Año],'Utilización Convenios'!G$129,Tabla2[Nivel Nominación],"Postgraduate / Master")</f>
        <v>0</v>
      </c>
      <c r="I184" s="22">
        <f>COUNTIFS(Tabla1[Tipo de Movilidad],"Intercambio*",Tabla1[Universidad KPIs],'Utilización Convenios'!$C184,Tabla1[Año de Movilidad],'Utilización Convenios'!I$3,Tabla1[Nivel],"Maestría")</f>
        <v>0</v>
      </c>
      <c r="J184" s="23">
        <f>COUNTIFS(Tabla2[Tipo de Movilidad],"Intercambio*",Tabla2[Universidad KPIs],'Utilización Convenios'!$C184,Tabla2[Año],'Utilización Convenios'!I$129,Tabla2[Nivel Nominación],"Postgraduate / Master")</f>
        <v>0</v>
      </c>
      <c r="K184" s="22">
        <f>COUNTIFS(Tabla1[Tipo de Movilidad],"Intercambio*",Tabla1[Universidad KPIs],'Utilización Convenios'!$C184,Tabla1[Año de Movilidad],'Utilización Convenios'!K$3,Tabla1[Nivel],"Maestría")</f>
        <v>0</v>
      </c>
      <c r="L184" s="23">
        <f>COUNTIFS(Tabla2[Tipo de Movilidad],"Intercambio*",Tabla2[Universidad KPIs],'Utilización Convenios'!$C184,Tabla2[Año],'Utilización Convenios'!K$129,Tabla2[Nivel Nominación],"Postgraduate / Master")</f>
        <v>0</v>
      </c>
      <c r="M184" s="22">
        <f>COUNTIFS(Tabla1[Tipo de Movilidad],"Intercambio*",Tabla1[Universidad KPIs],'Utilización Convenios'!$C184,Tabla1[Año de Movilidad],'Utilización Convenios'!M$3,Tabla1[Nivel],"Maestría")</f>
        <v>0</v>
      </c>
      <c r="N184" s="57">
        <f>COUNTIFS(Tabla2[Tipo de Movilidad],"Intercambio*",Tabla2[Universidad KPIs],'Utilización Convenios'!$C184,Tabla2[Año],'Utilización Convenios'!M$129,Tabla2[Nivel Nominación],"Postgraduate / Master")</f>
        <v>0</v>
      </c>
      <c r="O184" s="22">
        <f>COUNTIFS(Tabla1[Tipo de Movilidad],"Intercambio*",Tabla1[Universidad KPIs],'Utilización Convenios'!$C184,Tabla1[Año de Movilidad],'Utilización Convenios'!O$3,Tabla1[Nivel],"Maestría")</f>
        <v>0</v>
      </c>
      <c r="P184" s="57">
        <f>COUNTIFS(Tabla2[Tipo de Movilidad],"Intercambio*",Tabla2[Universidad KPIs],'Utilización Convenios'!$C184,Tabla2[Año],'Utilización Convenios'!O$129,Tabla2[Nivel Nominación],"Postgraduate / Master")</f>
        <v>0</v>
      </c>
      <c r="Q184" s="73">
        <f t="shared" si="8"/>
        <v>0</v>
      </c>
      <c r="R184" s="74">
        <f t="shared" si="8"/>
        <v>0</v>
      </c>
    </row>
    <row r="185" spans="2:18">
      <c r="B185" s="248"/>
      <c r="C185" s="22" t="s">
        <v>132</v>
      </c>
      <c r="D185" s="23" t="s">
        <v>133</v>
      </c>
      <c r="E185" s="22">
        <f>COUNTIFS(Tabla1[Tipo de Movilidad],"Intercambio*",Tabla1[Universidad KPIs],'Utilización Convenios'!$C185,Tabla1[Año de Movilidad],'Utilización Convenios'!E$3,Tabla1[Nivel],"Maestría")</f>
        <v>0</v>
      </c>
      <c r="F185" s="23">
        <f>COUNTIFS(Tabla2[Tipo de Movilidad],"Intercambio*",Tabla2[Universidad KPIs],'Utilización Convenios'!$C185,Tabla2[Año],'Utilización Convenios'!E$129,Tabla2[Nivel Nominación],"Postgraduate / Master")</f>
        <v>0</v>
      </c>
      <c r="G185" s="22">
        <f>COUNTIFS(Tabla1[Tipo de Movilidad],"Intercambio*",Tabla1[Universidad KPIs],'Utilización Convenios'!$C185,Tabla1[Año de Movilidad],'Utilización Convenios'!G$3,Tabla1[Nivel],"Maestría")</f>
        <v>0</v>
      </c>
      <c r="H185" s="23">
        <f>COUNTIFS(Tabla2[Tipo de Movilidad],"Intercambio*",Tabla2[Universidad KPIs],'Utilización Convenios'!$C185,Tabla2[Año],'Utilización Convenios'!G$129,Tabla2[Nivel Nominación],"Postgraduate / Master")</f>
        <v>0</v>
      </c>
      <c r="I185" s="22">
        <f>COUNTIFS(Tabla1[Tipo de Movilidad],"Intercambio*",Tabla1[Universidad KPIs],'Utilización Convenios'!$C185,Tabla1[Año de Movilidad],'Utilización Convenios'!I$3,Tabla1[Nivel],"Maestría")</f>
        <v>0</v>
      </c>
      <c r="J185" s="23">
        <f>COUNTIFS(Tabla2[Tipo de Movilidad],"Intercambio*",Tabla2[Universidad KPIs],'Utilización Convenios'!$C185,Tabla2[Año],'Utilización Convenios'!I$129,Tabla2[Nivel Nominación],"Postgraduate / Master")</f>
        <v>0</v>
      </c>
      <c r="K185" s="22">
        <f>COUNTIFS(Tabla1[Tipo de Movilidad],"Intercambio*",Tabla1[Universidad KPIs],'Utilización Convenios'!$C185,Tabla1[Año de Movilidad],'Utilización Convenios'!K$3,Tabla1[Nivel],"Maestría")</f>
        <v>0</v>
      </c>
      <c r="L185" s="23">
        <f>COUNTIFS(Tabla2[Tipo de Movilidad],"Intercambio*",Tabla2[Universidad KPIs],'Utilización Convenios'!$C185,Tabla2[Año],'Utilización Convenios'!K$129,Tabla2[Nivel Nominación],"Postgraduate / Master")</f>
        <v>0</v>
      </c>
      <c r="M185" s="22">
        <f>COUNTIFS(Tabla1[Tipo de Movilidad],"Intercambio*",Tabla1[Universidad KPIs],'Utilización Convenios'!$C185,Tabla1[Año de Movilidad],'Utilización Convenios'!M$3,Tabla1[Nivel],"Maestría")</f>
        <v>0</v>
      </c>
      <c r="N185" s="57">
        <f>COUNTIFS(Tabla2[Tipo de Movilidad],"Intercambio*",Tabla2[Universidad KPIs],'Utilización Convenios'!$C185,Tabla2[Año],'Utilización Convenios'!M$129,Tabla2[Nivel Nominación],"Postgraduate / Master")</f>
        <v>0</v>
      </c>
      <c r="O185" s="22">
        <f>COUNTIFS(Tabla1[Tipo de Movilidad],"Intercambio*",Tabla1[Universidad KPIs],'Utilización Convenios'!$C185,Tabla1[Año de Movilidad],'Utilización Convenios'!O$3,Tabla1[Nivel],"Maestría")</f>
        <v>0</v>
      </c>
      <c r="P185" s="57">
        <f>COUNTIFS(Tabla2[Tipo de Movilidad],"Intercambio*",Tabla2[Universidad KPIs],'Utilización Convenios'!$C185,Tabla2[Año],'Utilización Convenios'!O$129,Tabla2[Nivel Nominación],"Postgraduate / Master")</f>
        <v>0</v>
      </c>
      <c r="Q185" s="73">
        <f t="shared" si="8"/>
        <v>0</v>
      </c>
      <c r="R185" s="74">
        <f t="shared" si="8"/>
        <v>0</v>
      </c>
    </row>
    <row r="186" spans="2:18">
      <c r="B186" s="248"/>
      <c r="C186" s="22" t="s">
        <v>134</v>
      </c>
      <c r="D186" s="23" t="s">
        <v>135</v>
      </c>
      <c r="E186" s="22">
        <f>COUNTIFS(Tabla1[Tipo de Movilidad],"Intercambio*",Tabla1[Universidad KPIs],'Utilización Convenios'!$C186,Tabla1[Año de Movilidad],'Utilización Convenios'!E$3,Tabla1[Nivel],"Maestría")</f>
        <v>0</v>
      </c>
      <c r="F186" s="23">
        <f>COUNTIFS(Tabla2[Tipo de Movilidad],"Intercambio*",Tabla2[Universidad KPIs],'Utilización Convenios'!$C186,Tabla2[Año],'Utilización Convenios'!E$129,Tabla2[Nivel Nominación],"Postgraduate / Master")</f>
        <v>0</v>
      </c>
      <c r="G186" s="22">
        <f>COUNTIFS(Tabla1[Tipo de Movilidad],"Intercambio*",Tabla1[Universidad KPIs],'Utilización Convenios'!$C186,Tabla1[Año de Movilidad],'Utilización Convenios'!G$3,Tabla1[Nivel],"Maestría")</f>
        <v>0</v>
      </c>
      <c r="H186" s="23">
        <f>COUNTIFS(Tabla2[Tipo de Movilidad],"Intercambio*",Tabla2[Universidad KPIs],'Utilización Convenios'!$C186,Tabla2[Año],'Utilización Convenios'!G$129,Tabla2[Nivel Nominación],"Postgraduate / Master")</f>
        <v>0</v>
      </c>
      <c r="I186" s="22">
        <f>COUNTIFS(Tabla1[Tipo de Movilidad],"Intercambio*",Tabla1[Universidad KPIs],'Utilización Convenios'!$C186,Tabla1[Año de Movilidad],'Utilización Convenios'!I$3,Tabla1[Nivel],"Maestría")</f>
        <v>0</v>
      </c>
      <c r="J186" s="23">
        <f>COUNTIFS(Tabla2[Tipo de Movilidad],"Intercambio*",Tabla2[Universidad KPIs],'Utilización Convenios'!$C186,Tabla2[Año],'Utilización Convenios'!I$129,Tabla2[Nivel Nominación],"Postgraduate / Master")</f>
        <v>0</v>
      </c>
      <c r="K186" s="22">
        <f>COUNTIFS(Tabla1[Tipo de Movilidad],"Intercambio*",Tabla1[Universidad KPIs],'Utilización Convenios'!$C186,Tabla1[Año de Movilidad],'Utilización Convenios'!K$3,Tabla1[Nivel],"Maestría")</f>
        <v>0</v>
      </c>
      <c r="L186" s="23">
        <f>COUNTIFS(Tabla2[Tipo de Movilidad],"Intercambio*",Tabla2[Universidad KPIs],'Utilización Convenios'!$C186,Tabla2[Año],'Utilización Convenios'!K$129,Tabla2[Nivel Nominación],"Postgraduate / Master")</f>
        <v>0</v>
      </c>
      <c r="M186" s="22">
        <f>COUNTIFS(Tabla1[Tipo de Movilidad],"Intercambio*",Tabla1[Universidad KPIs],'Utilización Convenios'!$C186,Tabla1[Año de Movilidad],'Utilización Convenios'!M$3,Tabla1[Nivel],"Maestría")</f>
        <v>0</v>
      </c>
      <c r="N186" s="57">
        <f>COUNTIFS(Tabla2[Tipo de Movilidad],"Intercambio*",Tabla2[Universidad KPIs],'Utilización Convenios'!$C186,Tabla2[Año],'Utilización Convenios'!M$129,Tabla2[Nivel Nominación],"Postgraduate / Master")</f>
        <v>0</v>
      </c>
      <c r="O186" s="22">
        <f>COUNTIFS(Tabla1[Tipo de Movilidad],"Intercambio*",Tabla1[Universidad KPIs],'Utilización Convenios'!$C186,Tabla1[Año de Movilidad],'Utilización Convenios'!O$3,Tabla1[Nivel],"Maestría")</f>
        <v>0</v>
      </c>
      <c r="P186" s="57">
        <f>COUNTIFS(Tabla2[Tipo de Movilidad],"Intercambio*",Tabla2[Universidad KPIs],'Utilización Convenios'!$C186,Tabla2[Año],'Utilización Convenios'!O$129,Tabla2[Nivel Nominación],"Postgraduate / Master")</f>
        <v>0</v>
      </c>
      <c r="Q186" s="73">
        <f t="shared" si="8"/>
        <v>0</v>
      </c>
      <c r="R186" s="74">
        <f t="shared" si="8"/>
        <v>0</v>
      </c>
    </row>
    <row r="187" spans="2:18">
      <c r="B187" s="248"/>
      <c r="C187" s="22" t="s">
        <v>136</v>
      </c>
      <c r="D187" s="23" t="s">
        <v>76</v>
      </c>
      <c r="E187" s="22">
        <f>COUNTIFS(Tabla1[Tipo de Movilidad],"Intercambio*",Tabla1[Universidad KPIs],'Utilización Convenios'!$C187,Tabla1[Año de Movilidad],'Utilización Convenios'!E$3,Tabla1[Nivel],"Maestría")</f>
        <v>0</v>
      </c>
      <c r="F187" s="23">
        <f>COUNTIFS(Tabla2[Tipo de Movilidad],"Intercambio*",Tabla2[Universidad KPIs],'Utilización Convenios'!$C187,Tabla2[Año],'Utilización Convenios'!E$129,Tabla2[Nivel Nominación],"Postgraduate / Master")</f>
        <v>0</v>
      </c>
      <c r="G187" s="22">
        <f>COUNTIFS(Tabla1[Tipo de Movilidad],"Intercambio*",Tabla1[Universidad KPIs],'Utilización Convenios'!$C187,Tabla1[Año de Movilidad],'Utilización Convenios'!G$3,Tabla1[Nivel],"Maestría")</f>
        <v>0</v>
      </c>
      <c r="H187" s="23">
        <f>COUNTIFS(Tabla2[Tipo de Movilidad],"Intercambio*",Tabla2[Universidad KPIs],'Utilización Convenios'!$C187,Tabla2[Año],'Utilización Convenios'!G$129,Tabla2[Nivel Nominación],"Postgraduate / Master")</f>
        <v>0</v>
      </c>
      <c r="I187" s="22">
        <f>COUNTIFS(Tabla1[Tipo de Movilidad],"Intercambio*",Tabla1[Universidad KPIs],'Utilización Convenios'!$C187,Tabla1[Año de Movilidad],'Utilización Convenios'!I$3,Tabla1[Nivel],"Maestría")</f>
        <v>0</v>
      </c>
      <c r="J187" s="23">
        <f>COUNTIFS(Tabla2[Tipo de Movilidad],"Intercambio*",Tabla2[Universidad KPIs],'Utilización Convenios'!$C187,Tabla2[Año],'Utilización Convenios'!I$129,Tabla2[Nivel Nominación],"Postgraduate / Master")</f>
        <v>0</v>
      </c>
      <c r="K187" s="22">
        <f>COUNTIFS(Tabla1[Tipo de Movilidad],"Intercambio*",Tabla1[Universidad KPIs],'Utilización Convenios'!$C187,Tabla1[Año de Movilidad],'Utilización Convenios'!K$3,Tabla1[Nivel],"Maestría")</f>
        <v>0</v>
      </c>
      <c r="L187" s="23">
        <f>COUNTIFS(Tabla2[Tipo de Movilidad],"Intercambio*",Tabla2[Universidad KPIs],'Utilización Convenios'!$C187,Tabla2[Año],'Utilización Convenios'!K$129,Tabla2[Nivel Nominación],"Postgraduate / Master")</f>
        <v>0</v>
      </c>
      <c r="M187" s="22">
        <f>COUNTIFS(Tabla1[Tipo de Movilidad],"Intercambio*",Tabla1[Universidad KPIs],'Utilización Convenios'!$C187,Tabla1[Año de Movilidad],'Utilización Convenios'!M$3,Tabla1[Nivel],"Maestría")</f>
        <v>0</v>
      </c>
      <c r="N187" s="57">
        <f>COUNTIFS(Tabla2[Tipo de Movilidad],"Intercambio*",Tabla2[Universidad KPIs],'Utilización Convenios'!$C187,Tabla2[Año],'Utilización Convenios'!M$129,Tabla2[Nivel Nominación],"Postgraduate / Master")</f>
        <v>0</v>
      </c>
      <c r="O187" s="22">
        <f>COUNTIFS(Tabla1[Tipo de Movilidad],"Intercambio*",Tabla1[Universidad KPIs],'Utilización Convenios'!$C187,Tabla1[Año de Movilidad],'Utilización Convenios'!O$3,Tabla1[Nivel],"Maestría")</f>
        <v>0</v>
      </c>
      <c r="P187" s="57">
        <f>COUNTIFS(Tabla2[Tipo de Movilidad],"Intercambio*",Tabla2[Universidad KPIs],'Utilización Convenios'!$C187,Tabla2[Año],'Utilización Convenios'!O$129,Tabla2[Nivel Nominación],"Postgraduate / Master")</f>
        <v>0</v>
      </c>
      <c r="Q187" s="73">
        <f t="shared" si="8"/>
        <v>0</v>
      </c>
      <c r="R187" s="74">
        <f t="shared" si="8"/>
        <v>0</v>
      </c>
    </row>
    <row r="188" spans="2:18">
      <c r="B188" s="248"/>
      <c r="C188" s="22" t="s">
        <v>137</v>
      </c>
      <c r="D188" s="23" t="s">
        <v>76</v>
      </c>
      <c r="E188" s="22">
        <f>COUNTIFS(Tabla1[Tipo de Movilidad],"Intercambio*",Tabla1[Universidad KPIs],'Utilización Convenios'!$C188,Tabla1[Año de Movilidad],'Utilización Convenios'!E$3,Tabla1[Nivel],"Maestría")</f>
        <v>0</v>
      </c>
      <c r="F188" s="23">
        <f>COUNTIFS(Tabla2[Tipo de Movilidad],"Intercambio*",Tabla2[Universidad KPIs],'Utilización Convenios'!$C188,Tabla2[Año],'Utilización Convenios'!E$129,Tabla2[Nivel Nominación],"Postgraduate / Master")</f>
        <v>0</v>
      </c>
      <c r="G188" s="22">
        <f>COUNTIFS(Tabla1[Tipo de Movilidad],"Intercambio*",Tabla1[Universidad KPIs],'Utilización Convenios'!$C188,Tabla1[Año de Movilidad],'Utilización Convenios'!G$3,Tabla1[Nivel],"Maestría")</f>
        <v>0</v>
      </c>
      <c r="H188" s="23">
        <f>COUNTIFS(Tabla2[Tipo de Movilidad],"Intercambio*",Tabla2[Universidad KPIs],'Utilización Convenios'!$C188,Tabla2[Año],'Utilización Convenios'!G$129,Tabla2[Nivel Nominación],"Postgraduate / Master")</f>
        <v>0</v>
      </c>
      <c r="I188" s="22">
        <f>COUNTIFS(Tabla1[Tipo de Movilidad],"Intercambio*",Tabla1[Universidad KPIs],'Utilización Convenios'!$C188,Tabla1[Año de Movilidad],'Utilización Convenios'!I$3,Tabla1[Nivel],"Maestría")</f>
        <v>0</v>
      </c>
      <c r="J188" s="23">
        <f>COUNTIFS(Tabla2[Tipo de Movilidad],"Intercambio*",Tabla2[Universidad KPIs],'Utilización Convenios'!$C188,Tabla2[Año],'Utilización Convenios'!I$129,Tabla2[Nivel Nominación],"Postgraduate / Master")</f>
        <v>0</v>
      </c>
      <c r="K188" s="22">
        <f>COUNTIFS(Tabla1[Tipo de Movilidad],"Intercambio*",Tabla1[Universidad KPIs],'Utilización Convenios'!$C188,Tabla1[Año de Movilidad],'Utilización Convenios'!K$3,Tabla1[Nivel],"Maestría")</f>
        <v>0</v>
      </c>
      <c r="L188" s="23">
        <f>COUNTIFS(Tabla2[Tipo de Movilidad],"Intercambio*",Tabla2[Universidad KPIs],'Utilización Convenios'!$C188,Tabla2[Año],'Utilización Convenios'!K$129,Tabla2[Nivel Nominación],"Postgraduate / Master")</f>
        <v>0</v>
      </c>
      <c r="M188" s="22">
        <f>COUNTIFS(Tabla1[Tipo de Movilidad],"Intercambio*",Tabla1[Universidad KPIs],'Utilización Convenios'!$C188,Tabla1[Año de Movilidad],'Utilización Convenios'!M$3,Tabla1[Nivel],"Maestría")</f>
        <v>0</v>
      </c>
      <c r="N188" s="57">
        <f>COUNTIFS(Tabla2[Tipo de Movilidad],"Intercambio*",Tabla2[Universidad KPIs],'Utilización Convenios'!$C188,Tabla2[Año],'Utilización Convenios'!M$129,Tabla2[Nivel Nominación],"Postgraduate / Master")</f>
        <v>0</v>
      </c>
      <c r="O188" s="22">
        <f>COUNTIFS(Tabla1[Tipo de Movilidad],"Intercambio*",Tabla1[Universidad KPIs],'Utilización Convenios'!$C188,Tabla1[Año de Movilidad],'Utilización Convenios'!O$3,Tabla1[Nivel],"Maestría")</f>
        <v>0</v>
      </c>
      <c r="P188" s="57">
        <f>COUNTIFS(Tabla2[Tipo de Movilidad],"Intercambio*",Tabla2[Universidad KPIs],'Utilización Convenios'!$C188,Tabla2[Año],'Utilización Convenios'!O$129,Tabla2[Nivel Nominación],"Postgraduate / Master")</f>
        <v>0</v>
      </c>
      <c r="Q188" s="73">
        <f t="shared" si="8"/>
        <v>0</v>
      </c>
      <c r="R188" s="74">
        <f t="shared" si="8"/>
        <v>0</v>
      </c>
    </row>
    <row r="189" spans="2:18" ht="15.75" thickBot="1">
      <c r="B189" s="248"/>
      <c r="C189" s="146" t="s">
        <v>138</v>
      </c>
      <c r="D189" s="147" t="s">
        <v>130</v>
      </c>
      <c r="E189" s="146">
        <f>COUNTIFS(Tabla1[Tipo de Movilidad],"Intercambio*",Tabla1[Universidad KPIs],'Utilización Convenios'!$C189,Tabla1[Año de Movilidad],'Utilización Convenios'!E$3,Tabla1[Nivel],"Maestría")</f>
        <v>0</v>
      </c>
      <c r="F189" s="147">
        <f>COUNTIFS(Tabla2[Tipo de Movilidad],"Intercambio*",Tabla2[Universidad KPIs],'Utilización Convenios'!$C189,Tabla2[Año],'Utilización Convenios'!E$129,Tabla2[Nivel Nominación],"Postgraduate / Master")</f>
        <v>0</v>
      </c>
      <c r="G189" s="146">
        <f>COUNTIFS(Tabla1[Tipo de Movilidad],"Intercambio*",Tabla1[Universidad KPIs],'Utilización Convenios'!$C189,Tabla1[Año de Movilidad],'Utilización Convenios'!G$3,Tabla1[Nivel],"Maestría")</f>
        <v>0</v>
      </c>
      <c r="H189" s="147">
        <f>COUNTIFS(Tabla2[Tipo de Movilidad],"Intercambio*",Tabla2[Universidad KPIs],'Utilización Convenios'!$C189,Tabla2[Año],'Utilización Convenios'!G$129,Tabla2[Nivel Nominación],"Postgraduate / Master")</f>
        <v>0</v>
      </c>
      <c r="I189" s="146">
        <f>COUNTIFS(Tabla1[Tipo de Movilidad],"Intercambio*",Tabla1[Universidad KPIs],'Utilización Convenios'!$C189,Tabla1[Año de Movilidad],'Utilización Convenios'!I$3,Tabla1[Nivel],"Maestría")</f>
        <v>0</v>
      </c>
      <c r="J189" s="147">
        <f>COUNTIFS(Tabla2[Tipo de Movilidad],"Intercambio*",Tabla2[Universidad KPIs],'Utilización Convenios'!$C189,Tabla2[Año],'Utilización Convenios'!I$129,Tabla2[Nivel Nominación],"Postgraduate / Master")</f>
        <v>0</v>
      </c>
      <c r="K189" s="146">
        <f>COUNTIFS(Tabla1[Tipo de Movilidad],"Intercambio*",Tabla1[Universidad KPIs],'Utilización Convenios'!$C189,Tabla1[Año de Movilidad],'Utilización Convenios'!K$3,Tabla1[Nivel],"Maestría")</f>
        <v>0</v>
      </c>
      <c r="L189" s="147">
        <f>COUNTIFS(Tabla2[Tipo de Movilidad],"Intercambio*",Tabla2[Universidad KPIs],'Utilización Convenios'!$C189,Tabla2[Año],'Utilización Convenios'!K$129,Tabla2[Nivel Nominación],"Postgraduate / Master")</f>
        <v>0</v>
      </c>
      <c r="M189" s="146">
        <f>COUNTIFS(Tabla1[Tipo de Movilidad],"Intercambio*",Tabla1[Universidad KPIs],'Utilización Convenios'!$C189,Tabla1[Año de Movilidad],'Utilización Convenios'!M$3,Tabla1[Nivel],"Maestría")</f>
        <v>0</v>
      </c>
      <c r="N189" s="151">
        <f>COUNTIFS(Tabla2[Tipo de Movilidad],"Intercambio*",Tabla2[Universidad KPIs],'Utilización Convenios'!$C189,Tabla2[Año],'Utilización Convenios'!M$129,Tabla2[Nivel Nominación],"Postgraduate / Master")</f>
        <v>0</v>
      </c>
      <c r="O189" s="146">
        <f>COUNTIFS(Tabla1[Tipo de Movilidad],"Intercambio*",Tabla1[Universidad KPIs],'Utilización Convenios'!$C189,Tabla1[Año de Movilidad],'Utilización Convenios'!O$3,Tabla1[Nivel],"Maestría")</f>
        <v>0</v>
      </c>
      <c r="P189" s="151">
        <f>COUNTIFS(Tabla2[Tipo de Movilidad],"Intercambio*",Tabla2[Universidad KPIs],'Utilización Convenios'!$C189,Tabla2[Año],'Utilización Convenios'!O$129,Tabla2[Nivel Nominación],"Postgraduate / Master")</f>
        <v>0</v>
      </c>
      <c r="Q189" s="93">
        <f t="shared" si="8"/>
        <v>0</v>
      </c>
      <c r="R189" s="94">
        <f t="shared" si="8"/>
        <v>0</v>
      </c>
    </row>
    <row r="190" spans="2:18" ht="17.45" customHeight="1">
      <c r="B190" s="241" t="s">
        <v>139</v>
      </c>
      <c r="C190" s="144" t="s">
        <v>199</v>
      </c>
      <c r="D190" s="148" t="s">
        <v>63</v>
      </c>
      <c r="E190" s="153">
        <f>COUNTIFS(Tabla1[Tipo de Movilidad],"Intercambio*",Tabla1[Universidad KPIs],'Utilización Convenios'!$C190,Tabla1[Año de Movilidad],'Utilización Convenios'!E$3,Tabla1[Nivel],"Maestría")</f>
        <v>0</v>
      </c>
      <c r="F190" s="162">
        <f>COUNTIFS(Tabla2[Tipo de Movilidad],"Intercambio*",Tabla2[Universidad KPIs],'Utilización Convenios'!$C190,Tabla2[Año],'Utilización Convenios'!E$129,Tabla2[Nivel Nominación],"Postgraduate / Master")</f>
        <v>0</v>
      </c>
      <c r="G190" s="153">
        <f>COUNTIFS(Tabla1[Tipo de Movilidad],"Intercambio*",Tabla1[Universidad KPIs],'Utilización Convenios'!$C190,Tabla1[Año de Movilidad],'Utilización Convenios'!G$3,Tabla1[Nivel],"Maestría")</f>
        <v>0</v>
      </c>
      <c r="H190" s="162">
        <f>COUNTIFS(Tabla2[Tipo de Movilidad],"Intercambio*",Tabla2[Universidad KPIs],'Utilización Convenios'!$C190,Tabla2[Año],'Utilización Convenios'!G$129,Tabla2[Nivel Nominación],"Postgraduate / Master")</f>
        <v>0</v>
      </c>
      <c r="I190" s="153">
        <f>COUNTIFS(Tabla1[Tipo de Movilidad],"Intercambio*",Tabla1[Universidad KPIs],'Utilización Convenios'!$C190,Tabla1[Año de Movilidad],'Utilización Convenios'!I$3,Tabla1[Nivel],"Maestría")</f>
        <v>0</v>
      </c>
      <c r="J190" s="162">
        <f>COUNTIFS(Tabla2[Tipo de Movilidad],"Intercambio*",Tabla2[Universidad KPIs],'Utilización Convenios'!$C190,Tabla2[Año],'Utilización Convenios'!I$129,Tabla2[Nivel Nominación],"Postgraduate / Master")</f>
        <v>1</v>
      </c>
      <c r="K190" s="153">
        <f>COUNTIFS(Tabla1[Tipo de Movilidad],"Intercambio*",Tabla1[Universidad KPIs],'Utilización Convenios'!$C190,Tabla1[Año de Movilidad],'Utilización Convenios'!K$3,Tabla1[Nivel],"Maestría")</f>
        <v>0</v>
      </c>
      <c r="L190" s="162">
        <f>COUNTIFS(Tabla2[Tipo de Movilidad],"Intercambio*",Tabla2[Universidad KPIs],'Utilización Convenios'!$C190,Tabla2[Año],'Utilización Convenios'!K$129,Tabla2[Nivel Nominación],"Postgraduate / Master")</f>
        <v>0</v>
      </c>
      <c r="M190" s="153">
        <f>COUNTIFS(Tabla1[Tipo de Movilidad],"Intercambio*",Tabla1[Universidad KPIs],'Utilización Convenios'!$C190,Tabla1[Año de Movilidad],'Utilización Convenios'!M$3,Tabla1[Nivel],"Maestría")</f>
        <v>0</v>
      </c>
      <c r="N190" s="162">
        <f>COUNTIFS(Tabla2[Tipo de Movilidad],"Intercambio*",Tabla2[Universidad KPIs],'Utilización Convenios'!$C190,Tabla2[Año],'Utilización Convenios'!M$129,Tabla2[Nivel Nominación],"Postgraduate / Master")</f>
        <v>0</v>
      </c>
      <c r="O190" s="153">
        <f>COUNTIFS(Tabla1[Tipo de Movilidad],"Intercambio*",Tabla1[Universidad KPIs],'Utilización Convenios'!$C190,Tabla1[Año de Movilidad],'Utilización Convenios'!O$3,Tabla1[Nivel],"Maestría")</f>
        <v>0</v>
      </c>
      <c r="P190" s="162">
        <f>COUNTIFS(Tabla2[Tipo de Movilidad],"Intercambio*",Tabla2[Universidad KPIs],'Utilización Convenios'!$C190,Tabla2[Año],'Utilización Convenios'!O$129,Tabla2[Nivel Nominación],"Postgraduate / Master")</f>
        <v>0</v>
      </c>
      <c r="Q190" s="167">
        <f t="shared" si="8"/>
        <v>0</v>
      </c>
      <c r="R190" s="154">
        <f t="shared" si="8"/>
        <v>1</v>
      </c>
    </row>
    <row r="191" spans="2:18" ht="17.45" customHeight="1">
      <c r="B191" s="242"/>
      <c r="C191" s="138" t="s">
        <v>200</v>
      </c>
      <c r="D191" s="149" t="s">
        <v>201</v>
      </c>
      <c r="E191" s="155">
        <f>COUNTIFS(Tabla1[Tipo de Movilidad],"Intercambio*",Tabla1[Universidad KPIs],'Utilización Convenios'!$C191,Tabla1[Año de Movilidad],'Utilización Convenios'!E$3,Tabla1[Nivel],"Maestría")</f>
        <v>0</v>
      </c>
      <c r="F191" s="163">
        <f>COUNTIFS(Tabla2[Tipo de Movilidad],"Intercambio*",Tabla2[Universidad KPIs],'Utilización Convenios'!$C191,Tabla2[Año],'Utilización Convenios'!E$129,Tabla2[Nivel Nominación],"Postgraduate / Master")</f>
        <v>0</v>
      </c>
      <c r="G191" s="155">
        <f>COUNTIFS(Tabla1[Tipo de Movilidad],"Intercambio*",Tabla1[Universidad KPIs],'Utilización Convenios'!$C191,Tabla1[Año de Movilidad],'Utilización Convenios'!G$3,Tabla1[Nivel],"Maestría")</f>
        <v>0</v>
      </c>
      <c r="H191" s="163">
        <f>COUNTIFS(Tabla2[Tipo de Movilidad],"Intercambio*",Tabla2[Universidad KPIs],'Utilización Convenios'!$C191,Tabla2[Año],'Utilización Convenios'!G$129,Tabla2[Nivel Nominación],"Postgraduate / Master")</f>
        <v>0</v>
      </c>
      <c r="I191" s="155">
        <f>COUNTIFS(Tabla1[Tipo de Movilidad],"Intercambio*",Tabla1[Universidad KPIs],'Utilización Convenios'!$C191,Tabla1[Año de Movilidad],'Utilización Convenios'!I$3,Tabla1[Nivel],"Maestría")</f>
        <v>0</v>
      </c>
      <c r="J191" s="163">
        <f>COUNTIFS(Tabla2[Tipo de Movilidad],"Intercambio*",Tabla2[Universidad KPIs],'Utilización Convenios'!$C191,Tabla2[Año],'Utilización Convenios'!I$129,Tabla2[Nivel Nominación],"Postgraduate / Master")</f>
        <v>0</v>
      </c>
      <c r="K191" s="155">
        <f>COUNTIFS(Tabla1[Tipo de Movilidad],"Intercambio*",Tabla1[Universidad KPIs],'Utilización Convenios'!$C191,Tabla1[Año de Movilidad],'Utilización Convenios'!K$3,Tabla1[Nivel],"Maestría")</f>
        <v>1</v>
      </c>
      <c r="L191" s="163">
        <f>COUNTIFS(Tabla2[Tipo de Movilidad],"Intercambio*",Tabla2[Universidad KPIs],'Utilización Convenios'!$C191,Tabla2[Año],'Utilización Convenios'!K$129,Tabla2[Nivel Nominación],"Postgraduate / Master")</f>
        <v>0</v>
      </c>
      <c r="M191" s="155">
        <f>COUNTIFS(Tabla1[Tipo de Movilidad],"Intercambio*",Tabla1[Universidad KPIs],'Utilización Convenios'!$C191,Tabla1[Año de Movilidad],'Utilización Convenios'!M$3,Tabla1[Nivel],"Maestría")</f>
        <v>0</v>
      </c>
      <c r="N191" s="163">
        <f>COUNTIFS(Tabla2[Tipo de Movilidad],"Intercambio*",Tabla2[Universidad KPIs],'Utilización Convenios'!$C191,Tabla2[Año],'Utilización Convenios'!M$129,Tabla2[Nivel Nominación],"Postgraduate / Master")</f>
        <v>0</v>
      </c>
      <c r="O191" s="155">
        <f>COUNTIFS(Tabla1[Tipo de Movilidad],"Intercambio*",Tabla1[Universidad KPIs],'Utilización Convenios'!$C191,Tabla1[Año de Movilidad],'Utilización Convenios'!O$3,Tabla1[Nivel],"Maestría")</f>
        <v>0</v>
      </c>
      <c r="P191" s="163">
        <f>COUNTIFS(Tabla2[Tipo de Movilidad],"Intercambio*",Tabla2[Universidad KPIs],'Utilización Convenios'!$C191,Tabla2[Año],'Utilización Convenios'!O$129,Tabla2[Nivel Nominación],"Postgraduate / Master")</f>
        <v>0</v>
      </c>
      <c r="Q191" s="168">
        <f t="shared" si="8"/>
        <v>1</v>
      </c>
      <c r="R191" s="156">
        <f t="shared" si="8"/>
        <v>0</v>
      </c>
    </row>
    <row r="192" spans="2:18" ht="17.45" customHeight="1">
      <c r="B192" s="242"/>
      <c r="C192" s="138" t="s">
        <v>192</v>
      </c>
      <c r="D192" s="149" t="s">
        <v>95</v>
      </c>
      <c r="E192" s="155">
        <f>COUNTIFS(Tabla1[Tipo de Movilidad],"Intercambio*",Tabla1[Universidad KPIs],'Utilización Convenios'!$C192,Tabla1[Año de Movilidad],'Utilización Convenios'!E$3,Tabla1[Nivel],"Maestría")</f>
        <v>0</v>
      </c>
      <c r="F192" s="163">
        <f>COUNTIFS(Tabla2[Tipo de Movilidad],"Intercambio*",Tabla2[Universidad KPIs],'Utilización Convenios'!$C192,Tabla2[Año],'Utilización Convenios'!E$129,Tabla2[Nivel Nominación],"Postgraduate / Master")</f>
        <v>0</v>
      </c>
      <c r="G192" s="155">
        <f>COUNTIFS(Tabla1[Tipo de Movilidad],"Intercambio*",Tabla1[Universidad KPIs],'Utilización Convenios'!$C192,Tabla1[Año de Movilidad],'Utilización Convenios'!G$3,Tabla1[Nivel],"Maestría")</f>
        <v>0</v>
      </c>
      <c r="H192" s="163">
        <f>COUNTIFS(Tabla2[Tipo de Movilidad],"Intercambio*",Tabla2[Universidad KPIs],'Utilización Convenios'!$C192,Tabla2[Año],'Utilización Convenios'!G$129,Tabla2[Nivel Nominación],"Postgraduate / Master")</f>
        <v>0</v>
      </c>
      <c r="I192" s="155">
        <f>COUNTIFS(Tabla1[Tipo de Movilidad],"Intercambio*",Tabla1[Universidad KPIs],'Utilización Convenios'!$C192,Tabla1[Año de Movilidad],'Utilización Convenios'!I$3,Tabla1[Nivel],"Maestría")</f>
        <v>0</v>
      </c>
      <c r="J192" s="163">
        <f>COUNTIFS(Tabla2[Tipo de Movilidad],"Intercambio*",Tabla2[Universidad KPIs],'Utilización Convenios'!$C192,Tabla2[Año],'Utilización Convenios'!I$129,Tabla2[Nivel Nominación],"Postgraduate / Master")</f>
        <v>0</v>
      </c>
      <c r="K192" s="155">
        <f>COUNTIFS(Tabla1[Tipo de Movilidad],"Intercambio*",Tabla1[Universidad KPIs],'Utilización Convenios'!$C192,Tabla1[Año de Movilidad],'Utilización Convenios'!K$3,Tabla1[Nivel],"Maestría")</f>
        <v>0</v>
      </c>
      <c r="L192" s="163">
        <f>COUNTIFS(Tabla2[Tipo de Movilidad],"Intercambio*",Tabla2[Universidad KPIs],'Utilización Convenios'!$C192,Tabla2[Año],'Utilización Convenios'!K$129,Tabla2[Nivel Nominación],"Postgraduate / Master")</f>
        <v>0</v>
      </c>
      <c r="M192" s="155">
        <f>COUNTIFS(Tabla1[Tipo de Movilidad],"Intercambio*",Tabla1[Universidad KPIs],'Utilización Convenios'!$C192,Tabla1[Año de Movilidad],'Utilización Convenios'!M$3,Tabla1[Nivel],"Maestría")</f>
        <v>0</v>
      </c>
      <c r="N192" s="163">
        <f>COUNTIFS(Tabla2[Tipo de Movilidad],"Intercambio*",Tabla2[Universidad KPIs],'Utilización Convenios'!$C192,Tabla2[Año],'Utilización Convenios'!M$129,Tabla2[Nivel Nominación],"Postgraduate / Master")</f>
        <v>1</v>
      </c>
      <c r="O192" s="155">
        <f>COUNTIFS(Tabla1[Tipo de Movilidad],"Intercambio*",Tabla1[Universidad KPIs],'Utilización Convenios'!$C192,Tabla1[Año de Movilidad],'Utilización Convenios'!O$3,Tabla1[Nivel],"Maestría")</f>
        <v>0</v>
      </c>
      <c r="P192" s="163">
        <f>COUNTIFS(Tabla2[Tipo de Movilidad],"Intercambio*",Tabla2[Universidad KPIs],'Utilización Convenios'!$C192,Tabla2[Año],'Utilización Convenios'!O$129,Tabla2[Nivel Nominación],"Postgraduate / Master")</f>
        <v>0</v>
      </c>
      <c r="Q192" s="168">
        <f t="shared" si="8"/>
        <v>0</v>
      </c>
      <c r="R192" s="156">
        <f t="shared" si="8"/>
        <v>1</v>
      </c>
    </row>
    <row r="193" spans="2:18" ht="17.45" customHeight="1">
      <c r="B193" s="242"/>
      <c r="C193" s="138" t="s">
        <v>202</v>
      </c>
      <c r="D193" s="149" t="s">
        <v>59</v>
      </c>
      <c r="E193" s="155">
        <f>COUNTIFS(Tabla1[Tipo de Movilidad],"Intercambio*",Tabla1[Universidad KPIs],'Utilización Convenios'!$C193,Tabla1[Año de Movilidad],'Utilización Convenios'!E$3,Tabla1[Nivel],"Maestría")</f>
        <v>0</v>
      </c>
      <c r="F193" s="163">
        <f>COUNTIFS(Tabla2[Tipo de Movilidad],"Intercambio*",Tabla2[Universidad KPIs],'Utilización Convenios'!$C193,Tabla2[Año],'Utilización Convenios'!E$129,Tabla2[Nivel Nominación],"Postgraduate / Master")</f>
        <v>0</v>
      </c>
      <c r="G193" s="155">
        <f>COUNTIFS(Tabla1[Tipo de Movilidad],"Intercambio*",Tabla1[Universidad KPIs],'Utilización Convenios'!$C193,Tabla1[Año de Movilidad],'Utilización Convenios'!G$3,Tabla1[Nivel],"Maestría")</f>
        <v>0</v>
      </c>
      <c r="H193" s="163">
        <f>COUNTIFS(Tabla2[Tipo de Movilidad],"Intercambio*",Tabla2[Universidad KPIs],'Utilización Convenios'!$C193,Tabla2[Año],'Utilización Convenios'!G$129,Tabla2[Nivel Nominación],"Postgraduate / Master")</f>
        <v>0</v>
      </c>
      <c r="I193" s="155">
        <f>COUNTIFS(Tabla1[Tipo de Movilidad],"Intercambio*",Tabla1[Universidad KPIs],'Utilización Convenios'!$C193,Tabla1[Año de Movilidad],'Utilización Convenios'!I$3,Tabla1[Nivel],"Maestría")</f>
        <v>0</v>
      </c>
      <c r="J193" s="163">
        <f>COUNTIFS(Tabla2[Tipo de Movilidad],"Intercambio*",Tabla2[Universidad KPIs],'Utilización Convenios'!$C193,Tabla2[Año],'Utilización Convenios'!I$129,Tabla2[Nivel Nominación],"Postgraduate / Master")</f>
        <v>0</v>
      </c>
      <c r="K193" s="155">
        <f>COUNTIFS(Tabla1[Tipo de Movilidad],"Intercambio*",Tabla1[Universidad KPIs],'Utilización Convenios'!$C193,Tabla1[Año de Movilidad],'Utilización Convenios'!K$3,Tabla1[Nivel],"Maestría")</f>
        <v>0</v>
      </c>
      <c r="L193" s="163">
        <f>COUNTIFS(Tabla2[Tipo de Movilidad],"Intercambio*",Tabla2[Universidad KPIs],'Utilización Convenios'!$C193,Tabla2[Año],'Utilización Convenios'!K$129,Tabla2[Nivel Nominación],"Postgraduate / Master")</f>
        <v>1</v>
      </c>
      <c r="M193" s="155">
        <f>COUNTIFS(Tabla1[Tipo de Movilidad],"Intercambio*",Tabla1[Universidad KPIs],'Utilización Convenios'!$C193,Tabla1[Año de Movilidad],'Utilización Convenios'!M$3,Tabla1[Nivel],"Maestría")</f>
        <v>0</v>
      </c>
      <c r="N193" s="163">
        <f>COUNTIFS(Tabla2[Tipo de Movilidad],"Intercambio*",Tabla2[Universidad KPIs],'Utilización Convenios'!$C193,Tabla2[Año],'Utilización Convenios'!M$129,Tabla2[Nivel Nominación],"Postgraduate / Master")</f>
        <v>0</v>
      </c>
      <c r="O193" s="155">
        <f>COUNTIFS(Tabla1[Tipo de Movilidad],"Intercambio*",Tabla1[Universidad KPIs],'Utilización Convenios'!$C193,Tabla1[Año de Movilidad],'Utilización Convenios'!O$3,Tabla1[Nivel],"Maestría")</f>
        <v>0</v>
      </c>
      <c r="P193" s="163">
        <f>COUNTIFS(Tabla2[Tipo de Movilidad],"Intercambio*",Tabla2[Universidad KPIs],'Utilización Convenios'!$C193,Tabla2[Año],'Utilización Convenios'!O$129,Tabla2[Nivel Nominación],"Postgraduate / Master")</f>
        <v>0</v>
      </c>
      <c r="Q193" s="168">
        <f t="shared" si="8"/>
        <v>0</v>
      </c>
      <c r="R193" s="156">
        <f t="shared" si="8"/>
        <v>1</v>
      </c>
    </row>
    <row r="194" spans="2:18" ht="17.45" customHeight="1">
      <c r="B194" s="242"/>
      <c r="C194" s="138" t="s">
        <v>152</v>
      </c>
      <c r="D194" s="149" t="s">
        <v>63</v>
      </c>
      <c r="E194" s="155">
        <f>COUNTIFS(Tabla1[Tipo de Movilidad],"Intercambio*",Tabla1[Universidad KPIs],'Utilización Convenios'!$C194,Tabla1[Año de Movilidad],'Utilización Convenios'!E$3,Tabla1[Nivel],"Maestría")</f>
        <v>0</v>
      </c>
      <c r="F194" s="163">
        <f>COUNTIFS(Tabla2[Tipo de Movilidad],"Intercambio*",Tabla2[Universidad KPIs],'Utilización Convenios'!$C194,Tabla2[Año],'Utilización Convenios'!E$129,Tabla2[Nivel Nominación],"Postgraduate / Master")</f>
        <v>0</v>
      </c>
      <c r="G194" s="155">
        <f>COUNTIFS(Tabla1[Tipo de Movilidad],"Intercambio*",Tabla1[Universidad KPIs],'Utilización Convenios'!$C194,Tabla1[Año de Movilidad],'Utilización Convenios'!G$3,Tabla1[Nivel],"Maestría")</f>
        <v>0</v>
      </c>
      <c r="H194" s="163">
        <f>COUNTIFS(Tabla2[Tipo de Movilidad],"Intercambio*",Tabla2[Universidad KPIs],'Utilización Convenios'!$C194,Tabla2[Año],'Utilización Convenios'!G$129,Tabla2[Nivel Nominación],"Postgraduate / Master")</f>
        <v>0</v>
      </c>
      <c r="I194" s="155">
        <f>COUNTIFS(Tabla1[Tipo de Movilidad],"Intercambio*",Tabla1[Universidad KPIs],'Utilización Convenios'!$C194,Tabla1[Año de Movilidad],'Utilización Convenios'!I$3,Tabla1[Nivel],"Maestría")</f>
        <v>0</v>
      </c>
      <c r="J194" s="163">
        <f>COUNTIFS(Tabla2[Tipo de Movilidad],"Intercambio*",Tabla2[Universidad KPIs],'Utilización Convenios'!$C194,Tabla2[Año],'Utilización Convenios'!I$129,Tabla2[Nivel Nominación],"Postgraduate / Master")</f>
        <v>0</v>
      </c>
      <c r="K194" s="155">
        <f>COUNTIFS(Tabla1[Tipo de Movilidad],"Intercambio*",Tabla1[Universidad KPIs],'Utilización Convenios'!$C194,Tabla1[Año de Movilidad],'Utilización Convenios'!K$3,Tabla1[Nivel],"Maestría")</f>
        <v>0</v>
      </c>
      <c r="L194" s="163">
        <f>COUNTIFS(Tabla2[Tipo de Movilidad],"Intercambio*",Tabla2[Universidad KPIs],'Utilización Convenios'!$C194,Tabla2[Año],'Utilización Convenios'!K$129,Tabla2[Nivel Nominación],"Postgraduate / Master")</f>
        <v>1</v>
      </c>
      <c r="M194" s="155">
        <f>COUNTIFS(Tabla1[Tipo de Movilidad],"Intercambio*",Tabla1[Universidad KPIs],'Utilización Convenios'!$C194,Tabla1[Año de Movilidad],'Utilización Convenios'!M$3,Tabla1[Nivel],"Maestría")</f>
        <v>0</v>
      </c>
      <c r="N194" s="163">
        <f>COUNTIFS(Tabla2[Tipo de Movilidad],"Intercambio*",Tabla2[Universidad KPIs],'Utilización Convenios'!$C194,Tabla2[Año],'Utilización Convenios'!M$129,Tabla2[Nivel Nominación],"Postgraduate / Master")</f>
        <v>0</v>
      </c>
      <c r="O194" s="155">
        <f>COUNTIFS(Tabla1[Tipo de Movilidad],"Intercambio*",Tabla1[Universidad KPIs],'Utilización Convenios'!$C194,Tabla1[Año de Movilidad],'Utilización Convenios'!O$3,Tabla1[Nivel],"Maestría")</f>
        <v>0</v>
      </c>
      <c r="P194" s="163">
        <f>COUNTIFS(Tabla2[Tipo de Movilidad],"Intercambio*",Tabla2[Universidad KPIs],'Utilización Convenios'!$C194,Tabla2[Año],'Utilización Convenios'!O$129,Tabla2[Nivel Nominación],"Postgraduate / Master")</f>
        <v>0</v>
      </c>
      <c r="Q194" s="168">
        <f t="shared" si="8"/>
        <v>0</v>
      </c>
      <c r="R194" s="156">
        <f t="shared" si="8"/>
        <v>1</v>
      </c>
    </row>
    <row r="195" spans="2:18" ht="17.45" customHeight="1">
      <c r="B195" s="242"/>
      <c r="C195" s="138" t="s">
        <v>203</v>
      </c>
      <c r="D195" s="149" t="s">
        <v>90</v>
      </c>
      <c r="E195" s="155">
        <f>COUNTIFS(Tabla1[Tipo de Movilidad],"Intercambio*",Tabla1[Universidad KPIs],'Utilización Convenios'!$C195,Tabla1[Año de Movilidad],'Utilización Convenios'!E$3,Tabla1[Nivel],"Maestría")</f>
        <v>0</v>
      </c>
      <c r="F195" s="163">
        <f>COUNTIFS(Tabla2[Tipo de Movilidad],"Intercambio*",Tabla2[Universidad KPIs],'Utilización Convenios'!$C195,Tabla2[Año],'Utilización Convenios'!E$129,Tabla2[Nivel Nominación],"Postgraduate / Master")</f>
        <v>0</v>
      </c>
      <c r="G195" s="155">
        <f>COUNTIFS(Tabla1[Tipo de Movilidad],"Intercambio*",Tabla1[Universidad KPIs],'Utilización Convenios'!$C195,Tabla1[Año de Movilidad],'Utilización Convenios'!G$3,Tabla1[Nivel],"Maestría")</f>
        <v>0</v>
      </c>
      <c r="H195" s="163">
        <f>COUNTIFS(Tabla2[Tipo de Movilidad],"Intercambio*",Tabla2[Universidad KPIs],'Utilización Convenios'!$C195,Tabla2[Año],'Utilización Convenios'!G$129,Tabla2[Nivel Nominación],"Postgraduate / Master")</f>
        <v>0</v>
      </c>
      <c r="I195" s="155">
        <f>COUNTIFS(Tabla1[Tipo de Movilidad],"Intercambio*",Tabla1[Universidad KPIs],'Utilización Convenios'!$C195,Tabla1[Año de Movilidad],'Utilización Convenios'!I$3,Tabla1[Nivel],"Maestría")</f>
        <v>0</v>
      </c>
      <c r="J195" s="163">
        <f>COUNTIFS(Tabla2[Tipo de Movilidad],"Intercambio*",Tabla2[Universidad KPIs],'Utilización Convenios'!$C195,Tabla2[Año],'Utilización Convenios'!I$129,Tabla2[Nivel Nominación],"Postgraduate / Master")</f>
        <v>0</v>
      </c>
      <c r="K195" s="155">
        <f>COUNTIFS(Tabla1[Tipo de Movilidad],"Intercambio*",Tabla1[Universidad KPIs],'Utilización Convenios'!$C195,Tabla1[Año de Movilidad],'Utilización Convenios'!K$3,Tabla1[Nivel],"Maestría")</f>
        <v>0</v>
      </c>
      <c r="L195" s="163">
        <f>COUNTIFS(Tabla2[Tipo de Movilidad],"Intercambio*",Tabla2[Universidad KPIs],'Utilización Convenios'!$C195,Tabla2[Año],'Utilización Convenios'!K$129,Tabla2[Nivel Nominación],"Postgraduate / Master")</f>
        <v>0</v>
      </c>
      <c r="M195" s="155">
        <f>COUNTIFS(Tabla1[Tipo de Movilidad],"Intercambio*",Tabla1[Universidad KPIs],'Utilización Convenios'!$C195,Tabla1[Año de Movilidad],'Utilización Convenios'!M$3,Tabla1[Nivel],"Maestría")</f>
        <v>0</v>
      </c>
      <c r="N195" s="163">
        <f>COUNTIFS(Tabla2[Tipo de Movilidad],"Intercambio*",Tabla2[Universidad KPIs],'Utilización Convenios'!$C195,Tabla2[Año],'Utilización Convenios'!M$129,Tabla2[Nivel Nominación],"Postgraduate / Master")</f>
        <v>1</v>
      </c>
      <c r="O195" s="155">
        <f>COUNTIFS(Tabla1[Tipo de Movilidad],"Intercambio*",Tabla1[Universidad KPIs],'Utilización Convenios'!$C195,Tabla1[Año de Movilidad],'Utilización Convenios'!O$3,Tabla1[Nivel],"Maestría")</f>
        <v>0</v>
      </c>
      <c r="P195" s="163">
        <f>COUNTIFS(Tabla2[Tipo de Movilidad],"Intercambio*",Tabla2[Universidad KPIs],'Utilización Convenios'!$C195,Tabla2[Año],'Utilización Convenios'!O$129,Tabla2[Nivel Nominación],"Postgraduate / Master")</f>
        <v>0</v>
      </c>
      <c r="Q195" s="168">
        <f t="shared" si="8"/>
        <v>0</v>
      </c>
      <c r="R195" s="156">
        <f t="shared" si="8"/>
        <v>1</v>
      </c>
    </row>
    <row r="196" spans="2:18" ht="14.45" customHeight="1">
      <c r="B196" s="242"/>
      <c r="C196" s="138" t="s">
        <v>155</v>
      </c>
      <c r="D196" s="149" t="s">
        <v>76</v>
      </c>
      <c r="E196" s="155">
        <f>COUNTIFS(Tabla1[Tipo de Movilidad],"Intercambio*",Tabla1[Universidad KPIs],'Utilización Convenios'!$C196,Tabla1[Año de Movilidad],'Utilización Convenios'!E$3,Tabla1[Nivel],"Maestría")</f>
        <v>0</v>
      </c>
      <c r="F196" s="163">
        <f>COUNTIFS(Tabla2[Tipo de Movilidad],"Intercambio*",Tabla2[Universidad KPIs],'Utilización Convenios'!$C196,Tabla2[Año],'Utilización Convenios'!E$129,Tabla2[Nivel Nominación],"Postgraduate / Master")</f>
        <v>0</v>
      </c>
      <c r="G196" s="155">
        <f>COUNTIFS(Tabla1[Tipo de Movilidad],"Intercambio*",Tabla1[Universidad KPIs],'Utilización Convenios'!$C196,Tabla1[Año de Movilidad],'Utilización Convenios'!G$3,Tabla1[Nivel],"Maestría")</f>
        <v>0</v>
      </c>
      <c r="H196" s="163">
        <f>COUNTIFS(Tabla2[Tipo de Movilidad],"Intercambio*",Tabla2[Universidad KPIs],'Utilización Convenios'!$C196,Tabla2[Año],'Utilización Convenios'!G$129,Tabla2[Nivel Nominación],"Postgraduate / Master")</f>
        <v>0</v>
      </c>
      <c r="I196" s="155">
        <f>COUNTIFS(Tabla1[Tipo de Movilidad],"Intercambio*",Tabla1[Universidad KPIs],'Utilización Convenios'!$C196,Tabla1[Año de Movilidad],'Utilización Convenios'!I$3,Tabla1[Nivel],"Maestría")</f>
        <v>0</v>
      </c>
      <c r="J196" s="163">
        <f>COUNTIFS(Tabla2[Tipo de Movilidad],"Intercambio*",Tabla2[Universidad KPIs],'Utilización Convenios'!$C196,Tabla2[Año],'Utilización Convenios'!I$129,Tabla2[Nivel Nominación],"Postgraduate / Master")</f>
        <v>2</v>
      </c>
      <c r="K196" s="155">
        <f>COUNTIFS(Tabla1[Tipo de Movilidad],"Intercambio*",Tabla1[Universidad KPIs],'Utilización Convenios'!$C196,Tabla1[Año de Movilidad],'Utilización Convenios'!K$3,Tabla1[Nivel],"Maestría")</f>
        <v>0</v>
      </c>
      <c r="L196" s="163">
        <f>COUNTIFS(Tabla2[Tipo de Movilidad],"Intercambio*",Tabla2[Universidad KPIs],'Utilización Convenios'!$C196,Tabla2[Año],'Utilización Convenios'!K$129,Tabla2[Nivel Nominación],"Postgraduate / Master")</f>
        <v>0</v>
      </c>
      <c r="M196" s="155">
        <f>COUNTIFS(Tabla1[Tipo de Movilidad],"Intercambio*",Tabla1[Universidad KPIs],'Utilización Convenios'!$C196,Tabla1[Año de Movilidad],'Utilización Convenios'!M$3,Tabla1[Nivel],"Maestría")</f>
        <v>0</v>
      </c>
      <c r="N196" s="163">
        <f>COUNTIFS(Tabla2[Tipo de Movilidad],"Intercambio*",Tabla2[Universidad KPIs],'Utilización Convenios'!$C196,Tabla2[Año],'Utilización Convenios'!M$129,Tabla2[Nivel Nominación],"Postgraduate / Master")</f>
        <v>1</v>
      </c>
      <c r="O196" s="155">
        <f>COUNTIFS(Tabla1[Tipo de Movilidad],"Intercambio*",Tabla1[Universidad KPIs],'Utilización Convenios'!$C196,Tabla1[Año de Movilidad],'Utilización Convenios'!O$3,Tabla1[Nivel],"Maestría")</f>
        <v>0</v>
      </c>
      <c r="P196" s="163">
        <f>COUNTIFS(Tabla2[Tipo de Movilidad],"Intercambio*",Tabla2[Universidad KPIs],'Utilización Convenios'!$C196,Tabla2[Año],'Utilización Convenios'!O$129,Tabla2[Nivel Nominación],"Postgraduate / Master")</f>
        <v>0</v>
      </c>
      <c r="Q196" s="168">
        <f t="shared" si="8"/>
        <v>0</v>
      </c>
      <c r="R196" s="156">
        <f t="shared" si="8"/>
        <v>3</v>
      </c>
    </row>
    <row r="197" spans="2:18">
      <c r="B197" s="242"/>
      <c r="C197" s="138" t="s">
        <v>204</v>
      </c>
      <c r="D197" s="149" t="s">
        <v>109</v>
      </c>
      <c r="E197" s="155">
        <f>COUNTIFS(Tabla1[Tipo de Movilidad],"Intercambio*",Tabla1[Universidad KPIs],'Utilización Convenios'!$C197,Tabla1[Año de Movilidad],'Utilización Convenios'!E$3,Tabla1[Nivel],"Maestría")</f>
        <v>0</v>
      </c>
      <c r="F197" s="163">
        <f>COUNTIFS(Tabla2[Tipo de Movilidad],"Intercambio*",Tabla2[Universidad KPIs],'Utilización Convenios'!$C197,Tabla2[Año],'Utilización Convenios'!E$129,Tabla2[Nivel Nominación],"Postgraduate / Master")</f>
        <v>0</v>
      </c>
      <c r="G197" s="155">
        <f>COUNTIFS(Tabla1[Tipo de Movilidad],"Intercambio*",Tabla1[Universidad KPIs],'Utilización Convenios'!$C197,Tabla1[Año de Movilidad],'Utilización Convenios'!G$3,Tabla1[Nivel],"Maestría")</f>
        <v>0</v>
      </c>
      <c r="H197" s="163">
        <f>COUNTIFS(Tabla2[Tipo de Movilidad],"Intercambio*",Tabla2[Universidad KPIs],'Utilización Convenios'!$C197,Tabla2[Año],'Utilización Convenios'!G$129,Tabla2[Nivel Nominación],"Postgraduate / Master")</f>
        <v>0</v>
      </c>
      <c r="I197" s="155">
        <f>COUNTIFS(Tabla1[Tipo de Movilidad],"Intercambio*",Tabla1[Universidad KPIs],'Utilización Convenios'!$C197,Tabla1[Año de Movilidad],'Utilización Convenios'!I$3,Tabla1[Nivel],"Maestría")</f>
        <v>0</v>
      </c>
      <c r="J197" s="163">
        <f>COUNTIFS(Tabla2[Tipo de Movilidad],"Intercambio*",Tabla2[Universidad KPIs],'Utilización Convenios'!$C197,Tabla2[Año],'Utilización Convenios'!I$129,Tabla2[Nivel Nominación],"Postgraduate / Master")</f>
        <v>0</v>
      </c>
      <c r="K197" s="155">
        <f>COUNTIFS(Tabla1[Tipo de Movilidad],"Intercambio*",Tabla1[Universidad KPIs],'Utilización Convenios'!$C197,Tabla1[Año de Movilidad],'Utilización Convenios'!K$3,Tabla1[Nivel],"Maestría")</f>
        <v>0</v>
      </c>
      <c r="L197" s="163">
        <f>COUNTIFS(Tabla2[Tipo de Movilidad],"Intercambio*",Tabla2[Universidad KPIs],'Utilización Convenios'!$C197,Tabla2[Año],'Utilización Convenios'!K$129,Tabla2[Nivel Nominación],"Postgraduate / Master")</f>
        <v>0</v>
      </c>
      <c r="M197" s="155">
        <f>COUNTIFS(Tabla1[Tipo de Movilidad],"Intercambio*",Tabla1[Universidad KPIs],'Utilización Convenios'!$C197,Tabla1[Año de Movilidad],'Utilización Convenios'!M$3,Tabla1[Nivel],"Maestría")</f>
        <v>0</v>
      </c>
      <c r="N197" s="163">
        <f>COUNTIFS(Tabla2[Tipo de Movilidad],"Intercambio*",Tabla2[Universidad KPIs],'Utilización Convenios'!$C197,Tabla2[Año],'Utilización Convenios'!M$129,Tabla2[Nivel Nominación],"Postgraduate / Master")</f>
        <v>1</v>
      </c>
      <c r="O197" s="155">
        <f>COUNTIFS(Tabla1[Tipo de Movilidad],"Intercambio*",Tabla1[Universidad KPIs],'Utilización Convenios'!$C197,Tabla1[Año de Movilidad],'Utilización Convenios'!O$3,Tabla1[Nivel],"Maestría")</f>
        <v>0</v>
      </c>
      <c r="P197" s="163">
        <f>COUNTIFS(Tabla2[Tipo de Movilidad],"Intercambio*",Tabla2[Universidad KPIs],'Utilización Convenios'!$C197,Tabla2[Año],'Utilización Convenios'!O$129,Tabla2[Nivel Nominación],"Postgraduate / Master")</f>
        <v>0</v>
      </c>
      <c r="Q197" s="168">
        <f t="shared" si="8"/>
        <v>0</v>
      </c>
      <c r="R197" s="156">
        <f t="shared" si="8"/>
        <v>1</v>
      </c>
    </row>
    <row r="198" spans="2:18">
      <c r="B198" s="242"/>
      <c r="C198" s="138" t="s">
        <v>167</v>
      </c>
      <c r="D198" s="139" t="s">
        <v>87</v>
      </c>
      <c r="E198" s="155">
        <f>COUNTIFS(Tabla1[Tipo de Movilidad],"Intercambio*",Tabla1[Universidad KPIs],'Utilización Convenios'!$C198,Tabla1[Año de Movilidad],'Utilización Convenios'!E$3,Tabla1[Nivel],"Maestría")</f>
        <v>0</v>
      </c>
      <c r="F198" s="163">
        <f>COUNTIFS(Tabla2[Tipo de Movilidad],"Intercambio*",Tabla2[Universidad KPIs],'Utilización Convenios'!$C198,Tabla2[Año],'Utilización Convenios'!E$129,Tabla2[Nivel Nominación],"Postgraduate / Master")</f>
        <v>0</v>
      </c>
      <c r="G198" s="155">
        <f>COUNTIFS(Tabla1[Tipo de Movilidad],"Intercambio*",Tabla1[Universidad KPIs],'Utilización Convenios'!$C198,Tabla1[Año de Movilidad],'Utilización Convenios'!G$3,Tabla1[Nivel],"Maestría")</f>
        <v>0</v>
      </c>
      <c r="H198" s="163">
        <f>COUNTIFS(Tabla2[Tipo de Movilidad],"Intercambio*",Tabla2[Universidad KPIs],'Utilización Convenios'!$C198,Tabla2[Año],'Utilización Convenios'!G$129,Tabla2[Nivel Nominación],"Postgraduate / Master")</f>
        <v>0</v>
      </c>
      <c r="I198" s="155">
        <f>COUNTIFS(Tabla1[Tipo de Movilidad],"Intercambio*",Tabla1[Universidad KPIs],'Utilización Convenios'!$C198,Tabla1[Año de Movilidad],'Utilización Convenios'!I$3,Tabla1[Nivel],"Maestría")</f>
        <v>0</v>
      </c>
      <c r="J198" s="163">
        <f>COUNTIFS(Tabla2[Tipo de Movilidad],"Intercambio*",Tabla2[Universidad KPIs],'Utilización Convenios'!$C198,Tabla2[Año],'Utilización Convenios'!I$129,Tabla2[Nivel Nominación],"Postgraduate / Master")</f>
        <v>0</v>
      </c>
      <c r="K198" s="155">
        <f>COUNTIFS(Tabla1[Tipo de Movilidad],"Intercambio*",Tabla1[Universidad KPIs],'Utilización Convenios'!$C198,Tabla1[Año de Movilidad],'Utilización Convenios'!K$3,Tabla1[Nivel],"Maestría")</f>
        <v>0</v>
      </c>
      <c r="L198" s="163">
        <f>COUNTIFS(Tabla2[Tipo de Movilidad],"Intercambio*",Tabla2[Universidad KPIs],'Utilización Convenios'!$C198,Tabla2[Año],'Utilización Convenios'!K$129,Tabla2[Nivel Nominación],"Postgraduate / Master")</f>
        <v>0</v>
      </c>
      <c r="M198" s="155">
        <f>COUNTIFS(Tabla1[Tipo de Movilidad],"Intercambio*",Tabla1[Universidad KPIs],'Utilización Convenios'!$C198,Tabla1[Año de Movilidad],'Utilización Convenios'!M$3,Tabla1[Nivel],"Maestría")</f>
        <v>0</v>
      </c>
      <c r="N198" s="163">
        <f>COUNTIFS(Tabla2[Tipo de Movilidad],"Intercambio*",Tabla2[Universidad KPIs],'Utilización Convenios'!$C198,Tabla2[Año],'Utilización Convenios'!M$129,Tabla2[Nivel Nominación],"Postgraduate / Master")</f>
        <v>0</v>
      </c>
      <c r="O198" s="155">
        <f>COUNTIFS(Tabla1[Tipo de Movilidad],"Intercambio*",Tabla1[Universidad KPIs],'Utilización Convenios'!$C198,Tabla1[Año de Movilidad],'Utilización Convenios'!O$3,Tabla1[Nivel],"Maestría")</f>
        <v>1</v>
      </c>
      <c r="P198" s="163">
        <f>COUNTIFS(Tabla2[Tipo de Movilidad],"Intercambio*",Tabla2[Universidad KPIs],'Utilización Convenios'!$C198,Tabla2[Año],'Utilización Convenios'!O$129,Tabla2[Nivel Nominación],"Postgraduate / Master")</f>
        <v>0</v>
      </c>
      <c r="Q198" s="168">
        <f t="shared" si="8"/>
        <v>1</v>
      </c>
      <c r="R198" s="156">
        <f t="shared" si="8"/>
        <v>0</v>
      </c>
    </row>
    <row r="199" spans="2:18">
      <c r="B199" s="242"/>
      <c r="C199" s="138" t="s">
        <v>205</v>
      </c>
      <c r="D199" s="149" t="s">
        <v>103</v>
      </c>
      <c r="E199" s="155">
        <f>COUNTIFS(Tabla1[Tipo de Movilidad],"Intercambio*",Tabla1[Universidad KPIs],'Utilización Convenios'!$C199,Tabla1[Año de Movilidad],'Utilización Convenios'!E$3,Tabla1[Nivel],"Maestría")</f>
        <v>0</v>
      </c>
      <c r="F199" s="163">
        <f>COUNTIFS(Tabla2[Tipo de Movilidad],"Intercambio*",Tabla2[Universidad KPIs],'Utilización Convenios'!$C199,Tabla2[Año],'Utilización Convenios'!E$129,Tabla2[Nivel Nominación],"Postgraduate / Master")</f>
        <v>0</v>
      </c>
      <c r="G199" s="155">
        <f>COUNTIFS(Tabla1[Tipo de Movilidad],"Intercambio*",Tabla1[Universidad KPIs],'Utilización Convenios'!$C199,Tabla1[Año de Movilidad],'Utilización Convenios'!G$3,Tabla1[Nivel],"Maestría")</f>
        <v>0</v>
      </c>
      <c r="H199" s="163">
        <f>COUNTIFS(Tabla2[Tipo de Movilidad],"Intercambio*",Tabla2[Universidad KPIs],'Utilización Convenios'!$C199,Tabla2[Año],'Utilización Convenios'!G$129,Tabla2[Nivel Nominación],"Postgraduate / Master")</f>
        <v>0</v>
      </c>
      <c r="I199" s="155">
        <f>COUNTIFS(Tabla1[Tipo de Movilidad],"Intercambio*",Tabla1[Universidad KPIs],'Utilización Convenios'!$C199,Tabla1[Año de Movilidad],'Utilización Convenios'!I$3,Tabla1[Nivel],"Maestría")</f>
        <v>0</v>
      </c>
      <c r="J199" s="163">
        <f>COUNTIFS(Tabla2[Tipo de Movilidad],"Intercambio*",Tabla2[Universidad KPIs],'Utilización Convenios'!$C199,Tabla2[Año],'Utilización Convenios'!I$129,Tabla2[Nivel Nominación],"Postgraduate / Master")</f>
        <v>1</v>
      </c>
      <c r="K199" s="155">
        <f>COUNTIFS(Tabla1[Tipo de Movilidad],"Intercambio*",Tabla1[Universidad KPIs],'Utilización Convenios'!$C199,Tabla1[Año de Movilidad],'Utilización Convenios'!K$3,Tabla1[Nivel],"Maestría")</f>
        <v>0</v>
      </c>
      <c r="L199" s="163">
        <f>COUNTIFS(Tabla2[Tipo de Movilidad],"Intercambio*",Tabla2[Universidad KPIs],'Utilización Convenios'!$C199,Tabla2[Año],'Utilización Convenios'!K$129,Tabla2[Nivel Nominación],"Postgraduate / Master")</f>
        <v>0</v>
      </c>
      <c r="M199" s="155">
        <f>COUNTIFS(Tabla1[Tipo de Movilidad],"Intercambio*",Tabla1[Universidad KPIs],'Utilización Convenios'!$C199,Tabla1[Año de Movilidad],'Utilización Convenios'!M$3,Tabla1[Nivel],"Maestría")</f>
        <v>0</v>
      </c>
      <c r="N199" s="163">
        <f>COUNTIFS(Tabla2[Tipo de Movilidad],"Intercambio*",Tabla2[Universidad KPIs],'Utilización Convenios'!$C199,Tabla2[Año],'Utilización Convenios'!M$129,Tabla2[Nivel Nominación],"Postgraduate / Master")</f>
        <v>0</v>
      </c>
      <c r="O199" s="155">
        <f>COUNTIFS(Tabla1[Tipo de Movilidad],"Intercambio*",Tabla1[Universidad KPIs],'Utilización Convenios'!$C199,Tabla1[Año de Movilidad],'Utilización Convenios'!O$3,Tabla1[Nivel],"Maestría")</f>
        <v>0</v>
      </c>
      <c r="P199" s="163">
        <f>COUNTIFS(Tabla2[Tipo de Movilidad],"Intercambio*",Tabla2[Universidad KPIs],'Utilización Convenios'!$C199,Tabla2[Año],'Utilización Convenios'!O$129,Tabla2[Nivel Nominación],"Postgraduate / Master")</f>
        <v>0</v>
      </c>
      <c r="Q199" s="168">
        <f t="shared" si="8"/>
        <v>0</v>
      </c>
      <c r="R199" s="156">
        <f t="shared" si="8"/>
        <v>1</v>
      </c>
    </row>
    <row r="200" spans="2:18">
      <c r="B200" s="242"/>
      <c r="C200" s="138" t="s">
        <v>206</v>
      </c>
      <c r="D200" s="149" t="s">
        <v>185</v>
      </c>
      <c r="E200" s="155">
        <f>COUNTIFS(Tabla1[Tipo de Movilidad],"Intercambio*",Tabla1[Universidad KPIs],'Utilización Convenios'!$C200,Tabla1[Año de Movilidad],'Utilización Convenios'!E$3,Tabla1[Nivel],"Maestría")</f>
        <v>0</v>
      </c>
      <c r="F200" s="163">
        <f>COUNTIFS(Tabla2[Tipo de Movilidad],"Intercambio*",Tabla2[Universidad KPIs],'Utilización Convenios'!$C200,Tabla2[Año],'Utilización Convenios'!E$129,Tabla2[Nivel Nominación],"Postgraduate / Master")</f>
        <v>0</v>
      </c>
      <c r="G200" s="155">
        <f>COUNTIFS(Tabla1[Tipo de Movilidad],"Intercambio*",Tabla1[Universidad KPIs],'Utilización Convenios'!$C200,Tabla1[Año de Movilidad],'Utilización Convenios'!G$3,Tabla1[Nivel],"Maestría")</f>
        <v>0</v>
      </c>
      <c r="H200" s="163">
        <f>COUNTIFS(Tabla2[Tipo de Movilidad],"Intercambio*",Tabla2[Universidad KPIs],'Utilización Convenios'!$C200,Tabla2[Año],'Utilización Convenios'!G$129,Tabla2[Nivel Nominación],"Postgraduate / Master")</f>
        <v>0</v>
      </c>
      <c r="I200" s="155">
        <f>COUNTIFS(Tabla1[Tipo de Movilidad],"Intercambio*",Tabla1[Universidad KPIs],'Utilización Convenios'!$C200,Tabla1[Año de Movilidad],'Utilización Convenios'!I$3,Tabla1[Nivel],"Maestría")</f>
        <v>0</v>
      </c>
      <c r="J200" s="163">
        <f>COUNTIFS(Tabla2[Tipo de Movilidad],"Intercambio*",Tabla2[Universidad KPIs],'Utilización Convenios'!$C200,Tabla2[Año],'Utilización Convenios'!I$129,Tabla2[Nivel Nominación],"Postgraduate / Master")</f>
        <v>0</v>
      </c>
      <c r="K200" s="155">
        <f>COUNTIFS(Tabla1[Tipo de Movilidad],"Intercambio*",Tabla1[Universidad KPIs],'Utilización Convenios'!$C200,Tabla1[Año de Movilidad],'Utilización Convenios'!K$3,Tabla1[Nivel],"Maestría")</f>
        <v>0</v>
      </c>
      <c r="L200" s="163">
        <f>COUNTIFS(Tabla2[Tipo de Movilidad],"Intercambio*",Tabla2[Universidad KPIs],'Utilización Convenios'!$C200,Tabla2[Año],'Utilización Convenios'!K$129,Tabla2[Nivel Nominación],"Postgraduate / Master")</f>
        <v>1</v>
      </c>
      <c r="M200" s="155">
        <f>COUNTIFS(Tabla1[Tipo de Movilidad],"Intercambio*",Tabla1[Universidad KPIs],'Utilización Convenios'!$C200,Tabla1[Año de Movilidad],'Utilización Convenios'!M$3,Tabla1[Nivel],"Maestría")</f>
        <v>0</v>
      </c>
      <c r="N200" s="163">
        <f>COUNTIFS(Tabla2[Tipo de Movilidad],"Intercambio*",Tabla2[Universidad KPIs],'Utilización Convenios'!$C200,Tabla2[Año],'Utilización Convenios'!M$129,Tabla2[Nivel Nominación],"Postgraduate / Master")</f>
        <v>0</v>
      </c>
      <c r="O200" s="155">
        <f>COUNTIFS(Tabla1[Tipo de Movilidad],"Intercambio*",Tabla1[Universidad KPIs],'Utilización Convenios'!$C200,Tabla1[Año de Movilidad],'Utilización Convenios'!O$3,Tabla1[Nivel],"Maestría")</f>
        <v>0</v>
      </c>
      <c r="P200" s="163">
        <f>COUNTIFS(Tabla2[Tipo de Movilidad],"Intercambio*",Tabla2[Universidad KPIs],'Utilización Convenios'!$C200,Tabla2[Año],'Utilización Convenios'!O$129,Tabla2[Nivel Nominación],"Postgraduate / Master")</f>
        <v>0</v>
      </c>
      <c r="Q200" s="168">
        <f t="shared" si="8"/>
        <v>0</v>
      </c>
      <c r="R200" s="156">
        <f t="shared" si="8"/>
        <v>1</v>
      </c>
    </row>
    <row r="201" spans="2:18">
      <c r="B201" s="242"/>
      <c r="C201" s="138" t="s">
        <v>177</v>
      </c>
      <c r="D201" s="149" t="s">
        <v>81</v>
      </c>
      <c r="E201" s="155">
        <f>COUNTIFS(Tabla1[Tipo de Movilidad],"Intercambio*",Tabla1[Universidad KPIs],'Utilización Convenios'!$C201,Tabla1[Año de Movilidad],'Utilización Convenios'!E$3,Tabla1[Nivel],"Maestría")</f>
        <v>0</v>
      </c>
      <c r="F201" s="163">
        <f>COUNTIFS(Tabla2[Tipo de Movilidad],"Intercambio*",Tabla2[Universidad KPIs],'Utilización Convenios'!$C201,Tabla2[Año],'Utilización Convenios'!E$129,Tabla2[Nivel Nominación],"Postgraduate / Master")</f>
        <v>0</v>
      </c>
      <c r="G201" s="155">
        <f>COUNTIFS(Tabla1[Tipo de Movilidad],"Intercambio*",Tabla1[Universidad KPIs],'Utilización Convenios'!$C201,Tabla1[Año de Movilidad],'Utilización Convenios'!G$3,Tabla1[Nivel],"Maestría")</f>
        <v>0</v>
      </c>
      <c r="H201" s="163">
        <f>COUNTIFS(Tabla2[Tipo de Movilidad],"Intercambio*",Tabla2[Universidad KPIs],'Utilización Convenios'!$C201,Tabla2[Año],'Utilización Convenios'!G$129,Tabla2[Nivel Nominación],"Postgraduate / Master")</f>
        <v>0</v>
      </c>
      <c r="I201" s="155">
        <f>COUNTIFS(Tabla1[Tipo de Movilidad],"Intercambio*",Tabla1[Universidad KPIs],'Utilización Convenios'!$C201,Tabla1[Año de Movilidad],'Utilización Convenios'!I$3,Tabla1[Nivel],"Maestría")</f>
        <v>0</v>
      </c>
      <c r="J201" s="163">
        <f>COUNTIFS(Tabla2[Tipo de Movilidad],"Intercambio*",Tabla2[Universidad KPIs],'Utilización Convenios'!$C201,Tabla2[Año],'Utilización Convenios'!I$129,Tabla2[Nivel Nominación],"Postgraduate / Master")</f>
        <v>1</v>
      </c>
      <c r="K201" s="155">
        <f>COUNTIFS(Tabla1[Tipo de Movilidad],"Intercambio*",Tabla1[Universidad KPIs],'Utilización Convenios'!$C201,Tabla1[Año de Movilidad],'Utilización Convenios'!K$3,Tabla1[Nivel],"Maestría")</f>
        <v>1</v>
      </c>
      <c r="L201" s="163">
        <f>COUNTIFS(Tabla2[Tipo de Movilidad],"Intercambio*",Tabla2[Universidad KPIs],'Utilización Convenios'!$C201,Tabla2[Año],'Utilización Convenios'!K$129,Tabla2[Nivel Nominación],"Postgraduate / Master")</f>
        <v>0</v>
      </c>
      <c r="M201" s="155">
        <f>COUNTIFS(Tabla1[Tipo de Movilidad],"Intercambio*",Tabla1[Universidad KPIs],'Utilización Convenios'!$C201,Tabla1[Año de Movilidad],'Utilización Convenios'!M$3,Tabla1[Nivel],"Maestría")</f>
        <v>0</v>
      </c>
      <c r="N201" s="163">
        <f>COUNTIFS(Tabla2[Tipo de Movilidad],"Intercambio*",Tabla2[Universidad KPIs],'Utilización Convenios'!$C201,Tabla2[Año],'Utilización Convenios'!M$129,Tabla2[Nivel Nominación],"Postgraduate / Master")</f>
        <v>4</v>
      </c>
      <c r="O201" s="155">
        <f>COUNTIFS(Tabla1[Tipo de Movilidad],"Intercambio*",Tabla1[Universidad KPIs],'Utilización Convenios'!$C201,Tabla1[Año de Movilidad],'Utilización Convenios'!O$3,Tabla1[Nivel],"Maestría")</f>
        <v>0</v>
      </c>
      <c r="P201" s="163">
        <f>COUNTIFS(Tabla2[Tipo de Movilidad],"Intercambio*",Tabla2[Universidad KPIs],'Utilización Convenios'!$C201,Tabla2[Año],'Utilización Convenios'!O$129,Tabla2[Nivel Nominación],"Postgraduate / Master")</f>
        <v>1</v>
      </c>
      <c r="Q201" s="168">
        <f t="shared" si="8"/>
        <v>1</v>
      </c>
      <c r="R201" s="156">
        <f t="shared" si="8"/>
        <v>6</v>
      </c>
    </row>
    <row r="202" spans="2:18">
      <c r="B202" s="242"/>
      <c r="C202" s="138" t="s">
        <v>207</v>
      </c>
      <c r="D202" s="149" t="s">
        <v>208</v>
      </c>
      <c r="E202" s="155">
        <f>COUNTIFS(Tabla1[Tipo de Movilidad],"Intercambio*",Tabla1[Universidad KPIs],'Utilización Convenios'!$C202,Tabla1[Año de Movilidad],'Utilización Convenios'!E$3,Tabla1[Nivel],"Maestría")</f>
        <v>0</v>
      </c>
      <c r="F202" s="163">
        <f>COUNTIFS(Tabla2[Tipo de Movilidad],"Intercambio*",Tabla2[Universidad KPIs],'Utilización Convenios'!$C202,Tabla2[Año],'Utilización Convenios'!E$129,Tabla2[Nivel Nominación],"Postgraduate / Master")</f>
        <v>0</v>
      </c>
      <c r="G202" s="155">
        <f>COUNTIFS(Tabla1[Tipo de Movilidad],"Intercambio*",Tabla1[Universidad KPIs],'Utilización Convenios'!$C202,Tabla1[Año de Movilidad],'Utilización Convenios'!G$3,Tabla1[Nivel],"Maestría")</f>
        <v>0</v>
      </c>
      <c r="H202" s="163">
        <f>COUNTIFS(Tabla2[Tipo de Movilidad],"Intercambio*",Tabla2[Universidad KPIs],'Utilización Convenios'!$C202,Tabla2[Año],'Utilización Convenios'!G$129,Tabla2[Nivel Nominación],"Postgraduate / Master")</f>
        <v>0</v>
      </c>
      <c r="I202" s="155">
        <f>COUNTIFS(Tabla1[Tipo de Movilidad],"Intercambio*",Tabla1[Universidad KPIs],'Utilización Convenios'!$C202,Tabla1[Año de Movilidad],'Utilización Convenios'!I$3,Tabla1[Nivel],"Maestría")</f>
        <v>0</v>
      </c>
      <c r="J202" s="163">
        <f>COUNTIFS(Tabla2[Tipo de Movilidad],"Intercambio*",Tabla2[Universidad KPIs],'Utilización Convenios'!$C202,Tabla2[Año],'Utilización Convenios'!I$129,Tabla2[Nivel Nominación],"Postgraduate / Master")</f>
        <v>0</v>
      </c>
      <c r="K202" s="155">
        <f>COUNTIFS(Tabla1[Tipo de Movilidad],"Intercambio*",Tabla1[Universidad KPIs],'Utilización Convenios'!$C202,Tabla1[Año de Movilidad],'Utilización Convenios'!K$3,Tabla1[Nivel],"Maestría")</f>
        <v>1</v>
      </c>
      <c r="L202" s="163">
        <f>COUNTIFS(Tabla2[Tipo de Movilidad],"Intercambio*",Tabla2[Universidad KPIs],'Utilización Convenios'!$C202,Tabla2[Año],'Utilización Convenios'!K$129,Tabla2[Nivel Nominación],"Postgraduate / Master")</f>
        <v>0</v>
      </c>
      <c r="M202" s="155">
        <f>COUNTIFS(Tabla1[Tipo de Movilidad],"Intercambio*",Tabla1[Universidad KPIs],'Utilización Convenios'!$C202,Tabla1[Año de Movilidad],'Utilización Convenios'!M$3,Tabla1[Nivel],"Maestría")</f>
        <v>0</v>
      </c>
      <c r="N202" s="163">
        <f>COUNTIFS(Tabla2[Tipo de Movilidad],"Intercambio*",Tabla2[Universidad KPIs],'Utilización Convenios'!$C202,Tabla2[Año],'Utilización Convenios'!M$129,Tabla2[Nivel Nominación],"Postgraduate / Master")</f>
        <v>0</v>
      </c>
      <c r="O202" s="155">
        <f>COUNTIFS(Tabla1[Tipo de Movilidad],"Intercambio*",Tabla1[Universidad KPIs],'Utilización Convenios'!$C202,Tabla1[Año de Movilidad],'Utilización Convenios'!O$3,Tabla1[Nivel],"Maestría")</f>
        <v>0</v>
      </c>
      <c r="P202" s="163">
        <f>COUNTIFS(Tabla2[Tipo de Movilidad],"Intercambio*",Tabla2[Universidad KPIs],'Utilización Convenios'!$C202,Tabla2[Año],'Utilización Convenios'!O$129,Tabla2[Nivel Nominación],"Postgraduate / Master")</f>
        <v>0</v>
      </c>
      <c r="Q202" s="168">
        <f t="shared" si="8"/>
        <v>1</v>
      </c>
      <c r="R202" s="156">
        <f t="shared" si="8"/>
        <v>0</v>
      </c>
    </row>
    <row r="203" spans="2:18">
      <c r="B203" s="242"/>
      <c r="C203" s="138" t="s">
        <v>209</v>
      </c>
      <c r="D203" s="149" t="s">
        <v>201</v>
      </c>
      <c r="E203" s="155">
        <f>COUNTIFS(Tabla1[Tipo de Movilidad],"Intercambio*",Tabla1[Universidad KPIs],'Utilización Convenios'!$C203,Tabla1[Año de Movilidad],'Utilización Convenios'!E$3,Tabla1[Nivel],"Maestría")</f>
        <v>0</v>
      </c>
      <c r="F203" s="163">
        <f>COUNTIFS(Tabla2[Tipo de Movilidad],"Intercambio*",Tabla2[Universidad KPIs],'Utilización Convenios'!$C203,Tabla2[Año],'Utilización Convenios'!E$129,Tabla2[Nivel Nominación],"Postgraduate / Master")</f>
        <v>0</v>
      </c>
      <c r="G203" s="155">
        <f>COUNTIFS(Tabla1[Tipo de Movilidad],"Intercambio*",Tabla1[Universidad KPIs],'Utilización Convenios'!$C203,Tabla1[Año de Movilidad],'Utilización Convenios'!G$3,Tabla1[Nivel],"Maestría")</f>
        <v>0</v>
      </c>
      <c r="H203" s="163">
        <f>COUNTIFS(Tabla2[Tipo de Movilidad],"Intercambio*",Tabla2[Universidad KPIs],'Utilización Convenios'!$C203,Tabla2[Año],'Utilización Convenios'!G$129,Tabla2[Nivel Nominación],"Postgraduate / Master")</f>
        <v>0</v>
      </c>
      <c r="I203" s="155">
        <f>COUNTIFS(Tabla1[Tipo de Movilidad],"Intercambio*",Tabla1[Universidad KPIs],'Utilización Convenios'!$C203,Tabla1[Año de Movilidad],'Utilización Convenios'!I$3,Tabla1[Nivel],"Maestría")</f>
        <v>0</v>
      </c>
      <c r="J203" s="163">
        <f>COUNTIFS(Tabla2[Tipo de Movilidad],"Intercambio*",Tabla2[Universidad KPIs],'Utilización Convenios'!$C203,Tabla2[Año],'Utilización Convenios'!I$129,Tabla2[Nivel Nominación],"Postgraduate / Master")</f>
        <v>0</v>
      </c>
      <c r="K203" s="155">
        <f>COUNTIFS(Tabla1[Tipo de Movilidad],"Intercambio*",Tabla1[Universidad KPIs],'Utilización Convenios'!$C203,Tabla1[Año de Movilidad],'Utilización Convenios'!K$3,Tabla1[Nivel],"Maestría")</f>
        <v>0</v>
      </c>
      <c r="L203" s="163">
        <f>COUNTIFS(Tabla2[Tipo de Movilidad],"Intercambio*",Tabla2[Universidad KPIs],'Utilización Convenios'!$C203,Tabla2[Año],'Utilización Convenios'!K$129,Tabla2[Nivel Nominación],"Postgraduate / Master")</f>
        <v>0</v>
      </c>
      <c r="M203" s="155">
        <f>COUNTIFS(Tabla1[Tipo de Movilidad],"Intercambio*",Tabla1[Universidad KPIs],'Utilización Convenios'!$C203,Tabla1[Año de Movilidad],'Utilización Convenios'!M$3,Tabla1[Nivel],"Maestría")</f>
        <v>0</v>
      </c>
      <c r="N203" s="163">
        <f>COUNTIFS(Tabla2[Tipo de Movilidad],"Intercambio*",Tabla2[Universidad KPIs],'Utilización Convenios'!$C203,Tabla2[Año],'Utilización Convenios'!M$129,Tabla2[Nivel Nominación],"Postgraduate / Master")</f>
        <v>1</v>
      </c>
      <c r="O203" s="155">
        <f>COUNTIFS(Tabla1[Tipo de Movilidad],"Intercambio*",Tabla1[Universidad KPIs],'Utilización Convenios'!$C203,Tabla1[Año de Movilidad],'Utilización Convenios'!O$3,Tabla1[Nivel],"Maestría")</f>
        <v>0</v>
      </c>
      <c r="P203" s="163">
        <f>COUNTIFS(Tabla2[Tipo de Movilidad],"Intercambio*",Tabla2[Universidad KPIs],'Utilización Convenios'!$C203,Tabla2[Año],'Utilización Convenios'!O$129,Tabla2[Nivel Nominación],"Postgraduate / Master")</f>
        <v>0</v>
      </c>
      <c r="Q203" s="168">
        <f t="shared" si="8"/>
        <v>0</v>
      </c>
      <c r="R203" s="156">
        <f t="shared" si="8"/>
        <v>1</v>
      </c>
    </row>
    <row r="204" spans="2:18">
      <c r="B204" s="242"/>
      <c r="C204" s="138" t="s">
        <v>188</v>
      </c>
      <c r="D204" s="149" t="s">
        <v>69</v>
      </c>
      <c r="E204" s="155">
        <f>COUNTIFS(Tabla1[Tipo de Movilidad],"Intercambio*",Tabla1[Universidad KPIs],'Utilización Convenios'!$C204,Tabla1[Año de Movilidad],'Utilización Convenios'!E$3,Tabla1[Nivel],"Maestría")</f>
        <v>0</v>
      </c>
      <c r="F204" s="163">
        <f>COUNTIFS(Tabla2[Tipo de Movilidad],"Intercambio*",Tabla2[Universidad KPIs],'Utilización Convenios'!$C204,Tabla2[Año],'Utilización Convenios'!E$129,Tabla2[Nivel Nominación],"Postgraduate / Master")</f>
        <v>0</v>
      </c>
      <c r="G204" s="155">
        <f>COUNTIFS(Tabla1[Tipo de Movilidad],"Intercambio*",Tabla1[Universidad KPIs],'Utilización Convenios'!$C204,Tabla1[Año de Movilidad],'Utilización Convenios'!G$3,Tabla1[Nivel],"Maestría")</f>
        <v>0</v>
      </c>
      <c r="H204" s="163">
        <f>COUNTIFS(Tabla2[Tipo de Movilidad],"Intercambio*",Tabla2[Universidad KPIs],'Utilización Convenios'!$C204,Tabla2[Año],'Utilización Convenios'!G$129,Tabla2[Nivel Nominación],"Postgraduate / Master")</f>
        <v>0</v>
      </c>
      <c r="I204" s="155">
        <f>COUNTIFS(Tabla1[Tipo de Movilidad],"Intercambio*",Tabla1[Universidad KPIs],'Utilización Convenios'!$C204,Tabla1[Año de Movilidad],'Utilización Convenios'!I$3,Tabla1[Nivel],"Maestría")</f>
        <v>0</v>
      </c>
      <c r="J204" s="163">
        <f>COUNTIFS(Tabla2[Tipo de Movilidad],"Intercambio*",Tabla2[Universidad KPIs],'Utilización Convenios'!$C204,Tabla2[Año],'Utilización Convenios'!I$129,Tabla2[Nivel Nominación],"Postgraduate / Master")</f>
        <v>0</v>
      </c>
      <c r="K204" s="155">
        <f>COUNTIFS(Tabla1[Tipo de Movilidad],"Intercambio*",Tabla1[Universidad KPIs],'Utilización Convenios'!$C204,Tabla1[Año de Movilidad],'Utilización Convenios'!K$3,Tabla1[Nivel],"Maestría")</f>
        <v>0</v>
      </c>
      <c r="L204" s="163">
        <f>COUNTIFS(Tabla2[Tipo de Movilidad],"Intercambio*",Tabla2[Universidad KPIs],'Utilización Convenios'!$C204,Tabla2[Año],'Utilización Convenios'!K$129,Tabla2[Nivel Nominación],"Postgraduate / Master")</f>
        <v>0</v>
      </c>
      <c r="M204" s="155">
        <f>COUNTIFS(Tabla1[Tipo de Movilidad],"Intercambio*",Tabla1[Universidad KPIs],'Utilización Convenios'!$C204,Tabla1[Año de Movilidad],'Utilización Convenios'!M$3,Tabla1[Nivel],"Maestría")</f>
        <v>1</v>
      </c>
      <c r="N204" s="163">
        <f>COUNTIFS(Tabla2[Tipo de Movilidad],"Intercambio*",Tabla2[Universidad KPIs],'Utilización Convenios'!$C204,Tabla2[Año],'Utilización Convenios'!M$129,Tabla2[Nivel Nominación],"Postgraduate / Master")</f>
        <v>0</v>
      </c>
      <c r="O204" s="155">
        <f>COUNTIFS(Tabla1[Tipo de Movilidad],"Intercambio*",Tabla1[Universidad KPIs],'Utilización Convenios'!$C204,Tabla1[Año de Movilidad],'Utilización Convenios'!O$3,Tabla1[Nivel],"Maestría")</f>
        <v>0</v>
      </c>
      <c r="P204" s="163">
        <f>COUNTIFS(Tabla2[Tipo de Movilidad],"Intercambio*",Tabla2[Universidad KPIs],'Utilización Convenios'!$C204,Tabla2[Año],'Utilización Convenios'!O$129,Tabla2[Nivel Nominación],"Postgraduate / Master")</f>
        <v>0</v>
      </c>
      <c r="Q204" s="168">
        <f t="shared" si="8"/>
        <v>1</v>
      </c>
      <c r="R204" s="156">
        <f t="shared" si="8"/>
        <v>0</v>
      </c>
    </row>
    <row r="205" spans="2:18">
      <c r="B205" s="242"/>
      <c r="C205" s="210" t="s">
        <v>210</v>
      </c>
      <c r="D205" s="212" t="s">
        <v>76</v>
      </c>
      <c r="E205" s="155">
        <f>COUNTIFS(Tabla1[Tipo de Movilidad],"Intercambio*",Tabla1[Universidad KPIs],'Utilización Convenios'!$C205,Tabla1[Año de Movilidad],'Utilización Convenios'!E$3,Tabla1[Nivel],"Maestría")</f>
        <v>0</v>
      </c>
      <c r="F205" s="163">
        <f>COUNTIFS(Tabla2[Tipo de Movilidad],"Intercambio*",Tabla2[Universidad KPIs],'Utilización Convenios'!$C205,Tabla2[Año],'Utilización Convenios'!E$129,Tabla2[Nivel Nominación],"Postgraduate / Master")</f>
        <v>0</v>
      </c>
      <c r="G205" s="155">
        <f>COUNTIFS(Tabla1[Tipo de Movilidad],"Intercambio*",Tabla1[Universidad KPIs],'Utilización Convenios'!$C205,Tabla1[Año de Movilidad],'Utilización Convenios'!G$3,Tabla1[Nivel],"Maestría")</f>
        <v>0</v>
      </c>
      <c r="H205" s="163">
        <f>COUNTIFS(Tabla2[Tipo de Movilidad],"Intercambio*",Tabla2[Universidad KPIs],'Utilización Convenios'!$C205,Tabla2[Año],'Utilización Convenios'!G$129,Tabla2[Nivel Nominación],"Postgraduate / Master")</f>
        <v>0</v>
      </c>
      <c r="I205" s="155">
        <f>COUNTIFS(Tabla1[Tipo de Movilidad],"Intercambio*",Tabla1[Universidad KPIs],'Utilización Convenios'!$C205,Tabla1[Año de Movilidad],'Utilización Convenios'!I$3,Tabla1[Nivel],"Maestría")</f>
        <v>0</v>
      </c>
      <c r="J205" s="163">
        <f>COUNTIFS(Tabla2[Tipo de Movilidad],"Intercambio*",Tabla2[Universidad KPIs],'Utilización Convenios'!$C205,Tabla2[Año],'Utilización Convenios'!I$129,Tabla2[Nivel Nominación],"Postgraduate / Master")</f>
        <v>0</v>
      </c>
      <c r="K205" s="155">
        <f>COUNTIFS(Tabla1[Tipo de Movilidad],"Intercambio*",Tabla1[Universidad KPIs],'Utilización Convenios'!$C205,Tabla1[Año de Movilidad],'Utilización Convenios'!K$3,Tabla1[Nivel],"Maestría")</f>
        <v>0</v>
      </c>
      <c r="L205" s="163">
        <f>COUNTIFS(Tabla2[Tipo de Movilidad],"Intercambio*",Tabla2[Universidad KPIs],'Utilización Convenios'!$C205,Tabla2[Año],'Utilización Convenios'!K$129,Tabla2[Nivel Nominación],"Postgraduate / Master")</f>
        <v>0</v>
      </c>
      <c r="M205" s="155">
        <f>COUNTIFS(Tabla1[Tipo de Movilidad],"Intercambio*",Tabla1[Universidad KPIs],'Utilización Convenios'!$C205,Tabla1[Año de Movilidad],'Utilización Convenios'!M$3,Tabla1[Nivel],"Maestría")</f>
        <v>0</v>
      </c>
      <c r="N205" s="163">
        <f>COUNTIFS(Tabla2[Tipo de Movilidad],"Intercambio*",Tabla2[Universidad KPIs],'Utilización Convenios'!$C205,Tabla2[Año],'Utilización Convenios'!M$129,Tabla2[Nivel Nominación],"Postgraduate / Master")</f>
        <v>0</v>
      </c>
      <c r="O205" s="155">
        <f>COUNTIFS(Tabla1[Tipo de Movilidad],"Intercambio*",Tabla1[Universidad KPIs],'Utilización Convenios'!$C205,Tabla1[Año de Movilidad],'Utilización Convenios'!O$3,Tabla1[Nivel],"Maestría")</f>
        <v>0</v>
      </c>
      <c r="P205" s="163">
        <f>COUNTIFS(Tabla2[Tipo de Movilidad],"Intercambio*",Tabla2[Universidad KPIs],'Utilización Convenios'!$C205,Tabla2[Año],'Utilización Convenios'!O$129,Tabla2[Nivel Nominación],"Postgraduate / Master")</f>
        <v>1</v>
      </c>
      <c r="Q205" s="168">
        <f t="shared" si="8"/>
        <v>0</v>
      </c>
      <c r="R205" s="156">
        <f t="shared" si="8"/>
        <v>1</v>
      </c>
    </row>
    <row r="206" spans="2:18" ht="15.75" thickBot="1">
      <c r="B206" s="243"/>
      <c r="C206" s="140" t="s">
        <v>166</v>
      </c>
      <c r="D206" s="150" t="s">
        <v>57</v>
      </c>
      <c r="E206" s="157">
        <f>COUNTIFS(Tabla1[Tipo de Movilidad],"Intercambio*",Tabla1[Universidad KPIs],'Utilización Convenios'!$C206,Tabla1[Año de Movilidad],'Utilización Convenios'!E$3,Tabla1[Nivel],"Maestría")</f>
        <v>0</v>
      </c>
      <c r="F206" s="164">
        <f>COUNTIFS(Tabla2[Tipo de Movilidad],"Intercambio*",Tabla2[Universidad KPIs],'Utilización Convenios'!$C206,Tabla2[Año],'Utilización Convenios'!E$129,Tabla2[Nivel Nominación],"Postgraduate / Master")</f>
        <v>0</v>
      </c>
      <c r="G206" s="157">
        <f>COUNTIFS(Tabla1[Tipo de Movilidad],"Intercambio*",Tabla1[Universidad KPIs],'Utilización Convenios'!$C206,Tabla1[Año de Movilidad],'Utilización Convenios'!G$3,Tabla1[Nivel],"Maestría")</f>
        <v>0</v>
      </c>
      <c r="H206" s="164">
        <f>COUNTIFS(Tabla2[Tipo de Movilidad],"Intercambio*",Tabla2[Universidad KPIs],'Utilización Convenios'!$C206,Tabla2[Año],'Utilización Convenios'!G$129,Tabla2[Nivel Nominación],"Postgraduate / Master")</f>
        <v>0</v>
      </c>
      <c r="I206" s="157">
        <f>COUNTIFS(Tabla1[Tipo de Movilidad],"Intercambio*",Tabla1[Universidad KPIs],'Utilización Convenios'!$C206,Tabla1[Año de Movilidad],'Utilización Convenios'!I$3,Tabla1[Nivel],"Maestría")</f>
        <v>0</v>
      </c>
      <c r="J206" s="164">
        <f>COUNTIFS(Tabla2[Tipo de Movilidad],"Intercambio*",Tabla2[Universidad KPIs],'Utilización Convenios'!$C206,Tabla2[Año],'Utilización Convenios'!I$129,Tabla2[Nivel Nominación],"Postgraduate / Master")</f>
        <v>0</v>
      </c>
      <c r="K206" s="157">
        <f>COUNTIFS(Tabla1[Tipo de Movilidad],"Intercambio*",Tabla1[Universidad KPIs],'Utilización Convenios'!$C206,Tabla1[Año de Movilidad],'Utilización Convenios'!K$3,Tabla1[Nivel],"Maestría")</f>
        <v>0</v>
      </c>
      <c r="L206" s="164">
        <f>COUNTIFS(Tabla2[Tipo de Movilidad],"Intercambio*",Tabla2[Universidad KPIs],'Utilización Convenios'!$C206,Tabla2[Año],'Utilización Convenios'!K$129,Tabla2[Nivel Nominación],"Postgraduate / Master")</f>
        <v>0</v>
      </c>
      <c r="M206" s="157">
        <f>COUNTIFS(Tabla1[Tipo de Movilidad],"Intercambio*",Tabla1[Universidad KPIs],'Utilización Convenios'!$C206,Tabla1[Año de Movilidad],'Utilización Convenios'!M$3,Tabla1[Nivel],"Maestría")</f>
        <v>0</v>
      </c>
      <c r="N206" s="164">
        <f>COUNTIFS(Tabla2[Tipo de Movilidad],"Intercambio*",Tabla2[Universidad KPIs],'Utilización Convenios'!$C206,Tabla2[Año],'Utilización Convenios'!M$129,Tabla2[Nivel Nominación],"Postgraduate / Master")</f>
        <v>2</v>
      </c>
      <c r="O206" s="157">
        <f>COUNTIFS(Tabla1[Tipo de Movilidad],"Intercambio*",Tabla1[Universidad KPIs],'Utilización Convenios'!$C206,Tabla1[Año de Movilidad],'Utilización Convenios'!O$3,Tabla1[Nivel],"Maestría")</f>
        <v>0</v>
      </c>
      <c r="P206" s="164">
        <f>COUNTIFS(Tabla2[Tipo de Movilidad],"Intercambio*",Tabla2[Universidad KPIs],'Utilización Convenios'!$C206,Tabla2[Año],'Utilización Convenios'!O$129,Tabla2[Nivel Nominación],"Postgraduate / Master")</f>
        <v>0</v>
      </c>
      <c r="Q206" s="169">
        <f t="shared" si="8"/>
        <v>0</v>
      </c>
      <c r="R206" s="158">
        <f t="shared" si="8"/>
        <v>2</v>
      </c>
    </row>
    <row r="207" spans="2:18" ht="15.75" thickBot="1">
      <c r="C207" s="231" t="s">
        <v>193</v>
      </c>
      <c r="D207" s="232"/>
      <c r="E207" s="165">
        <f t="shared" ref="E207:L207" si="9">SUM(E131:E206)</f>
        <v>0</v>
      </c>
      <c r="F207" s="166">
        <f t="shared" si="9"/>
        <v>10</v>
      </c>
      <c r="G207" s="160">
        <f t="shared" si="9"/>
        <v>2</v>
      </c>
      <c r="H207" s="161">
        <f t="shared" si="9"/>
        <v>22</v>
      </c>
      <c r="I207" s="160">
        <f t="shared" si="9"/>
        <v>6</v>
      </c>
      <c r="J207" s="161">
        <f t="shared" si="9"/>
        <v>33</v>
      </c>
      <c r="K207" s="160">
        <f t="shared" si="9"/>
        <v>6</v>
      </c>
      <c r="L207" s="161">
        <f t="shared" si="9"/>
        <v>32</v>
      </c>
      <c r="M207" s="160">
        <f t="shared" ref="M207:R207" si="10">SUM(M131:M206)</f>
        <v>4</v>
      </c>
      <c r="N207" s="161">
        <f t="shared" si="10"/>
        <v>38</v>
      </c>
      <c r="O207" s="160">
        <f t="shared" si="10"/>
        <v>1</v>
      </c>
      <c r="P207" s="161">
        <f t="shared" si="10"/>
        <v>9</v>
      </c>
      <c r="Q207" s="159">
        <f t="shared" si="10"/>
        <v>19</v>
      </c>
      <c r="R207" s="152">
        <f t="shared" si="10"/>
        <v>144</v>
      </c>
    </row>
    <row r="210" spans="3:18" ht="21.75" thickBot="1">
      <c r="C210" s="233" t="s">
        <v>211</v>
      </c>
      <c r="D210" s="233"/>
      <c r="E210" s="233"/>
      <c r="F210" s="233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</row>
    <row r="211" spans="3:18" ht="15.75" thickBot="1">
      <c r="E211" s="238">
        <v>2020</v>
      </c>
      <c r="F211" s="239"/>
      <c r="G211" s="238">
        <v>2021</v>
      </c>
      <c r="H211" s="239"/>
      <c r="I211" s="238">
        <v>2022</v>
      </c>
      <c r="J211" s="239"/>
      <c r="K211" s="238">
        <v>2023</v>
      </c>
      <c r="L211" s="239"/>
      <c r="M211" s="238">
        <v>2024</v>
      </c>
      <c r="N211" s="239"/>
      <c r="O211" s="238">
        <v>2025</v>
      </c>
      <c r="P211" s="240"/>
      <c r="Q211" s="229" t="s">
        <v>45</v>
      </c>
      <c r="R211" s="230"/>
    </row>
    <row r="212" spans="3:18" ht="21.75" thickBot="1">
      <c r="D212" s="90"/>
      <c r="E212" s="58" t="s">
        <v>47</v>
      </c>
      <c r="F212" s="69" t="s">
        <v>48</v>
      </c>
      <c r="G212" s="58" t="s">
        <v>47</v>
      </c>
      <c r="H212" s="69" t="s">
        <v>48</v>
      </c>
      <c r="I212" s="58" t="s">
        <v>47</v>
      </c>
      <c r="J212" s="69" t="s">
        <v>48</v>
      </c>
      <c r="K212" s="58" t="s">
        <v>47</v>
      </c>
      <c r="L212" s="69" t="s">
        <v>48</v>
      </c>
      <c r="M212" s="58" t="s">
        <v>47</v>
      </c>
      <c r="N212" s="66" t="s">
        <v>48</v>
      </c>
      <c r="O212" s="58" t="s">
        <v>47</v>
      </c>
      <c r="P212" s="69" t="s">
        <v>48</v>
      </c>
      <c r="Q212" s="53" t="s">
        <v>47</v>
      </c>
      <c r="R212" s="82" t="s">
        <v>48</v>
      </c>
    </row>
    <row r="213" spans="3:18">
      <c r="C213" s="50" t="s">
        <v>212</v>
      </c>
      <c r="D213" s="213" t="s">
        <v>63</v>
      </c>
      <c r="E213" s="200">
        <f>COUNTIFS(Tabla1[Tipo de Movilidad],"Pasant*",Tabla1[Universidad KPIs],$C213,Tabla1[Año de Movilidad],'Utilización Convenios'!E$211)</f>
        <v>0</v>
      </c>
      <c r="F213" s="109">
        <f>COUNTIFS(Tabla2[Tipo de Movilidad],"Pasant*",Tabla2[Universidad KPIs],'Utilización Convenios'!$C213,Tabla2[Año],'Utilización Convenios'!E$211)</f>
        <v>0</v>
      </c>
      <c r="G213" s="200">
        <f>COUNTIFS(Tabla1[Tipo de Movilidad],"Pasant*",Tabla1[Universidad KPIs],$C213,Tabla1[Año de Movilidad],'Utilización Convenios'!G$211)</f>
        <v>0</v>
      </c>
      <c r="H213" s="109">
        <f>COUNTIFS(Tabla2[Tipo de Movilidad],"Pasant*",Tabla2[Universidad KPIs],'Utilización Convenios'!$C213,Tabla2[Año],'Utilización Convenios'!G$211)</f>
        <v>0</v>
      </c>
      <c r="I213" s="200">
        <f>COUNTIFS(Tabla1[Tipo de Movilidad],"Pasant*",Tabla1[Universidad KPIs],$C213,Tabla1[Año de Movilidad],'Utilización Convenios'!I$211)</f>
        <v>0</v>
      </c>
      <c r="J213" s="109">
        <f>COUNTIFS(Tabla2[Tipo de Movilidad],"Pasant*",Tabla2[Universidad KPIs],'Utilización Convenios'!$C213,Tabla2[Año],'Utilización Convenios'!I$211)</f>
        <v>0</v>
      </c>
      <c r="K213" s="200">
        <f>COUNTIFS(Tabla1[Tipo de Movilidad],"Pasant*",Tabla1[Universidad KPIs],$C213,Tabla1[Año de Movilidad],'Utilización Convenios'!K$211)</f>
        <v>0</v>
      </c>
      <c r="L213" s="109">
        <f>COUNTIFS(Tabla2[Tipo de Movilidad],"Pasant*",Tabla2[Universidad KPIs],'Utilización Convenios'!$C213,Tabla2[Año],'Utilización Convenios'!K$211)</f>
        <v>0</v>
      </c>
      <c r="M213" s="200">
        <f>COUNTIFS(Tabla1[Tipo de Movilidad],"Pasant*",Tabla1[Universidad KPIs],$C213,Tabla1[Año de Movilidad],'Utilización Convenios'!M$211)</f>
        <v>0</v>
      </c>
      <c r="N213" s="109">
        <f>COUNTIFS(Tabla2[Tipo de Movilidad],"Pasant*",Tabla2[Universidad KPIs],'Utilización Convenios'!$C213,Tabla2[Año],'Utilización Convenios'!M$211)</f>
        <v>1</v>
      </c>
      <c r="O213" s="200">
        <f>COUNTIFS(Tabla1[Tipo de Movilidad],"Pasant*",Tabla1[Universidad KPIs],$C213,Tabla1[Año de Movilidad],'Utilización Convenios'!O$211)</f>
        <v>0</v>
      </c>
      <c r="P213" s="109">
        <f>COUNTIFS(Tabla2[Tipo de Movilidad],"Pasant*",Tabla2[Universidad KPIs],'Utilización Convenios'!$C213,Tabla2[Año],'Utilización Convenios'!O$211)</f>
        <v>0</v>
      </c>
      <c r="Q213" s="126">
        <f t="shared" ref="Q213:Q227" si="11">SUMIF($E$212:$P$212,Q$212,$E213:$P213)</f>
        <v>0</v>
      </c>
      <c r="R213" s="81">
        <f>SUMIF($E$130:$P$130,R$130,$E213:$P213)</f>
        <v>1</v>
      </c>
    </row>
    <row r="214" spans="3:18">
      <c r="C214" s="22" t="s">
        <v>213</v>
      </c>
      <c r="D214" s="214" t="s">
        <v>201</v>
      </c>
      <c r="E214" s="201">
        <f>COUNTIFS(Tabla1[Tipo de Movilidad],"Pasant*",Tabla1[Universidad KPIs],$C214,Tabla1[Año de Movilidad],'Utilización Convenios'!E$211)</f>
        <v>0</v>
      </c>
      <c r="F214" s="111">
        <f>COUNTIFS(Tabla2[Tipo de Movilidad],"Pasant*",Tabla2[Universidad KPIs],'Utilización Convenios'!$C214,Tabla2[Año],'Utilización Convenios'!E$211)</f>
        <v>0</v>
      </c>
      <c r="G214" s="201">
        <f>COUNTIFS(Tabla1[Tipo de Movilidad],"Pasant*",Tabla1[Universidad KPIs],$C214,Tabla1[Año de Movilidad],'Utilización Convenios'!G$211)</f>
        <v>0</v>
      </c>
      <c r="H214" s="111">
        <f>COUNTIFS(Tabla2[Tipo de Movilidad],"Pasant*",Tabla2[Universidad KPIs],'Utilización Convenios'!$C214,Tabla2[Año],'Utilización Convenios'!G$211)</f>
        <v>0</v>
      </c>
      <c r="I214" s="201">
        <f>COUNTIFS(Tabla1[Tipo de Movilidad],"Pasant*",Tabla1[Universidad KPIs],$C214,Tabla1[Año de Movilidad],'Utilización Convenios'!I$211)</f>
        <v>0</v>
      </c>
      <c r="J214" s="111">
        <f>COUNTIFS(Tabla2[Tipo de Movilidad],"Pasant*",Tabla2[Universidad KPIs],'Utilización Convenios'!$C214,Tabla2[Año],'Utilización Convenios'!I$211)</f>
        <v>0</v>
      </c>
      <c r="K214" s="201">
        <f>COUNTIFS(Tabla1[Tipo de Movilidad],"Pasant*",Tabla1[Universidad KPIs],$C214,Tabla1[Año de Movilidad],'Utilización Convenios'!K$211)</f>
        <v>0</v>
      </c>
      <c r="L214" s="111">
        <f>COUNTIFS(Tabla2[Tipo de Movilidad],"Pasant*",Tabla2[Universidad KPIs],'Utilización Convenios'!$C214,Tabla2[Año],'Utilización Convenios'!K$211)</f>
        <v>0</v>
      </c>
      <c r="M214" s="201">
        <f>COUNTIFS(Tabla1[Tipo de Movilidad],"Pasant*",Tabla1[Universidad KPIs],$C214,Tabla1[Año de Movilidad],'Utilización Convenios'!M$211)</f>
        <v>0</v>
      </c>
      <c r="N214" s="111">
        <f>COUNTIFS(Tabla2[Tipo de Movilidad],"Pasant*",Tabla2[Universidad KPIs],'Utilización Convenios'!$C214,Tabla2[Año],'Utilización Convenios'!M$211)</f>
        <v>1</v>
      </c>
      <c r="O214" s="201">
        <f>COUNTIFS(Tabla1[Tipo de Movilidad],"Pasant*",Tabla1[Universidad KPIs],$C214,Tabla1[Año de Movilidad],'Utilización Convenios'!O$211)</f>
        <v>0</v>
      </c>
      <c r="P214" s="111">
        <f>COUNTIFS(Tabla2[Tipo de Movilidad],"Pasant*",Tabla2[Universidad KPIs],'Utilización Convenios'!$C214,Tabla2[Año],'Utilización Convenios'!O$211)</f>
        <v>0</v>
      </c>
      <c r="Q214" s="126">
        <f t="shared" si="11"/>
        <v>0</v>
      </c>
      <c r="R214" s="81">
        <f t="shared" ref="R214:R227" si="12">SUMIF($E$130:$P$130,R$130,$E214:$P214)</f>
        <v>1</v>
      </c>
    </row>
    <row r="215" spans="3:18">
      <c r="C215" s="201" t="s">
        <v>214</v>
      </c>
      <c r="D215" s="214" t="s">
        <v>215</v>
      </c>
      <c r="E215" s="201">
        <f>COUNTIFS(Tabla1[Tipo de Movilidad],"Pasant*",Tabla1[Universidad KPIs],$C215,Tabla1[Año de Movilidad],'Utilización Convenios'!E$211)</f>
        <v>0</v>
      </c>
      <c r="F215" s="111">
        <f>COUNTIFS(Tabla2[Tipo de Movilidad],"Pasant*",Tabla2[Universidad KPIs],'Utilización Convenios'!$C215,Tabla2[Año],'Utilización Convenios'!E$211)</f>
        <v>0</v>
      </c>
      <c r="G215" s="201">
        <f>COUNTIFS(Tabla1[Tipo de Movilidad],"Pasant*",Tabla1[Universidad KPIs],$C215,Tabla1[Año de Movilidad],'Utilización Convenios'!G$211)</f>
        <v>0</v>
      </c>
      <c r="H215" s="111">
        <f>COUNTIFS(Tabla2[Tipo de Movilidad],"Pasant*",Tabla2[Universidad KPIs],'Utilización Convenios'!$C215,Tabla2[Año],'Utilización Convenios'!G$211)</f>
        <v>0</v>
      </c>
      <c r="I215" s="201">
        <f>COUNTIFS(Tabla1[Tipo de Movilidad],"Pasant*",Tabla1[Universidad KPIs],$C215,Tabla1[Año de Movilidad],'Utilización Convenios'!I$211)</f>
        <v>0</v>
      </c>
      <c r="J215" s="111">
        <f>COUNTIFS(Tabla2[Tipo de Movilidad],"Pasant*",Tabla2[Universidad KPIs],'Utilización Convenios'!$C215,Tabla2[Año],'Utilización Convenios'!I$211)</f>
        <v>0</v>
      </c>
      <c r="K215" s="201">
        <f>COUNTIFS(Tabla1[Tipo de Movilidad],"Pasant*",Tabla1[Universidad KPIs],$C215,Tabla1[Año de Movilidad],'Utilización Convenios'!K$211)</f>
        <v>0</v>
      </c>
      <c r="L215" s="111">
        <f>COUNTIFS(Tabla2[Tipo de Movilidad],"Pasant*",Tabla2[Universidad KPIs],'Utilización Convenios'!$C215,Tabla2[Año],'Utilización Convenios'!K$211)</f>
        <v>0</v>
      </c>
      <c r="M215" s="201">
        <f>COUNTIFS(Tabla1[Tipo de Movilidad],"Pasant*",Tabla1[Universidad KPIs],$C215,Tabla1[Año de Movilidad],'Utilización Convenios'!M$211)</f>
        <v>0</v>
      </c>
      <c r="N215" s="111">
        <f>COUNTIFS(Tabla2[Tipo de Movilidad],"Pasant*",Tabla2[Universidad KPIs],'Utilización Convenios'!$C215,Tabla2[Año],'Utilización Convenios'!M$211)</f>
        <v>0</v>
      </c>
      <c r="O215" s="201">
        <f>COUNTIFS(Tabla1[Tipo de Movilidad],"Pasant*",Tabla1[Universidad KPIs],$C215,Tabla1[Año de Movilidad],'Utilización Convenios'!O$211)</f>
        <v>1</v>
      </c>
      <c r="P215" s="111">
        <f>COUNTIFS(Tabla2[Tipo de Movilidad],"Pasant*",Tabla2[Universidad KPIs],'Utilización Convenios'!$C215,Tabla2[Año],'Utilización Convenios'!O$211)</f>
        <v>0</v>
      </c>
      <c r="Q215" s="126">
        <f t="shared" si="11"/>
        <v>1</v>
      </c>
      <c r="R215" s="81">
        <f t="shared" si="12"/>
        <v>0</v>
      </c>
    </row>
    <row r="216" spans="3:18">
      <c r="C216" s="202" t="s">
        <v>82</v>
      </c>
      <c r="D216" s="214" t="s">
        <v>216</v>
      </c>
      <c r="E216" s="201">
        <f>COUNTIFS(Tabla1[Tipo de Movilidad],"Pasant*",Tabla1[Universidad KPIs],$C216,Tabla1[Año de Movilidad],'Utilización Convenios'!E$211)</f>
        <v>0</v>
      </c>
      <c r="F216" s="111">
        <f>COUNTIFS(Tabla2[Tipo de Movilidad],"Pasant*",Tabla2[Universidad KPIs],'Utilización Convenios'!$C216,Tabla2[Año],'Utilización Convenios'!E$211)</f>
        <v>0</v>
      </c>
      <c r="G216" s="201">
        <f>COUNTIFS(Tabla1[Tipo de Movilidad],"Pasant*",Tabla1[Universidad KPIs],$C216,Tabla1[Año de Movilidad],'Utilización Convenios'!G$211)</f>
        <v>0</v>
      </c>
      <c r="H216" s="111">
        <f>COUNTIFS(Tabla2[Tipo de Movilidad],"Pasant*",Tabla2[Universidad KPIs],'Utilización Convenios'!$C216,Tabla2[Año],'Utilización Convenios'!G$211)</f>
        <v>0</v>
      </c>
      <c r="I216" s="201">
        <f>COUNTIFS(Tabla1[Tipo de Movilidad],"Pasant*",Tabla1[Universidad KPIs],$C216,Tabla1[Año de Movilidad],'Utilización Convenios'!I$211)</f>
        <v>0</v>
      </c>
      <c r="J216" s="111">
        <f>COUNTIFS(Tabla2[Tipo de Movilidad],"Pasant*",Tabla2[Universidad KPIs],'Utilización Convenios'!$C216,Tabla2[Año],'Utilización Convenios'!I$211)</f>
        <v>0</v>
      </c>
      <c r="K216" s="201">
        <f>COUNTIFS(Tabla1[Tipo de Movilidad],"Pasant*",Tabla1[Universidad KPIs],$C216,Tabla1[Año de Movilidad],'Utilización Convenios'!K$211)</f>
        <v>1</v>
      </c>
      <c r="L216" s="111">
        <f>COUNTIFS(Tabla2[Tipo de Movilidad],"Pasant*",Tabla2[Universidad KPIs],'Utilización Convenios'!$C216,Tabla2[Año],'Utilización Convenios'!K$211)</f>
        <v>0</v>
      </c>
      <c r="M216" s="201">
        <f>COUNTIFS(Tabla1[Tipo de Movilidad],"Pasant*",Tabla1[Universidad KPIs],$C216,Tabla1[Año de Movilidad],'Utilización Convenios'!M$211)</f>
        <v>0</v>
      </c>
      <c r="N216" s="111">
        <f>COUNTIFS(Tabla2[Tipo de Movilidad],"Pasant*",Tabla2[Universidad KPIs],'Utilización Convenios'!$C216,Tabla2[Año],'Utilización Convenios'!M$211)</f>
        <v>0</v>
      </c>
      <c r="O216" s="201">
        <f>COUNTIFS(Tabla1[Tipo de Movilidad],"Pasant*",Tabla1[Universidad KPIs],$C216,Tabla1[Año de Movilidad],'Utilización Convenios'!O$211)</f>
        <v>0</v>
      </c>
      <c r="P216" s="111">
        <f>COUNTIFS(Tabla2[Tipo de Movilidad],"Pasant*",Tabla2[Universidad KPIs],'Utilización Convenios'!$C216,Tabla2[Año],'Utilización Convenios'!O$211)</f>
        <v>0</v>
      </c>
      <c r="Q216" s="126">
        <f t="shared" si="11"/>
        <v>1</v>
      </c>
      <c r="R216" s="81">
        <f t="shared" si="12"/>
        <v>0</v>
      </c>
    </row>
    <row r="217" spans="3:18">
      <c r="C217" s="22" t="s">
        <v>217</v>
      </c>
      <c r="D217" s="214" t="s">
        <v>87</v>
      </c>
      <c r="E217" s="201">
        <f>COUNTIFS(Tabla1[Tipo de Movilidad],"Pasant*",Tabla1[Universidad KPIs],$C217,Tabla1[Año de Movilidad],'Utilización Convenios'!E$211)</f>
        <v>0</v>
      </c>
      <c r="F217" s="111">
        <f>COUNTIFS(Tabla2[Tipo de Movilidad],"Pasant*",Tabla2[Universidad KPIs],'Utilización Convenios'!$C217,Tabla2[Año],'Utilización Convenios'!E$211)</f>
        <v>0</v>
      </c>
      <c r="G217" s="201">
        <f>COUNTIFS(Tabla1[Tipo de Movilidad],"Pasant*",Tabla1[Universidad KPIs],$C217,Tabla1[Año de Movilidad],'Utilización Convenios'!G$211)</f>
        <v>0</v>
      </c>
      <c r="H217" s="111">
        <f>COUNTIFS(Tabla2[Tipo de Movilidad],"Pasant*",Tabla2[Universidad KPIs],'Utilización Convenios'!$C217,Tabla2[Año],'Utilización Convenios'!G$211)</f>
        <v>0</v>
      </c>
      <c r="I217" s="201">
        <f>COUNTIFS(Tabla1[Tipo de Movilidad],"Pasant*",Tabla1[Universidad KPIs],$C217,Tabla1[Año de Movilidad],'Utilización Convenios'!I$211)</f>
        <v>0</v>
      </c>
      <c r="J217" s="111">
        <f>COUNTIFS(Tabla2[Tipo de Movilidad],"Pasant*",Tabla2[Universidad KPIs],'Utilización Convenios'!$C217,Tabla2[Año],'Utilización Convenios'!I$211)</f>
        <v>0</v>
      </c>
      <c r="K217" s="201">
        <f>COUNTIFS(Tabla1[Tipo de Movilidad],"Pasant*",Tabla1[Universidad KPIs],$C217,Tabla1[Año de Movilidad],'Utilización Convenios'!K$211)</f>
        <v>0</v>
      </c>
      <c r="L217" s="111">
        <f>COUNTIFS(Tabla2[Tipo de Movilidad],"Pasant*",Tabla2[Universidad KPIs],'Utilización Convenios'!$C217,Tabla2[Año],'Utilización Convenios'!K$211)</f>
        <v>0</v>
      </c>
      <c r="M217" s="201">
        <f>COUNTIFS(Tabla1[Tipo de Movilidad],"Pasant*",Tabla1[Universidad KPIs],$C217,Tabla1[Año de Movilidad],'Utilización Convenios'!M$211)</f>
        <v>0</v>
      </c>
      <c r="N217" s="111">
        <f>COUNTIFS(Tabla2[Tipo de Movilidad],"Pasant*",Tabla2[Universidad KPIs],'Utilización Convenios'!$C217,Tabla2[Año],'Utilización Convenios'!M$211)</f>
        <v>1</v>
      </c>
      <c r="O217" s="201">
        <f>COUNTIFS(Tabla1[Tipo de Movilidad],"Pasant*",Tabla1[Universidad KPIs],$C217,Tabla1[Año de Movilidad],'Utilización Convenios'!O$211)</f>
        <v>0</v>
      </c>
      <c r="P217" s="111">
        <f>COUNTIFS(Tabla2[Tipo de Movilidad],"Pasant*",Tabla2[Universidad KPIs],'Utilización Convenios'!$C217,Tabla2[Año],'Utilización Convenios'!O$211)</f>
        <v>0</v>
      </c>
      <c r="Q217" s="126">
        <f t="shared" si="11"/>
        <v>0</v>
      </c>
      <c r="R217" s="81">
        <f t="shared" si="12"/>
        <v>1</v>
      </c>
    </row>
    <row r="218" spans="3:18">
      <c r="C218" s="22" t="s">
        <v>88</v>
      </c>
      <c r="D218" s="214" t="s">
        <v>218</v>
      </c>
      <c r="E218" s="201">
        <f>COUNTIFS(Tabla1[Tipo de Movilidad],"Pasant*",Tabla1[Universidad KPIs],$C218,Tabla1[Año de Movilidad],'Utilización Convenios'!E$211)</f>
        <v>0</v>
      </c>
      <c r="F218" s="111">
        <f>COUNTIFS(Tabla2[Tipo de Movilidad],"Pasant*",Tabla2[Universidad KPIs],'Utilización Convenios'!$C218,Tabla2[Año],'Utilización Convenios'!E$211)</f>
        <v>0</v>
      </c>
      <c r="G218" s="201">
        <f>COUNTIFS(Tabla1[Tipo de Movilidad],"Pasant*",Tabla1[Universidad KPIs],$C218,Tabla1[Año de Movilidad],'Utilización Convenios'!G$211)</f>
        <v>0</v>
      </c>
      <c r="H218" s="111">
        <f>COUNTIFS(Tabla2[Tipo de Movilidad],"Pasant*",Tabla2[Universidad KPIs],'Utilización Convenios'!$C218,Tabla2[Año],'Utilización Convenios'!G$211)</f>
        <v>0</v>
      </c>
      <c r="I218" s="201">
        <f>COUNTIFS(Tabla1[Tipo de Movilidad],"Pasant*",Tabla1[Universidad KPIs],$C218,Tabla1[Año de Movilidad],'Utilización Convenios'!I$211)</f>
        <v>0</v>
      </c>
      <c r="J218" s="111">
        <f>COUNTIFS(Tabla2[Tipo de Movilidad],"Pasant*",Tabla2[Universidad KPIs],'Utilización Convenios'!$C218,Tabla2[Año],'Utilización Convenios'!I$211)</f>
        <v>0</v>
      </c>
      <c r="K218" s="201">
        <f>COUNTIFS(Tabla1[Tipo de Movilidad],"Pasant*",Tabla1[Universidad KPIs],$C218,Tabla1[Año de Movilidad],'Utilización Convenios'!K$211)</f>
        <v>2</v>
      </c>
      <c r="L218" s="111">
        <f>COUNTIFS(Tabla2[Tipo de Movilidad],"Pasant*",Tabla2[Universidad KPIs],'Utilización Convenios'!$C218,Tabla2[Año],'Utilización Convenios'!K$211)</f>
        <v>0</v>
      </c>
      <c r="M218" s="201">
        <f>COUNTIFS(Tabla1[Tipo de Movilidad],"Pasant*",Tabla1[Universidad KPIs],$C218,Tabla1[Año de Movilidad],'Utilización Convenios'!M$211)</f>
        <v>1</v>
      </c>
      <c r="N218" s="111">
        <f>COUNTIFS(Tabla2[Tipo de Movilidad],"Pasant*",Tabla2[Universidad KPIs],'Utilización Convenios'!$C218,Tabla2[Año],'Utilización Convenios'!M$211)</f>
        <v>0</v>
      </c>
      <c r="O218" s="201">
        <f>COUNTIFS(Tabla1[Tipo de Movilidad],"Pasant*",Tabla1[Universidad KPIs],$C218,Tabla1[Año de Movilidad],'Utilización Convenios'!O$211)</f>
        <v>1</v>
      </c>
      <c r="P218" s="111">
        <f>COUNTIFS(Tabla2[Tipo de Movilidad],"Pasant*",Tabla2[Universidad KPIs],'Utilización Convenios'!$C218,Tabla2[Año],'Utilización Convenios'!O$211)</f>
        <v>0</v>
      </c>
      <c r="Q218" s="126">
        <f t="shared" si="11"/>
        <v>4</v>
      </c>
      <c r="R218" s="81">
        <f t="shared" si="12"/>
        <v>0</v>
      </c>
    </row>
    <row r="219" spans="3:18">
      <c r="C219" s="22" t="s">
        <v>89</v>
      </c>
      <c r="D219" s="214" t="s">
        <v>90</v>
      </c>
      <c r="E219" s="201">
        <f>COUNTIFS(Tabla1[Tipo de Movilidad],"Pasant*",Tabla1[Universidad KPIs],$C219,Tabla1[Año de Movilidad],'Utilización Convenios'!E$211)</f>
        <v>0</v>
      </c>
      <c r="F219" s="111">
        <f>COUNTIFS(Tabla2[Tipo de Movilidad],"Pasant*",Tabla2[Universidad KPIs],'Utilización Convenios'!$C219,Tabla2[Año],'Utilización Convenios'!E$211)</f>
        <v>0</v>
      </c>
      <c r="G219" s="201">
        <f>COUNTIFS(Tabla1[Tipo de Movilidad],"Pasant*",Tabla1[Universidad KPIs],$C219,Tabla1[Año de Movilidad],'Utilización Convenios'!G$211)</f>
        <v>0</v>
      </c>
      <c r="H219" s="111">
        <f>COUNTIFS(Tabla2[Tipo de Movilidad],"Pasant*",Tabla2[Universidad KPIs],'Utilización Convenios'!$C219,Tabla2[Año],'Utilización Convenios'!G$211)</f>
        <v>0</v>
      </c>
      <c r="I219" s="201">
        <f>COUNTIFS(Tabla1[Tipo de Movilidad],"Pasant*",Tabla1[Universidad KPIs],$C219,Tabla1[Año de Movilidad],'Utilización Convenios'!I$211)</f>
        <v>0</v>
      </c>
      <c r="J219" s="111">
        <f>COUNTIFS(Tabla2[Tipo de Movilidad],"Pasant*",Tabla2[Universidad KPIs],'Utilización Convenios'!$C219,Tabla2[Año],'Utilización Convenios'!I$211)</f>
        <v>0</v>
      </c>
      <c r="K219" s="201">
        <f>COUNTIFS(Tabla1[Tipo de Movilidad],"Pasant*",Tabla1[Universidad KPIs],$C219,Tabla1[Año de Movilidad],'Utilización Convenios'!K$211)</f>
        <v>0</v>
      </c>
      <c r="L219" s="111">
        <f>COUNTIFS(Tabla2[Tipo de Movilidad],"Pasant*",Tabla2[Universidad KPIs],'Utilización Convenios'!$C219,Tabla2[Año],'Utilización Convenios'!K$211)</f>
        <v>2</v>
      </c>
      <c r="M219" s="201">
        <f>COUNTIFS(Tabla1[Tipo de Movilidad],"Pasant*",Tabla1[Universidad KPIs],$C219,Tabla1[Año de Movilidad],'Utilización Convenios'!M$211)</f>
        <v>0</v>
      </c>
      <c r="N219" s="111">
        <f>COUNTIFS(Tabla2[Tipo de Movilidad],"Pasant*",Tabla2[Universidad KPIs],'Utilización Convenios'!$C219,Tabla2[Año],'Utilización Convenios'!M$211)</f>
        <v>0</v>
      </c>
      <c r="O219" s="201">
        <f>COUNTIFS(Tabla1[Tipo de Movilidad],"Pasant*",Tabla1[Universidad KPIs],$C219,Tabla1[Año de Movilidad],'Utilización Convenios'!O$211)</f>
        <v>0</v>
      </c>
      <c r="P219" s="111">
        <f>COUNTIFS(Tabla2[Tipo de Movilidad],"Pasant*",Tabla2[Universidad KPIs],'Utilización Convenios'!$C219,Tabla2[Año],'Utilización Convenios'!O$211)</f>
        <v>0</v>
      </c>
      <c r="Q219" s="126">
        <f t="shared" si="11"/>
        <v>0</v>
      </c>
      <c r="R219" s="81">
        <f t="shared" si="12"/>
        <v>2</v>
      </c>
    </row>
    <row r="220" spans="3:18">
      <c r="C220" s="201" t="s">
        <v>219</v>
      </c>
      <c r="D220" s="214" t="s">
        <v>220</v>
      </c>
      <c r="E220" s="201">
        <f>COUNTIFS(Tabla1[Tipo de Movilidad],"Pasant*",Tabla1[Universidad KPIs],$C220,Tabla1[Año de Movilidad],'Utilización Convenios'!E$211)</f>
        <v>0</v>
      </c>
      <c r="F220" s="111">
        <f>COUNTIFS(Tabla2[Tipo de Movilidad],"Pasant*",Tabla2[Universidad KPIs],'Utilización Convenios'!$C220,Tabla2[Año],'Utilización Convenios'!E$211)</f>
        <v>0</v>
      </c>
      <c r="G220" s="201">
        <f>COUNTIFS(Tabla1[Tipo de Movilidad],"Pasant*",Tabla1[Universidad KPIs],$C220,Tabla1[Año de Movilidad],'Utilización Convenios'!G$211)</f>
        <v>0</v>
      </c>
      <c r="H220" s="111">
        <f>COUNTIFS(Tabla2[Tipo de Movilidad],"Pasant*",Tabla2[Universidad KPIs],'Utilización Convenios'!$C220,Tabla2[Año],'Utilización Convenios'!G$211)</f>
        <v>0</v>
      </c>
      <c r="I220" s="201">
        <f>COUNTIFS(Tabla1[Tipo de Movilidad],"Pasant*",Tabla1[Universidad KPIs],$C220,Tabla1[Año de Movilidad],'Utilización Convenios'!I$211)</f>
        <v>0</v>
      </c>
      <c r="J220" s="111">
        <f>COUNTIFS(Tabla2[Tipo de Movilidad],"Pasant*",Tabla2[Universidad KPIs],'Utilización Convenios'!$C220,Tabla2[Año],'Utilización Convenios'!I$211)</f>
        <v>0</v>
      </c>
      <c r="K220" s="201">
        <f>COUNTIFS(Tabla1[Tipo de Movilidad],"Pasant*",Tabla1[Universidad KPIs],$C220,Tabla1[Año de Movilidad],'Utilización Convenios'!K$211)</f>
        <v>1</v>
      </c>
      <c r="L220" s="111">
        <f>COUNTIFS(Tabla2[Tipo de Movilidad],"Pasant*",Tabla2[Universidad KPIs],'Utilización Convenios'!$C220,Tabla2[Año],'Utilización Convenios'!K$211)</f>
        <v>0</v>
      </c>
      <c r="M220" s="201">
        <f>COUNTIFS(Tabla1[Tipo de Movilidad],"Pasant*",Tabla1[Universidad KPIs],$C220,Tabla1[Año de Movilidad],'Utilización Convenios'!M$211)</f>
        <v>0</v>
      </c>
      <c r="N220" s="111">
        <f>COUNTIFS(Tabla2[Tipo de Movilidad],"Pasant*",Tabla2[Universidad KPIs],'Utilización Convenios'!$C220,Tabla2[Año],'Utilización Convenios'!M$211)</f>
        <v>0</v>
      </c>
      <c r="O220" s="201">
        <f>COUNTIFS(Tabla1[Tipo de Movilidad],"Pasant*",Tabla1[Universidad KPIs],$C220,Tabla1[Año de Movilidad],'Utilización Convenios'!O$211)</f>
        <v>0</v>
      </c>
      <c r="P220" s="111">
        <f>COUNTIFS(Tabla2[Tipo de Movilidad],"Pasant*",Tabla2[Universidad KPIs],'Utilización Convenios'!$C220,Tabla2[Año],'Utilización Convenios'!O$211)</f>
        <v>0</v>
      </c>
      <c r="Q220" s="126">
        <f t="shared" si="11"/>
        <v>1</v>
      </c>
      <c r="R220" s="81">
        <f t="shared" si="12"/>
        <v>0</v>
      </c>
    </row>
    <row r="221" spans="3:18">
      <c r="C221" s="201" t="s">
        <v>221</v>
      </c>
      <c r="D221" s="214" t="s">
        <v>222</v>
      </c>
      <c r="E221" s="201">
        <f>COUNTIFS(Tabla1[Tipo de Movilidad],"Pasant*",Tabla1[Universidad KPIs],$C221,Tabla1[Año de Movilidad],'Utilización Convenios'!E$211)</f>
        <v>0</v>
      </c>
      <c r="F221" s="111">
        <f>COUNTIFS(Tabla2[Tipo de Movilidad],"Pasant*",Tabla2[Universidad KPIs],'Utilización Convenios'!$C221,Tabla2[Año],'Utilización Convenios'!E$211)</f>
        <v>0</v>
      </c>
      <c r="G221" s="201">
        <f>COUNTIFS(Tabla1[Tipo de Movilidad],"Pasant*",Tabla1[Universidad KPIs],$C221,Tabla1[Año de Movilidad],'Utilización Convenios'!G$211)</f>
        <v>0</v>
      </c>
      <c r="H221" s="111">
        <f>COUNTIFS(Tabla2[Tipo de Movilidad],"Pasant*",Tabla2[Universidad KPIs],'Utilización Convenios'!$C221,Tabla2[Año],'Utilización Convenios'!G$211)</f>
        <v>0</v>
      </c>
      <c r="I221" s="201">
        <f>COUNTIFS(Tabla1[Tipo de Movilidad],"Pasant*",Tabla1[Universidad KPIs],$C221,Tabla1[Año de Movilidad],'Utilización Convenios'!I$211)</f>
        <v>0</v>
      </c>
      <c r="J221" s="111">
        <f>COUNTIFS(Tabla2[Tipo de Movilidad],"Pasant*",Tabla2[Universidad KPIs],'Utilización Convenios'!$C221,Tabla2[Año],'Utilización Convenios'!I$211)</f>
        <v>0</v>
      </c>
      <c r="K221" s="201">
        <f>COUNTIFS(Tabla1[Tipo de Movilidad],"Pasant*",Tabla1[Universidad KPIs],$C221,Tabla1[Año de Movilidad],'Utilización Convenios'!K$211)</f>
        <v>1</v>
      </c>
      <c r="L221" s="111">
        <f>COUNTIFS(Tabla2[Tipo de Movilidad],"Pasant*",Tabla2[Universidad KPIs],'Utilización Convenios'!$C221,Tabla2[Año],'Utilización Convenios'!K$211)</f>
        <v>0</v>
      </c>
      <c r="M221" s="201">
        <f>COUNTIFS(Tabla1[Tipo de Movilidad],"Pasant*",Tabla1[Universidad KPIs],$C221,Tabla1[Año de Movilidad],'Utilización Convenios'!M$211)</f>
        <v>0</v>
      </c>
      <c r="N221" s="111">
        <f>COUNTIFS(Tabla2[Tipo de Movilidad],"Pasant*",Tabla2[Universidad KPIs],'Utilización Convenios'!$C221,Tabla2[Año],'Utilización Convenios'!M$211)</f>
        <v>0</v>
      </c>
      <c r="O221" s="201">
        <f>COUNTIFS(Tabla1[Tipo de Movilidad],"Pasant*",Tabla1[Universidad KPIs],$C221,Tabla1[Año de Movilidad],'Utilización Convenios'!O$211)</f>
        <v>0</v>
      </c>
      <c r="P221" s="111">
        <f>COUNTIFS(Tabla2[Tipo de Movilidad],"Pasant*",Tabla2[Universidad KPIs],'Utilización Convenios'!$C221,Tabla2[Año],'Utilización Convenios'!O$211)</f>
        <v>0</v>
      </c>
      <c r="Q221" s="126">
        <f t="shared" si="11"/>
        <v>1</v>
      </c>
      <c r="R221" s="81">
        <f t="shared" si="12"/>
        <v>0</v>
      </c>
    </row>
    <row r="222" spans="3:18">
      <c r="C222" s="201" t="s">
        <v>223</v>
      </c>
      <c r="D222" s="214" t="s">
        <v>224</v>
      </c>
      <c r="E222" s="201">
        <f>COUNTIFS(Tabla1[Tipo de Movilidad],"Pasant*",Tabla1[Universidad KPIs],$C222,Tabla1[Año de Movilidad],'Utilización Convenios'!E$211)</f>
        <v>0</v>
      </c>
      <c r="F222" s="111">
        <f>COUNTIFS(Tabla2[Tipo de Movilidad],"Pasant*",Tabla2[Universidad KPIs],'Utilización Convenios'!$C222,Tabla2[Año],'Utilización Convenios'!E$211)</f>
        <v>0</v>
      </c>
      <c r="G222" s="201">
        <f>COUNTIFS(Tabla1[Tipo de Movilidad],"Pasant*",Tabla1[Universidad KPIs],$C222,Tabla1[Año de Movilidad],'Utilización Convenios'!G$211)</f>
        <v>0</v>
      </c>
      <c r="H222" s="111">
        <f>COUNTIFS(Tabla2[Tipo de Movilidad],"Pasant*",Tabla2[Universidad KPIs],'Utilización Convenios'!$C222,Tabla2[Año],'Utilización Convenios'!G$211)</f>
        <v>0</v>
      </c>
      <c r="I222" s="201">
        <f>COUNTIFS(Tabla1[Tipo de Movilidad],"Pasant*",Tabla1[Universidad KPIs],$C222,Tabla1[Año de Movilidad],'Utilización Convenios'!I$211)</f>
        <v>0</v>
      </c>
      <c r="J222" s="111">
        <f>COUNTIFS(Tabla2[Tipo de Movilidad],"Pasant*",Tabla2[Universidad KPIs],'Utilización Convenios'!$C222,Tabla2[Año],'Utilización Convenios'!I$211)</f>
        <v>0</v>
      </c>
      <c r="K222" s="201">
        <f>COUNTIFS(Tabla1[Tipo de Movilidad],"Pasant*",Tabla1[Universidad KPIs],$C222,Tabla1[Año de Movilidad],'Utilización Convenios'!K$211)</f>
        <v>1</v>
      </c>
      <c r="L222" s="111">
        <f>COUNTIFS(Tabla2[Tipo de Movilidad],"Pasant*",Tabla2[Universidad KPIs],'Utilización Convenios'!$C222,Tabla2[Año],'Utilización Convenios'!K$211)</f>
        <v>0</v>
      </c>
      <c r="M222" s="201">
        <f>COUNTIFS(Tabla1[Tipo de Movilidad],"Pasant*",Tabla1[Universidad KPIs],$C222,Tabla1[Año de Movilidad],'Utilización Convenios'!M$211)</f>
        <v>0</v>
      </c>
      <c r="N222" s="111">
        <f>COUNTIFS(Tabla2[Tipo de Movilidad],"Pasant*",Tabla2[Universidad KPIs],'Utilización Convenios'!$C222,Tabla2[Año],'Utilización Convenios'!M$211)</f>
        <v>0</v>
      </c>
      <c r="O222" s="201">
        <f>COUNTIFS(Tabla1[Tipo de Movilidad],"Pasant*",Tabla1[Universidad KPIs],$C222,Tabla1[Año de Movilidad],'Utilización Convenios'!O$211)</f>
        <v>0</v>
      </c>
      <c r="P222" s="111">
        <f>COUNTIFS(Tabla2[Tipo de Movilidad],"Pasant*",Tabla2[Universidad KPIs],'Utilización Convenios'!$C222,Tabla2[Año],'Utilización Convenios'!O$211)</f>
        <v>0</v>
      </c>
      <c r="Q222" s="126">
        <f t="shared" si="11"/>
        <v>1</v>
      </c>
      <c r="R222" s="81">
        <f t="shared" si="12"/>
        <v>0</v>
      </c>
    </row>
    <row r="223" spans="3:18">
      <c r="C223" s="201" t="s">
        <v>225</v>
      </c>
      <c r="D223" s="214" t="s">
        <v>215</v>
      </c>
      <c r="E223" s="201">
        <f>COUNTIFS(Tabla1[Tipo de Movilidad],"Pasant*",Tabla1[Universidad KPIs],$C223,Tabla1[Año de Movilidad],'Utilización Convenios'!E$211)</f>
        <v>0</v>
      </c>
      <c r="F223" s="111">
        <f>COUNTIFS(Tabla2[Tipo de Movilidad],"Pasant*",Tabla2[Universidad KPIs],'Utilización Convenios'!$C223,Tabla2[Año],'Utilización Convenios'!E$211)</f>
        <v>0</v>
      </c>
      <c r="G223" s="201">
        <f>COUNTIFS(Tabla1[Tipo de Movilidad],"Pasant*",Tabla1[Universidad KPIs],$C223,Tabla1[Año de Movilidad],'Utilización Convenios'!G$211)</f>
        <v>0</v>
      </c>
      <c r="H223" s="111">
        <f>COUNTIFS(Tabla2[Tipo de Movilidad],"Pasant*",Tabla2[Universidad KPIs],'Utilización Convenios'!$C223,Tabla2[Año],'Utilización Convenios'!G$211)</f>
        <v>0</v>
      </c>
      <c r="I223" s="201">
        <f>COUNTIFS(Tabla1[Tipo de Movilidad],"Pasant*",Tabla1[Universidad KPIs],$C223,Tabla1[Año de Movilidad],'Utilización Convenios'!I$211)</f>
        <v>0</v>
      </c>
      <c r="J223" s="111">
        <f>COUNTIFS(Tabla2[Tipo de Movilidad],"Pasant*",Tabla2[Universidad KPIs],'Utilización Convenios'!$C223,Tabla2[Año],'Utilización Convenios'!I$211)</f>
        <v>0</v>
      </c>
      <c r="K223" s="201">
        <f>COUNTIFS(Tabla1[Tipo de Movilidad],"Pasant*",Tabla1[Universidad KPIs],$C223,Tabla1[Año de Movilidad],'Utilización Convenios'!K$211)</f>
        <v>0</v>
      </c>
      <c r="L223" s="111">
        <f>COUNTIFS(Tabla2[Tipo de Movilidad],"Pasant*",Tabla2[Universidad KPIs],'Utilización Convenios'!$C223,Tabla2[Año],'Utilización Convenios'!K$211)</f>
        <v>0</v>
      </c>
      <c r="M223" s="201">
        <f>COUNTIFS(Tabla1[Tipo de Movilidad],"Pasant*",Tabla1[Universidad KPIs],$C223,Tabla1[Año de Movilidad],'Utilización Convenios'!M$211)</f>
        <v>0</v>
      </c>
      <c r="N223" s="111">
        <f>COUNTIFS(Tabla2[Tipo de Movilidad],"Pasant*",Tabla2[Universidad KPIs],'Utilización Convenios'!$C223,Tabla2[Año],'Utilización Convenios'!M$211)</f>
        <v>0</v>
      </c>
      <c r="O223" s="201">
        <f>COUNTIFS(Tabla1[Tipo de Movilidad],"Pasant*",Tabla1[Universidad KPIs],$C223,Tabla1[Año de Movilidad],'Utilización Convenios'!O$211)</f>
        <v>1</v>
      </c>
      <c r="P223" s="111">
        <f>COUNTIFS(Tabla2[Tipo de Movilidad],"Pasant*",Tabla2[Universidad KPIs],'Utilización Convenios'!$C223,Tabla2[Año],'Utilización Convenios'!O$211)</f>
        <v>0</v>
      </c>
      <c r="Q223" s="126">
        <f t="shared" si="11"/>
        <v>1</v>
      </c>
      <c r="R223" s="81">
        <f t="shared" si="12"/>
        <v>0</v>
      </c>
    </row>
    <row r="224" spans="3:18">
      <c r="C224" s="202" t="s">
        <v>167</v>
      </c>
      <c r="D224" s="214" t="s">
        <v>218</v>
      </c>
      <c r="E224" s="201">
        <f>COUNTIFS(Tabla1[Tipo de Movilidad],"Pasant*",Tabla1[Universidad KPIs],$C224,Tabla1[Año de Movilidad],'Utilización Convenios'!E$211)</f>
        <v>0</v>
      </c>
      <c r="F224" s="111">
        <f>COUNTIFS(Tabla2[Tipo de Movilidad],"Pasant*",Tabla2[Universidad KPIs],'Utilización Convenios'!$C224,Tabla2[Año],'Utilización Convenios'!E$211)</f>
        <v>0</v>
      </c>
      <c r="G224" s="201">
        <f>COUNTIFS(Tabla1[Tipo de Movilidad],"Pasant*",Tabla1[Universidad KPIs],$C224,Tabla1[Año de Movilidad],'Utilización Convenios'!G$211)</f>
        <v>0</v>
      </c>
      <c r="H224" s="111">
        <f>COUNTIFS(Tabla2[Tipo de Movilidad],"Pasant*",Tabla2[Universidad KPIs],'Utilización Convenios'!$C224,Tabla2[Año],'Utilización Convenios'!G$211)</f>
        <v>0</v>
      </c>
      <c r="I224" s="201">
        <f>COUNTIFS(Tabla1[Tipo de Movilidad],"Pasant*",Tabla1[Universidad KPIs],$C224,Tabla1[Año de Movilidad],'Utilización Convenios'!I$211)</f>
        <v>0</v>
      </c>
      <c r="J224" s="111">
        <f>COUNTIFS(Tabla2[Tipo de Movilidad],"Pasant*",Tabla2[Universidad KPIs],'Utilización Convenios'!$C224,Tabla2[Año],'Utilización Convenios'!I$211)</f>
        <v>0</v>
      </c>
      <c r="K224" s="201">
        <f>COUNTIFS(Tabla1[Tipo de Movilidad],"Pasant*",Tabla1[Universidad KPIs],$C224,Tabla1[Año de Movilidad],'Utilización Convenios'!K$211)</f>
        <v>1</v>
      </c>
      <c r="L224" s="111">
        <f>COUNTIFS(Tabla2[Tipo de Movilidad],"Pasant*",Tabla2[Universidad KPIs],'Utilización Convenios'!$C224,Tabla2[Año],'Utilización Convenios'!K$211)</f>
        <v>0</v>
      </c>
      <c r="M224" s="201">
        <f>COUNTIFS(Tabla1[Tipo de Movilidad],"Pasant*",Tabla1[Universidad KPIs],$C224,Tabla1[Año de Movilidad],'Utilización Convenios'!M$211)</f>
        <v>0</v>
      </c>
      <c r="N224" s="111">
        <f>COUNTIFS(Tabla2[Tipo de Movilidad],"Pasant*",Tabla2[Universidad KPIs],'Utilización Convenios'!$C224,Tabla2[Año],'Utilización Convenios'!M$211)</f>
        <v>0</v>
      </c>
      <c r="O224" s="201">
        <f>COUNTIFS(Tabla1[Tipo de Movilidad],"Pasant*",Tabla1[Universidad KPIs],$C224,Tabla1[Año de Movilidad],'Utilización Convenios'!O$211)</f>
        <v>0</v>
      </c>
      <c r="P224" s="111">
        <f>COUNTIFS(Tabla2[Tipo de Movilidad],"Pasant*",Tabla2[Universidad KPIs],'Utilización Convenios'!$C224,Tabla2[Año],'Utilización Convenios'!O$211)</f>
        <v>0</v>
      </c>
      <c r="Q224" s="126">
        <f t="shared" si="11"/>
        <v>1</v>
      </c>
      <c r="R224" s="81">
        <f t="shared" si="12"/>
        <v>0</v>
      </c>
    </row>
    <row r="225" spans="3:18">
      <c r="C225" s="22" t="s">
        <v>226</v>
      </c>
      <c r="D225" s="214" t="s">
        <v>123</v>
      </c>
      <c r="E225" s="201">
        <f>COUNTIFS(Tabla1[Tipo de Movilidad],"Pasant*",Tabla1[Universidad KPIs],$C225,Tabla1[Año de Movilidad],'Utilización Convenios'!E$211)</f>
        <v>0</v>
      </c>
      <c r="F225" s="111">
        <f>COUNTIFS(Tabla2[Tipo de Movilidad],"Pasant*",Tabla2[Universidad KPIs],'Utilización Convenios'!$C225,Tabla2[Año],'Utilización Convenios'!E$211)</f>
        <v>0</v>
      </c>
      <c r="G225" s="201">
        <f>COUNTIFS(Tabla1[Tipo de Movilidad],"Pasant*",Tabla1[Universidad KPIs],$C225,Tabla1[Año de Movilidad],'Utilización Convenios'!G$211)</f>
        <v>0</v>
      </c>
      <c r="H225" s="111">
        <f>COUNTIFS(Tabla2[Tipo de Movilidad],"Pasant*",Tabla2[Universidad KPIs],'Utilización Convenios'!$C225,Tabla2[Año],'Utilización Convenios'!G$211)</f>
        <v>0</v>
      </c>
      <c r="I225" s="201">
        <f>COUNTIFS(Tabla1[Tipo de Movilidad],"Pasant*",Tabla1[Universidad KPIs],$C225,Tabla1[Año de Movilidad],'Utilización Convenios'!I$211)</f>
        <v>0</v>
      </c>
      <c r="J225" s="111">
        <f>COUNTIFS(Tabla2[Tipo de Movilidad],"Pasant*",Tabla2[Universidad KPIs],'Utilización Convenios'!$C225,Tabla2[Año],'Utilización Convenios'!I$211)</f>
        <v>0</v>
      </c>
      <c r="K225" s="201">
        <f>COUNTIFS(Tabla1[Tipo de Movilidad],"Pasant*",Tabla1[Universidad KPIs],$C225,Tabla1[Año de Movilidad],'Utilización Convenios'!K$211)</f>
        <v>0</v>
      </c>
      <c r="L225" s="111">
        <f>COUNTIFS(Tabla2[Tipo de Movilidad],"Pasant*",Tabla2[Universidad KPIs],'Utilización Convenios'!$C225,Tabla2[Año],'Utilización Convenios'!K$211)</f>
        <v>1</v>
      </c>
      <c r="M225" s="201">
        <f>COUNTIFS(Tabla1[Tipo de Movilidad],"Pasant*",Tabla1[Universidad KPIs],$C225,Tabla1[Año de Movilidad],'Utilización Convenios'!M$211)</f>
        <v>0</v>
      </c>
      <c r="N225" s="111">
        <f>COUNTIFS(Tabla2[Tipo de Movilidad],"Pasant*",Tabla2[Universidad KPIs],'Utilización Convenios'!$C225,Tabla2[Año],'Utilización Convenios'!M$211)</f>
        <v>0</v>
      </c>
      <c r="O225" s="201">
        <f>COUNTIFS(Tabla1[Tipo de Movilidad],"Pasant*",Tabla1[Universidad KPIs],$C225,Tabla1[Año de Movilidad],'Utilización Convenios'!O$211)</f>
        <v>0</v>
      </c>
      <c r="P225" s="111">
        <f>COUNTIFS(Tabla2[Tipo de Movilidad],"Pasant*",Tabla2[Universidad KPIs],'Utilización Convenios'!$C225,Tabla2[Año],'Utilización Convenios'!O$211)</f>
        <v>0</v>
      </c>
      <c r="Q225" s="126">
        <f t="shared" si="11"/>
        <v>0</v>
      </c>
      <c r="R225" s="81">
        <f t="shared" si="12"/>
        <v>1</v>
      </c>
    </row>
    <row r="226" spans="3:18">
      <c r="C226" s="201" t="s">
        <v>227</v>
      </c>
      <c r="D226" s="214" t="s">
        <v>228</v>
      </c>
      <c r="E226" s="201">
        <f>COUNTIFS(Tabla1[Tipo de Movilidad],"Pasant*",Tabla1[Universidad KPIs],$C226,Tabla1[Año de Movilidad],'Utilización Convenios'!E$211)</f>
        <v>0</v>
      </c>
      <c r="F226" s="111">
        <f>COUNTIFS(Tabla2[Tipo de Movilidad],"Pasant*",Tabla2[Universidad KPIs],'Utilización Convenios'!$C226,Tabla2[Año],'Utilización Convenios'!E$211)</f>
        <v>0</v>
      </c>
      <c r="G226" s="201">
        <f>COUNTIFS(Tabla1[Tipo de Movilidad],"Pasant*",Tabla1[Universidad KPIs],$C226,Tabla1[Año de Movilidad],'Utilización Convenios'!G$211)</f>
        <v>0</v>
      </c>
      <c r="H226" s="111">
        <f>COUNTIFS(Tabla2[Tipo de Movilidad],"Pasant*",Tabla2[Universidad KPIs],'Utilización Convenios'!$C226,Tabla2[Año],'Utilización Convenios'!G$211)</f>
        <v>0</v>
      </c>
      <c r="I226" s="201">
        <f>COUNTIFS(Tabla1[Tipo de Movilidad],"Pasant*",Tabla1[Universidad KPIs],$C226,Tabla1[Año de Movilidad],'Utilización Convenios'!I$211)</f>
        <v>0</v>
      </c>
      <c r="J226" s="111">
        <f>COUNTIFS(Tabla2[Tipo de Movilidad],"Pasant*",Tabla2[Universidad KPIs],'Utilización Convenios'!$C226,Tabla2[Año],'Utilización Convenios'!I$211)</f>
        <v>0</v>
      </c>
      <c r="K226" s="201">
        <f>COUNTIFS(Tabla1[Tipo de Movilidad],"Pasant*",Tabla1[Universidad KPIs],$C226,Tabla1[Año de Movilidad],'Utilización Convenios'!K$211)</f>
        <v>1</v>
      </c>
      <c r="L226" s="111">
        <f>COUNTIFS(Tabla2[Tipo de Movilidad],"Pasant*",Tabla2[Universidad KPIs],'Utilización Convenios'!$C226,Tabla2[Año],'Utilización Convenios'!K$211)</f>
        <v>0</v>
      </c>
      <c r="M226" s="201">
        <f>COUNTIFS(Tabla1[Tipo de Movilidad],"Pasant*",Tabla1[Universidad KPIs],$C226,Tabla1[Año de Movilidad],'Utilización Convenios'!M$211)</f>
        <v>0</v>
      </c>
      <c r="N226" s="111">
        <f>COUNTIFS(Tabla2[Tipo de Movilidad],"Pasant*",Tabla2[Universidad KPIs],'Utilización Convenios'!$C226,Tabla2[Año],'Utilización Convenios'!M$211)</f>
        <v>0</v>
      </c>
      <c r="O226" s="201">
        <f>COUNTIFS(Tabla1[Tipo de Movilidad],"Pasant*",Tabla1[Universidad KPIs],$C226,Tabla1[Año de Movilidad],'Utilización Convenios'!O$211)</f>
        <v>0</v>
      </c>
      <c r="P226" s="111">
        <f>COUNTIFS(Tabla2[Tipo de Movilidad],"Pasant*",Tabla2[Universidad KPIs],'Utilización Convenios'!$C226,Tabla2[Año],'Utilización Convenios'!O$211)</f>
        <v>0</v>
      </c>
      <c r="Q226" s="126">
        <f t="shared" si="11"/>
        <v>1</v>
      </c>
      <c r="R226" s="81">
        <f t="shared" si="12"/>
        <v>0</v>
      </c>
    </row>
    <row r="227" spans="3:18" ht="15.75" thickBot="1">
      <c r="C227" s="56" t="s">
        <v>116</v>
      </c>
      <c r="D227" s="215" t="s">
        <v>55</v>
      </c>
      <c r="E227" s="218">
        <f>COUNTIFS(Tabla1[Tipo de Movilidad],"Pasant*",Tabla1[Universidad KPIs],$C227,Tabla1[Año de Movilidad],'Utilización Convenios'!E$211)</f>
        <v>0</v>
      </c>
      <c r="F227" s="114">
        <f>COUNTIFS(Tabla2[Tipo de Movilidad],"Pasant*",Tabla2[Universidad KPIs],'Utilización Convenios'!$C227,Tabla2[Año],'Utilización Convenios'!E$211)</f>
        <v>0</v>
      </c>
      <c r="G227" s="218">
        <f>COUNTIFS(Tabla1[Tipo de Movilidad],"Pasant*",Tabla1[Universidad KPIs],$C227,Tabla1[Año de Movilidad],'Utilización Convenios'!G$211)</f>
        <v>0</v>
      </c>
      <c r="H227" s="114">
        <f>COUNTIFS(Tabla2[Tipo de Movilidad],"Pasant*",Tabla2[Universidad KPIs],'Utilización Convenios'!$C227,Tabla2[Año],'Utilización Convenios'!G$211)</f>
        <v>0</v>
      </c>
      <c r="I227" s="218">
        <f>COUNTIFS(Tabla1[Tipo de Movilidad],"Pasant*",Tabla1[Universidad KPIs],$C227,Tabla1[Año de Movilidad],'Utilización Convenios'!I$211)</f>
        <v>0</v>
      </c>
      <c r="J227" s="114">
        <f>COUNTIFS(Tabla2[Tipo de Movilidad],"Pasant*",Tabla2[Universidad KPIs],'Utilización Convenios'!$C227,Tabla2[Año],'Utilización Convenios'!I$211)</f>
        <v>0</v>
      </c>
      <c r="K227" s="218">
        <f>COUNTIFS(Tabla1[Tipo de Movilidad],"Pasant*",Tabla1[Universidad KPIs],$C227,Tabla1[Año de Movilidad],'Utilización Convenios'!K$211)</f>
        <v>0</v>
      </c>
      <c r="L227" s="114">
        <f>COUNTIFS(Tabla2[Tipo de Movilidad],"Pasant*",Tabla2[Universidad KPIs],'Utilización Convenios'!$C227,Tabla2[Año],'Utilización Convenios'!K$211)</f>
        <v>0</v>
      </c>
      <c r="M227" s="218">
        <f>COUNTIFS(Tabla1[Tipo de Movilidad],"Pasant*",Tabla1[Universidad KPIs],$C227,Tabla1[Año de Movilidad],'Utilización Convenios'!M$211)</f>
        <v>0</v>
      </c>
      <c r="N227" s="114">
        <f>COUNTIFS(Tabla2[Tipo de Movilidad],"Pasant*",Tabla2[Universidad KPIs],'Utilización Convenios'!$C227,Tabla2[Año],'Utilización Convenios'!M$211)</f>
        <v>1</v>
      </c>
      <c r="O227" s="218">
        <f>COUNTIFS(Tabla1[Tipo de Movilidad],"Pasant*",Tabla1[Universidad KPIs],$C227,Tabla1[Año de Movilidad],'Utilización Convenios'!O$211)</f>
        <v>0</v>
      </c>
      <c r="P227" s="114">
        <f>COUNTIFS(Tabla2[Tipo de Movilidad],"Pasant*",Tabla2[Universidad KPIs],'Utilización Convenios'!$C227,Tabla2[Año],'Utilización Convenios'!O$211)</f>
        <v>2</v>
      </c>
      <c r="Q227" s="127">
        <f t="shared" si="11"/>
        <v>0</v>
      </c>
      <c r="R227" s="219">
        <f t="shared" si="12"/>
        <v>3</v>
      </c>
    </row>
    <row r="228" spans="3:18" ht="15.75" thickBot="1">
      <c r="C228" s="231" t="s">
        <v>193</v>
      </c>
      <c r="D228" s="232"/>
      <c r="E228" s="216">
        <f>SUM(E213:E227)</f>
        <v>0</v>
      </c>
      <c r="F228" s="217">
        <f t="shared" ref="F228:P228" si="13">SUM(F213:F227)</f>
        <v>0</v>
      </c>
      <c r="G228" s="216">
        <f t="shared" si="13"/>
        <v>0</v>
      </c>
      <c r="H228" s="217">
        <f t="shared" si="13"/>
        <v>0</v>
      </c>
      <c r="I228" s="216">
        <f t="shared" si="13"/>
        <v>0</v>
      </c>
      <c r="J228" s="217">
        <f t="shared" si="13"/>
        <v>0</v>
      </c>
      <c r="K228" s="216">
        <f t="shared" si="13"/>
        <v>8</v>
      </c>
      <c r="L228" s="217">
        <f t="shared" si="13"/>
        <v>3</v>
      </c>
      <c r="M228" s="216">
        <f t="shared" si="13"/>
        <v>1</v>
      </c>
      <c r="N228" s="217">
        <f t="shared" si="13"/>
        <v>4</v>
      </c>
      <c r="O228" s="216">
        <f t="shared" si="13"/>
        <v>3</v>
      </c>
      <c r="P228" s="217">
        <f t="shared" si="13"/>
        <v>2</v>
      </c>
      <c r="Q228" s="77">
        <f t="shared" ref="Q228" si="14">SUM(Q213:Q227)</f>
        <v>12</v>
      </c>
      <c r="R228" s="78">
        <f t="shared" ref="R228" si="15">SUM(R213:R227)</f>
        <v>9</v>
      </c>
    </row>
  </sheetData>
  <sortState xmlns:xlrd2="http://schemas.microsoft.com/office/spreadsheetml/2017/richdata2" ref="C213:D227">
    <sortCondition ref="C213:C227"/>
  </sortState>
  <mergeCells count="39">
    <mergeCell ref="M115:N115"/>
    <mergeCell ref="Q115:R115"/>
    <mergeCell ref="B64:B112"/>
    <mergeCell ref="I129:J129"/>
    <mergeCell ref="K129:L129"/>
    <mergeCell ref="C113:D113"/>
    <mergeCell ref="M129:N129"/>
    <mergeCell ref="B190:B206"/>
    <mergeCell ref="C207:D207"/>
    <mergeCell ref="E129:F129"/>
    <mergeCell ref="G129:H129"/>
    <mergeCell ref="C2:Q2"/>
    <mergeCell ref="E3:F3"/>
    <mergeCell ref="G3:H3"/>
    <mergeCell ref="I3:J3"/>
    <mergeCell ref="K3:L3"/>
    <mergeCell ref="M3:N3"/>
    <mergeCell ref="Q3:R3"/>
    <mergeCell ref="B5:B63"/>
    <mergeCell ref="B131:B189"/>
    <mergeCell ref="C128:Q128"/>
    <mergeCell ref="C120:D120"/>
    <mergeCell ref="E115:F115"/>
    <mergeCell ref="Q211:R211"/>
    <mergeCell ref="C228:D228"/>
    <mergeCell ref="C210:R210"/>
    <mergeCell ref="O3:P3"/>
    <mergeCell ref="O115:P115"/>
    <mergeCell ref="O129:P129"/>
    <mergeCell ref="E211:F211"/>
    <mergeCell ref="G211:H211"/>
    <mergeCell ref="I211:J211"/>
    <mergeCell ref="K211:L211"/>
    <mergeCell ref="M211:N211"/>
    <mergeCell ref="O211:P211"/>
    <mergeCell ref="Q129:R129"/>
    <mergeCell ref="G115:H115"/>
    <mergeCell ref="I115:J115"/>
    <mergeCell ref="K115:L11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6BCE-26A0-4695-8EF0-0F92A92ADD5C}">
  <sheetPr>
    <tabColor theme="8" tint="0.79998168889431442"/>
  </sheetPr>
  <dimension ref="A1:AX348"/>
  <sheetViews>
    <sheetView zoomScaleNormal="100" workbookViewId="0">
      <selection activeCell="O47" sqref="O47"/>
    </sheetView>
  </sheetViews>
  <sheetFormatPr defaultColWidth="11.42578125" defaultRowHeight="15"/>
  <cols>
    <col min="1" max="1" width="3.42578125" style="20" customWidth="1"/>
    <col min="2" max="2" width="26.85546875" style="18" customWidth="1"/>
    <col min="3" max="11" width="7" style="19" bestFit="1" customWidth="1"/>
    <col min="12" max="14" width="7" style="19" customWidth="1"/>
    <col min="15" max="15" width="5.140625" style="19" customWidth="1"/>
    <col min="16" max="16" width="26.7109375" style="19" customWidth="1"/>
    <col min="17" max="18" width="7" style="19" bestFit="1" customWidth="1"/>
    <col min="19" max="25" width="7" style="20" bestFit="1" customWidth="1"/>
    <col min="26" max="28" width="7" style="20" customWidth="1"/>
    <col min="29" max="29" width="7" style="20" bestFit="1" customWidth="1"/>
    <col min="30" max="30" width="26.7109375" style="20" customWidth="1"/>
    <col min="31" max="37" width="7.140625" style="20" customWidth="1"/>
    <col min="38" max="38" width="12" style="20" bestFit="1" customWidth="1"/>
    <col min="39" max="40" width="7.140625" style="20" customWidth="1"/>
    <col min="41" max="42" width="11.42578125" style="20"/>
    <col min="43" max="43" width="25.140625" style="20" customWidth="1"/>
    <col min="44" max="16384" width="11.42578125" style="20"/>
  </cols>
  <sheetData>
    <row r="1" spans="2:40" ht="9" customHeight="1"/>
    <row r="2" spans="2:40" s="41" customFormat="1" ht="30.75" customHeight="1">
      <c r="B2" s="253" t="s">
        <v>229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</row>
    <row r="3" spans="2:40" ht="9" customHeight="1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</row>
    <row r="4" spans="2:40">
      <c r="C4" s="254" t="s">
        <v>230</v>
      </c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0"/>
      <c r="Q4" s="256" t="s">
        <v>231</v>
      </c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  <c r="AC4" s="21"/>
      <c r="AD4" s="19"/>
      <c r="AE4" s="256" t="s">
        <v>232</v>
      </c>
      <c r="AF4" s="256"/>
      <c r="AG4" s="256"/>
      <c r="AH4" s="256"/>
      <c r="AI4" s="256"/>
      <c r="AJ4" s="256"/>
      <c r="AK4" s="256"/>
      <c r="AL4" s="256"/>
      <c r="AM4" s="256"/>
      <c r="AN4" s="256"/>
    </row>
    <row r="5" spans="2:40">
      <c r="C5" s="170">
        <v>202010</v>
      </c>
      <c r="D5" s="170">
        <v>202020</v>
      </c>
      <c r="E5" s="170">
        <v>202110</v>
      </c>
      <c r="F5" s="170">
        <v>202120</v>
      </c>
      <c r="G5" s="170">
        <v>202210</v>
      </c>
      <c r="H5" s="170">
        <v>202220</v>
      </c>
      <c r="I5" s="170">
        <v>202310</v>
      </c>
      <c r="J5" s="170">
        <v>202320</v>
      </c>
      <c r="K5" s="170">
        <v>202410</v>
      </c>
      <c r="L5" s="170">
        <v>202420</v>
      </c>
      <c r="M5" s="170">
        <v>202510</v>
      </c>
      <c r="N5" s="170">
        <v>202520</v>
      </c>
      <c r="O5" s="20"/>
      <c r="P5" s="18"/>
      <c r="Q5" s="170">
        <v>202010</v>
      </c>
      <c r="R5" s="170">
        <v>202020</v>
      </c>
      <c r="S5" s="170">
        <v>202110</v>
      </c>
      <c r="T5" s="170">
        <v>202120</v>
      </c>
      <c r="U5" s="170">
        <v>202210</v>
      </c>
      <c r="V5" s="170">
        <v>202220</v>
      </c>
      <c r="W5" s="170">
        <v>202310</v>
      </c>
      <c r="X5" s="170">
        <v>202320</v>
      </c>
      <c r="Y5" s="170">
        <v>202410</v>
      </c>
      <c r="Z5" s="170">
        <v>202420</v>
      </c>
      <c r="AA5" s="170">
        <v>202510</v>
      </c>
      <c r="AB5" s="170">
        <v>202520</v>
      </c>
      <c r="AD5" s="18"/>
      <c r="AE5" s="170">
        <v>202019</v>
      </c>
      <c r="AF5" s="170">
        <v>202029</v>
      </c>
      <c r="AG5" s="170">
        <v>202119</v>
      </c>
      <c r="AH5" s="170">
        <v>202129</v>
      </c>
      <c r="AI5" s="170">
        <v>202219</v>
      </c>
      <c r="AJ5" s="170">
        <v>202229</v>
      </c>
      <c r="AK5" s="170">
        <v>202319</v>
      </c>
      <c r="AL5" s="170">
        <v>202329</v>
      </c>
      <c r="AM5" s="170">
        <v>202419</v>
      </c>
      <c r="AN5" s="170">
        <v>202519</v>
      </c>
    </row>
    <row r="6" spans="2:40">
      <c r="B6" s="14" t="s">
        <v>233</v>
      </c>
      <c r="C6" s="15">
        <f>COUNTIFS(Tabla1[Programa Postulación],'Movilidad Internacional'!$B6,Tabla1[Período de Movilidad],'Movilidad Internacional'!C$5,Tabla1[Tipo de Movilidad],'Movilidad Internacional'!$C$4)</f>
        <v>38</v>
      </c>
      <c r="D6" s="15">
        <f>COUNTIFS(Tabla1[Programa Postulación],'Movilidad Internacional'!$B6,Tabla1[Período de Movilidad],'Movilidad Internacional'!D$5,Tabla1[Tipo de Movilidad],'Movilidad Internacional'!$C$4)</f>
        <v>2</v>
      </c>
      <c r="E6" s="15">
        <f>COUNTIFS(Tabla1[Programa Postulación],'Movilidad Internacional'!$B6,Tabla1[Período de Movilidad],'Movilidad Internacional'!E$5,Tabla1[Tipo de Movilidad],'Movilidad Internacional'!$C$4)</f>
        <v>18</v>
      </c>
      <c r="F6" s="15">
        <f>COUNTIFS(Tabla1[Programa Postulación],'Movilidad Internacional'!$B6,Tabla1[Período de Movilidad],'Movilidad Internacional'!F$5,Tabla1[Tipo de Movilidad],'Movilidad Internacional'!$C$4)</f>
        <v>29</v>
      </c>
      <c r="G6" s="15">
        <f>COUNTIFS(Tabla1[Programa Postulación],'Movilidad Internacional'!$B6,Tabla1[Período de Movilidad],'Movilidad Internacional'!G$5,Tabla1[Tipo de Movilidad],'Movilidad Internacional'!$C$4)</f>
        <v>51</v>
      </c>
      <c r="H6" s="15">
        <f>COUNTIFS(Tabla1[Programa Postulación],'Movilidad Internacional'!$B6,Tabla1[Período de Movilidad],'Movilidad Internacional'!H$5,Tabla1[Tipo de Movilidad],'Movilidad Internacional'!$C$4)</f>
        <v>39</v>
      </c>
      <c r="I6" s="15">
        <f>COUNTIFS(Tabla1[Programa Postulación],'Movilidad Internacional'!$B6,Tabla1[Período de Movilidad],'Movilidad Internacional'!I$5,Tabla1[Tipo de Movilidad],'Movilidad Internacional'!$C$4)</f>
        <v>78</v>
      </c>
      <c r="J6" s="15">
        <f>COUNTIFS(Tabla1[Programa Postulación],'Movilidad Internacional'!$B6,Tabla1[Período de Movilidad],'Movilidad Internacional'!J$5,Tabla1[Tipo de Movilidad],'Movilidad Internacional'!$C$4)</f>
        <v>59</v>
      </c>
      <c r="K6" s="15">
        <f>COUNTIFS(Tabla1[Programa Postulación],'Movilidad Internacional'!$B6,Tabla1[Período de Movilidad],'Movilidad Internacional'!K$5,Tabla1[Tipo de Movilidad],'Movilidad Internacional'!$C$4)</f>
        <v>45</v>
      </c>
      <c r="L6" s="15">
        <f>COUNTIFS(Tabla1[Programa Postulación],'Movilidad Internacional'!$B6,Tabla1[Período de Movilidad],'Movilidad Internacional'!L$5,Tabla1[Tipo de Movilidad],'Movilidad Internacional'!$C$4)</f>
        <v>45</v>
      </c>
      <c r="M6" s="15">
        <f>COUNTIFS(Tabla1[Programa Postulación],'Movilidad Internacional'!$B6,Tabla1[Período de Movilidad],'Movilidad Internacional'!M$5,Tabla1[Tipo de Movilidad],'Movilidad Internacional'!$C$4)</f>
        <v>63</v>
      </c>
      <c r="N6" s="15">
        <f>COUNTIFS(Tabla1[Programa Postulación],'Movilidad Internacional'!$B6,Tabla1[Período de Movilidad],'Movilidad Internacional'!N$5,Tabla1[Tipo de Movilidad],'Movilidad Internacional'!$C$4)</f>
        <v>0</v>
      </c>
      <c r="O6" s="20"/>
      <c r="P6" s="14" t="s">
        <v>233</v>
      </c>
      <c r="Q6" s="15">
        <f>COUNTIFS(Tabla1[Programa Postulación],'Movilidad Internacional'!$P6,Tabla1[Período de Movilidad],'Movilidad Internacional'!Q$5,Tabla1[Tipo de Movilidad],'Movilidad Internacional'!$Q$4)</f>
        <v>1</v>
      </c>
      <c r="R6" s="15">
        <f>COUNTIFS(Tabla1[Programa Postulación],'Movilidad Internacional'!$P6,Tabla1[Período de Movilidad],'Movilidad Internacional'!R$5,Tabla1[Tipo de Movilidad],'Movilidad Internacional'!$Q$4)</f>
        <v>5</v>
      </c>
      <c r="S6" s="15">
        <f>COUNTIFS(Tabla1[Programa Postulación],'Movilidad Internacional'!$P6,Tabla1[Período de Movilidad],'Movilidad Internacional'!S$5,Tabla1[Tipo de Movilidad],'Movilidad Internacional'!$Q$4)</f>
        <v>0</v>
      </c>
      <c r="T6" s="15">
        <f>COUNTIFS(Tabla1[Programa Postulación],'Movilidad Internacional'!$P6,Tabla1[Período de Movilidad],'Movilidad Internacional'!T$5,Tabla1[Tipo de Movilidad],'Movilidad Internacional'!$Q$4)</f>
        <v>5</v>
      </c>
      <c r="U6" s="15">
        <f>COUNTIFS(Tabla1[Programa Postulación],'Movilidad Internacional'!$P6,Tabla1[Período de Movilidad],'Movilidad Internacional'!U$5,Tabla1[Tipo de Movilidad],'Movilidad Internacional'!$Q$4)</f>
        <v>0</v>
      </c>
      <c r="V6" s="15">
        <f>COUNTIFS(Tabla1[Programa Postulación],'Movilidad Internacional'!$P6,Tabla1[Período de Movilidad],'Movilidad Internacional'!V$5,Tabla1[Tipo de Movilidad],'Movilidad Internacional'!$Q$4)</f>
        <v>12</v>
      </c>
      <c r="W6" s="15">
        <f>COUNTIFS(Tabla1[Programa Postulación],'Movilidad Internacional'!$P6,Tabla1[Período de Movilidad],'Movilidad Internacional'!W$5,Tabla1[Tipo de Movilidad],'Movilidad Internacional'!$Q$4)</f>
        <v>0</v>
      </c>
      <c r="X6" s="15">
        <f>COUNTIFS(Tabla1[Programa Postulación],'Movilidad Internacional'!$P6,Tabla1[Período de Movilidad],'Movilidad Internacional'!X$5,Tabla1[Tipo de Movilidad],'Movilidad Internacional'!$Q$4)</f>
        <v>12</v>
      </c>
      <c r="Y6" s="15">
        <f>COUNTIFS(Tabla1[Programa Postulación],'Movilidad Internacional'!$P6,Tabla1[Período de Movilidad],'Movilidad Internacional'!Y$5,Tabla1[Tipo de Movilidad],'Movilidad Internacional'!$Q$4)</f>
        <v>0</v>
      </c>
      <c r="Z6" s="15">
        <f>COUNTIFS(Tabla1[Programa Postulación],'Movilidad Internacional'!$P6,Tabla1[Período de Movilidad],'Movilidad Internacional'!Z$5,Tabla1[Tipo de Movilidad],'Movilidad Internacional'!$Q$4)</f>
        <v>8</v>
      </c>
      <c r="AA6" s="15">
        <f>COUNTIFS(Tabla1[Programa Postulación],'Movilidad Internacional'!$P6,Tabla1[Período de Movilidad],'Movilidad Internacional'!AA$5,Tabla1[Tipo de Movilidad],'Movilidad Internacional'!$Q$4)</f>
        <v>0</v>
      </c>
      <c r="AB6" s="15">
        <f>COUNTIFS(Tabla1[Programa Postulación],'Movilidad Internacional'!$P6,Tabla1[Período de Movilidad],'Movilidad Internacional'!AB$5,Tabla1[Tipo de Movilidad],'Movilidad Internacional'!$Q$4)</f>
        <v>0</v>
      </c>
      <c r="AD6" s="14" t="s">
        <v>233</v>
      </c>
      <c r="AE6" s="15">
        <f>COUNTIFS(Tabla1[Programa Postulación],'Movilidad Internacional'!$AD6,Tabla1[Período de Movilidad],'Movilidad Internacional'!AE$5,Tabla1[Tipo de Movilidad],'Movilidad Internacional'!$AE$4)</f>
        <v>2</v>
      </c>
      <c r="AF6" s="15">
        <f>COUNTIFS(Tabla1[Programa Postulación],'Movilidad Internacional'!$P6,Tabla1[Período de Movilidad],'Movilidad Internacional'!AF$5,Tabla1[Tipo de Movilidad],'Movilidad Internacional'!$AE$4)</f>
        <v>0</v>
      </c>
      <c r="AG6" s="15">
        <f>COUNTIFS(Tabla1[Programa Postulación],'Movilidad Internacional'!$P6,Tabla1[Período de Movilidad],'Movilidad Internacional'!AG$5,Tabla1[Tipo de Movilidad],'Movilidad Internacional'!$AE$4)</f>
        <v>8</v>
      </c>
      <c r="AH6" s="15">
        <f>COUNTIFS(Tabla1[Programa Postulación],'Movilidad Internacional'!$P6,Tabla1[Período de Movilidad],'Movilidad Internacional'!AH$5,Tabla1[Tipo de Movilidad],'Movilidad Internacional'!$AE$4)</f>
        <v>0</v>
      </c>
      <c r="AI6" s="15">
        <f>COUNTIFS(Tabla1[Programa Postulación],'Movilidad Internacional'!$P6,Tabla1[Período de Movilidad],'Movilidad Internacional'!AI$5,Tabla1[Tipo de Movilidad],'Movilidad Internacional'!$AE$4)</f>
        <v>3</v>
      </c>
      <c r="AJ6" s="15">
        <f>COUNTIFS(Tabla1[Programa Postulación],'Movilidad Internacional'!$P6,Tabla1[Período de Movilidad],'Movilidad Internacional'!AJ$5,Tabla1[Tipo de Movilidad],'Movilidad Internacional'!$AE$4)</f>
        <v>0</v>
      </c>
      <c r="AK6" s="15">
        <f>COUNTIFS(Tabla1[Programa Postulación],'Movilidad Internacional'!$P6,Tabla1[Período de Movilidad],'Movilidad Internacional'!AK$5,Tabla1[Tipo de Movilidad],'Movilidad Internacional'!$AE$4)</f>
        <v>1</v>
      </c>
      <c r="AL6" s="15">
        <f>COUNTIFS(Tabla1[Programa Postulación],'Movilidad Internacional'!$P6,Tabla1[Período de Movilidad],'Movilidad Internacional'!AL$5,Tabla1[Tipo de Movilidad],'Movilidad Internacional'!$AE$4)</f>
        <v>0</v>
      </c>
      <c r="AM6" s="15">
        <f>COUNTIFS(Tabla1[Programa Postulación],'Movilidad Internacional'!$P6,Tabla1[Período de Movilidad],'Movilidad Internacional'!AM$5,Tabla1[Tipo de Movilidad],'Movilidad Internacional'!$AE$4)</f>
        <v>2</v>
      </c>
      <c r="AN6" s="15">
        <f>COUNTIFS(Tabla1[Programa Postulación],'Movilidad Internacional'!$P6,Tabla1[Período de Movilidad],'Movilidad Internacional'!AN$5,Tabla1[Tipo de Movilidad],'Movilidad Internacional'!$AE$4)</f>
        <v>0</v>
      </c>
    </row>
    <row r="7" spans="2:40">
      <c r="B7" s="16" t="s">
        <v>234</v>
      </c>
      <c r="C7" s="15">
        <f>COUNTIFS(Tabla1[Programa Postulación],'Movilidad Internacional'!$B7,Tabla1[Período de Movilidad],'Movilidad Internacional'!C$5,Tabla1[Tipo de Movilidad],'Movilidad Internacional'!$C$4)</f>
        <v>3</v>
      </c>
      <c r="D7" s="15">
        <f>COUNTIFS(Tabla1[Programa Postulación],'Movilidad Internacional'!$B7,Tabla1[Período de Movilidad],'Movilidad Internacional'!D$5,Tabla1[Tipo de Movilidad],'Movilidad Internacional'!$C$4)</f>
        <v>0</v>
      </c>
      <c r="E7" s="15">
        <f>COUNTIFS(Tabla1[Programa Postulación],'Movilidad Internacional'!$B7,Tabla1[Período de Movilidad],'Movilidad Internacional'!E$5,Tabla1[Tipo de Movilidad],'Movilidad Internacional'!$C$4)</f>
        <v>0</v>
      </c>
      <c r="F7" s="15">
        <f>COUNTIFS(Tabla1[Programa Postulación],'Movilidad Internacional'!$B7,Tabla1[Período de Movilidad],'Movilidad Internacional'!F$5,Tabla1[Tipo de Movilidad],'Movilidad Internacional'!$C$4)</f>
        <v>0</v>
      </c>
      <c r="G7" s="15">
        <f>COUNTIFS(Tabla1[Programa Postulación],'Movilidad Internacional'!$B7,Tabla1[Período de Movilidad],'Movilidad Internacional'!G$5,Tabla1[Tipo de Movilidad],'Movilidad Internacional'!$C$4)</f>
        <v>0</v>
      </c>
      <c r="H7" s="15">
        <f>COUNTIFS(Tabla1[Programa Postulación],'Movilidad Internacional'!$B7,Tabla1[Período de Movilidad],'Movilidad Internacional'!H$5,Tabla1[Tipo de Movilidad],'Movilidad Internacional'!$C$4)</f>
        <v>0</v>
      </c>
      <c r="I7" s="15">
        <f>COUNTIFS(Tabla1[Programa Postulación],'Movilidad Internacional'!$B7,Tabla1[Período de Movilidad],'Movilidad Internacional'!I$5,Tabla1[Tipo de Movilidad],'Movilidad Internacional'!$C$4)</f>
        <v>0</v>
      </c>
      <c r="J7" s="15">
        <f>COUNTIFS(Tabla1[Programa Postulación],'Movilidad Internacional'!$B7,Tabla1[Período de Movilidad],'Movilidad Internacional'!J$5,Tabla1[Tipo de Movilidad],'Movilidad Internacional'!$C$4)</f>
        <v>0</v>
      </c>
      <c r="K7" s="15">
        <f>COUNTIFS(Tabla1[Programa Postulación],'Movilidad Internacional'!$B7,Tabla1[Período de Movilidad],'Movilidad Internacional'!K$5,Tabla1[Tipo de Movilidad],'Movilidad Internacional'!$C$4)</f>
        <v>0</v>
      </c>
      <c r="L7" s="15">
        <f>COUNTIFS(Tabla1[Programa Postulación],'Movilidad Internacional'!$B7,Tabla1[Período de Movilidad],'Movilidad Internacional'!L$5,Tabla1[Tipo de Movilidad],'Movilidad Internacional'!$C$4)</f>
        <v>0</v>
      </c>
      <c r="M7" s="15">
        <f>COUNTIFS(Tabla1[Programa Postulación],'Movilidad Internacional'!$B7,Tabla1[Período de Movilidad],'Movilidad Internacional'!M$5,Tabla1[Tipo de Movilidad],'Movilidad Internacional'!$C$4)</f>
        <v>0</v>
      </c>
      <c r="N7" s="15">
        <f>COUNTIFS(Tabla1[Programa Postulación],'Movilidad Internacional'!$B7,Tabla1[Período de Movilidad],'Movilidad Internacional'!N$5,Tabla1[Tipo de Movilidad],'Movilidad Internacional'!$C$4)</f>
        <v>0</v>
      </c>
      <c r="O7" s="20"/>
      <c r="P7" s="16" t="s">
        <v>234</v>
      </c>
      <c r="Q7" s="15">
        <f>COUNTIFS(Tabla1[Programa Postulación],'Movilidad Internacional'!$P7,Tabla1[Período de Movilidad],'Movilidad Internacional'!Q$5,Tabla1[Tipo de Movilidad],'Movilidad Internacional'!$Q$4)</f>
        <v>0</v>
      </c>
      <c r="R7" s="15">
        <f>COUNTIFS(Tabla1[Programa Postulación],'Movilidad Internacional'!$P7,Tabla1[Período de Movilidad],'Movilidad Internacional'!R$5,Tabla1[Tipo de Movilidad],'Movilidad Internacional'!$Q$4)</f>
        <v>0</v>
      </c>
      <c r="S7" s="15">
        <f>COUNTIFS(Tabla1[Programa Postulación],'Movilidad Internacional'!$P7,Tabla1[Período de Movilidad],'Movilidad Internacional'!S$5,Tabla1[Tipo de Movilidad],'Movilidad Internacional'!$Q$4)</f>
        <v>0</v>
      </c>
      <c r="T7" s="15">
        <f>COUNTIFS(Tabla1[Programa Postulación],'Movilidad Internacional'!$P7,Tabla1[Período de Movilidad],'Movilidad Internacional'!T$5,Tabla1[Tipo de Movilidad],'Movilidad Internacional'!$Q$4)</f>
        <v>0</v>
      </c>
      <c r="U7" s="15">
        <f>COUNTIFS(Tabla1[Programa Postulación],'Movilidad Internacional'!$P7,Tabla1[Período de Movilidad],'Movilidad Internacional'!U$5,Tabla1[Tipo de Movilidad],'Movilidad Internacional'!$Q$4)</f>
        <v>0</v>
      </c>
      <c r="V7" s="15">
        <f>COUNTIFS(Tabla1[Programa Postulación],'Movilidad Internacional'!$P7,Tabla1[Período de Movilidad],'Movilidad Internacional'!V$5,Tabla1[Tipo de Movilidad],'Movilidad Internacional'!$Q$4)</f>
        <v>0</v>
      </c>
      <c r="W7" s="15">
        <f>COUNTIFS(Tabla1[Programa Postulación],'Movilidad Internacional'!$P7,Tabla1[Período de Movilidad],'Movilidad Internacional'!W$5,Tabla1[Tipo de Movilidad],'Movilidad Internacional'!$Q$4)</f>
        <v>0</v>
      </c>
      <c r="X7" s="15">
        <f>COUNTIFS(Tabla1[Programa Postulación],'Movilidad Internacional'!$P7,Tabla1[Período de Movilidad],'Movilidad Internacional'!X$5,Tabla1[Tipo de Movilidad],'Movilidad Internacional'!$Q$4)</f>
        <v>0</v>
      </c>
      <c r="Y7" s="15">
        <f>COUNTIFS(Tabla1[Programa Postulación],'Movilidad Internacional'!$P7,Tabla1[Período de Movilidad],'Movilidad Internacional'!Y$5,Tabla1[Tipo de Movilidad],'Movilidad Internacional'!$Q$4)</f>
        <v>0</v>
      </c>
      <c r="Z7" s="15">
        <f>COUNTIFS(Tabla1[Programa Postulación],'Movilidad Internacional'!$P7,Tabla1[Período de Movilidad],'Movilidad Internacional'!Z$5,Tabla1[Tipo de Movilidad],'Movilidad Internacional'!$Q$4)</f>
        <v>0</v>
      </c>
      <c r="AA7" s="15">
        <f>COUNTIFS(Tabla1[Programa Postulación],'Movilidad Internacional'!$P7,Tabla1[Período de Movilidad],'Movilidad Internacional'!AA$5,Tabla1[Tipo de Movilidad],'Movilidad Internacional'!$Q$4)</f>
        <v>0</v>
      </c>
      <c r="AB7" s="15">
        <f>COUNTIFS(Tabla1[Programa Postulación],'Movilidad Internacional'!$P7,Tabla1[Período de Movilidad],'Movilidad Internacional'!AB$5,Tabla1[Tipo de Movilidad],'Movilidad Internacional'!$Q$4)</f>
        <v>0</v>
      </c>
      <c r="AD7" s="16" t="s">
        <v>234</v>
      </c>
      <c r="AE7" s="15">
        <f>COUNTIFS(Tabla1[Programa Postulación],'Movilidad Internacional'!$AD7,Tabla1[Período de Movilidad],'Movilidad Internacional'!AE$5,Tabla1[Tipo de Movilidad],'Movilidad Internacional'!$AE$4)</f>
        <v>0</v>
      </c>
      <c r="AF7" s="15">
        <f>COUNTIFS(Tabla1[Programa Postulación],'Movilidad Internacional'!$P7,Tabla1[Período de Movilidad],'Movilidad Internacional'!AF$5,Tabla1[Tipo de Movilidad],'Movilidad Internacional'!$AE$4)</f>
        <v>0</v>
      </c>
      <c r="AG7" s="15">
        <f>COUNTIFS(Tabla1[Programa Postulación],'Movilidad Internacional'!$P7,Tabla1[Período de Movilidad],'Movilidad Internacional'!AG$5,Tabla1[Tipo de Movilidad],'Movilidad Internacional'!$AE$4)</f>
        <v>0</v>
      </c>
      <c r="AH7" s="15">
        <f>COUNTIFS(Tabla1[Programa Postulación],'Movilidad Internacional'!$P7,Tabla1[Período de Movilidad],'Movilidad Internacional'!AH$5,Tabla1[Tipo de Movilidad],'Movilidad Internacional'!$AE$4)</f>
        <v>0</v>
      </c>
      <c r="AI7" s="15">
        <f>COUNTIFS(Tabla1[Programa Postulación],'Movilidad Internacional'!$P7,Tabla1[Período de Movilidad],'Movilidad Internacional'!AI$5,Tabla1[Tipo de Movilidad],'Movilidad Internacional'!$AE$4)</f>
        <v>0</v>
      </c>
      <c r="AJ7" s="15">
        <f>COUNTIFS(Tabla1[Programa Postulación],'Movilidad Internacional'!$P7,Tabla1[Período de Movilidad],'Movilidad Internacional'!AJ$5,Tabla1[Tipo de Movilidad],'Movilidad Internacional'!$AE$4)</f>
        <v>0</v>
      </c>
      <c r="AK7" s="15">
        <f>COUNTIFS(Tabla1[Programa Postulación],'Movilidad Internacional'!$P7,Tabla1[Período de Movilidad],'Movilidad Internacional'!AK$5,Tabla1[Tipo de Movilidad],'Movilidad Internacional'!$AE$4)</f>
        <v>0</v>
      </c>
      <c r="AL7" s="15">
        <f>COUNTIFS(Tabla1[Programa Postulación],'Movilidad Internacional'!$P7,Tabla1[Período de Movilidad],'Movilidad Internacional'!AL$5,Tabla1[Tipo de Movilidad],'Movilidad Internacional'!$AE$4)</f>
        <v>0</v>
      </c>
      <c r="AM7" s="15">
        <f>COUNTIFS(Tabla1[Programa Postulación],'Movilidad Internacional'!$P7,Tabla1[Período de Movilidad],'Movilidad Internacional'!AM$5,Tabla1[Tipo de Movilidad],'Movilidad Internacional'!$AE$4)</f>
        <v>0</v>
      </c>
      <c r="AN7" s="15">
        <f>COUNTIFS(Tabla1[Programa Postulación],'Movilidad Internacional'!$P7,Tabla1[Período de Movilidad],'Movilidad Internacional'!AN$5,Tabla1[Tipo de Movilidad],'Movilidad Internacional'!$AE$4)</f>
        <v>0</v>
      </c>
    </row>
    <row r="8" spans="2:40" ht="30">
      <c r="B8" s="9" t="s">
        <v>235</v>
      </c>
      <c r="C8" s="12">
        <f>COUNTIFS(Tabla1[Programa Postulación],'Movilidad Internacional'!$B8,Tabla1[Período de Movilidad],'Movilidad Internacional'!C$5,Tabla1[Tipo de Movilidad],'Movilidad Internacional'!$C$4)</f>
        <v>0</v>
      </c>
      <c r="D8" s="12">
        <f>COUNTIFS(Tabla1[Programa Postulación],'Movilidad Internacional'!$B8,Tabla1[Período de Movilidad],'Movilidad Internacional'!D$5,Tabla1[Tipo de Movilidad],'Movilidad Internacional'!$C$4)</f>
        <v>0</v>
      </c>
      <c r="E8" s="12">
        <f>COUNTIFS(Tabla1[Programa Postulación],'Movilidad Internacional'!$B8,Tabla1[Período de Movilidad],'Movilidad Internacional'!E$5,Tabla1[Tipo de Movilidad],'Movilidad Internacional'!$C$4)</f>
        <v>0</v>
      </c>
      <c r="F8" s="12">
        <f>COUNTIFS(Tabla1[Programa Postulación],'Movilidad Internacional'!$B8,Tabla1[Período de Movilidad],'Movilidad Internacional'!F$5,Tabla1[Tipo de Movilidad],'Movilidad Internacional'!$C$4)</f>
        <v>0</v>
      </c>
      <c r="G8" s="12">
        <f>COUNTIFS(Tabla1[Programa Postulación],'Movilidad Internacional'!$B8,Tabla1[Período de Movilidad],'Movilidad Internacional'!G$5,Tabla1[Tipo de Movilidad],'Movilidad Internacional'!$C$4)</f>
        <v>1</v>
      </c>
      <c r="H8" s="12">
        <f>COUNTIFS(Tabla1[Programa Postulación],'Movilidad Internacional'!$B8,Tabla1[Período de Movilidad],'Movilidad Internacional'!H$5,Tabla1[Tipo de Movilidad],'Movilidad Internacional'!$C$4)</f>
        <v>0</v>
      </c>
      <c r="I8" s="12">
        <f>COUNTIFS(Tabla1[Programa Postulación],'Movilidad Internacional'!$B8,Tabla1[Período de Movilidad],'Movilidad Internacional'!I$5,Tabla1[Tipo de Movilidad],'Movilidad Internacional'!$C$4)</f>
        <v>0</v>
      </c>
      <c r="J8" s="12">
        <f>COUNTIFS(Tabla1[Programa Postulación],'Movilidad Internacional'!$B8,Tabla1[Período de Movilidad],'Movilidad Internacional'!J$5,Tabla1[Tipo de Movilidad],'Movilidad Internacional'!$C$4)</f>
        <v>1</v>
      </c>
      <c r="K8" s="12">
        <f>COUNTIFS(Tabla1[Programa Postulación],'Movilidad Internacional'!$B8,Tabla1[Período de Movilidad],'Movilidad Internacional'!K$5,Tabla1[Tipo de Movilidad],'Movilidad Internacional'!$C$4)</f>
        <v>0</v>
      </c>
      <c r="L8" s="12">
        <f>COUNTIFS(Tabla1[Programa Postulación],'Movilidad Internacional'!$B8,Tabla1[Período de Movilidad],'Movilidad Internacional'!L$5,Tabla1[Tipo de Movilidad],'Movilidad Internacional'!$C$4)</f>
        <v>1</v>
      </c>
      <c r="M8" s="12">
        <f>COUNTIFS(Tabla1[Programa Postulación],'Movilidad Internacional'!$B8,Tabla1[Período de Movilidad],'Movilidad Internacional'!M$5,Tabla1[Tipo de Movilidad],'Movilidad Internacional'!$C$4)</f>
        <v>0</v>
      </c>
      <c r="N8" s="12">
        <f>COUNTIFS(Tabla1[Programa Postulación],'Movilidad Internacional'!$B8,Tabla1[Período de Movilidad],'Movilidad Internacional'!N$5,Tabla1[Tipo de Movilidad],'Movilidad Internacional'!$C$4)</f>
        <v>0</v>
      </c>
      <c r="O8" s="20"/>
      <c r="P8" s="9" t="s">
        <v>235</v>
      </c>
      <c r="Q8" s="12">
        <f>COUNTIFS(Tabla1[Programa Postulación],'Movilidad Internacional'!$P8,Tabla1[Período de Movilidad],'Movilidad Internacional'!Q$5,Tabla1[Tipo de Movilidad],'Movilidad Internacional'!$Q$4)</f>
        <v>0</v>
      </c>
      <c r="R8" s="12">
        <f>COUNTIFS(Tabla1[Programa Postulación],'Movilidad Internacional'!$P8,Tabla1[Período de Movilidad],'Movilidad Internacional'!R$5,Tabla1[Tipo de Movilidad],'Movilidad Internacional'!$Q$4)</f>
        <v>0</v>
      </c>
      <c r="S8" s="12">
        <f>COUNTIFS(Tabla1[Programa Postulación],'Movilidad Internacional'!$P8,Tabla1[Período de Movilidad],'Movilidad Internacional'!S$5,Tabla1[Tipo de Movilidad],'Movilidad Internacional'!$Q$4)</f>
        <v>0</v>
      </c>
      <c r="T8" s="12">
        <f>COUNTIFS(Tabla1[Programa Postulación],'Movilidad Internacional'!$P8,Tabla1[Período de Movilidad],'Movilidad Internacional'!T$5,Tabla1[Tipo de Movilidad],'Movilidad Internacional'!$Q$4)</f>
        <v>0</v>
      </c>
      <c r="U8" s="12">
        <f>COUNTIFS(Tabla1[Programa Postulación],'Movilidad Internacional'!$P8,Tabla1[Período de Movilidad],'Movilidad Internacional'!U$5,Tabla1[Tipo de Movilidad],'Movilidad Internacional'!$Q$4)</f>
        <v>0</v>
      </c>
      <c r="V8" s="12">
        <f>COUNTIFS(Tabla1[Programa Postulación],'Movilidad Internacional'!$P8,Tabla1[Período de Movilidad],'Movilidad Internacional'!V$5,Tabla1[Tipo de Movilidad],'Movilidad Internacional'!$Q$4)</f>
        <v>0</v>
      </c>
      <c r="W8" s="12">
        <f>COUNTIFS(Tabla1[Programa Postulación],'Movilidad Internacional'!$P8,Tabla1[Período de Movilidad],'Movilidad Internacional'!W$5,Tabla1[Tipo de Movilidad],'Movilidad Internacional'!$Q$4)</f>
        <v>0</v>
      </c>
      <c r="X8" s="12">
        <f>COUNTIFS(Tabla1[Programa Postulación],'Movilidad Internacional'!$P8,Tabla1[Período de Movilidad],'Movilidad Internacional'!X$5,Tabla1[Tipo de Movilidad],'Movilidad Internacional'!$Q$4)</f>
        <v>0</v>
      </c>
      <c r="Y8" s="12">
        <f>COUNTIFS(Tabla1[Programa Postulación],'Movilidad Internacional'!$P8,Tabla1[Período de Movilidad],'Movilidad Internacional'!Y$5,Tabla1[Tipo de Movilidad],'Movilidad Internacional'!$Q$4)</f>
        <v>0</v>
      </c>
      <c r="Z8" s="12">
        <f>COUNTIFS(Tabla1[Programa Postulación],'Movilidad Internacional'!$P8,Tabla1[Período de Movilidad],'Movilidad Internacional'!Z$5,Tabla1[Tipo de Movilidad],'Movilidad Internacional'!$Q$4)</f>
        <v>0</v>
      </c>
      <c r="AA8" s="12">
        <f>COUNTIFS(Tabla1[Programa Postulación],'Movilidad Internacional'!$P8,Tabla1[Período de Movilidad],'Movilidad Internacional'!AA$5,Tabla1[Tipo de Movilidad],'Movilidad Internacional'!$Q$4)</f>
        <v>0</v>
      </c>
      <c r="AB8" s="12">
        <f>COUNTIFS(Tabla1[Programa Postulación],'Movilidad Internacional'!$P8,Tabla1[Período de Movilidad],'Movilidad Internacional'!AB$5,Tabla1[Tipo de Movilidad],'Movilidad Internacional'!$Q$4)</f>
        <v>0</v>
      </c>
      <c r="AD8" s="9" t="s">
        <v>235</v>
      </c>
      <c r="AE8" s="12">
        <f>COUNTIFS(Tabla1[Programa Postulación],'Movilidad Internacional'!$AD8,Tabla1[Período de Movilidad],'Movilidad Internacional'!AE$5,Tabla1[Tipo de Movilidad],'Movilidad Internacional'!$AE$4)</f>
        <v>0</v>
      </c>
      <c r="AF8" s="12">
        <f>COUNTIFS(Tabla1[Programa Postulación],'Movilidad Internacional'!$AD8,Tabla1[Período de Movilidad],'Movilidad Internacional'!AF$5,Tabla1[Tipo de Movilidad],'Movilidad Internacional'!$AE$4)</f>
        <v>0</v>
      </c>
      <c r="AG8" s="12">
        <f>COUNTIFS(Tabla1[Programa Postulación],'Movilidad Internacional'!$AD8,Tabla1[Período de Movilidad],'Movilidad Internacional'!AG$5,Tabla1[Tipo de Movilidad],'Movilidad Internacional'!$AE$4)</f>
        <v>0</v>
      </c>
      <c r="AH8" s="12">
        <f>COUNTIFS(Tabla1[Programa Postulación],'Movilidad Internacional'!$AD8,Tabla1[Período de Movilidad],'Movilidad Internacional'!AH$5,Tabla1[Tipo de Movilidad],'Movilidad Internacional'!$AE$4)</f>
        <v>0</v>
      </c>
      <c r="AI8" s="12">
        <f>COUNTIFS(Tabla1[Programa Postulación],'Movilidad Internacional'!$AD8,Tabla1[Período de Movilidad],'Movilidad Internacional'!AI$5,Tabla1[Tipo de Movilidad],'Movilidad Internacional'!$AE$4)</f>
        <v>0</v>
      </c>
      <c r="AJ8" s="12">
        <f>COUNTIFS(Tabla1[Programa Postulación],'Movilidad Internacional'!$AD8,Tabla1[Período de Movilidad],'Movilidad Internacional'!AJ$5,Tabla1[Tipo de Movilidad],'Movilidad Internacional'!$AE$4)</f>
        <v>0</v>
      </c>
      <c r="AK8" s="12">
        <f>COUNTIFS(Tabla1[Programa Postulación],'Movilidad Internacional'!$AD8,Tabla1[Período de Movilidad],'Movilidad Internacional'!AK$5,Tabla1[Tipo de Movilidad],'Movilidad Internacional'!$AE$4)</f>
        <v>0</v>
      </c>
      <c r="AL8" s="12">
        <f>COUNTIFS(Tabla1[Programa Postulación],'Movilidad Internacional'!$AD8,Tabla1[Período de Movilidad],'Movilidad Internacional'!AL$5,Tabla1[Tipo de Movilidad],'Movilidad Internacional'!$AE$4)</f>
        <v>0</v>
      </c>
      <c r="AM8" s="12">
        <f>COUNTIFS(Tabla1[Programa Postulación],'Movilidad Internacional'!$AD8,Tabla1[Período de Movilidad],'Movilidad Internacional'!AM$5,Tabla1[Tipo de Movilidad],'Movilidad Internacional'!$AE$4)</f>
        <v>0</v>
      </c>
      <c r="AN8" s="12">
        <f>COUNTIFS(Tabla1[Programa Postulación],'Movilidad Internacional'!$AD8,Tabla1[Período de Movilidad],'Movilidad Internacional'!AN$5,Tabla1[Tipo de Movilidad],'Movilidad Internacional'!$AE$4)</f>
        <v>0</v>
      </c>
    </row>
    <row r="9" spans="2:40" ht="30">
      <c r="B9" s="9" t="s">
        <v>236</v>
      </c>
      <c r="C9" s="12">
        <f>COUNTIFS(Tabla1[Programa Postulación],'Movilidad Internacional'!$B9,Tabla1[Período de Movilidad],'Movilidad Internacional'!C$5,Tabla1[Tipo de Movilidad],'Movilidad Internacional'!$C$4)</f>
        <v>0</v>
      </c>
      <c r="D9" s="12">
        <f>COUNTIFS(Tabla1[Programa Postulación],'Movilidad Internacional'!$B9,Tabla1[Período de Movilidad],'Movilidad Internacional'!D$5,Tabla1[Tipo de Movilidad],'Movilidad Internacional'!$C$4)</f>
        <v>0</v>
      </c>
      <c r="E9" s="12">
        <f>COUNTIFS(Tabla1[Programa Postulación],'Movilidad Internacional'!$B9,Tabla1[Período de Movilidad],'Movilidad Internacional'!E$5,Tabla1[Tipo de Movilidad],'Movilidad Internacional'!$C$4)</f>
        <v>0</v>
      </c>
      <c r="F9" s="12">
        <f>COUNTIFS(Tabla1[Programa Postulación],'Movilidad Internacional'!$B9,Tabla1[Período de Movilidad],'Movilidad Internacional'!F$5,Tabla1[Tipo de Movilidad],'Movilidad Internacional'!$C$4)</f>
        <v>2</v>
      </c>
      <c r="G9" s="12">
        <f>COUNTIFS(Tabla1[Programa Postulación],'Movilidad Internacional'!$B9,Tabla1[Período de Movilidad],'Movilidad Internacional'!G$5,Tabla1[Tipo de Movilidad],'Movilidad Internacional'!$C$4)</f>
        <v>0</v>
      </c>
      <c r="H9" s="12">
        <f>COUNTIFS(Tabla1[Programa Postulación],'Movilidad Internacional'!$B9,Tabla1[Período de Movilidad],'Movilidad Internacional'!H$5,Tabla1[Tipo de Movilidad],'Movilidad Internacional'!$C$4)</f>
        <v>1</v>
      </c>
      <c r="I9" s="12">
        <f>COUNTIFS(Tabla1[Programa Postulación],'Movilidad Internacional'!$B9,Tabla1[Período de Movilidad],'Movilidad Internacional'!I$5,Tabla1[Tipo de Movilidad],'Movilidad Internacional'!$C$4)</f>
        <v>0</v>
      </c>
      <c r="J9" s="12">
        <f>COUNTIFS(Tabla1[Programa Postulación],'Movilidad Internacional'!$B9,Tabla1[Período de Movilidad],'Movilidad Internacional'!J$5,Tabla1[Tipo de Movilidad],'Movilidad Internacional'!$C$4)</f>
        <v>2</v>
      </c>
      <c r="K9" s="12">
        <f>COUNTIFS(Tabla1[Programa Postulación],'Movilidad Internacional'!$B9,Tabla1[Período de Movilidad],'Movilidad Internacional'!K$5,Tabla1[Tipo de Movilidad],'Movilidad Internacional'!$C$4)</f>
        <v>0</v>
      </c>
      <c r="L9" s="12">
        <f>COUNTIFS(Tabla1[Programa Postulación],'Movilidad Internacional'!$B9,Tabla1[Período de Movilidad],'Movilidad Internacional'!L$5,Tabla1[Tipo de Movilidad],'Movilidad Internacional'!$C$4)</f>
        <v>2</v>
      </c>
      <c r="M9" s="12">
        <f>COUNTIFS(Tabla1[Programa Postulación],'Movilidad Internacional'!$B9,Tabla1[Período de Movilidad],'Movilidad Internacional'!M$5,Tabla1[Tipo de Movilidad],'Movilidad Internacional'!$C$4)</f>
        <v>0</v>
      </c>
      <c r="N9" s="12">
        <f>COUNTIFS(Tabla1[Programa Postulación],'Movilidad Internacional'!$B9,Tabla1[Período de Movilidad],'Movilidad Internacional'!N$5,Tabla1[Tipo de Movilidad],'Movilidad Internacional'!$C$4)</f>
        <v>0</v>
      </c>
      <c r="O9" s="20"/>
      <c r="P9" s="9" t="s">
        <v>236</v>
      </c>
      <c r="Q9" s="12">
        <f>COUNTIFS(Tabla1[Programa Postulación],'Movilidad Internacional'!$P9,Tabla1[Período de Movilidad],'Movilidad Internacional'!Q$5,Tabla1[Tipo de Movilidad],'Movilidad Internacional'!$Q$4)</f>
        <v>0</v>
      </c>
      <c r="R9" s="12">
        <f>COUNTIFS(Tabla1[Programa Postulación],'Movilidad Internacional'!$P9,Tabla1[Período de Movilidad],'Movilidad Internacional'!R$5,Tabla1[Tipo de Movilidad],'Movilidad Internacional'!$Q$4)</f>
        <v>0</v>
      </c>
      <c r="S9" s="12">
        <f>COUNTIFS(Tabla1[Programa Postulación],'Movilidad Internacional'!$P9,Tabla1[Período de Movilidad],'Movilidad Internacional'!S$5,Tabla1[Tipo de Movilidad],'Movilidad Internacional'!$Q$4)</f>
        <v>0</v>
      </c>
      <c r="T9" s="12">
        <f>COUNTIFS(Tabla1[Programa Postulación],'Movilidad Internacional'!$P9,Tabla1[Período de Movilidad],'Movilidad Internacional'!T$5,Tabla1[Tipo de Movilidad],'Movilidad Internacional'!$Q$4)</f>
        <v>0</v>
      </c>
      <c r="U9" s="12">
        <f>COUNTIFS(Tabla1[Programa Postulación],'Movilidad Internacional'!$P9,Tabla1[Período de Movilidad],'Movilidad Internacional'!U$5,Tabla1[Tipo de Movilidad],'Movilidad Internacional'!$Q$4)</f>
        <v>0</v>
      </c>
      <c r="V9" s="12">
        <f>COUNTIFS(Tabla1[Programa Postulación],'Movilidad Internacional'!$P9,Tabla1[Período de Movilidad],'Movilidad Internacional'!V$5,Tabla1[Tipo de Movilidad],'Movilidad Internacional'!$Q$4)</f>
        <v>0</v>
      </c>
      <c r="W9" s="12">
        <f>COUNTIFS(Tabla1[Programa Postulación],'Movilidad Internacional'!$P9,Tabla1[Período de Movilidad],'Movilidad Internacional'!W$5,Tabla1[Tipo de Movilidad],'Movilidad Internacional'!$Q$4)</f>
        <v>0</v>
      </c>
      <c r="X9" s="12">
        <f>COUNTIFS(Tabla1[Programa Postulación],'Movilidad Internacional'!$P9,Tabla1[Período de Movilidad],'Movilidad Internacional'!X$5,Tabla1[Tipo de Movilidad],'Movilidad Internacional'!$Q$4)</f>
        <v>0</v>
      </c>
      <c r="Y9" s="12">
        <f>COUNTIFS(Tabla1[Programa Postulación],'Movilidad Internacional'!$P9,Tabla1[Período de Movilidad],'Movilidad Internacional'!Y$5,Tabla1[Tipo de Movilidad],'Movilidad Internacional'!$Q$4)</f>
        <v>0</v>
      </c>
      <c r="Z9" s="12">
        <f>COUNTIFS(Tabla1[Programa Postulación],'Movilidad Internacional'!$P9,Tabla1[Período de Movilidad],'Movilidad Internacional'!Z$5,Tabla1[Tipo de Movilidad],'Movilidad Internacional'!$Q$4)</f>
        <v>0</v>
      </c>
      <c r="AA9" s="12">
        <f>COUNTIFS(Tabla1[Programa Postulación],'Movilidad Internacional'!$P9,Tabla1[Período de Movilidad],'Movilidad Internacional'!AA$5,Tabla1[Tipo de Movilidad],'Movilidad Internacional'!$Q$4)</f>
        <v>0</v>
      </c>
      <c r="AB9" s="12">
        <f>COUNTIFS(Tabla1[Programa Postulación],'Movilidad Internacional'!$P9,Tabla1[Período de Movilidad],'Movilidad Internacional'!AB$5,Tabla1[Tipo de Movilidad],'Movilidad Internacional'!$Q$4)</f>
        <v>0</v>
      </c>
      <c r="AD9" s="9" t="s">
        <v>236</v>
      </c>
      <c r="AE9" s="12">
        <f>COUNTIFS(Tabla1[Programa Postulación],'Movilidad Internacional'!$AD9,Tabla1[Período de Movilidad],'Movilidad Internacional'!AE$5,Tabla1[Tipo de Movilidad],'Movilidad Internacional'!$AE$4)</f>
        <v>0</v>
      </c>
      <c r="AF9" s="12">
        <f>COUNTIFS(Tabla1[Programa Postulación],'Movilidad Internacional'!$AD9,Tabla1[Período de Movilidad],'Movilidad Internacional'!AF$5,Tabla1[Tipo de Movilidad],'Movilidad Internacional'!$AE$4)</f>
        <v>0</v>
      </c>
      <c r="AG9" s="12">
        <f>COUNTIFS(Tabla1[Programa Postulación],'Movilidad Internacional'!$AD9,Tabla1[Período de Movilidad],'Movilidad Internacional'!AG$5,Tabla1[Tipo de Movilidad],'Movilidad Internacional'!$AE$4)</f>
        <v>0</v>
      </c>
      <c r="AH9" s="12">
        <f>COUNTIFS(Tabla1[Programa Postulación],'Movilidad Internacional'!$AD9,Tabla1[Período de Movilidad],'Movilidad Internacional'!AH$5,Tabla1[Tipo de Movilidad],'Movilidad Internacional'!$AE$4)</f>
        <v>0</v>
      </c>
      <c r="AI9" s="12">
        <f>COUNTIFS(Tabla1[Programa Postulación],'Movilidad Internacional'!$AD9,Tabla1[Período de Movilidad],'Movilidad Internacional'!AI$5,Tabla1[Tipo de Movilidad],'Movilidad Internacional'!$AE$4)</f>
        <v>0</v>
      </c>
      <c r="AJ9" s="12">
        <f>COUNTIFS(Tabla1[Programa Postulación],'Movilidad Internacional'!$AD9,Tabla1[Período de Movilidad],'Movilidad Internacional'!AJ$5,Tabla1[Tipo de Movilidad],'Movilidad Internacional'!$AE$4)</f>
        <v>0</v>
      </c>
      <c r="AK9" s="12">
        <f>COUNTIFS(Tabla1[Programa Postulación],'Movilidad Internacional'!$AD9,Tabla1[Período de Movilidad],'Movilidad Internacional'!AK$5,Tabla1[Tipo de Movilidad],'Movilidad Internacional'!$AE$4)</f>
        <v>0</v>
      </c>
      <c r="AL9" s="12">
        <f>COUNTIFS(Tabla1[Programa Postulación],'Movilidad Internacional'!$AD9,Tabla1[Período de Movilidad],'Movilidad Internacional'!AL$5,Tabla1[Tipo de Movilidad],'Movilidad Internacional'!$AE$4)</f>
        <v>0</v>
      </c>
      <c r="AM9" s="12">
        <f>COUNTIFS(Tabla1[Programa Postulación],'Movilidad Internacional'!$AD9,Tabla1[Período de Movilidad],'Movilidad Internacional'!AM$5,Tabla1[Tipo de Movilidad],'Movilidad Internacional'!$AE$4)</f>
        <v>0</v>
      </c>
      <c r="AN9" s="12">
        <f>COUNTIFS(Tabla1[Programa Postulación],'Movilidad Internacional'!$AD9,Tabla1[Período de Movilidad],'Movilidad Internacional'!AN$5,Tabla1[Tipo de Movilidad],'Movilidad Internacional'!$AE$4)</f>
        <v>0</v>
      </c>
    </row>
    <row r="10" spans="2:40">
      <c r="B10" s="9" t="s">
        <v>237</v>
      </c>
      <c r="C10" s="12">
        <f>COUNTIFS(Tabla1[Programa Postulación],'Movilidad Internacional'!$B10,Tabla1[Período de Movilidad],'Movilidad Internacional'!C$5,Tabla1[Tipo de Movilidad],'Movilidad Internacional'!$C$4)</f>
        <v>0</v>
      </c>
      <c r="D10" s="12">
        <f>COUNTIFS(Tabla1[Programa Postulación],'Movilidad Internacional'!$B10,Tabla1[Período de Movilidad],'Movilidad Internacional'!D$5,Tabla1[Tipo de Movilidad],'Movilidad Internacional'!$C$4)</f>
        <v>0</v>
      </c>
      <c r="E10" s="12">
        <f>COUNTIFS(Tabla1[Programa Postulación],'Movilidad Internacional'!$B10,Tabla1[Período de Movilidad],'Movilidad Internacional'!E$5,Tabla1[Tipo de Movilidad],'Movilidad Internacional'!$C$4)</f>
        <v>0</v>
      </c>
      <c r="F10" s="12">
        <f>COUNTIFS(Tabla1[Programa Postulación],'Movilidad Internacional'!$B10,Tabla1[Período de Movilidad],'Movilidad Internacional'!F$5,Tabla1[Tipo de Movilidad],'Movilidad Internacional'!$C$4)</f>
        <v>0</v>
      </c>
      <c r="G10" s="12">
        <f>COUNTIFS(Tabla1[Programa Postulación],'Movilidad Internacional'!$B10,Tabla1[Período de Movilidad],'Movilidad Internacional'!G$5,Tabla1[Tipo de Movilidad],'Movilidad Internacional'!$C$4)</f>
        <v>2</v>
      </c>
      <c r="H10" s="12">
        <f>COUNTIFS(Tabla1[Programa Postulación],'Movilidad Internacional'!$B10,Tabla1[Período de Movilidad],'Movilidad Internacional'!H$5,Tabla1[Tipo de Movilidad],'Movilidad Internacional'!$C$4)</f>
        <v>1</v>
      </c>
      <c r="I10" s="12">
        <f>COUNTIFS(Tabla1[Programa Postulación],'Movilidad Internacional'!$B10,Tabla1[Período de Movilidad],'Movilidad Internacional'!I$5,Tabla1[Tipo de Movilidad],'Movilidad Internacional'!$C$4)</f>
        <v>0</v>
      </c>
      <c r="J10" s="12">
        <f>COUNTIFS(Tabla1[Programa Postulación],'Movilidad Internacional'!$B10,Tabla1[Período de Movilidad],'Movilidad Internacional'!J$5,Tabla1[Tipo de Movilidad],'Movilidad Internacional'!$C$4)</f>
        <v>2</v>
      </c>
      <c r="K10" s="12">
        <f>COUNTIFS(Tabla1[Programa Postulación],'Movilidad Internacional'!$B10,Tabla1[Período de Movilidad],'Movilidad Internacional'!K$5,Tabla1[Tipo de Movilidad],'Movilidad Internacional'!$C$4)</f>
        <v>0</v>
      </c>
      <c r="L10" s="12">
        <f>COUNTIFS(Tabla1[Programa Postulación],'Movilidad Internacional'!$B10,Tabla1[Período de Movilidad],'Movilidad Internacional'!L$5,Tabla1[Tipo de Movilidad],'Movilidad Internacional'!$C$4)</f>
        <v>0</v>
      </c>
      <c r="M10" s="12">
        <f>COUNTIFS(Tabla1[Programa Postulación],'Movilidad Internacional'!$B10,Tabla1[Período de Movilidad],'Movilidad Internacional'!M$5,Tabla1[Tipo de Movilidad],'Movilidad Internacional'!$C$4)</f>
        <v>0</v>
      </c>
      <c r="N10" s="12">
        <f>COUNTIFS(Tabla1[Programa Postulación],'Movilidad Internacional'!$B10,Tabla1[Período de Movilidad],'Movilidad Internacional'!N$5,Tabla1[Tipo de Movilidad],'Movilidad Internacional'!$C$4)</f>
        <v>0</v>
      </c>
      <c r="O10" s="20"/>
      <c r="P10" s="9" t="s">
        <v>237</v>
      </c>
      <c r="Q10" s="12">
        <f>COUNTIFS(Tabla1[Programa Postulación],'Movilidad Internacional'!$P10,Tabla1[Período de Movilidad],'Movilidad Internacional'!Q$5,Tabla1[Tipo de Movilidad],'Movilidad Internacional'!$Q$4)</f>
        <v>0</v>
      </c>
      <c r="R10" s="12">
        <f>COUNTIFS(Tabla1[Programa Postulación],'Movilidad Internacional'!$P10,Tabla1[Período de Movilidad],'Movilidad Internacional'!R$5,Tabla1[Tipo de Movilidad],'Movilidad Internacional'!$Q$4)</f>
        <v>0</v>
      </c>
      <c r="S10" s="12">
        <f>COUNTIFS(Tabla1[Programa Postulación],'Movilidad Internacional'!$P10,Tabla1[Período de Movilidad],'Movilidad Internacional'!S$5,Tabla1[Tipo de Movilidad],'Movilidad Internacional'!$Q$4)</f>
        <v>0</v>
      </c>
      <c r="T10" s="12">
        <f>COUNTIFS(Tabla1[Programa Postulación],'Movilidad Internacional'!$P10,Tabla1[Período de Movilidad],'Movilidad Internacional'!T$5,Tabla1[Tipo de Movilidad],'Movilidad Internacional'!$Q$4)</f>
        <v>0</v>
      </c>
      <c r="U10" s="12">
        <f>COUNTIFS(Tabla1[Programa Postulación],'Movilidad Internacional'!$P10,Tabla1[Período de Movilidad],'Movilidad Internacional'!U$5,Tabla1[Tipo de Movilidad],'Movilidad Internacional'!$Q$4)</f>
        <v>0</v>
      </c>
      <c r="V10" s="12">
        <f>COUNTIFS(Tabla1[Programa Postulación],'Movilidad Internacional'!$P10,Tabla1[Período de Movilidad],'Movilidad Internacional'!V$5,Tabla1[Tipo de Movilidad],'Movilidad Internacional'!$Q$4)</f>
        <v>0</v>
      </c>
      <c r="W10" s="12">
        <f>COUNTIFS(Tabla1[Programa Postulación],'Movilidad Internacional'!$P10,Tabla1[Período de Movilidad],'Movilidad Internacional'!W$5,Tabla1[Tipo de Movilidad],'Movilidad Internacional'!$Q$4)</f>
        <v>0</v>
      </c>
      <c r="X10" s="12">
        <f>COUNTIFS(Tabla1[Programa Postulación],'Movilidad Internacional'!$P10,Tabla1[Período de Movilidad],'Movilidad Internacional'!X$5,Tabla1[Tipo de Movilidad],'Movilidad Internacional'!$Q$4)</f>
        <v>0</v>
      </c>
      <c r="Y10" s="12">
        <f>COUNTIFS(Tabla1[Programa Postulación],'Movilidad Internacional'!$P10,Tabla1[Período de Movilidad],'Movilidad Internacional'!Y$5,Tabla1[Tipo de Movilidad],'Movilidad Internacional'!$Q$4)</f>
        <v>0</v>
      </c>
      <c r="Z10" s="12">
        <f>COUNTIFS(Tabla1[Programa Postulación],'Movilidad Internacional'!$P10,Tabla1[Período de Movilidad],'Movilidad Internacional'!Z$5,Tabla1[Tipo de Movilidad],'Movilidad Internacional'!$Q$4)</f>
        <v>0</v>
      </c>
      <c r="AA10" s="12">
        <f>COUNTIFS(Tabla1[Programa Postulación],'Movilidad Internacional'!$P10,Tabla1[Período de Movilidad],'Movilidad Internacional'!AA$5,Tabla1[Tipo de Movilidad],'Movilidad Internacional'!$Q$4)</f>
        <v>0</v>
      </c>
      <c r="AB10" s="12">
        <f>COUNTIFS(Tabla1[Programa Postulación],'Movilidad Internacional'!$P10,Tabla1[Período de Movilidad],'Movilidad Internacional'!AB$5,Tabla1[Tipo de Movilidad],'Movilidad Internacional'!$Q$4)</f>
        <v>0</v>
      </c>
      <c r="AD10" s="9" t="s">
        <v>237</v>
      </c>
      <c r="AE10" s="12">
        <f>COUNTIFS(Tabla1[Programa Postulación],'Movilidad Internacional'!$AD10,Tabla1[Período de Movilidad],'Movilidad Internacional'!AE$5,Tabla1[Tipo de Movilidad],'Movilidad Internacional'!$AE$4)</f>
        <v>0</v>
      </c>
      <c r="AF10" s="12">
        <f>COUNTIFS(Tabla1[Programa Postulación],'Movilidad Internacional'!$AD10,Tabla1[Período de Movilidad],'Movilidad Internacional'!AF$5,Tabla1[Tipo de Movilidad],'Movilidad Internacional'!$AE$4)</f>
        <v>0</v>
      </c>
      <c r="AG10" s="12">
        <f>COUNTIFS(Tabla1[Programa Postulación],'Movilidad Internacional'!$AD10,Tabla1[Período de Movilidad],'Movilidad Internacional'!AG$5,Tabla1[Tipo de Movilidad],'Movilidad Internacional'!$AE$4)</f>
        <v>0</v>
      </c>
      <c r="AH10" s="12">
        <f>COUNTIFS(Tabla1[Programa Postulación],'Movilidad Internacional'!$AD10,Tabla1[Período de Movilidad],'Movilidad Internacional'!AH$5,Tabla1[Tipo de Movilidad],'Movilidad Internacional'!$AE$4)</f>
        <v>0</v>
      </c>
      <c r="AI10" s="12">
        <f>COUNTIFS(Tabla1[Programa Postulación],'Movilidad Internacional'!$AD10,Tabla1[Período de Movilidad],'Movilidad Internacional'!AI$5,Tabla1[Tipo de Movilidad],'Movilidad Internacional'!$AE$4)</f>
        <v>0</v>
      </c>
      <c r="AJ10" s="12">
        <f>COUNTIFS(Tabla1[Programa Postulación],'Movilidad Internacional'!$AD10,Tabla1[Período de Movilidad],'Movilidad Internacional'!AJ$5,Tabla1[Tipo de Movilidad],'Movilidad Internacional'!$AE$4)</f>
        <v>0</v>
      </c>
      <c r="AK10" s="12">
        <f>COUNTIFS(Tabla1[Programa Postulación],'Movilidad Internacional'!$AD10,Tabla1[Período de Movilidad],'Movilidad Internacional'!AK$5,Tabla1[Tipo de Movilidad],'Movilidad Internacional'!$AE$4)</f>
        <v>0</v>
      </c>
      <c r="AL10" s="12">
        <f>COUNTIFS(Tabla1[Programa Postulación],'Movilidad Internacional'!$AD10,Tabla1[Período de Movilidad],'Movilidad Internacional'!AL$5,Tabla1[Tipo de Movilidad],'Movilidad Internacional'!$AE$4)</f>
        <v>0</v>
      </c>
      <c r="AM10" s="12">
        <f>COUNTIFS(Tabla1[Programa Postulación],'Movilidad Internacional'!$AD10,Tabla1[Período de Movilidad],'Movilidad Internacional'!AM$5,Tabla1[Tipo de Movilidad],'Movilidad Internacional'!$AE$4)</f>
        <v>0</v>
      </c>
      <c r="AN10" s="12">
        <f>COUNTIFS(Tabla1[Programa Postulación],'Movilidad Internacional'!$AD10,Tabla1[Período de Movilidad],'Movilidad Internacional'!AN$5,Tabla1[Tipo de Movilidad],'Movilidad Internacional'!$AE$4)</f>
        <v>0</v>
      </c>
    </row>
    <row r="11" spans="2:40">
      <c r="B11" s="9" t="s">
        <v>238</v>
      </c>
      <c r="C11" s="12">
        <f>COUNTIFS(Tabla1[Programa Postulación],'Movilidad Internacional'!$B11,Tabla1[Período de Movilidad],'Movilidad Internacional'!C$5,Tabla1[Tipo de Movilidad],'Movilidad Internacional'!$C$4)</f>
        <v>0</v>
      </c>
      <c r="D11" s="12">
        <f>COUNTIFS(Tabla1[Programa Postulación],'Movilidad Internacional'!$B11,Tabla1[Período de Movilidad],'Movilidad Internacional'!D$5,Tabla1[Tipo de Movilidad],'Movilidad Internacional'!$C$4)</f>
        <v>0</v>
      </c>
      <c r="E11" s="12">
        <f>COUNTIFS(Tabla1[Programa Postulación],'Movilidad Internacional'!$B11,Tabla1[Período de Movilidad],'Movilidad Internacional'!E$5,Tabla1[Tipo de Movilidad],'Movilidad Internacional'!$C$4)</f>
        <v>0</v>
      </c>
      <c r="F11" s="12">
        <f>COUNTIFS(Tabla1[Programa Postulación],'Movilidad Internacional'!$B11,Tabla1[Período de Movilidad],'Movilidad Internacional'!F$5,Tabla1[Tipo de Movilidad],'Movilidad Internacional'!$C$4)</f>
        <v>0</v>
      </c>
      <c r="G11" s="12">
        <f>COUNTIFS(Tabla1[Programa Postulación],'Movilidad Internacional'!$B11,Tabla1[Período de Movilidad],'Movilidad Internacional'!G$5,Tabla1[Tipo de Movilidad],'Movilidad Internacional'!$C$4)</f>
        <v>0</v>
      </c>
      <c r="H11" s="12">
        <f>COUNTIFS(Tabla1[Programa Postulación],'Movilidad Internacional'!$B11,Tabla1[Período de Movilidad],'Movilidad Internacional'!H$5,Tabla1[Tipo de Movilidad],'Movilidad Internacional'!$C$4)</f>
        <v>1</v>
      </c>
      <c r="I11" s="12">
        <f>COUNTIFS(Tabla1[Programa Postulación],'Movilidad Internacional'!$B11,Tabla1[Período de Movilidad],'Movilidad Internacional'!I$5,Tabla1[Tipo de Movilidad],'Movilidad Internacional'!$C$4)</f>
        <v>0</v>
      </c>
      <c r="J11" s="12">
        <f>COUNTIFS(Tabla1[Programa Postulación],'Movilidad Internacional'!$B11,Tabla1[Período de Movilidad],'Movilidad Internacional'!J$5,Tabla1[Tipo de Movilidad],'Movilidad Internacional'!$C$4)</f>
        <v>0</v>
      </c>
      <c r="K11" s="12">
        <f>COUNTIFS(Tabla1[Programa Postulación],'Movilidad Internacional'!$B11,Tabla1[Período de Movilidad],'Movilidad Internacional'!K$5,Tabla1[Tipo de Movilidad],'Movilidad Internacional'!$C$4)</f>
        <v>0</v>
      </c>
      <c r="L11" s="12">
        <f>COUNTIFS(Tabla1[Programa Postulación],'Movilidad Internacional'!$B11,Tabla1[Período de Movilidad],'Movilidad Internacional'!L$5,Tabla1[Tipo de Movilidad],'Movilidad Internacional'!$C$4)</f>
        <v>0</v>
      </c>
      <c r="M11" s="12">
        <f>COUNTIFS(Tabla1[Programa Postulación],'Movilidad Internacional'!$B11,Tabla1[Período de Movilidad],'Movilidad Internacional'!M$5,Tabla1[Tipo de Movilidad],'Movilidad Internacional'!$C$4)</f>
        <v>0</v>
      </c>
      <c r="N11" s="12">
        <f>COUNTIFS(Tabla1[Programa Postulación],'Movilidad Internacional'!$B11,Tabla1[Período de Movilidad],'Movilidad Internacional'!N$5,Tabla1[Tipo de Movilidad],'Movilidad Internacional'!$C$4)</f>
        <v>0</v>
      </c>
      <c r="O11" s="20"/>
      <c r="P11" s="9" t="s">
        <v>238</v>
      </c>
      <c r="Q11" s="12">
        <f>COUNTIFS(Tabla1[Programa Postulación],'Movilidad Internacional'!$P11,Tabla1[Período de Movilidad],'Movilidad Internacional'!Q$5,Tabla1[Tipo de Movilidad],'Movilidad Internacional'!$Q$4)</f>
        <v>0</v>
      </c>
      <c r="R11" s="12">
        <f>COUNTIFS(Tabla1[Programa Postulación],'Movilidad Internacional'!$P11,Tabla1[Período de Movilidad],'Movilidad Internacional'!R$5,Tabla1[Tipo de Movilidad],'Movilidad Internacional'!$Q$4)</f>
        <v>0</v>
      </c>
      <c r="S11" s="12">
        <f>COUNTIFS(Tabla1[Programa Postulación],'Movilidad Internacional'!$P11,Tabla1[Período de Movilidad],'Movilidad Internacional'!S$5,Tabla1[Tipo de Movilidad],'Movilidad Internacional'!$Q$4)</f>
        <v>0</v>
      </c>
      <c r="T11" s="12">
        <f>COUNTIFS(Tabla1[Programa Postulación],'Movilidad Internacional'!$P11,Tabla1[Período de Movilidad],'Movilidad Internacional'!T$5,Tabla1[Tipo de Movilidad],'Movilidad Internacional'!$Q$4)</f>
        <v>0</v>
      </c>
      <c r="U11" s="12">
        <f>COUNTIFS(Tabla1[Programa Postulación],'Movilidad Internacional'!$P11,Tabla1[Período de Movilidad],'Movilidad Internacional'!U$5,Tabla1[Tipo de Movilidad],'Movilidad Internacional'!$Q$4)</f>
        <v>0</v>
      </c>
      <c r="V11" s="12">
        <f>COUNTIFS(Tabla1[Programa Postulación],'Movilidad Internacional'!$P11,Tabla1[Período de Movilidad],'Movilidad Internacional'!V$5,Tabla1[Tipo de Movilidad],'Movilidad Internacional'!$Q$4)</f>
        <v>0</v>
      </c>
      <c r="W11" s="12">
        <f>COUNTIFS(Tabla1[Programa Postulación],'Movilidad Internacional'!$P11,Tabla1[Período de Movilidad],'Movilidad Internacional'!W$5,Tabla1[Tipo de Movilidad],'Movilidad Internacional'!$Q$4)</f>
        <v>0</v>
      </c>
      <c r="X11" s="12">
        <f>COUNTIFS(Tabla1[Programa Postulación],'Movilidad Internacional'!$P11,Tabla1[Período de Movilidad],'Movilidad Internacional'!X$5,Tabla1[Tipo de Movilidad],'Movilidad Internacional'!$Q$4)</f>
        <v>0</v>
      </c>
      <c r="Y11" s="12">
        <f>COUNTIFS(Tabla1[Programa Postulación],'Movilidad Internacional'!$P11,Tabla1[Período de Movilidad],'Movilidad Internacional'!Y$5,Tabla1[Tipo de Movilidad],'Movilidad Internacional'!$Q$4)</f>
        <v>0</v>
      </c>
      <c r="Z11" s="12">
        <f>COUNTIFS(Tabla1[Programa Postulación],'Movilidad Internacional'!$P11,Tabla1[Período de Movilidad],'Movilidad Internacional'!Z$5,Tabla1[Tipo de Movilidad],'Movilidad Internacional'!$Q$4)</f>
        <v>0</v>
      </c>
      <c r="AA11" s="12">
        <f>COUNTIFS(Tabla1[Programa Postulación],'Movilidad Internacional'!$P11,Tabla1[Período de Movilidad],'Movilidad Internacional'!AA$5,Tabla1[Tipo de Movilidad],'Movilidad Internacional'!$Q$4)</f>
        <v>0</v>
      </c>
      <c r="AB11" s="12">
        <f>COUNTIFS(Tabla1[Programa Postulación],'Movilidad Internacional'!$P11,Tabla1[Período de Movilidad],'Movilidad Internacional'!AB$5,Tabla1[Tipo de Movilidad],'Movilidad Internacional'!$Q$4)</f>
        <v>0</v>
      </c>
      <c r="AD11" s="9" t="s">
        <v>238</v>
      </c>
      <c r="AE11" s="12">
        <f>COUNTIFS(Tabla1[Programa Postulación],'Movilidad Internacional'!$AD11,Tabla1[Período de Movilidad],'Movilidad Internacional'!AE$5,Tabla1[Tipo de Movilidad],'Movilidad Internacional'!$AE$4)</f>
        <v>0</v>
      </c>
      <c r="AF11" s="12">
        <f>COUNTIFS(Tabla1[Programa Postulación],'Movilidad Internacional'!$AD11,Tabla1[Período de Movilidad],'Movilidad Internacional'!AF$5,Tabla1[Tipo de Movilidad],'Movilidad Internacional'!$AE$4)</f>
        <v>0</v>
      </c>
      <c r="AG11" s="12">
        <f>COUNTIFS(Tabla1[Programa Postulación],'Movilidad Internacional'!$AD11,Tabla1[Período de Movilidad],'Movilidad Internacional'!AG$5,Tabla1[Tipo de Movilidad],'Movilidad Internacional'!$AE$4)</f>
        <v>0</v>
      </c>
      <c r="AH11" s="12">
        <f>COUNTIFS(Tabla1[Programa Postulación],'Movilidad Internacional'!$AD11,Tabla1[Período de Movilidad],'Movilidad Internacional'!AH$5,Tabla1[Tipo de Movilidad],'Movilidad Internacional'!$AE$4)</f>
        <v>0</v>
      </c>
      <c r="AI11" s="12">
        <f>COUNTIFS(Tabla1[Programa Postulación],'Movilidad Internacional'!$AD11,Tabla1[Período de Movilidad],'Movilidad Internacional'!AI$5,Tabla1[Tipo de Movilidad],'Movilidad Internacional'!$AE$4)</f>
        <v>0</v>
      </c>
      <c r="AJ11" s="12">
        <f>COUNTIFS(Tabla1[Programa Postulación],'Movilidad Internacional'!$AD11,Tabla1[Período de Movilidad],'Movilidad Internacional'!AJ$5,Tabla1[Tipo de Movilidad],'Movilidad Internacional'!$AE$4)</f>
        <v>0</v>
      </c>
      <c r="AK11" s="12">
        <f>COUNTIFS(Tabla1[Programa Postulación],'Movilidad Internacional'!$AD11,Tabla1[Período de Movilidad],'Movilidad Internacional'!AK$5,Tabla1[Tipo de Movilidad],'Movilidad Internacional'!$AE$4)</f>
        <v>0</v>
      </c>
      <c r="AL11" s="12">
        <f>COUNTIFS(Tabla1[Programa Postulación],'Movilidad Internacional'!$AD11,Tabla1[Período de Movilidad],'Movilidad Internacional'!AL$5,Tabla1[Tipo de Movilidad],'Movilidad Internacional'!$AE$4)</f>
        <v>0</v>
      </c>
      <c r="AM11" s="12">
        <f>COUNTIFS(Tabla1[Programa Postulación],'Movilidad Internacional'!$AD11,Tabla1[Período de Movilidad],'Movilidad Internacional'!AM$5,Tabla1[Tipo de Movilidad],'Movilidad Internacional'!$AE$4)</f>
        <v>0</v>
      </c>
      <c r="AN11" s="12">
        <f>COUNTIFS(Tabla1[Programa Postulación],'Movilidad Internacional'!$AD11,Tabla1[Período de Movilidad],'Movilidad Internacional'!AN$5,Tabla1[Tipo de Movilidad],'Movilidad Internacional'!$AE$4)</f>
        <v>0</v>
      </c>
    </row>
    <row r="12" spans="2:40" ht="30">
      <c r="B12" s="9" t="s">
        <v>239</v>
      </c>
      <c r="C12" s="12">
        <f>COUNTIFS(Tabla1[Programa Postulación],'Movilidad Internacional'!$B12,Tabla1[Período de Movilidad],'Movilidad Internacional'!C$5,Tabla1[Tipo de Movilidad],'Movilidad Internacional'!$C$4)</f>
        <v>0</v>
      </c>
      <c r="D12" s="12">
        <f>COUNTIFS(Tabla1[Programa Postulación],'Movilidad Internacional'!$B12,Tabla1[Período de Movilidad],'Movilidad Internacional'!D$5,Tabla1[Tipo de Movilidad],'Movilidad Internacional'!$C$4)</f>
        <v>0</v>
      </c>
      <c r="E12" s="12">
        <f>COUNTIFS(Tabla1[Programa Postulación],'Movilidad Internacional'!$B12,Tabla1[Período de Movilidad],'Movilidad Internacional'!E$5,Tabla1[Tipo de Movilidad],'Movilidad Internacional'!$C$4)</f>
        <v>0</v>
      </c>
      <c r="F12" s="12">
        <f>COUNTIFS(Tabla1[Programa Postulación],'Movilidad Internacional'!$B12,Tabla1[Período de Movilidad],'Movilidad Internacional'!F$5,Tabla1[Tipo de Movilidad],'Movilidad Internacional'!$C$4)</f>
        <v>0</v>
      </c>
      <c r="G12" s="12">
        <f>COUNTIFS(Tabla1[Programa Postulación],'Movilidad Internacional'!$B12,Tabla1[Período de Movilidad],'Movilidad Internacional'!G$5,Tabla1[Tipo de Movilidad],'Movilidad Internacional'!$C$4)</f>
        <v>0</v>
      </c>
      <c r="H12" s="12">
        <f>COUNTIFS(Tabla1[Programa Postulación],'Movilidad Internacional'!$B12,Tabla1[Período de Movilidad],'Movilidad Internacional'!H$5,Tabla1[Tipo de Movilidad],'Movilidad Internacional'!$C$4)</f>
        <v>0</v>
      </c>
      <c r="I12" s="12">
        <f>COUNTIFS(Tabla1[Programa Postulación],'Movilidad Internacional'!$B12,Tabla1[Período de Movilidad],'Movilidad Internacional'!I$5,Tabla1[Tipo de Movilidad],'Movilidad Internacional'!$C$4)</f>
        <v>0</v>
      </c>
      <c r="J12" s="12">
        <f>COUNTIFS(Tabla1[Programa Postulación],'Movilidad Internacional'!$B12,Tabla1[Período de Movilidad],'Movilidad Internacional'!J$5,Tabla1[Tipo de Movilidad],'Movilidad Internacional'!$C$4)</f>
        <v>1</v>
      </c>
      <c r="K12" s="12">
        <f>COUNTIFS(Tabla1[Programa Postulación],'Movilidad Internacional'!$B12,Tabla1[Período de Movilidad],'Movilidad Internacional'!K$5,Tabla1[Tipo de Movilidad],'Movilidad Internacional'!$C$4)</f>
        <v>0</v>
      </c>
      <c r="L12" s="12">
        <f>COUNTIFS(Tabla1[Programa Postulación],'Movilidad Internacional'!$B12,Tabla1[Período de Movilidad],'Movilidad Internacional'!L$5,Tabla1[Tipo de Movilidad],'Movilidad Internacional'!$C$4)</f>
        <v>0</v>
      </c>
      <c r="M12" s="12">
        <f>COUNTIFS(Tabla1[Programa Postulación],'Movilidad Internacional'!$B12,Tabla1[Período de Movilidad],'Movilidad Internacional'!M$5,Tabla1[Tipo de Movilidad],'Movilidad Internacional'!$C$4)</f>
        <v>0</v>
      </c>
      <c r="N12" s="12">
        <f>COUNTIFS(Tabla1[Programa Postulación],'Movilidad Internacional'!$B12,Tabla1[Período de Movilidad],'Movilidad Internacional'!N$5,Tabla1[Tipo de Movilidad],'Movilidad Internacional'!$C$4)</f>
        <v>0</v>
      </c>
      <c r="O12" s="20"/>
      <c r="P12" s="9" t="s">
        <v>239</v>
      </c>
      <c r="Q12" s="12">
        <f>COUNTIFS(Tabla1[Programa Postulación],'Movilidad Internacional'!$P12,Tabla1[Período de Movilidad],'Movilidad Internacional'!Q$5,Tabla1[Tipo de Movilidad],'Movilidad Internacional'!$Q$4)</f>
        <v>0</v>
      </c>
      <c r="R12" s="12">
        <f>COUNTIFS(Tabla1[Programa Postulación],'Movilidad Internacional'!$P12,Tabla1[Período de Movilidad],'Movilidad Internacional'!R$5,Tabla1[Tipo de Movilidad],'Movilidad Internacional'!$Q$4)</f>
        <v>0</v>
      </c>
      <c r="S12" s="12">
        <f>COUNTIFS(Tabla1[Programa Postulación],'Movilidad Internacional'!$P12,Tabla1[Período de Movilidad],'Movilidad Internacional'!S$5,Tabla1[Tipo de Movilidad],'Movilidad Internacional'!$Q$4)</f>
        <v>0</v>
      </c>
      <c r="T12" s="12">
        <f>COUNTIFS(Tabla1[Programa Postulación],'Movilidad Internacional'!$P12,Tabla1[Período de Movilidad],'Movilidad Internacional'!T$5,Tabla1[Tipo de Movilidad],'Movilidad Internacional'!$Q$4)</f>
        <v>0</v>
      </c>
      <c r="U12" s="12">
        <f>COUNTIFS(Tabla1[Programa Postulación],'Movilidad Internacional'!$P12,Tabla1[Período de Movilidad],'Movilidad Internacional'!U$5,Tabla1[Tipo de Movilidad],'Movilidad Internacional'!$Q$4)</f>
        <v>0</v>
      </c>
      <c r="V12" s="12">
        <f>COUNTIFS(Tabla1[Programa Postulación],'Movilidad Internacional'!$P12,Tabla1[Período de Movilidad],'Movilidad Internacional'!V$5,Tabla1[Tipo de Movilidad],'Movilidad Internacional'!$Q$4)</f>
        <v>0</v>
      </c>
      <c r="W12" s="12">
        <f>COUNTIFS(Tabla1[Programa Postulación],'Movilidad Internacional'!$P12,Tabla1[Período de Movilidad],'Movilidad Internacional'!W$5,Tabla1[Tipo de Movilidad],'Movilidad Internacional'!$Q$4)</f>
        <v>0</v>
      </c>
      <c r="X12" s="12">
        <f>COUNTIFS(Tabla1[Programa Postulación],'Movilidad Internacional'!$P12,Tabla1[Período de Movilidad],'Movilidad Internacional'!X$5,Tabla1[Tipo de Movilidad],'Movilidad Internacional'!$Q$4)</f>
        <v>0</v>
      </c>
      <c r="Y12" s="12">
        <f>COUNTIFS(Tabla1[Programa Postulación],'Movilidad Internacional'!$P12,Tabla1[Período de Movilidad],'Movilidad Internacional'!Y$5,Tabla1[Tipo de Movilidad],'Movilidad Internacional'!$Q$4)</f>
        <v>0</v>
      </c>
      <c r="Z12" s="12">
        <f>COUNTIFS(Tabla1[Programa Postulación],'Movilidad Internacional'!$P12,Tabla1[Período de Movilidad],'Movilidad Internacional'!Z$5,Tabla1[Tipo de Movilidad],'Movilidad Internacional'!$Q$4)</f>
        <v>0</v>
      </c>
      <c r="AA12" s="12">
        <f>COUNTIFS(Tabla1[Programa Postulación],'Movilidad Internacional'!$P12,Tabla1[Período de Movilidad],'Movilidad Internacional'!AA$5,Tabla1[Tipo de Movilidad],'Movilidad Internacional'!$Q$4)</f>
        <v>0</v>
      </c>
      <c r="AB12" s="12">
        <f>COUNTIFS(Tabla1[Programa Postulación],'Movilidad Internacional'!$P12,Tabla1[Período de Movilidad],'Movilidad Internacional'!AB$5,Tabla1[Tipo de Movilidad],'Movilidad Internacional'!$Q$4)</f>
        <v>0</v>
      </c>
      <c r="AD12" s="9" t="s">
        <v>239</v>
      </c>
      <c r="AE12" s="12">
        <f>COUNTIFS(Tabla1[Programa Postulación],'Movilidad Internacional'!$AD12,Tabla1[Período de Movilidad],'Movilidad Internacional'!AE$5,Tabla1[Tipo de Movilidad],'Movilidad Internacional'!$AE$4)</f>
        <v>0</v>
      </c>
      <c r="AF12" s="12">
        <f>COUNTIFS(Tabla1[Programa Postulación],'Movilidad Internacional'!$AD12,Tabla1[Período de Movilidad],'Movilidad Internacional'!AF$5,Tabla1[Tipo de Movilidad],'Movilidad Internacional'!$AE$4)</f>
        <v>0</v>
      </c>
      <c r="AG12" s="12">
        <f>COUNTIFS(Tabla1[Programa Postulación],'Movilidad Internacional'!$AD12,Tabla1[Período de Movilidad],'Movilidad Internacional'!AG$5,Tabla1[Tipo de Movilidad],'Movilidad Internacional'!$AE$4)</f>
        <v>0</v>
      </c>
      <c r="AH12" s="12">
        <f>COUNTIFS(Tabla1[Programa Postulación],'Movilidad Internacional'!$AD12,Tabla1[Período de Movilidad],'Movilidad Internacional'!AH$5,Tabla1[Tipo de Movilidad],'Movilidad Internacional'!$AE$4)</f>
        <v>0</v>
      </c>
      <c r="AI12" s="12">
        <f>COUNTIFS(Tabla1[Programa Postulación],'Movilidad Internacional'!$AD12,Tabla1[Período de Movilidad],'Movilidad Internacional'!AI$5,Tabla1[Tipo de Movilidad],'Movilidad Internacional'!$AE$4)</f>
        <v>0</v>
      </c>
      <c r="AJ12" s="12">
        <f>COUNTIFS(Tabla1[Programa Postulación],'Movilidad Internacional'!$AD12,Tabla1[Período de Movilidad],'Movilidad Internacional'!AJ$5,Tabla1[Tipo de Movilidad],'Movilidad Internacional'!$AE$4)</f>
        <v>0</v>
      </c>
      <c r="AK12" s="12">
        <f>COUNTIFS(Tabla1[Programa Postulación],'Movilidad Internacional'!$AD12,Tabla1[Período de Movilidad],'Movilidad Internacional'!AK$5,Tabla1[Tipo de Movilidad],'Movilidad Internacional'!$AE$4)</f>
        <v>0</v>
      </c>
      <c r="AL12" s="12">
        <f>COUNTIFS(Tabla1[Programa Postulación],'Movilidad Internacional'!$AD12,Tabla1[Período de Movilidad],'Movilidad Internacional'!AL$5,Tabla1[Tipo de Movilidad],'Movilidad Internacional'!$AE$4)</f>
        <v>0</v>
      </c>
      <c r="AM12" s="12">
        <f>COUNTIFS(Tabla1[Programa Postulación],'Movilidad Internacional'!$AD12,Tabla1[Período de Movilidad],'Movilidad Internacional'!AM$5,Tabla1[Tipo de Movilidad],'Movilidad Internacional'!$AE$4)</f>
        <v>0</v>
      </c>
      <c r="AN12" s="12">
        <f>COUNTIFS(Tabla1[Programa Postulación],'Movilidad Internacional'!$AD12,Tabla1[Período de Movilidad],'Movilidad Internacional'!AN$5,Tabla1[Tipo de Movilidad],'Movilidad Internacional'!$AE$4)</f>
        <v>0</v>
      </c>
    </row>
    <row r="13" spans="2:40" ht="30">
      <c r="B13" s="9" t="s">
        <v>240</v>
      </c>
      <c r="C13" s="12">
        <f>COUNTIFS(Tabla1[Programa Postulación],'Movilidad Internacional'!$B13,Tabla1[Período de Movilidad],'Movilidad Internacional'!C$5,Tabla1[Tipo de Movilidad],'Movilidad Internacional'!$C$4)</f>
        <v>0</v>
      </c>
      <c r="D13" s="12">
        <f>COUNTIFS(Tabla1[Programa Postulación],'Movilidad Internacional'!$B13,Tabla1[Período de Movilidad],'Movilidad Internacional'!D$5,Tabla1[Tipo de Movilidad],'Movilidad Internacional'!$C$4)</f>
        <v>0</v>
      </c>
      <c r="E13" s="12">
        <f>COUNTIFS(Tabla1[Programa Postulación],'Movilidad Internacional'!$B13,Tabla1[Período de Movilidad],'Movilidad Internacional'!E$5,Tabla1[Tipo de Movilidad],'Movilidad Internacional'!$C$4)</f>
        <v>0</v>
      </c>
      <c r="F13" s="12">
        <f>COUNTIFS(Tabla1[Programa Postulación],'Movilidad Internacional'!$B13,Tabla1[Período de Movilidad],'Movilidad Internacional'!F$5,Tabla1[Tipo de Movilidad],'Movilidad Internacional'!$C$4)</f>
        <v>0</v>
      </c>
      <c r="G13" s="12">
        <f>COUNTIFS(Tabla1[Programa Postulación],'Movilidad Internacional'!$B13,Tabla1[Período de Movilidad],'Movilidad Internacional'!G$5,Tabla1[Tipo de Movilidad],'Movilidad Internacional'!$C$4)</f>
        <v>0</v>
      </c>
      <c r="H13" s="12">
        <f>COUNTIFS(Tabla1[Programa Postulación],'Movilidad Internacional'!$B13,Tabla1[Período de Movilidad],'Movilidad Internacional'!H$5,Tabla1[Tipo de Movilidad],'Movilidad Internacional'!$C$4)</f>
        <v>0</v>
      </c>
      <c r="I13" s="12">
        <f>COUNTIFS(Tabla1[Programa Postulación],'Movilidad Internacional'!$B13,Tabla1[Período de Movilidad],'Movilidad Internacional'!I$5,Tabla1[Tipo de Movilidad],'Movilidad Internacional'!$C$4)</f>
        <v>0</v>
      </c>
      <c r="J13" s="12">
        <f>COUNTIFS(Tabla1[Programa Postulación],'Movilidad Internacional'!$B13,Tabla1[Período de Movilidad],'Movilidad Internacional'!J$5,Tabla1[Tipo de Movilidad],'Movilidad Internacional'!$C$4)</f>
        <v>0</v>
      </c>
      <c r="K13" s="12">
        <f>COUNTIFS(Tabla1[Programa Postulación],'Movilidad Internacional'!$B13,Tabla1[Período de Movilidad],'Movilidad Internacional'!K$5,Tabla1[Tipo de Movilidad],'Movilidad Internacional'!$C$4)</f>
        <v>0</v>
      </c>
      <c r="L13" s="12">
        <f>COUNTIFS(Tabla1[Programa Postulación],'Movilidad Internacional'!$B13,Tabla1[Período de Movilidad],'Movilidad Internacional'!L$5,Tabla1[Tipo de Movilidad],'Movilidad Internacional'!$C$4)</f>
        <v>0</v>
      </c>
      <c r="M13" s="12">
        <f>COUNTIFS(Tabla1[Programa Postulación],'Movilidad Internacional'!$B13,Tabla1[Período de Movilidad],'Movilidad Internacional'!M$5,Tabla1[Tipo de Movilidad],'Movilidad Internacional'!$C$4)</f>
        <v>1</v>
      </c>
      <c r="N13" s="12">
        <f>COUNTIFS(Tabla1[Programa Postulación],'Movilidad Internacional'!$B13,Tabla1[Período de Movilidad],'Movilidad Internacional'!N$5,Tabla1[Tipo de Movilidad],'Movilidad Internacional'!$C$4)</f>
        <v>0</v>
      </c>
      <c r="O13" s="20"/>
      <c r="P13" s="9" t="s">
        <v>240</v>
      </c>
      <c r="Q13" s="12">
        <f>COUNTIFS(Tabla1[Programa Postulación],'Movilidad Internacional'!$P13,Tabla1[Período de Movilidad],'Movilidad Internacional'!Q$5,Tabla1[Tipo de Movilidad],'Movilidad Internacional'!$Q$4)</f>
        <v>0</v>
      </c>
      <c r="R13" s="12">
        <f>COUNTIFS(Tabla1[Programa Postulación],'Movilidad Internacional'!$P13,Tabla1[Período de Movilidad],'Movilidad Internacional'!R$5,Tabla1[Tipo de Movilidad],'Movilidad Internacional'!$Q$4)</f>
        <v>0</v>
      </c>
      <c r="S13" s="12">
        <f>COUNTIFS(Tabla1[Programa Postulación],'Movilidad Internacional'!$P13,Tabla1[Período de Movilidad],'Movilidad Internacional'!S$5,Tabla1[Tipo de Movilidad],'Movilidad Internacional'!$Q$4)</f>
        <v>0</v>
      </c>
      <c r="T13" s="12">
        <f>COUNTIFS(Tabla1[Programa Postulación],'Movilidad Internacional'!$P13,Tabla1[Período de Movilidad],'Movilidad Internacional'!T$5,Tabla1[Tipo de Movilidad],'Movilidad Internacional'!$Q$4)</f>
        <v>0</v>
      </c>
      <c r="U13" s="12">
        <f>COUNTIFS(Tabla1[Programa Postulación],'Movilidad Internacional'!$P13,Tabla1[Período de Movilidad],'Movilidad Internacional'!U$5,Tabla1[Tipo de Movilidad],'Movilidad Internacional'!$Q$4)</f>
        <v>0</v>
      </c>
      <c r="V13" s="12">
        <f>COUNTIFS(Tabla1[Programa Postulación],'Movilidad Internacional'!$P13,Tabla1[Período de Movilidad],'Movilidad Internacional'!V$5,Tabla1[Tipo de Movilidad],'Movilidad Internacional'!$Q$4)</f>
        <v>0</v>
      </c>
      <c r="W13" s="12">
        <f>COUNTIFS(Tabla1[Programa Postulación],'Movilidad Internacional'!$P13,Tabla1[Período de Movilidad],'Movilidad Internacional'!W$5,Tabla1[Tipo de Movilidad],'Movilidad Internacional'!$Q$4)</f>
        <v>0</v>
      </c>
      <c r="X13" s="12">
        <f>COUNTIFS(Tabla1[Programa Postulación],'Movilidad Internacional'!$P13,Tabla1[Período de Movilidad],'Movilidad Internacional'!X$5,Tabla1[Tipo de Movilidad],'Movilidad Internacional'!$Q$4)</f>
        <v>0</v>
      </c>
      <c r="Y13" s="12">
        <f>COUNTIFS(Tabla1[Programa Postulación],'Movilidad Internacional'!$P13,Tabla1[Período de Movilidad],'Movilidad Internacional'!Y$5,Tabla1[Tipo de Movilidad],'Movilidad Internacional'!$Q$4)</f>
        <v>0</v>
      </c>
      <c r="Z13" s="12">
        <f>COUNTIFS(Tabla1[Programa Postulación],'Movilidad Internacional'!$P13,Tabla1[Período de Movilidad],'Movilidad Internacional'!Z$5,Tabla1[Tipo de Movilidad],'Movilidad Internacional'!$Q$4)</f>
        <v>0</v>
      </c>
      <c r="AA13" s="12">
        <f>COUNTIFS(Tabla1[Programa Postulación],'Movilidad Internacional'!$P13,Tabla1[Período de Movilidad],'Movilidad Internacional'!AA$5,Tabla1[Tipo de Movilidad],'Movilidad Internacional'!$Q$4)</f>
        <v>0</v>
      </c>
      <c r="AB13" s="12">
        <f>COUNTIFS(Tabla1[Programa Postulación],'Movilidad Internacional'!$P13,Tabla1[Período de Movilidad],'Movilidad Internacional'!AB$5,Tabla1[Tipo de Movilidad],'Movilidad Internacional'!$Q$4)</f>
        <v>0</v>
      </c>
      <c r="AD13" s="9" t="s">
        <v>240</v>
      </c>
      <c r="AE13" s="12">
        <f>COUNTIFS(Tabla1[Programa Postulación],'Movilidad Internacional'!$AD13,Tabla1[Período de Movilidad],'Movilidad Internacional'!AE$5,Tabla1[Tipo de Movilidad],'Movilidad Internacional'!$AE$4)</f>
        <v>0</v>
      </c>
      <c r="AF13" s="12">
        <f>COUNTIFS(Tabla1[Programa Postulación],'Movilidad Internacional'!$AD13,Tabla1[Período de Movilidad],'Movilidad Internacional'!AF$5,Tabla1[Tipo de Movilidad],'Movilidad Internacional'!$AE$4)</f>
        <v>0</v>
      </c>
      <c r="AG13" s="12">
        <f>COUNTIFS(Tabla1[Programa Postulación],'Movilidad Internacional'!$AD13,Tabla1[Período de Movilidad],'Movilidad Internacional'!AG$5,Tabla1[Tipo de Movilidad],'Movilidad Internacional'!$AE$4)</f>
        <v>0</v>
      </c>
      <c r="AH13" s="12">
        <f>COUNTIFS(Tabla1[Programa Postulación],'Movilidad Internacional'!$AD13,Tabla1[Período de Movilidad],'Movilidad Internacional'!AH$5,Tabla1[Tipo de Movilidad],'Movilidad Internacional'!$AE$4)</f>
        <v>0</v>
      </c>
      <c r="AI13" s="12">
        <f>COUNTIFS(Tabla1[Programa Postulación],'Movilidad Internacional'!$AD13,Tabla1[Período de Movilidad],'Movilidad Internacional'!AI$5,Tabla1[Tipo de Movilidad],'Movilidad Internacional'!$AE$4)</f>
        <v>0</v>
      </c>
      <c r="AJ13" s="12">
        <f>COUNTIFS(Tabla1[Programa Postulación],'Movilidad Internacional'!$AD13,Tabla1[Período de Movilidad],'Movilidad Internacional'!AJ$5,Tabla1[Tipo de Movilidad],'Movilidad Internacional'!$AE$4)</f>
        <v>0</v>
      </c>
      <c r="AK13" s="12">
        <f>COUNTIFS(Tabla1[Programa Postulación],'Movilidad Internacional'!$AD13,Tabla1[Período de Movilidad],'Movilidad Internacional'!AK$5,Tabla1[Tipo de Movilidad],'Movilidad Internacional'!$AE$4)</f>
        <v>0</v>
      </c>
      <c r="AL13" s="12">
        <f>COUNTIFS(Tabla1[Programa Postulación],'Movilidad Internacional'!$AD13,Tabla1[Período de Movilidad],'Movilidad Internacional'!AL$5,Tabla1[Tipo de Movilidad],'Movilidad Internacional'!$AE$4)</f>
        <v>0</v>
      </c>
      <c r="AM13" s="12">
        <f>COUNTIFS(Tabla1[Programa Postulación],'Movilidad Internacional'!$AD13,Tabla1[Período de Movilidad],'Movilidad Internacional'!AM$5,Tabla1[Tipo de Movilidad],'Movilidad Internacional'!$AE$4)</f>
        <v>0</v>
      </c>
      <c r="AN13" s="12">
        <f>COUNTIFS(Tabla1[Programa Postulación],'Movilidad Internacional'!$AD13,Tabla1[Período de Movilidad],'Movilidad Internacional'!AN$5,Tabla1[Tipo de Movilidad],'Movilidad Internacional'!$AE$4)</f>
        <v>0</v>
      </c>
    </row>
    <row r="14" spans="2:40" ht="30">
      <c r="B14" s="10" t="s">
        <v>241</v>
      </c>
      <c r="C14" s="12">
        <f>COUNTIFS(Tabla1[Programa Postulación],'Movilidad Internacional'!$B14,Tabla1[Período de Movilidad],'Movilidad Internacional'!C$5,Tabla1[Tipo de Movilidad],'Movilidad Internacional'!$C$4)</f>
        <v>0</v>
      </c>
      <c r="D14" s="12">
        <f>COUNTIFS(Tabla1[Programa Postulación],'Movilidad Internacional'!$B14,Tabla1[Período de Movilidad],'Movilidad Internacional'!D$5,Tabla1[Tipo de Movilidad],'Movilidad Internacional'!$C$4)</f>
        <v>0</v>
      </c>
      <c r="E14" s="12">
        <f>COUNTIFS(Tabla1[Programa Postulación],'Movilidad Internacional'!$B14,Tabla1[Período de Movilidad],'Movilidad Internacional'!E$5,Tabla1[Tipo de Movilidad],'Movilidad Internacional'!$C$4)</f>
        <v>0</v>
      </c>
      <c r="F14" s="12">
        <f>COUNTIFS(Tabla1[Programa Postulación],'Movilidad Internacional'!$B14,Tabla1[Período de Movilidad],'Movilidad Internacional'!F$5,Tabla1[Tipo de Movilidad],'Movilidad Internacional'!$C$4)</f>
        <v>0</v>
      </c>
      <c r="G14" s="12">
        <f>COUNTIFS(Tabla1[Programa Postulación],'Movilidad Internacional'!$B14,Tabla1[Período de Movilidad],'Movilidad Internacional'!G$5,Tabla1[Tipo de Movilidad],'Movilidad Internacional'!$C$4)</f>
        <v>0</v>
      </c>
      <c r="H14" s="12">
        <f>COUNTIFS(Tabla1[Programa Postulación],'Movilidad Internacional'!$B14,Tabla1[Período de Movilidad],'Movilidad Internacional'!H$5,Tabla1[Tipo de Movilidad],'Movilidad Internacional'!$C$4)</f>
        <v>0</v>
      </c>
      <c r="I14" s="12">
        <f>COUNTIFS(Tabla1[Programa Postulación],'Movilidad Internacional'!$B14,Tabla1[Período de Movilidad],'Movilidad Internacional'!I$5,Tabla1[Tipo de Movilidad],'Movilidad Internacional'!$C$4)</f>
        <v>0</v>
      </c>
      <c r="J14" s="12">
        <f>COUNTIFS(Tabla1[Programa Postulación],'Movilidad Internacional'!$B14,Tabla1[Período de Movilidad],'Movilidad Internacional'!J$5,Tabla1[Tipo de Movilidad],'Movilidad Internacional'!$C$4)</f>
        <v>0</v>
      </c>
      <c r="K14" s="12">
        <f>COUNTIFS(Tabla1[Programa Postulación],'Movilidad Internacional'!$B14,Tabla1[Período de Movilidad],'Movilidad Internacional'!K$5,Tabla1[Tipo de Movilidad],'Movilidad Internacional'!$C$4)</f>
        <v>1</v>
      </c>
      <c r="L14" s="12">
        <f>COUNTIFS(Tabla1[Programa Postulación],'Movilidad Internacional'!$B14,Tabla1[Período de Movilidad],'Movilidad Internacional'!L$5,Tabla1[Tipo de Movilidad],'Movilidad Internacional'!$C$4)</f>
        <v>0</v>
      </c>
      <c r="M14" s="12">
        <f>COUNTIFS(Tabla1[Programa Postulación],'Movilidad Internacional'!$B14,Tabla1[Período de Movilidad],'Movilidad Internacional'!M$5,Tabla1[Tipo de Movilidad],'Movilidad Internacional'!$C$4)</f>
        <v>0</v>
      </c>
      <c r="N14" s="12">
        <f>COUNTIFS(Tabla1[Programa Postulación],'Movilidad Internacional'!$B14,Tabla1[Período de Movilidad],'Movilidad Internacional'!N$5,Tabla1[Tipo de Movilidad],'Movilidad Internacional'!$C$4)</f>
        <v>0</v>
      </c>
      <c r="O14" s="20"/>
      <c r="P14" s="10" t="s">
        <v>241</v>
      </c>
      <c r="Q14" s="12">
        <f>COUNTIFS(Tabla1[Programa Postulación],'Movilidad Internacional'!$P14,Tabla1[Período de Movilidad],'Movilidad Internacional'!Q$5,Tabla1[Tipo de Movilidad],'Movilidad Internacional'!$Q$4)</f>
        <v>0</v>
      </c>
      <c r="R14" s="12">
        <f>COUNTIFS(Tabla1[Programa Postulación],'Movilidad Internacional'!$P14,Tabla1[Período de Movilidad],'Movilidad Internacional'!R$5,Tabla1[Tipo de Movilidad],'Movilidad Internacional'!$Q$4)</f>
        <v>0</v>
      </c>
      <c r="S14" s="12">
        <f>COUNTIFS(Tabla1[Programa Postulación],'Movilidad Internacional'!$P14,Tabla1[Período de Movilidad],'Movilidad Internacional'!S$5,Tabla1[Tipo de Movilidad],'Movilidad Internacional'!$Q$4)</f>
        <v>0</v>
      </c>
      <c r="T14" s="12">
        <f>COUNTIFS(Tabla1[Programa Postulación],'Movilidad Internacional'!$P14,Tabla1[Período de Movilidad],'Movilidad Internacional'!T$5,Tabla1[Tipo de Movilidad],'Movilidad Internacional'!$Q$4)</f>
        <v>0</v>
      </c>
      <c r="U14" s="12">
        <f>COUNTIFS(Tabla1[Programa Postulación],'Movilidad Internacional'!$P14,Tabla1[Período de Movilidad],'Movilidad Internacional'!U$5,Tabla1[Tipo de Movilidad],'Movilidad Internacional'!$Q$4)</f>
        <v>0</v>
      </c>
      <c r="V14" s="12">
        <f>COUNTIFS(Tabla1[Programa Postulación],'Movilidad Internacional'!$P14,Tabla1[Período de Movilidad],'Movilidad Internacional'!V$5,Tabla1[Tipo de Movilidad],'Movilidad Internacional'!$Q$4)</f>
        <v>0</v>
      </c>
      <c r="W14" s="12">
        <f>COUNTIFS(Tabla1[Programa Postulación],'Movilidad Internacional'!$P14,Tabla1[Período de Movilidad],'Movilidad Internacional'!W$5,Tabla1[Tipo de Movilidad],'Movilidad Internacional'!$Q$4)</f>
        <v>0</v>
      </c>
      <c r="X14" s="12">
        <f>COUNTIFS(Tabla1[Programa Postulación],'Movilidad Internacional'!$P14,Tabla1[Período de Movilidad],'Movilidad Internacional'!X$5,Tabla1[Tipo de Movilidad],'Movilidad Internacional'!$Q$4)</f>
        <v>0</v>
      </c>
      <c r="Y14" s="12">
        <f>COUNTIFS(Tabla1[Programa Postulación],'Movilidad Internacional'!$P14,Tabla1[Período de Movilidad],'Movilidad Internacional'!Y$5,Tabla1[Tipo de Movilidad],'Movilidad Internacional'!$Q$4)</f>
        <v>0</v>
      </c>
      <c r="Z14" s="12">
        <f>COUNTIFS(Tabla1[Programa Postulación],'Movilidad Internacional'!$P14,Tabla1[Período de Movilidad],'Movilidad Internacional'!Z$5,Tabla1[Tipo de Movilidad],'Movilidad Internacional'!$Q$4)</f>
        <v>0</v>
      </c>
      <c r="AA14" s="12">
        <f>COUNTIFS(Tabla1[Programa Postulación],'Movilidad Internacional'!$P14,Tabla1[Período de Movilidad],'Movilidad Internacional'!AA$5,Tabla1[Tipo de Movilidad],'Movilidad Internacional'!$Q$4)</f>
        <v>0</v>
      </c>
      <c r="AB14" s="12">
        <f>COUNTIFS(Tabla1[Programa Postulación],'Movilidad Internacional'!$P14,Tabla1[Período de Movilidad],'Movilidad Internacional'!AB$5,Tabla1[Tipo de Movilidad],'Movilidad Internacional'!$Q$4)</f>
        <v>0</v>
      </c>
      <c r="AD14" s="10" t="s">
        <v>241</v>
      </c>
      <c r="AE14" s="12">
        <f>COUNTIFS(Tabla1[Programa Postulación],'Movilidad Internacional'!$AD14,Tabla1[Período de Movilidad],'Movilidad Internacional'!AE$5,Tabla1[Tipo de Movilidad],'Movilidad Internacional'!$AE$4)</f>
        <v>0</v>
      </c>
      <c r="AF14" s="12">
        <f>COUNTIFS(Tabla1[Programa Postulación],'Movilidad Internacional'!$AD14,Tabla1[Período de Movilidad],'Movilidad Internacional'!AF$5,Tabla1[Tipo de Movilidad],'Movilidad Internacional'!$AE$4)</f>
        <v>0</v>
      </c>
      <c r="AG14" s="12">
        <f>COUNTIFS(Tabla1[Programa Postulación],'Movilidad Internacional'!$AD14,Tabla1[Período de Movilidad],'Movilidad Internacional'!AG$5,Tabla1[Tipo de Movilidad],'Movilidad Internacional'!$AE$4)</f>
        <v>0</v>
      </c>
      <c r="AH14" s="12">
        <f>COUNTIFS(Tabla1[Programa Postulación],'Movilidad Internacional'!$AD14,Tabla1[Período de Movilidad],'Movilidad Internacional'!AH$5,Tabla1[Tipo de Movilidad],'Movilidad Internacional'!$AE$4)</f>
        <v>0</v>
      </c>
      <c r="AI14" s="12">
        <f>COUNTIFS(Tabla1[Programa Postulación],'Movilidad Internacional'!$AD14,Tabla1[Período de Movilidad],'Movilidad Internacional'!AI$5,Tabla1[Tipo de Movilidad],'Movilidad Internacional'!$AE$4)</f>
        <v>0</v>
      </c>
      <c r="AJ14" s="12">
        <f>COUNTIFS(Tabla1[Programa Postulación],'Movilidad Internacional'!$AD14,Tabla1[Período de Movilidad],'Movilidad Internacional'!AJ$5,Tabla1[Tipo de Movilidad],'Movilidad Internacional'!$AE$4)</f>
        <v>0</v>
      </c>
      <c r="AK14" s="12">
        <f>COUNTIFS(Tabla1[Programa Postulación],'Movilidad Internacional'!$AD14,Tabla1[Período de Movilidad],'Movilidad Internacional'!AK$5,Tabla1[Tipo de Movilidad],'Movilidad Internacional'!$AE$4)</f>
        <v>5</v>
      </c>
      <c r="AL14" s="12">
        <f>COUNTIFS(Tabla1[Programa Postulación],'Movilidad Internacional'!$AD14,Tabla1[Período de Movilidad],'Movilidad Internacional'!AL$5,Tabla1[Tipo de Movilidad],'Movilidad Internacional'!$AE$4)</f>
        <v>3</v>
      </c>
      <c r="AM14" s="12">
        <f>COUNTIFS(Tabla1[Programa Postulación],'Movilidad Internacional'!$AD14,Tabla1[Período de Movilidad],'Movilidad Internacional'!AM$5,Tabla1[Tipo de Movilidad],'Movilidad Internacional'!$AE$4)</f>
        <v>1</v>
      </c>
      <c r="AN14" s="12">
        <f>COUNTIFS(Tabla1[Programa Postulación],'Movilidad Internacional'!$AD14,Tabla1[Período de Movilidad],'Movilidad Internacional'!AN$5,Tabla1[Tipo de Movilidad],'Movilidad Internacional'!$AE$4)</f>
        <v>3</v>
      </c>
    </row>
    <row r="15" spans="2:40">
      <c r="O15" s="20"/>
      <c r="P15" s="18"/>
      <c r="S15" s="19"/>
      <c r="T15" s="19"/>
      <c r="U15" s="19"/>
      <c r="V15" s="19"/>
      <c r="W15" s="19"/>
      <c r="X15" s="19"/>
      <c r="Y15" s="19"/>
      <c r="Z15" s="19"/>
      <c r="AA15" s="19"/>
      <c r="AB15" s="19"/>
      <c r="AD15" s="18"/>
      <c r="AE15" s="19"/>
      <c r="AF15" s="19"/>
      <c r="AG15" s="19"/>
      <c r="AH15" s="19"/>
      <c r="AI15" s="19"/>
      <c r="AJ15" s="19"/>
      <c r="AK15" s="19"/>
      <c r="AL15" s="19"/>
      <c r="AM15" s="19"/>
      <c r="AN15" s="19"/>
    </row>
    <row r="16" spans="2:40">
      <c r="C16" s="13">
        <v>202010</v>
      </c>
      <c r="D16" s="13">
        <v>202020</v>
      </c>
      <c r="E16" s="13">
        <v>202110</v>
      </c>
      <c r="F16" s="13">
        <v>202120</v>
      </c>
      <c r="G16" s="13">
        <v>202210</v>
      </c>
      <c r="H16" s="13">
        <v>202220</v>
      </c>
      <c r="I16" s="13">
        <v>202310</v>
      </c>
      <c r="J16" s="13">
        <v>202320</v>
      </c>
      <c r="K16" s="13">
        <v>202410</v>
      </c>
      <c r="L16" s="13">
        <v>202420</v>
      </c>
      <c r="M16" s="13">
        <v>202510</v>
      </c>
      <c r="N16" s="13">
        <v>202520</v>
      </c>
      <c r="O16" s="20"/>
      <c r="P16" s="18"/>
      <c r="Q16" s="13">
        <v>202010</v>
      </c>
      <c r="R16" s="13">
        <v>202020</v>
      </c>
      <c r="S16" s="13">
        <v>202110</v>
      </c>
      <c r="T16" s="13">
        <v>202120</v>
      </c>
      <c r="U16" s="13">
        <v>202210</v>
      </c>
      <c r="V16" s="13">
        <v>202220</v>
      </c>
      <c r="W16" s="13">
        <v>202310</v>
      </c>
      <c r="X16" s="13">
        <v>202320</v>
      </c>
      <c r="Y16" s="172">
        <v>202410</v>
      </c>
      <c r="Z16" s="171">
        <v>202420</v>
      </c>
      <c r="AA16" s="172">
        <v>202510</v>
      </c>
      <c r="AB16" s="171">
        <v>202520</v>
      </c>
      <c r="AD16" s="18"/>
      <c r="AE16" s="13">
        <v>202019</v>
      </c>
      <c r="AF16" s="13">
        <v>202029</v>
      </c>
      <c r="AG16" s="13">
        <v>202119</v>
      </c>
      <c r="AH16" s="13">
        <v>202129</v>
      </c>
      <c r="AI16" s="13">
        <v>202219</v>
      </c>
      <c r="AJ16" s="13">
        <v>202229</v>
      </c>
      <c r="AK16" s="13">
        <v>202319</v>
      </c>
      <c r="AL16" s="13">
        <v>202329</v>
      </c>
      <c r="AM16" s="13">
        <v>202419</v>
      </c>
      <c r="AN16" s="13">
        <v>202519</v>
      </c>
    </row>
    <row r="17" spans="2:40">
      <c r="B17" s="16" t="s">
        <v>242</v>
      </c>
      <c r="C17" s="17">
        <f t="shared" ref="C17:K17" si="0">SUM(C6:C7)</f>
        <v>41</v>
      </c>
      <c r="D17" s="17">
        <f t="shared" si="0"/>
        <v>2</v>
      </c>
      <c r="E17" s="17">
        <f t="shared" si="0"/>
        <v>18</v>
      </c>
      <c r="F17" s="17">
        <f t="shared" si="0"/>
        <v>29</v>
      </c>
      <c r="G17" s="17">
        <f t="shared" si="0"/>
        <v>51</v>
      </c>
      <c r="H17" s="17">
        <f t="shared" si="0"/>
        <v>39</v>
      </c>
      <c r="I17" s="17">
        <f t="shared" si="0"/>
        <v>78</v>
      </c>
      <c r="J17" s="17">
        <f t="shared" si="0"/>
        <v>59</v>
      </c>
      <c r="K17" s="17">
        <f t="shared" si="0"/>
        <v>45</v>
      </c>
      <c r="L17" s="17">
        <f t="shared" ref="L17:M17" si="1">SUM(L6:L7)</f>
        <v>45</v>
      </c>
      <c r="M17" s="17">
        <f t="shared" si="1"/>
        <v>63</v>
      </c>
      <c r="N17" s="17">
        <f t="shared" ref="N17" si="2">SUM(N6:N7)</f>
        <v>0</v>
      </c>
      <c r="O17" s="20"/>
      <c r="P17" s="16" t="s">
        <v>242</v>
      </c>
      <c r="Q17" s="17">
        <f>SUM(Q6:Q7)</f>
        <v>1</v>
      </c>
      <c r="R17" s="17">
        <f t="shared" ref="R17:Y17" si="3">SUM(R6:R7)</f>
        <v>5</v>
      </c>
      <c r="S17" s="17">
        <f t="shared" si="3"/>
        <v>0</v>
      </c>
      <c r="T17" s="17">
        <f t="shared" si="3"/>
        <v>5</v>
      </c>
      <c r="U17" s="17">
        <f t="shared" si="3"/>
        <v>0</v>
      </c>
      <c r="V17" s="17">
        <f t="shared" si="3"/>
        <v>12</v>
      </c>
      <c r="W17" s="17">
        <f t="shared" si="3"/>
        <v>0</v>
      </c>
      <c r="X17" s="17">
        <f t="shared" si="3"/>
        <v>12</v>
      </c>
      <c r="Y17" s="17">
        <f t="shared" si="3"/>
        <v>0</v>
      </c>
      <c r="Z17" s="173">
        <f t="shared" ref="Z17:AA17" si="4">SUM(Z6:Z7)</f>
        <v>8</v>
      </c>
      <c r="AA17" s="17">
        <f t="shared" si="4"/>
        <v>0</v>
      </c>
      <c r="AB17" s="173">
        <f t="shared" ref="AB17" si="5">SUM(AB6:AB7)</f>
        <v>0</v>
      </c>
      <c r="AD17" s="16" t="s">
        <v>242</v>
      </c>
      <c r="AE17" s="17">
        <f>SUM(AE6:AE7)</f>
        <v>2</v>
      </c>
      <c r="AF17" s="17">
        <f t="shared" ref="AF17:AM17" si="6">SUM(AF6:AF7)</f>
        <v>0</v>
      </c>
      <c r="AG17" s="17">
        <f t="shared" si="6"/>
        <v>8</v>
      </c>
      <c r="AH17" s="17">
        <f t="shared" si="6"/>
        <v>0</v>
      </c>
      <c r="AI17" s="17">
        <f t="shared" si="6"/>
        <v>3</v>
      </c>
      <c r="AJ17" s="17">
        <f t="shared" si="6"/>
        <v>0</v>
      </c>
      <c r="AK17" s="17">
        <f t="shared" si="6"/>
        <v>1</v>
      </c>
      <c r="AL17" s="17">
        <f t="shared" si="6"/>
        <v>0</v>
      </c>
      <c r="AM17" s="17">
        <f t="shared" si="6"/>
        <v>2</v>
      </c>
      <c r="AN17" s="17">
        <f t="shared" ref="AN17" si="7">SUM(AN6:AN7)</f>
        <v>0</v>
      </c>
    </row>
    <row r="18" spans="2:40">
      <c r="B18" s="9" t="s">
        <v>243</v>
      </c>
      <c r="C18" s="12">
        <f>SUM(C8:C14)</f>
        <v>0</v>
      </c>
      <c r="D18" s="12">
        <f t="shared" ref="D18:K18" si="8">SUM(D8:D14)</f>
        <v>0</v>
      </c>
      <c r="E18" s="12">
        <f t="shared" si="8"/>
        <v>0</v>
      </c>
      <c r="F18" s="12">
        <f t="shared" si="8"/>
        <v>2</v>
      </c>
      <c r="G18" s="12">
        <f t="shared" si="8"/>
        <v>3</v>
      </c>
      <c r="H18" s="12">
        <f t="shared" si="8"/>
        <v>3</v>
      </c>
      <c r="I18" s="12">
        <f t="shared" si="8"/>
        <v>0</v>
      </c>
      <c r="J18" s="12">
        <f t="shared" si="8"/>
        <v>6</v>
      </c>
      <c r="K18" s="12">
        <f t="shared" si="8"/>
        <v>1</v>
      </c>
      <c r="L18" s="12">
        <f t="shared" ref="L18:M18" si="9">SUM(L8:L14)</f>
        <v>3</v>
      </c>
      <c r="M18" s="12">
        <f t="shared" si="9"/>
        <v>1</v>
      </c>
      <c r="N18" s="12">
        <f t="shared" ref="N18" si="10">SUM(N8:N14)</f>
        <v>0</v>
      </c>
      <c r="O18" s="20"/>
      <c r="P18" s="9" t="s">
        <v>243</v>
      </c>
      <c r="Q18" s="12">
        <f t="shared" ref="Q18:Y18" si="11">SUM(Q8:Q14)</f>
        <v>0</v>
      </c>
      <c r="R18" s="12">
        <f t="shared" si="11"/>
        <v>0</v>
      </c>
      <c r="S18" s="12">
        <f t="shared" si="11"/>
        <v>0</v>
      </c>
      <c r="T18" s="12">
        <f t="shared" si="11"/>
        <v>0</v>
      </c>
      <c r="U18" s="12">
        <f t="shared" si="11"/>
        <v>0</v>
      </c>
      <c r="V18" s="12">
        <f t="shared" si="11"/>
        <v>0</v>
      </c>
      <c r="W18" s="12">
        <f t="shared" si="11"/>
        <v>0</v>
      </c>
      <c r="X18" s="12">
        <f t="shared" si="11"/>
        <v>0</v>
      </c>
      <c r="Y18" s="12">
        <f t="shared" si="11"/>
        <v>0</v>
      </c>
      <c r="Z18" s="12">
        <f t="shared" ref="Z18:AA18" si="12">SUM(Z8:Z14)</f>
        <v>0</v>
      </c>
      <c r="AA18" s="12">
        <f t="shared" si="12"/>
        <v>0</v>
      </c>
      <c r="AB18" s="12">
        <f t="shared" ref="AB18" si="13">SUM(AB8:AB14)</f>
        <v>0</v>
      </c>
      <c r="AD18" s="9" t="s">
        <v>243</v>
      </c>
      <c r="AE18" s="12">
        <f>SUM(AE8:AE14)</f>
        <v>0</v>
      </c>
      <c r="AF18" s="12">
        <f t="shared" ref="AF18:AM18" si="14">SUM(AF8:AF14)</f>
        <v>0</v>
      </c>
      <c r="AG18" s="12">
        <f t="shared" si="14"/>
        <v>0</v>
      </c>
      <c r="AH18" s="12">
        <f t="shared" si="14"/>
        <v>0</v>
      </c>
      <c r="AI18" s="12">
        <f t="shared" si="14"/>
        <v>0</v>
      </c>
      <c r="AJ18" s="12">
        <f t="shared" si="14"/>
        <v>0</v>
      </c>
      <c r="AK18" s="12">
        <f t="shared" si="14"/>
        <v>5</v>
      </c>
      <c r="AL18" s="12">
        <f t="shared" si="14"/>
        <v>3</v>
      </c>
      <c r="AM18" s="12">
        <f t="shared" si="14"/>
        <v>1</v>
      </c>
      <c r="AN18" s="12">
        <f t="shared" ref="AN18" si="15">SUM(AN8:AN14)</f>
        <v>3</v>
      </c>
    </row>
    <row r="19" spans="2:40">
      <c r="T19" s="18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H19" s="18"/>
      <c r="AI19" s="19"/>
      <c r="AJ19" s="19"/>
      <c r="AK19" s="19"/>
      <c r="AL19" s="19"/>
      <c r="AM19" s="19"/>
      <c r="AN19" s="19"/>
    </row>
    <row r="20" spans="2:40">
      <c r="C20" s="13">
        <v>2020</v>
      </c>
      <c r="D20" s="13">
        <v>2021</v>
      </c>
      <c r="E20" s="13">
        <v>2022</v>
      </c>
      <c r="F20" s="13">
        <v>2023</v>
      </c>
      <c r="G20" s="13">
        <v>2024</v>
      </c>
      <c r="H20" s="13">
        <v>2025</v>
      </c>
      <c r="P20" s="18"/>
      <c r="Q20" s="13">
        <v>2020</v>
      </c>
      <c r="R20" s="13">
        <v>2021</v>
      </c>
      <c r="S20" s="13">
        <v>2022</v>
      </c>
      <c r="T20" s="13">
        <v>2023</v>
      </c>
      <c r="U20" s="13">
        <v>2024</v>
      </c>
      <c r="V20" s="13">
        <v>2025</v>
      </c>
      <c r="AC20" s="19"/>
      <c r="AD20" s="18"/>
      <c r="AE20" s="13">
        <v>2020</v>
      </c>
      <c r="AF20" s="13">
        <v>2021</v>
      </c>
      <c r="AG20" s="13">
        <v>2022</v>
      </c>
      <c r="AH20" s="13">
        <v>2023</v>
      </c>
      <c r="AI20" s="13">
        <v>2024</v>
      </c>
      <c r="AJ20" s="13">
        <v>2025</v>
      </c>
    </row>
    <row r="21" spans="2:40">
      <c r="B21" s="14" t="s">
        <v>233</v>
      </c>
      <c r="C21" s="15">
        <f>COUNTIFS(Tabla1[Programa Postulación],'Movilidad Internacional'!$B21,Tabla1[Año de Movilidad],'Movilidad Internacional'!C$20,Tabla1[Tipo de Movilidad],'Movilidad Internacional'!$C$4)</f>
        <v>40</v>
      </c>
      <c r="D21" s="15">
        <f>COUNTIFS(Tabla1[Programa Postulación],'Movilidad Internacional'!$B21,Tabla1[Año de Movilidad],'Movilidad Internacional'!D$20,Tabla1[Tipo de Movilidad],'Movilidad Internacional'!$C$4)</f>
        <v>47</v>
      </c>
      <c r="E21" s="15">
        <f>COUNTIFS(Tabla1[Programa Postulación],'Movilidad Internacional'!$B21,Tabla1[Año de Movilidad],'Movilidad Internacional'!E$20,Tabla1[Tipo de Movilidad],'Movilidad Internacional'!$C$4)</f>
        <v>90</v>
      </c>
      <c r="F21" s="15">
        <f>COUNTIFS(Tabla1[Programa Postulación],'Movilidad Internacional'!$B21,Tabla1[Año de Movilidad],'Movilidad Internacional'!F$20,Tabla1[Tipo de Movilidad],'Movilidad Internacional'!$C$4)</f>
        <v>137</v>
      </c>
      <c r="G21" s="15">
        <f>COUNTIFS(Tabla1[Programa Postulación],'Movilidad Internacional'!$B21,Tabla1[Año de Movilidad],'Movilidad Internacional'!G$20,Tabla1[Tipo de Movilidad],'Movilidad Internacional'!$C$4)</f>
        <v>90</v>
      </c>
      <c r="H21" s="15">
        <f>COUNTIFS(Tabla1[Programa Postulación],'Movilidad Internacional'!$B21,Tabla1[Año de Movilidad],'Movilidad Internacional'!H$20,Tabla1[Tipo de Movilidad],'Movilidad Internacional'!$C$4)</f>
        <v>63</v>
      </c>
      <c r="P21" s="14" t="s">
        <v>233</v>
      </c>
      <c r="Q21" s="15">
        <f>COUNTIFS(Tabla1[Programa Postulación],'Movilidad Internacional'!$P21,Tabla1[Año de Movilidad],'Movilidad Internacional'!Q$20,Tabla1[Tipo de Movilidad],'Movilidad Internacional'!$Q$4)</f>
        <v>6</v>
      </c>
      <c r="R21" s="15">
        <f>COUNTIFS(Tabla1[Programa Postulación],'Movilidad Internacional'!$P21,Tabla1[Año de Movilidad],'Movilidad Internacional'!R$20,Tabla1[Tipo de Movilidad],'Movilidad Internacional'!$Q$4)</f>
        <v>5</v>
      </c>
      <c r="S21" s="15">
        <f>COUNTIFS(Tabla1[Programa Postulación],'Movilidad Internacional'!$P21,Tabla1[Año de Movilidad],'Movilidad Internacional'!S$20,Tabla1[Tipo de Movilidad],'Movilidad Internacional'!$Q$4)</f>
        <v>12</v>
      </c>
      <c r="T21" s="15">
        <f>COUNTIFS(Tabla1[Programa Postulación],'Movilidad Internacional'!$P21,Tabla1[Año de Movilidad],'Movilidad Internacional'!T$20,Tabla1[Tipo de Movilidad],'Movilidad Internacional'!$Q$4)</f>
        <v>12</v>
      </c>
      <c r="U21" s="15">
        <f>COUNTIFS(Tabla1[Programa Postulación],'Movilidad Internacional'!$P21,Tabla1[Año de Movilidad],'Movilidad Internacional'!U$20,Tabla1[Tipo de Movilidad],'Movilidad Internacional'!$Q$4)</f>
        <v>8</v>
      </c>
      <c r="V21" s="15">
        <f>COUNTIFS(Tabla1[Programa Postulación],'Movilidad Internacional'!$P21,Tabla1[Año de Movilidad],'Movilidad Internacional'!V$20,Tabla1[Tipo de Movilidad],'Movilidad Internacional'!$Q$4)</f>
        <v>0</v>
      </c>
      <c r="AC21" s="19"/>
      <c r="AD21" s="14" t="s">
        <v>233</v>
      </c>
      <c r="AE21" s="15">
        <f>COUNTIFS(Tabla1[Programa Postulación],'Movilidad Internacional'!$AD21,Tabla1[Año de Movilidad],'Movilidad Internacional'!AE$20,Tabla1[Tipo de Movilidad],'Movilidad Internacional'!$AE$4)</f>
        <v>2</v>
      </c>
      <c r="AF21" s="15">
        <f>COUNTIFS(Tabla1[Programa Postulación],'Movilidad Internacional'!$AD21,Tabla1[Año de Movilidad],'Movilidad Internacional'!AF$20,Tabla1[Tipo de Movilidad],'Movilidad Internacional'!$AE$4)</f>
        <v>8</v>
      </c>
      <c r="AG21" s="15">
        <f>COUNTIFS(Tabla1[Programa Postulación],'Movilidad Internacional'!$AD21,Tabla1[Año de Movilidad],'Movilidad Internacional'!AG$20,Tabla1[Tipo de Movilidad],'Movilidad Internacional'!$AE$4)</f>
        <v>3</v>
      </c>
      <c r="AH21" s="15">
        <f>COUNTIFS(Tabla1[Programa Postulación],'Movilidad Internacional'!$AD21,Tabla1[Año de Movilidad],'Movilidad Internacional'!AH$20,Tabla1[Tipo de Movilidad],'Movilidad Internacional'!$AE$4)</f>
        <v>1</v>
      </c>
      <c r="AI21" s="15">
        <f>COUNTIFS(Tabla1[Programa Postulación],'Movilidad Internacional'!$AD21,Tabla1[Año de Movilidad],'Movilidad Internacional'!AI$20,Tabla1[Tipo de Movilidad],'Movilidad Internacional'!$AE$4)</f>
        <v>2</v>
      </c>
      <c r="AJ21" s="15">
        <f>COUNTIFS(Tabla1[Programa Postulación],'Movilidad Internacional'!$AD21,Tabla1[Año de Movilidad],'Movilidad Internacional'!AJ$20,Tabla1[Tipo de Movilidad],'Movilidad Internacional'!$AE$4)</f>
        <v>0</v>
      </c>
    </row>
    <row r="22" spans="2:40">
      <c r="B22" s="16" t="s">
        <v>234</v>
      </c>
      <c r="C22" s="15">
        <f>COUNTIFS(Tabla1[Programa Postulación],'Movilidad Internacional'!$B22,Tabla1[Año de Movilidad],'Movilidad Internacional'!C$20,Tabla1[Tipo de Movilidad],'Movilidad Internacional'!$C$4)</f>
        <v>3</v>
      </c>
      <c r="D22" s="15">
        <f>COUNTIFS(Tabla1[Programa Postulación],'Movilidad Internacional'!$B22,Tabla1[Año de Movilidad],'Movilidad Internacional'!D$20,Tabla1[Tipo de Movilidad],'Movilidad Internacional'!$C$4)</f>
        <v>0</v>
      </c>
      <c r="E22" s="15">
        <f>COUNTIFS(Tabla1[Programa Postulación],'Movilidad Internacional'!$B22,Tabla1[Año de Movilidad],'Movilidad Internacional'!E$20,Tabla1[Tipo de Movilidad],'Movilidad Internacional'!$C$4)</f>
        <v>0</v>
      </c>
      <c r="F22" s="15">
        <f>COUNTIFS(Tabla1[Programa Postulación],'Movilidad Internacional'!$B22,Tabla1[Año de Movilidad],'Movilidad Internacional'!F$20,Tabla1[Tipo de Movilidad],'Movilidad Internacional'!$C$4)</f>
        <v>0</v>
      </c>
      <c r="G22" s="15">
        <f>COUNTIFS(Tabla1[Programa Postulación],'Movilidad Internacional'!$B22,Tabla1[Año de Movilidad],'Movilidad Internacional'!G$20,Tabla1[Tipo de Movilidad],'Movilidad Internacional'!$C$4)</f>
        <v>0</v>
      </c>
      <c r="H22" s="15">
        <f>COUNTIFS(Tabla1[Programa Postulación],'Movilidad Internacional'!$B22,Tabla1[Año de Movilidad],'Movilidad Internacional'!H$20,Tabla1[Tipo de Movilidad],'Movilidad Internacional'!$C$4)</f>
        <v>0</v>
      </c>
      <c r="P22" s="16" t="s">
        <v>234</v>
      </c>
      <c r="Q22" s="15">
        <f>COUNTIFS(Tabla1[Programa Postulación],'Movilidad Internacional'!$P22,Tabla1[Año de Movilidad],'Movilidad Internacional'!Q$20,Tabla1[Tipo de Movilidad],'Movilidad Internacional'!$Q$4)</f>
        <v>0</v>
      </c>
      <c r="R22" s="15">
        <f>COUNTIFS(Tabla1[Programa Postulación],'Movilidad Internacional'!$P22,Tabla1[Año de Movilidad],'Movilidad Internacional'!R$20,Tabla1[Tipo de Movilidad],'Movilidad Internacional'!$Q$4)</f>
        <v>0</v>
      </c>
      <c r="S22" s="15">
        <f>COUNTIFS(Tabla1[Programa Postulación],'Movilidad Internacional'!$P22,Tabla1[Año de Movilidad],'Movilidad Internacional'!S$20,Tabla1[Tipo de Movilidad],'Movilidad Internacional'!$Q$4)</f>
        <v>0</v>
      </c>
      <c r="T22" s="15">
        <f>COUNTIFS(Tabla1[Programa Postulación],'Movilidad Internacional'!$P22,Tabla1[Año de Movilidad],'Movilidad Internacional'!T$20,Tabla1[Tipo de Movilidad],'Movilidad Internacional'!$Q$4)</f>
        <v>0</v>
      </c>
      <c r="U22" s="15">
        <f>COUNTIFS(Tabla1[Programa Postulación],'Movilidad Internacional'!$P22,Tabla1[Año de Movilidad],'Movilidad Internacional'!U$20,Tabla1[Tipo de Movilidad],'Movilidad Internacional'!$Q$4)</f>
        <v>0</v>
      </c>
      <c r="V22" s="15">
        <f>COUNTIFS(Tabla1[Programa Postulación],'Movilidad Internacional'!$P22,Tabla1[Año de Movilidad],'Movilidad Internacional'!V$20,Tabla1[Tipo de Movilidad],'Movilidad Internacional'!$Q$4)</f>
        <v>0</v>
      </c>
      <c r="AC22" s="19"/>
      <c r="AD22" s="16" t="s">
        <v>234</v>
      </c>
      <c r="AE22" s="15">
        <f>COUNTIFS(Tabla1[Programa Postulación],'Movilidad Internacional'!$AD22,Tabla1[Año de Movilidad],'Movilidad Internacional'!AE$20,Tabla1[Tipo de Movilidad],'Movilidad Internacional'!$AE$4)</f>
        <v>0</v>
      </c>
      <c r="AF22" s="15">
        <f>COUNTIFS(Tabla1[Programa Postulación],'Movilidad Internacional'!$AD22,Tabla1[Año de Movilidad],'Movilidad Internacional'!AF$20,Tabla1[Tipo de Movilidad],'Movilidad Internacional'!$AE$4)</f>
        <v>0</v>
      </c>
      <c r="AG22" s="15">
        <f>COUNTIFS(Tabla1[Programa Postulación],'Movilidad Internacional'!$AD22,Tabla1[Año de Movilidad],'Movilidad Internacional'!AG$20,Tabla1[Tipo de Movilidad],'Movilidad Internacional'!$AE$4)</f>
        <v>0</v>
      </c>
      <c r="AH22" s="15">
        <f>COUNTIFS(Tabla1[Programa Postulación],'Movilidad Internacional'!$AD22,Tabla1[Año de Movilidad],'Movilidad Internacional'!AH$20,Tabla1[Tipo de Movilidad],'Movilidad Internacional'!$AE$4)</f>
        <v>0</v>
      </c>
      <c r="AI22" s="15">
        <f>COUNTIFS(Tabla1[Programa Postulación],'Movilidad Internacional'!$AD22,Tabla1[Año de Movilidad],'Movilidad Internacional'!AI$20,Tabla1[Tipo de Movilidad],'Movilidad Internacional'!$AE$4)</f>
        <v>0</v>
      </c>
      <c r="AJ22" s="15">
        <f>COUNTIFS(Tabla1[Programa Postulación],'Movilidad Internacional'!$AD22,Tabla1[Año de Movilidad],'Movilidad Internacional'!AJ$20,Tabla1[Tipo de Movilidad],'Movilidad Internacional'!$AE$4)</f>
        <v>0</v>
      </c>
    </row>
    <row r="23" spans="2:40" ht="30">
      <c r="B23" s="9" t="s">
        <v>235</v>
      </c>
      <c r="C23" s="12">
        <f>COUNTIFS(Tabla1[Programa Postulación],'Movilidad Internacional'!$B23,Tabla1[Año de Movilidad],'Movilidad Internacional'!C$20,Tabla1[Tipo de Movilidad],'Movilidad Internacional'!$C$4)</f>
        <v>0</v>
      </c>
      <c r="D23" s="12">
        <f>COUNTIFS(Tabla1[Programa Postulación],'Movilidad Internacional'!$B23,Tabla1[Año de Movilidad],'Movilidad Internacional'!D$20,Tabla1[Tipo de Movilidad],'Movilidad Internacional'!$C$4)</f>
        <v>0</v>
      </c>
      <c r="E23" s="12">
        <f>COUNTIFS(Tabla1[Programa Postulación],'Movilidad Internacional'!$B23,Tabla1[Año de Movilidad],'Movilidad Internacional'!E$20,Tabla1[Tipo de Movilidad],'Movilidad Internacional'!$C$4)</f>
        <v>1</v>
      </c>
      <c r="F23" s="12">
        <f>COUNTIFS(Tabla1[Programa Postulación],'Movilidad Internacional'!$B23,Tabla1[Año de Movilidad],'Movilidad Internacional'!F$20,Tabla1[Tipo de Movilidad],'Movilidad Internacional'!$C$4)</f>
        <v>1</v>
      </c>
      <c r="G23" s="12">
        <f>COUNTIFS(Tabla1[Programa Postulación],'Movilidad Internacional'!$B23,Tabla1[Año de Movilidad],'Movilidad Internacional'!G$20,Tabla1[Tipo de Movilidad],'Movilidad Internacional'!$C$4)</f>
        <v>1</v>
      </c>
      <c r="H23" s="12">
        <f>COUNTIFS(Tabla1[Programa Postulación],'Movilidad Internacional'!$B23,Tabla1[Año de Movilidad],'Movilidad Internacional'!H$20,Tabla1[Tipo de Movilidad],'Movilidad Internacional'!$C$4)</f>
        <v>0</v>
      </c>
      <c r="P23" s="9" t="s">
        <v>235</v>
      </c>
      <c r="Q23" s="12">
        <f>COUNTIFS(Tabla1[Programa Postulación],'Movilidad Internacional'!$P23,Tabla1[Año de Movilidad],'Movilidad Internacional'!Q$20,Tabla1[Tipo de Movilidad],'Movilidad Internacional'!$Q$4)</f>
        <v>0</v>
      </c>
      <c r="R23" s="12">
        <f>COUNTIFS(Tabla1[Programa Postulación],'Movilidad Internacional'!$P23,Tabla1[Año de Movilidad],'Movilidad Internacional'!R$20,Tabla1[Tipo de Movilidad],'Movilidad Internacional'!$Q$4)</f>
        <v>0</v>
      </c>
      <c r="S23" s="12">
        <f>COUNTIFS(Tabla1[Programa Postulación],'Movilidad Internacional'!$P23,Tabla1[Año de Movilidad],'Movilidad Internacional'!S$20,Tabla1[Tipo de Movilidad],'Movilidad Internacional'!$Q$4)</f>
        <v>0</v>
      </c>
      <c r="T23" s="12">
        <f>COUNTIFS(Tabla1[Programa Postulación],'Movilidad Internacional'!$P23,Tabla1[Año de Movilidad],'Movilidad Internacional'!T$20,Tabla1[Tipo de Movilidad],'Movilidad Internacional'!$Q$4)</f>
        <v>0</v>
      </c>
      <c r="U23" s="12">
        <f>COUNTIFS(Tabla1[Programa Postulación],'Movilidad Internacional'!$P23,Tabla1[Año de Movilidad],'Movilidad Internacional'!U$20,Tabla1[Tipo de Movilidad],'Movilidad Internacional'!$Q$4)</f>
        <v>0</v>
      </c>
      <c r="V23" s="12">
        <f>COUNTIFS(Tabla1[Programa Postulación],'Movilidad Internacional'!$P23,Tabla1[Año de Movilidad],'Movilidad Internacional'!V$20,Tabla1[Tipo de Movilidad],'Movilidad Internacional'!$Q$4)</f>
        <v>0</v>
      </c>
      <c r="AC23" s="19"/>
      <c r="AD23" s="9" t="s">
        <v>235</v>
      </c>
      <c r="AE23" s="12">
        <f>COUNTIFS(Tabla1[Programa Postulación],'Movilidad Internacional'!$P23,Tabla1[Año de Movilidad],'Movilidad Internacional'!AE$20,Tabla1[Tipo de Movilidad],'Movilidad Internacional'!$AE$4)</f>
        <v>0</v>
      </c>
      <c r="AF23" s="12">
        <f>COUNTIFS(Tabla1[Programa Postulación],'Movilidad Internacional'!$P23,Tabla1[Año de Movilidad],'Movilidad Internacional'!AF$20,Tabla1[Tipo de Movilidad],'Movilidad Internacional'!$AE$4)</f>
        <v>0</v>
      </c>
      <c r="AG23" s="12">
        <f>COUNTIFS(Tabla1[Programa Postulación],'Movilidad Internacional'!$P23,Tabla1[Año de Movilidad],'Movilidad Internacional'!AG$20,Tabla1[Tipo de Movilidad],'Movilidad Internacional'!$AE$4)</f>
        <v>0</v>
      </c>
      <c r="AH23" s="12">
        <f>COUNTIFS(Tabla1[Programa Postulación],'Movilidad Internacional'!$P23,Tabla1[Año de Movilidad],'Movilidad Internacional'!AH$20,Tabla1[Tipo de Movilidad],'Movilidad Internacional'!$AE$4)</f>
        <v>0</v>
      </c>
      <c r="AI23" s="12">
        <f>COUNTIFS(Tabla1[Programa Postulación],'Movilidad Internacional'!$P23,Tabla1[Año de Movilidad],'Movilidad Internacional'!AI$20,Tabla1[Tipo de Movilidad],'Movilidad Internacional'!$AE$4)</f>
        <v>0</v>
      </c>
      <c r="AJ23" s="12">
        <f>COUNTIFS(Tabla1[Programa Postulación],'Movilidad Internacional'!$P23,Tabla1[Año de Movilidad],'Movilidad Internacional'!AJ$20,Tabla1[Tipo de Movilidad],'Movilidad Internacional'!$AE$4)</f>
        <v>0</v>
      </c>
    </row>
    <row r="24" spans="2:40" ht="30">
      <c r="B24" s="9" t="s">
        <v>236</v>
      </c>
      <c r="C24" s="12">
        <f>COUNTIFS(Tabla1[Programa Postulación],'Movilidad Internacional'!$B24,Tabla1[Año de Movilidad],'Movilidad Internacional'!C$20,Tabla1[Tipo de Movilidad],'Movilidad Internacional'!$C$4)</f>
        <v>0</v>
      </c>
      <c r="D24" s="12">
        <f>COUNTIFS(Tabla1[Programa Postulación],'Movilidad Internacional'!$B24,Tabla1[Año de Movilidad],'Movilidad Internacional'!D$20,Tabla1[Tipo de Movilidad],'Movilidad Internacional'!$C$4)</f>
        <v>2</v>
      </c>
      <c r="E24" s="12">
        <f>COUNTIFS(Tabla1[Programa Postulación],'Movilidad Internacional'!$B24,Tabla1[Año de Movilidad],'Movilidad Internacional'!E$20,Tabla1[Tipo de Movilidad],'Movilidad Internacional'!$C$4)</f>
        <v>1</v>
      </c>
      <c r="F24" s="12">
        <f>COUNTIFS(Tabla1[Programa Postulación],'Movilidad Internacional'!$B24,Tabla1[Año de Movilidad],'Movilidad Internacional'!F$20,Tabla1[Tipo de Movilidad],'Movilidad Internacional'!$C$4)</f>
        <v>2</v>
      </c>
      <c r="G24" s="12">
        <f>COUNTIFS(Tabla1[Programa Postulación],'Movilidad Internacional'!$B24,Tabla1[Año de Movilidad],'Movilidad Internacional'!G$20,Tabla1[Tipo de Movilidad],'Movilidad Internacional'!$C$4)</f>
        <v>2</v>
      </c>
      <c r="H24" s="12">
        <f>COUNTIFS(Tabla1[Programa Postulación],'Movilidad Internacional'!$B24,Tabla1[Año de Movilidad],'Movilidad Internacional'!H$20,Tabla1[Tipo de Movilidad],'Movilidad Internacional'!$C$4)</f>
        <v>0</v>
      </c>
      <c r="P24" s="9" t="s">
        <v>236</v>
      </c>
      <c r="Q24" s="12">
        <f>COUNTIFS(Tabla1[Programa Postulación],'Movilidad Internacional'!$P24,Tabla1[Año de Movilidad],'Movilidad Internacional'!Q$20,Tabla1[Tipo de Movilidad],'Movilidad Internacional'!$Q$4)</f>
        <v>0</v>
      </c>
      <c r="R24" s="12">
        <f>COUNTIFS(Tabla1[Programa Postulación],'Movilidad Internacional'!$P24,Tabla1[Año de Movilidad],'Movilidad Internacional'!R$20,Tabla1[Tipo de Movilidad],'Movilidad Internacional'!$Q$4)</f>
        <v>0</v>
      </c>
      <c r="S24" s="12">
        <f>COUNTIFS(Tabla1[Programa Postulación],'Movilidad Internacional'!$P24,Tabla1[Año de Movilidad],'Movilidad Internacional'!S$20,Tabla1[Tipo de Movilidad],'Movilidad Internacional'!$Q$4)</f>
        <v>0</v>
      </c>
      <c r="T24" s="12">
        <f>COUNTIFS(Tabla1[Programa Postulación],'Movilidad Internacional'!$P24,Tabla1[Año de Movilidad],'Movilidad Internacional'!T$20,Tabla1[Tipo de Movilidad],'Movilidad Internacional'!$Q$4)</f>
        <v>0</v>
      </c>
      <c r="U24" s="12">
        <f>COUNTIFS(Tabla1[Programa Postulación],'Movilidad Internacional'!$P24,Tabla1[Año de Movilidad],'Movilidad Internacional'!U$20,Tabla1[Tipo de Movilidad],'Movilidad Internacional'!$Q$4)</f>
        <v>0</v>
      </c>
      <c r="V24" s="12">
        <f>COUNTIFS(Tabla1[Programa Postulación],'Movilidad Internacional'!$P24,Tabla1[Año de Movilidad],'Movilidad Internacional'!V$20,Tabla1[Tipo de Movilidad],'Movilidad Internacional'!$Q$4)</f>
        <v>0</v>
      </c>
      <c r="AC24" s="19"/>
      <c r="AD24" s="9" t="s">
        <v>236</v>
      </c>
      <c r="AE24" s="12">
        <f>COUNTIFS(Tabla1[Programa Postulación],'Movilidad Internacional'!$P24,Tabla1[Año de Movilidad],'Movilidad Internacional'!AE$20,Tabla1[Tipo de Movilidad],'Movilidad Internacional'!$AE$4)</f>
        <v>0</v>
      </c>
      <c r="AF24" s="12">
        <f>COUNTIFS(Tabla1[Programa Postulación],'Movilidad Internacional'!$P24,Tabla1[Año de Movilidad],'Movilidad Internacional'!AF$20,Tabla1[Tipo de Movilidad],'Movilidad Internacional'!$AE$4)</f>
        <v>0</v>
      </c>
      <c r="AG24" s="12">
        <f>COUNTIFS(Tabla1[Programa Postulación],'Movilidad Internacional'!$P24,Tabla1[Año de Movilidad],'Movilidad Internacional'!AG$20,Tabla1[Tipo de Movilidad],'Movilidad Internacional'!$AE$4)</f>
        <v>0</v>
      </c>
      <c r="AH24" s="12">
        <f>COUNTIFS(Tabla1[Programa Postulación],'Movilidad Internacional'!$P24,Tabla1[Año de Movilidad],'Movilidad Internacional'!AH$20,Tabla1[Tipo de Movilidad],'Movilidad Internacional'!$AE$4)</f>
        <v>0</v>
      </c>
      <c r="AI24" s="12">
        <f>COUNTIFS(Tabla1[Programa Postulación],'Movilidad Internacional'!$P24,Tabla1[Año de Movilidad],'Movilidad Internacional'!AI$20,Tabla1[Tipo de Movilidad],'Movilidad Internacional'!$AE$4)</f>
        <v>0</v>
      </c>
      <c r="AJ24" s="12">
        <f>COUNTIFS(Tabla1[Programa Postulación],'Movilidad Internacional'!$P24,Tabla1[Año de Movilidad],'Movilidad Internacional'!AJ$20,Tabla1[Tipo de Movilidad],'Movilidad Internacional'!$AE$4)</f>
        <v>0</v>
      </c>
    </row>
    <row r="25" spans="2:40">
      <c r="B25" s="9" t="s">
        <v>237</v>
      </c>
      <c r="C25" s="12">
        <f>COUNTIFS(Tabla1[Programa Postulación],'Movilidad Internacional'!$B25,Tabla1[Año de Movilidad],'Movilidad Internacional'!C$20,Tabla1[Tipo de Movilidad],'Movilidad Internacional'!$C$4)</f>
        <v>0</v>
      </c>
      <c r="D25" s="12">
        <f>COUNTIFS(Tabla1[Programa Postulación],'Movilidad Internacional'!$B25,Tabla1[Año de Movilidad],'Movilidad Internacional'!D$20,Tabla1[Tipo de Movilidad],'Movilidad Internacional'!$C$4)</f>
        <v>0</v>
      </c>
      <c r="E25" s="12">
        <f>COUNTIFS(Tabla1[Programa Postulación],'Movilidad Internacional'!$B25,Tabla1[Año de Movilidad],'Movilidad Internacional'!E$20,Tabla1[Tipo de Movilidad],'Movilidad Internacional'!$C$4)</f>
        <v>3</v>
      </c>
      <c r="F25" s="12">
        <f>COUNTIFS(Tabla1[Programa Postulación],'Movilidad Internacional'!$B25,Tabla1[Año de Movilidad],'Movilidad Internacional'!F$20,Tabla1[Tipo de Movilidad],'Movilidad Internacional'!$C$4)</f>
        <v>2</v>
      </c>
      <c r="G25" s="12">
        <f>COUNTIFS(Tabla1[Programa Postulación],'Movilidad Internacional'!$B25,Tabla1[Año de Movilidad],'Movilidad Internacional'!G$20,Tabla1[Tipo de Movilidad],'Movilidad Internacional'!$C$4)</f>
        <v>0</v>
      </c>
      <c r="H25" s="12">
        <f>COUNTIFS(Tabla1[Programa Postulación],'Movilidad Internacional'!$B25,Tabla1[Año de Movilidad],'Movilidad Internacional'!H$20,Tabla1[Tipo de Movilidad],'Movilidad Internacional'!$C$4)</f>
        <v>0</v>
      </c>
      <c r="P25" s="9" t="s">
        <v>237</v>
      </c>
      <c r="Q25" s="12">
        <f>COUNTIFS(Tabla1[Programa Postulación],'Movilidad Internacional'!$P25,Tabla1[Año de Movilidad],'Movilidad Internacional'!Q$20,Tabla1[Tipo de Movilidad],'Movilidad Internacional'!$Q$4)</f>
        <v>0</v>
      </c>
      <c r="R25" s="12">
        <f>COUNTIFS(Tabla1[Programa Postulación],'Movilidad Internacional'!$P25,Tabla1[Año de Movilidad],'Movilidad Internacional'!R$20,Tabla1[Tipo de Movilidad],'Movilidad Internacional'!$Q$4)</f>
        <v>0</v>
      </c>
      <c r="S25" s="12">
        <f>COUNTIFS(Tabla1[Programa Postulación],'Movilidad Internacional'!$P25,Tabla1[Año de Movilidad],'Movilidad Internacional'!S$20,Tabla1[Tipo de Movilidad],'Movilidad Internacional'!$Q$4)</f>
        <v>0</v>
      </c>
      <c r="T25" s="12">
        <f>COUNTIFS(Tabla1[Programa Postulación],'Movilidad Internacional'!$P25,Tabla1[Año de Movilidad],'Movilidad Internacional'!T$20,Tabla1[Tipo de Movilidad],'Movilidad Internacional'!$Q$4)</f>
        <v>0</v>
      </c>
      <c r="U25" s="12">
        <f>COUNTIFS(Tabla1[Programa Postulación],'Movilidad Internacional'!$P25,Tabla1[Año de Movilidad],'Movilidad Internacional'!U$20,Tabla1[Tipo de Movilidad],'Movilidad Internacional'!$Q$4)</f>
        <v>0</v>
      </c>
      <c r="V25" s="12">
        <f>COUNTIFS(Tabla1[Programa Postulación],'Movilidad Internacional'!$P25,Tabla1[Año de Movilidad],'Movilidad Internacional'!V$20,Tabla1[Tipo de Movilidad],'Movilidad Internacional'!$Q$4)</f>
        <v>0</v>
      </c>
      <c r="AC25" s="19"/>
      <c r="AD25" s="9" t="s">
        <v>237</v>
      </c>
      <c r="AE25" s="12">
        <f>COUNTIFS(Tabla1[Programa Postulación],'Movilidad Internacional'!$P25,Tabla1[Año de Movilidad],'Movilidad Internacional'!AE$20,Tabla1[Tipo de Movilidad],'Movilidad Internacional'!$AE$4)</f>
        <v>0</v>
      </c>
      <c r="AF25" s="12">
        <f>COUNTIFS(Tabla1[Programa Postulación],'Movilidad Internacional'!$P25,Tabla1[Año de Movilidad],'Movilidad Internacional'!AF$20,Tabla1[Tipo de Movilidad],'Movilidad Internacional'!$AE$4)</f>
        <v>0</v>
      </c>
      <c r="AG25" s="12">
        <f>COUNTIFS(Tabla1[Programa Postulación],'Movilidad Internacional'!$P25,Tabla1[Año de Movilidad],'Movilidad Internacional'!AG$20,Tabla1[Tipo de Movilidad],'Movilidad Internacional'!$AE$4)</f>
        <v>0</v>
      </c>
      <c r="AH25" s="12">
        <f>COUNTIFS(Tabla1[Programa Postulación],'Movilidad Internacional'!$P25,Tabla1[Año de Movilidad],'Movilidad Internacional'!AH$20,Tabla1[Tipo de Movilidad],'Movilidad Internacional'!$AE$4)</f>
        <v>0</v>
      </c>
      <c r="AI25" s="12">
        <f>COUNTIFS(Tabla1[Programa Postulación],'Movilidad Internacional'!$P25,Tabla1[Año de Movilidad],'Movilidad Internacional'!AI$20,Tabla1[Tipo de Movilidad],'Movilidad Internacional'!$AE$4)</f>
        <v>0</v>
      </c>
      <c r="AJ25" s="12">
        <f>COUNTIFS(Tabla1[Programa Postulación],'Movilidad Internacional'!$P25,Tabla1[Año de Movilidad],'Movilidad Internacional'!AJ$20,Tabla1[Tipo de Movilidad],'Movilidad Internacional'!$AE$4)</f>
        <v>0</v>
      </c>
    </row>
    <row r="26" spans="2:40">
      <c r="B26" s="9" t="s">
        <v>238</v>
      </c>
      <c r="C26" s="12">
        <f>COUNTIFS(Tabla1[Programa Postulación],'Movilidad Internacional'!$B26,Tabla1[Año de Movilidad],'Movilidad Internacional'!C$20,Tabla1[Tipo de Movilidad],'Movilidad Internacional'!$C$4)</f>
        <v>0</v>
      </c>
      <c r="D26" s="12">
        <f>COUNTIFS(Tabla1[Programa Postulación],'Movilidad Internacional'!$B26,Tabla1[Año de Movilidad],'Movilidad Internacional'!D$20,Tabla1[Tipo de Movilidad],'Movilidad Internacional'!$C$4)</f>
        <v>0</v>
      </c>
      <c r="E26" s="12">
        <f>COUNTIFS(Tabla1[Programa Postulación],'Movilidad Internacional'!$B26,Tabla1[Año de Movilidad],'Movilidad Internacional'!E$20,Tabla1[Tipo de Movilidad],'Movilidad Internacional'!$C$4)</f>
        <v>1</v>
      </c>
      <c r="F26" s="12">
        <f>COUNTIFS(Tabla1[Programa Postulación],'Movilidad Internacional'!$B26,Tabla1[Año de Movilidad],'Movilidad Internacional'!F$20,Tabla1[Tipo de Movilidad],'Movilidad Internacional'!$C$4)</f>
        <v>0</v>
      </c>
      <c r="G26" s="12">
        <f>COUNTIFS(Tabla1[Programa Postulación],'Movilidad Internacional'!$B26,Tabla1[Año de Movilidad],'Movilidad Internacional'!G$20,Tabla1[Tipo de Movilidad],'Movilidad Internacional'!$C$4)</f>
        <v>0</v>
      </c>
      <c r="H26" s="12">
        <f>COUNTIFS(Tabla1[Programa Postulación],'Movilidad Internacional'!$B26,Tabla1[Año de Movilidad],'Movilidad Internacional'!H$20,Tabla1[Tipo de Movilidad],'Movilidad Internacional'!$C$4)</f>
        <v>0</v>
      </c>
      <c r="P26" s="9" t="s">
        <v>238</v>
      </c>
      <c r="Q26" s="12">
        <f>COUNTIFS(Tabla1[Programa Postulación],'Movilidad Internacional'!$P26,Tabla1[Año de Movilidad],'Movilidad Internacional'!Q$20,Tabla1[Tipo de Movilidad],'Movilidad Internacional'!$Q$4)</f>
        <v>0</v>
      </c>
      <c r="R26" s="12">
        <f>COUNTIFS(Tabla1[Programa Postulación],'Movilidad Internacional'!$P26,Tabla1[Año de Movilidad],'Movilidad Internacional'!R$20,Tabla1[Tipo de Movilidad],'Movilidad Internacional'!$Q$4)</f>
        <v>0</v>
      </c>
      <c r="S26" s="12">
        <f>COUNTIFS(Tabla1[Programa Postulación],'Movilidad Internacional'!$P26,Tabla1[Año de Movilidad],'Movilidad Internacional'!S$20,Tabla1[Tipo de Movilidad],'Movilidad Internacional'!$Q$4)</f>
        <v>0</v>
      </c>
      <c r="T26" s="12">
        <f>COUNTIFS(Tabla1[Programa Postulación],'Movilidad Internacional'!$P26,Tabla1[Año de Movilidad],'Movilidad Internacional'!T$20,Tabla1[Tipo de Movilidad],'Movilidad Internacional'!$Q$4)</f>
        <v>0</v>
      </c>
      <c r="U26" s="12">
        <f>COUNTIFS(Tabla1[Programa Postulación],'Movilidad Internacional'!$P26,Tabla1[Año de Movilidad],'Movilidad Internacional'!U$20,Tabla1[Tipo de Movilidad],'Movilidad Internacional'!$Q$4)</f>
        <v>0</v>
      </c>
      <c r="V26" s="12">
        <f>COUNTIFS(Tabla1[Programa Postulación],'Movilidad Internacional'!$P26,Tabla1[Año de Movilidad],'Movilidad Internacional'!V$20,Tabla1[Tipo de Movilidad],'Movilidad Internacional'!$Q$4)</f>
        <v>0</v>
      </c>
      <c r="AC26" s="19"/>
      <c r="AD26" s="9" t="s">
        <v>238</v>
      </c>
      <c r="AE26" s="12">
        <f>COUNTIFS(Tabla1[Programa Postulación],'Movilidad Internacional'!$P26,Tabla1[Año de Movilidad],'Movilidad Internacional'!AE$20,Tabla1[Tipo de Movilidad],'Movilidad Internacional'!$AE$4)</f>
        <v>0</v>
      </c>
      <c r="AF26" s="12">
        <f>COUNTIFS(Tabla1[Programa Postulación],'Movilidad Internacional'!$P26,Tabla1[Año de Movilidad],'Movilidad Internacional'!AF$20,Tabla1[Tipo de Movilidad],'Movilidad Internacional'!$AE$4)</f>
        <v>0</v>
      </c>
      <c r="AG26" s="12">
        <f>COUNTIFS(Tabla1[Programa Postulación],'Movilidad Internacional'!$P26,Tabla1[Año de Movilidad],'Movilidad Internacional'!AG$20,Tabla1[Tipo de Movilidad],'Movilidad Internacional'!$AE$4)</f>
        <v>0</v>
      </c>
      <c r="AH26" s="12">
        <f>COUNTIFS(Tabla1[Programa Postulación],'Movilidad Internacional'!$P26,Tabla1[Año de Movilidad],'Movilidad Internacional'!AH$20,Tabla1[Tipo de Movilidad],'Movilidad Internacional'!$AE$4)</f>
        <v>0</v>
      </c>
      <c r="AI26" s="12">
        <f>COUNTIFS(Tabla1[Programa Postulación],'Movilidad Internacional'!$P26,Tabla1[Año de Movilidad],'Movilidad Internacional'!AI$20,Tabla1[Tipo de Movilidad],'Movilidad Internacional'!$AE$4)</f>
        <v>0</v>
      </c>
      <c r="AJ26" s="12">
        <f>COUNTIFS(Tabla1[Programa Postulación],'Movilidad Internacional'!$P26,Tabla1[Año de Movilidad],'Movilidad Internacional'!AJ$20,Tabla1[Tipo de Movilidad],'Movilidad Internacional'!$AE$4)</f>
        <v>0</v>
      </c>
    </row>
    <row r="27" spans="2:40" ht="30">
      <c r="B27" s="9" t="s">
        <v>239</v>
      </c>
      <c r="C27" s="12">
        <f>COUNTIFS(Tabla1[Programa Postulación],'Movilidad Internacional'!$B27,Tabla1[Año de Movilidad],'Movilidad Internacional'!C$20,Tabla1[Tipo de Movilidad],'Movilidad Internacional'!$C$4)</f>
        <v>0</v>
      </c>
      <c r="D27" s="12">
        <f>COUNTIFS(Tabla1[Programa Postulación],'Movilidad Internacional'!$B27,Tabla1[Año de Movilidad],'Movilidad Internacional'!D$20,Tabla1[Tipo de Movilidad],'Movilidad Internacional'!$C$4)</f>
        <v>0</v>
      </c>
      <c r="E27" s="12">
        <f>COUNTIFS(Tabla1[Programa Postulación],'Movilidad Internacional'!$B27,Tabla1[Año de Movilidad],'Movilidad Internacional'!E$20,Tabla1[Tipo de Movilidad],'Movilidad Internacional'!$C$4)</f>
        <v>0</v>
      </c>
      <c r="F27" s="12">
        <f>COUNTIFS(Tabla1[Programa Postulación],'Movilidad Internacional'!$B27,Tabla1[Año de Movilidad],'Movilidad Internacional'!F$20,Tabla1[Tipo de Movilidad],'Movilidad Internacional'!$C$4)</f>
        <v>1</v>
      </c>
      <c r="G27" s="12">
        <f>COUNTIFS(Tabla1[Programa Postulación],'Movilidad Internacional'!$B27,Tabla1[Año de Movilidad],'Movilidad Internacional'!G$20,Tabla1[Tipo de Movilidad],'Movilidad Internacional'!$C$4)</f>
        <v>0</v>
      </c>
      <c r="H27" s="12">
        <f>COUNTIFS(Tabla1[Programa Postulación],'Movilidad Internacional'!$B27,Tabla1[Año de Movilidad],'Movilidad Internacional'!H$20,Tabla1[Tipo de Movilidad],'Movilidad Internacional'!$C$4)</f>
        <v>0</v>
      </c>
      <c r="P27" s="9" t="s">
        <v>239</v>
      </c>
      <c r="Q27" s="12">
        <f>COUNTIFS(Tabla1[Programa Postulación],'Movilidad Internacional'!$P27,Tabla1[Año de Movilidad],'Movilidad Internacional'!Q$20,Tabla1[Tipo de Movilidad],'Movilidad Internacional'!$Q$4)</f>
        <v>0</v>
      </c>
      <c r="R27" s="12">
        <f>COUNTIFS(Tabla1[Programa Postulación],'Movilidad Internacional'!$P27,Tabla1[Año de Movilidad],'Movilidad Internacional'!R$20,Tabla1[Tipo de Movilidad],'Movilidad Internacional'!$Q$4)</f>
        <v>0</v>
      </c>
      <c r="S27" s="12">
        <f>COUNTIFS(Tabla1[Programa Postulación],'Movilidad Internacional'!$P27,Tabla1[Año de Movilidad],'Movilidad Internacional'!S$20,Tabla1[Tipo de Movilidad],'Movilidad Internacional'!$Q$4)</f>
        <v>0</v>
      </c>
      <c r="T27" s="12">
        <f>COUNTIFS(Tabla1[Programa Postulación],'Movilidad Internacional'!$P27,Tabla1[Año de Movilidad],'Movilidad Internacional'!T$20,Tabla1[Tipo de Movilidad],'Movilidad Internacional'!$Q$4)</f>
        <v>0</v>
      </c>
      <c r="U27" s="12">
        <f>COUNTIFS(Tabla1[Programa Postulación],'Movilidad Internacional'!$P27,Tabla1[Año de Movilidad],'Movilidad Internacional'!U$20,Tabla1[Tipo de Movilidad],'Movilidad Internacional'!$Q$4)</f>
        <v>0</v>
      </c>
      <c r="V27" s="12">
        <f>COUNTIFS(Tabla1[Programa Postulación],'Movilidad Internacional'!$P27,Tabla1[Año de Movilidad],'Movilidad Internacional'!V$20,Tabla1[Tipo de Movilidad],'Movilidad Internacional'!$Q$4)</f>
        <v>0</v>
      </c>
      <c r="AC27" s="19"/>
      <c r="AD27" s="9" t="s">
        <v>239</v>
      </c>
      <c r="AE27" s="12">
        <f>COUNTIFS(Tabla1[Programa Postulación],'Movilidad Internacional'!$P27,Tabla1[Año de Movilidad],'Movilidad Internacional'!AE$20,Tabla1[Tipo de Movilidad],'Movilidad Internacional'!$AE$4)</f>
        <v>0</v>
      </c>
      <c r="AF27" s="12">
        <f>COUNTIFS(Tabla1[Programa Postulación],'Movilidad Internacional'!$P27,Tabla1[Año de Movilidad],'Movilidad Internacional'!AF$20,Tabla1[Tipo de Movilidad],'Movilidad Internacional'!$AE$4)</f>
        <v>0</v>
      </c>
      <c r="AG27" s="12">
        <f>COUNTIFS(Tabla1[Programa Postulación],'Movilidad Internacional'!$P27,Tabla1[Año de Movilidad],'Movilidad Internacional'!AG$20,Tabla1[Tipo de Movilidad],'Movilidad Internacional'!$AE$4)</f>
        <v>0</v>
      </c>
      <c r="AH27" s="12">
        <f>COUNTIFS(Tabla1[Programa Postulación],'Movilidad Internacional'!$P27,Tabla1[Año de Movilidad],'Movilidad Internacional'!AH$20,Tabla1[Tipo de Movilidad],'Movilidad Internacional'!$AE$4)</f>
        <v>0</v>
      </c>
      <c r="AI27" s="12">
        <f>COUNTIFS(Tabla1[Programa Postulación],'Movilidad Internacional'!$P27,Tabla1[Año de Movilidad],'Movilidad Internacional'!AI$20,Tabla1[Tipo de Movilidad],'Movilidad Internacional'!$AE$4)</f>
        <v>0</v>
      </c>
      <c r="AJ27" s="12">
        <f>COUNTIFS(Tabla1[Programa Postulación],'Movilidad Internacional'!$P27,Tabla1[Año de Movilidad],'Movilidad Internacional'!AJ$20,Tabla1[Tipo de Movilidad],'Movilidad Internacional'!$AE$4)</f>
        <v>0</v>
      </c>
    </row>
    <row r="28" spans="2:40" ht="30">
      <c r="B28" s="9" t="s">
        <v>240</v>
      </c>
      <c r="C28" s="12">
        <f>COUNTIFS(Tabla1[Programa Postulación],'Movilidad Internacional'!$B28,Tabla1[Año de Movilidad],'Movilidad Internacional'!C$20,Tabla1[Tipo de Movilidad],'Movilidad Internacional'!$C$4)</f>
        <v>0</v>
      </c>
      <c r="D28" s="12">
        <f>COUNTIFS(Tabla1[Programa Postulación],'Movilidad Internacional'!$B28,Tabla1[Año de Movilidad],'Movilidad Internacional'!D$20,Tabla1[Tipo de Movilidad],'Movilidad Internacional'!$C$4)</f>
        <v>0</v>
      </c>
      <c r="E28" s="12">
        <f>COUNTIFS(Tabla1[Programa Postulación],'Movilidad Internacional'!$B28,Tabla1[Año de Movilidad],'Movilidad Internacional'!E$20,Tabla1[Tipo de Movilidad],'Movilidad Internacional'!$C$4)</f>
        <v>0</v>
      </c>
      <c r="F28" s="12">
        <f>COUNTIFS(Tabla1[Programa Postulación],'Movilidad Internacional'!$B28,Tabla1[Año de Movilidad],'Movilidad Internacional'!F$20,Tabla1[Tipo de Movilidad],'Movilidad Internacional'!$C$4)</f>
        <v>0</v>
      </c>
      <c r="G28" s="12">
        <f>COUNTIFS(Tabla1[Programa Postulación],'Movilidad Internacional'!$B28,Tabla1[Año de Movilidad],'Movilidad Internacional'!G$20,Tabla1[Tipo de Movilidad],'Movilidad Internacional'!$C$4)</f>
        <v>0</v>
      </c>
      <c r="H28" s="12">
        <f>COUNTIFS(Tabla1[Programa Postulación],'Movilidad Internacional'!$B28,Tabla1[Año de Movilidad],'Movilidad Internacional'!H$20,Tabla1[Tipo de Movilidad],'Movilidad Internacional'!$C$4)</f>
        <v>1</v>
      </c>
      <c r="P28" s="9" t="s">
        <v>240</v>
      </c>
      <c r="Q28" s="12">
        <f>COUNTIFS(Tabla1[Programa Postulación],'Movilidad Internacional'!$P28,Tabla1[Año de Movilidad],'Movilidad Internacional'!Q$20,Tabla1[Tipo de Movilidad],'Movilidad Internacional'!$Q$4)</f>
        <v>0</v>
      </c>
      <c r="R28" s="12">
        <f>COUNTIFS(Tabla1[Programa Postulación],'Movilidad Internacional'!$P28,Tabla1[Año de Movilidad],'Movilidad Internacional'!R$20,Tabla1[Tipo de Movilidad],'Movilidad Internacional'!$Q$4)</f>
        <v>0</v>
      </c>
      <c r="S28" s="12">
        <f>COUNTIFS(Tabla1[Programa Postulación],'Movilidad Internacional'!$P28,Tabla1[Año de Movilidad],'Movilidad Internacional'!S$20,Tabla1[Tipo de Movilidad],'Movilidad Internacional'!$Q$4)</f>
        <v>0</v>
      </c>
      <c r="T28" s="12">
        <f>COUNTIFS(Tabla1[Programa Postulación],'Movilidad Internacional'!$P28,Tabla1[Año de Movilidad],'Movilidad Internacional'!T$20,Tabla1[Tipo de Movilidad],'Movilidad Internacional'!$Q$4)</f>
        <v>0</v>
      </c>
      <c r="U28" s="12">
        <f>COUNTIFS(Tabla1[Programa Postulación],'Movilidad Internacional'!$P28,Tabla1[Año de Movilidad],'Movilidad Internacional'!U$20,Tabla1[Tipo de Movilidad],'Movilidad Internacional'!$Q$4)</f>
        <v>0</v>
      </c>
      <c r="V28" s="12">
        <f>COUNTIFS(Tabla1[Programa Postulación],'Movilidad Internacional'!$P28,Tabla1[Año de Movilidad],'Movilidad Internacional'!V$20,Tabla1[Tipo de Movilidad],'Movilidad Internacional'!$Q$4)</f>
        <v>0</v>
      </c>
      <c r="AC28" s="19"/>
      <c r="AD28" s="9" t="s">
        <v>240</v>
      </c>
      <c r="AE28" s="12">
        <f>COUNTIFS(Tabla1[Programa Postulación],'Movilidad Internacional'!$P28,Tabla1[Año de Movilidad],'Movilidad Internacional'!AE$20,Tabla1[Tipo de Movilidad],'Movilidad Internacional'!$AE$4)</f>
        <v>0</v>
      </c>
      <c r="AF28" s="12">
        <f>COUNTIFS(Tabla1[Programa Postulación],'Movilidad Internacional'!$P28,Tabla1[Año de Movilidad],'Movilidad Internacional'!AF$20,Tabla1[Tipo de Movilidad],'Movilidad Internacional'!$AE$4)</f>
        <v>0</v>
      </c>
      <c r="AG28" s="12">
        <f>COUNTIFS(Tabla1[Programa Postulación],'Movilidad Internacional'!$P28,Tabla1[Año de Movilidad],'Movilidad Internacional'!AG$20,Tabla1[Tipo de Movilidad],'Movilidad Internacional'!$AE$4)</f>
        <v>0</v>
      </c>
      <c r="AH28" s="12">
        <f>COUNTIFS(Tabla1[Programa Postulación],'Movilidad Internacional'!$P28,Tabla1[Año de Movilidad],'Movilidad Internacional'!AH$20,Tabla1[Tipo de Movilidad],'Movilidad Internacional'!$AE$4)</f>
        <v>0</v>
      </c>
      <c r="AI28" s="12">
        <f>COUNTIFS(Tabla1[Programa Postulación],'Movilidad Internacional'!$P28,Tabla1[Año de Movilidad],'Movilidad Internacional'!AI$20,Tabla1[Tipo de Movilidad],'Movilidad Internacional'!$AE$4)</f>
        <v>0</v>
      </c>
      <c r="AJ28" s="12">
        <f>COUNTIFS(Tabla1[Programa Postulación],'Movilidad Internacional'!$P28,Tabla1[Año de Movilidad],'Movilidad Internacional'!AJ$20,Tabla1[Tipo de Movilidad],'Movilidad Internacional'!$AE$4)</f>
        <v>0</v>
      </c>
    </row>
    <row r="29" spans="2:40" ht="30">
      <c r="B29" s="10" t="s">
        <v>241</v>
      </c>
      <c r="C29" s="12">
        <f>COUNTIFS(Tabla1[Programa Postulación],'Movilidad Internacional'!$B29,Tabla1[Año de Movilidad],'Movilidad Internacional'!C$20,Tabla1[Tipo de Movilidad],'Movilidad Internacional'!$C$4)</f>
        <v>0</v>
      </c>
      <c r="D29" s="12">
        <f>COUNTIFS(Tabla1[Programa Postulación],'Movilidad Internacional'!$B29,Tabla1[Año de Movilidad],'Movilidad Internacional'!D$20,Tabla1[Tipo de Movilidad],'Movilidad Internacional'!$C$4)</f>
        <v>0</v>
      </c>
      <c r="E29" s="12">
        <f>COUNTIFS(Tabla1[Programa Postulación],'Movilidad Internacional'!$B29,Tabla1[Año de Movilidad],'Movilidad Internacional'!E$20,Tabla1[Tipo de Movilidad],'Movilidad Internacional'!$C$4)</f>
        <v>0</v>
      </c>
      <c r="F29" s="12">
        <f>COUNTIFS(Tabla1[Programa Postulación],'Movilidad Internacional'!$B29,Tabla1[Año de Movilidad],'Movilidad Internacional'!F$20,Tabla1[Tipo de Movilidad],'Movilidad Internacional'!$C$4)</f>
        <v>0</v>
      </c>
      <c r="G29" s="12">
        <f>COUNTIFS(Tabla1[Programa Postulación],'Movilidad Internacional'!$B29,Tabla1[Año de Movilidad],'Movilidad Internacional'!G$20,Tabla1[Tipo de Movilidad],'Movilidad Internacional'!$C$4)</f>
        <v>1</v>
      </c>
      <c r="H29" s="12">
        <f>COUNTIFS(Tabla1[Programa Postulación],'Movilidad Internacional'!$B29,Tabla1[Año de Movilidad],'Movilidad Internacional'!H$20,Tabla1[Tipo de Movilidad],'Movilidad Internacional'!$C$4)</f>
        <v>0</v>
      </c>
      <c r="P29" s="10" t="s">
        <v>241</v>
      </c>
      <c r="Q29" s="12">
        <f>COUNTIFS(Tabla1[Programa Postulación],'Movilidad Internacional'!$P29,Tabla1[Año de Movilidad],'Movilidad Internacional'!Q$20,Tabla1[Tipo de Movilidad],'Movilidad Internacional'!$Q$4)</f>
        <v>0</v>
      </c>
      <c r="R29" s="12">
        <f>COUNTIFS(Tabla1[Programa Postulación],'Movilidad Internacional'!$P29,Tabla1[Año de Movilidad],'Movilidad Internacional'!R$20,Tabla1[Tipo de Movilidad],'Movilidad Internacional'!$Q$4)</f>
        <v>0</v>
      </c>
      <c r="S29" s="12">
        <f>COUNTIFS(Tabla1[Programa Postulación],'Movilidad Internacional'!$P29,Tabla1[Año de Movilidad],'Movilidad Internacional'!S$20,Tabla1[Tipo de Movilidad],'Movilidad Internacional'!$Q$4)</f>
        <v>0</v>
      </c>
      <c r="T29" s="12">
        <f>COUNTIFS(Tabla1[Programa Postulación],'Movilidad Internacional'!$P29,Tabla1[Año de Movilidad],'Movilidad Internacional'!T$20,Tabla1[Tipo de Movilidad],'Movilidad Internacional'!$Q$4)</f>
        <v>0</v>
      </c>
      <c r="U29" s="12">
        <f>COUNTIFS(Tabla1[Programa Postulación],'Movilidad Internacional'!$P29,Tabla1[Año de Movilidad],'Movilidad Internacional'!U$20,Tabla1[Tipo de Movilidad],'Movilidad Internacional'!$Q$4)</f>
        <v>0</v>
      </c>
      <c r="V29" s="12">
        <f>COUNTIFS(Tabla1[Programa Postulación],'Movilidad Internacional'!$P29,Tabla1[Año de Movilidad],'Movilidad Internacional'!V$20,Tabla1[Tipo de Movilidad],'Movilidad Internacional'!$Q$4)</f>
        <v>0</v>
      </c>
      <c r="AC29" s="19"/>
      <c r="AD29" s="10" t="s">
        <v>241</v>
      </c>
      <c r="AE29" s="12">
        <f>COUNTIFS(Tabla1[Programa Postulación],'Movilidad Internacional'!$P29,Tabla1[Año de Movilidad],'Movilidad Internacional'!AE$20,Tabla1[Tipo de Movilidad],'Movilidad Internacional'!$AE$4)</f>
        <v>0</v>
      </c>
      <c r="AF29" s="12">
        <f>COUNTIFS(Tabla1[Programa Postulación],'Movilidad Internacional'!$P29,Tabla1[Año de Movilidad],'Movilidad Internacional'!AF$20,Tabla1[Tipo de Movilidad],'Movilidad Internacional'!$AE$4)</f>
        <v>0</v>
      </c>
      <c r="AG29" s="12">
        <f>COUNTIFS(Tabla1[Programa Postulación],'Movilidad Internacional'!$P29,Tabla1[Año de Movilidad],'Movilidad Internacional'!AG$20,Tabla1[Tipo de Movilidad],'Movilidad Internacional'!$AE$4)</f>
        <v>0</v>
      </c>
      <c r="AH29" s="12">
        <f>COUNTIFS(Tabla1[Programa Postulación],'Movilidad Internacional'!$P29,Tabla1[Año de Movilidad],'Movilidad Internacional'!AH$20,Tabla1[Tipo de Movilidad],'Movilidad Internacional'!$AE$4)</f>
        <v>8</v>
      </c>
      <c r="AI29" s="12">
        <f>COUNTIFS(Tabla1[Programa Postulación],'Movilidad Internacional'!$P29,Tabla1[Año de Movilidad],'Movilidad Internacional'!AI$20,Tabla1[Tipo de Movilidad],'Movilidad Internacional'!$AE$4)</f>
        <v>1</v>
      </c>
      <c r="AJ29" s="12">
        <f>COUNTIFS(Tabla1[Programa Postulación],'Movilidad Internacional'!$P29,Tabla1[Año de Movilidad],'Movilidad Internacional'!AJ$20,Tabla1[Tipo de Movilidad],'Movilidad Internacional'!$AE$4)</f>
        <v>3</v>
      </c>
    </row>
    <row r="30" spans="2:40">
      <c r="J30" s="20"/>
      <c r="P30" s="18"/>
      <c r="S30" s="19"/>
      <c r="T30" s="19"/>
      <c r="U30" s="19"/>
      <c r="V30" s="19"/>
      <c r="AC30" s="19"/>
      <c r="AD30" s="18"/>
      <c r="AE30" s="19"/>
      <c r="AF30" s="19"/>
      <c r="AG30" s="19"/>
      <c r="AH30" s="19"/>
      <c r="AI30" s="19"/>
      <c r="AJ30" s="19"/>
    </row>
    <row r="31" spans="2:40">
      <c r="C31" s="13">
        <v>2020</v>
      </c>
      <c r="D31" s="13">
        <v>2021</v>
      </c>
      <c r="E31" s="13">
        <v>2022</v>
      </c>
      <c r="F31" s="13">
        <v>2023</v>
      </c>
      <c r="G31" s="13">
        <v>2024</v>
      </c>
      <c r="H31" s="13">
        <v>2025</v>
      </c>
      <c r="J31" s="20"/>
      <c r="P31" s="18"/>
      <c r="Q31" s="13">
        <v>2020</v>
      </c>
      <c r="R31" s="13">
        <v>2021</v>
      </c>
      <c r="S31" s="13">
        <v>2022</v>
      </c>
      <c r="T31" s="13">
        <v>2023</v>
      </c>
      <c r="U31" s="13">
        <v>2024</v>
      </c>
      <c r="V31" s="13">
        <v>2025</v>
      </c>
      <c r="AC31" s="19"/>
      <c r="AD31" s="18"/>
      <c r="AE31" s="13">
        <v>2020</v>
      </c>
      <c r="AF31" s="13">
        <v>2021</v>
      </c>
      <c r="AG31" s="13">
        <v>2022</v>
      </c>
      <c r="AH31" s="13">
        <v>2023</v>
      </c>
      <c r="AI31" s="13">
        <v>2024</v>
      </c>
      <c r="AJ31" s="13">
        <v>2025</v>
      </c>
    </row>
    <row r="32" spans="2:40">
      <c r="B32" s="16" t="s">
        <v>242</v>
      </c>
      <c r="C32" s="17">
        <f t="shared" ref="C32:H32" si="16">SUM(C21:C22)</f>
        <v>43</v>
      </c>
      <c r="D32" s="17">
        <f t="shared" si="16"/>
        <v>47</v>
      </c>
      <c r="E32" s="17">
        <f t="shared" si="16"/>
        <v>90</v>
      </c>
      <c r="F32" s="17">
        <f t="shared" si="16"/>
        <v>137</v>
      </c>
      <c r="G32" s="17">
        <f t="shared" si="16"/>
        <v>90</v>
      </c>
      <c r="H32" s="17">
        <f t="shared" si="16"/>
        <v>63</v>
      </c>
      <c r="J32" s="20"/>
      <c r="P32" s="16" t="s">
        <v>242</v>
      </c>
      <c r="Q32" s="17">
        <f t="shared" ref="Q32:V32" si="17">SUM(Q21:Q22)</f>
        <v>6</v>
      </c>
      <c r="R32" s="17">
        <f t="shared" si="17"/>
        <v>5</v>
      </c>
      <c r="S32" s="17">
        <f t="shared" si="17"/>
        <v>12</v>
      </c>
      <c r="T32" s="17">
        <f t="shared" si="17"/>
        <v>12</v>
      </c>
      <c r="U32" s="17">
        <f t="shared" si="17"/>
        <v>8</v>
      </c>
      <c r="V32" s="17">
        <f t="shared" si="17"/>
        <v>0</v>
      </c>
      <c r="AC32" s="19"/>
      <c r="AD32" s="16" t="s">
        <v>242</v>
      </c>
      <c r="AE32" s="17">
        <f t="shared" ref="AE32:AJ32" si="18">SUM(AE21:AE22)</f>
        <v>2</v>
      </c>
      <c r="AF32" s="17">
        <f t="shared" si="18"/>
        <v>8</v>
      </c>
      <c r="AG32" s="17">
        <f t="shared" si="18"/>
        <v>3</v>
      </c>
      <c r="AH32" s="17">
        <f t="shared" si="18"/>
        <v>1</v>
      </c>
      <c r="AI32" s="17">
        <f t="shared" si="18"/>
        <v>2</v>
      </c>
      <c r="AJ32" s="17">
        <f t="shared" si="18"/>
        <v>0</v>
      </c>
    </row>
    <row r="33" spans="2:50">
      <c r="B33" s="9" t="s">
        <v>243</v>
      </c>
      <c r="C33" s="12">
        <f t="shared" ref="C33:H33" si="19">SUM(C23:C29)</f>
        <v>0</v>
      </c>
      <c r="D33" s="12">
        <f t="shared" si="19"/>
        <v>2</v>
      </c>
      <c r="E33" s="12">
        <f t="shared" si="19"/>
        <v>6</v>
      </c>
      <c r="F33" s="12">
        <f t="shared" si="19"/>
        <v>6</v>
      </c>
      <c r="G33" s="12">
        <f t="shared" si="19"/>
        <v>4</v>
      </c>
      <c r="H33" s="12">
        <f t="shared" si="19"/>
        <v>1</v>
      </c>
      <c r="J33" s="20"/>
      <c r="P33" s="9" t="s">
        <v>243</v>
      </c>
      <c r="Q33" s="12">
        <f t="shared" ref="Q33:V33" si="20">SUM(Q23:Q29)</f>
        <v>0</v>
      </c>
      <c r="R33" s="12">
        <f t="shared" si="20"/>
        <v>0</v>
      </c>
      <c r="S33" s="12">
        <f t="shared" si="20"/>
        <v>0</v>
      </c>
      <c r="T33" s="12">
        <f t="shared" si="20"/>
        <v>0</v>
      </c>
      <c r="U33" s="12">
        <f t="shared" si="20"/>
        <v>0</v>
      </c>
      <c r="V33" s="12">
        <f t="shared" si="20"/>
        <v>0</v>
      </c>
      <c r="AC33" s="19"/>
      <c r="AD33" s="9" t="s">
        <v>243</v>
      </c>
      <c r="AE33" s="12">
        <f t="shared" ref="AE33:AJ33" si="21">SUM(AE23:AE29)</f>
        <v>0</v>
      </c>
      <c r="AF33" s="12">
        <f t="shared" si="21"/>
        <v>0</v>
      </c>
      <c r="AG33" s="12">
        <f t="shared" si="21"/>
        <v>0</v>
      </c>
      <c r="AH33" s="12">
        <f t="shared" si="21"/>
        <v>8</v>
      </c>
      <c r="AI33" s="12">
        <f t="shared" si="21"/>
        <v>1</v>
      </c>
      <c r="AJ33" s="12">
        <f t="shared" si="21"/>
        <v>3</v>
      </c>
    </row>
    <row r="34" spans="2:50">
      <c r="J34" s="20"/>
      <c r="T34" s="18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</row>
    <row r="35" spans="2:50" ht="9" customHeight="1">
      <c r="J35" s="20"/>
      <c r="T35" s="18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</row>
    <row r="36" spans="2:50" s="41" customFormat="1" ht="24" customHeight="1">
      <c r="B36" s="253" t="s">
        <v>244</v>
      </c>
      <c r="C36" s="253"/>
      <c r="D36" s="253"/>
      <c r="E36" s="253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  <c r="AA36" s="253"/>
      <c r="AB36" s="253"/>
      <c r="AC36" s="253"/>
      <c r="AD36" s="253"/>
      <c r="AE36" s="253"/>
      <c r="AF36" s="253"/>
      <c r="AG36" s="253"/>
      <c r="AH36" s="253"/>
      <c r="AI36" s="253"/>
      <c r="AJ36" s="253"/>
      <c r="AK36" s="253"/>
      <c r="AL36" s="253"/>
      <c r="AM36" s="253"/>
      <c r="AN36" s="253"/>
      <c r="AO36" s="253"/>
      <c r="AP36" s="253"/>
      <c r="AQ36" s="253"/>
      <c r="AR36" s="253"/>
      <c r="AS36" s="253"/>
      <c r="AT36" s="253"/>
      <c r="AU36" s="253"/>
      <c r="AV36" s="253"/>
      <c r="AW36" s="198"/>
    </row>
    <row r="37" spans="2:50" ht="9" customHeight="1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 spans="2:50">
      <c r="C38" s="254" t="s">
        <v>230</v>
      </c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0"/>
      <c r="P38" s="18"/>
      <c r="Q38" s="254" t="s">
        <v>231</v>
      </c>
      <c r="R38" s="254"/>
      <c r="S38" s="254"/>
      <c r="T38" s="254"/>
      <c r="U38" s="254"/>
      <c r="V38" s="254"/>
      <c r="W38" s="254"/>
      <c r="X38" s="254"/>
      <c r="Y38" s="254"/>
      <c r="Z38" s="254"/>
      <c r="AA38" s="254"/>
      <c r="AB38" s="254"/>
      <c r="AD38" s="18"/>
      <c r="AE38" s="254" t="s">
        <v>245</v>
      </c>
      <c r="AF38" s="254"/>
      <c r="AG38" s="254"/>
      <c r="AH38" s="254"/>
      <c r="AI38" s="254"/>
      <c r="AJ38" s="254"/>
      <c r="AK38" s="254"/>
      <c r="AL38" s="254"/>
      <c r="AM38" s="254"/>
      <c r="AN38" s="254"/>
      <c r="AO38" s="254"/>
      <c r="AP38" s="254"/>
      <c r="AS38" s="254" t="s">
        <v>246</v>
      </c>
      <c r="AT38" s="254"/>
      <c r="AU38" s="254"/>
      <c r="AV38" s="254"/>
      <c r="AW38" s="254"/>
      <c r="AX38" s="254"/>
    </row>
    <row r="39" spans="2:50">
      <c r="C39" s="170">
        <v>202010</v>
      </c>
      <c r="D39" s="170">
        <v>202020</v>
      </c>
      <c r="E39" s="170">
        <v>202110</v>
      </c>
      <c r="F39" s="170">
        <v>202120</v>
      </c>
      <c r="G39" s="170">
        <v>202210</v>
      </c>
      <c r="H39" s="170">
        <v>202220</v>
      </c>
      <c r="I39" s="170">
        <v>202310</v>
      </c>
      <c r="J39" s="170">
        <v>202320</v>
      </c>
      <c r="K39" s="170">
        <v>202410</v>
      </c>
      <c r="L39" s="170">
        <v>202420</v>
      </c>
      <c r="M39" s="170">
        <v>202510</v>
      </c>
      <c r="N39" s="170">
        <v>202520</v>
      </c>
      <c r="O39" s="20"/>
      <c r="P39" s="18"/>
      <c r="Q39" s="170">
        <v>202010</v>
      </c>
      <c r="R39" s="170">
        <v>202020</v>
      </c>
      <c r="S39" s="170">
        <v>202110</v>
      </c>
      <c r="T39" s="170">
        <v>202120</v>
      </c>
      <c r="U39" s="170">
        <v>202210</v>
      </c>
      <c r="V39" s="170">
        <v>202220</v>
      </c>
      <c r="W39" s="170">
        <v>202310</v>
      </c>
      <c r="X39" s="170">
        <v>202320</v>
      </c>
      <c r="Y39" s="170">
        <v>202410</v>
      </c>
      <c r="Z39" s="170">
        <v>202420</v>
      </c>
      <c r="AA39" s="170">
        <v>202510</v>
      </c>
      <c r="AB39" s="170">
        <v>202520</v>
      </c>
      <c r="AD39" s="18"/>
      <c r="AE39" s="170">
        <v>202010</v>
      </c>
      <c r="AF39" s="170">
        <v>202020</v>
      </c>
      <c r="AG39" s="170">
        <v>202110</v>
      </c>
      <c r="AH39" s="170">
        <v>202120</v>
      </c>
      <c r="AI39" s="170">
        <v>202210</v>
      </c>
      <c r="AJ39" s="170">
        <v>202220</v>
      </c>
      <c r="AK39" s="170">
        <v>202310</v>
      </c>
      <c r="AL39" s="170">
        <v>202320</v>
      </c>
      <c r="AM39" s="170">
        <v>202410</v>
      </c>
      <c r="AN39" s="170">
        <v>202420</v>
      </c>
      <c r="AO39" s="170">
        <v>202510</v>
      </c>
      <c r="AP39" s="170">
        <v>202520</v>
      </c>
      <c r="AR39" s="18"/>
      <c r="AS39" s="170">
        <v>2020</v>
      </c>
      <c r="AT39" s="170">
        <v>2021</v>
      </c>
      <c r="AU39" s="170">
        <v>2022</v>
      </c>
      <c r="AV39" s="170">
        <v>2023</v>
      </c>
      <c r="AW39" s="170">
        <v>2024</v>
      </c>
      <c r="AX39" s="170">
        <v>2025</v>
      </c>
    </row>
    <row r="40" spans="2:50" ht="30">
      <c r="B40" s="31" t="s">
        <v>233</v>
      </c>
      <c r="C40" s="32">
        <f>COUNTIFS(Tabla2[Programa Nominación],'Movilidad Internacional'!$B40,Tabla2[Semestre de Movilidad],'Movilidad Internacional'!C$39,Tabla2[Tipo de Movilidad],$C$38)</f>
        <v>30</v>
      </c>
      <c r="D40" s="32">
        <f>COUNTIFS(Tabla2[Programa Nominación],'Movilidad Internacional'!$B40,Tabla2[Semestre de Movilidad],'Movilidad Internacional'!D$39,Tabla2[Tipo de Movilidad],$C$38)</f>
        <v>0</v>
      </c>
      <c r="E40" s="32">
        <f>COUNTIFS(Tabla2[Programa Nominación],'Movilidad Internacional'!$B40,Tabla2[Semestre de Movilidad],'Movilidad Internacional'!E$39,Tabla2[Tipo de Movilidad],$C$38)</f>
        <v>9</v>
      </c>
      <c r="F40" s="32">
        <f>COUNTIFS(Tabla2[Programa Nominación],'Movilidad Internacional'!$B40,Tabla2[Semestre de Movilidad],'Movilidad Internacional'!F$39,Tabla2[Tipo de Movilidad],$C$38)</f>
        <v>11</v>
      </c>
      <c r="G40" s="32">
        <f>COUNTIFS(Tabla2[Programa Nominación],'Movilidad Internacional'!$B40,Tabla2[Semestre de Movilidad],'Movilidad Internacional'!G$39,Tabla2[Tipo de Movilidad],$C$38)</f>
        <v>22</v>
      </c>
      <c r="H40" s="32">
        <f>COUNTIFS(Tabla2[Programa Nominación],'Movilidad Internacional'!$B40,Tabla2[Semestre de Movilidad],'Movilidad Internacional'!H$39,Tabla2[Tipo de Movilidad],$C$38)</f>
        <v>30</v>
      </c>
      <c r="I40" s="32">
        <f>COUNTIFS(Tabla2[Programa Nominación],'Movilidad Internacional'!$B40,Tabla2[Semestre de Movilidad],'Movilidad Internacional'!I$39,Tabla2[Tipo de Movilidad],$C$38)</f>
        <v>26</v>
      </c>
      <c r="J40" s="32">
        <f>COUNTIFS(Tabla2[Programa Nominación],'Movilidad Internacional'!$B40,Tabla2[Semestre de Movilidad],'Movilidad Internacional'!J$39,Tabla2[Tipo de Movilidad],$C$38)</f>
        <v>35</v>
      </c>
      <c r="K40" s="32">
        <f>COUNTIFS(Tabla2[Programa Nominación],'Movilidad Internacional'!$B40,Tabla2[Semestre de Movilidad],'Movilidad Internacional'!K$39,Tabla2[Tipo de Movilidad],$C$38)</f>
        <v>31</v>
      </c>
      <c r="L40" s="32">
        <f>COUNTIFS(Tabla2[Programa Nominación],'Movilidad Internacional'!$B40,Tabla2[Semestre de Movilidad],'Movilidad Internacional'!L$39,Tabla2[Tipo de Movilidad],$C$38)</f>
        <v>28</v>
      </c>
      <c r="M40" s="32">
        <f>COUNTIFS(Tabla2[Programa Nominación],'Movilidad Internacional'!$B40,Tabla2[Semestre de Movilidad],'Movilidad Internacional'!M$39,Tabla2[Tipo de Movilidad],$C$38)</f>
        <v>27</v>
      </c>
      <c r="N40" s="32">
        <f>COUNTIFS(Tabla2[Programa Nominación],'Movilidad Internacional'!$B40,Tabla2[Semestre de Movilidad],'Movilidad Internacional'!N$39,Tabla2[Tipo de Movilidad],$C$38)</f>
        <v>0</v>
      </c>
      <c r="O40" s="20"/>
      <c r="P40" s="31" t="s">
        <v>233</v>
      </c>
      <c r="Q40" s="32">
        <f>COUNTIFS(Tabla2[Programa Nominación],'Movilidad Internacional'!$P40,Tabla2[Semestre de Movilidad],'Movilidad Internacional'!Q$39,Tabla2[Tipo de Movilidad],$Q$38)</f>
        <v>2</v>
      </c>
      <c r="R40" s="32">
        <f>COUNTIFS(Tabla2[Programa Nominación],'Movilidad Internacional'!$P40,Tabla2[Semestre de Movilidad],'Movilidad Internacional'!R$39,Tabla2[Tipo de Movilidad],$Q$38)</f>
        <v>0</v>
      </c>
      <c r="S40" s="32">
        <f>COUNTIFS(Tabla2[Programa Nominación],'Movilidad Internacional'!$P40,Tabla2[Semestre de Movilidad],'Movilidad Internacional'!S$39,Tabla2[Tipo de Movilidad],$Q$38)</f>
        <v>1</v>
      </c>
      <c r="T40" s="32">
        <f>COUNTIFS(Tabla2[Programa Nominación],'Movilidad Internacional'!$P40,Tabla2[Semestre de Movilidad],'Movilidad Internacional'!T$39,Tabla2[Tipo de Movilidad],$Q$38)</f>
        <v>0</v>
      </c>
      <c r="U40" s="32">
        <f>COUNTIFS(Tabla2[Programa Nominación],'Movilidad Internacional'!$P40,Tabla2[Semestre de Movilidad],'Movilidad Internacional'!U$39,Tabla2[Tipo de Movilidad],$Q$38)</f>
        <v>0</v>
      </c>
      <c r="V40" s="32">
        <f>COUNTIFS(Tabla2[Programa Nominación],'Movilidad Internacional'!$P40,Tabla2[Semestre de Movilidad],'Movilidad Internacional'!V$39,Tabla2[Tipo de Movilidad],$Q$38)</f>
        <v>0</v>
      </c>
      <c r="W40" s="32">
        <f>COUNTIFS(Tabla2[Programa Nominación],'Movilidad Internacional'!$P40,Tabla2[Semestre de Movilidad],'Movilidad Internacional'!W$39,Tabla2[Tipo de Movilidad],$Q$38)</f>
        <v>0</v>
      </c>
      <c r="X40" s="32">
        <f>COUNTIFS(Tabla2[Programa Nominación],'Movilidad Internacional'!$P40,Tabla2[Semestre de Movilidad],'Movilidad Internacional'!X$39,Tabla2[Tipo de Movilidad],$Q$38)</f>
        <v>0</v>
      </c>
      <c r="Y40" s="32">
        <f>COUNTIFS(Tabla2[Programa Nominación],'Movilidad Internacional'!$P40,Tabla2[Semestre de Movilidad],'Movilidad Internacional'!Y$39,Tabla2[Tipo de Movilidad],$Q$38)</f>
        <v>0</v>
      </c>
      <c r="Z40" s="32">
        <f>COUNTIFS(Tabla2[Programa Nominación],'Movilidad Internacional'!$P40,Tabla2[Semestre de Movilidad],'Movilidad Internacional'!Z$39,Tabla2[Tipo de Movilidad],$Q$38)</f>
        <v>0</v>
      </c>
      <c r="AA40" s="32">
        <f>COUNTIFS(Tabla2[Programa Nominación],'Movilidad Internacional'!$P40,Tabla2[Semestre de Movilidad],'Movilidad Internacional'!AA$39,Tabla2[Tipo de Movilidad],$Q$38)</f>
        <v>0</v>
      </c>
      <c r="AB40" s="32">
        <f>COUNTIFS(Tabla2[Programa Nominación],'Movilidad Internacional'!$P40,Tabla2[Semestre de Movilidad],'Movilidad Internacional'!AB$39,Tabla2[Tipo de Movilidad],$Q$38)</f>
        <v>0</v>
      </c>
      <c r="AD40" s="31" t="s">
        <v>233</v>
      </c>
      <c r="AE40" s="32">
        <f>COUNTIFS(Tabla2[Programa Nominación],'Movilidad Internacional'!$AD40,Tabla2[Semestre de Movilidad],'Movilidad Internacional'!AE$39,Tabla2[Tipo de Movilidad],$AE$38)</f>
        <v>1</v>
      </c>
      <c r="AF40" s="32">
        <f>COUNTIFS(Tabla2[Programa Nominación],'Movilidad Internacional'!$AD40,Tabla2[Semestre de Movilidad],'Movilidad Internacional'!AF$39,Tabla2[Tipo de Movilidad],$AE$38)</f>
        <v>0</v>
      </c>
      <c r="AG40" s="32">
        <f>COUNTIFS(Tabla2[Programa Nominación],'Movilidad Internacional'!$AD40,Tabla2[Semestre de Movilidad],'Movilidad Internacional'!AG$39,Tabla2[Tipo de Movilidad],$AE$38)</f>
        <v>0</v>
      </c>
      <c r="AH40" s="32">
        <f>COUNTIFS(Tabla2[Programa Nominación],'Movilidad Internacional'!$AD40,Tabla2[Semestre de Movilidad],'Movilidad Internacional'!AH$39,Tabla2[Tipo de Movilidad],$AE$38)</f>
        <v>0</v>
      </c>
      <c r="AI40" s="32">
        <f>COUNTIFS(Tabla2[Programa Nominación],'Movilidad Internacional'!$AD40,Tabla2[Semestre de Movilidad],'Movilidad Internacional'!AI$39,Tabla2[Tipo de Movilidad],$AE$38)</f>
        <v>0</v>
      </c>
      <c r="AJ40" s="32">
        <f>COUNTIFS(Tabla2[Programa Nominación],'Movilidad Internacional'!$AD40,Tabla2[Semestre de Movilidad],'Movilidad Internacional'!AJ$39,Tabla2[Tipo de Movilidad],$AE$38)</f>
        <v>0</v>
      </c>
      <c r="AK40" s="32">
        <f>COUNTIFS(Tabla2[Programa Nominación],'Movilidad Internacional'!$AD40,Tabla2[Semestre de Movilidad],'Movilidad Internacional'!AK$39,Tabla2[Tipo de Movilidad],$AE$38)</f>
        <v>0</v>
      </c>
      <c r="AL40" s="32">
        <f>COUNTIFS(Tabla2[Programa Nominación],'Movilidad Internacional'!$AD40,Tabla2[Semestre de Movilidad],'Movilidad Internacional'!AL$39,Tabla2[Tipo de Movilidad],$AE$38)</f>
        <v>0</v>
      </c>
      <c r="AM40" s="32">
        <f>COUNTIFS(Tabla2[Programa Nominación],'Movilidad Internacional'!$AD40,Tabla2[Semestre de Movilidad],'Movilidad Internacional'!AM$39,Tabla2[Tipo de Movilidad],$AE$38)</f>
        <v>0</v>
      </c>
      <c r="AN40" s="32">
        <f>COUNTIFS(Tabla2[Programa Nominación],'Movilidad Internacional'!$AD40,Tabla2[Semestre de Movilidad],'Movilidad Internacional'!AN$39,Tabla2[Tipo de Movilidad],$AE$38)</f>
        <v>0</v>
      </c>
      <c r="AO40" s="32">
        <f>COUNTIFS(Tabla2[Programa Nominación],'Movilidad Internacional'!$AD40,Tabla2[Semestre de Movilidad],'Movilidad Internacional'!AO$39,Tabla2[Tipo de Movilidad],$AE$38)</f>
        <v>1</v>
      </c>
      <c r="AP40" s="32">
        <f>COUNTIFS(Tabla2[Programa Nominación],'Movilidad Internacional'!$AD40,Tabla2[Semestre de Movilidad],'Movilidad Internacional'!AP$39,Tabla2[Tipo de Movilidad],$AE$38)</f>
        <v>0</v>
      </c>
      <c r="AR40" s="33" t="s">
        <v>247</v>
      </c>
      <c r="AS40" s="32">
        <f>COUNTIFS(Tabla2[Nivel Nominación],'Movilidad Internacional'!$AR40,Tabla2[Año],'Movilidad Internacional'!AS$39,Tabla2[Tipo de Movilidad],$AS$38)</f>
        <v>0</v>
      </c>
      <c r="AT40" s="32">
        <f>COUNTIFS(Tabla2[Nivel Nominación],'Movilidad Internacional'!$AR40,Tabla2[Año],'Movilidad Internacional'!AT$39,Tabla2[Tipo de Movilidad],$AS$38)</f>
        <v>0</v>
      </c>
      <c r="AU40" s="32">
        <f>COUNTIFS(Tabla2[Nivel Nominación],'Movilidad Internacional'!$AR40,Tabla2[Año],'Movilidad Internacional'!AU$39,Tabla2[Tipo de Movilidad],$AS$38)</f>
        <v>0</v>
      </c>
      <c r="AV40" s="32">
        <f>COUNTIFS(Tabla2[Nivel Nominación],'Movilidad Internacional'!$AR40,Tabla2[Año],'Movilidad Internacional'!AV$39,Tabla2[Tipo de Movilidad],$AS$38)</f>
        <v>2</v>
      </c>
      <c r="AW40" s="32">
        <f>COUNTIFS(Tabla2[Nivel Nominación],'Movilidad Internacional'!$AR40,Tabla2[Año],'Movilidad Internacional'!AW$39,Tabla2[Tipo de Movilidad],$AS$38)</f>
        <v>3</v>
      </c>
      <c r="AX40" s="32">
        <f>COUNTIFS(Tabla2[Nivel Nominación],'Movilidad Internacional'!$AR40,Tabla2[Año],'Movilidad Internacional'!AX$39,Tabla2[Tipo de Movilidad],$AS$38)</f>
        <v>2</v>
      </c>
    </row>
    <row r="41" spans="2:50">
      <c r="B41" s="36" t="s">
        <v>248</v>
      </c>
      <c r="C41" s="37">
        <f>COUNTIFS(Tabla2[Programa Nominación],'Movilidad Internacional'!$B41,Tabla2[Semestre de Movilidad],'Movilidad Internacional'!C$39,Tabla2[Tipo de Movilidad],$C$38)</f>
        <v>8</v>
      </c>
      <c r="D41" s="37">
        <f>COUNTIFS(Tabla2[Programa Nominación],'Movilidad Internacional'!$B41,Tabla2[Semestre de Movilidad],'Movilidad Internacional'!D$39,Tabla2[Tipo de Movilidad],$C$38)</f>
        <v>0</v>
      </c>
      <c r="E41" s="37">
        <f>COUNTIFS(Tabla2[Programa Nominación],'Movilidad Internacional'!$B41,Tabla2[Semestre de Movilidad],'Movilidad Internacional'!E$39,Tabla2[Tipo de Movilidad],$C$38)</f>
        <v>1</v>
      </c>
      <c r="F41" s="37">
        <f>COUNTIFS(Tabla2[Programa Nominación],'Movilidad Internacional'!$B41,Tabla2[Semestre de Movilidad],'Movilidad Internacional'!F$39,Tabla2[Tipo de Movilidad],$C$38)</f>
        <v>3</v>
      </c>
      <c r="G41" s="37">
        <f>COUNTIFS(Tabla2[Programa Nominación],'Movilidad Internacional'!$B41,Tabla2[Semestre de Movilidad],'Movilidad Internacional'!G$39,Tabla2[Tipo de Movilidad],$C$38)</f>
        <v>3</v>
      </c>
      <c r="H41" s="37">
        <f>COUNTIFS(Tabla2[Programa Nominación],'Movilidad Internacional'!$B41,Tabla2[Semestre de Movilidad],'Movilidad Internacional'!H$39,Tabla2[Tipo de Movilidad],$C$38)</f>
        <v>0</v>
      </c>
      <c r="I41" s="37">
        <f>COUNTIFS(Tabla2[Programa Nominación],'Movilidad Internacional'!$B41,Tabla2[Semestre de Movilidad],'Movilidad Internacional'!I$39,Tabla2[Tipo de Movilidad],$C$38)</f>
        <v>0</v>
      </c>
      <c r="J41" s="37">
        <f>COUNTIFS(Tabla2[Programa Nominación],'Movilidad Internacional'!$B41,Tabla2[Semestre de Movilidad],'Movilidad Internacional'!J$39,Tabla2[Tipo de Movilidad],$C$38)</f>
        <v>0</v>
      </c>
      <c r="K41" s="37">
        <f>COUNTIFS(Tabla2[Programa Nominación],'Movilidad Internacional'!$B41,Tabla2[Semestre de Movilidad],'Movilidad Internacional'!K$39,Tabla2[Tipo de Movilidad],$C$38)</f>
        <v>0</v>
      </c>
      <c r="L41" s="37">
        <f>COUNTIFS(Tabla2[Programa Nominación],'Movilidad Internacional'!$B41,Tabla2[Semestre de Movilidad],'Movilidad Internacional'!L$39,Tabla2[Tipo de Movilidad],$C$38)</f>
        <v>0</v>
      </c>
      <c r="M41" s="37">
        <f>COUNTIFS(Tabla2[Programa Nominación],'Movilidad Internacional'!$B41,Tabla2[Semestre de Movilidad],'Movilidad Internacional'!M$39,Tabla2[Tipo de Movilidad],$C$38)</f>
        <v>0</v>
      </c>
      <c r="N41" s="37">
        <f>COUNTIFS(Tabla2[Programa Nominación],'Movilidad Internacional'!$B41,Tabla2[Semestre de Movilidad],'Movilidad Internacional'!N$39,Tabla2[Tipo de Movilidad],$C$38)</f>
        <v>0</v>
      </c>
      <c r="O41" s="20"/>
      <c r="P41" s="36" t="s">
        <v>248</v>
      </c>
      <c r="Q41" s="37">
        <f>COUNTIFS(Tabla2[Programa Nominación],'Movilidad Internacional'!$P41,Tabla2[Semestre de Movilidad],'Movilidad Internacional'!Q$39,Tabla2[Tipo de Movilidad],$Q$38)</f>
        <v>0</v>
      </c>
      <c r="R41" s="37">
        <f>COUNTIFS(Tabla2[Programa Nominación],'Movilidad Internacional'!$P41,Tabla2[Semestre de Movilidad],'Movilidad Internacional'!R$39,Tabla2[Tipo de Movilidad],$Q$38)</f>
        <v>0</v>
      </c>
      <c r="S41" s="37">
        <f>COUNTIFS(Tabla2[Programa Nominación],'Movilidad Internacional'!$P41,Tabla2[Semestre de Movilidad],'Movilidad Internacional'!S$39,Tabla2[Tipo de Movilidad],$Q$38)</f>
        <v>0</v>
      </c>
      <c r="T41" s="37">
        <f>COUNTIFS(Tabla2[Programa Nominación],'Movilidad Internacional'!$P41,Tabla2[Semestre de Movilidad],'Movilidad Internacional'!T$39,Tabla2[Tipo de Movilidad],$Q$38)</f>
        <v>0</v>
      </c>
      <c r="U41" s="37">
        <f>COUNTIFS(Tabla2[Programa Nominación],'Movilidad Internacional'!$P41,Tabla2[Semestre de Movilidad],'Movilidad Internacional'!U$39,Tabla2[Tipo de Movilidad],$Q$38)</f>
        <v>0</v>
      </c>
      <c r="V41" s="37">
        <f>COUNTIFS(Tabla2[Programa Nominación],'Movilidad Internacional'!$P41,Tabla2[Semestre de Movilidad],'Movilidad Internacional'!V$39,Tabla2[Tipo de Movilidad],$Q$38)</f>
        <v>0</v>
      </c>
      <c r="W41" s="37">
        <f>COUNTIFS(Tabla2[Programa Nominación],'Movilidad Internacional'!$P41,Tabla2[Semestre de Movilidad],'Movilidad Internacional'!W$39,Tabla2[Tipo de Movilidad],$Q$38)</f>
        <v>0</v>
      </c>
      <c r="X41" s="37">
        <f>COUNTIFS(Tabla2[Programa Nominación],'Movilidad Internacional'!$P41,Tabla2[Semestre de Movilidad],'Movilidad Internacional'!X$39,Tabla2[Tipo de Movilidad],$Q$38)</f>
        <v>0</v>
      </c>
      <c r="Y41" s="37">
        <f>COUNTIFS(Tabla2[Programa Nominación],'Movilidad Internacional'!$P41,Tabla2[Semestre de Movilidad],'Movilidad Internacional'!Y$39,Tabla2[Tipo de Movilidad],$Q$38)</f>
        <v>0</v>
      </c>
      <c r="Z41" s="37">
        <f>COUNTIFS(Tabla2[Programa Nominación],'Movilidad Internacional'!$P41,Tabla2[Semestre de Movilidad],'Movilidad Internacional'!Z$39,Tabla2[Tipo de Movilidad],$Q$38)</f>
        <v>0</v>
      </c>
      <c r="AA41" s="37">
        <f>COUNTIFS(Tabla2[Programa Nominación],'Movilidad Internacional'!$P41,Tabla2[Semestre de Movilidad],'Movilidad Internacional'!AA$39,Tabla2[Tipo de Movilidad],$Q$38)</f>
        <v>0</v>
      </c>
      <c r="AB41" s="37">
        <f>COUNTIFS(Tabla2[Programa Nominación],'Movilidad Internacional'!$P41,Tabla2[Semestre de Movilidad],'Movilidad Internacional'!AB$39,Tabla2[Tipo de Movilidad],$Q$38)</f>
        <v>0</v>
      </c>
      <c r="AD41" s="36" t="s">
        <v>248</v>
      </c>
      <c r="AE41" s="37">
        <f>COUNTIFS(Tabla2[Programa Nominación],'Movilidad Internacional'!$AD41,Tabla2[Semestre de Movilidad],'Movilidad Internacional'!AE$39,Tabla2[Tipo de Movilidad],$AE$38)</f>
        <v>0</v>
      </c>
      <c r="AF41" s="37">
        <f>COUNTIFS(Tabla2[Programa Nominación],'Movilidad Internacional'!$AD41,Tabla2[Semestre de Movilidad],'Movilidad Internacional'!AF$39,Tabla2[Tipo de Movilidad],$AE$38)</f>
        <v>0</v>
      </c>
      <c r="AG41" s="37">
        <f>COUNTIFS(Tabla2[Programa Nominación],'Movilidad Internacional'!$AD41,Tabla2[Semestre de Movilidad],'Movilidad Internacional'!AG$39,Tabla2[Tipo de Movilidad],$AE$38)</f>
        <v>0</v>
      </c>
      <c r="AH41" s="37">
        <f>COUNTIFS(Tabla2[Programa Nominación],'Movilidad Internacional'!$AD41,Tabla2[Semestre de Movilidad],'Movilidad Internacional'!AH$39,Tabla2[Tipo de Movilidad],$AE$38)</f>
        <v>0</v>
      </c>
      <c r="AI41" s="37">
        <f>COUNTIFS(Tabla2[Programa Nominación],'Movilidad Internacional'!$AD41,Tabla2[Semestre de Movilidad],'Movilidad Internacional'!AI$39,Tabla2[Tipo de Movilidad],$AE$38)</f>
        <v>0</v>
      </c>
      <c r="AJ41" s="37">
        <f>COUNTIFS(Tabla2[Programa Nominación],'Movilidad Internacional'!$AD41,Tabla2[Semestre de Movilidad],'Movilidad Internacional'!AJ$39,Tabla2[Tipo de Movilidad],$AE$38)</f>
        <v>0</v>
      </c>
      <c r="AK41" s="37">
        <f>COUNTIFS(Tabla2[Programa Nominación],'Movilidad Internacional'!$AD41,Tabla2[Semestre de Movilidad],'Movilidad Internacional'!AK$39,Tabla2[Tipo de Movilidad],$AE$38)</f>
        <v>0</v>
      </c>
      <c r="AL41" s="37">
        <f>COUNTIFS(Tabla2[Programa Nominación],'Movilidad Internacional'!$AD41,Tabla2[Semestre de Movilidad],'Movilidad Internacional'!AL$39,Tabla2[Tipo de Movilidad],$AE$38)</f>
        <v>0</v>
      </c>
      <c r="AM41" s="37">
        <f>COUNTIFS(Tabla2[Programa Nominación],'Movilidad Internacional'!$AD41,Tabla2[Semestre de Movilidad],'Movilidad Internacional'!AM$39,Tabla2[Tipo de Movilidad],$AE$38)</f>
        <v>0</v>
      </c>
      <c r="AN41" s="37">
        <f>COUNTIFS(Tabla2[Programa Nominación],'Movilidad Internacional'!$AD41,Tabla2[Semestre de Movilidad],'Movilidad Internacional'!AN$39,Tabla2[Tipo de Movilidad],$AE$38)</f>
        <v>0</v>
      </c>
      <c r="AO41" s="37">
        <f>COUNTIFS(Tabla2[Programa Nominación],'Movilidad Internacional'!$AD41,Tabla2[Semestre de Movilidad],'Movilidad Internacional'!AO$39,Tabla2[Tipo de Movilidad],$AE$38)</f>
        <v>0</v>
      </c>
      <c r="AP41" s="37">
        <f>COUNTIFS(Tabla2[Programa Nominación],'Movilidad Internacional'!$AD41,Tabla2[Semestre de Movilidad],'Movilidad Internacional'!AP$39,Tabla2[Tipo de Movilidad],$AE$38)</f>
        <v>0</v>
      </c>
      <c r="AR41" s="36" t="s">
        <v>249</v>
      </c>
      <c r="AS41" s="175">
        <f>COUNTIFS(Tabla2[Nivel Nominación],'Movilidad Internacional'!$AR41,Tabla2[Año],'Movilidad Internacional'!AS$39,Tabla2[Tipo de Movilidad],$AS$38)</f>
        <v>0</v>
      </c>
      <c r="AT41" s="175">
        <f>COUNTIFS(Tabla2[Nivel Nominación],'Movilidad Internacional'!$AR41,Tabla2[Año],'Movilidad Internacional'!AT$39,Tabla2[Tipo de Movilidad],$AS$38)</f>
        <v>0</v>
      </c>
      <c r="AU41" s="175">
        <f>COUNTIFS(Tabla2[Nivel Nominación],'Movilidad Internacional'!$AR41,Tabla2[Año],'Movilidad Internacional'!AU$39,Tabla2[Tipo de Movilidad],$AS$38)</f>
        <v>0</v>
      </c>
      <c r="AV41" s="175">
        <f>COUNTIFS(Tabla2[Nivel Nominación],'Movilidad Internacional'!$AR41,Tabla2[Año],'Movilidad Internacional'!AV$39,Tabla2[Tipo de Movilidad],$AS$38)</f>
        <v>1</v>
      </c>
      <c r="AW41" s="175">
        <f>COUNTIFS(Tabla2[Nivel Nominación],'Movilidad Internacional'!$AR41,Tabla2[Año],'Movilidad Internacional'!AW$39,Tabla2[Tipo de Movilidad],$AS$38)</f>
        <v>1</v>
      </c>
      <c r="AX41" s="175">
        <f>COUNTIFS(Tabla2[Nivel Nominación],'Movilidad Internacional'!$AR41,Tabla2[Año],'Movilidad Internacional'!AX$39,Tabla2[Tipo de Movilidad],$AS$38)</f>
        <v>0</v>
      </c>
    </row>
    <row r="42" spans="2:50" ht="30">
      <c r="B42" s="36" t="s">
        <v>239</v>
      </c>
      <c r="C42" s="37">
        <f>COUNTIFS(Tabla2[Programa Nominación],'Movilidad Internacional'!$B42,Tabla2[Semestre de Movilidad],'Movilidad Internacional'!C$39,Tabla2[Tipo de Movilidad],$C$38)</f>
        <v>1</v>
      </c>
      <c r="D42" s="37">
        <f>COUNTIFS(Tabla2[Programa Nominación],'Movilidad Internacional'!$B42,Tabla2[Semestre de Movilidad],'Movilidad Internacional'!D$39,Tabla2[Tipo de Movilidad],$C$38)</f>
        <v>0</v>
      </c>
      <c r="E42" s="37">
        <f>COUNTIFS(Tabla2[Programa Nominación],'Movilidad Internacional'!$B42,Tabla2[Semestre de Movilidad],'Movilidad Internacional'!E$39,Tabla2[Tipo de Movilidad],$C$38)</f>
        <v>0</v>
      </c>
      <c r="F42" s="37">
        <f>COUNTIFS(Tabla2[Programa Nominación],'Movilidad Internacional'!$B42,Tabla2[Semestre de Movilidad],'Movilidad Internacional'!F$39,Tabla2[Tipo de Movilidad],$C$38)</f>
        <v>3</v>
      </c>
      <c r="G42" s="37">
        <f>COUNTIFS(Tabla2[Programa Nominación],'Movilidad Internacional'!$B42,Tabla2[Semestre de Movilidad],'Movilidad Internacional'!G$39,Tabla2[Tipo de Movilidad],$C$38)</f>
        <v>0</v>
      </c>
      <c r="H42" s="37">
        <f>COUNTIFS(Tabla2[Programa Nominación],'Movilidad Internacional'!$B42,Tabla2[Semestre de Movilidad],'Movilidad Internacional'!H$39,Tabla2[Tipo de Movilidad],$C$38)</f>
        <v>2</v>
      </c>
      <c r="I42" s="37">
        <f>COUNTIFS(Tabla2[Programa Nominación],'Movilidad Internacional'!$B42,Tabla2[Semestre de Movilidad],'Movilidad Internacional'!I$39,Tabla2[Tipo de Movilidad],$C$38)</f>
        <v>0</v>
      </c>
      <c r="J42" s="37">
        <f>COUNTIFS(Tabla2[Programa Nominación],'Movilidad Internacional'!$B42,Tabla2[Semestre de Movilidad],'Movilidad Internacional'!J$39,Tabla2[Tipo de Movilidad],$C$38)</f>
        <v>2</v>
      </c>
      <c r="K42" s="37">
        <f>COUNTIFS(Tabla2[Programa Nominación],'Movilidad Internacional'!$B42,Tabla2[Semestre de Movilidad],'Movilidad Internacional'!K$39,Tabla2[Tipo de Movilidad],$C$38)</f>
        <v>0</v>
      </c>
      <c r="L42" s="37">
        <f>COUNTIFS(Tabla2[Programa Nominación],'Movilidad Internacional'!$B42,Tabla2[Semestre de Movilidad],'Movilidad Internacional'!L$39,Tabla2[Tipo de Movilidad],$C$38)</f>
        <v>0</v>
      </c>
      <c r="M42" s="37">
        <f>COUNTIFS(Tabla2[Programa Nominación],'Movilidad Internacional'!$B42,Tabla2[Semestre de Movilidad],'Movilidad Internacional'!M$39,Tabla2[Tipo de Movilidad],$C$38)</f>
        <v>4</v>
      </c>
      <c r="N42" s="37">
        <f>COUNTIFS(Tabla2[Programa Nominación],'Movilidad Internacional'!$B42,Tabla2[Semestre de Movilidad],'Movilidad Internacional'!N$39,Tabla2[Tipo de Movilidad],$C$38)</f>
        <v>0</v>
      </c>
      <c r="O42" s="20"/>
      <c r="P42" s="36" t="s">
        <v>239</v>
      </c>
      <c r="Q42" s="37">
        <f>COUNTIFS(Tabla2[Programa Nominación],'Movilidad Internacional'!$P42,Tabla2[Semestre de Movilidad],'Movilidad Internacional'!Q$39,Tabla2[Tipo de Movilidad],$Q$38)</f>
        <v>0</v>
      </c>
      <c r="R42" s="37">
        <f>COUNTIFS(Tabla2[Programa Nominación],'Movilidad Internacional'!$P42,Tabla2[Semestre de Movilidad],'Movilidad Internacional'!R$39,Tabla2[Tipo de Movilidad],$Q$38)</f>
        <v>0</v>
      </c>
      <c r="S42" s="37">
        <f>COUNTIFS(Tabla2[Programa Nominación],'Movilidad Internacional'!$P42,Tabla2[Semestre de Movilidad],'Movilidad Internacional'!S$39,Tabla2[Tipo de Movilidad],$Q$38)</f>
        <v>0</v>
      </c>
      <c r="T42" s="37">
        <f>COUNTIFS(Tabla2[Programa Nominación],'Movilidad Internacional'!$P42,Tabla2[Semestre de Movilidad],'Movilidad Internacional'!T$39,Tabla2[Tipo de Movilidad],$Q$38)</f>
        <v>0</v>
      </c>
      <c r="U42" s="37">
        <f>COUNTIFS(Tabla2[Programa Nominación],'Movilidad Internacional'!$P42,Tabla2[Semestre de Movilidad],'Movilidad Internacional'!U$39,Tabla2[Tipo de Movilidad],$Q$38)</f>
        <v>0</v>
      </c>
      <c r="V42" s="37">
        <f>COUNTIFS(Tabla2[Programa Nominación],'Movilidad Internacional'!$P42,Tabla2[Semestre de Movilidad],'Movilidad Internacional'!V$39,Tabla2[Tipo de Movilidad],$Q$38)</f>
        <v>0</v>
      </c>
      <c r="W42" s="37">
        <f>COUNTIFS(Tabla2[Programa Nominación],'Movilidad Internacional'!$P42,Tabla2[Semestre de Movilidad],'Movilidad Internacional'!W$39,Tabla2[Tipo de Movilidad],$Q$38)</f>
        <v>0</v>
      </c>
      <c r="X42" s="37">
        <f>COUNTIFS(Tabla2[Programa Nominación],'Movilidad Internacional'!$P42,Tabla2[Semestre de Movilidad],'Movilidad Internacional'!X$39,Tabla2[Tipo de Movilidad],$Q$38)</f>
        <v>0</v>
      </c>
      <c r="Y42" s="37">
        <f>COUNTIFS(Tabla2[Programa Nominación],'Movilidad Internacional'!$P42,Tabla2[Semestre de Movilidad],'Movilidad Internacional'!Y$39,Tabla2[Tipo de Movilidad],$Q$38)</f>
        <v>0</v>
      </c>
      <c r="Z42" s="37">
        <f>COUNTIFS(Tabla2[Programa Nominación],'Movilidad Internacional'!$P42,Tabla2[Semestre de Movilidad],'Movilidad Internacional'!Z$39,Tabla2[Tipo de Movilidad],$Q$38)</f>
        <v>0</v>
      </c>
      <c r="AA42" s="37">
        <f>COUNTIFS(Tabla2[Programa Nominación],'Movilidad Internacional'!$P42,Tabla2[Semestre de Movilidad],'Movilidad Internacional'!AA$39,Tabla2[Tipo de Movilidad],$Q$38)</f>
        <v>0</v>
      </c>
      <c r="AB42" s="37">
        <f>COUNTIFS(Tabla2[Programa Nominación],'Movilidad Internacional'!$P42,Tabla2[Semestre de Movilidad],'Movilidad Internacional'!AB$39,Tabla2[Tipo de Movilidad],$Q$38)</f>
        <v>0</v>
      </c>
      <c r="AD42" s="36" t="s">
        <v>239</v>
      </c>
      <c r="AE42" s="37">
        <f>COUNTIFS(Tabla2[Programa Nominación],'Movilidad Internacional'!$AD42,Tabla2[Semestre de Movilidad],'Movilidad Internacional'!AE$39,Tabla2[Tipo de Movilidad],$AE$38)</f>
        <v>0</v>
      </c>
      <c r="AF42" s="37">
        <f>COUNTIFS(Tabla2[Programa Nominación],'Movilidad Internacional'!$AD42,Tabla2[Semestre de Movilidad],'Movilidad Internacional'!AF$39,Tabla2[Tipo de Movilidad],$AE$38)</f>
        <v>0</v>
      </c>
      <c r="AG42" s="37">
        <f>COUNTIFS(Tabla2[Programa Nominación],'Movilidad Internacional'!$AD42,Tabla2[Semestre de Movilidad],'Movilidad Internacional'!AG$39,Tabla2[Tipo de Movilidad],$AE$38)</f>
        <v>0</v>
      </c>
      <c r="AH42" s="37">
        <f>COUNTIFS(Tabla2[Programa Nominación],'Movilidad Internacional'!$AD42,Tabla2[Semestre de Movilidad],'Movilidad Internacional'!AH$39,Tabla2[Tipo de Movilidad],$AE$38)</f>
        <v>0</v>
      </c>
      <c r="AI42" s="37">
        <f>COUNTIFS(Tabla2[Programa Nominación],'Movilidad Internacional'!$AD42,Tabla2[Semestre de Movilidad],'Movilidad Internacional'!AI$39,Tabla2[Tipo de Movilidad],$AE$38)</f>
        <v>0</v>
      </c>
      <c r="AJ42" s="37">
        <f>COUNTIFS(Tabla2[Programa Nominación],'Movilidad Internacional'!$AD42,Tabla2[Semestre de Movilidad],'Movilidad Internacional'!AJ$39,Tabla2[Tipo de Movilidad],$AE$38)</f>
        <v>0</v>
      </c>
      <c r="AK42" s="37">
        <f>COUNTIFS(Tabla2[Programa Nominación],'Movilidad Internacional'!$AD42,Tabla2[Semestre de Movilidad],'Movilidad Internacional'!AK$39,Tabla2[Tipo de Movilidad],$AE$38)</f>
        <v>0</v>
      </c>
      <c r="AL42" s="37">
        <f>COUNTIFS(Tabla2[Programa Nominación],'Movilidad Internacional'!$AD42,Tabla2[Semestre de Movilidad],'Movilidad Internacional'!AL$39,Tabla2[Tipo de Movilidad],$AE$38)</f>
        <v>0</v>
      </c>
      <c r="AM42" s="37">
        <f>COUNTIFS(Tabla2[Programa Nominación],'Movilidad Internacional'!$AD42,Tabla2[Semestre de Movilidad],'Movilidad Internacional'!AM$39,Tabla2[Tipo de Movilidad],$AE$38)</f>
        <v>0</v>
      </c>
      <c r="AN42" s="37">
        <f>COUNTIFS(Tabla2[Programa Nominación],'Movilidad Internacional'!$AD42,Tabla2[Semestre de Movilidad],'Movilidad Internacional'!AN$39,Tabla2[Tipo de Movilidad],$AE$38)</f>
        <v>0</v>
      </c>
      <c r="AO42" s="37">
        <f>COUNTIFS(Tabla2[Programa Nominación],'Movilidad Internacional'!$AD42,Tabla2[Semestre de Movilidad],'Movilidad Internacional'!AO$39,Tabla2[Tipo de Movilidad],$AE$38)</f>
        <v>0</v>
      </c>
      <c r="AP42" s="37">
        <f>COUNTIFS(Tabla2[Programa Nominación],'Movilidad Internacional'!$AD42,Tabla2[Semestre de Movilidad],'Movilidad Internacional'!AP$39,Tabla2[Tipo de Movilidad],$AE$38)</f>
        <v>0</v>
      </c>
    </row>
    <row r="43" spans="2:50">
      <c r="B43" s="36" t="s">
        <v>250</v>
      </c>
      <c r="C43" s="37">
        <f>COUNTIFS(Tabla2[Programa Nominación],'Movilidad Internacional'!$B43,Tabla2[Semestre de Movilidad],'Movilidad Internacional'!C$39,Tabla2[Tipo de Movilidad],$C$38)</f>
        <v>1</v>
      </c>
      <c r="D43" s="37">
        <f>COUNTIFS(Tabla2[Programa Nominación],'Movilidad Internacional'!$B43,Tabla2[Semestre de Movilidad],'Movilidad Internacional'!D$39,Tabla2[Tipo de Movilidad],$C$38)</f>
        <v>0</v>
      </c>
      <c r="E43" s="37">
        <f>COUNTIFS(Tabla2[Programa Nominación],'Movilidad Internacional'!$B43,Tabla2[Semestre de Movilidad],'Movilidad Internacional'!E$39,Tabla2[Tipo de Movilidad],$C$38)</f>
        <v>2</v>
      </c>
      <c r="F43" s="37">
        <f>COUNTIFS(Tabla2[Programa Nominación],'Movilidad Internacional'!$B43,Tabla2[Semestre de Movilidad],'Movilidad Internacional'!F$39,Tabla2[Tipo de Movilidad],$C$38)</f>
        <v>1</v>
      </c>
      <c r="G43" s="37">
        <f>COUNTIFS(Tabla2[Programa Nominación],'Movilidad Internacional'!$B43,Tabla2[Semestre de Movilidad],'Movilidad Internacional'!G$39,Tabla2[Tipo de Movilidad],$C$38)</f>
        <v>3</v>
      </c>
      <c r="H43" s="37">
        <f>COUNTIFS(Tabla2[Programa Nominación],'Movilidad Internacional'!$B43,Tabla2[Semestre de Movilidad],'Movilidad Internacional'!H$39,Tabla2[Tipo de Movilidad],$C$38)</f>
        <v>2</v>
      </c>
      <c r="I43" s="37">
        <f>COUNTIFS(Tabla2[Programa Nominación],'Movilidad Internacional'!$B43,Tabla2[Semestre de Movilidad],'Movilidad Internacional'!I$39,Tabla2[Tipo de Movilidad],$C$38)</f>
        <v>0</v>
      </c>
      <c r="J43" s="37">
        <f>COUNTIFS(Tabla2[Programa Nominación],'Movilidad Internacional'!$B43,Tabla2[Semestre de Movilidad],'Movilidad Internacional'!J$39,Tabla2[Tipo de Movilidad],$C$38)</f>
        <v>0</v>
      </c>
      <c r="K43" s="37">
        <f>COUNTIFS(Tabla2[Programa Nominación],'Movilidad Internacional'!$B43,Tabla2[Semestre de Movilidad],'Movilidad Internacional'!K$39,Tabla2[Tipo de Movilidad],$C$38)</f>
        <v>0</v>
      </c>
      <c r="L43" s="37">
        <f>COUNTIFS(Tabla2[Programa Nominación],'Movilidad Internacional'!$B43,Tabla2[Semestre de Movilidad],'Movilidad Internacional'!L$39,Tabla2[Tipo de Movilidad],$C$38)</f>
        <v>3</v>
      </c>
      <c r="M43" s="37">
        <f>COUNTIFS(Tabla2[Programa Nominación],'Movilidad Internacional'!$B43,Tabla2[Semestre de Movilidad],'Movilidad Internacional'!M$39,Tabla2[Tipo de Movilidad],$C$38)</f>
        <v>1</v>
      </c>
      <c r="N43" s="37">
        <f>COUNTIFS(Tabla2[Programa Nominación],'Movilidad Internacional'!$B43,Tabla2[Semestre de Movilidad],'Movilidad Internacional'!N$39,Tabla2[Tipo de Movilidad],$C$38)</f>
        <v>0</v>
      </c>
      <c r="O43" s="20"/>
      <c r="P43" s="36" t="s">
        <v>250</v>
      </c>
      <c r="Q43" s="37">
        <f>COUNTIFS(Tabla2[Programa Nominación],'Movilidad Internacional'!$P43,Tabla2[Semestre de Movilidad],'Movilidad Internacional'!Q$39,Tabla2[Tipo de Movilidad],$Q$38)</f>
        <v>0</v>
      </c>
      <c r="R43" s="37">
        <f>COUNTIFS(Tabla2[Programa Nominación],'Movilidad Internacional'!$P43,Tabla2[Semestre de Movilidad],'Movilidad Internacional'!R$39,Tabla2[Tipo de Movilidad],$Q$38)</f>
        <v>0</v>
      </c>
      <c r="S43" s="37">
        <f>COUNTIFS(Tabla2[Programa Nominación],'Movilidad Internacional'!$P43,Tabla2[Semestre de Movilidad],'Movilidad Internacional'!S$39,Tabla2[Tipo de Movilidad],$Q$38)</f>
        <v>0</v>
      </c>
      <c r="T43" s="37">
        <f>COUNTIFS(Tabla2[Programa Nominación],'Movilidad Internacional'!$P43,Tabla2[Semestre de Movilidad],'Movilidad Internacional'!T$39,Tabla2[Tipo de Movilidad],$Q$38)</f>
        <v>0</v>
      </c>
      <c r="U43" s="37">
        <f>COUNTIFS(Tabla2[Programa Nominación],'Movilidad Internacional'!$P43,Tabla2[Semestre de Movilidad],'Movilidad Internacional'!U$39,Tabla2[Tipo de Movilidad],$Q$38)</f>
        <v>0</v>
      </c>
      <c r="V43" s="37">
        <f>COUNTIFS(Tabla2[Programa Nominación],'Movilidad Internacional'!$P43,Tabla2[Semestre de Movilidad],'Movilidad Internacional'!V$39,Tabla2[Tipo de Movilidad],$Q$38)</f>
        <v>0</v>
      </c>
      <c r="W43" s="37">
        <f>COUNTIFS(Tabla2[Programa Nominación],'Movilidad Internacional'!$P43,Tabla2[Semestre de Movilidad],'Movilidad Internacional'!W$39,Tabla2[Tipo de Movilidad],$Q$38)</f>
        <v>0</v>
      </c>
      <c r="X43" s="37">
        <f>COUNTIFS(Tabla2[Programa Nominación],'Movilidad Internacional'!$P43,Tabla2[Semestre de Movilidad],'Movilidad Internacional'!X$39,Tabla2[Tipo de Movilidad],$Q$38)</f>
        <v>0</v>
      </c>
      <c r="Y43" s="37">
        <f>COUNTIFS(Tabla2[Programa Nominación],'Movilidad Internacional'!$P43,Tabla2[Semestre de Movilidad],'Movilidad Internacional'!Y$39,Tabla2[Tipo de Movilidad],$Q$38)</f>
        <v>0</v>
      </c>
      <c r="Z43" s="37">
        <f>COUNTIFS(Tabla2[Programa Nominación],'Movilidad Internacional'!$P43,Tabla2[Semestre de Movilidad],'Movilidad Internacional'!Z$39,Tabla2[Tipo de Movilidad],$Q$38)</f>
        <v>0</v>
      </c>
      <c r="AA43" s="37">
        <f>COUNTIFS(Tabla2[Programa Nominación],'Movilidad Internacional'!$P43,Tabla2[Semestre de Movilidad],'Movilidad Internacional'!AA$39,Tabla2[Tipo de Movilidad],$Q$38)</f>
        <v>0</v>
      </c>
      <c r="AB43" s="37">
        <f>COUNTIFS(Tabla2[Programa Nominación],'Movilidad Internacional'!$P43,Tabla2[Semestre de Movilidad],'Movilidad Internacional'!AB$39,Tabla2[Tipo de Movilidad],$Q$38)</f>
        <v>0</v>
      </c>
      <c r="AD43" s="36" t="s">
        <v>250</v>
      </c>
      <c r="AE43" s="37">
        <f>COUNTIFS(Tabla2[Programa Nominación],'Movilidad Internacional'!$AD43,Tabla2[Semestre de Movilidad],'Movilidad Internacional'!AE$39,Tabla2[Tipo de Movilidad],$AE$38)</f>
        <v>0</v>
      </c>
      <c r="AF43" s="37">
        <f>COUNTIFS(Tabla2[Programa Nominación],'Movilidad Internacional'!$AD43,Tabla2[Semestre de Movilidad],'Movilidad Internacional'!AF$39,Tabla2[Tipo de Movilidad],$AE$38)</f>
        <v>0</v>
      </c>
      <c r="AG43" s="37">
        <f>COUNTIFS(Tabla2[Programa Nominación],'Movilidad Internacional'!$AD43,Tabla2[Semestre de Movilidad],'Movilidad Internacional'!AG$39,Tabla2[Tipo de Movilidad],$AE$38)</f>
        <v>0</v>
      </c>
      <c r="AH43" s="37">
        <f>COUNTIFS(Tabla2[Programa Nominación],'Movilidad Internacional'!$AD43,Tabla2[Semestre de Movilidad],'Movilidad Internacional'!AH$39,Tabla2[Tipo de Movilidad],$AE$38)</f>
        <v>0</v>
      </c>
      <c r="AI43" s="37">
        <f>COUNTIFS(Tabla2[Programa Nominación],'Movilidad Internacional'!$AD43,Tabla2[Semestre de Movilidad],'Movilidad Internacional'!AI$39,Tabla2[Tipo de Movilidad],$AE$38)</f>
        <v>0</v>
      </c>
      <c r="AJ43" s="37">
        <f>COUNTIFS(Tabla2[Programa Nominación],'Movilidad Internacional'!$AD43,Tabla2[Semestre de Movilidad],'Movilidad Internacional'!AJ$39,Tabla2[Tipo de Movilidad],$AE$38)</f>
        <v>0</v>
      </c>
      <c r="AK43" s="37">
        <f>COUNTIFS(Tabla2[Programa Nominación],'Movilidad Internacional'!$AD43,Tabla2[Semestre de Movilidad],'Movilidad Internacional'!AK$39,Tabla2[Tipo de Movilidad],$AE$38)</f>
        <v>0</v>
      </c>
      <c r="AL43" s="37">
        <f>COUNTIFS(Tabla2[Programa Nominación],'Movilidad Internacional'!$AD43,Tabla2[Semestre de Movilidad],'Movilidad Internacional'!AL$39,Tabla2[Tipo de Movilidad],$AE$38)</f>
        <v>0</v>
      </c>
      <c r="AM43" s="37">
        <f>COUNTIFS(Tabla2[Programa Nominación],'Movilidad Internacional'!$AD43,Tabla2[Semestre de Movilidad],'Movilidad Internacional'!AM$39,Tabla2[Tipo de Movilidad],$AE$38)</f>
        <v>0</v>
      </c>
      <c r="AN43" s="37">
        <f>COUNTIFS(Tabla2[Programa Nominación],'Movilidad Internacional'!$AD43,Tabla2[Semestre de Movilidad],'Movilidad Internacional'!AN$39,Tabla2[Tipo de Movilidad],$AE$38)</f>
        <v>0</v>
      </c>
      <c r="AO43" s="37">
        <f>COUNTIFS(Tabla2[Programa Nominación],'Movilidad Internacional'!$AD43,Tabla2[Semestre de Movilidad],'Movilidad Internacional'!AO$39,Tabla2[Tipo de Movilidad],$AE$38)</f>
        <v>0</v>
      </c>
      <c r="AP43" s="37">
        <f>COUNTIFS(Tabla2[Programa Nominación],'Movilidad Internacional'!$AD43,Tabla2[Semestre de Movilidad],'Movilidad Internacional'!AP$39,Tabla2[Tipo de Movilidad],$AE$38)</f>
        <v>0</v>
      </c>
    </row>
    <row r="44" spans="2:50">
      <c r="B44" s="36" t="s">
        <v>238</v>
      </c>
      <c r="C44" s="37">
        <f>COUNTIFS(Tabla2[Programa Nominación],'Movilidad Internacional'!$B44,Tabla2[Semestre de Movilidad],'Movilidad Internacional'!C$39,Tabla2[Tipo de Movilidad],$C$38)</f>
        <v>0</v>
      </c>
      <c r="D44" s="37">
        <f>COUNTIFS(Tabla2[Programa Nominación],'Movilidad Internacional'!$B44,Tabla2[Semestre de Movilidad],'Movilidad Internacional'!D$39,Tabla2[Tipo de Movilidad],$C$38)</f>
        <v>0</v>
      </c>
      <c r="E44" s="37">
        <f>COUNTIFS(Tabla2[Programa Nominación],'Movilidad Internacional'!$B44,Tabla2[Semestre de Movilidad],'Movilidad Internacional'!E$39,Tabla2[Tipo de Movilidad],$C$38)</f>
        <v>1</v>
      </c>
      <c r="F44" s="37">
        <f>COUNTIFS(Tabla2[Programa Nominación],'Movilidad Internacional'!$B44,Tabla2[Semestre de Movilidad],'Movilidad Internacional'!F$39,Tabla2[Tipo de Movilidad],$C$38)</f>
        <v>5</v>
      </c>
      <c r="G44" s="37">
        <f>COUNTIFS(Tabla2[Programa Nominación],'Movilidad Internacional'!$B44,Tabla2[Semestre de Movilidad],'Movilidad Internacional'!G$39,Tabla2[Tipo de Movilidad],$C$38)</f>
        <v>1</v>
      </c>
      <c r="H44" s="37">
        <f>COUNTIFS(Tabla2[Programa Nominación],'Movilidad Internacional'!$B44,Tabla2[Semestre de Movilidad],'Movilidad Internacional'!H$39,Tabla2[Tipo de Movilidad],$C$38)</f>
        <v>3</v>
      </c>
      <c r="I44" s="37">
        <f>COUNTIFS(Tabla2[Programa Nominación],'Movilidad Internacional'!$B44,Tabla2[Semestre de Movilidad],'Movilidad Internacional'!I$39,Tabla2[Tipo de Movilidad],$C$38)</f>
        <v>0</v>
      </c>
      <c r="J44" s="37">
        <f>COUNTIFS(Tabla2[Programa Nominación],'Movilidad Internacional'!$B44,Tabla2[Semestre de Movilidad],'Movilidad Internacional'!J$39,Tabla2[Tipo de Movilidad],$C$38)</f>
        <v>2</v>
      </c>
      <c r="K44" s="37">
        <f>COUNTIFS(Tabla2[Programa Nominación],'Movilidad Internacional'!$B44,Tabla2[Semestre de Movilidad],'Movilidad Internacional'!K$39,Tabla2[Tipo de Movilidad],$C$38)</f>
        <v>0</v>
      </c>
      <c r="L44" s="37">
        <f>COUNTIFS(Tabla2[Programa Nominación],'Movilidad Internacional'!$B44,Tabla2[Semestre de Movilidad],'Movilidad Internacional'!L$39,Tabla2[Tipo de Movilidad],$C$38)</f>
        <v>1</v>
      </c>
      <c r="M44" s="37">
        <f>COUNTIFS(Tabla2[Programa Nominación],'Movilidad Internacional'!$B44,Tabla2[Semestre de Movilidad],'Movilidad Internacional'!M$39,Tabla2[Tipo de Movilidad],$C$38)</f>
        <v>1</v>
      </c>
      <c r="N44" s="37">
        <f>COUNTIFS(Tabla2[Programa Nominación],'Movilidad Internacional'!$B44,Tabla2[Semestre de Movilidad],'Movilidad Internacional'!N$39,Tabla2[Tipo de Movilidad],$C$38)</f>
        <v>0</v>
      </c>
      <c r="O44" s="20"/>
      <c r="P44" s="36" t="s">
        <v>238</v>
      </c>
      <c r="Q44" s="37">
        <f>COUNTIFS(Tabla2[Programa Nominación],'Movilidad Internacional'!$P44,Tabla2[Semestre de Movilidad],'Movilidad Internacional'!Q$39,Tabla2[Tipo de Movilidad],$Q$38)</f>
        <v>0</v>
      </c>
      <c r="R44" s="37">
        <f>COUNTIFS(Tabla2[Programa Nominación],'Movilidad Internacional'!$P44,Tabla2[Semestre de Movilidad],'Movilidad Internacional'!R$39,Tabla2[Tipo de Movilidad],$Q$38)</f>
        <v>0</v>
      </c>
      <c r="S44" s="37">
        <f>COUNTIFS(Tabla2[Programa Nominación],'Movilidad Internacional'!$P44,Tabla2[Semestre de Movilidad],'Movilidad Internacional'!S$39,Tabla2[Tipo de Movilidad],$Q$38)</f>
        <v>0</v>
      </c>
      <c r="T44" s="37">
        <f>COUNTIFS(Tabla2[Programa Nominación],'Movilidad Internacional'!$P44,Tabla2[Semestre de Movilidad],'Movilidad Internacional'!T$39,Tabla2[Tipo de Movilidad],$Q$38)</f>
        <v>0</v>
      </c>
      <c r="U44" s="37">
        <f>COUNTIFS(Tabla2[Programa Nominación],'Movilidad Internacional'!$P44,Tabla2[Semestre de Movilidad],'Movilidad Internacional'!U$39,Tabla2[Tipo de Movilidad],$Q$38)</f>
        <v>0</v>
      </c>
      <c r="V44" s="37">
        <f>COUNTIFS(Tabla2[Programa Nominación],'Movilidad Internacional'!$P44,Tabla2[Semestre de Movilidad],'Movilidad Internacional'!V$39,Tabla2[Tipo de Movilidad],$Q$38)</f>
        <v>0</v>
      </c>
      <c r="W44" s="37">
        <f>COUNTIFS(Tabla2[Programa Nominación],'Movilidad Internacional'!$P44,Tabla2[Semestre de Movilidad],'Movilidad Internacional'!W$39,Tabla2[Tipo de Movilidad],$Q$38)</f>
        <v>0</v>
      </c>
      <c r="X44" s="37">
        <f>COUNTIFS(Tabla2[Programa Nominación],'Movilidad Internacional'!$P44,Tabla2[Semestre de Movilidad],'Movilidad Internacional'!X$39,Tabla2[Tipo de Movilidad],$Q$38)</f>
        <v>0</v>
      </c>
      <c r="Y44" s="37">
        <f>COUNTIFS(Tabla2[Programa Nominación],'Movilidad Internacional'!$P44,Tabla2[Semestre de Movilidad],'Movilidad Internacional'!Y$39,Tabla2[Tipo de Movilidad],$Q$38)</f>
        <v>0</v>
      </c>
      <c r="Z44" s="37">
        <f>COUNTIFS(Tabla2[Programa Nominación],'Movilidad Internacional'!$P44,Tabla2[Semestre de Movilidad],'Movilidad Internacional'!Z$39,Tabla2[Tipo de Movilidad],$Q$38)</f>
        <v>0</v>
      </c>
      <c r="AA44" s="37">
        <f>COUNTIFS(Tabla2[Programa Nominación],'Movilidad Internacional'!$P44,Tabla2[Semestre de Movilidad],'Movilidad Internacional'!AA$39,Tabla2[Tipo de Movilidad],$Q$38)</f>
        <v>0</v>
      </c>
      <c r="AB44" s="37">
        <f>COUNTIFS(Tabla2[Programa Nominación],'Movilidad Internacional'!$P44,Tabla2[Semestre de Movilidad],'Movilidad Internacional'!AB$39,Tabla2[Tipo de Movilidad],$Q$38)</f>
        <v>0</v>
      </c>
      <c r="AD44" s="36" t="s">
        <v>238</v>
      </c>
      <c r="AE44" s="37">
        <f>COUNTIFS(Tabla2[Programa Nominación],'Movilidad Internacional'!$AD44,Tabla2[Semestre de Movilidad],'Movilidad Internacional'!AE$39,Tabla2[Tipo de Movilidad],$AE$38)</f>
        <v>0</v>
      </c>
      <c r="AF44" s="37">
        <f>COUNTIFS(Tabla2[Programa Nominación],'Movilidad Internacional'!$AD44,Tabla2[Semestre de Movilidad],'Movilidad Internacional'!AF$39,Tabla2[Tipo de Movilidad],$AE$38)</f>
        <v>0</v>
      </c>
      <c r="AG44" s="37">
        <f>COUNTIFS(Tabla2[Programa Nominación],'Movilidad Internacional'!$AD44,Tabla2[Semestre de Movilidad],'Movilidad Internacional'!AG$39,Tabla2[Tipo de Movilidad],$AE$38)</f>
        <v>0</v>
      </c>
      <c r="AH44" s="37">
        <f>COUNTIFS(Tabla2[Programa Nominación],'Movilidad Internacional'!$AD44,Tabla2[Semestre de Movilidad],'Movilidad Internacional'!AH$39,Tabla2[Tipo de Movilidad],$AE$38)</f>
        <v>0</v>
      </c>
      <c r="AI44" s="37">
        <f>COUNTIFS(Tabla2[Programa Nominación],'Movilidad Internacional'!$AD44,Tabla2[Semestre de Movilidad],'Movilidad Internacional'!AI$39,Tabla2[Tipo de Movilidad],$AE$38)</f>
        <v>0</v>
      </c>
      <c r="AJ44" s="37">
        <f>COUNTIFS(Tabla2[Programa Nominación],'Movilidad Internacional'!$AD44,Tabla2[Semestre de Movilidad],'Movilidad Internacional'!AJ$39,Tabla2[Tipo de Movilidad],$AE$38)</f>
        <v>0</v>
      </c>
      <c r="AK44" s="37">
        <f>COUNTIFS(Tabla2[Programa Nominación],'Movilidad Internacional'!$AD44,Tabla2[Semestre de Movilidad],'Movilidad Internacional'!AK$39,Tabla2[Tipo de Movilidad],$AE$38)</f>
        <v>0</v>
      </c>
      <c r="AL44" s="37">
        <f>COUNTIFS(Tabla2[Programa Nominación],'Movilidad Internacional'!$AD44,Tabla2[Semestre de Movilidad],'Movilidad Internacional'!AL$39,Tabla2[Tipo de Movilidad],$AE$38)</f>
        <v>0</v>
      </c>
      <c r="AM44" s="37">
        <f>COUNTIFS(Tabla2[Programa Nominación],'Movilidad Internacional'!$AD44,Tabla2[Semestre de Movilidad],'Movilidad Internacional'!AM$39,Tabla2[Tipo de Movilidad],$AE$38)</f>
        <v>0</v>
      </c>
      <c r="AN44" s="37">
        <f>COUNTIFS(Tabla2[Programa Nominación],'Movilidad Internacional'!$AD44,Tabla2[Semestre de Movilidad],'Movilidad Internacional'!AN$39,Tabla2[Tipo de Movilidad],$AE$38)</f>
        <v>0</v>
      </c>
      <c r="AO44" s="37">
        <f>COUNTIFS(Tabla2[Programa Nominación],'Movilidad Internacional'!$AD44,Tabla2[Semestre de Movilidad],'Movilidad Internacional'!AO$39,Tabla2[Tipo de Movilidad],$AE$38)</f>
        <v>0</v>
      </c>
      <c r="AP44" s="37">
        <f>COUNTIFS(Tabla2[Programa Nominación],'Movilidad Internacional'!$AD44,Tabla2[Semestre de Movilidad],'Movilidad Internacional'!AP$39,Tabla2[Tipo de Movilidad],$AE$38)</f>
        <v>0</v>
      </c>
    </row>
    <row r="45" spans="2:50">
      <c r="B45" s="36" t="s">
        <v>237</v>
      </c>
      <c r="C45" s="37">
        <f>COUNTIFS(Tabla2[Programa Nominación],'Movilidad Internacional'!$B45,Tabla2[Semestre de Movilidad],'Movilidad Internacional'!C$39,Tabla2[Tipo de Movilidad],$C$38)</f>
        <v>0</v>
      </c>
      <c r="D45" s="37">
        <f>COUNTIFS(Tabla2[Programa Nominación],'Movilidad Internacional'!$B45,Tabla2[Semestre de Movilidad],'Movilidad Internacional'!D$39,Tabla2[Tipo de Movilidad],$C$38)</f>
        <v>0</v>
      </c>
      <c r="E45" s="37">
        <f>COUNTIFS(Tabla2[Programa Nominación],'Movilidad Internacional'!$B45,Tabla2[Semestre de Movilidad],'Movilidad Internacional'!E$39,Tabla2[Tipo de Movilidad],$C$38)</f>
        <v>0</v>
      </c>
      <c r="F45" s="37">
        <f>COUNTIFS(Tabla2[Programa Nominación],'Movilidad Internacional'!$B45,Tabla2[Semestre de Movilidad],'Movilidad Internacional'!F$39,Tabla2[Tipo de Movilidad],$C$38)</f>
        <v>6</v>
      </c>
      <c r="G45" s="37">
        <f>COUNTIFS(Tabla2[Programa Nominación],'Movilidad Internacional'!$B45,Tabla2[Semestre de Movilidad],'Movilidad Internacional'!G$39,Tabla2[Tipo de Movilidad],$C$38)</f>
        <v>0</v>
      </c>
      <c r="H45" s="37">
        <f>COUNTIFS(Tabla2[Programa Nominación],'Movilidad Internacional'!$B45,Tabla2[Semestre de Movilidad],'Movilidad Internacional'!H$39,Tabla2[Tipo de Movilidad],$C$38)</f>
        <v>18</v>
      </c>
      <c r="I45" s="37">
        <f>COUNTIFS(Tabla2[Programa Nominación],'Movilidad Internacional'!$B45,Tabla2[Semestre de Movilidad],'Movilidad Internacional'!I$39,Tabla2[Tipo de Movilidad],$C$38)</f>
        <v>6</v>
      </c>
      <c r="J45" s="37">
        <f>COUNTIFS(Tabla2[Programa Nominación],'Movilidad Internacional'!$B45,Tabla2[Semestre de Movilidad],'Movilidad Internacional'!J$39,Tabla2[Tipo de Movilidad],$C$38)</f>
        <v>7</v>
      </c>
      <c r="K45" s="37">
        <f>COUNTIFS(Tabla2[Programa Nominación],'Movilidad Internacional'!$B45,Tabla2[Semestre de Movilidad],'Movilidad Internacional'!K$39,Tabla2[Tipo de Movilidad],$C$38)</f>
        <v>6</v>
      </c>
      <c r="L45" s="37">
        <f>COUNTIFS(Tabla2[Programa Nominación],'Movilidad Internacional'!$B45,Tabla2[Semestre de Movilidad],'Movilidad Internacional'!L$39,Tabla2[Tipo de Movilidad],$C$38)</f>
        <v>13</v>
      </c>
      <c r="M45" s="37">
        <f>COUNTIFS(Tabla2[Programa Nominación],'Movilidad Internacional'!$B45,Tabla2[Semestre de Movilidad],'Movilidad Internacional'!M$39,Tabla2[Tipo de Movilidad],$C$38)</f>
        <v>0</v>
      </c>
      <c r="N45" s="37">
        <f>COUNTIFS(Tabla2[Programa Nominación],'Movilidad Internacional'!$B45,Tabla2[Semestre de Movilidad],'Movilidad Internacional'!N$39,Tabla2[Tipo de Movilidad],$C$38)</f>
        <v>0</v>
      </c>
      <c r="O45" s="20"/>
      <c r="P45" s="36" t="s">
        <v>237</v>
      </c>
      <c r="Q45" s="37">
        <f>COUNTIFS(Tabla2[Programa Nominación],'Movilidad Internacional'!$P45,Tabla2[Semestre de Movilidad],'Movilidad Internacional'!Q$39,Tabla2[Tipo de Movilidad],$Q$38)</f>
        <v>0</v>
      </c>
      <c r="R45" s="37">
        <f>COUNTIFS(Tabla2[Programa Nominación],'Movilidad Internacional'!$P45,Tabla2[Semestre de Movilidad],'Movilidad Internacional'!R$39,Tabla2[Tipo de Movilidad],$Q$38)</f>
        <v>0</v>
      </c>
      <c r="S45" s="37">
        <f>COUNTIFS(Tabla2[Programa Nominación],'Movilidad Internacional'!$P45,Tabla2[Semestre de Movilidad],'Movilidad Internacional'!S$39,Tabla2[Tipo de Movilidad],$Q$38)</f>
        <v>0</v>
      </c>
      <c r="T45" s="37">
        <f>COUNTIFS(Tabla2[Programa Nominación],'Movilidad Internacional'!$P45,Tabla2[Semestre de Movilidad],'Movilidad Internacional'!T$39,Tabla2[Tipo de Movilidad],$Q$38)</f>
        <v>0</v>
      </c>
      <c r="U45" s="37">
        <f>COUNTIFS(Tabla2[Programa Nominación],'Movilidad Internacional'!$P45,Tabla2[Semestre de Movilidad],'Movilidad Internacional'!U$39,Tabla2[Tipo de Movilidad],$Q$38)</f>
        <v>0</v>
      </c>
      <c r="V45" s="37">
        <f>COUNTIFS(Tabla2[Programa Nominación],'Movilidad Internacional'!$P45,Tabla2[Semestre de Movilidad],'Movilidad Internacional'!V$39,Tabla2[Tipo de Movilidad],$Q$38)</f>
        <v>0</v>
      </c>
      <c r="W45" s="37">
        <f>COUNTIFS(Tabla2[Programa Nominación],'Movilidad Internacional'!$P45,Tabla2[Semestre de Movilidad],'Movilidad Internacional'!W$39,Tabla2[Tipo de Movilidad],$Q$38)</f>
        <v>0</v>
      </c>
      <c r="X45" s="37">
        <f>COUNTIFS(Tabla2[Programa Nominación],'Movilidad Internacional'!$P45,Tabla2[Semestre de Movilidad],'Movilidad Internacional'!X$39,Tabla2[Tipo de Movilidad],$Q$38)</f>
        <v>0</v>
      </c>
      <c r="Y45" s="37">
        <f>COUNTIFS(Tabla2[Programa Nominación],'Movilidad Internacional'!$P45,Tabla2[Semestre de Movilidad],'Movilidad Internacional'!Y$39,Tabla2[Tipo de Movilidad],$Q$38)</f>
        <v>0</v>
      </c>
      <c r="Z45" s="37">
        <f>COUNTIFS(Tabla2[Programa Nominación],'Movilidad Internacional'!$P45,Tabla2[Semestre de Movilidad],'Movilidad Internacional'!Z$39,Tabla2[Tipo de Movilidad],$Q$38)</f>
        <v>0</v>
      </c>
      <c r="AA45" s="37">
        <f>COUNTIFS(Tabla2[Programa Nominación],'Movilidad Internacional'!$P45,Tabla2[Semestre de Movilidad],'Movilidad Internacional'!AA$39,Tabla2[Tipo de Movilidad],$Q$38)</f>
        <v>0</v>
      </c>
      <c r="AB45" s="37">
        <f>COUNTIFS(Tabla2[Programa Nominación],'Movilidad Internacional'!$P45,Tabla2[Semestre de Movilidad],'Movilidad Internacional'!AB$39,Tabla2[Tipo de Movilidad],$Q$38)</f>
        <v>0</v>
      </c>
      <c r="AD45" s="36" t="s">
        <v>237</v>
      </c>
      <c r="AE45" s="37">
        <f>COUNTIFS(Tabla2[Programa Nominación],'Movilidad Internacional'!$AD45,Tabla2[Semestre de Movilidad],'Movilidad Internacional'!AE$39,Tabla2[Tipo de Movilidad],$AE$38)</f>
        <v>0</v>
      </c>
      <c r="AF45" s="37">
        <f>COUNTIFS(Tabla2[Programa Nominación],'Movilidad Internacional'!$AD45,Tabla2[Semestre de Movilidad],'Movilidad Internacional'!AF$39,Tabla2[Tipo de Movilidad],$AE$38)</f>
        <v>0</v>
      </c>
      <c r="AG45" s="37">
        <f>COUNTIFS(Tabla2[Programa Nominación],'Movilidad Internacional'!$AD45,Tabla2[Semestre de Movilidad],'Movilidad Internacional'!AG$39,Tabla2[Tipo de Movilidad],$AE$38)</f>
        <v>0</v>
      </c>
      <c r="AH45" s="37">
        <f>COUNTIFS(Tabla2[Programa Nominación],'Movilidad Internacional'!$AD45,Tabla2[Semestre de Movilidad],'Movilidad Internacional'!AH$39,Tabla2[Tipo de Movilidad],$AE$38)</f>
        <v>0</v>
      </c>
      <c r="AI45" s="37">
        <f>COUNTIFS(Tabla2[Programa Nominación],'Movilidad Internacional'!$AD45,Tabla2[Semestre de Movilidad],'Movilidad Internacional'!AI$39,Tabla2[Tipo de Movilidad],$AE$38)</f>
        <v>0</v>
      </c>
      <c r="AJ45" s="37">
        <f>COUNTIFS(Tabla2[Programa Nominación],'Movilidad Internacional'!$AD45,Tabla2[Semestre de Movilidad],'Movilidad Internacional'!AJ$39,Tabla2[Tipo de Movilidad],$AE$38)</f>
        <v>0</v>
      </c>
      <c r="AK45" s="37">
        <f>COUNTIFS(Tabla2[Programa Nominación],'Movilidad Internacional'!$AD45,Tabla2[Semestre de Movilidad],'Movilidad Internacional'!AK$39,Tabla2[Tipo de Movilidad],$AE$38)</f>
        <v>0</v>
      </c>
      <c r="AL45" s="37">
        <f>COUNTIFS(Tabla2[Programa Nominación],'Movilidad Internacional'!$AD45,Tabla2[Semestre de Movilidad],'Movilidad Internacional'!AL$39,Tabla2[Tipo de Movilidad],$AE$38)</f>
        <v>0</v>
      </c>
      <c r="AM45" s="37">
        <f>COUNTIFS(Tabla2[Programa Nominación],'Movilidad Internacional'!$AD45,Tabla2[Semestre de Movilidad],'Movilidad Internacional'!AM$39,Tabla2[Tipo de Movilidad],$AE$38)</f>
        <v>0</v>
      </c>
      <c r="AN45" s="37">
        <f>COUNTIFS(Tabla2[Programa Nominación],'Movilidad Internacional'!$AD45,Tabla2[Semestre de Movilidad],'Movilidad Internacional'!AN$39,Tabla2[Tipo de Movilidad],$AE$38)</f>
        <v>0</v>
      </c>
      <c r="AO45" s="37">
        <f>COUNTIFS(Tabla2[Programa Nominación],'Movilidad Internacional'!$AD45,Tabla2[Semestre de Movilidad],'Movilidad Internacional'!AO$39,Tabla2[Tipo de Movilidad],$AE$38)</f>
        <v>0</v>
      </c>
      <c r="AP45" s="37">
        <f>COUNTIFS(Tabla2[Programa Nominación],'Movilidad Internacional'!$AD45,Tabla2[Semestre de Movilidad],'Movilidad Internacional'!AP$39,Tabla2[Tipo de Movilidad],$AE$38)</f>
        <v>0</v>
      </c>
    </row>
    <row r="46" spans="2:50" ht="30">
      <c r="B46" s="36" t="s">
        <v>236</v>
      </c>
      <c r="C46" s="37">
        <f>COUNTIFS(Tabla2[Programa Nominación],'Movilidad Internacional'!$B46,Tabla2[Semestre de Movilidad],'Movilidad Internacional'!C$39,Tabla2[Tipo de Movilidad],$C$38)</f>
        <v>0</v>
      </c>
      <c r="D46" s="37">
        <f>COUNTIFS(Tabla2[Programa Nominación],'Movilidad Internacional'!$B46,Tabla2[Semestre de Movilidad],'Movilidad Internacional'!D$39,Tabla2[Tipo de Movilidad],$C$38)</f>
        <v>0</v>
      </c>
      <c r="E46" s="37">
        <f>COUNTIFS(Tabla2[Programa Nominación],'Movilidad Internacional'!$B46,Tabla2[Semestre de Movilidad],'Movilidad Internacional'!E$39,Tabla2[Tipo de Movilidad],$C$38)</f>
        <v>0</v>
      </c>
      <c r="F46" s="37">
        <f>COUNTIFS(Tabla2[Programa Nominación],'Movilidad Internacional'!$B46,Tabla2[Semestre de Movilidad],'Movilidad Internacional'!F$39,Tabla2[Tipo de Movilidad],$C$38)</f>
        <v>0</v>
      </c>
      <c r="G46" s="37">
        <f>COUNTIFS(Tabla2[Programa Nominación],'Movilidad Internacional'!$B46,Tabla2[Semestre de Movilidad],'Movilidad Internacional'!G$39,Tabla2[Tipo de Movilidad],$C$38)</f>
        <v>0</v>
      </c>
      <c r="H46" s="37">
        <f>COUNTIFS(Tabla2[Programa Nominación],'Movilidad Internacional'!$B46,Tabla2[Semestre de Movilidad],'Movilidad Internacional'!H$39,Tabla2[Tipo de Movilidad],$C$38)</f>
        <v>1</v>
      </c>
      <c r="I46" s="37">
        <f>COUNTIFS(Tabla2[Programa Nominación],'Movilidad Internacional'!$B46,Tabla2[Semestre de Movilidad],'Movilidad Internacional'!I$39,Tabla2[Tipo de Movilidad],$C$38)</f>
        <v>0</v>
      </c>
      <c r="J46" s="37">
        <f>COUNTIFS(Tabla2[Programa Nominación],'Movilidad Internacional'!$B46,Tabla2[Semestre de Movilidad],'Movilidad Internacional'!J$39,Tabla2[Tipo de Movilidad],$C$38)</f>
        <v>0</v>
      </c>
      <c r="K46" s="37">
        <f>COUNTIFS(Tabla2[Programa Nominación],'Movilidad Internacional'!$B46,Tabla2[Semestre de Movilidad],'Movilidad Internacional'!K$39,Tabla2[Tipo de Movilidad],$C$38)</f>
        <v>0</v>
      </c>
      <c r="L46" s="37">
        <f>COUNTIFS(Tabla2[Programa Nominación],'Movilidad Internacional'!$B46,Tabla2[Semestre de Movilidad],'Movilidad Internacional'!L$39,Tabla2[Tipo de Movilidad],$C$38)</f>
        <v>0</v>
      </c>
      <c r="M46" s="37">
        <f>COUNTIFS(Tabla2[Programa Nominación],'Movilidad Internacional'!$B46,Tabla2[Semestre de Movilidad],'Movilidad Internacional'!M$39,Tabla2[Tipo de Movilidad],$C$38)</f>
        <v>0</v>
      </c>
      <c r="N46" s="37">
        <f>COUNTIFS(Tabla2[Programa Nominación],'Movilidad Internacional'!$B46,Tabla2[Semestre de Movilidad],'Movilidad Internacional'!N$39,Tabla2[Tipo de Movilidad],$C$38)</f>
        <v>0</v>
      </c>
      <c r="O46" s="20"/>
      <c r="P46" s="36" t="s">
        <v>236</v>
      </c>
      <c r="Q46" s="37">
        <f>COUNTIFS(Tabla2[Programa Nominación],'Movilidad Internacional'!$P46,Tabla2[Semestre de Movilidad],'Movilidad Internacional'!Q$39,Tabla2[Tipo de Movilidad],$Q$38)</f>
        <v>0</v>
      </c>
      <c r="R46" s="37">
        <f>COUNTIFS(Tabla2[Programa Nominación],'Movilidad Internacional'!$P46,Tabla2[Semestre de Movilidad],'Movilidad Internacional'!R$39,Tabla2[Tipo de Movilidad],$Q$38)</f>
        <v>0</v>
      </c>
      <c r="S46" s="37">
        <f>COUNTIFS(Tabla2[Programa Nominación],'Movilidad Internacional'!$P46,Tabla2[Semestre de Movilidad],'Movilidad Internacional'!S$39,Tabla2[Tipo de Movilidad],$Q$38)</f>
        <v>0</v>
      </c>
      <c r="T46" s="37">
        <f>COUNTIFS(Tabla2[Programa Nominación],'Movilidad Internacional'!$P46,Tabla2[Semestre de Movilidad],'Movilidad Internacional'!T$39,Tabla2[Tipo de Movilidad],$Q$38)</f>
        <v>0</v>
      </c>
      <c r="U46" s="37">
        <f>COUNTIFS(Tabla2[Programa Nominación],'Movilidad Internacional'!$P46,Tabla2[Semestre de Movilidad],'Movilidad Internacional'!U$39,Tabla2[Tipo de Movilidad],$Q$38)</f>
        <v>0</v>
      </c>
      <c r="V46" s="37">
        <f>COUNTIFS(Tabla2[Programa Nominación],'Movilidad Internacional'!$P46,Tabla2[Semestre de Movilidad],'Movilidad Internacional'!V$39,Tabla2[Tipo de Movilidad],$Q$38)</f>
        <v>0</v>
      </c>
      <c r="W46" s="37">
        <f>COUNTIFS(Tabla2[Programa Nominación],'Movilidad Internacional'!$P46,Tabla2[Semestre de Movilidad],'Movilidad Internacional'!W$39,Tabla2[Tipo de Movilidad],$Q$38)</f>
        <v>0</v>
      </c>
      <c r="X46" s="37">
        <f>COUNTIFS(Tabla2[Programa Nominación],'Movilidad Internacional'!$P46,Tabla2[Semestre de Movilidad],'Movilidad Internacional'!X$39,Tabla2[Tipo de Movilidad],$Q$38)</f>
        <v>0</v>
      </c>
      <c r="Y46" s="37">
        <f>COUNTIFS(Tabla2[Programa Nominación],'Movilidad Internacional'!$P46,Tabla2[Semestre de Movilidad],'Movilidad Internacional'!Y$39,Tabla2[Tipo de Movilidad],$Q$38)</f>
        <v>0</v>
      </c>
      <c r="Z46" s="37">
        <f>COUNTIFS(Tabla2[Programa Nominación],'Movilidad Internacional'!$P46,Tabla2[Semestre de Movilidad],'Movilidad Internacional'!Z$39,Tabla2[Tipo de Movilidad],$Q$38)</f>
        <v>0</v>
      </c>
      <c r="AA46" s="37">
        <f>COUNTIFS(Tabla2[Programa Nominación],'Movilidad Internacional'!$P46,Tabla2[Semestre de Movilidad],'Movilidad Internacional'!AA$39,Tabla2[Tipo de Movilidad],$Q$38)</f>
        <v>0</v>
      </c>
      <c r="AB46" s="37">
        <f>COUNTIFS(Tabla2[Programa Nominación],'Movilidad Internacional'!$P46,Tabla2[Semestre de Movilidad],'Movilidad Internacional'!AB$39,Tabla2[Tipo de Movilidad],$Q$38)</f>
        <v>0</v>
      </c>
      <c r="AD46" s="36" t="s">
        <v>236</v>
      </c>
      <c r="AE46" s="37">
        <f>COUNTIFS(Tabla2[Programa Nominación],'Movilidad Internacional'!$AD46,Tabla2[Semestre de Movilidad],'Movilidad Internacional'!AE$39,Tabla2[Tipo de Movilidad],$AE$38)</f>
        <v>0</v>
      </c>
      <c r="AF46" s="37">
        <f>COUNTIFS(Tabla2[Programa Nominación],'Movilidad Internacional'!$AD46,Tabla2[Semestre de Movilidad],'Movilidad Internacional'!AF$39,Tabla2[Tipo de Movilidad],$AE$38)</f>
        <v>0</v>
      </c>
      <c r="AG46" s="37">
        <f>COUNTIFS(Tabla2[Programa Nominación],'Movilidad Internacional'!$AD46,Tabla2[Semestre de Movilidad],'Movilidad Internacional'!AG$39,Tabla2[Tipo de Movilidad],$AE$38)</f>
        <v>0</v>
      </c>
      <c r="AH46" s="37">
        <f>COUNTIFS(Tabla2[Programa Nominación],'Movilidad Internacional'!$AD46,Tabla2[Semestre de Movilidad],'Movilidad Internacional'!AH$39,Tabla2[Tipo de Movilidad],$AE$38)</f>
        <v>0</v>
      </c>
      <c r="AI46" s="37">
        <f>COUNTIFS(Tabla2[Programa Nominación],'Movilidad Internacional'!$AD46,Tabla2[Semestre de Movilidad],'Movilidad Internacional'!AI$39,Tabla2[Tipo de Movilidad],$AE$38)</f>
        <v>0</v>
      </c>
      <c r="AJ46" s="37">
        <f>COUNTIFS(Tabla2[Programa Nominación],'Movilidad Internacional'!$AD46,Tabla2[Semestre de Movilidad],'Movilidad Internacional'!AJ$39,Tabla2[Tipo de Movilidad],$AE$38)</f>
        <v>0</v>
      </c>
      <c r="AK46" s="37">
        <f>COUNTIFS(Tabla2[Programa Nominación],'Movilidad Internacional'!$AD46,Tabla2[Semestre de Movilidad],'Movilidad Internacional'!AK$39,Tabla2[Tipo de Movilidad],$AE$38)</f>
        <v>0</v>
      </c>
      <c r="AL46" s="37">
        <f>COUNTIFS(Tabla2[Programa Nominación],'Movilidad Internacional'!$AD46,Tabla2[Semestre de Movilidad],'Movilidad Internacional'!AL$39,Tabla2[Tipo de Movilidad],$AE$38)</f>
        <v>0</v>
      </c>
      <c r="AM46" s="37">
        <f>COUNTIFS(Tabla2[Programa Nominación],'Movilidad Internacional'!$AD46,Tabla2[Semestre de Movilidad],'Movilidad Internacional'!AM$39,Tabla2[Tipo de Movilidad],$AE$38)</f>
        <v>0</v>
      </c>
      <c r="AN46" s="37">
        <f>COUNTIFS(Tabla2[Programa Nominación],'Movilidad Internacional'!$AD46,Tabla2[Semestre de Movilidad],'Movilidad Internacional'!AN$39,Tabla2[Tipo de Movilidad],$AE$38)</f>
        <v>0</v>
      </c>
      <c r="AO46" s="37">
        <f>COUNTIFS(Tabla2[Programa Nominación],'Movilidad Internacional'!$AD46,Tabla2[Semestre de Movilidad],'Movilidad Internacional'!AO$39,Tabla2[Tipo de Movilidad],$AE$38)</f>
        <v>0</v>
      </c>
      <c r="AP46" s="37">
        <f>COUNTIFS(Tabla2[Programa Nominación],'Movilidad Internacional'!$AD46,Tabla2[Semestre de Movilidad],'Movilidad Internacional'!AP$39,Tabla2[Tipo de Movilidad],$AE$38)</f>
        <v>0</v>
      </c>
    </row>
    <row r="47" spans="2:50" ht="30">
      <c r="B47" s="36" t="s">
        <v>251</v>
      </c>
      <c r="C47" s="37">
        <f>COUNTIFS(Tabla2[Programa Nominación],'Movilidad Internacional'!$B47,Tabla2[Semestre de Movilidad],'Movilidad Internacional'!C$39,Tabla2[Tipo de Movilidad],$C$38)</f>
        <v>0</v>
      </c>
      <c r="D47" s="37">
        <f>COUNTIFS(Tabla2[Programa Nominación],'Movilidad Internacional'!$B47,Tabla2[Semestre de Movilidad],'Movilidad Internacional'!D$39,Tabla2[Tipo de Movilidad],$C$38)</f>
        <v>0</v>
      </c>
      <c r="E47" s="37">
        <f>COUNTIFS(Tabla2[Programa Nominación],'Movilidad Internacional'!$B47,Tabla2[Semestre de Movilidad],'Movilidad Internacional'!E$39,Tabla2[Tipo de Movilidad],$C$38)</f>
        <v>0</v>
      </c>
      <c r="F47" s="37">
        <f>COUNTIFS(Tabla2[Programa Nominación],'Movilidad Internacional'!$B47,Tabla2[Semestre de Movilidad],'Movilidad Internacional'!F$39,Tabla2[Tipo de Movilidad],$C$38)</f>
        <v>0</v>
      </c>
      <c r="G47" s="37">
        <f>COUNTIFS(Tabla2[Programa Nominación],'Movilidad Internacional'!$B47,Tabla2[Semestre de Movilidad],'Movilidad Internacional'!G$39,Tabla2[Tipo de Movilidad],$C$38)</f>
        <v>0</v>
      </c>
      <c r="H47" s="37">
        <f>COUNTIFS(Tabla2[Programa Nominación],'Movilidad Internacional'!$B47,Tabla2[Semestre de Movilidad],'Movilidad Internacional'!H$39,Tabla2[Tipo de Movilidad],$C$38)</f>
        <v>0</v>
      </c>
      <c r="I47" s="37">
        <f>COUNTIFS(Tabla2[Programa Nominación],'Movilidad Internacional'!$B47,Tabla2[Semestre de Movilidad],'Movilidad Internacional'!I$39,Tabla2[Tipo de Movilidad],$C$38)</f>
        <v>6</v>
      </c>
      <c r="J47" s="37">
        <f>COUNTIFS(Tabla2[Programa Nominación],'Movilidad Internacional'!$B47,Tabla2[Semestre de Movilidad],'Movilidad Internacional'!J$39,Tabla2[Tipo de Movilidad],$C$38)</f>
        <v>4</v>
      </c>
      <c r="K47" s="37">
        <f>COUNTIFS(Tabla2[Programa Nominación],'Movilidad Internacional'!$B47,Tabla2[Semestre de Movilidad],'Movilidad Internacional'!K$39,Tabla2[Tipo de Movilidad],$C$38)</f>
        <v>7</v>
      </c>
      <c r="L47" s="37">
        <f>COUNTIFS(Tabla2[Programa Nominación],'Movilidad Internacional'!$B47,Tabla2[Semestre de Movilidad],'Movilidad Internacional'!L$39,Tabla2[Tipo de Movilidad],$C$38)</f>
        <v>1</v>
      </c>
      <c r="M47" s="37">
        <f>COUNTIFS(Tabla2[Programa Nominación],'Movilidad Internacional'!$B47,Tabla2[Semestre de Movilidad],'Movilidad Internacional'!M$39,Tabla2[Tipo de Movilidad],$C$38)</f>
        <v>0</v>
      </c>
      <c r="N47" s="37">
        <f>COUNTIFS(Tabla2[Programa Nominación],'Movilidad Internacional'!$B47,Tabla2[Semestre de Movilidad],'Movilidad Internacional'!N$39,Tabla2[Tipo de Movilidad],$C$38)</f>
        <v>0</v>
      </c>
      <c r="O47" s="20"/>
      <c r="P47" s="36" t="s">
        <v>251</v>
      </c>
      <c r="Q47" s="37">
        <f>COUNTIFS(Tabla2[Programa Nominación],'Movilidad Internacional'!$P47,Tabla2[Semestre de Movilidad],'Movilidad Internacional'!Q$39,Tabla2[Tipo de Movilidad],$Q$38)</f>
        <v>0</v>
      </c>
      <c r="R47" s="37">
        <f>COUNTIFS(Tabla2[Programa Nominación],'Movilidad Internacional'!$P47,Tabla2[Semestre de Movilidad],'Movilidad Internacional'!R$39,Tabla2[Tipo de Movilidad],$Q$38)</f>
        <v>0</v>
      </c>
      <c r="S47" s="37">
        <f>COUNTIFS(Tabla2[Programa Nominación],'Movilidad Internacional'!$P47,Tabla2[Semestre de Movilidad],'Movilidad Internacional'!S$39,Tabla2[Tipo de Movilidad],$Q$38)</f>
        <v>0</v>
      </c>
      <c r="T47" s="37">
        <f>COUNTIFS(Tabla2[Programa Nominación],'Movilidad Internacional'!$P47,Tabla2[Semestre de Movilidad],'Movilidad Internacional'!T$39,Tabla2[Tipo de Movilidad],$Q$38)</f>
        <v>0</v>
      </c>
      <c r="U47" s="37">
        <f>COUNTIFS(Tabla2[Programa Nominación],'Movilidad Internacional'!$P47,Tabla2[Semestre de Movilidad],'Movilidad Internacional'!U$39,Tabla2[Tipo de Movilidad],$Q$38)</f>
        <v>0</v>
      </c>
      <c r="V47" s="37">
        <f>COUNTIFS(Tabla2[Programa Nominación],'Movilidad Internacional'!$P47,Tabla2[Semestre de Movilidad],'Movilidad Internacional'!V$39,Tabla2[Tipo de Movilidad],$Q$38)</f>
        <v>0</v>
      </c>
      <c r="W47" s="37">
        <f>COUNTIFS(Tabla2[Programa Nominación],'Movilidad Internacional'!$P47,Tabla2[Semestre de Movilidad],'Movilidad Internacional'!W$39,Tabla2[Tipo de Movilidad],$Q$38)</f>
        <v>0</v>
      </c>
      <c r="X47" s="37">
        <f>COUNTIFS(Tabla2[Programa Nominación],'Movilidad Internacional'!$P47,Tabla2[Semestre de Movilidad],'Movilidad Internacional'!X$39,Tabla2[Tipo de Movilidad],$Q$38)</f>
        <v>0</v>
      </c>
      <c r="Y47" s="37">
        <f>COUNTIFS(Tabla2[Programa Nominación],'Movilidad Internacional'!$P47,Tabla2[Semestre de Movilidad],'Movilidad Internacional'!Y$39,Tabla2[Tipo de Movilidad],$Q$38)</f>
        <v>0</v>
      </c>
      <c r="Z47" s="37">
        <f>COUNTIFS(Tabla2[Programa Nominación],'Movilidad Internacional'!$P47,Tabla2[Semestre de Movilidad],'Movilidad Internacional'!Z$39,Tabla2[Tipo de Movilidad],$Q$38)</f>
        <v>0</v>
      </c>
      <c r="AA47" s="37">
        <f>COUNTIFS(Tabla2[Programa Nominación],'Movilidad Internacional'!$P47,Tabla2[Semestre de Movilidad],'Movilidad Internacional'!AA$39,Tabla2[Tipo de Movilidad],$Q$38)</f>
        <v>0</v>
      </c>
      <c r="AB47" s="37">
        <f>COUNTIFS(Tabla2[Programa Nominación],'Movilidad Internacional'!$P47,Tabla2[Semestre de Movilidad],'Movilidad Internacional'!AB$39,Tabla2[Tipo de Movilidad],$Q$38)</f>
        <v>0</v>
      </c>
      <c r="AD47" s="36" t="s">
        <v>251</v>
      </c>
      <c r="AE47" s="37">
        <f>COUNTIFS(Tabla2[Programa Nominación],'Movilidad Internacional'!$AD47,Tabla2[Semestre de Movilidad],'Movilidad Internacional'!AE$39,Tabla2[Tipo de Movilidad],$AE$38)</f>
        <v>0</v>
      </c>
      <c r="AF47" s="37">
        <f>COUNTIFS(Tabla2[Programa Nominación],'Movilidad Internacional'!$AD47,Tabla2[Semestre de Movilidad],'Movilidad Internacional'!AF$39,Tabla2[Tipo de Movilidad],$AE$38)</f>
        <v>0</v>
      </c>
      <c r="AG47" s="37">
        <f>COUNTIFS(Tabla2[Programa Nominación],'Movilidad Internacional'!$AD47,Tabla2[Semestre de Movilidad],'Movilidad Internacional'!AG$39,Tabla2[Tipo de Movilidad],$AE$38)</f>
        <v>0</v>
      </c>
      <c r="AH47" s="37">
        <f>COUNTIFS(Tabla2[Programa Nominación],'Movilidad Internacional'!$AD47,Tabla2[Semestre de Movilidad],'Movilidad Internacional'!AH$39,Tabla2[Tipo de Movilidad],$AE$38)</f>
        <v>0</v>
      </c>
      <c r="AI47" s="37">
        <f>COUNTIFS(Tabla2[Programa Nominación],'Movilidad Internacional'!$AD47,Tabla2[Semestre de Movilidad],'Movilidad Internacional'!AI$39,Tabla2[Tipo de Movilidad],$AE$38)</f>
        <v>0</v>
      </c>
      <c r="AJ47" s="37">
        <f>COUNTIFS(Tabla2[Programa Nominación],'Movilidad Internacional'!$AD47,Tabla2[Semestre de Movilidad],'Movilidad Internacional'!AJ$39,Tabla2[Tipo de Movilidad],$AE$38)</f>
        <v>0</v>
      </c>
      <c r="AK47" s="37">
        <f>COUNTIFS(Tabla2[Programa Nominación],'Movilidad Internacional'!$AD47,Tabla2[Semestre de Movilidad],'Movilidad Internacional'!AK$39,Tabla2[Tipo de Movilidad],$AE$38)</f>
        <v>0</v>
      </c>
      <c r="AL47" s="37">
        <f>COUNTIFS(Tabla2[Programa Nominación],'Movilidad Internacional'!$AD47,Tabla2[Semestre de Movilidad],'Movilidad Internacional'!AL$39,Tabla2[Tipo de Movilidad],$AE$38)</f>
        <v>0</v>
      </c>
      <c r="AM47" s="37">
        <f>COUNTIFS(Tabla2[Programa Nominación],'Movilidad Internacional'!$AD47,Tabla2[Semestre de Movilidad],'Movilidad Internacional'!AM$39,Tabla2[Tipo de Movilidad],$AE$38)</f>
        <v>0</v>
      </c>
      <c r="AN47" s="37">
        <f>COUNTIFS(Tabla2[Programa Nominación],'Movilidad Internacional'!$AD47,Tabla2[Semestre de Movilidad],'Movilidad Internacional'!AN$39,Tabla2[Tipo de Movilidad],$AE$38)</f>
        <v>0</v>
      </c>
      <c r="AO47" s="37">
        <f>COUNTIFS(Tabla2[Programa Nominación],'Movilidad Internacional'!$AD47,Tabla2[Semestre de Movilidad],'Movilidad Internacional'!AO$39,Tabla2[Tipo de Movilidad],$AE$38)</f>
        <v>0</v>
      </c>
      <c r="AP47" s="37">
        <f>COUNTIFS(Tabla2[Programa Nominación],'Movilidad Internacional'!$AD47,Tabla2[Semestre de Movilidad],'Movilidad Internacional'!AP$39,Tabla2[Tipo de Movilidad],$AE$38)</f>
        <v>0</v>
      </c>
    </row>
    <row r="48" spans="2:50">
      <c r="B48" s="36" t="s">
        <v>252</v>
      </c>
      <c r="C48" s="37">
        <f>COUNTIFS(Tabla2[Programa Nominación],'Movilidad Internacional'!$B48,Tabla2[Semestre de Movilidad],'Movilidad Internacional'!C$39,Tabla2[Tipo de Movilidad],$C$38)</f>
        <v>0</v>
      </c>
      <c r="D48" s="37">
        <f>COUNTIFS(Tabla2[Programa Nominación],'Movilidad Internacional'!$B48,Tabla2[Semestre de Movilidad],'Movilidad Internacional'!D$39,Tabla2[Tipo de Movilidad],$C$38)</f>
        <v>0</v>
      </c>
      <c r="E48" s="37">
        <f>COUNTIFS(Tabla2[Programa Nominación],'Movilidad Internacional'!$B48,Tabla2[Semestre de Movilidad],'Movilidad Internacional'!E$39,Tabla2[Tipo de Movilidad],$C$38)</f>
        <v>0</v>
      </c>
      <c r="F48" s="37">
        <f>COUNTIFS(Tabla2[Programa Nominación],'Movilidad Internacional'!$B48,Tabla2[Semestre de Movilidad],'Movilidad Internacional'!F$39,Tabla2[Tipo de Movilidad],$C$38)</f>
        <v>0</v>
      </c>
      <c r="G48" s="37">
        <f>COUNTIFS(Tabla2[Programa Nominación],'Movilidad Internacional'!$B48,Tabla2[Semestre de Movilidad],'Movilidad Internacional'!G$39,Tabla2[Tipo de Movilidad],$C$38)</f>
        <v>0</v>
      </c>
      <c r="H48" s="37">
        <f>COUNTIFS(Tabla2[Programa Nominación],'Movilidad Internacional'!$B48,Tabla2[Semestre de Movilidad],'Movilidad Internacional'!H$39,Tabla2[Tipo de Movilidad],$C$38)</f>
        <v>0</v>
      </c>
      <c r="I48" s="37">
        <f>COUNTIFS(Tabla2[Programa Nominación],'Movilidad Internacional'!$B48,Tabla2[Semestre de Movilidad],'Movilidad Internacional'!I$39,Tabla2[Tipo de Movilidad],$C$38)</f>
        <v>0</v>
      </c>
      <c r="J48" s="37">
        <f>COUNTIFS(Tabla2[Programa Nominación],'Movilidad Internacional'!$B48,Tabla2[Semestre de Movilidad],'Movilidad Internacional'!J$39,Tabla2[Tipo de Movilidad],$C$38)</f>
        <v>3</v>
      </c>
      <c r="K48" s="37">
        <f>COUNTIFS(Tabla2[Programa Nominación],'Movilidad Internacional'!$B48,Tabla2[Semestre de Movilidad],'Movilidad Internacional'!K$39,Tabla2[Tipo de Movilidad],$C$38)</f>
        <v>0</v>
      </c>
      <c r="L48" s="37">
        <f>COUNTIFS(Tabla2[Programa Nominación],'Movilidad Internacional'!$B48,Tabla2[Semestre de Movilidad],'Movilidad Internacional'!L$39,Tabla2[Tipo de Movilidad],$C$38)</f>
        <v>0</v>
      </c>
      <c r="M48" s="37">
        <f>COUNTIFS(Tabla2[Programa Nominación],'Movilidad Internacional'!$B48,Tabla2[Semestre de Movilidad],'Movilidad Internacional'!M$39,Tabla2[Tipo de Movilidad],$C$38)</f>
        <v>0</v>
      </c>
      <c r="N48" s="37">
        <f>COUNTIFS(Tabla2[Programa Nominación],'Movilidad Internacional'!$B48,Tabla2[Semestre de Movilidad],'Movilidad Internacional'!N$39,Tabla2[Tipo de Movilidad],$C$38)</f>
        <v>0</v>
      </c>
      <c r="O48" s="20"/>
      <c r="P48" s="36" t="s">
        <v>252</v>
      </c>
      <c r="Q48" s="37">
        <f>COUNTIFS(Tabla2[Programa Nominación],'Movilidad Internacional'!$P48,Tabla2[Semestre de Movilidad],'Movilidad Internacional'!Q$39,Tabla2[Tipo de Movilidad],$Q$38)</f>
        <v>0</v>
      </c>
      <c r="R48" s="37">
        <f>COUNTIFS(Tabla2[Programa Nominación],'Movilidad Internacional'!$P48,Tabla2[Semestre de Movilidad],'Movilidad Internacional'!R$39,Tabla2[Tipo de Movilidad],$Q$38)</f>
        <v>0</v>
      </c>
      <c r="S48" s="37">
        <f>COUNTIFS(Tabla2[Programa Nominación],'Movilidad Internacional'!$P48,Tabla2[Semestre de Movilidad],'Movilidad Internacional'!S$39,Tabla2[Tipo de Movilidad],$Q$38)</f>
        <v>0</v>
      </c>
      <c r="T48" s="37">
        <f>COUNTIFS(Tabla2[Programa Nominación],'Movilidad Internacional'!$P48,Tabla2[Semestre de Movilidad],'Movilidad Internacional'!T$39,Tabla2[Tipo de Movilidad],$Q$38)</f>
        <v>0</v>
      </c>
      <c r="U48" s="37">
        <f>COUNTIFS(Tabla2[Programa Nominación],'Movilidad Internacional'!$P48,Tabla2[Semestre de Movilidad],'Movilidad Internacional'!U$39,Tabla2[Tipo de Movilidad],$Q$38)</f>
        <v>0</v>
      </c>
      <c r="V48" s="37">
        <f>COUNTIFS(Tabla2[Programa Nominación],'Movilidad Internacional'!$P48,Tabla2[Semestre de Movilidad],'Movilidad Internacional'!V$39,Tabla2[Tipo de Movilidad],$Q$38)</f>
        <v>0</v>
      </c>
      <c r="W48" s="37">
        <f>COUNTIFS(Tabla2[Programa Nominación],'Movilidad Internacional'!$P48,Tabla2[Semestre de Movilidad],'Movilidad Internacional'!W$39,Tabla2[Tipo de Movilidad],$Q$38)</f>
        <v>0</v>
      </c>
      <c r="X48" s="37">
        <f>COUNTIFS(Tabla2[Programa Nominación],'Movilidad Internacional'!$P48,Tabla2[Semestre de Movilidad],'Movilidad Internacional'!X$39,Tabla2[Tipo de Movilidad],$Q$38)</f>
        <v>0</v>
      </c>
      <c r="Y48" s="37">
        <f>COUNTIFS(Tabla2[Programa Nominación],'Movilidad Internacional'!$P48,Tabla2[Semestre de Movilidad],'Movilidad Internacional'!Y$39,Tabla2[Tipo de Movilidad],$Q$38)</f>
        <v>0</v>
      </c>
      <c r="Z48" s="37">
        <f>COUNTIFS(Tabla2[Programa Nominación],'Movilidad Internacional'!$P48,Tabla2[Semestre de Movilidad],'Movilidad Internacional'!Z$39,Tabla2[Tipo de Movilidad],$Q$38)</f>
        <v>0</v>
      </c>
      <c r="AA48" s="37">
        <f>COUNTIFS(Tabla2[Programa Nominación],'Movilidad Internacional'!$P48,Tabla2[Semestre de Movilidad],'Movilidad Internacional'!AA$39,Tabla2[Tipo de Movilidad],$Q$38)</f>
        <v>0</v>
      </c>
      <c r="AB48" s="37">
        <f>COUNTIFS(Tabla2[Programa Nominación],'Movilidad Internacional'!$P48,Tabla2[Semestre de Movilidad],'Movilidad Internacional'!AB$39,Tabla2[Tipo de Movilidad],$Q$38)</f>
        <v>0</v>
      </c>
      <c r="AD48" s="36" t="s">
        <v>252</v>
      </c>
      <c r="AE48" s="37">
        <f>COUNTIFS(Tabla2[Programa Nominación],'Movilidad Internacional'!$AD48,Tabla2[Semestre de Movilidad],'Movilidad Internacional'!AE$39,Tabla2[Tipo de Movilidad],$AE$38)</f>
        <v>0</v>
      </c>
      <c r="AF48" s="37">
        <f>COUNTIFS(Tabla2[Programa Nominación],'Movilidad Internacional'!$AD48,Tabla2[Semestre de Movilidad],'Movilidad Internacional'!AF$39,Tabla2[Tipo de Movilidad],$AE$38)</f>
        <v>0</v>
      </c>
      <c r="AG48" s="37">
        <f>COUNTIFS(Tabla2[Programa Nominación],'Movilidad Internacional'!$AD48,Tabla2[Semestre de Movilidad],'Movilidad Internacional'!AG$39,Tabla2[Tipo de Movilidad],$AE$38)</f>
        <v>0</v>
      </c>
      <c r="AH48" s="37">
        <f>COUNTIFS(Tabla2[Programa Nominación],'Movilidad Internacional'!$AD48,Tabla2[Semestre de Movilidad],'Movilidad Internacional'!AH$39,Tabla2[Tipo de Movilidad],$AE$38)</f>
        <v>0</v>
      </c>
      <c r="AI48" s="37">
        <f>COUNTIFS(Tabla2[Programa Nominación],'Movilidad Internacional'!$AD48,Tabla2[Semestre de Movilidad],'Movilidad Internacional'!AI$39,Tabla2[Tipo de Movilidad],$AE$38)</f>
        <v>0</v>
      </c>
      <c r="AJ48" s="37">
        <f>COUNTIFS(Tabla2[Programa Nominación],'Movilidad Internacional'!$AD48,Tabla2[Semestre de Movilidad],'Movilidad Internacional'!AJ$39,Tabla2[Tipo de Movilidad],$AE$38)</f>
        <v>0</v>
      </c>
      <c r="AK48" s="37">
        <f>COUNTIFS(Tabla2[Programa Nominación],'Movilidad Internacional'!$AD48,Tabla2[Semestre de Movilidad],'Movilidad Internacional'!AK$39,Tabla2[Tipo de Movilidad],$AE$38)</f>
        <v>0</v>
      </c>
      <c r="AL48" s="37">
        <f>COUNTIFS(Tabla2[Programa Nominación],'Movilidad Internacional'!$AD48,Tabla2[Semestre de Movilidad],'Movilidad Internacional'!AL$39,Tabla2[Tipo de Movilidad],$AE$38)</f>
        <v>0</v>
      </c>
      <c r="AM48" s="37">
        <f>COUNTIFS(Tabla2[Programa Nominación],'Movilidad Internacional'!$AD48,Tabla2[Semestre de Movilidad],'Movilidad Internacional'!AM$39,Tabla2[Tipo de Movilidad],$AE$38)</f>
        <v>0</v>
      </c>
      <c r="AN48" s="37">
        <f>COUNTIFS(Tabla2[Programa Nominación],'Movilidad Internacional'!$AD48,Tabla2[Semestre de Movilidad],'Movilidad Internacional'!AN$39,Tabla2[Tipo de Movilidad],$AE$38)</f>
        <v>0</v>
      </c>
      <c r="AO48" s="37">
        <f>COUNTIFS(Tabla2[Programa Nominación],'Movilidad Internacional'!$AD48,Tabla2[Semestre de Movilidad],'Movilidad Internacional'!AO$39,Tabla2[Tipo de Movilidad],$AE$38)</f>
        <v>0</v>
      </c>
      <c r="AP48" s="37">
        <f>COUNTIFS(Tabla2[Programa Nominación],'Movilidad Internacional'!$AD48,Tabla2[Semestre de Movilidad],'Movilidad Internacional'!AP$39,Tabla2[Tipo de Movilidad],$AE$38)</f>
        <v>0</v>
      </c>
    </row>
    <row r="49" spans="1:42" ht="30">
      <c r="B49" s="36" t="s">
        <v>240</v>
      </c>
      <c r="C49" s="37">
        <f>COUNTIFS(Tabla2[Programa Nominación],'Movilidad Internacional'!$B49,Tabla2[Semestre de Movilidad],'Movilidad Internacional'!C$39,Tabla2[Tipo de Movilidad],$C$38)</f>
        <v>0</v>
      </c>
      <c r="D49" s="37">
        <f>COUNTIFS(Tabla2[Programa Nominación],'Movilidad Internacional'!$B49,Tabla2[Semestre de Movilidad],'Movilidad Internacional'!D$39,Tabla2[Tipo de Movilidad],$C$38)</f>
        <v>0</v>
      </c>
      <c r="E49" s="37">
        <f>COUNTIFS(Tabla2[Programa Nominación],'Movilidad Internacional'!$B49,Tabla2[Semestre de Movilidad],'Movilidad Internacional'!E$39,Tabla2[Tipo de Movilidad],$C$38)</f>
        <v>0</v>
      </c>
      <c r="F49" s="37">
        <f>COUNTIFS(Tabla2[Programa Nominación],'Movilidad Internacional'!$B49,Tabla2[Semestre de Movilidad],'Movilidad Internacional'!F$39,Tabla2[Tipo de Movilidad],$C$38)</f>
        <v>0</v>
      </c>
      <c r="G49" s="37">
        <f>COUNTIFS(Tabla2[Programa Nominación],'Movilidad Internacional'!$B49,Tabla2[Semestre de Movilidad],'Movilidad Internacional'!G$39,Tabla2[Tipo de Movilidad],$C$38)</f>
        <v>0</v>
      </c>
      <c r="H49" s="37">
        <f>COUNTIFS(Tabla2[Programa Nominación],'Movilidad Internacional'!$B49,Tabla2[Semestre de Movilidad],'Movilidad Internacional'!H$39,Tabla2[Tipo de Movilidad],$C$38)</f>
        <v>0</v>
      </c>
      <c r="I49" s="37">
        <f>COUNTIFS(Tabla2[Programa Nominación],'Movilidad Internacional'!$B49,Tabla2[Semestre de Movilidad],'Movilidad Internacional'!I$39,Tabla2[Tipo de Movilidad],$C$38)</f>
        <v>0</v>
      </c>
      <c r="J49" s="37">
        <f>COUNTIFS(Tabla2[Programa Nominación],'Movilidad Internacional'!$B49,Tabla2[Semestre de Movilidad],'Movilidad Internacional'!J$39,Tabla2[Tipo de Movilidad],$C$38)</f>
        <v>1</v>
      </c>
      <c r="K49" s="37">
        <f>COUNTIFS(Tabla2[Programa Nominación],'Movilidad Internacional'!$B49,Tabla2[Semestre de Movilidad],'Movilidad Internacional'!K$39,Tabla2[Tipo de Movilidad],$C$38)</f>
        <v>0</v>
      </c>
      <c r="L49" s="37">
        <f>COUNTIFS(Tabla2[Programa Nominación],'Movilidad Internacional'!$B49,Tabla2[Semestre de Movilidad],'Movilidad Internacional'!L$39,Tabla2[Tipo de Movilidad],$C$38)</f>
        <v>0</v>
      </c>
      <c r="M49" s="37">
        <f>COUNTIFS(Tabla2[Programa Nominación],'Movilidad Internacional'!$B49,Tabla2[Semestre de Movilidad],'Movilidad Internacional'!M$39,Tabla2[Tipo de Movilidad],$C$38)</f>
        <v>3</v>
      </c>
      <c r="N49" s="37">
        <f>COUNTIFS(Tabla2[Programa Nominación],'Movilidad Internacional'!$B49,Tabla2[Semestre de Movilidad],'Movilidad Internacional'!N$39,Tabla2[Tipo de Movilidad],$C$38)</f>
        <v>0</v>
      </c>
      <c r="P49" s="36" t="s">
        <v>240</v>
      </c>
      <c r="Q49" s="37">
        <f>COUNTIFS(Tabla2[Programa Nominación],'Movilidad Internacional'!$P49,Tabla2[Semestre de Movilidad],'Movilidad Internacional'!Q$39,Tabla2[Tipo de Movilidad],$Q$38)</f>
        <v>0</v>
      </c>
      <c r="R49" s="37">
        <f>COUNTIFS(Tabla2[Programa Nominación],'Movilidad Internacional'!$P49,Tabla2[Semestre de Movilidad],'Movilidad Internacional'!R$39,Tabla2[Tipo de Movilidad],$Q$38)</f>
        <v>0</v>
      </c>
      <c r="S49" s="37">
        <f>COUNTIFS(Tabla2[Programa Nominación],'Movilidad Internacional'!$P49,Tabla2[Semestre de Movilidad],'Movilidad Internacional'!S$39,Tabla2[Tipo de Movilidad],$Q$38)</f>
        <v>0</v>
      </c>
      <c r="T49" s="37">
        <f>COUNTIFS(Tabla2[Programa Nominación],'Movilidad Internacional'!$P49,Tabla2[Semestre de Movilidad],'Movilidad Internacional'!T$39,Tabla2[Tipo de Movilidad],$Q$38)</f>
        <v>0</v>
      </c>
      <c r="U49" s="37">
        <f>COUNTIFS(Tabla2[Programa Nominación],'Movilidad Internacional'!$P49,Tabla2[Semestre de Movilidad],'Movilidad Internacional'!U$39,Tabla2[Tipo de Movilidad],$Q$38)</f>
        <v>0</v>
      </c>
      <c r="V49" s="37">
        <f>COUNTIFS(Tabla2[Programa Nominación],'Movilidad Internacional'!$P49,Tabla2[Semestre de Movilidad],'Movilidad Internacional'!V$39,Tabla2[Tipo de Movilidad],$Q$38)</f>
        <v>0</v>
      </c>
      <c r="W49" s="37">
        <f>COUNTIFS(Tabla2[Programa Nominación],'Movilidad Internacional'!$P49,Tabla2[Semestre de Movilidad],'Movilidad Internacional'!W$39,Tabla2[Tipo de Movilidad],$Q$38)</f>
        <v>0</v>
      </c>
      <c r="X49" s="37">
        <f>COUNTIFS(Tabla2[Programa Nominación],'Movilidad Internacional'!$P49,Tabla2[Semestre de Movilidad],'Movilidad Internacional'!X$39,Tabla2[Tipo de Movilidad],$Q$38)</f>
        <v>0</v>
      </c>
      <c r="Y49" s="37">
        <f>COUNTIFS(Tabla2[Programa Nominación],'Movilidad Internacional'!$P49,Tabla2[Semestre de Movilidad],'Movilidad Internacional'!Y$39,Tabla2[Tipo de Movilidad],$Q$38)</f>
        <v>0</v>
      </c>
      <c r="Z49" s="37">
        <f>COUNTIFS(Tabla2[Programa Nominación],'Movilidad Internacional'!$P49,Tabla2[Semestre de Movilidad],'Movilidad Internacional'!Z$39,Tabla2[Tipo de Movilidad],$Q$38)</f>
        <v>0</v>
      </c>
      <c r="AA49" s="37">
        <f>COUNTIFS(Tabla2[Programa Nominación],'Movilidad Internacional'!$P49,Tabla2[Semestre de Movilidad],'Movilidad Internacional'!AA$39,Tabla2[Tipo de Movilidad],$Q$38)</f>
        <v>0</v>
      </c>
      <c r="AB49" s="37">
        <f>COUNTIFS(Tabla2[Programa Nominación],'Movilidad Internacional'!$P49,Tabla2[Semestre de Movilidad],'Movilidad Internacional'!AB$39,Tabla2[Tipo de Movilidad],$Q$38)</f>
        <v>0</v>
      </c>
      <c r="AD49" s="36" t="s">
        <v>240</v>
      </c>
      <c r="AE49" s="37">
        <f>COUNTIFS(Tabla2[Programa Nominación],'Movilidad Internacional'!$AD49,Tabla2[Semestre de Movilidad],'Movilidad Internacional'!AE$39,Tabla2[Tipo de Movilidad],$AE$38)</f>
        <v>0</v>
      </c>
      <c r="AF49" s="37">
        <f>COUNTIFS(Tabla2[Programa Nominación],'Movilidad Internacional'!$AD49,Tabla2[Semestre de Movilidad],'Movilidad Internacional'!AF$39,Tabla2[Tipo de Movilidad],$AE$38)</f>
        <v>0</v>
      </c>
      <c r="AG49" s="37">
        <f>COUNTIFS(Tabla2[Programa Nominación],'Movilidad Internacional'!$AD49,Tabla2[Semestre de Movilidad],'Movilidad Internacional'!AG$39,Tabla2[Tipo de Movilidad],$AE$38)</f>
        <v>0</v>
      </c>
      <c r="AH49" s="37">
        <f>COUNTIFS(Tabla2[Programa Nominación],'Movilidad Internacional'!$AD49,Tabla2[Semestre de Movilidad],'Movilidad Internacional'!AH$39,Tabla2[Tipo de Movilidad],$AE$38)</f>
        <v>0</v>
      </c>
      <c r="AI49" s="37">
        <f>COUNTIFS(Tabla2[Programa Nominación],'Movilidad Internacional'!$AD49,Tabla2[Semestre de Movilidad],'Movilidad Internacional'!AI$39,Tabla2[Tipo de Movilidad],$AE$38)</f>
        <v>0</v>
      </c>
      <c r="AJ49" s="37">
        <f>COUNTIFS(Tabla2[Programa Nominación],'Movilidad Internacional'!$AD49,Tabla2[Semestre de Movilidad],'Movilidad Internacional'!AJ$39,Tabla2[Tipo de Movilidad],$AE$38)</f>
        <v>0</v>
      </c>
      <c r="AK49" s="37">
        <f>COUNTIFS(Tabla2[Programa Nominación],'Movilidad Internacional'!$AD49,Tabla2[Semestre de Movilidad],'Movilidad Internacional'!AK$39,Tabla2[Tipo de Movilidad],$AE$38)</f>
        <v>0</v>
      </c>
      <c r="AL49" s="37">
        <f>COUNTIFS(Tabla2[Programa Nominación],'Movilidad Internacional'!$AD49,Tabla2[Semestre de Movilidad],'Movilidad Internacional'!AL$39,Tabla2[Tipo de Movilidad],$AE$38)</f>
        <v>0</v>
      </c>
      <c r="AM49" s="37">
        <f>COUNTIFS(Tabla2[Programa Nominación],'Movilidad Internacional'!$AD49,Tabla2[Semestre de Movilidad],'Movilidad Internacional'!AM$39,Tabla2[Tipo de Movilidad],$AE$38)</f>
        <v>0</v>
      </c>
      <c r="AN49" s="37">
        <f>COUNTIFS(Tabla2[Programa Nominación],'Movilidad Internacional'!$AD49,Tabla2[Semestre de Movilidad],'Movilidad Internacional'!AN$39,Tabla2[Tipo de Movilidad],$AE$38)</f>
        <v>0</v>
      </c>
      <c r="AO49" s="37">
        <f>COUNTIFS(Tabla2[Programa Nominación],'Movilidad Internacional'!$AD49,Tabla2[Semestre de Movilidad],'Movilidad Internacional'!AO$39,Tabla2[Tipo de Movilidad],$AE$38)</f>
        <v>0</v>
      </c>
      <c r="AP49" s="37">
        <f>COUNTIFS(Tabla2[Programa Nominación],'Movilidad Internacional'!$AD49,Tabla2[Semestre de Movilidad],'Movilidad Internacional'!AP$39,Tabla2[Tipo de Movilidad],$AE$38)</f>
        <v>0</v>
      </c>
    </row>
    <row r="50" spans="1:42" ht="30">
      <c r="B50" s="36" t="s">
        <v>253</v>
      </c>
      <c r="C50" s="37">
        <f>COUNTIFS(Tabla2[Programa Nominación],'Movilidad Internacional'!$B50,Tabla2[Semestre de Movilidad],'Movilidad Internacional'!C$39,Tabla2[Tipo de Movilidad],$C$38)</f>
        <v>0</v>
      </c>
      <c r="D50" s="37">
        <f>COUNTIFS(Tabla2[Programa Nominación],'Movilidad Internacional'!$B50,Tabla2[Semestre de Movilidad],'Movilidad Internacional'!D$39,Tabla2[Tipo de Movilidad],$C$38)</f>
        <v>0</v>
      </c>
      <c r="E50" s="37">
        <f>COUNTIFS(Tabla2[Programa Nominación],'Movilidad Internacional'!$B50,Tabla2[Semestre de Movilidad],'Movilidad Internacional'!E$39,Tabla2[Tipo de Movilidad],$C$38)</f>
        <v>0</v>
      </c>
      <c r="F50" s="37">
        <f>COUNTIFS(Tabla2[Programa Nominación],'Movilidad Internacional'!$B50,Tabla2[Semestre de Movilidad],'Movilidad Internacional'!F$39,Tabla2[Tipo de Movilidad],$C$38)</f>
        <v>0</v>
      </c>
      <c r="G50" s="37">
        <f>COUNTIFS(Tabla2[Programa Nominación],'Movilidad Internacional'!$B50,Tabla2[Semestre de Movilidad],'Movilidad Internacional'!G$39,Tabla2[Tipo de Movilidad],$C$38)</f>
        <v>0</v>
      </c>
      <c r="H50" s="37">
        <f>COUNTIFS(Tabla2[Programa Nominación],'Movilidad Internacional'!$B50,Tabla2[Semestre de Movilidad],'Movilidad Internacional'!H$39,Tabla2[Tipo de Movilidad],$C$38)</f>
        <v>0</v>
      </c>
      <c r="I50" s="37">
        <f>COUNTIFS(Tabla2[Programa Nominación],'Movilidad Internacional'!$B50,Tabla2[Semestre de Movilidad],'Movilidad Internacional'!I$39,Tabla2[Tipo de Movilidad],$C$38)</f>
        <v>0</v>
      </c>
      <c r="J50" s="37">
        <f>COUNTIFS(Tabla2[Programa Nominación],'Movilidad Internacional'!$B50,Tabla2[Semestre de Movilidad],'Movilidad Internacional'!J$39,Tabla2[Tipo de Movilidad],$C$38)</f>
        <v>1</v>
      </c>
      <c r="K50" s="37">
        <f>COUNTIFS(Tabla2[Programa Nominación],'Movilidad Internacional'!$B50,Tabla2[Semestre de Movilidad],'Movilidad Internacional'!K$39,Tabla2[Tipo de Movilidad],$C$38)</f>
        <v>0</v>
      </c>
      <c r="L50" s="37">
        <f>COUNTIFS(Tabla2[Programa Nominación],'Movilidad Internacional'!$B50,Tabla2[Semestre de Movilidad],'Movilidad Internacional'!L$39,Tabla2[Tipo de Movilidad],$C$38)</f>
        <v>0</v>
      </c>
      <c r="M50" s="37">
        <f>COUNTIFS(Tabla2[Programa Nominación],'Movilidad Internacional'!$B50,Tabla2[Semestre de Movilidad],'Movilidad Internacional'!M$39,Tabla2[Tipo de Movilidad],$C$38)</f>
        <v>0</v>
      </c>
      <c r="N50" s="37">
        <f>COUNTIFS(Tabla2[Programa Nominación],'Movilidad Internacional'!$B50,Tabla2[Semestre de Movilidad],'Movilidad Internacional'!N$39,Tabla2[Tipo de Movilidad],$C$38)</f>
        <v>0</v>
      </c>
      <c r="P50" s="36" t="s">
        <v>253</v>
      </c>
      <c r="Q50" s="37">
        <f>COUNTIFS(Tabla2[Programa Nominación],'Movilidad Internacional'!$P50,Tabla2[Semestre de Movilidad],'Movilidad Internacional'!Q$39,Tabla2[Tipo de Movilidad],$Q$38)</f>
        <v>0</v>
      </c>
      <c r="R50" s="37">
        <f>COUNTIFS(Tabla2[Programa Nominación],'Movilidad Internacional'!$P50,Tabla2[Semestre de Movilidad],'Movilidad Internacional'!R$39,Tabla2[Tipo de Movilidad],$Q$38)</f>
        <v>0</v>
      </c>
      <c r="S50" s="37">
        <f>COUNTIFS(Tabla2[Programa Nominación],'Movilidad Internacional'!$P50,Tabla2[Semestre de Movilidad],'Movilidad Internacional'!S$39,Tabla2[Tipo de Movilidad],$Q$38)</f>
        <v>0</v>
      </c>
      <c r="T50" s="37">
        <f>COUNTIFS(Tabla2[Programa Nominación],'Movilidad Internacional'!$P50,Tabla2[Semestre de Movilidad],'Movilidad Internacional'!T$39,Tabla2[Tipo de Movilidad],$Q$38)</f>
        <v>0</v>
      </c>
      <c r="U50" s="37">
        <f>COUNTIFS(Tabla2[Programa Nominación],'Movilidad Internacional'!$P50,Tabla2[Semestre de Movilidad],'Movilidad Internacional'!U$39,Tabla2[Tipo de Movilidad],$Q$38)</f>
        <v>0</v>
      </c>
      <c r="V50" s="37">
        <f>COUNTIFS(Tabla2[Programa Nominación],'Movilidad Internacional'!$P50,Tabla2[Semestre de Movilidad],'Movilidad Internacional'!V$39,Tabla2[Tipo de Movilidad],$Q$38)</f>
        <v>0</v>
      </c>
      <c r="W50" s="37">
        <f>COUNTIFS(Tabla2[Programa Nominación],'Movilidad Internacional'!$P50,Tabla2[Semestre de Movilidad],'Movilidad Internacional'!W$39,Tabla2[Tipo de Movilidad],$Q$38)</f>
        <v>0</v>
      </c>
      <c r="X50" s="37">
        <f>COUNTIFS(Tabla2[Programa Nominación],'Movilidad Internacional'!$P50,Tabla2[Semestre de Movilidad],'Movilidad Internacional'!X$39,Tabla2[Tipo de Movilidad],$Q$38)</f>
        <v>0</v>
      </c>
      <c r="Y50" s="37">
        <f>COUNTIFS(Tabla2[Programa Nominación],'Movilidad Internacional'!$P50,Tabla2[Semestre de Movilidad],'Movilidad Internacional'!Y$39,Tabla2[Tipo de Movilidad],$Q$38)</f>
        <v>0</v>
      </c>
      <c r="Z50" s="37">
        <f>COUNTIFS(Tabla2[Programa Nominación],'Movilidad Internacional'!$P50,Tabla2[Semestre de Movilidad],'Movilidad Internacional'!Z$39,Tabla2[Tipo de Movilidad],$Q$38)</f>
        <v>0</v>
      </c>
      <c r="AA50" s="37">
        <f>COUNTIFS(Tabla2[Programa Nominación],'Movilidad Internacional'!$P50,Tabla2[Semestre de Movilidad],'Movilidad Internacional'!AA$39,Tabla2[Tipo de Movilidad],$Q$38)</f>
        <v>0</v>
      </c>
      <c r="AB50" s="37">
        <f>COUNTIFS(Tabla2[Programa Nominación],'Movilidad Internacional'!$P50,Tabla2[Semestre de Movilidad],'Movilidad Internacional'!AB$39,Tabla2[Tipo de Movilidad],$Q$38)</f>
        <v>0</v>
      </c>
      <c r="AD50" s="36" t="s">
        <v>253</v>
      </c>
      <c r="AE50" s="37">
        <f>COUNTIFS(Tabla2[Programa Nominación],'Movilidad Internacional'!$AD50,Tabla2[Semestre de Movilidad],'Movilidad Internacional'!AE$39,Tabla2[Tipo de Movilidad],$AE$38)</f>
        <v>0</v>
      </c>
      <c r="AF50" s="37">
        <f>COUNTIFS(Tabla2[Programa Nominación],'Movilidad Internacional'!$AD50,Tabla2[Semestre de Movilidad],'Movilidad Internacional'!AF$39,Tabla2[Tipo de Movilidad],$AE$38)</f>
        <v>0</v>
      </c>
      <c r="AG50" s="37">
        <f>COUNTIFS(Tabla2[Programa Nominación],'Movilidad Internacional'!$AD50,Tabla2[Semestre de Movilidad],'Movilidad Internacional'!AG$39,Tabla2[Tipo de Movilidad],$AE$38)</f>
        <v>0</v>
      </c>
      <c r="AH50" s="37">
        <f>COUNTIFS(Tabla2[Programa Nominación],'Movilidad Internacional'!$AD50,Tabla2[Semestre de Movilidad],'Movilidad Internacional'!AH$39,Tabla2[Tipo de Movilidad],$AE$38)</f>
        <v>0</v>
      </c>
      <c r="AI50" s="37">
        <f>COUNTIFS(Tabla2[Programa Nominación],'Movilidad Internacional'!$AD50,Tabla2[Semestre de Movilidad],'Movilidad Internacional'!AI$39,Tabla2[Tipo de Movilidad],$AE$38)</f>
        <v>0</v>
      </c>
      <c r="AJ50" s="37">
        <f>COUNTIFS(Tabla2[Programa Nominación],'Movilidad Internacional'!$AD50,Tabla2[Semestre de Movilidad],'Movilidad Internacional'!AJ$39,Tabla2[Tipo de Movilidad],$AE$38)</f>
        <v>0</v>
      </c>
      <c r="AK50" s="37">
        <f>COUNTIFS(Tabla2[Programa Nominación],'Movilidad Internacional'!$AD50,Tabla2[Semestre de Movilidad],'Movilidad Internacional'!AK$39,Tabla2[Tipo de Movilidad],$AE$38)</f>
        <v>0</v>
      </c>
      <c r="AL50" s="37">
        <f>COUNTIFS(Tabla2[Programa Nominación],'Movilidad Internacional'!$AD50,Tabla2[Semestre de Movilidad],'Movilidad Internacional'!AL$39,Tabla2[Tipo de Movilidad],$AE$38)</f>
        <v>0</v>
      </c>
      <c r="AM50" s="37">
        <f>COUNTIFS(Tabla2[Programa Nominación],'Movilidad Internacional'!$AD50,Tabla2[Semestre de Movilidad],'Movilidad Internacional'!AM$39,Tabla2[Tipo de Movilidad],$AE$38)</f>
        <v>0</v>
      </c>
      <c r="AN50" s="37">
        <f>COUNTIFS(Tabla2[Programa Nominación],'Movilidad Internacional'!$AD50,Tabla2[Semestre de Movilidad],'Movilidad Internacional'!AN$39,Tabla2[Tipo de Movilidad],$AE$38)</f>
        <v>0</v>
      </c>
      <c r="AO50" s="37">
        <f>COUNTIFS(Tabla2[Programa Nominación],'Movilidad Internacional'!$AD50,Tabla2[Semestre de Movilidad],'Movilidad Internacional'!AO$39,Tabla2[Tipo de Movilidad],$AE$38)</f>
        <v>0</v>
      </c>
      <c r="AP50" s="37">
        <f>COUNTIFS(Tabla2[Programa Nominación],'Movilidad Internacional'!$AD50,Tabla2[Semestre de Movilidad],'Movilidad Internacional'!AP$39,Tabla2[Tipo de Movilidad],$AE$38)</f>
        <v>0</v>
      </c>
    </row>
    <row r="51" spans="1:42">
      <c r="B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G51" s="52"/>
    </row>
    <row r="52" spans="1:42">
      <c r="B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G52" s="52"/>
    </row>
    <row r="53" spans="1:42">
      <c r="C53" s="13">
        <v>202010</v>
      </c>
      <c r="D53" s="13">
        <v>202020</v>
      </c>
      <c r="E53" s="13">
        <v>202110</v>
      </c>
      <c r="F53" s="13">
        <v>202120</v>
      </c>
      <c r="G53" s="13">
        <v>202210</v>
      </c>
      <c r="H53" s="13">
        <v>202220</v>
      </c>
      <c r="I53" s="13">
        <v>202310</v>
      </c>
      <c r="J53" s="13">
        <v>202320</v>
      </c>
      <c r="K53" s="172">
        <v>202410</v>
      </c>
      <c r="L53" s="171">
        <v>202420</v>
      </c>
      <c r="M53" s="172">
        <v>202510</v>
      </c>
      <c r="N53" s="171">
        <v>202520</v>
      </c>
      <c r="P53" s="18"/>
      <c r="Q53" s="13">
        <v>202010</v>
      </c>
      <c r="R53" s="172">
        <v>202020</v>
      </c>
      <c r="S53" s="171">
        <v>202110</v>
      </c>
      <c r="T53" s="171">
        <v>202120</v>
      </c>
      <c r="U53" s="171">
        <v>202210</v>
      </c>
      <c r="V53" s="171">
        <v>202220</v>
      </c>
      <c r="W53" s="171">
        <v>202310</v>
      </c>
      <c r="X53" s="171">
        <v>202320</v>
      </c>
      <c r="Y53" s="171">
        <v>202410</v>
      </c>
      <c r="Z53" s="171">
        <v>202420</v>
      </c>
      <c r="AA53" s="171">
        <v>202510</v>
      </c>
      <c r="AB53" s="171">
        <v>202520</v>
      </c>
      <c r="AD53" s="18"/>
      <c r="AE53" s="13">
        <v>202010</v>
      </c>
      <c r="AF53" s="13">
        <v>202020</v>
      </c>
      <c r="AG53" s="13">
        <v>202110</v>
      </c>
      <c r="AH53" s="13">
        <v>202120</v>
      </c>
      <c r="AI53" s="13">
        <v>202210</v>
      </c>
      <c r="AJ53" s="13">
        <v>202220</v>
      </c>
      <c r="AK53" s="13">
        <v>202310</v>
      </c>
      <c r="AL53" s="13">
        <v>202320</v>
      </c>
      <c r="AM53" s="13">
        <v>202410</v>
      </c>
      <c r="AN53" s="13">
        <v>202420</v>
      </c>
      <c r="AO53" s="13">
        <v>202510</v>
      </c>
      <c r="AP53" s="13">
        <v>202520</v>
      </c>
    </row>
    <row r="54" spans="1:42">
      <c r="B54" s="33" t="s">
        <v>254</v>
      </c>
      <c r="C54" s="32">
        <f>COUNTIFS(Tabla2[Nivel Nominación],'Movilidad Internacional'!$B54,Tabla2[Semestre de Movilidad],'Movilidad Internacional'!C$53,Tabla2[Tipo de Movilidad],$C$38)</f>
        <v>30</v>
      </c>
      <c r="D54" s="32">
        <f>COUNTIFS(Tabla2[Nivel Nominación],'Movilidad Internacional'!$B54,Tabla2[Semestre de Movilidad],'Movilidad Internacional'!D$53,Tabla2[Tipo de Movilidad],$C$38)</f>
        <v>0</v>
      </c>
      <c r="E54" s="32">
        <f>COUNTIFS(Tabla2[Nivel Nominación],'Movilidad Internacional'!$B54,Tabla2[Semestre de Movilidad],'Movilidad Internacional'!E$53,Tabla2[Tipo de Movilidad],$C$38)</f>
        <v>9</v>
      </c>
      <c r="F54" s="32">
        <f>COUNTIFS(Tabla2[Nivel Nominación],'Movilidad Internacional'!$B54,Tabla2[Semestre de Movilidad],'Movilidad Internacional'!F$53,Tabla2[Tipo de Movilidad],$C$38)</f>
        <v>11</v>
      </c>
      <c r="G54" s="32">
        <f>COUNTIFS(Tabla2[Nivel Nominación],'Movilidad Internacional'!$B54,Tabla2[Semestre de Movilidad],'Movilidad Internacional'!G$53,Tabla2[Tipo de Movilidad],$C$38)</f>
        <v>22</v>
      </c>
      <c r="H54" s="32">
        <f>COUNTIFS(Tabla2[Nivel Nominación],'Movilidad Internacional'!$B54,Tabla2[Semestre de Movilidad],'Movilidad Internacional'!H$53,Tabla2[Tipo de Movilidad],$C$38)</f>
        <v>30</v>
      </c>
      <c r="I54" s="32">
        <f>COUNTIFS(Tabla2[Nivel Nominación],'Movilidad Internacional'!$B54,Tabla2[Semestre de Movilidad],'Movilidad Internacional'!I$53,Tabla2[Tipo de Movilidad],$C$38)</f>
        <v>26</v>
      </c>
      <c r="J54" s="32">
        <f>COUNTIFS(Tabla2[Nivel Nominación],'Movilidad Internacional'!$B54,Tabla2[Semestre de Movilidad],'Movilidad Internacional'!J$53,Tabla2[Tipo de Movilidad],$C$38)</f>
        <v>35</v>
      </c>
      <c r="K54" s="32">
        <f>COUNTIFS(Tabla2[Nivel Nominación],'Movilidad Internacional'!$B54,Tabla2[Semestre de Movilidad],'Movilidad Internacional'!K$53,Tabla2[Tipo de Movilidad],$C$38)</f>
        <v>31</v>
      </c>
      <c r="L54" s="174">
        <f>COUNTIFS(Tabla2[Nivel Nominación],'Movilidad Internacional'!$B54,Tabla2[Semestre de Movilidad],'Movilidad Internacional'!L$53,Tabla2[Tipo de Movilidad],$C$38)</f>
        <v>21</v>
      </c>
      <c r="M54" s="32">
        <f>COUNTIFS(Tabla2[Nivel Nominación],'Movilidad Internacional'!$B54,Tabla2[Semestre de Movilidad],'Movilidad Internacional'!M$53,Tabla2[Tipo de Movilidad],$C$38)</f>
        <v>27</v>
      </c>
      <c r="N54" s="174">
        <f>COUNTIFS(Tabla2[Nivel Nominación],'Movilidad Internacional'!$B54,Tabla2[Semestre de Movilidad],'Movilidad Internacional'!N$53,Tabla2[Tipo de Movilidad],$C$38)</f>
        <v>0</v>
      </c>
      <c r="P54" s="33" t="s">
        <v>254</v>
      </c>
      <c r="Q54" s="32">
        <f>COUNTIFS(Tabla2[Nivel Nominación],'Movilidad Internacional'!$B54,Tabla2[Semestre de Movilidad],'Movilidad Internacional'!Q$53,Tabla2[Tipo de Movilidad],$Q$38)</f>
        <v>2</v>
      </c>
      <c r="R54" s="32">
        <f>COUNTIFS(Tabla2[Nivel Nominación],'Movilidad Internacional'!$B54,Tabla2[Semestre de Movilidad],'Movilidad Internacional'!R$53,Tabla2[Tipo de Movilidad],$Q$38)</f>
        <v>0</v>
      </c>
      <c r="S54" s="174">
        <f>COUNTIFS(Tabla2[Nivel Nominación],'Movilidad Internacional'!$B54,Tabla2[Semestre de Movilidad],'Movilidad Internacional'!S$53,Tabla2[Tipo de Movilidad],$Q$38)</f>
        <v>1</v>
      </c>
      <c r="T54" s="174">
        <f>COUNTIFS(Tabla2[Nivel Nominación],'Movilidad Internacional'!$B54,Tabla2[Semestre de Movilidad],'Movilidad Internacional'!T$53,Tabla2[Tipo de Movilidad],$Q$38)</f>
        <v>0</v>
      </c>
      <c r="U54" s="174">
        <f>COUNTIFS(Tabla2[Nivel Nominación],'Movilidad Internacional'!$B54,Tabla2[Semestre de Movilidad],'Movilidad Internacional'!U$53,Tabla2[Tipo de Movilidad],$Q$38)</f>
        <v>0</v>
      </c>
      <c r="V54" s="174">
        <f>COUNTIFS(Tabla2[Nivel Nominación],'Movilidad Internacional'!$B54,Tabla2[Semestre de Movilidad],'Movilidad Internacional'!V$53,Tabla2[Tipo de Movilidad],$Q$38)</f>
        <v>0</v>
      </c>
      <c r="W54" s="174">
        <f>COUNTIFS(Tabla2[Nivel Nominación],'Movilidad Internacional'!$B54,Tabla2[Semestre de Movilidad],'Movilidad Internacional'!W$53,Tabla2[Tipo de Movilidad],$Q$38)</f>
        <v>0</v>
      </c>
      <c r="X54" s="174">
        <f>COUNTIFS(Tabla2[Nivel Nominación],'Movilidad Internacional'!$B54,Tabla2[Semestre de Movilidad],'Movilidad Internacional'!X$53,Tabla2[Tipo de Movilidad],$Q$38)</f>
        <v>0</v>
      </c>
      <c r="Y54" s="174">
        <f>COUNTIFS(Tabla2[Nivel Nominación],'Movilidad Internacional'!$B54,Tabla2[Semestre de Movilidad],'Movilidad Internacional'!Y$53,Tabla2[Tipo de Movilidad],$Q$38)</f>
        <v>0</v>
      </c>
      <c r="Z54" s="174">
        <f>COUNTIFS(Tabla2[Nivel Nominación],'Movilidad Internacional'!$B54,Tabla2[Semestre de Movilidad],'Movilidad Internacional'!Z$53,Tabla2[Tipo de Movilidad],$Q$38)</f>
        <v>0</v>
      </c>
      <c r="AA54" s="174">
        <f>COUNTIFS(Tabla2[Nivel Nominación],'Movilidad Internacional'!$B54,Tabla2[Semestre de Movilidad],'Movilidad Internacional'!AA$53,Tabla2[Tipo de Movilidad],$Q$38)</f>
        <v>0</v>
      </c>
      <c r="AB54" s="174">
        <f>COUNTIFS(Tabla2[Nivel Nominación],'Movilidad Internacional'!$B54,Tabla2[Semestre de Movilidad],'Movilidad Internacional'!AB$53,Tabla2[Tipo de Movilidad],$Q$38)</f>
        <v>0</v>
      </c>
      <c r="AD54" s="33" t="s">
        <v>254</v>
      </c>
      <c r="AE54" s="32">
        <f>COUNTIFS(Tabla2[Nivel Nominación],'Movilidad Internacional'!$B54,Tabla2[Semestre de Movilidad],'Movilidad Internacional'!AE$53,Tabla2[Tipo de Movilidad],$AE$38)</f>
        <v>1</v>
      </c>
      <c r="AF54" s="32">
        <f>COUNTIFS(Tabla2[Nivel Nominación],'Movilidad Internacional'!$B54,Tabla2[Semestre de Movilidad],'Movilidad Internacional'!AF$53,Tabla2[Tipo de Movilidad],$AE$38)</f>
        <v>0</v>
      </c>
      <c r="AG54" s="32">
        <f>COUNTIFS(Tabla2[Nivel Nominación],'Movilidad Internacional'!$B54,Tabla2[Semestre de Movilidad],'Movilidad Internacional'!AG$53,Tabla2[Tipo de Movilidad],$AE$38)</f>
        <v>0</v>
      </c>
      <c r="AH54" s="32">
        <f>COUNTIFS(Tabla2[Nivel Nominación],'Movilidad Internacional'!$B54,Tabla2[Semestre de Movilidad],'Movilidad Internacional'!AH$53,Tabla2[Tipo de Movilidad],$AE$38)</f>
        <v>0</v>
      </c>
      <c r="AI54" s="32">
        <f>COUNTIFS(Tabla2[Nivel Nominación],'Movilidad Internacional'!$B54,Tabla2[Semestre de Movilidad],'Movilidad Internacional'!AI$53,Tabla2[Tipo de Movilidad],$AE$38)</f>
        <v>0</v>
      </c>
      <c r="AJ54" s="32">
        <f>COUNTIFS(Tabla2[Nivel Nominación],'Movilidad Internacional'!$B54,Tabla2[Semestre de Movilidad],'Movilidad Internacional'!AJ$53,Tabla2[Tipo de Movilidad],$AE$38)</f>
        <v>0</v>
      </c>
      <c r="AK54" s="32">
        <f>COUNTIFS(Tabla2[Nivel Nominación],'Movilidad Internacional'!$B54,Tabla2[Semestre de Movilidad],'Movilidad Internacional'!AK$53,Tabla2[Tipo de Movilidad],$AE$38)</f>
        <v>0</v>
      </c>
      <c r="AL54" s="32">
        <f>COUNTIFS(Tabla2[Nivel Nominación],'Movilidad Internacional'!$B54,Tabla2[Semestre de Movilidad],'Movilidad Internacional'!AL$53,Tabla2[Tipo de Movilidad],$AE$38)</f>
        <v>0</v>
      </c>
      <c r="AM54" s="32">
        <f>COUNTIFS(Tabla2[Nivel Nominación],'Movilidad Internacional'!$B54,Tabla2[Semestre de Movilidad],'Movilidad Internacional'!AM$53,Tabla2[Tipo de Movilidad],$AE$38)</f>
        <v>0</v>
      </c>
      <c r="AN54" s="32">
        <f>COUNTIFS(Tabla2[Nivel Nominación],'Movilidad Internacional'!$B54,Tabla2[Semestre de Movilidad],'Movilidad Internacional'!AN$53,Tabla2[Tipo de Movilidad],$AE$38)</f>
        <v>0</v>
      </c>
      <c r="AO54" s="32">
        <f>COUNTIFS(Tabla2[Nivel Nominación],'Movilidad Internacional'!$B54,Tabla2[Semestre de Movilidad],'Movilidad Internacional'!AO$53,Tabla2[Tipo de Movilidad],$AE$38)</f>
        <v>1</v>
      </c>
      <c r="AP54" s="32">
        <f>COUNTIFS(Tabla2[Nivel Nominación],'Movilidad Internacional'!$B54,Tabla2[Semestre de Movilidad],'Movilidad Internacional'!AP$53,Tabla2[Tipo de Movilidad],$AE$38)</f>
        <v>0</v>
      </c>
    </row>
    <row r="55" spans="1:42">
      <c r="A55" s="19"/>
      <c r="B55" s="36" t="s">
        <v>247</v>
      </c>
      <c r="C55" s="37">
        <f>COUNTIFS(Tabla2[Nivel Nominación],'Movilidad Internacional'!$B55,Tabla2[Semestre de Movilidad],'Movilidad Internacional'!C$53,Tabla2[Tipo de Movilidad],$C$38)</f>
        <v>10</v>
      </c>
      <c r="D55" s="37">
        <f>COUNTIFS(Tabla2[Nivel Nominación],'Movilidad Internacional'!$B55,Tabla2[Semestre de Movilidad],'Movilidad Internacional'!D$53,Tabla2[Tipo de Movilidad],$C$38)</f>
        <v>0</v>
      </c>
      <c r="E55" s="37">
        <f>COUNTIFS(Tabla2[Nivel Nominación],'Movilidad Internacional'!$B55,Tabla2[Semestre de Movilidad],'Movilidad Internacional'!E$53,Tabla2[Tipo de Movilidad],$C$38)</f>
        <v>4</v>
      </c>
      <c r="F55" s="37">
        <f>COUNTIFS(Tabla2[Nivel Nominación],'Movilidad Internacional'!$B55,Tabla2[Semestre de Movilidad],'Movilidad Internacional'!F$53,Tabla2[Tipo de Movilidad],$C$38)</f>
        <v>18</v>
      </c>
      <c r="G55" s="37">
        <f>COUNTIFS(Tabla2[Nivel Nominación],'Movilidad Internacional'!$B55,Tabla2[Semestre de Movilidad],'Movilidad Internacional'!G$53,Tabla2[Tipo de Movilidad],$C$38)</f>
        <v>7</v>
      </c>
      <c r="H55" s="37">
        <f>COUNTIFS(Tabla2[Nivel Nominación],'Movilidad Internacional'!$B55,Tabla2[Semestre de Movilidad],'Movilidad Internacional'!H$53,Tabla2[Tipo de Movilidad],$C$38)</f>
        <v>26</v>
      </c>
      <c r="I55" s="37">
        <f>COUNTIFS(Tabla2[Nivel Nominación],'Movilidad Internacional'!$B55,Tabla2[Semestre de Movilidad],'Movilidad Internacional'!I$53,Tabla2[Tipo de Movilidad],$C$38)</f>
        <v>12</v>
      </c>
      <c r="J55" s="37">
        <f>COUNTIFS(Tabla2[Nivel Nominación],'Movilidad Internacional'!$B55,Tabla2[Semestre de Movilidad],'Movilidad Internacional'!J$53,Tabla2[Tipo de Movilidad],$C$38)</f>
        <v>20</v>
      </c>
      <c r="K55" s="37">
        <f>COUNTIFS(Tabla2[Nivel Nominación],'Movilidad Internacional'!$B55,Tabla2[Semestre de Movilidad],'Movilidad Internacional'!K$53,Tabla2[Tipo de Movilidad],$C$38)</f>
        <v>13</v>
      </c>
      <c r="L55" s="37">
        <f>COUNTIFS(Tabla2[Nivel Nominación],'Movilidad Internacional'!$B55,Tabla2[Semestre de Movilidad],'Movilidad Internacional'!L$53,Tabla2[Tipo de Movilidad],$C$38)</f>
        <v>25</v>
      </c>
      <c r="M55" s="37">
        <f>COUNTIFS(Tabla2[Nivel Nominación],'Movilidad Internacional'!$B55,Tabla2[Semestre de Movilidad],'Movilidad Internacional'!M$53,Tabla2[Tipo de Movilidad],$C$38)</f>
        <v>9</v>
      </c>
      <c r="N55" s="37">
        <f>COUNTIFS(Tabla2[Nivel Nominación],'Movilidad Internacional'!$B55,Tabla2[Semestre de Movilidad],'Movilidad Internacional'!N$53,Tabla2[Tipo de Movilidad],$C$38)</f>
        <v>0</v>
      </c>
      <c r="P55" s="36" t="s">
        <v>247</v>
      </c>
      <c r="Q55" s="37">
        <f>COUNTIFS(Tabla2[Nivel Nominación],'Movilidad Internacional'!$B55,Tabla2[Semestre de Movilidad],'Movilidad Internacional'!Q$53,Tabla2[Tipo de Movilidad],$Q$38)</f>
        <v>0</v>
      </c>
      <c r="R55" s="37">
        <f>COUNTIFS(Tabla2[Nivel Nominación],'Movilidad Internacional'!$B55,Tabla2[Semestre de Movilidad],'Movilidad Internacional'!R$53,Tabla2[Tipo de Movilidad],$Q$38)</f>
        <v>0</v>
      </c>
      <c r="S55" s="37">
        <f>COUNTIFS(Tabla2[Nivel Nominación],'Movilidad Internacional'!$B55,Tabla2[Semestre de Movilidad],'Movilidad Internacional'!S$53,Tabla2[Tipo de Movilidad],$Q$38)</f>
        <v>0</v>
      </c>
      <c r="T55" s="37">
        <f>COUNTIFS(Tabla2[Nivel Nominación],'Movilidad Internacional'!$B55,Tabla2[Semestre de Movilidad],'Movilidad Internacional'!T$53,Tabla2[Tipo de Movilidad],$Q$38)</f>
        <v>0</v>
      </c>
      <c r="U55" s="37">
        <f>COUNTIFS(Tabla2[Nivel Nominación],'Movilidad Internacional'!$B55,Tabla2[Semestre de Movilidad],'Movilidad Internacional'!U$53,Tabla2[Tipo de Movilidad],$Q$38)</f>
        <v>0</v>
      </c>
      <c r="V55" s="37">
        <f>COUNTIFS(Tabla2[Nivel Nominación],'Movilidad Internacional'!$B55,Tabla2[Semestre de Movilidad],'Movilidad Internacional'!V$53,Tabla2[Tipo de Movilidad],$Q$38)</f>
        <v>0</v>
      </c>
      <c r="W55" s="37">
        <f>COUNTIFS(Tabla2[Nivel Nominación],'Movilidad Internacional'!$B55,Tabla2[Semestre de Movilidad],'Movilidad Internacional'!W$53,Tabla2[Tipo de Movilidad],$Q$38)</f>
        <v>0</v>
      </c>
      <c r="X55" s="37">
        <f>COUNTIFS(Tabla2[Nivel Nominación],'Movilidad Internacional'!$B55,Tabla2[Semestre de Movilidad],'Movilidad Internacional'!X$53,Tabla2[Tipo de Movilidad],$Q$38)</f>
        <v>0</v>
      </c>
      <c r="Y55" s="37">
        <f>COUNTIFS(Tabla2[Nivel Nominación],'Movilidad Internacional'!$B55,Tabla2[Semestre de Movilidad],'Movilidad Internacional'!Y$53,Tabla2[Tipo de Movilidad],$Q$38)</f>
        <v>0</v>
      </c>
      <c r="Z55" s="37">
        <f>COUNTIFS(Tabla2[Nivel Nominación],'Movilidad Internacional'!$B55,Tabla2[Semestre de Movilidad],'Movilidad Internacional'!Z$53,Tabla2[Tipo de Movilidad],$Q$38)</f>
        <v>0</v>
      </c>
      <c r="AA55" s="37">
        <f>COUNTIFS(Tabla2[Nivel Nominación],'Movilidad Internacional'!$B55,Tabla2[Semestre de Movilidad],'Movilidad Internacional'!AA$53,Tabla2[Tipo de Movilidad],$Q$38)</f>
        <v>0</v>
      </c>
      <c r="AB55" s="37">
        <f>COUNTIFS(Tabla2[Nivel Nominación],'Movilidad Internacional'!$B55,Tabla2[Semestre de Movilidad],'Movilidad Internacional'!AB$53,Tabla2[Tipo de Movilidad],$Q$38)</f>
        <v>0</v>
      </c>
      <c r="AD55" s="36" t="s">
        <v>247</v>
      </c>
      <c r="AE55" s="37">
        <f>COUNTIFS(Tabla2[Nivel Nominación],'Movilidad Internacional'!$B55,Tabla2[Semestre de Movilidad],'Movilidad Internacional'!AE$53,Tabla2[Tipo de Movilidad],$AE$38)</f>
        <v>0</v>
      </c>
      <c r="AF55" s="37">
        <f>COUNTIFS(Tabla2[Nivel Nominación],'Movilidad Internacional'!$B55,Tabla2[Semestre de Movilidad],'Movilidad Internacional'!AF$53,Tabla2[Tipo de Movilidad],$AE$38)</f>
        <v>0</v>
      </c>
      <c r="AG55" s="37">
        <f>COUNTIFS(Tabla2[Nivel Nominación],'Movilidad Internacional'!$B55,Tabla2[Semestre de Movilidad],'Movilidad Internacional'!AG$53,Tabla2[Tipo de Movilidad],$AE$38)</f>
        <v>0</v>
      </c>
      <c r="AH55" s="37">
        <f>COUNTIFS(Tabla2[Nivel Nominación],'Movilidad Internacional'!$B55,Tabla2[Semestre de Movilidad],'Movilidad Internacional'!AH$53,Tabla2[Tipo de Movilidad],$AE$38)</f>
        <v>0</v>
      </c>
      <c r="AI55" s="37">
        <f>COUNTIFS(Tabla2[Nivel Nominación],'Movilidad Internacional'!$B55,Tabla2[Semestre de Movilidad],'Movilidad Internacional'!AI$53,Tabla2[Tipo de Movilidad],$AE$38)</f>
        <v>0</v>
      </c>
      <c r="AJ55" s="37">
        <f>COUNTIFS(Tabla2[Nivel Nominación],'Movilidad Internacional'!$B55,Tabla2[Semestre de Movilidad],'Movilidad Internacional'!AJ$53,Tabla2[Tipo de Movilidad],$AE$38)</f>
        <v>0</v>
      </c>
      <c r="AK55" s="37">
        <f>COUNTIFS(Tabla2[Nivel Nominación],'Movilidad Internacional'!$B55,Tabla2[Semestre de Movilidad],'Movilidad Internacional'!AK$53,Tabla2[Tipo de Movilidad],$AE$38)</f>
        <v>0</v>
      </c>
      <c r="AL55" s="37">
        <f>COUNTIFS(Tabla2[Nivel Nominación],'Movilidad Internacional'!$B55,Tabla2[Semestre de Movilidad],'Movilidad Internacional'!AL$53,Tabla2[Tipo de Movilidad],$AE$38)</f>
        <v>0</v>
      </c>
      <c r="AM55" s="37">
        <f>COUNTIFS(Tabla2[Nivel Nominación],'Movilidad Internacional'!$B55,Tabla2[Semestre de Movilidad],'Movilidad Internacional'!AM$53,Tabla2[Tipo de Movilidad],$AE$38)</f>
        <v>0</v>
      </c>
      <c r="AN55" s="37">
        <f>COUNTIFS(Tabla2[Nivel Nominación],'Movilidad Internacional'!$B55,Tabla2[Semestre de Movilidad],'Movilidad Internacional'!AN$53,Tabla2[Tipo de Movilidad],$AE$38)</f>
        <v>0</v>
      </c>
      <c r="AO55" s="37">
        <f>COUNTIFS(Tabla2[Nivel Nominación],'Movilidad Internacional'!$B55,Tabla2[Semestre de Movilidad],'Movilidad Internacional'!AO$53,Tabla2[Tipo de Movilidad],$AE$38)</f>
        <v>0</v>
      </c>
      <c r="AP55" s="37">
        <f>COUNTIFS(Tabla2[Nivel Nominación],'Movilidad Internacional'!$B55,Tabla2[Semestre de Movilidad],'Movilidad Internacional'!AP$53,Tabla2[Tipo de Movilidad],$AE$38)</f>
        <v>0</v>
      </c>
    </row>
    <row r="56" spans="1:42">
      <c r="A56" s="19"/>
      <c r="B56" s="19"/>
      <c r="S56" s="19"/>
      <c r="T56" s="19"/>
      <c r="U56" s="19"/>
      <c r="V56" s="19"/>
      <c r="W56" s="19"/>
      <c r="X56" s="19"/>
      <c r="Y56" s="52"/>
      <c r="Z56" s="52"/>
      <c r="AA56" s="52"/>
      <c r="AB56" s="52"/>
      <c r="AG56" s="52"/>
    </row>
    <row r="57" spans="1:42">
      <c r="A57" s="19"/>
      <c r="C57" s="13">
        <v>2020</v>
      </c>
      <c r="D57" s="13">
        <v>2021</v>
      </c>
      <c r="E57" s="13">
        <v>2022</v>
      </c>
      <c r="F57" s="13">
        <v>2023</v>
      </c>
      <c r="G57" s="13">
        <v>2024</v>
      </c>
      <c r="H57" s="13">
        <v>2025</v>
      </c>
      <c r="P57" s="18"/>
      <c r="Q57" s="13">
        <v>2020</v>
      </c>
      <c r="R57" s="13">
        <v>2021</v>
      </c>
      <c r="S57" s="13">
        <v>2022</v>
      </c>
      <c r="T57" s="13">
        <v>2023</v>
      </c>
      <c r="U57" s="13">
        <v>2024</v>
      </c>
      <c r="V57" s="13">
        <v>2025</v>
      </c>
      <c r="W57" s="19"/>
      <c r="X57" s="19"/>
      <c r="Y57" s="52"/>
      <c r="Z57" s="52"/>
      <c r="AA57" s="52"/>
      <c r="AB57" s="52"/>
      <c r="AD57" s="18"/>
      <c r="AE57" s="13">
        <v>2020</v>
      </c>
      <c r="AF57" s="13">
        <v>2021</v>
      </c>
      <c r="AG57" s="13">
        <v>2022</v>
      </c>
      <c r="AH57" s="13">
        <v>2023</v>
      </c>
      <c r="AI57" s="13">
        <v>2024</v>
      </c>
      <c r="AJ57" s="13">
        <v>2025</v>
      </c>
    </row>
    <row r="58" spans="1:42">
      <c r="A58" s="19"/>
      <c r="B58" s="31" t="s">
        <v>233</v>
      </c>
      <c r="C58" s="32">
        <f>COUNTIFS(Tabla2[Programa Nominación],'Movilidad Internacional'!$B58,Tabla2[Año],'Movilidad Internacional'!C$57,Tabla2[Tipo de Movilidad],$C$38)</f>
        <v>30</v>
      </c>
      <c r="D58" s="32">
        <f>COUNTIFS(Tabla2[Programa Nominación],'Movilidad Internacional'!$B58,Tabla2[Año],'Movilidad Internacional'!D$57,Tabla2[Tipo de Movilidad],$C$38)</f>
        <v>20</v>
      </c>
      <c r="E58" s="32">
        <f>COUNTIFS(Tabla2[Programa Nominación],'Movilidad Internacional'!$B58,Tabla2[Año],'Movilidad Internacional'!E$57,Tabla2[Tipo de Movilidad],$C$38)</f>
        <v>52</v>
      </c>
      <c r="F58" s="32">
        <f>COUNTIFS(Tabla2[Programa Nominación],'Movilidad Internacional'!$B58,Tabla2[Año],'Movilidad Internacional'!F$57,Tabla2[Tipo de Movilidad],$C$38)</f>
        <v>61</v>
      </c>
      <c r="G58" s="32">
        <f>COUNTIFS(Tabla2[Programa Nominación],'Movilidad Internacional'!$B58,Tabla2[Año],'Movilidad Internacional'!G$57,Tabla2[Tipo de Movilidad],$C$38)</f>
        <v>59</v>
      </c>
      <c r="H58" s="32">
        <f>COUNTIFS(Tabla2[Programa Nominación],'Movilidad Internacional'!$B58,Tabla2[Año],'Movilidad Internacional'!H$57,Tabla2[Tipo de Movilidad],$C$38)</f>
        <v>27</v>
      </c>
      <c r="P58" s="31" t="s">
        <v>233</v>
      </c>
      <c r="Q58" s="32">
        <f>COUNTIFS(Tabla2[Programa Nominación],'Movilidad Internacional'!$P58,Tabla2[Año],'Movilidad Internacional'!Q$57,Tabla2[Tipo de Movilidad],$Q$38)</f>
        <v>2</v>
      </c>
      <c r="R58" s="32">
        <f>COUNTIFS(Tabla2[Programa Nominación],'Movilidad Internacional'!$P58,Tabla2[Año],'Movilidad Internacional'!R$57,Tabla2[Tipo de Movilidad],$Q$38)</f>
        <v>1</v>
      </c>
      <c r="S58" s="32">
        <f>COUNTIFS(Tabla2[Programa Nominación],'Movilidad Internacional'!$P58,Tabla2[Año],'Movilidad Internacional'!S$57,Tabla2[Tipo de Movilidad],$Q$38)</f>
        <v>0</v>
      </c>
      <c r="T58" s="32">
        <f>COUNTIFS(Tabla2[Programa Nominación],'Movilidad Internacional'!$P58,Tabla2[Año],'Movilidad Internacional'!T$57,Tabla2[Tipo de Movilidad],$Q$38)</f>
        <v>0</v>
      </c>
      <c r="U58" s="32">
        <f>COUNTIFS(Tabla2[Programa Nominación],'Movilidad Internacional'!$P58,Tabla2[Año],'Movilidad Internacional'!U$57,Tabla2[Tipo de Movilidad],$Q$38)</f>
        <v>0</v>
      </c>
      <c r="V58" s="32">
        <f>COUNTIFS(Tabla2[Programa Nominación],'Movilidad Internacional'!$P58,Tabla2[Año],'Movilidad Internacional'!V$57,Tabla2[Tipo de Movilidad],$Q$38)</f>
        <v>0</v>
      </c>
      <c r="W58" s="19"/>
      <c r="X58" s="19"/>
      <c r="Y58" s="52"/>
      <c r="Z58" s="52"/>
      <c r="AA58" s="52"/>
      <c r="AB58" s="52"/>
      <c r="AD58" s="31" t="s">
        <v>233</v>
      </c>
      <c r="AE58" s="32">
        <f>COUNTIFS(Tabla2[Programa Nominación],'Movilidad Internacional'!$AD58,Tabla2[Año],'Movilidad Internacional'!AE$57,Tabla2[Tipo de Movilidad],$AE$38)</f>
        <v>1</v>
      </c>
      <c r="AF58" s="32">
        <f>COUNTIFS(Tabla2[Programa Nominación],'Movilidad Internacional'!$AD58,Tabla2[Año],'Movilidad Internacional'!AF$57,Tabla2[Tipo de Movilidad],$AE$38)</f>
        <v>0</v>
      </c>
      <c r="AG58" s="32">
        <f>COUNTIFS(Tabla2[Programa Nominación],'Movilidad Internacional'!$AD58,Tabla2[Año],'Movilidad Internacional'!AG$57,Tabla2[Tipo de Movilidad],$AE$38)</f>
        <v>0</v>
      </c>
      <c r="AH58" s="32">
        <f>COUNTIFS(Tabla2[Programa Nominación],'Movilidad Internacional'!$AD58,Tabla2[Año],'Movilidad Internacional'!AH$57,Tabla2[Tipo de Movilidad],$AE$38)</f>
        <v>0</v>
      </c>
      <c r="AI58" s="32">
        <f>COUNTIFS(Tabla2[Programa Nominación],'Movilidad Internacional'!$AD58,Tabla2[Año],'Movilidad Internacional'!AI$57,Tabla2[Tipo de Movilidad],$AE$38)</f>
        <v>0</v>
      </c>
      <c r="AJ58" s="32">
        <f>COUNTIFS(Tabla2[Programa Nominación],'Movilidad Internacional'!$AD58,Tabla2[Año],'Movilidad Internacional'!AJ$57,Tabla2[Tipo de Movilidad],$AE$38)</f>
        <v>1</v>
      </c>
    </row>
    <row r="59" spans="1:42">
      <c r="A59" s="19"/>
      <c r="B59" s="36" t="s">
        <v>248</v>
      </c>
      <c r="C59" s="37">
        <f>COUNTIFS(Tabla2[Programa Nominación],'Movilidad Internacional'!$B59,Tabla2[Año],'Movilidad Internacional'!C$57,Tabla2[Tipo de Movilidad],$C$38)</f>
        <v>8</v>
      </c>
      <c r="D59" s="37">
        <f>COUNTIFS(Tabla2[Programa Nominación],'Movilidad Internacional'!$B59,Tabla2[Año],'Movilidad Internacional'!D$57,Tabla2[Tipo de Movilidad],$C$38)</f>
        <v>4</v>
      </c>
      <c r="E59" s="37">
        <f>COUNTIFS(Tabla2[Programa Nominación],'Movilidad Internacional'!$B59,Tabla2[Año],'Movilidad Internacional'!E$57,Tabla2[Tipo de Movilidad],$C$38)</f>
        <v>3</v>
      </c>
      <c r="F59" s="37">
        <f>COUNTIFS(Tabla2[Programa Nominación],'Movilidad Internacional'!$B59,Tabla2[Año],'Movilidad Internacional'!F$57,Tabla2[Tipo de Movilidad],$C$38)</f>
        <v>0</v>
      </c>
      <c r="G59" s="37">
        <f>COUNTIFS(Tabla2[Programa Nominación],'Movilidad Internacional'!$B59,Tabla2[Año],'Movilidad Internacional'!G$57,Tabla2[Tipo de Movilidad],$C$38)</f>
        <v>0</v>
      </c>
      <c r="H59" s="37">
        <f>COUNTIFS(Tabla2[Programa Nominación],'Movilidad Internacional'!$B59,Tabla2[Año],'Movilidad Internacional'!H$57,Tabla2[Tipo de Movilidad],$C$38)</f>
        <v>0</v>
      </c>
      <c r="P59" s="36" t="s">
        <v>248</v>
      </c>
      <c r="Q59" s="37">
        <f>COUNTIFS(Tabla2[Programa Nominación],'Movilidad Internacional'!$P59,Tabla2[Año],'Movilidad Internacional'!Q$57,Tabla2[Tipo de Movilidad],$Q$38)</f>
        <v>0</v>
      </c>
      <c r="R59" s="37">
        <f>COUNTIFS(Tabla2[Programa Nominación],'Movilidad Internacional'!$P59,Tabla2[Año],'Movilidad Internacional'!R$57,Tabla2[Tipo de Movilidad],$Q$38)</f>
        <v>0</v>
      </c>
      <c r="S59" s="37">
        <f>COUNTIFS(Tabla2[Programa Nominación],'Movilidad Internacional'!$P59,Tabla2[Año],'Movilidad Internacional'!S$57,Tabla2[Tipo de Movilidad],$Q$38)</f>
        <v>0</v>
      </c>
      <c r="T59" s="37">
        <f>COUNTIFS(Tabla2[Programa Nominación],'Movilidad Internacional'!$P59,Tabla2[Año],'Movilidad Internacional'!T$57,Tabla2[Tipo de Movilidad],$Q$38)</f>
        <v>0</v>
      </c>
      <c r="U59" s="37">
        <f>COUNTIFS(Tabla2[Programa Nominación],'Movilidad Internacional'!$P59,Tabla2[Año],'Movilidad Internacional'!U$57,Tabla2[Tipo de Movilidad],$Q$38)</f>
        <v>0</v>
      </c>
      <c r="V59" s="37">
        <f>COUNTIFS(Tabla2[Programa Nominación],'Movilidad Internacional'!$P59,Tabla2[Año],'Movilidad Internacional'!V$57,Tabla2[Tipo de Movilidad],$Q$38)</f>
        <v>0</v>
      </c>
      <c r="W59" s="19"/>
      <c r="X59" s="19"/>
      <c r="Y59" s="52"/>
      <c r="Z59" s="52"/>
      <c r="AA59" s="52"/>
      <c r="AB59" s="52"/>
      <c r="AD59" s="36" t="s">
        <v>248</v>
      </c>
      <c r="AE59" s="37">
        <f>COUNTIFS(Tabla2[Programa Nominación],'Movilidad Internacional'!$AD59,Tabla2[Año],'Movilidad Internacional'!AE$57,Tabla2[Tipo de Movilidad],$AE$38)</f>
        <v>0</v>
      </c>
      <c r="AF59" s="37">
        <f>COUNTIFS(Tabla2[Programa Nominación],'Movilidad Internacional'!$AD59,Tabla2[Año],'Movilidad Internacional'!AF$57,Tabla2[Tipo de Movilidad],$AE$38)</f>
        <v>0</v>
      </c>
      <c r="AG59" s="37">
        <f>COUNTIFS(Tabla2[Programa Nominación],'Movilidad Internacional'!$AD59,Tabla2[Año],'Movilidad Internacional'!AG$57,Tabla2[Tipo de Movilidad],$AE$38)</f>
        <v>0</v>
      </c>
      <c r="AH59" s="37">
        <f>COUNTIFS(Tabla2[Programa Nominación],'Movilidad Internacional'!$AD59,Tabla2[Año],'Movilidad Internacional'!AH$57,Tabla2[Tipo de Movilidad],$AE$38)</f>
        <v>0</v>
      </c>
      <c r="AI59" s="37">
        <f>COUNTIFS(Tabla2[Programa Nominación],'Movilidad Internacional'!$AD59,Tabla2[Año],'Movilidad Internacional'!AI$57,Tabla2[Tipo de Movilidad],$AE$38)</f>
        <v>0</v>
      </c>
      <c r="AJ59" s="37">
        <f>COUNTIFS(Tabla2[Programa Nominación],'Movilidad Internacional'!$AD59,Tabla2[Año],'Movilidad Internacional'!AJ$57,Tabla2[Tipo de Movilidad],$AE$38)</f>
        <v>0</v>
      </c>
    </row>
    <row r="60" spans="1:42" ht="30">
      <c r="A60" s="19"/>
      <c r="B60" s="36" t="s">
        <v>239</v>
      </c>
      <c r="C60" s="37">
        <f>COUNTIFS(Tabla2[Programa Nominación],'Movilidad Internacional'!$B60,Tabla2[Año],'Movilidad Internacional'!C$57,Tabla2[Tipo de Movilidad],$C$38)</f>
        <v>1</v>
      </c>
      <c r="D60" s="37">
        <f>COUNTIFS(Tabla2[Programa Nominación],'Movilidad Internacional'!$B60,Tabla2[Año],'Movilidad Internacional'!D$57,Tabla2[Tipo de Movilidad],$C$38)</f>
        <v>3</v>
      </c>
      <c r="E60" s="37">
        <f>COUNTIFS(Tabla2[Programa Nominación],'Movilidad Internacional'!$B60,Tabla2[Año],'Movilidad Internacional'!E$57,Tabla2[Tipo de Movilidad],$C$38)</f>
        <v>2</v>
      </c>
      <c r="F60" s="37">
        <f>COUNTIFS(Tabla2[Programa Nominación],'Movilidad Internacional'!$B60,Tabla2[Año],'Movilidad Internacional'!F$57,Tabla2[Tipo de Movilidad],$C$38)</f>
        <v>2</v>
      </c>
      <c r="G60" s="37">
        <f>COUNTIFS(Tabla2[Programa Nominación],'Movilidad Internacional'!$B60,Tabla2[Año],'Movilidad Internacional'!G$57,Tabla2[Tipo de Movilidad],$C$38)</f>
        <v>0</v>
      </c>
      <c r="H60" s="37">
        <f>COUNTIFS(Tabla2[Programa Nominación],'Movilidad Internacional'!$B60,Tabla2[Año],'Movilidad Internacional'!H$57,Tabla2[Tipo de Movilidad],$C$38)</f>
        <v>4</v>
      </c>
      <c r="P60" s="36" t="s">
        <v>239</v>
      </c>
      <c r="Q60" s="37">
        <f>COUNTIFS(Tabla2[Programa Nominación],'Movilidad Internacional'!$P60,Tabla2[Año],'Movilidad Internacional'!Q$57,Tabla2[Tipo de Movilidad],$Q$38)</f>
        <v>0</v>
      </c>
      <c r="R60" s="37">
        <f>COUNTIFS(Tabla2[Programa Nominación],'Movilidad Internacional'!$P60,Tabla2[Año],'Movilidad Internacional'!R$57,Tabla2[Tipo de Movilidad],$Q$38)</f>
        <v>0</v>
      </c>
      <c r="S60" s="37">
        <f>COUNTIFS(Tabla2[Programa Nominación],'Movilidad Internacional'!$P60,Tabla2[Año],'Movilidad Internacional'!S$57,Tabla2[Tipo de Movilidad],$Q$38)</f>
        <v>0</v>
      </c>
      <c r="T60" s="37">
        <f>COUNTIFS(Tabla2[Programa Nominación],'Movilidad Internacional'!$P60,Tabla2[Año],'Movilidad Internacional'!T$57,Tabla2[Tipo de Movilidad],$Q$38)</f>
        <v>0</v>
      </c>
      <c r="U60" s="37">
        <f>COUNTIFS(Tabla2[Programa Nominación],'Movilidad Internacional'!$P60,Tabla2[Año],'Movilidad Internacional'!U$57,Tabla2[Tipo de Movilidad],$Q$38)</f>
        <v>0</v>
      </c>
      <c r="V60" s="37">
        <f>COUNTIFS(Tabla2[Programa Nominación],'Movilidad Internacional'!$P60,Tabla2[Año],'Movilidad Internacional'!V$57,Tabla2[Tipo de Movilidad],$Q$38)</f>
        <v>0</v>
      </c>
      <c r="W60" s="19"/>
      <c r="X60" s="19"/>
      <c r="Y60" s="52"/>
      <c r="Z60" s="52"/>
      <c r="AA60" s="52"/>
      <c r="AB60" s="52"/>
      <c r="AD60" s="36" t="s">
        <v>239</v>
      </c>
      <c r="AE60" s="37">
        <f>COUNTIFS(Tabla2[Programa Nominación],'Movilidad Internacional'!$AD60,Tabla2[Año],'Movilidad Internacional'!AE$57,Tabla2[Tipo de Movilidad],$AE$38)</f>
        <v>0</v>
      </c>
      <c r="AF60" s="37">
        <f>COUNTIFS(Tabla2[Programa Nominación],'Movilidad Internacional'!$AD60,Tabla2[Año],'Movilidad Internacional'!AF$57,Tabla2[Tipo de Movilidad],$AE$38)</f>
        <v>0</v>
      </c>
      <c r="AG60" s="37">
        <f>COUNTIFS(Tabla2[Programa Nominación],'Movilidad Internacional'!$AD60,Tabla2[Año],'Movilidad Internacional'!AG$57,Tabla2[Tipo de Movilidad],$AE$38)</f>
        <v>0</v>
      </c>
      <c r="AH60" s="37">
        <f>COUNTIFS(Tabla2[Programa Nominación],'Movilidad Internacional'!$AD60,Tabla2[Año],'Movilidad Internacional'!AH$57,Tabla2[Tipo de Movilidad],$AE$38)</f>
        <v>0</v>
      </c>
      <c r="AI60" s="37">
        <f>COUNTIFS(Tabla2[Programa Nominación],'Movilidad Internacional'!$AD60,Tabla2[Año],'Movilidad Internacional'!AI$57,Tabla2[Tipo de Movilidad],$AE$38)</f>
        <v>0</v>
      </c>
      <c r="AJ60" s="37">
        <f>COUNTIFS(Tabla2[Programa Nominación],'Movilidad Internacional'!$AD60,Tabla2[Año],'Movilidad Internacional'!AJ$57,Tabla2[Tipo de Movilidad],$AE$38)</f>
        <v>0</v>
      </c>
    </row>
    <row r="61" spans="1:42">
      <c r="A61" s="19"/>
      <c r="B61" s="36" t="s">
        <v>250</v>
      </c>
      <c r="C61" s="37">
        <f>COUNTIFS(Tabla2[Programa Nominación],'Movilidad Internacional'!$B61,Tabla2[Año],'Movilidad Internacional'!C$57,Tabla2[Tipo de Movilidad],$C$38)</f>
        <v>1</v>
      </c>
      <c r="D61" s="37">
        <f>COUNTIFS(Tabla2[Programa Nominación],'Movilidad Internacional'!$B61,Tabla2[Año],'Movilidad Internacional'!D$57,Tabla2[Tipo de Movilidad],$C$38)</f>
        <v>3</v>
      </c>
      <c r="E61" s="37">
        <f>COUNTIFS(Tabla2[Programa Nominación],'Movilidad Internacional'!$B61,Tabla2[Año],'Movilidad Internacional'!E$57,Tabla2[Tipo de Movilidad],$C$38)</f>
        <v>5</v>
      </c>
      <c r="F61" s="37">
        <f>COUNTIFS(Tabla2[Programa Nominación],'Movilidad Internacional'!$B61,Tabla2[Año],'Movilidad Internacional'!F$57,Tabla2[Tipo de Movilidad],$C$38)</f>
        <v>0</v>
      </c>
      <c r="G61" s="37">
        <f>COUNTIFS(Tabla2[Programa Nominación],'Movilidad Internacional'!$B61,Tabla2[Año],'Movilidad Internacional'!G$57,Tabla2[Tipo de Movilidad],$C$38)</f>
        <v>3</v>
      </c>
      <c r="H61" s="37">
        <f>COUNTIFS(Tabla2[Programa Nominación],'Movilidad Internacional'!$B61,Tabla2[Año],'Movilidad Internacional'!H$57,Tabla2[Tipo de Movilidad],$C$38)</f>
        <v>1</v>
      </c>
      <c r="P61" s="36" t="s">
        <v>250</v>
      </c>
      <c r="Q61" s="37">
        <f>COUNTIFS(Tabla2[Programa Nominación],'Movilidad Internacional'!$P61,Tabla2[Año],'Movilidad Internacional'!Q$57,Tabla2[Tipo de Movilidad],$Q$38)</f>
        <v>0</v>
      </c>
      <c r="R61" s="37">
        <f>COUNTIFS(Tabla2[Programa Nominación],'Movilidad Internacional'!$P61,Tabla2[Año],'Movilidad Internacional'!R$57,Tabla2[Tipo de Movilidad],$Q$38)</f>
        <v>0</v>
      </c>
      <c r="S61" s="37">
        <f>COUNTIFS(Tabla2[Programa Nominación],'Movilidad Internacional'!$P61,Tabla2[Año],'Movilidad Internacional'!S$57,Tabla2[Tipo de Movilidad],$Q$38)</f>
        <v>0</v>
      </c>
      <c r="T61" s="37">
        <f>COUNTIFS(Tabla2[Programa Nominación],'Movilidad Internacional'!$P61,Tabla2[Año],'Movilidad Internacional'!T$57,Tabla2[Tipo de Movilidad],$Q$38)</f>
        <v>0</v>
      </c>
      <c r="U61" s="37">
        <f>COUNTIFS(Tabla2[Programa Nominación],'Movilidad Internacional'!$P61,Tabla2[Año],'Movilidad Internacional'!U$57,Tabla2[Tipo de Movilidad],$Q$38)</f>
        <v>0</v>
      </c>
      <c r="V61" s="37">
        <f>COUNTIFS(Tabla2[Programa Nominación],'Movilidad Internacional'!$P61,Tabla2[Año],'Movilidad Internacional'!V$57,Tabla2[Tipo de Movilidad],$Q$38)</f>
        <v>0</v>
      </c>
      <c r="W61" s="19"/>
      <c r="X61" s="19"/>
      <c r="Y61" s="52"/>
      <c r="Z61" s="52"/>
      <c r="AA61" s="52"/>
      <c r="AB61" s="52"/>
      <c r="AD61" s="36" t="s">
        <v>250</v>
      </c>
      <c r="AE61" s="37">
        <f>COUNTIFS(Tabla2[Programa Nominación],'Movilidad Internacional'!$AD61,Tabla2[Año],'Movilidad Internacional'!AE$57,Tabla2[Tipo de Movilidad],$AE$38)</f>
        <v>0</v>
      </c>
      <c r="AF61" s="37">
        <f>COUNTIFS(Tabla2[Programa Nominación],'Movilidad Internacional'!$AD61,Tabla2[Año],'Movilidad Internacional'!AF$57,Tabla2[Tipo de Movilidad],$AE$38)</f>
        <v>0</v>
      </c>
      <c r="AG61" s="37">
        <f>COUNTIFS(Tabla2[Programa Nominación],'Movilidad Internacional'!$AD61,Tabla2[Año],'Movilidad Internacional'!AG$57,Tabla2[Tipo de Movilidad],$AE$38)</f>
        <v>0</v>
      </c>
      <c r="AH61" s="37">
        <f>COUNTIFS(Tabla2[Programa Nominación],'Movilidad Internacional'!$AD61,Tabla2[Año],'Movilidad Internacional'!AH$57,Tabla2[Tipo de Movilidad],$AE$38)</f>
        <v>0</v>
      </c>
      <c r="AI61" s="37">
        <f>COUNTIFS(Tabla2[Programa Nominación],'Movilidad Internacional'!$AD61,Tabla2[Año],'Movilidad Internacional'!AI$57,Tabla2[Tipo de Movilidad],$AE$38)</f>
        <v>0</v>
      </c>
      <c r="AJ61" s="37">
        <f>COUNTIFS(Tabla2[Programa Nominación],'Movilidad Internacional'!$AD61,Tabla2[Año],'Movilidad Internacional'!AJ$57,Tabla2[Tipo de Movilidad],$AE$38)</f>
        <v>0</v>
      </c>
    </row>
    <row r="62" spans="1:42">
      <c r="A62" s="19"/>
      <c r="B62" s="36" t="s">
        <v>238</v>
      </c>
      <c r="C62" s="37">
        <f>COUNTIFS(Tabla2[Programa Nominación],'Movilidad Internacional'!$B62,Tabla2[Año],'Movilidad Internacional'!C$57,Tabla2[Tipo de Movilidad],$C$38)</f>
        <v>0</v>
      </c>
      <c r="D62" s="37">
        <f>COUNTIFS(Tabla2[Programa Nominación],'Movilidad Internacional'!$B62,Tabla2[Año],'Movilidad Internacional'!D$57,Tabla2[Tipo de Movilidad],$C$38)</f>
        <v>6</v>
      </c>
      <c r="E62" s="37">
        <f>COUNTIFS(Tabla2[Programa Nominación],'Movilidad Internacional'!$B62,Tabla2[Año],'Movilidad Internacional'!E$57,Tabla2[Tipo de Movilidad],$C$38)</f>
        <v>4</v>
      </c>
      <c r="F62" s="37">
        <f>COUNTIFS(Tabla2[Programa Nominación],'Movilidad Internacional'!$B62,Tabla2[Año],'Movilidad Internacional'!F$57,Tabla2[Tipo de Movilidad],$C$38)</f>
        <v>2</v>
      </c>
      <c r="G62" s="37">
        <f>COUNTIFS(Tabla2[Programa Nominación],'Movilidad Internacional'!$B62,Tabla2[Año],'Movilidad Internacional'!G$57,Tabla2[Tipo de Movilidad],$C$38)</f>
        <v>1</v>
      </c>
      <c r="H62" s="37">
        <f>COUNTIFS(Tabla2[Programa Nominación],'Movilidad Internacional'!$B62,Tabla2[Año],'Movilidad Internacional'!H$57,Tabla2[Tipo de Movilidad],$C$38)</f>
        <v>1</v>
      </c>
      <c r="P62" s="36" t="s">
        <v>238</v>
      </c>
      <c r="Q62" s="37">
        <f>COUNTIFS(Tabla2[Programa Nominación],'Movilidad Internacional'!$P62,Tabla2[Año],'Movilidad Internacional'!Q$57,Tabla2[Tipo de Movilidad],$Q$38)</f>
        <v>0</v>
      </c>
      <c r="R62" s="37">
        <f>COUNTIFS(Tabla2[Programa Nominación],'Movilidad Internacional'!$P62,Tabla2[Año],'Movilidad Internacional'!R$57,Tabla2[Tipo de Movilidad],$Q$38)</f>
        <v>0</v>
      </c>
      <c r="S62" s="37">
        <f>COUNTIFS(Tabla2[Programa Nominación],'Movilidad Internacional'!$P62,Tabla2[Año],'Movilidad Internacional'!S$57,Tabla2[Tipo de Movilidad],$Q$38)</f>
        <v>0</v>
      </c>
      <c r="T62" s="37">
        <f>COUNTIFS(Tabla2[Programa Nominación],'Movilidad Internacional'!$P62,Tabla2[Año],'Movilidad Internacional'!T$57,Tabla2[Tipo de Movilidad],$Q$38)</f>
        <v>0</v>
      </c>
      <c r="U62" s="37">
        <f>COUNTIFS(Tabla2[Programa Nominación],'Movilidad Internacional'!$P62,Tabla2[Año],'Movilidad Internacional'!U$57,Tabla2[Tipo de Movilidad],$Q$38)</f>
        <v>0</v>
      </c>
      <c r="V62" s="37">
        <f>COUNTIFS(Tabla2[Programa Nominación],'Movilidad Internacional'!$P62,Tabla2[Año],'Movilidad Internacional'!V$57,Tabla2[Tipo de Movilidad],$Q$38)</f>
        <v>0</v>
      </c>
      <c r="W62" s="19"/>
      <c r="X62" s="19"/>
      <c r="Y62" s="52"/>
      <c r="Z62" s="52"/>
      <c r="AA62" s="52"/>
      <c r="AB62" s="52"/>
      <c r="AD62" s="36" t="s">
        <v>238</v>
      </c>
      <c r="AE62" s="37">
        <f>COUNTIFS(Tabla2[Programa Nominación],'Movilidad Internacional'!$AD62,Tabla2[Año],'Movilidad Internacional'!AE$57,Tabla2[Tipo de Movilidad],$AE$38)</f>
        <v>0</v>
      </c>
      <c r="AF62" s="37">
        <f>COUNTIFS(Tabla2[Programa Nominación],'Movilidad Internacional'!$AD62,Tabla2[Año],'Movilidad Internacional'!AF$57,Tabla2[Tipo de Movilidad],$AE$38)</f>
        <v>0</v>
      </c>
      <c r="AG62" s="37">
        <f>COUNTIFS(Tabla2[Programa Nominación],'Movilidad Internacional'!$AD62,Tabla2[Año],'Movilidad Internacional'!AG$57,Tabla2[Tipo de Movilidad],$AE$38)</f>
        <v>0</v>
      </c>
      <c r="AH62" s="37">
        <f>COUNTIFS(Tabla2[Programa Nominación],'Movilidad Internacional'!$AD62,Tabla2[Año],'Movilidad Internacional'!AH$57,Tabla2[Tipo de Movilidad],$AE$38)</f>
        <v>0</v>
      </c>
      <c r="AI62" s="37">
        <f>COUNTIFS(Tabla2[Programa Nominación],'Movilidad Internacional'!$AD62,Tabla2[Año],'Movilidad Internacional'!AI$57,Tabla2[Tipo de Movilidad],$AE$38)</f>
        <v>0</v>
      </c>
      <c r="AJ62" s="37">
        <f>COUNTIFS(Tabla2[Programa Nominación],'Movilidad Internacional'!$AD62,Tabla2[Año],'Movilidad Internacional'!AJ$57,Tabla2[Tipo de Movilidad],$AE$38)</f>
        <v>0</v>
      </c>
    </row>
    <row r="63" spans="1:42">
      <c r="A63" s="19"/>
      <c r="B63" s="36" t="s">
        <v>237</v>
      </c>
      <c r="C63" s="37">
        <f>COUNTIFS(Tabla2[Programa Nominación],'Movilidad Internacional'!$B63,Tabla2[Año],'Movilidad Internacional'!C$57,Tabla2[Tipo de Movilidad],$C$38)</f>
        <v>0</v>
      </c>
      <c r="D63" s="37">
        <f>COUNTIFS(Tabla2[Programa Nominación],'Movilidad Internacional'!$B63,Tabla2[Año],'Movilidad Internacional'!D$57,Tabla2[Tipo de Movilidad],$C$38)</f>
        <v>6</v>
      </c>
      <c r="E63" s="37">
        <f>COUNTIFS(Tabla2[Programa Nominación],'Movilidad Internacional'!$B63,Tabla2[Año],'Movilidad Internacional'!E$57,Tabla2[Tipo de Movilidad],$C$38)</f>
        <v>18</v>
      </c>
      <c r="F63" s="37">
        <f>COUNTIFS(Tabla2[Programa Nominación],'Movilidad Internacional'!$B63,Tabla2[Año],'Movilidad Internacional'!F$57,Tabla2[Tipo de Movilidad],$C$38)</f>
        <v>13</v>
      </c>
      <c r="G63" s="37">
        <f>COUNTIFS(Tabla2[Programa Nominación],'Movilidad Internacional'!$B63,Tabla2[Año],'Movilidad Internacional'!G$57,Tabla2[Tipo de Movilidad],$C$38)</f>
        <v>19</v>
      </c>
      <c r="H63" s="37">
        <f>COUNTIFS(Tabla2[Programa Nominación],'Movilidad Internacional'!$B63,Tabla2[Año],'Movilidad Internacional'!H$57,Tabla2[Tipo de Movilidad],$C$38)</f>
        <v>0</v>
      </c>
      <c r="P63" s="36" t="s">
        <v>237</v>
      </c>
      <c r="Q63" s="37">
        <f>COUNTIFS(Tabla2[Programa Nominación],'Movilidad Internacional'!$P63,Tabla2[Año],'Movilidad Internacional'!Q$57,Tabla2[Tipo de Movilidad],$Q$38)</f>
        <v>0</v>
      </c>
      <c r="R63" s="37">
        <f>COUNTIFS(Tabla2[Programa Nominación],'Movilidad Internacional'!$P63,Tabla2[Año],'Movilidad Internacional'!R$57,Tabla2[Tipo de Movilidad],$Q$38)</f>
        <v>0</v>
      </c>
      <c r="S63" s="37">
        <f>COUNTIFS(Tabla2[Programa Nominación],'Movilidad Internacional'!$P63,Tabla2[Año],'Movilidad Internacional'!S$57,Tabla2[Tipo de Movilidad],$Q$38)</f>
        <v>0</v>
      </c>
      <c r="T63" s="37">
        <f>COUNTIFS(Tabla2[Programa Nominación],'Movilidad Internacional'!$P63,Tabla2[Año],'Movilidad Internacional'!T$57,Tabla2[Tipo de Movilidad],$Q$38)</f>
        <v>0</v>
      </c>
      <c r="U63" s="37">
        <f>COUNTIFS(Tabla2[Programa Nominación],'Movilidad Internacional'!$P63,Tabla2[Año],'Movilidad Internacional'!U$57,Tabla2[Tipo de Movilidad],$Q$38)</f>
        <v>0</v>
      </c>
      <c r="V63" s="37">
        <f>COUNTIFS(Tabla2[Programa Nominación],'Movilidad Internacional'!$P63,Tabla2[Año],'Movilidad Internacional'!V$57,Tabla2[Tipo de Movilidad],$Q$38)</f>
        <v>0</v>
      </c>
      <c r="W63" s="19"/>
      <c r="X63" s="19"/>
      <c r="Y63" s="52"/>
      <c r="Z63" s="52"/>
      <c r="AA63" s="52"/>
      <c r="AB63" s="52"/>
      <c r="AD63" s="36" t="s">
        <v>237</v>
      </c>
      <c r="AE63" s="37">
        <f>COUNTIFS(Tabla2[Programa Nominación],'Movilidad Internacional'!$AD63,Tabla2[Año],'Movilidad Internacional'!AE$57,Tabla2[Tipo de Movilidad],$AE$38)</f>
        <v>0</v>
      </c>
      <c r="AF63" s="37">
        <f>COUNTIFS(Tabla2[Programa Nominación],'Movilidad Internacional'!$AD63,Tabla2[Año],'Movilidad Internacional'!AF$57,Tabla2[Tipo de Movilidad],$AE$38)</f>
        <v>0</v>
      </c>
      <c r="AG63" s="37">
        <f>COUNTIFS(Tabla2[Programa Nominación],'Movilidad Internacional'!$AD63,Tabla2[Año],'Movilidad Internacional'!AG$57,Tabla2[Tipo de Movilidad],$AE$38)</f>
        <v>0</v>
      </c>
      <c r="AH63" s="37">
        <f>COUNTIFS(Tabla2[Programa Nominación],'Movilidad Internacional'!$AD63,Tabla2[Año],'Movilidad Internacional'!AH$57,Tabla2[Tipo de Movilidad],$AE$38)</f>
        <v>0</v>
      </c>
      <c r="AI63" s="37">
        <f>COUNTIFS(Tabla2[Programa Nominación],'Movilidad Internacional'!$AD63,Tabla2[Año],'Movilidad Internacional'!AI$57,Tabla2[Tipo de Movilidad],$AE$38)</f>
        <v>0</v>
      </c>
      <c r="AJ63" s="37">
        <f>COUNTIFS(Tabla2[Programa Nominación],'Movilidad Internacional'!$AD63,Tabla2[Año],'Movilidad Internacional'!AJ$57,Tabla2[Tipo de Movilidad],$AE$38)</f>
        <v>0</v>
      </c>
    </row>
    <row r="64" spans="1:42" ht="30">
      <c r="A64" s="19"/>
      <c r="B64" s="36" t="s">
        <v>236</v>
      </c>
      <c r="C64" s="37">
        <f>COUNTIFS(Tabla2[Programa Nominación],'Movilidad Internacional'!$B64,Tabla2[Año],'Movilidad Internacional'!C$57,Tabla2[Tipo de Movilidad],$C$38)</f>
        <v>0</v>
      </c>
      <c r="D64" s="37">
        <f>COUNTIFS(Tabla2[Programa Nominación],'Movilidad Internacional'!$B64,Tabla2[Año],'Movilidad Internacional'!D$57,Tabla2[Tipo de Movilidad],$C$38)</f>
        <v>0</v>
      </c>
      <c r="E64" s="37">
        <f>COUNTIFS(Tabla2[Programa Nominación],'Movilidad Internacional'!$B64,Tabla2[Año],'Movilidad Internacional'!E$57,Tabla2[Tipo de Movilidad],$C$38)</f>
        <v>1</v>
      </c>
      <c r="F64" s="37">
        <f>COUNTIFS(Tabla2[Programa Nominación],'Movilidad Internacional'!$B64,Tabla2[Año],'Movilidad Internacional'!F$57,Tabla2[Tipo de Movilidad],$C$38)</f>
        <v>0</v>
      </c>
      <c r="G64" s="37">
        <f>COUNTIFS(Tabla2[Programa Nominación],'Movilidad Internacional'!$B64,Tabla2[Año],'Movilidad Internacional'!G$57,Tabla2[Tipo de Movilidad],$C$38)</f>
        <v>0</v>
      </c>
      <c r="H64" s="37">
        <f>COUNTIFS(Tabla2[Programa Nominación],'Movilidad Internacional'!$B64,Tabla2[Año],'Movilidad Internacional'!H$57,Tabla2[Tipo de Movilidad],$C$38)</f>
        <v>0</v>
      </c>
      <c r="P64" s="36" t="s">
        <v>236</v>
      </c>
      <c r="Q64" s="37">
        <f>COUNTIFS(Tabla2[Programa Nominación],'Movilidad Internacional'!$P64,Tabla2[Año],'Movilidad Internacional'!Q$57,Tabla2[Tipo de Movilidad],$Q$38)</f>
        <v>0</v>
      </c>
      <c r="R64" s="37">
        <f>COUNTIFS(Tabla2[Programa Nominación],'Movilidad Internacional'!$P64,Tabla2[Año],'Movilidad Internacional'!R$57,Tabla2[Tipo de Movilidad],$Q$38)</f>
        <v>0</v>
      </c>
      <c r="S64" s="37">
        <f>COUNTIFS(Tabla2[Programa Nominación],'Movilidad Internacional'!$P64,Tabla2[Año],'Movilidad Internacional'!S$57,Tabla2[Tipo de Movilidad],$Q$38)</f>
        <v>0</v>
      </c>
      <c r="T64" s="37">
        <f>COUNTIFS(Tabla2[Programa Nominación],'Movilidad Internacional'!$P64,Tabla2[Año],'Movilidad Internacional'!T$57,Tabla2[Tipo de Movilidad],$Q$38)</f>
        <v>0</v>
      </c>
      <c r="U64" s="37">
        <f>COUNTIFS(Tabla2[Programa Nominación],'Movilidad Internacional'!$P64,Tabla2[Año],'Movilidad Internacional'!U$57,Tabla2[Tipo de Movilidad],$Q$38)</f>
        <v>0</v>
      </c>
      <c r="V64" s="37">
        <f>COUNTIFS(Tabla2[Programa Nominación],'Movilidad Internacional'!$P64,Tabla2[Año],'Movilidad Internacional'!V$57,Tabla2[Tipo de Movilidad],$Q$38)</f>
        <v>0</v>
      </c>
      <c r="W64" s="19"/>
      <c r="X64" s="19"/>
      <c r="Y64" s="52"/>
      <c r="Z64" s="52"/>
      <c r="AA64" s="52"/>
      <c r="AB64" s="52"/>
      <c r="AD64" s="36" t="s">
        <v>236</v>
      </c>
      <c r="AE64" s="37">
        <f>COUNTIFS(Tabla2[Programa Nominación],'Movilidad Internacional'!$AD64,Tabla2[Año],'Movilidad Internacional'!AE$57,Tabla2[Tipo de Movilidad],$AE$38)</f>
        <v>0</v>
      </c>
      <c r="AF64" s="37">
        <f>COUNTIFS(Tabla2[Programa Nominación],'Movilidad Internacional'!$AD64,Tabla2[Año],'Movilidad Internacional'!AF$57,Tabla2[Tipo de Movilidad],$AE$38)</f>
        <v>0</v>
      </c>
      <c r="AG64" s="37">
        <f>COUNTIFS(Tabla2[Programa Nominación],'Movilidad Internacional'!$AD64,Tabla2[Año],'Movilidad Internacional'!AG$57,Tabla2[Tipo de Movilidad],$AE$38)</f>
        <v>0</v>
      </c>
      <c r="AH64" s="37">
        <f>COUNTIFS(Tabla2[Programa Nominación],'Movilidad Internacional'!$AD64,Tabla2[Año],'Movilidad Internacional'!AH$57,Tabla2[Tipo de Movilidad],$AE$38)</f>
        <v>0</v>
      </c>
      <c r="AI64" s="37">
        <f>COUNTIFS(Tabla2[Programa Nominación],'Movilidad Internacional'!$AD64,Tabla2[Año],'Movilidad Internacional'!AI$57,Tabla2[Tipo de Movilidad],$AE$38)</f>
        <v>0</v>
      </c>
      <c r="AJ64" s="37">
        <f>COUNTIFS(Tabla2[Programa Nominación],'Movilidad Internacional'!$AD64,Tabla2[Año],'Movilidad Internacional'!AJ$57,Tabla2[Tipo de Movilidad],$AE$38)</f>
        <v>0</v>
      </c>
    </row>
    <row r="65" spans="1:49" ht="30">
      <c r="A65" s="19"/>
      <c r="B65" s="36" t="s">
        <v>251</v>
      </c>
      <c r="C65" s="37">
        <f>COUNTIFS(Tabla2[Programa Nominación],'Movilidad Internacional'!$B65,Tabla2[Año],'Movilidad Internacional'!C$57,Tabla2[Tipo de Movilidad],$C$38)</f>
        <v>0</v>
      </c>
      <c r="D65" s="37">
        <f>COUNTIFS(Tabla2[Programa Nominación],'Movilidad Internacional'!$B65,Tabla2[Año],'Movilidad Internacional'!D$57,Tabla2[Tipo de Movilidad],$C$38)</f>
        <v>0</v>
      </c>
      <c r="E65" s="37">
        <f>COUNTIFS(Tabla2[Programa Nominación],'Movilidad Internacional'!$B65,Tabla2[Año],'Movilidad Internacional'!E$57,Tabla2[Tipo de Movilidad],$C$38)</f>
        <v>0</v>
      </c>
      <c r="F65" s="37">
        <f>COUNTIFS(Tabla2[Programa Nominación],'Movilidad Internacional'!$B65,Tabla2[Año],'Movilidad Internacional'!F$57,Tabla2[Tipo de Movilidad],$C$38)</f>
        <v>10</v>
      </c>
      <c r="G65" s="37">
        <f>COUNTIFS(Tabla2[Programa Nominación],'Movilidad Internacional'!$B65,Tabla2[Año],'Movilidad Internacional'!G$57,Tabla2[Tipo de Movilidad],$C$38)</f>
        <v>8</v>
      </c>
      <c r="H65" s="37">
        <f>COUNTIFS(Tabla2[Programa Nominación],'Movilidad Internacional'!$B65,Tabla2[Año],'Movilidad Internacional'!H$57,Tabla2[Tipo de Movilidad],$C$38)</f>
        <v>0</v>
      </c>
      <c r="P65" s="36" t="s">
        <v>251</v>
      </c>
      <c r="Q65" s="37">
        <f>COUNTIFS(Tabla2[Programa Nominación],'Movilidad Internacional'!$P65,Tabla2[Año],'Movilidad Internacional'!Q$57,Tabla2[Tipo de Movilidad],$Q$38)</f>
        <v>0</v>
      </c>
      <c r="R65" s="37">
        <f>COUNTIFS(Tabla2[Programa Nominación],'Movilidad Internacional'!$P65,Tabla2[Año],'Movilidad Internacional'!R$57,Tabla2[Tipo de Movilidad],$Q$38)</f>
        <v>0</v>
      </c>
      <c r="S65" s="37">
        <f>COUNTIFS(Tabla2[Programa Nominación],'Movilidad Internacional'!$P65,Tabla2[Año],'Movilidad Internacional'!S$57,Tabla2[Tipo de Movilidad],$Q$38)</f>
        <v>0</v>
      </c>
      <c r="T65" s="37">
        <f>COUNTIFS(Tabla2[Programa Nominación],'Movilidad Internacional'!$P65,Tabla2[Año],'Movilidad Internacional'!T$57,Tabla2[Tipo de Movilidad],$Q$38)</f>
        <v>0</v>
      </c>
      <c r="U65" s="37">
        <f>COUNTIFS(Tabla2[Programa Nominación],'Movilidad Internacional'!$P65,Tabla2[Año],'Movilidad Internacional'!U$57,Tabla2[Tipo de Movilidad],$Q$38)</f>
        <v>0</v>
      </c>
      <c r="V65" s="37">
        <f>COUNTIFS(Tabla2[Programa Nominación],'Movilidad Internacional'!$P65,Tabla2[Año],'Movilidad Internacional'!V$57,Tabla2[Tipo de Movilidad],$Q$38)</f>
        <v>0</v>
      </c>
      <c r="W65" s="19"/>
      <c r="X65" s="19"/>
      <c r="Y65" s="52"/>
      <c r="Z65" s="52"/>
      <c r="AA65" s="52"/>
      <c r="AB65" s="52"/>
      <c r="AD65" s="36" t="s">
        <v>251</v>
      </c>
      <c r="AE65" s="37">
        <f>COUNTIFS(Tabla2[Programa Nominación],'Movilidad Internacional'!$AD65,Tabla2[Año],'Movilidad Internacional'!AE$57,Tabla2[Tipo de Movilidad],$AE$38)</f>
        <v>0</v>
      </c>
      <c r="AF65" s="37">
        <f>COUNTIFS(Tabla2[Programa Nominación],'Movilidad Internacional'!$AD65,Tabla2[Año],'Movilidad Internacional'!AF$57,Tabla2[Tipo de Movilidad],$AE$38)</f>
        <v>0</v>
      </c>
      <c r="AG65" s="37">
        <f>COUNTIFS(Tabla2[Programa Nominación],'Movilidad Internacional'!$AD65,Tabla2[Año],'Movilidad Internacional'!AG$57,Tabla2[Tipo de Movilidad],$AE$38)</f>
        <v>0</v>
      </c>
      <c r="AH65" s="37">
        <f>COUNTIFS(Tabla2[Programa Nominación],'Movilidad Internacional'!$AD65,Tabla2[Año],'Movilidad Internacional'!AH$57,Tabla2[Tipo de Movilidad],$AE$38)</f>
        <v>0</v>
      </c>
      <c r="AI65" s="37">
        <f>COUNTIFS(Tabla2[Programa Nominación],'Movilidad Internacional'!$AD65,Tabla2[Año],'Movilidad Internacional'!AI$57,Tabla2[Tipo de Movilidad],$AE$38)</f>
        <v>0</v>
      </c>
      <c r="AJ65" s="37">
        <f>COUNTIFS(Tabla2[Programa Nominación],'Movilidad Internacional'!$AD65,Tabla2[Año],'Movilidad Internacional'!AJ$57,Tabla2[Tipo de Movilidad],$AE$38)</f>
        <v>0</v>
      </c>
    </row>
    <row r="66" spans="1:49">
      <c r="A66" s="19"/>
      <c r="B66" s="36" t="s">
        <v>252</v>
      </c>
      <c r="C66" s="37">
        <f>COUNTIFS(Tabla2[Programa Nominación],'Movilidad Internacional'!$B66,Tabla2[Año],'Movilidad Internacional'!C$57,Tabla2[Tipo de Movilidad],$C$38)</f>
        <v>0</v>
      </c>
      <c r="D66" s="37">
        <f>COUNTIFS(Tabla2[Programa Nominación],'Movilidad Internacional'!$B66,Tabla2[Año],'Movilidad Internacional'!D$57,Tabla2[Tipo de Movilidad],$C$38)</f>
        <v>0</v>
      </c>
      <c r="E66" s="37">
        <f>COUNTIFS(Tabla2[Programa Nominación],'Movilidad Internacional'!$B66,Tabla2[Año],'Movilidad Internacional'!E$57,Tabla2[Tipo de Movilidad],$C$38)</f>
        <v>0</v>
      </c>
      <c r="F66" s="37">
        <f>COUNTIFS(Tabla2[Programa Nominación],'Movilidad Internacional'!$B66,Tabla2[Año],'Movilidad Internacional'!F$57,Tabla2[Tipo de Movilidad],$C$38)</f>
        <v>3</v>
      </c>
      <c r="G66" s="37">
        <f>COUNTIFS(Tabla2[Programa Nominación],'Movilidad Internacional'!$B66,Tabla2[Año],'Movilidad Internacional'!G$57,Tabla2[Tipo de Movilidad],$C$38)</f>
        <v>0</v>
      </c>
      <c r="H66" s="37">
        <f>COUNTIFS(Tabla2[Programa Nominación],'Movilidad Internacional'!$B66,Tabla2[Año],'Movilidad Internacional'!H$57,Tabla2[Tipo de Movilidad],$C$38)</f>
        <v>0</v>
      </c>
      <c r="P66" s="36" t="s">
        <v>252</v>
      </c>
      <c r="Q66" s="37">
        <f>COUNTIFS(Tabla2[Programa Nominación],'Movilidad Internacional'!$P66,Tabla2[Año],'Movilidad Internacional'!Q$57,Tabla2[Tipo de Movilidad],$Q$38)</f>
        <v>0</v>
      </c>
      <c r="R66" s="37">
        <f>COUNTIFS(Tabla2[Programa Nominación],'Movilidad Internacional'!$P66,Tabla2[Año],'Movilidad Internacional'!R$57,Tabla2[Tipo de Movilidad],$Q$38)</f>
        <v>0</v>
      </c>
      <c r="S66" s="37">
        <f>COUNTIFS(Tabla2[Programa Nominación],'Movilidad Internacional'!$P66,Tabla2[Año],'Movilidad Internacional'!S$57,Tabla2[Tipo de Movilidad],$Q$38)</f>
        <v>0</v>
      </c>
      <c r="T66" s="37">
        <f>COUNTIFS(Tabla2[Programa Nominación],'Movilidad Internacional'!$P66,Tabla2[Año],'Movilidad Internacional'!T$57,Tabla2[Tipo de Movilidad],$Q$38)</f>
        <v>0</v>
      </c>
      <c r="U66" s="37">
        <f>COUNTIFS(Tabla2[Programa Nominación],'Movilidad Internacional'!$P66,Tabla2[Año],'Movilidad Internacional'!U$57,Tabla2[Tipo de Movilidad],$Q$38)</f>
        <v>0</v>
      </c>
      <c r="V66" s="37">
        <f>COUNTIFS(Tabla2[Programa Nominación],'Movilidad Internacional'!$P66,Tabla2[Año],'Movilidad Internacional'!V$57,Tabla2[Tipo de Movilidad],$Q$38)</f>
        <v>0</v>
      </c>
      <c r="W66" s="19"/>
      <c r="X66" s="19"/>
      <c r="Y66" s="52"/>
      <c r="Z66" s="52"/>
      <c r="AA66" s="52"/>
      <c r="AB66" s="52"/>
      <c r="AD66" s="36" t="s">
        <v>252</v>
      </c>
      <c r="AE66" s="37">
        <f>COUNTIFS(Tabla2[Programa Nominación],'Movilidad Internacional'!$AD66,Tabla2[Año],'Movilidad Internacional'!AE$57,Tabla2[Tipo de Movilidad],$AE$38)</f>
        <v>0</v>
      </c>
      <c r="AF66" s="37">
        <f>COUNTIFS(Tabla2[Programa Nominación],'Movilidad Internacional'!$AD66,Tabla2[Año],'Movilidad Internacional'!AF$57,Tabla2[Tipo de Movilidad],$AE$38)</f>
        <v>0</v>
      </c>
      <c r="AG66" s="37">
        <f>COUNTIFS(Tabla2[Programa Nominación],'Movilidad Internacional'!$AD66,Tabla2[Año],'Movilidad Internacional'!AG$57,Tabla2[Tipo de Movilidad],$AE$38)</f>
        <v>0</v>
      </c>
      <c r="AH66" s="37">
        <f>COUNTIFS(Tabla2[Programa Nominación],'Movilidad Internacional'!$AD66,Tabla2[Año],'Movilidad Internacional'!AH$57,Tabla2[Tipo de Movilidad],$AE$38)</f>
        <v>0</v>
      </c>
      <c r="AI66" s="37">
        <f>COUNTIFS(Tabla2[Programa Nominación],'Movilidad Internacional'!$AD66,Tabla2[Año],'Movilidad Internacional'!AI$57,Tabla2[Tipo de Movilidad],$AE$38)</f>
        <v>0</v>
      </c>
      <c r="AJ66" s="37">
        <f>COUNTIFS(Tabla2[Programa Nominación],'Movilidad Internacional'!$AD66,Tabla2[Año],'Movilidad Internacional'!AJ$57,Tabla2[Tipo de Movilidad],$AE$38)</f>
        <v>0</v>
      </c>
    </row>
    <row r="67" spans="1:49" ht="30">
      <c r="A67" s="19"/>
      <c r="B67" s="36" t="s">
        <v>240</v>
      </c>
      <c r="C67" s="37">
        <f>COUNTIFS(Tabla2[Programa Nominación],'Movilidad Internacional'!$B67,Tabla2[Año],'Movilidad Internacional'!C$57,Tabla2[Tipo de Movilidad],$C$38)</f>
        <v>0</v>
      </c>
      <c r="D67" s="37">
        <f>COUNTIFS(Tabla2[Programa Nominación],'Movilidad Internacional'!$B67,Tabla2[Año],'Movilidad Internacional'!D$57,Tabla2[Tipo de Movilidad],$C$38)</f>
        <v>0</v>
      </c>
      <c r="E67" s="37">
        <f>COUNTIFS(Tabla2[Programa Nominación],'Movilidad Internacional'!$B67,Tabla2[Año],'Movilidad Internacional'!E$57,Tabla2[Tipo de Movilidad],$C$38)</f>
        <v>0</v>
      </c>
      <c r="F67" s="37">
        <f>COUNTIFS(Tabla2[Programa Nominación],'Movilidad Internacional'!$B67,Tabla2[Año],'Movilidad Internacional'!F$57,Tabla2[Tipo de Movilidad],$C$38)</f>
        <v>1</v>
      </c>
      <c r="G67" s="37">
        <f>COUNTIFS(Tabla2[Programa Nominación],'Movilidad Internacional'!$B67,Tabla2[Año],'Movilidad Internacional'!G$57,Tabla2[Tipo de Movilidad],$C$38)</f>
        <v>0</v>
      </c>
      <c r="H67" s="37">
        <f>COUNTIFS(Tabla2[Programa Nominación],'Movilidad Internacional'!$B67,Tabla2[Año],'Movilidad Internacional'!H$57,Tabla2[Tipo de Movilidad],$C$38)</f>
        <v>3</v>
      </c>
      <c r="P67" s="36" t="s">
        <v>240</v>
      </c>
      <c r="Q67" s="37">
        <f>COUNTIFS(Tabla2[Programa Nominación],'Movilidad Internacional'!$P67,Tabla2[Año],'Movilidad Internacional'!Q$57,Tabla2[Tipo de Movilidad],$Q$38)</f>
        <v>0</v>
      </c>
      <c r="R67" s="37">
        <f>COUNTIFS(Tabla2[Programa Nominación],'Movilidad Internacional'!$P67,Tabla2[Año],'Movilidad Internacional'!R$57,Tabla2[Tipo de Movilidad],$Q$38)</f>
        <v>0</v>
      </c>
      <c r="S67" s="37">
        <f>COUNTIFS(Tabla2[Programa Nominación],'Movilidad Internacional'!$P67,Tabla2[Año],'Movilidad Internacional'!S$57,Tabla2[Tipo de Movilidad],$Q$38)</f>
        <v>0</v>
      </c>
      <c r="T67" s="37">
        <f>COUNTIFS(Tabla2[Programa Nominación],'Movilidad Internacional'!$P67,Tabla2[Año],'Movilidad Internacional'!T$57,Tabla2[Tipo de Movilidad],$Q$38)</f>
        <v>0</v>
      </c>
      <c r="U67" s="37">
        <f>COUNTIFS(Tabla2[Programa Nominación],'Movilidad Internacional'!$P67,Tabla2[Año],'Movilidad Internacional'!U$57,Tabla2[Tipo de Movilidad],$Q$38)</f>
        <v>0</v>
      </c>
      <c r="V67" s="37">
        <f>COUNTIFS(Tabla2[Programa Nominación],'Movilidad Internacional'!$P67,Tabla2[Año],'Movilidad Internacional'!V$57,Tabla2[Tipo de Movilidad],$Q$38)</f>
        <v>0</v>
      </c>
      <c r="W67" s="19"/>
      <c r="X67" s="19"/>
      <c r="Y67" s="52"/>
      <c r="Z67" s="52"/>
      <c r="AA67" s="52"/>
      <c r="AB67" s="52"/>
      <c r="AD67" s="36" t="s">
        <v>240</v>
      </c>
      <c r="AE67" s="37">
        <f>COUNTIFS(Tabla2[Programa Nominación],'Movilidad Internacional'!$AD67,Tabla2[Año],'Movilidad Internacional'!AE$57,Tabla2[Tipo de Movilidad],$AE$38)</f>
        <v>0</v>
      </c>
      <c r="AF67" s="37">
        <f>COUNTIFS(Tabla2[Programa Nominación],'Movilidad Internacional'!$AD67,Tabla2[Año],'Movilidad Internacional'!AF$57,Tabla2[Tipo de Movilidad],$AE$38)</f>
        <v>0</v>
      </c>
      <c r="AG67" s="37">
        <f>COUNTIFS(Tabla2[Programa Nominación],'Movilidad Internacional'!$AD67,Tabla2[Año],'Movilidad Internacional'!AG$57,Tabla2[Tipo de Movilidad],$AE$38)</f>
        <v>0</v>
      </c>
      <c r="AH67" s="37">
        <f>COUNTIFS(Tabla2[Programa Nominación],'Movilidad Internacional'!$AD67,Tabla2[Año],'Movilidad Internacional'!AH$57,Tabla2[Tipo de Movilidad],$AE$38)</f>
        <v>0</v>
      </c>
      <c r="AI67" s="37">
        <f>COUNTIFS(Tabla2[Programa Nominación],'Movilidad Internacional'!$AD67,Tabla2[Año],'Movilidad Internacional'!AI$57,Tabla2[Tipo de Movilidad],$AE$38)</f>
        <v>0</v>
      </c>
      <c r="AJ67" s="37">
        <f>COUNTIFS(Tabla2[Programa Nominación],'Movilidad Internacional'!$AD67,Tabla2[Año],'Movilidad Internacional'!AJ$57,Tabla2[Tipo de Movilidad],$AE$38)</f>
        <v>0</v>
      </c>
    </row>
    <row r="68" spans="1:49" ht="30">
      <c r="A68" s="19"/>
      <c r="B68" s="36" t="s">
        <v>253</v>
      </c>
      <c r="C68" s="37">
        <f>COUNTIFS(Tabla2[Programa Nominación],'Movilidad Internacional'!$B68,Tabla2[Año],'Movilidad Internacional'!C$57,Tabla2[Tipo de Movilidad],$C$38)</f>
        <v>0</v>
      </c>
      <c r="D68" s="37">
        <f>COUNTIFS(Tabla2[Programa Nominación],'Movilidad Internacional'!$B68,Tabla2[Año],'Movilidad Internacional'!D$57,Tabla2[Tipo de Movilidad],$C$38)</f>
        <v>0</v>
      </c>
      <c r="E68" s="37">
        <f>COUNTIFS(Tabla2[Programa Nominación],'Movilidad Internacional'!$B68,Tabla2[Año],'Movilidad Internacional'!E$57,Tabla2[Tipo de Movilidad],$C$38)</f>
        <v>0</v>
      </c>
      <c r="F68" s="37">
        <f>COUNTIFS(Tabla2[Programa Nominación],'Movilidad Internacional'!$B68,Tabla2[Año],'Movilidad Internacional'!F$57,Tabla2[Tipo de Movilidad],$C$38)</f>
        <v>1</v>
      </c>
      <c r="G68" s="37">
        <f>COUNTIFS(Tabla2[Programa Nominación],'Movilidad Internacional'!$B68,Tabla2[Año],'Movilidad Internacional'!G$57,Tabla2[Tipo de Movilidad],$C$38)</f>
        <v>0</v>
      </c>
      <c r="H68" s="37">
        <f>COUNTIFS(Tabla2[Programa Nominación],'Movilidad Internacional'!$B68,Tabla2[Año],'Movilidad Internacional'!H$57,Tabla2[Tipo de Movilidad],$C$38)</f>
        <v>0</v>
      </c>
      <c r="P68" s="36" t="s">
        <v>253</v>
      </c>
      <c r="Q68" s="37">
        <f>COUNTIFS(Tabla2[Programa Nominación],'Movilidad Internacional'!$P68,Tabla2[Año],'Movilidad Internacional'!Q$57,Tabla2[Tipo de Movilidad],$Q$38)</f>
        <v>0</v>
      </c>
      <c r="R68" s="37">
        <f>COUNTIFS(Tabla2[Programa Nominación],'Movilidad Internacional'!$P68,Tabla2[Año],'Movilidad Internacional'!R$57,Tabla2[Tipo de Movilidad],$Q$38)</f>
        <v>0</v>
      </c>
      <c r="S68" s="37">
        <f>COUNTIFS(Tabla2[Programa Nominación],'Movilidad Internacional'!$P68,Tabla2[Año],'Movilidad Internacional'!S$57,Tabla2[Tipo de Movilidad],$Q$38)</f>
        <v>0</v>
      </c>
      <c r="T68" s="37">
        <f>COUNTIFS(Tabla2[Programa Nominación],'Movilidad Internacional'!$P68,Tabla2[Año],'Movilidad Internacional'!T$57,Tabla2[Tipo de Movilidad],$Q$38)</f>
        <v>0</v>
      </c>
      <c r="U68" s="37">
        <f>COUNTIFS(Tabla2[Programa Nominación],'Movilidad Internacional'!$P68,Tabla2[Año],'Movilidad Internacional'!U$57,Tabla2[Tipo de Movilidad],$Q$38)</f>
        <v>0</v>
      </c>
      <c r="V68" s="37">
        <f>COUNTIFS(Tabla2[Programa Nominación],'Movilidad Internacional'!$P68,Tabla2[Año],'Movilidad Internacional'!V$57,Tabla2[Tipo de Movilidad],$Q$38)</f>
        <v>0</v>
      </c>
      <c r="W68" s="19"/>
      <c r="X68" s="19"/>
      <c r="Y68" s="52"/>
      <c r="Z68" s="52"/>
      <c r="AA68" s="52"/>
      <c r="AB68" s="52"/>
      <c r="AD68" s="36" t="s">
        <v>253</v>
      </c>
      <c r="AE68" s="37">
        <f>COUNTIFS(Tabla2[Programa Nominación],'Movilidad Internacional'!$AD68,Tabla2[Año],'Movilidad Internacional'!AE$57,Tabla2[Tipo de Movilidad],$AE$38)</f>
        <v>0</v>
      </c>
      <c r="AF68" s="37">
        <f>COUNTIFS(Tabla2[Programa Nominación],'Movilidad Internacional'!$AD68,Tabla2[Año],'Movilidad Internacional'!AF$57,Tabla2[Tipo de Movilidad],$AE$38)</f>
        <v>0</v>
      </c>
      <c r="AG68" s="37">
        <f>COUNTIFS(Tabla2[Programa Nominación],'Movilidad Internacional'!$AD68,Tabla2[Año],'Movilidad Internacional'!AG$57,Tabla2[Tipo de Movilidad],$AE$38)</f>
        <v>0</v>
      </c>
      <c r="AH68" s="37">
        <f>COUNTIFS(Tabla2[Programa Nominación],'Movilidad Internacional'!$AD68,Tabla2[Año],'Movilidad Internacional'!AH$57,Tabla2[Tipo de Movilidad],$AE$38)</f>
        <v>0</v>
      </c>
      <c r="AI68" s="37">
        <f>COUNTIFS(Tabla2[Programa Nominación],'Movilidad Internacional'!$AD68,Tabla2[Año],'Movilidad Internacional'!AI$57,Tabla2[Tipo de Movilidad],$AE$38)</f>
        <v>0</v>
      </c>
      <c r="AJ68" s="37">
        <f>COUNTIFS(Tabla2[Programa Nominación],'Movilidad Internacional'!$AD68,Tabla2[Año],'Movilidad Internacional'!AJ$57,Tabla2[Tipo de Movilidad],$AE$38)</f>
        <v>0</v>
      </c>
    </row>
    <row r="69" spans="1:49">
      <c r="A69" s="19"/>
      <c r="B69" s="19"/>
      <c r="S69" s="19"/>
      <c r="T69" s="19"/>
      <c r="U69" s="19"/>
      <c r="V69" s="19"/>
      <c r="W69" s="19"/>
      <c r="X69" s="19"/>
      <c r="Y69" s="52"/>
      <c r="Z69" s="52"/>
      <c r="AA69" s="52"/>
      <c r="AB69" s="52"/>
      <c r="AD69" s="19"/>
      <c r="AE69" s="19"/>
      <c r="AF69" s="19"/>
      <c r="AG69" s="19"/>
      <c r="AH69" s="19"/>
      <c r="AI69" s="19"/>
      <c r="AJ69" s="19"/>
    </row>
    <row r="70" spans="1:49">
      <c r="A70" s="19"/>
      <c r="B70" s="19"/>
      <c r="S70" s="19"/>
      <c r="T70" s="19"/>
      <c r="U70" s="19"/>
      <c r="V70" s="19"/>
      <c r="W70" s="19"/>
      <c r="X70" s="19"/>
      <c r="Y70" s="52"/>
      <c r="Z70" s="52"/>
      <c r="AA70" s="52"/>
      <c r="AB70" s="52"/>
      <c r="AD70" s="19"/>
      <c r="AE70" s="19"/>
      <c r="AF70" s="19"/>
      <c r="AG70" s="19"/>
      <c r="AH70" s="19"/>
      <c r="AI70" s="19"/>
      <c r="AJ70" s="19"/>
    </row>
    <row r="71" spans="1:49">
      <c r="A71" s="19"/>
      <c r="C71" s="13">
        <v>2020</v>
      </c>
      <c r="D71" s="13">
        <v>2021</v>
      </c>
      <c r="E71" s="13">
        <v>2022</v>
      </c>
      <c r="F71" s="13">
        <v>2023</v>
      </c>
      <c r="G71" s="13">
        <v>2024</v>
      </c>
      <c r="H71" s="13">
        <v>2025</v>
      </c>
      <c r="P71" s="18"/>
      <c r="Q71" s="13">
        <v>2020</v>
      </c>
      <c r="R71" s="13">
        <v>2021</v>
      </c>
      <c r="S71" s="13">
        <v>2022</v>
      </c>
      <c r="T71" s="13">
        <v>2023</v>
      </c>
      <c r="U71" s="13">
        <v>2024</v>
      </c>
      <c r="V71" s="13">
        <v>2025</v>
      </c>
      <c r="W71" s="19"/>
      <c r="X71" s="19"/>
      <c r="Y71" s="52"/>
      <c r="Z71" s="52"/>
      <c r="AA71" s="52"/>
      <c r="AB71" s="52"/>
      <c r="AD71" s="18"/>
      <c r="AE71" s="13">
        <v>2020</v>
      </c>
      <c r="AF71" s="13">
        <v>2021</v>
      </c>
      <c r="AG71" s="13">
        <v>2022</v>
      </c>
      <c r="AH71" s="13">
        <v>2023</v>
      </c>
      <c r="AI71" s="13">
        <v>2024</v>
      </c>
      <c r="AJ71" s="13">
        <v>2025</v>
      </c>
    </row>
    <row r="72" spans="1:49">
      <c r="A72" s="19"/>
      <c r="B72" s="33" t="s">
        <v>254</v>
      </c>
      <c r="C72" s="32">
        <f>COUNTIFS(Tabla2[Nivel Nominación],'Movilidad Internacional'!$B72,Tabla2[Año],'Movilidad Internacional'!C$71,Tabla2[Tipo de Movilidad],$C$38)</f>
        <v>30</v>
      </c>
      <c r="D72" s="32">
        <f>COUNTIFS(Tabla2[Nivel Nominación],'Movilidad Internacional'!$B72,Tabla2[Año],'Movilidad Internacional'!D$71,Tabla2[Tipo de Movilidad],$C$38)</f>
        <v>20</v>
      </c>
      <c r="E72" s="32">
        <f>COUNTIFS(Tabla2[Nivel Nominación],'Movilidad Internacional'!$B72,Tabla2[Año],'Movilidad Internacional'!E$71,Tabla2[Tipo de Movilidad],$C$38)</f>
        <v>52</v>
      </c>
      <c r="F72" s="32">
        <f>COUNTIFS(Tabla2[Nivel Nominación],'Movilidad Internacional'!$B72,Tabla2[Año],'Movilidad Internacional'!F$71,Tabla2[Tipo de Movilidad],$C$38)</f>
        <v>61</v>
      </c>
      <c r="G72" s="32">
        <f>COUNTIFS(Tabla2[Nivel Nominación],'Movilidad Internacional'!$B72,Tabla2[Año],'Movilidad Internacional'!G$71,Tabla2[Tipo de Movilidad],$C$38)</f>
        <v>52</v>
      </c>
      <c r="H72" s="32">
        <f>COUNTIFS(Tabla2[Nivel Nominación],'Movilidad Internacional'!$B72,Tabla2[Año],'Movilidad Internacional'!H$71,Tabla2[Tipo de Movilidad],$C$38)</f>
        <v>27</v>
      </c>
      <c r="P72" s="33" t="s">
        <v>254</v>
      </c>
      <c r="Q72" s="32">
        <f>COUNTIFS(Tabla2[Nivel Nominación],'Movilidad Internacional'!$P72,Tabla2[Año],'Movilidad Internacional'!Q$71,Tabla2[Tipo de Movilidad],$Q$38)</f>
        <v>2</v>
      </c>
      <c r="R72" s="32">
        <f>COUNTIFS(Tabla2[Nivel Nominación],'Movilidad Internacional'!$P72,Tabla2[Año],'Movilidad Internacional'!R$71,Tabla2[Tipo de Movilidad],$Q$38)</f>
        <v>1</v>
      </c>
      <c r="S72" s="32">
        <f>COUNTIFS(Tabla2[Nivel Nominación],'Movilidad Internacional'!$P72,Tabla2[Año],'Movilidad Internacional'!S$71,Tabla2[Tipo de Movilidad],$Q$38)</f>
        <v>0</v>
      </c>
      <c r="T72" s="32">
        <f>COUNTIFS(Tabla2[Nivel Nominación],'Movilidad Internacional'!$P72,Tabla2[Año],'Movilidad Internacional'!T$71,Tabla2[Tipo de Movilidad],$Q$38)</f>
        <v>0</v>
      </c>
      <c r="U72" s="32">
        <f>COUNTIFS(Tabla2[Nivel Nominación],'Movilidad Internacional'!$P72,Tabla2[Año],'Movilidad Internacional'!U$71,Tabla2[Tipo de Movilidad],$Q$38)</f>
        <v>0</v>
      </c>
      <c r="V72" s="32">
        <f>COUNTIFS(Tabla2[Nivel Nominación],'Movilidad Internacional'!$P72,Tabla2[Año],'Movilidad Internacional'!V$71,Tabla2[Tipo de Movilidad],$Q$38)</f>
        <v>0</v>
      </c>
      <c r="W72" s="19"/>
      <c r="X72" s="19"/>
      <c r="Y72" s="52"/>
      <c r="Z72" s="52"/>
      <c r="AA72" s="52"/>
      <c r="AB72" s="52"/>
      <c r="AD72" s="33" t="s">
        <v>254</v>
      </c>
      <c r="AE72" s="32">
        <f>COUNTIFS(Tabla2[Nivel Nominación],'Movilidad Internacional'!$AD72,Tabla2[Año],'Movilidad Internacional'!AE$71,Tabla2[Tipo de Movilidad],$AE$38)</f>
        <v>1</v>
      </c>
      <c r="AF72" s="32">
        <f>COUNTIFS(Tabla2[Nivel Nominación],'Movilidad Internacional'!$AD72,Tabla2[Año],'Movilidad Internacional'!AF$71,Tabla2[Tipo de Movilidad],$AE$38)</f>
        <v>0</v>
      </c>
      <c r="AG72" s="32">
        <f>COUNTIFS(Tabla2[Nivel Nominación],'Movilidad Internacional'!$AD72,Tabla2[Año],'Movilidad Internacional'!AG$71,Tabla2[Tipo de Movilidad],$AE$38)</f>
        <v>0</v>
      </c>
      <c r="AH72" s="32">
        <f>COUNTIFS(Tabla2[Nivel Nominación],'Movilidad Internacional'!$AD72,Tabla2[Año],'Movilidad Internacional'!AH$71,Tabla2[Tipo de Movilidad],$AE$38)</f>
        <v>0</v>
      </c>
      <c r="AI72" s="32">
        <f>COUNTIFS(Tabla2[Nivel Nominación],'Movilidad Internacional'!$AD72,Tabla2[Año],'Movilidad Internacional'!AI$71,Tabla2[Tipo de Movilidad],$AE$38)</f>
        <v>0</v>
      </c>
      <c r="AJ72" s="32">
        <f>COUNTIFS(Tabla2[Nivel Nominación],'Movilidad Internacional'!$AD72,Tabla2[Año],'Movilidad Internacional'!AJ$71,Tabla2[Tipo de Movilidad],$AE$38)</f>
        <v>1</v>
      </c>
    </row>
    <row r="73" spans="1:49">
      <c r="B73" s="36" t="s">
        <v>247</v>
      </c>
      <c r="C73" s="37">
        <f>COUNTIFS(Tabla2[Nivel Nominación],'Movilidad Internacional'!$B73,Tabla2[Año],'Movilidad Internacional'!C$71,Tabla2[Tipo de Movilidad],$C$38)</f>
        <v>10</v>
      </c>
      <c r="D73" s="37">
        <f>COUNTIFS(Tabla2[Nivel Nominación],'Movilidad Internacional'!$B73,Tabla2[Año],'Movilidad Internacional'!D$71,Tabla2[Tipo de Movilidad],$C$38)</f>
        <v>22</v>
      </c>
      <c r="E73" s="37">
        <f>COUNTIFS(Tabla2[Nivel Nominación],'Movilidad Internacional'!$B73,Tabla2[Año],'Movilidad Internacional'!E$71,Tabla2[Tipo de Movilidad],$C$38)</f>
        <v>33</v>
      </c>
      <c r="F73" s="37">
        <f>COUNTIFS(Tabla2[Nivel Nominación],'Movilidad Internacional'!$B73,Tabla2[Año],'Movilidad Internacional'!F$71,Tabla2[Tipo de Movilidad],$C$38)</f>
        <v>32</v>
      </c>
      <c r="G73" s="37">
        <f>COUNTIFS(Tabla2[Nivel Nominación],'Movilidad Internacional'!$B73,Tabla2[Año],'Movilidad Internacional'!G$71,Tabla2[Tipo de Movilidad],$C$38)</f>
        <v>38</v>
      </c>
      <c r="H73" s="37">
        <f>COUNTIFS(Tabla2[Nivel Nominación],'Movilidad Internacional'!$B73,Tabla2[Año],'Movilidad Internacional'!H$71,Tabla2[Tipo de Movilidad],$C$38)</f>
        <v>9</v>
      </c>
      <c r="O73" s="20"/>
      <c r="P73" s="36" t="s">
        <v>247</v>
      </c>
      <c r="Q73" s="37">
        <f>COUNTIFS(Tabla2[Nivel Nominación],'Movilidad Internacional'!$P73,Tabla2[Año],'Movilidad Internacional'!Q$71,Tabla2[Tipo de Movilidad],$Q$38)</f>
        <v>0</v>
      </c>
      <c r="R73" s="37">
        <f>COUNTIFS(Tabla2[Nivel Nominación],'Movilidad Internacional'!$P73,Tabla2[Año],'Movilidad Internacional'!R$71,Tabla2[Tipo de Movilidad],$Q$38)</f>
        <v>0</v>
      </c>
      <c r="S73" s="37">
        <f>COUNTIFS(Tabla2[Nivel Nominación],'Movilidad Internacional'!$P73,Tabla2[Año],'Movilidad Internacional'!S$71,Tabla2[Tipo de Movilidad],$Q$38)</f>
        <v>0</v>
      </c>
      <c r="T73" s="37">
        <f>COUNTIFS(Tabla2[Nivel Nominación],'Movilidad Internacional'!$P73,Tabla2[Año],'Movilidad Internacional'!T$71,Tabla2[Tipo de Movilidad],$Q$38)</f>
        <v>0</v>
      </c>
      <c r="U73" s="37">
        <f>COUNTIFS(Tabla2[Nivel Nominación],'Movilidad Internacional'!$P73,Tabla2[Año],'Movilidad Internacional'!U$71,Tabla2[Tipo de Movilidad],$Q$38)</f>
        <v>0</v>
      </c>
      <c r="V73" s="37">
        <f>COUNTIFS(Tabla2[Nivel Nominación],'Movilidad Internacional'!$P73,Tabla2[Año],'Movilidad Internacional'!V$71,Tabla2[Tipo de Movilidad],$Q$38)</f>
        <v>0</v>
      </c>
      <c r="W73" s="19"/>
      <c r="X73" s="19"/>
      <c r="Y73" s="52"/>
      <c r="Z73" s="52"/>
      <c r="AA73" s="52"/>
      <c r="AB73" s="52"/>
      <c r="AD73" s="36" t="s">
        <v>247</v>
      </c>
      <c r="AE73" s="37">
        <f>COUNTIFS(Tabla2[Nivel Nominación],'Movilidad Internacional'!$AD73,Tabla2[Año],'Movilidad Internacional'!AE$71,Tabla2[Tipo de Movilidad],$AE$38)</f>
        <v>0</v>
      </c>
      <c r="AF73" s="37">
        <f>COUNTIFS(Tabla2[Nivel Nominación],'Movilidad Internacional'!$AD73,Tabla2[Año],'Movilidad Internacional'!AF$71,Tabla2[Tipo de Movilidad],$AE$38)</f>
        <v>0</v>
      </c>
      <c r="AG73" s="37">
        <f>COUNTIFS(Tabla2[Nivel Nominación],'Movilidad Internacional'!$AD73,Tabla2[Año],'Movilidad Internacional'!AG$71,Tabla2[Tipo de Movilidad],$AE$38)</f>
        <v>0</v>
      </c>
      <c r="AH73" s="37">
        <f>COUNTIFS(Tabla2[Nivel Nominación],'Movilidad Internacional'!$AD73,Tabla2[Año],'Movilidad Internacional'!AH$71,Tabla2[Tipo de Movilidad],$AE$38)</f>
        <v>0</v>
      </c>
      <c r="AI73" s="37">
        <f>COUNTIFS(Tabla2[Nivel Nominación],'Movilidad Internacional'!$AD73,Tabla2[Año],'Movilidad Internacional'!AI$71,Tabla2[Tipo de Movilidad],$AE$38)</f>
        <v>0</v>
      </c>
      <c r="AJ73" s="37">
        <f>COUNTIFS(Tabla2[Nivel Nominación],'Movilidad Internacional'!$AD73,Tabla2[Año],'Movilidad Internacional'!AJ$71,Tabla2[Tipo de Movilidad],$AE$38)</f>
        <v>0</v>
      </c>
    </row>
    <row r="74" spans="1:4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1:4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1:4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8" spans="1:49">
      <c r="B78" s="20"/>
      <c r="C78" s="20"/>
      <c r="D78" s="20"/>
      <c r="E78" s="20"/>
      <c r="F78" s="20"/>
      <c r="G78" s="20"/>
    </row>
    <row r="79" spans="1:49" ht="21">
      <c r="A79" s="39"/>
      <c r="B79" s="255" t="s">
        <v>255</v>
      </c>
      <c r="C79" s="255"/>
      <c r="D79" s="255"/>
      <c r="E79" s="255"/>
      <c r="F79" s="255"/>
      <c r="G79" s="255"/>
      <c r="H79" s="255"/>
      <c r="I79" s="255"/>
      <c r="J79" s="255"/>
      <c r="K79" s="255"/>
      <c r="L79" s="123"/>
      <c r="M79" s="123"/>
      <c r="N79" s="123"/>
      <c r="O79" s="40"/>
      <c r="P79" s="255" t="s">
        <v>256</v>
      </c>
      <c r="Q79" s="255"/>
      <c r="R79" s="255"/>
      <c r="S79" s="255"/>
      <c r="T79" s="255"/>
      <c r="U79" s="255"/>
      <c r="V79" s="255"/>
      <c r="W79" s="255"/>
      <c r="X79" s="255"/>
      <c r="Y79" s="255"/>
      <c r="Z79" s="123"/>
      <c r="AA79" s="123"/>
      <c r="AB79" s="123"/>
      <c r="AC79" s="39"/>
      <c r="AD79" s="39"/>
      <c r="AQ79" s="39"/>
      <c r="AR79" s="39"/>
      <c r="AS79" s="39"/>
      <c r="AT79" s="39"/>
      <c r="AU79" s="39"/>
      <c r="AV79" s="39"/>
      <c r="AW79" s="39"/>
    </row>
    <row r="80" spans="1:49" s="39" customFormat="1" ht="2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19"/>
      <c r="P80" s="19"/>
      <c r="Q80" s="19"/>
      <c r="R80" s="19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Q80" s="20"/>
      <c r="AR80" s="20"/>
      <c r="AS80" s="20"/>
      <c r="AT80" s="20"/>
      <c r="AU80" s="20"/>
      <c r="AV80" s="20"/>
      <c r="AW80" s="20"/>
    </row>
    <row r="81" spans="2:28">
      <c r="B81" s="20"/>
      <c r="C81" s="13">
        <v>202010</v>
      </c>
      <c r="D81" s="13">
        <v>202020</v>
      </c>
      <c r="E81" s="13">
        <v>202110</v>
      </c>
      <c r="F81" s="13">
        <v>202120</v>
      </c>
      <c r="G81" s="13">
        <v>202210</v>
      </c>
      <c r="H81" s="13">
        <v>202220</v>
      </c>
      <c r="I81" s="13">
        <v>202310</v>
      </c>
      <c r="J81" s="13">
        <v>202320</v>
      </c>
      <c r="K81" s="172">
        <v>202410</v>
      </c>
      <c r="L81" s="171">
        <v>202420</v>
      </c>
      <c r="M81" s="172">
        <v>202510</v>
      </c>
      <c r="N81" s="171">
        <v>202520</v>
      </c>
      <c r="P81" s="20"/>
      <c r="Q81" s="13">
        <v>202010</v>
      </c>
      <c r="R81" s="13">
        <v>202020</v>
      </c>
      <c r="S81" s="13">
        <v>202110</v>
      </c>
      <c r="T81" s="13">
        <v>202120</v>
      </c>
      <c r="U81" s="13">
        <v>202210</v>
      </c>
      <c r="V81" s="13">
        <v>202220</v>
      </c>
      <c r="W81" s="13">
        <v>202310</v>
      </c>
      <c r="X81" s="13">
        <v>202320</v>
      </c>
      <c r="Y81" s="172">
        <v>202410</v>
      </c>
      <c r="Z81" s="171">
        <v>202420</v>
      </c>
      <c r="AA81" s="172">
        <v>202510</v>
      </c>
      <c r="AB81" s="171">
        <v>202520</v>
      </c>
    </row>
    <row r="82" spans="2:28">
      <c r="B82" s="35" t="s">
        <v>257</v>
      </c>
      <c r="C82" s="35">
        <f t="shared" ref="C82" si="22">C54</f>
        <v>30</v>
      </c>
      <c r="D82" s="35">
        <f t="shared" ref="D82:N82" si="23">D54</f>
        <v>0</v>
      </c>
      <c r="E82" s="35">
        <f t="shared" si="23"/>
        <v>9</v>
      </c>
      <c r="F82" s="35">
        <f t="shared" si="23"/>
        <v>11</v>
      </c>
      <c r="G82" s="35">
        <f t="shared" si="23"/>
        <v>22</v>
      </c>
      <c r="H82" s="35">
        <f t="shared" si="23"/>
        <v>30</v>
      </c>
      <c r="I82" s="35">
        <f t="shared" si="23"/>
        <v>26</v>
      </c>
      <c r="J82" s="35">
        <f t="shared" si="23"/>
        <v>35</v>
      </c>
      <c r="K82" s="35">
        <f t="shared" si="23"/>
        <v>31</v>
      </c>
      <c r="L82" s="35">
        <f t="shared" si="23"/>
        <v>21</v>
      </c>
      <c r="M82" s="35">
        <f t="shared" si="23"/>
        <v>27</v>
      </c>
      <c r="N82" s="35">
        <f t="shared" si="23"/>
        <v>0</v>
      </c>
      <c r="P82" s="42" t="s">
        <v>258</v>
      </c>
      <c r="Q82" s="42">
        <f t="shared" ref="Q82" si="24">C55</f>
        <v>10</v>
      </c>
      <c r="R82" s="42">
        <f t="shared" ref="R82" si="25">D55</f>
        <v>0</v>
      </c>
      <c r="S82" s="42">
        <f t="shared" ref="S82" si="26">E55</f>
        <v>4</v>
      </c>
      <c r="T82" s="42">
        <f t="shared" ref="T82" si="27">F55</f>
        <v>18</v>
      </c>
      <c r="U82" s="42">
        <f t="shared" ref="U82" si="28">G55</f>
        <v>7</v>
      </c>
      <c r="V82" s="42">
        <f t="shared" ref="V82" si="29">H55</f>
        <v>26</v>
      </c>
      <c r="W82" s="42">
        <f t="shared" ref="W82" si="30">I55</f>
        <v>12</v>
      </c>
      <c r="X82" s="42">
        <f t="shared" ref="X82" si="31">J55</f>
        <v>20</v>
      </c>
      <c r="Y82" s="42">
        <f t="shared" ref="Y82" si="32">K55</f>
        <v>13</v>
      </c>
      <c r="Z82" s="42">
        <f>L55</f>
        <v>25</v>
      </c>
      <c r="AA82" s="42">
        <f t="shared" ref="AA82" si="33">M55</f>
        <v>9</v>
      </c>
      <c r="AB82" s="42">
        <f t="shared" ref="AB82" si="34">N55</f>
        <v>0</v>
      </c>
    </row>
    <row r="83" spans="2:28">
      <c r="B83" s="44" t="s">
        <v>259</v>
      </c>
      <c r="C83" s="44">
        <f>C17</f>
        <v>41</v>
      </c>
      <c r="D83" s="44">
        <f t="shared" ref="D83:N83" si="35">D17</f>
        <v>2</v>
      </c>
      <c r="E83" s="44">
        <f t="shared" si="35"/>
        <v>18</v>
      </c>
      <c r="F83" s="44">
        <f t="shared" si="35"/>
        <v>29</v>
      </c>
      <c r="G83" s="44">
        <f t="shared" si="35"/>
        <v>51</v>
      </c>
      <c r="H83" s="44">
        <f t="shared" si="35"/>
        <v>39</v>
      </c>
      <c r="I83" s="44">
        <f t="shared" si="35"/>
        <v>78</v>
      </c>
      <c r="J83" s="44">
        <f t="shared" si="35"/>
        <v>59</v>
      </c>
      <c r="K83" s="44">
        <f t="shared" si="35"/>
        <v>45</v>
      </c>
      <c r="L83" s="44">
        <f t="shared" si="35"/>
        <v>45</v>
      </c>
      <c r="M83" s="44">
        <f t="shared" si="35"/>
        <v>63</v>
      </c>
      <c r="N83" s="44">
        <f t="shared" si="35"/>
        <v>0</v>
      </c>
      <c r="P83" s="45" t="s">
        <v>260</v>
      </c>
      <c r="Q83" s="45">
        <f t="shared" ref="Q83" si="36">C18</f>
        <v>0</v>
      </c>
      <c r="R83" s="45">
        <f t="shared" ref="R83" si="37">D18</f>
        <v>0</v>
      </c>
      <c r="S83" s="45">
        <f t="shared" ref="S83" si="38">E18</f>
        <v>0</v>
      </c>
      <c r="T83" s="45">
        <f t="shared" ref="T83" si="39">F18</f>
        <v>2</v>
      </c>
      <c r="U83" s="45">
        <f t="shared" ref="U83" si="40">G18</f>
        <v>3</v>
      </c>
      <c r="V83" s="45">
        <f t="shared" ref="V83" si="41">H18</f>
        <v>3</v>
      </c>
      <c r="W83" s="45">
        <f t="shared" ref="W83" si="42">I18</f>
        <v>0</v>
      </c>
      <c r="X83" s="45">
        <f t="shared" ref="X83" si="43">J18</f>
        <v>6</v>
      </c>
      <c r="Y83" s="45">
        <f t="shared" ref="Y83" si="44">K18</f>
        <v>1</v>
      </c>
      <c r="Z83" s="45">
        <f t="shared" ref="Z83" si="45">L18</f>
        <v>3</v>
      </c>
      <c r="AA83" s="45">
        <f t="shared" ref="AA83" si="46">M18</f>
        <v>1</v>
      </c>
      <c r="AB83" s="45">
        <f t="shared" ref="AB83" si="47">N18</f>
        <v>0</v>
      </c>
    </row>
    <row r="84" spans="2:28">
      <c r="B84" s="43" t="s">
        <v>261</v>
      </c>
      <c r="C84" s="43">
        <f t="shared" ref="C84" si="48">Q17</f>
        <v>1</v>
      </c>
      <c r="D84" s="43">
        <f t="shared" ref="D84" si="49">R17</f>
        <v>5</v>
      </c>
      <c r="E84" s="43">
        <f t="shared" ref="E84" si="50">S17</f>
        <v>0</v>
      </c>
      <c r="F84" s="43">
        <f t="shared" ref="F84" si="51">T17</f>
        <v>5</v>
      </c>
      <c r="G84" s="43">
        <f t="shared" ref="G84" si="52">U17</f>
        <v>0</v>
      </c>
      <c r="H84" s="43">
        <f t="shared" ref="H84" si="53">V17</f>
        <v>12</v>
      </c>
      <c r="I84" s="43">
        <f t="shared" ref="I84" si="54">W17</f>
        <v>0</v>
      </c>
      <c r="J84" s="43">
        <f t="shared" ref="J84" si="55">X17</f>
        <v>12</v>
      </c>
      <c r="K84" s="43">
        <f t="shared" ref="K84" si="56">Y17</f>
        <v>0</v>
      </c>
      <c r="L84" s="43">
        <f t="shared" ref="L84" si="57">Z17</f>
        <v>8</v>
      </c>
      <c r="M84" s="43">
        <f t="shared" ref="M84" si="58">AA17</f>
        <v>0</v>
      </c>
      <c r="N84" s="43">
        <f t="shared" ref="N84" si="59">AB17</f>
        <v>0</v>
      </c>
      <c r="P84" s="37" t="s">
        <v>262</v>
      </c>
      <c r="Q84" s="37">
        <f t="shared" ref="Q84" si="60">Q18</f>
        <v>0</v>
      </c>
      <c r="R84" s="37">
        <f t="shared" ref="R84:AB84" si="61">R18</f>
        <v>0</v>
      </c>
      <c r="S84" s="37">
        <f t="shared" si="61"/>
        <v>0</v>
      </c>
      <c r="T84" s="37">
        <f t="shared" si="61"/>
        <v>0</v>
      </c>
      <c r="U84" s="37">
        <f t="shared" si="61"/>
        <v>0</v>
      </c>
      <c r="V84" s="37">
        <f t="shared" si="61"/>
        <v>0</v>
      </c>
      <c r="W84" s="37">
        <f t="shared" si="61"/>
        <v>0</v>
      </c>
      <c r="X84" s="37">
        <f t="shared" si="61"/>
        <v>0</v>
      </c>
      <c r="Y84" s="37">
        <f t="shared" si="61"/>
        <v>0</v>
      </c>
      <c r="Z84" s="37">
        <f t="shared" si="61"/>
        <v>0</v>
      </c>
      <c r="AA84" s="37">
        <f t="shared" si="61"/>
        <v>0</v>
      </c>
      <c r="AB84" s="37">
        <f t="shared" si="61"/>
        <v>0</v>
      </c>
    </row>
    <row r="85" spans="2:28">
      <c r="B85" s="89" t="s">
        <v>263</v>
      </c>
      <c r="C85" s="89">
        <f>Q54</f>
        <v>2</v>
      </c>
      <c r="D85" s="89">
        <f t="shared" ref="D85:N85" si="62">R54</f>
        <v>0</v>
      </c>
      <c r="E85" s="89">
        <f t="shared" si="62"/>
        <v>1</v>
      </c>
      <c r="F85" s="89">
        <f t="shared" si="62"/>
        <v>0</v>
      </c>
      <c r="G85" s="89">
        <f t="shared" si="62"/>
        <v>0</v>
      </c>
      <c r="H85" s="89">
        <f t="shared" si="62"/>
        <v>0</v>
      </c>
      <c r="I85" s="89">
        <f t="shared" si="62"/>
        <v>0</v>
      </c>
      <c r="J85" s="89">
        <f t="shared" si="62"/>
        <v>0</v>
      </c>
      <c r="K85" s="89">
        <f t="shared" si="62"/>
        <v>0</v>
      </c>
      <c r="L85" s="89">
        <f t="shared" si="62"/>
        <v>0</v>
      </c>
      <c r="M85" s="89">
        <f t="shared" si="62"/>
        <v>0</v>
      </c>
      <c r="N85" s="89">
        <f t="shared" si="62"/>
        <v>0</v>
      </c>
      <c r="P85" s="89" t="s">
        <v>264</v>
      </c>
      <c r="Q85" s="89">
        <f>Q55</f>
        <v>0</v>
      </c>
      <c r="R85" s="89">
        <f t="shared" ref="R85:AB85" si="63">R55</f>
        <v>0</v>
      </c>
      <c r="S85" s="89">
        <f t="shared" si="63"/>
        <v>0</v>
      </c>
      <c r="T85" s="89">
        <f t="shared" si="63"/>
        <v>0</v>
      </c>
      <c r="U85" s="89">
        <f t="shared" si="63"/>
        <v>0</v>
      </c>
      <c r="V85" s="89">
        <f t="shared" si="63"/>
        <v>0</v>
      </c>
      <c r="W85" s="89">
        <f t="shared" si="63"/>
        <v>0</v>
      </c>
      <c r="X85" s="89">
        <f t="shared" si="63"/>
        <v>0</v>
      </c>
      <c r="Y85" s="89">
        <f t="shared" si="63"/>
        <v>0</v>
      </c>
      <c r="Z85" s="89">
        <f t="shared" si="63"/>
        <v>0</v>
      </c>
      <c r="AA85" s="89">
        <f t="shared" si="63"/>
        <v>0</v>
      </c>
      <c r="AB85" s="89">
        <f t="shared" si="63"/>
        <v>0</v>
      </c>
    </row>
    <row r="86" spans="2:28">
      <c r="B86" s="34" t="s">
        <v>265</v>
      </c>
      <c r="C86" s="34">
        <f>AE54</f>
        <v>1</v>
      </c>
      <c r="D86" s="34">
        <f t="shared" ref="D86:N86" si="64">AF54</f>
        <v>0</v>
      </c>
      <c r="E86" s="34">
        <f t="shared" si="64"/>
        <v>0</v>
      </c>
      <c r="F86" s="34">
        <f t="shared" si="64"/>
        <v>0</v>
      </c>
      <c r="G86" s="34">
        <f t="shared" si="64"/>
        <v>0</v>
      </c>
      <c r="H86" s="34">
        <f t="shared" si="64"/>
        <v>0</v>
      </c>
      <c r="I86" s="34">
        <f t="shared" si="64"/>
        <v>0</v>
      </c>
      <c r="J86" s="34">
        <f t="shared" si="64"/>
        <v>0</v>
      </c>
      <c r="K86" s="34">
        <f t="shared" si="64"/>
        <v>0</v>
      </c>
      <c r="L86" s="34">
        <f t="shared" si="64"/>
        <v>0</v>
      </c>
      <c r="M86" s="34">
        <f t="shared" si="64"/>
        <v>1</v>
      </c>
      <c r="N86" s="34">
        <f t="shared" si="64"/>
        <v>0</v>
      </c>
      <c r="P86" s="34" t="s">
        <v>265</v>
      </c>
      <c r="Q86" s="34">
        <f>AE55</f>
        <v>0</v>
      </c>
      <c r="R86" s="34">
        <f t="shared" ref="R86:AB86" si="65">AF55</f>
        <v>0</v>
      </c>
      <c r="S86" s="34">
        <f t="shared" si="65"/>
        <v>0</v>
      </c>
      <c r="T86" s="34">
        <f t="shared" si="65"/>
        <v>0</v>
      </c>
      <c r="U86" s="34">
        <f t="shared" si="65"/>
        <v>0</v>
      </c>
      <c r="V86" s="34">
        <f t="shared" si="65"/>
        <v>0</v>
      </c>
      <c r="W86" s="34">
        <f t="shared" si="65"/>
        <v>0</v>
      </c>
      <c r="X86" s="34">
        <f t="shared" si="65"/>
        <v>0</v>
      </c>
      <c r="Y86" s="34">
        <f t="shared" si="65"/>
        <v>0</v>
      </c>
      <c r="Z86" s="34">
        <f t="shared" si="65"/>
        <v>0</v>
      </c>
      <c r="AA86" s="34">
        <f t="shared" si="65"/>
        <v>0</v>
      </c>
      <c r="AB86" s="34">
        <f t="shared" si="65"/>
        <v>0</v>
      </c>
    </row>
    <row r="87" spans="2:28">
      <c r="B87" s="20"/>
      <c r="C87" s="20"/>
      <c r="D87" s="20"/>
      <c r="E87" s="20"/>
      <c r="F87" s="20"/>
      <c r="G87" s="20"/>
    </row>
    <row r="88" spans="2:28">
      <c r="B88" s="20"/>
      <c r="C88" s="20"/>
      <c r="D88" s="20"/>
      <c r="E88" s="20"/>
      <c r="F88" s="20"/>
      <c r="G88" s="20"/>
    </row>
    <row r="89" spans="2:28">
      <c r="J89" s="20"/>
    </row>
    <row r="90" spans="2:28">
      <c r="B90" s="20"/>
      <c r="C90" s="20"/>
      <c r="D90" s="20"/>
      <c r="E90" s="20"/>
      <c r="F90" s="20"/>
      <c r="G90" s="20"/>
      <c r="J90" s="20"/>
    </row>
    <row r="91" spans="2:28">
      <c r="B91" s="20"/>
      <c r="C91" s="20"/>
      <c r="D91" s="20"/>
      <c r="E91" s="20"/>
      <c r="F91" s="20"/>
      <c r="G91" s="20"/>
      <c r="J91" s="20"/>
    </row>
    <row r="92" spans="2:28">
      <c r="B92" s="20"/>
      <c r="C92" s="20"/>
      <c r="D92" s="20"/>
      <c r="E92" s="20"/>
      <c r="F92" s="20"/>
      <c r="G92" s="20"/>
      <c r="J92" s="20"/>
    </row>
    <row r="93" spans="2:28">
      <c r="J93" s="20"/>
    </row>
    <row r="94" spans="2:28">
      <c r="J94" s="20"/>
    </row>
    <row r="95" spans="2:28">
      <c r="J95" s="20"/>
    </row>
    <row r="96" spans="2:28">
      <c r="J96" s="20"/>
    </row>
    <row r="97" spans="2:22">
      <c r="J97" s="20"/>
    </row>
    <row r="98" spans="2:22"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2:22"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2:22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2:22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2:22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2:22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2:22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2:22">
      <c r="J105" s="20"/>
    </row>
    <row r="106" spans="2:22">
      <c r="J106" s="20"/>
    </row>
    <row r="107" spans="2:22">
      <c r="J107" s="20"/>
    </row>
    <row r="108" spans="2:22">
      <c r="J108" s="20"/>
    </row>
    <row r="109" spans="2:22">
      <c r="J109" s="20"/>
    </row>
    <row r="110" spans="2:22">
      <c r="J110" s="20"/>
    </row>
    <row r="111" spans="2:22">
      <c r="C111" s="13">
        <v>2020</v>
      </c>
      <c r="D111" s="13">
        <v>2021</v>
      </c>
      <c r="E111" s="13">
        <v>2022</v>
      </c>
      <c r="F111" s="13">
        <v>2023</v>
      </c>
      <c r="G111" s="13">
        <v>2024</v>
      </c>
      <c r="H111" s="13">
        <v>2025</v>
      </c>
      <c r="J111" s="20"/>
      <c r="Q111" s="13">
        <v>2020</v>
      </c>
      <c r="R111" s="13">
        <v>2021</v>
      </c>
      <c r="S111" s="13">
        <v>2022</v>
      </c>
      <c r="T111" s="13">
        <v>2023</v>
      </c>
      <c r="U111" s="13">
        <v>2024</v>
      </c>
      <c r="V111" s="13">
        <v>2025</v>
      </c>
    </row>
    <row r="112" spans="2:22">
      <c r="B112" s="35" t="s">
        <v>257</v>
      </c>
      <c r="C112" s="35">
        <f t="shared" ref="C112:H112" si="66">C72</f>
        <v>30</v>
      </c>
      <c r="D112" s="35">
        <f t="shared" si="66"/>
        <v>20</v>
      </c>
      <c r="E112" s="35">
        <f t="shared" si="66"/>
        <v>52</v>
      </c>
      <c r="F112" s="35">
        <f t="shared" si="66"/>
        <v>61</v>
      </c>
      <c r="G112" s="35">
        <f t="shared" si="66"/>
        <v>52</v>
      </c>
      <c r="H112" s="35">
        <f t="shared" si="66"/>
        <v>27</v>
      </c>
      <c r="J112" s="20"/>
      <c r="P112" s="42" t="s">
        <v>258</v>
      </c>
      <c r="Q112" s="42">
        <f t="shared" ref="Q112:V112" si="67">C73</f>
        <v>10</v>
      </c>
      <c r="R112" s="42">
        <f t="shared" si="67"/>
        <v>22</v>
      </c>
      <c r="S112" s="42">
        <f t="shared" si="67"/>
        <v>33</v>
      </c>
      <c r="T112" s="42">
        <f t="shared" si="67"/>
        <v>32</v>
      </c>
      <c r="U112" s="42">
        <f t="shared" si="67"/>
        <v>38</v>
      </c>
      <c r="V112" s="42">
        <f t="shared" si="67"/>
        <v>9</v>
      </c>
    </row>
    <row r="113" spans="2:22">
      <c r="B113" s="44" t="s">
        <v>259</v>
      </c>
      <c r="C113" s="44">
        <f t="shared" ref="C113:H113" si="68">C32</f>
        <v>43</v>
      </c>
      <c r="D113" s="44">
        <f t="shared" si="68"/>
        <v>47</v>
      </c>
      <c r="E113" s="44">
        <f t="shared" si="68"/>
        <v>90</v>
      </c>
      <c r="F113" s="44">
        <f t="shared" si="68"/>
        <v>137</v>
      </c>
      <c r="G113" s="44">
        <f t="shared" si="68"/>
        <v>90</v>
      </c>
      <c r="H113" s="44">
        <f t="shared" si="68"/>
        <v>63</v>
      </c>
      <c r="J113" s="20"/>
      <c r="P113" s="45" t="s">
        <v>260</v>
      </c>
      <c r="Q113" s="45">
        <f t="shared" ref="Q113:V113" si="69">C33</f>
        <v>0</v>
      </c>
      <c r="R113" s="45">
        <f t="shared" si="69"/>
        <v>2</v>
      </c>
      <c r="S113" s="45">
        <f t="shared" si="69"/>
        <v>6</v>
      </c>
      <c r="T113" s="45">
        <f t="shared" si="69"/>
        <v>6</v>
      </c>
      <c r="U113" s="45">
        <f t="shared" si="69"/>
        <v>4</v>
      </c>
      <c r="V113" s="45">
        <f t="shared" si="69"/>
        <v>1</v>
      </c>
    </row>
    <row r="114" spans="2:22">
      <c r="B114" s="43" t="s">
        <v>261</v>
      </c>
      <c r="C114" s="43">
        <f t="shared" ref="C114:H114" si="70">Q32</f>
        <v>6</v>
      </c>
      <c r="D114" s="43">
        <f t="shared" si="70"/>
        <v>5</v>
      </c>
      <c r="E114" s="43">
        <f t="shared" si="70"/>
        <v>12</v>
      </c>
      <c r="F114" s="43">
        <f t="shared" si="70"/>
        <v>12</v>
      </c>
      <c r="G114" s="43">
        <f t="shared" si="70"/>
        <v>8</v>
      </c>
      <c r="H114" s="43">
        <f t="shared" si="70"/>
        <v>0</v>
      </c>
      <c r="J114" s="20"/>
      <c r="P114" s="37" t="s">
        <v>262</v>
      </c>
      <c r="Q114" s="37">
        <f t="shared" ref="Q114:V114" si="71">Q33</f>
        <v>0</v>
      </c>
      <c r="R114" s="37">
        <f t="shared" si="71"/>
        <v>0</v>
      </c>
      <c r="S114" s="37">
        <f t="shared" si="71"/>
        <v>0</v>
      </c>
      <c r="T114" s="37">
        <f t="shared" si="71"/>
        <v>0</v>
      </c>
      <c r="U114" s="37">
        <f t="shared" si="71"/>
        <v>0</v>
      </c>
      <c r="V114" s="37">
        <f t="shared" si="71"/>
        <v>0</v>
      </c>
    </row>
    <row r="115" spans="2:22">
      <c r="B115" s="89" t="s">
        <v>263</v>
      </c>
      <c r="C115" s="89">
        <f>Q72</f>
        <v>2</v>
      </c>
      <c r="D115" s="89">
        <f t="shared" ref="D115:H115" si="72">R72</f>
        <v>1</v>
      </c>
      <c r="E115" s="89">
        <f t="shared" si="72"/>
        <v>0</v>
      </c>
      <c r="F115" s="89">
        <f t="shared" si="72"/>
        <v>0</v>
      </c>
      <c r="G115" s="89">
        <f t="shared" si="72"/>
        <v>0</v>
      </c>
      <c r="H115" s="89">
        <f t="shared" si="72"/>
        <v>0</v>
      </c>
      <c r="J115" s="20"/>
      <c r="P115" s="89" t="s">
        <v>264</v>
      </c>
      <c r="Q115" s="89">
        <f>Q73</f>
        <v>0</v>
      </c>
      <c r="R115" s="89">
        <f t="shared" ref="R115:U115" si="73">R73</f>
        <v>0</v>
      </c>
      <c r="S115" s="89">
        <f t="shared" si="73"/>
        <v>0</v>
      </c>
      <c r="T115" s="89">
        <f t="shared" si="73"/>
        <v>0</v>
      </c>
      <c r="U115" s="89">
        <f t="shared" si="73"/>
        <v>0</v>
      </c>
      <c r="V115" s="89">
        <f t="shared" ref="V115" si="74">V73</f>
        <v>0</v>
      </c>
    </row>
    <row r="116" spans="2:22">
      <c r="B116" s="34" t="s">
        <v>265</v>
      </c>
      <c r="C116" s="34">
        <f>AE72</f>
        <v>1</v>
      </c>
      <c r="D116" s="34">
        <f t="shared" ref="D116:H116" si="75">AF72</f>
        <v>0</v>
      </c>
      <c r="E116" s="34">
        <f t="shared" si="75"/>
        <v>0</v>
      </c>
      <c r="F116" s="34">
        <f t="shared" si="75"/>
        <v>0</v>
      </c>
      <c r="G116" s="34">
        <f t="shared" si="75"/>
        <v>0</v>
      </c>
      <c r="H116" s="34">
        <f t="shared" si="75"/>
        <v>1</v>
      </c>
      <c r="J116" s="20"/>
      <c r="P116" s="34" t="s">
        <v>265</v>
      </c>
      <c r="Q116" s="34">
        <f>AE73</f>
        <v>0</v>
      </c>
      <c r="R116" s="34">
        <f t="shared" ref="R116:V116" si="76">AF73</f>
        <v>0</v>
      </c>
      <c r="S116" s="34">
        <f t="shared" si="76"/>
        <v>0</v>
      </c>
      <c r="T116" s="34">
        <f t="shared" si="76"/>
        <v>0</v>
      </c>
      <c r="U116" s="34">
        <f t="shared" si="76"/>
        <v>0</v>
      </c>
      <c r="V116" s="34">
        <f t="shared" si="76"/>
        <v>0</v>
      </c>
    </row>
    <row r="117" spans="2:22">
      <c r="J117" s="20"/>
    </row>
    <row r="118" spans="2:22">
      <c r="J118" s="20"/>
    </row>
    <row r="119" spans="2:22">
      <c r="J119" s="20"/>
    </row>
    <row r="120" spans="2:22">
      <c r="J120" s="20"/>
    </row>
    <row r="121" spans="2:22">
      <c r="J121" s="20"/>
    </row>
    <row r="122" spans="2:22">
      <c r="J122" s="20"/>
    </row>
    <row r="123" spans="2:22">
      <c r="J123" s="20"/>
    </row>
    <row r="124" spans="2:22">
      <c r="J124" s="20"/>
    </row>
    <row r="125" spans="2:22">
      <c r="J125" s="20"/>
    </row>
    <row r="126" spans="2:22">
      <c r="J126" s="20"/>
    </row>
    <row r="127" spans="2:22">
      <c r="J127" s="20"/>
    </row>
    <row r="128" spans="2:22">
      <c r="J128" s="20"/>
    </row>
    <row r="129" spans="2:15">
      <c r="J129" s="20"/>
    </row>
    <row r="130" spans="2:15">
      <c r="J130" s="20"/>
    </row>
    <row r="131" spans="2:15">
      <c r="J131" s="20"/>
    </row>
    <row r="132" spans="2:15">
      <c r="J132" s="20"/>
    </row>
    <row r="133" spans="2:15">
      <c r="J133" s="20"/>
    </row>
    <row r="134" spans="2:15">
      <c r="J134" s="20"/>
    </row>
    <row r="135" spans="2:15">
      <c r="J135" s="20"/>
    </row>
    <row r="136" spans="2:15">
      <c r="J136" s="20"/>
    </row>
    <row r="137" spans="2:15">
      <c r="J137" s="20"/>
    </row>
    <row r="138" spans="2:15">
      <c r="J138" s="20"/>
    </row>
    <row r="139" spans="2:15">
      <c r="J139" s="20"/>
    </row>
    <row r="140" spans="2:1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</row>
    <row r="141" spans="2:15">
      <c r="J141" s="20"/>
    </row>
    <row r="142" spans="2:15">
      <c r="J142" s="20"/>
    </row>
    <row r="143" spans="2:15">
      <c r="J143" s="20"/>
    </row>
    <row r="144" spans="2:15">
      <c r="J144" s="20"/>
    </row>
    <row r="145" spans="10:10">
      <c r="J145" s="20"/>
    </row>
    <row r="146" spans="10:10">
      <c r="J146" s="20"/>
    </row>
    <row r="147" spans="10:10">
      <c r="J147" s="20"/>
    </row>
    <row r="148" spans="10:10">
      <c r="J148" s="20"/>
    </row>
    <row r="149" spans="10:10">
      <c r="J149" s="20"/>
    </row>
    <row r="150" spans="10:10">
      <c r="J150" s="20"/>
    </row>
    <row r="151" spans="10:10">
      <c r="J151" s="20"/>
    </row>
    <row r="152" spans="10:10">
      <c r="J152" s="20"/>
    </row>
    <row r="153" spans="10:10">
      <c r="J153" s="20"/>
    </row>
    <row r="154" spans="10:10">
      <c r="J154" s="20"/>
    </row>
    <row r="155" spans="10:10">
      <c r="J155" s="20"/>
    </row>
    <row r="156" spans="10:10">
      <c r="J156" s="20"/>
    </row>
    <row r="157" spans="10:10">
      <c r="J157" s="20"/>
    </row>
    <row r="158" spans="10:10">
      <c r="J158" s="20"/>
    </row>
    <row r="159" spans="10:10">
      <c r="J159" s="20"/>
    </row>
    <row r="160" spans="10:10">
      <c r="J160" s="20"/>
    </row>
    <row r="161" spans="10:10">
      <c r="J161" s="20"/>
    </row>
    <row r="162" spans="10:10">
      <c r="J162" s="20"/>
    </row>
    <row r="163" spans="10:10">
      <c r="J163" s="20"/>
    </row>
    <row r="164" spans="10:10">
      <c r="J164" s="20"/>
    </row>
    <row r="165" spans="10:10">
      <c r="J165" s="20"/>
    </row>
    <row r="166" spans="10:10">
      <c r="J166" s="20"/>
    </row>
    <row r="167" spans="10:10">
      <c r="J167" s="20"/>
    </row>
    <row r="168" spans="10:10">
      <c r="J168" s="20"/>
    </row>
    <row r="169" spans="10:10">
      <c r="J169" s="20"/>
    </row>
    <row r="170" spans="10:10">
      <c r="J170" s="20"/>
    </row>
    <row r="171" spans="10:10">
      <c r="J171" s="20"/>
    </row>
    <row r="172" spans="10:10">
      <c r="J172" s="20"/>
    </row>
    <row r="173" spans="10:10">
      <c r="J173" s="20"/>
    </row>
    <row r="174" spans="10:10">
      <c r="J174" s="20"/>
    </row>
    <row r="175" spans="10:10">
      <c r="J175" s="20"/>
    </row>
    <row r="176" spans="10:10">
      <c r="J176" s="20"/>
    </row>
    <row r="177" spans="10:10">
      <c r="J177" s="20"/>
    </row>
    <row r="178" spans="10:10">
      <c r="J178" s="20"/>
    </row>
    <row r="179" spans="10:10">
      <c r="J179" s="20"/>
    </row>
    <row r="180" spans="10:10">
      <c r="J180" s="20"/>
    </row>
    <row r="181" spans="10:10">
      <c r="J181" s="20"/>
    </row>
    <row r="182" spans="10:10">
      <c r="J182" s="20"/>
    </row>
    <row r="183" spans="10:10">
      <c r="J183" s="20"/>
    </row>
    <row r="184" spans="10:10">
      <c r="J184" s="20"/>
    </row>
    <row r="185" spans="10:10">
      <c r="J185" s="20"/>
    </row>
    <row r="186" spans="10:10">
      <c r="J186" s="20"/>
    </row>
    <row r="187" spans="10:10">
      <c r="J187" s="20"/>
    </row>
    <row r="188" spans="10:10">
      <c r="J188" s="20"/>
    </row>
    <row r="189" spans="10:10">
      <c r="J189" s="20"/>
    </row>
    <row r="190" spans="10:10">
      <c r="J190" s="20"/>
    </row>
    <row r="191" spans="10:10">
      <c r="J191" s="20"/>
    </row>
    <row r="192" spans="10:10">
      <c r="J192" s="20"/>
    </row>
    <row r="193" spans="10:10">
      <c r="J193" s="20"/>
    </row>
    <row r="194" spans="10:10">
      <c r="J194" s="20"/>
    </row>
    <row r="195" spans="10:10">
      <c r="J195" s="20"/>
    </row>
    <row r="196" spans="10:10">
      <c r="J196" s="20"/>
    </row>
    <row r="197" spans="10:10">
      <c r="J197" s="20"/>
    </row>
    <row r="198" spans="10:10">
      <c r="J198" s="20"/>
    </row>
    <row r="199" spans="10:10">
      <c r="J199" s="20"/>
    </row>
    <row r="200" spans="10:10">
      <c r="J200" s="20"/>
    </row>
    <row r="201" spans="10:10">
      <c r="J201" s="20"/>
    </row>
    <row r="202" spans="10:10">
      <c r="J202" s="20"/>
    </row>
    <row r="203" spans="10:10">
      <c r="J203" s="20"/>
    </row>
    <row r="204" spans="10:10">
      <c r="J204" s="20"/>
    </row>
    <row r="205" spans="10:10">
      <c r="J205" s="20"/>
    </row>
    <row r="206" spans="10:10">
      <c r="J206" s="20"/>
    </row>
    <row r="207" spans="10:10">
      <c r="J207" s="20"/>
    </row>
    <row r="208" spans="10:10">
      <c r="J208" s="20"/>
    </row>
    <row r="209" spans="10:10">
      <c r="J209" s="20"/>
    </row>
    <row r="210" spans="10:10">
      <c r="J210" s="20"/>
    </row>
    <row r="211" spans="10:10">
      <c r="J211" s="20"/>
    </row>
    <row r="212" spans="10:10">
      <c r="J212" s="20"/>
    </row>
    <row r="213" spans="10:10">
      <c r="J213" s="20"/>
    </row>
    <row r="214" spans="10:10">
      <c r="J214" s="20"/>
    </row>
    <row r="215" spans="10:10">
      <c r="J215" s="20"/>
    </row>
    <row r="216" spans="10:10">
      <c r="J216" s="20"/>
    </row>
    <row r="217" spans="10:10">
      <c r="J217" s="20"/>
    </row>
    <row r="218" spans="10:10">
      <c r="J218" s="20"/>
    </row>
    <row r="219" spans="10:10">
      <c r="J219" s="20"/>
    </row>
    <row r="220" spans="10:10">
      <c r="J220" s="20"/>
    </row>
    <row r="221" spans="10:10">
      <c r="J221" s="20"/>
    </row>
    <row r="222" spans="10:10">
      <c r="J222" s="20"/>
    </row>
    <row r="223" spans="10:10">
      <c r="J223" s="20"/>
    </row>
    <row r="224" spans="10:10">
      <c r="J224" s="20"/>
    </row>
    <row r="225" spans="10:10">
      <c r="J225" s="20"/>
    </row>
    <row r="226" spans="10:10">
      <c r="J226" s="20"/>
    </row>
    <row r="227" spans="10:10">
      <c r="J227" s="20"/>
    </row>
    <row r="228" spans="10:10">
      <c r="J228" s="20"/>
    </row>
    <row r="229" spans="10:10">
      <c r="J229" s="20"/>
    </row>
    <row r="230" spans="10:10">
      <c r="J230" s="20"/>
    </row>
    <row r="231" spans="10:10">
      <c r="J231" s="20"/>
    </row>
    <row r="232" spans="10:10">
      <c r="J232" s="20"/>
    </row>
    <row r="233" spans="10:10">
      <c r="J233" s="20"/>
    </row>
    <row r="234" spans="10:10">
      <c r="J234" s="20"/>
    </row>
    <row r="235" spans="10:10">
      <c r="J235" s="20"/>
    </row>
    <row r="236" spans="10:10">
      <c r="J236" s="20"/>
    </row>
    <row r="237" spans="10:10">
      <c r="J237" s="20"/>
    </row>
    <row r="238" spans="10:10">
      <c r="J238" s="20"/>
    </row>
    <row r="239" spans="10:10">
      <c r="J239" s="20"/>
    </row>
    <row r="240" spans="10:10">
      <c r="J240" s="20"/>
    </row>
    <row r="241" spans="10:10">
      <c r="J241" s="20"/>
    </row>
    <row r="242" spans="10:10">
      <c r="J242" s="20"/>
    </row>
    <row r="243" spans="10:10">
      <c r="J243" s="20"/>
    </row>
    <row r="244" spans="10:10">
      <c r="J244" s="20"/>
    </row>
    <row r="245" spans="10:10">
      <c r="J245" s="20"/>
    </row>
    <row r="246" spans="10:10">
      <c r="J246" s="20"/>
    </row>
    <row r="247" spans="10:10">
      <c r="J247" s="20"/>
    </row>
    <row r="248" spans="10:10">
      <c r="J248" s="20"/>
    </row>
    <row r="249" spans="10:10">
      <c r="J249" s="20"/>
    </row>
    <row r="250" spans="10:10">
      <c r="J250" s="20"/>
    </row>
    <row r="251" spans="10:10">
      <c r="J251" s="20"/>
    </row>
    <row r="252" spans="10:10">
      <c r="J252" s="20"/>
    </row>
    <row r="253" spans="10:10">
      <c r="J253" s="20"/>
    </row>
    <row r="254" spans="10:10">
      <c r="J254" s="20"/>
    </row>
    <row r="255" spans="10:10">
      <c r="J255" s="20"/>
    </row>
    <row r="256" spans="10:10">
      <c r="J256" s="20"/>
    </row>
    <row r="257" spans="10:10">
      <c r="J257" s="20"/>
    </row>
    <row r="258" spans="10:10">
      <c r="J258" s="20"/>
    </row>
    <row r="259" spans="10:10">
      <c r="J259" s="20"/>
    </row>
    <row r="260" spans="10:10">
      <c r="J260" s="20"/>
    </row>
    <row r="261" spans="10:10">
      <c r="J261" s="20"/>
    </row>
    <row r="262" spans="10:10">
      <c r="J262" s="20"/>
    </row>
    <row r="263" spans="10:10">
      <c r="J263" s="20"/>
    </row>
    <row r="264" spans="10:10">
      <c r="J264" s="20"/>
    </row>
    <row r="265" spans="10:10">
      <c r="J265" s="20"/>
    </row>
    <row r="266" spans="10:10">
      <c r="J266" s="20"/>
    </row>
    <row r="267" spans="10:10">
      <c r="J267" s="20"/>
    </row>
    <row r="268" spans="10:10">
      <c r="J268" s="20"/>
    </row>
    <row r="269" spans="10:10">
      <c r="J269" s="20"/>
    </row>
    <row r="270" spans="10:10">
      <c r="J270" s="20"/>
    </row>
    <row r="271" spans="10:10">
      <c r="J271" s="20"/>
    </row>
    <row r="272" spans="10:10">
      <c r="J272" s="20"/>
    </row>
    <row r="273" spans="10:10">
      <c r="J273" s="20"/>
    </row>
    <row r="274" spans="10:10">
      <c r="J274" s="20"/>
    </row>
    <row r="275" spans="10:10">
      <c r="J275" s="20"/>
    </row>
    <row r="276" spans="10:10">
      <c r="J276" s="20"/>
    </row>
    <row r="277" spans="10:10">
      <c r="J277" s="20"/>
    </row>
    <row r="278" spans="10:10">
      <c r="J278" s="20"/>
    </row>
    <row r="279" spans="10:10">
      <c r="J279" s="20"/>
    </row>
    <row r="280" spans="10:10">
      <c r="J280" s="20"/>
    </row>
    <row r="281" spans="10:10">
      <c r="J281" s="20"/>
    </row>
    <row r="282" spans="10:10">
      <c r="J282" s="20"/>
    </row>
    <row r="283" spans="10:10">
      <c r="J283" s="20"/>
    </row>
    <row r="284" spans="10:10">
      <c r="J284" s="20"/>
    </row>
    <row r="285" spans="10:10">
      <c r="J285" s="20"/>
    </row>
    <row r="286" spans="10:10">
      <c r="J286" s="20"/>
    </row>
    <row r="287" spans="10:10">
      <c r="J287" s="20"/>
    </row>
    <row r="288" spans="10:10">
      <c r="J288" s="20"/>
    </row>
    <row r="289" spans="10:10">
      <c r="J289" s="20"/>
    </row>
    <row r="290" spans="10:10">
      <c r="J290" s="20"/>
    </row>
    <row r="291" spans="10:10">
      <c r="J291" s="20"/>
    </row>
    <row r="292" spans="10:10">
      <c r="J292" s="20"/>
    </row>
    <row r="293" spans="10:10">
      <c r="J293" s="20"/>
    </row>
    <row r="294" spans="10:10">
      <c r="J294" s="20"/>
    </row>
    <row r="295" spans="10:10">
      <c r="J295" s="20"/>
    </row>
    <row r="296" spans="10:10">
      <c r="J296" s="20"/>
    </row>
    <row r="297" spans="10:10">
      <c r="J297" s="20"/>
    </row>
    <row r="298" spans="10:10">
      <c r="J298" s="20"/>
    </row>
    <row r="299" spans="10:10">
      <c r="J299" s="20"/>
    </row>
    <row r="300" spans="10:10">
      <c r="J300" s="20"/>
    </row>
    <row r="301" spans="10:10">
      <c r="J301" s="20"/>
    </row>
    <row r="302" spans="10:10">
      <c r="J302" s="20"/>
    </row>
    <row r="303" spans="10:10">
      <c r="J303" s="20"/>
    </row>
    <row r="304" spans="10:10">
      <c r="J304" s="20"/>
    </row>
    <row r="305" spans="10:10">
      <c r="J305" s="20"/>
    </row>
    <row r="306" spans="10:10">
      <c r="J306" s="20"/>
    </row>
    <row r="307" spans="10:10">
      <c r="J307" s="20"/>
    </row>
    <row r="308" spans="10:10">
      <c r="J308" s="20"/>
    </row>
    <row r="309" spans="10:10">
      <c r="J309" s="20"/>
    </row>
    <row r="310" spans="10:10">
      <c r="J310" s="20"/>
    </row>
    <row r="311" spans="10:10">
      <c r="J311" s="20"/>
    </row>
    <row r="312" spans="10:10">
      <c r="J312" s="20"/>
    </row>
    <row r="313" spans="10:10">
      <c r="J313" s="20"/>
    </row>
    <row r="314" spans="10:10">
      <c r="J314" s="20"/>
    </row>
    <row r="315" spans="10:10">
      <c r="J315" s="20"/>
    </row>
    <row r="316" spans="10:10">
      <c r="J316" s="20"/>
    </row>
    <row r="317" spans="10:10">
      <c r="J317" s="20"/>
    </row>
    <row r="318" spans="10:10">
      <c r="J318" s="20"/>
    </row>
    <row r="319" spans="10:10">
      <c r="J319" s="20"/>
    </row>
    <row r="320" spans="10:10">
      <c r="J320" s="20"/>
    </row>
    <row r="321" spans="10:10">
      <c r="J321" s="20"/>
    </row>
    <row r="322" spans="10:10">
      <c r="J322" s="20"/>
    </row>
    <row r="323" spans="10:10">
      <c r="J323" s="20"/>
    </row>
    <row r="324" spans="10:10">
      <c r="J324" s="20"/>
    </row>
    <row r="325" spans="10:10">
      <c r="J325" s="20"/>
    </row>
    <row r="326" spans="10:10">
      <c r="J326" s="20"/>
    </row>
    <row r="327" spans="10:10">
      <c r="J327" s="20"/>
    </row>
    <row r="328" spans="10:10">
      <c r="J328" s="20"/>
    </row>
    <row r="329" spans="10:10">
      <c r="J329" s="20"/>
    </row>
    <row r="330" spans="10:10">
      <c r="J330" s="20"/>
    </row>
    <row r="331" spans="10:10">
      <c r="J331" s="20"/>
    </row>
    <row r="332" spans="10:10">
      <c r="J332" s="20"/>
    </row>
    <row r="333" spans="10:10">
      <c r="J333" s="20"/>
    </row>
    <row r="334" spans="10:10">
      <c r="J334" s="20"/>
    </row>
    <row r="335" spans="10:10">
      <c r="J335" s="20"/>
    </row>
    <row r="336" spans="10:10">
      <c r="J336" s="20"/>
    </row>
    <row r="337" spans="10:10">
      <c r="J337" s="20"/>
    </row>
    <row r="338" spans="10:10">
      <c r="J338" s="20"/>
    </row>
    <row r="339" spans="10:10">
      <c r="J339" s="20"/>
    </row>
    <row r="340" spans="10:10">
      <c r="J340" s="20"/>
    </row>
    <row r="341" spans="10:10">
      <c r="J341" s="20"/>
    </row>
    <row r="342" spans="10:10">
      <c r="J342" s="20"/>
    </row>
    <row r="343" spans="10:10">
      <c r="J343" s="20"/>
    </row>
    <row r="344" spans="10:10">
      <c r="J344" s="20"/>
    </row>
    <row r="345" spans="10:10">
      <c r="J345" s="20"/>
    </row>
    <row r="346" spans="10:10">
      <c r="J346" s="20"/>
    </row>
    <row r="347" spans="10:10">
      <c r="J347" s="20"/>
    </row>
    <row r="348" spans="10:10">
      <c r="J348" s="20"/>
    </row>
  </sheetData>
  <mergeCells count="11">
    <mergeCell ref="B2:AN2"/>
    <mergeCell ref="AS38:AX38"/>
    <mergeCell ref="AE38:AP38"/>
    <mergeCell ref="B79:K79"/>
    <mergeCell ref="P79:Y79"/>
    <mergeCell ref="C4:N4"/>
    <mergeCell ref="Q4:AB4"/>
    <mergeCell ref="Q38:AB38"/>
    <mergeCell ref="C38:N38"/>
    <mergeCell ref="B36:AV36"/>
    <mergeCell ref="AE4:AN4"/>
  </mergeCells>
  <conditionalFormatting sqref="A1:XFD1 A2:B2 AO2:XFD2 A3:XFD3 A4:C4 O4:Q4 AC4:AE4 AO4:XFD4 A5:XFD35 A36:B36 AX36:XFD36 A37:XFD37 A38:C38 O38:Q38 AC38:AE38 AQ38:AS38 AY38:XFD38 A39:XFD55 AQ56:AW94 A56:AP95 AX56:XFD95 A96:AC116 BD96:XFD116 AQ116:AW1048576 A117:AP1048576 AX117:XFD1048576">
    <cfRule type="expression" dxfId="70" priority="1">
      <formula>A1=0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CFA3-26DA-4E4A-87F7-5FB859AF4BBF}">
  <dimension ref="A1:AF562"/>
  <sheetViews>
    <sheetView showGridLines="0" topLeftCell="A431" workbookViewId="0">
      <selection activeCell="J461" sqref="J461"/>
    </sheetView>
  </sheetViews>
  <sheetFormatPr defaultColWidth="11.42578125" defaultRowHeight="15"/>
  <cols>
    <col min="1" max="1" width="20.140625" customWidth="1"/>
    <col min="2" max="2" width="18.42578125" customWidth="1"/>
    <col min="3" max="3" width="12.5703125" customWidth="1"/>
    <col min="5" max="5" width="19.42578125" customWidth="1"/>
    <col min="6" max="6" width="12.5703125" customWidth="1"/>
    <col min="7" max="7" width="11.7109375" customWidth="1"/>
    <col min="8" max="8" width="12.5703125" customWidth="1"/>
    <col min="9" max="9" width="11.7109375" customWidth="1"/>
    <col min="10" max="10" width="12.42578125" customWidth="1"/>
    <col min="11" max="11" width="18.42578125" customWidth="1"/>
    <col min="12" max="12" width="22" customWidth="1"/>
    <col min="13" max="13" width="15.140625" customWidth="1"/>
    <col min="15" max="16" width="18.85546875" customWidth="1"/>
    <col min="17" max="17" width="22.5703125" customWidth="1"/>
    <col min="18" max="18" width="24.42578125" customWidth="1"/>
    <col min="19" max="19" width="27.5703125" customWidth="1"/>
    <col min="20" max="20" width="46.7109375" customWidth="1"/>
    <col min="21" max="21" width="12.42578125" bestFit="1" customWidth="1"/>
    <col min="23" max="23" width="13.42578125" customWidth="1"/>
    <col min="24" max="24" width="13.85546875" style="2" customWidth="1"/>
    <col min="25" max="25" width="19.42578125" style="2" customWidth="1"/>
    <col min="26" max="26" width="15.7109375" customWidth="1"/>
  </cols>
  <sheetData>
    <row r="1" spans="1:26" ht="15.75" thickBot="1">
      <c r="A1" s="3" t="s">
        <v>8</v>
      </c>
      <c r="B1" s="3" t="s">
        <v>10</v>
      </c>
      <c r="C1" s="3" t="s">
        <v>12</v>
      </c>
      <c r="D1" s="3" t="s">
        <v>14</v>
      </c>
      <c r="E1" s="3" t="s">
        <v>16</v>
      </c>
      <c r="F1" s="3" t="s">
        <v>19</v>
      </c>
      <c r="G1" s="3" t="s">
        <v>22</v>
      </c>
      <c r="H1" s="3" t="s">
        <v>24</v>
      </c>
      <c r="I1" s="3" t="s">
        <v>26</v>
      </c>
      <c r="J1" s="4" t="s">
        <v>266</v>
      </c>
      <c r="K1" s="4" t="s">
        <v>29</v>
      </c>
      <c r="L1" s="4" t="s">
        <v>31</v>
      </c>
      <c r="M1" s="4" t="s">
        <v>35</v>
      </c>
      <c r="N1" s="4" t="s">
        <v>37</v>
      </c>
      <c r="O1" s="4" t="s">
        <v>30</v>
      </c>
      <c r="P1" s="4" t="s">
        <v>267</v>
      </c>
      <c r="Q1" s="4" t="s">
        <v>38</v>
      </c>
      <c r="R1" s="4" t="s">
        <v>39</v>
      </c>
      <c r="S1" s="4" t="s">
        <v>25</v>
      </c>
      <c r="T1" s="124" t="s">
        <v>46</v>
      </c>
      <c r="U1" s="4" t="s">
        <v>268</v>
      </c>
      <c r="V1" s="4" t="s">
        <v>27</v>
      </c>
      <c r="W1" s="4" t="s">
        <v>269</v>
      </c>
      <c r="X1" s="5" t="s">
        <v>270</v>
      </c>
      <c r="Y1" s="5" t="s">
        <v>271</v>
      </c>
      <c r="Z1" s="6" t="s">
        <v>272</v>
      </c>
    </row>
    <row r="2" spans="1:26">
      <c r="A2" s="99" t="s">
        <v>273</v>
      </c>
      <c r="B2" s="100">
        <v>201630492</v>
      </c>
      <c r="C2" s="100" t="s">
        <v>274</v>
      </c>
      <c r="D2" s="100" t="s">
        <v>275</v>
      </c>
      <c r="E2" s="100" t="s">
        <v>276</v>
      </c>
      <c r="F2" s="100" t="s">
        <v>234</v>
      </c>
      <c r="G2" s="100" t="s">
        <v>277</v>
      </c>
      <c r="H2" s="100"/>
      <c r="I2" s="100"/>
      <c r="J2" s="100" t="s">
        <v>278</v>
      </c>
      <c r="K2" s="100">
        <v>2020</v>
      </c>
      <c r="L2" s="100">
        <v>202010</v>
      </c>
      <c r="M2" s="100">
        <v>202010</v>
      </c>
      <c r="N2" s="100" t="s">
        <v>279</v>
      </c>
      <c r="O2" s="100" t="s">
        <v>230</v>
      </c>
      <c r="P2" s="100" t="s">
        <v>280</v>
      </c>
      <c r="Q2" s="100" t="s">
        <v>234</v>
      </c>
      <c r="R2" s="100" t="s">
        <v>277</v>
      </c>
      <c r="S2" s="100" t="s">
        <v>54</v>
      </c>
      <c r="T2" s="105" t="str">
        <f>_xlfn.XLOOKUP(Tabla1[[#This Row],[Universidad]],Conversiones!$B:$B,Conversiones!$C:$C)</f>
        <v>Aston University</v>
      </c>
      <c r="U2" s="104" t="str">
        <f>_xlfn.XLOOKUP(Tabla1[[#This Row],[Universidad KPIs]],Conversiones!$C:$C,Conversiones!$E:$E)</f>
        <v>Específico</v>
      </c>
      <c r="V2" s="100" t="s">
        <v>55</v>
      </c>
      <c r="W2" s="100" t="s">
        <v>281</v>
      </c>
      <c r="X2" s="101">
        <v>43850</v>
      </c>
      <c r="Y2" s="101">
        <v>43974</v>
      </c>
      <c r="Z2" s="100">
        <v>124</v>
      </c>
    </row>
    <row r="3" spans="1:26">
      <c r="A3" s="102" t="s">
        <v>282</v>
      </c>
      <c r="B3">
        <v>201530827</v>
      </c>
      <c r="C3" t="s">
        <v>283</v>
      </c>
      <c r="D3" t="s">
        <v>284</v>
      </c>
      <c r="E3" t="s">
        <v>285</v>
      </c>
      <c r="F3" t="s">
        <v>233</v>
      </c>
      <c r="G3" t="s">
        <v>277</v>
      </c>
      <c r="J3" t="s">
        <v>278</v>
      </c>
      <c r="K3">
        <v>2020</v>
      </c>
      <c r="L3">
        <v>202010</v>
      </c>
      <c r="M3">
        <v>202010</v>
      </c>
      <c r="N3" t="s">
        <v>279</v>
      </c>
      <c r="O3" t="s">
        <v>230</v>
      </c>
      <c r="P3" t="s">
        <v>280</v>
      </c>
      <c r="Q3" t="s">
        <v>233</v>
      </c>
      <c r="R3" t="s">
        <v>277</v>
      </c>
      <c r="S3" t="s">
        <v>286</v>
      </c>
      <c r="T3" s="105" t="str">
        <f>_xlfn.XLOOKUP(Tabla1[[#This Row],[Universidad]],Conversiones!$B:$B,Conversiones!$C:$C)</f>
        <v>ESC Rouen (NEOMA)</v>
      </c>
      <c r="U3" s="105" t="str">
        <f>_xlfn.XLOOKUP(Tabla1[[#This Row],[Universidad KPIs]],Conversiones!$C:$C,Conversiones!$E:$E)</f>
        <v>Específico</v>
      </c>
      <c r="V3" t="s">
        <v>57</v>
      </c>
      <c r="W3" t="s">
        <v>281</v>
      </c>
      <c r="X3" s="2">
        <v>43850</v>
      </c>
      <c r="Y3" s="2">
        <v>43974</v>
      </c>
      <c r="Z3">
        <v>124</v>
      </c>
    </row>
    <row r="4" spans="1:26">
      <c r="A4" s="103" t="s">
        <v>287</v>
      </c>
      <c r="B4" s="1">
        <v>201632865</v>
      </c>
      <c r="C4" s="1" t="s">
        <v>288</v>
      </c>
      <c r="D4" s="1" t="s">
        <v>289</v>
      </c>
      <c r="E4" s="1" t="s">
        <v>290</v>
      </c>
      <c r="F4" s="1" t="s">
        <v>233</v>
      </c>
      <c r="G4" s="1" t="s">
        <v>277</v>
      </c>
      <c r="H4" s="1"/>
      <c r="I4" s="1"/>
      <c r="J4" s="1" t="s">
        <v>278</v>
      </c>
      <c r="K4" s="1">
        <v>2020</v>
      </c>
      <c r="L4" s="1">
        <v>202010</v>
      </c>
      <c r="M4" s="1">
        <v>202010</v>
      </c>
      <c r="N4" s="1" t="s">
        <v>279</v>
      </c>
      <c r="O4" s="1" t="s">
        <v>230</v>
      </c>
      <c r="P4" s="1" t="s">
        <v>280</v>
      </c>
      <c r="Q4" s="1" t="s">
        <v>233</v>
      </c>
      <c r="R4" s="1" t="s">
        <v>277</v>
      </c>
      <c r="S4" s="1" t="s">
        <v>96</v>
      </c>
      <c r="T4" s="105" t="str">
        <f>_xlfn.XLOOKUP(Tabla1[[#This Row],[Universidad]],Conversiones!$B:$B,Conversiones!$C:$C)</f>
        <v>McGill University</v>
      </c>
      <c r="U4" s="105" t="str">
        <f>_xlfn.XLOOKUP(Tabla1[[#This Row],[Universidad KPIs]],Conversiones!$C:$C,Conversiones!$E:$E)</f>
        <v>Específico</v>
      </c>
      <c r="V4" s="1" t="s">
        <v>74</v>
      </c>
      <c r="W4" s="1" t="s">
        <v>291</v>
      </c>
      <c r="X4" s="87">
        <v>43850</v>
      </c>
      <c r="Y4" s="87">
        <v>43974</v>
      </c>
      <c r="Z4" s="1">
        <v>124</v>
      </c>
    </row>
    <row r="5" spans="1:26">
      <c r="A5" s="102" t="s">
        <v>292</v>
      </c>
      <c r="B5">
        <v>201712092</v>
      </c>
      <c r="C5" t="s">
        <v>293</v>
      </c>
      <c r="D5" t="s">
        <v>294</v>
      </c>
      <c r="E5" t="s">
        <v>295</v>
      </c>
      <c r="F5" t="s">
        <v>233</v>
      </c>
      <c r="G5" t="s">
        <v>277</v>
      </c>
      <c r="J5" t="s">
        <v>278</v>
      </c>
      <c r="K5">
        <v>2020</v>
      </c>
      <c r="L5">
        <v>202010</v>
      </c>
      <c r="M5">
        <v>202010</v>
      </c>
      <c r="N5" t="s">
        <v>279</v>
      </c>
      <c r="O5" t="s">
        <v>230</v>
      </c>
      <c r="P5" t="s">
        <v>280</v>
      </c>
      <c r="Q5" t="s">
        <v>233</v>
      </c>
      <c r="R5" t="s">
        <v>277</v>
      </c>
      <c r="S5" t="s">
        <v>77</v>
      </c>
      <c r="T5" s="105" t="str">
        <f>_xlfn.XLOOKUP(Tabla1[[#This Row],[Universidad]],Conversiones!$B:$B,Conversiones!$C:$C)</f>
        <v>Fundação Getulio Vargas</v>
      </c>
      <c r="U5" s="105" t="str">
        <f>_xlfn.XLOOKUP(Tabla1[[#This Row],[Universidad KPIs]],Conversiones!$C:$C,Conversiones!$E:$E)</f>
        <v>Específico</v>
      </c>
      <c r="V5" t="s">
        <v>78</v>
      </c>
      <c r="W5" t="s">
        <v>296</v>
      </c>
      <c r="X5" s="2">
        <v>43850</v>
      </c>
      <c r="Y5" s="2">
        <v>43974</v>
      </c>
      <c r="Z5">
        <v>124</v>
      </c>
    </row>
    <row r="6" spans="1:26">
      <c r="A6" s="103" t="s">
        <v>297</v>
      </c>
      <c r="B6" s="1">
        <v>201533453</v>
      </c>
      <c r="C6" s="1" t="s">
        <v>298</v>
      </c>
      <c r="D6" s="1" t="s">
        <v>299</v>
      </c>
      <c r="E6" s="1" t="s">
        <v>300</v>
      </c>
      <c r="F6" s="1" t="s">
        <v>233</v>
      </c>
      <c r="G6" s="1" t="s">
        <v>277</v>
      </c>
      <c r="H6" s="1"/>
      <c r="I6" s="1"/>
      <c r="J6" s="1" t="s">
        <v>278</v>
      </c>
      <c r="K6" s="1">
        <v>2020</v>
      </c>
      <c r="L6" s="1">
        <v>202010</v>
      </c>
      <c r="M6" s="1">
        <v>202010</v>
      </c>
      <c r="N6" s="1" t="s">
        <v>279</v>
      </c>
      <c r="O6" s="1" t="s">
        <v>230</v>
      </c>
      <c r="P6" s="1" t="s">
        <v>280</v>
      </c>
      <c r="Q6" s="1" t="s">
        <v>233</v>
      </c>
      <c r="R6" s="1" t="s">
        <v>277</v>
      </c>
      <c r="S6" s="1" t="s">
        <v>124</v>
      </c>
      <c r="T6" s="105" t="str">
        <f>_xlfn.XLOOKUP(Tabla1[[#This Row],[Universidad]],Conversiones!$B:$B,Conversiones!$C:$C)</f>
        <v>University of San Diego</v>
      </c>
      <c r="U6" s="105" t="str">
        <f>_xlfn.XLOOKUP(Tabla1[[#This Row],[Universidad KPIs]],Conversiones!$C:$C,Conversiones!$E:$E)</f>
        <v>Específico</v>
      </c>
      <c r="V6" s="1" t="s">
        <v>51</v>
      </c>
      <c r="W6" s="1" t="s">
        <v>291</v>
      </c>
      <c r="X6" s="87">
        <v>43850</v>
      </c>
      <c r="Y6" s="87">
        <v>43974</v>
      </c>
      <c r="Z6" s="1">
        <v>124</v>
      </c>
    </row>
    <row r="7" spans="1:26">
      <c r="A7" s="102" t="s">
        <v>301</v>
      </c>
      <c r="B7">
        <v>201718749</v>
      </c>
      <c r="C7" t="s">
        <v>302</v>
      </c>
      <c r="D7" t="s">
        <v>303</v>
      </c>
      <c r="E7" t="s">
        <v>304</v>
      </c>
      <c r="F7" t="s">
        <v>233</v>
      </c>
      <c r="G7" t="s">
        <v>277</v>
      </c>
      <c r="J7" t="s">
        <v>278</v>
      </c>
      <c r="K7">
        <v>2020</v>
      </c>
      <c r="L7">
        <v>202010</v>
      </c>
      <c r="M7">
        <v>202010</v>
      </c>
      <c r="N7" t="s">
        <v>279</v>
      </c>
      <c r="O7" t="s">
        <v>230</v>
      </c>
      <c r="P7" t="s">
        <v>280</v>
      </c>
      <c r="Q7" t="s">
        <v>233</v>
      </c>
      <c r="R7" t="s">
        <v>277</v>
      </c>
      <c r="S7" t="s">
        <v>305</v>
      </c>
      <c r="T7" s="105" t="str">
        <f>_xlfn.XLOOKUP(Tabla1[[#This Row],[Universidad]],Conversiones!$B:$B,Conversiones!$C:$C)</f>
        <v>Catolica Lisbon Business &amp; Economics. Universidade Católica Portuguesa</v>
      </c>
      <c r="U7" s="105" t="str">
        <f>_xlfn.XLOOKUP(Tabla1[[#This Row],[Universidad KPIs]],Conversiones!$C:$C,Conversiones!$E:$E)</f>
        <v>Específico</v>
      </c>
      <c r="V7" t="s">
        <v>61</v>
      </c>
      <c r="W7" t="s">
        <v>281</v>
      </c>
      <c r="X7" s="2">
        <v>43850</v>
      </c>
      <c r="Y7" s="2">
        <v>43974</v>
      </c>
      <c r="Z7">
        <v>124</v>
      </c>
    </row>
    <row r="8" spans="1:26">
      <c r="A8" s="103" t="s">
        <v>306</v>
      </c>
      <c r="B8" s="1">
        <v>201533477</v>
      </c>
      <c r="C8" s="1" t="s">
        <v>307</v>
      </c>
      <c r="D8" s="1" t="s">
        <v>308</v>
      </c>
      <c r="E8" s="1" t="s">
        <v>309</v>
      </c>
      <c r="F8" s="1" t="s">
        <v>233</v>
      </c>
      <c r="G8" s="1" t="s">
        <v>277</v>
      </c>
      <c r="H8" s="1"/>
      <c r="I8" s="1"/>
      <c r="J8" s="1" t="s">
        <v>278</v>
      </c>
      <c r="K8" s="1">
        <v>2020</v>
      </c>
      <c r="L8" s="1">
        <v>202010</v>
      </c>
      <c r="M8" s="1">
        <v>202010</v>
      </c>
      <c r="N8" s="1" t="s">
        <v>279</v>
      </c>
      <c r="O8" s="1" t="s">
        <v>230</v>
      </c>
      <c r="P8" s="1" t="s">
        <v>280</v>
      </c>
      <c r="Q8" s="1" t="s">
        <v>233</v>
      </c>
      <c r="R8" s="1" t="s">
        <v>277</v>
      </c>
      <c r="S8" s="1" t="s">
        <v>310</v>
      </c>
      <c r="T8" s="105" t="str">
        <f>_xlfn.XLOOKUP(Tabla1[[#This Row],[Universidad]],Conversiones!$B:$B,Conversiones!$C:$C)</f>
        <v>Toulouse Business School</v>
      </c>
      <c r="U8" s="105" t="str">
        <f>_xlfn.XLOOKUP(Tabla1[[#This Row],[Universidad KPIs]],Conversiones!$C:$C,Conversiones!$E:$E)</f>
        <v>Específico</v>
      </c>
      <c r="V8" s="1" t="s">
        <v>57</v>
      </c>
      <c r="W8" s="1" t="s">
        <v>281</v>
      </c>
      <c r="X8" s="87">
        <v>43850</v>
      </c>
      <c r="Y8" s="87">
        <v>43974</v>
      </c>
      <c r="Z8" s="1">
        <v>124</v>
      </c>
    </row>
    <row r="9" spans="1:26">
      <c r="A9" s="102" t="s">
        <v>311</v>
      </c>
      <c r="B9">
        <v>201613265</v>
      </c>
      <c r="C9" t="s">
        <v>312</v>
      </c>
      <c r="D9" t="s">
        <v>313</v>
      </c>
      <c r="E9" t="s">
        <v>314</v>
      </c>
      <c r="F9" t="s">
        <v>233</v>
      </c>
      <c r="G9" t="s">
        <v>277</v>
      </c>
      <c r="J9" t="s">
        <v>278</v>
      </c>
      <c r="K9">
        <v>2020</v>
      </c>
      <c r="L9">
        <v>202010</v>
      </c>
      <c r="M9">
        <v>202010</v>
      </c>
      <c r="N9" t="s">
        <v>279</v>
      </c>
      <c r="O9" t="s">
        <v>230</v>
      </c>
      <c r="P9" t="s">
        <v>280</v>
      </c>
      <c r="Q9" t="s">
        <v>233</v>
      </c>
      <c r="R9" t="s">
        <v>277</v>
      </c>
      <c r="S9" t="s">
        <v>315</v>
      </c>
      <c r="T9" s="105" t="str">
        <f>_xlfn.XLOOKUP(Tabla1[[#This Row],[Universidad]],Conversiones!$B:$B,Conversiones!$C:$C)</f>
        <v>HEC Lausanne</v>
      </c>
      <c r="U9" s="105" t="str">
        <f>_xlfn.XLOOKUP(Tabla1[[#This Row],[Universidad KPIs]],Conversiones!$C:$C,Conversiones!$E:$E)</f>
        <v>Específico</v>
      </c>
      <c r="V9" t="s">
        <v>81</v>
      </c>
      <c r="W9" t="s">
        <v>281</v>
      </c>
      <c r="X9" s="2">
        <v>43850</v>
      </c>
      <c r="Y9" s="2">
        <v>43974</v>
      </c>
      <c r="Z9">
        <v>124</v>
      </c>
    </row>
    <row r="10" spans="1:26">
      <c r="A10" s="103" t="s">
        <v>316</v>
      </c>
      <c r="B10" s="1">
        <v>201633153</v>
      </c>
      <c r="C10" s="1" t="s">
        <v>317</v>
      </c>
      <c r="D10" s="1" t="s">
        <v>318</v>
      </c>
      <c r="E10" s="1" t="s">
        <v>319</v>
      </c>
      <c r="F10" s="1" t="s">
        <v>233</v>
      </c>
      <c r="G10" s="1" t="s">
        <v>277</v>
      </c>
      <c r="H10" s="1"/>
      <c r="I10" s="1"/>
      <c r="J10" s="1" t="s">
        <v>278</v>
      </c>
      <c r="K10" s="1">
        <v>2020</v>
      </c>
      <c r="L10" s="1">
        <v>202010</v>
      </c>
      <c r="M10" s="1">
        <v>202010</v>
      </c>
      <c r="N10" s="1" t="s">
        <v>279</v>
      </c>
      <c r="O10" s="1" t="s">
        <v>230</v>
      </c>
      <c r="P10" s="1" t="s">
        <v>280</v>
      </c>
      <c r="Q10" s="1" t="s">
        <v>233</v>
      </c>
      <c r="R10" s="1" t="s">
        <v>277</v>
      </c>
      <c r="S10" s="1" t="s">
        <v>320</v>
      </c>
      <c r="T10" s="105" t="str">
        <f>_xlfn.XLOOKUP(Tabla1[[#This Row],[Universidad]],Conversiones!$B:$B,Conversiones!$C:$C)</f>
        <v>ESADE</v>
      </c>
      <c r="U10" s="105" t="str">
        <f>_xlfn.XLOOKUP(Tabla1[[#This Row],[Universidad KPIs]],Conversiones!$C:$C,Conversiones!$E:$E)</f>
        <v>Específico</v>
      </c>
      <c r="V10" s="1" t="s">
        <v>69</v>
      </c>
      <c r="W10" s="1" t="s">
        <v>281</v>
      </c>
      <c r="X10" s="87">
        <v>43850</v>
      </c>
      <c r="Y10" s="87">
        <v>43974</v>
      </c>
      <c r="Z10" s="1">
        <v>124</v>
      </c>
    </row>
    <row r="11" spans="1:26">
      <c r="A11" s="102" t="s">
        <v>321</v>
      </c>
      <c r="B11">
        <v>201630864</v>
      </c>
      <c r="C11" t="s">
        <v>322</v>
      </c>
      <c r="D11" t="s">
        <v>323</v>
      </c>
      <c r="E11" t="s">
        <v>324</v>
      </c>
      <c r="F11" t="s">
        <v>233</v>
      </c>
      <c r="G11" t="s">
        <v>277</v>
      </c>
      <c r="J11" t="s">
        <v>278</v>
      </c>
      <c r="K11">
        <v>2020</v>
      </c>
      <c r="L11">
        <v>202010</v>
      </c>
      <c r="M11">
        <v>202010</v>
      </c>
      <c r="N11" t="s">
        <v>279</v>
      </c>
      <c r="O11" t="s">
        <v>230</v>
      </c>
      <c r="P11" t="s">
        <v>280</v>
      </c>
      <c r="Q11" t="s">
        <v>233</v>
      </c>
      <c r="R11" t="s">
        <v>277</v>
      </c>
      <c r="S11" t="s">
        <v>94</v>
      </c>
      <c r="T11" s="105" t="str">
        <f>_xlfn.XLOOKUP(Tabla1[[#This Row],[Universidad]],Conversiones!$B:$B,Conversiones!$C:$C)</f>
        <v>Maastricht University</v>
      </c>
      <c r="U11" s="105" t="str">
        <f>_xlfn.XLOOKUP(Tabla1[[#This Row],[Universidad KPIs]],Conversiones!$C:$C,Conversiones!$E:$E)</f>
        <v>Específico</v>
      </c>
      <c r="V11" t="s">
        <v>95</v>
      </c>
      <c r="W11" t="s">
        <v>281</v>
      </c>
      <c r="X11" s="2">
        <v>43850</v>
      </c>
      <c r="Y11" s="2">
        <v>43974</v>
      </c>
      <c r="Z11">
        <v>124</v>
      </c>
    </row>
    <row r="12" spans="1:26">
      <c r="A12" s="103" t="s">
        <v>325</v>
      </c>
      <c r="B12" s="1">
        <v>201613991</v>
      </c>
      <c r="C12" s="1" t="s">
        <v>326</v>
      </c>
      <c r="D12" s="1" t="s">
        <v>327</v>
      </c>
      <c r="E12" s="1" t="s">
        <v>328</v>
      </c>
      <c r="F12" s="1" t="s">
        <v>233</v>
      </c>
      <c r="G12" s="1" t="s">
        <v>277</v>
      </c>
      <c r="H12" s="1"/>
      <c r="I12" s="1"/>
      <c r="J12" s="1" t="s">
        <v>278</v>
      </c>
      <c r="K12" s="1">
        <v>2020</v>
      </c>
      <c r="L12" s="1">
        <v>202010</v>
      </c>
      <c r="M12" s="1">
        <v>202010</v>
      </c>
      <c r="N12" s="1" t="s">
        <v>279</v>
      </c>
      <c r="O12" s="1" t="s">
        <v>230</v>
      </c>
      <c r="P12" s="1" t="s">
        <v>280</v>
      </c>
      <c r="Q12" s="1" t="s">
        <v>233</v>
      </c>
      <c r="R12" s="1" t="s">
        <v>277</v>
      </c>
      <c r="S12" s="1" t="s">
        <v>329</v>
      </c>
      <c r="T12" s="105" t="str">
        <f>_xlfn.XLOOKUP(Tabla1[[#This Row],[Universidad]],Conversiones!$B:$B,Conversiones!$C:$C)</f>
        <v>ESSEC</v>
      </c>
      <c r="U12" s="105" t="str">
        <f>_xlfn.XLOOKUP(Tabla1[[#This Row],[Universidad KPIs]],Conversiones!$C:$C,Conversiones!$E:$E)</f>
        <v>Específico</v>
      </c>
      <c r="V12" s="1" t="s">
        <v>57</v>
      </c>
      <c r="W12" s="1" t="s">
        <v>281</v>
      </c>
      <c r="X12" s="87">
        <v>43850</v>
      </c>
      <c r="Y12" s="87">
        <v>43974</v>
      </c>
      <c r="Z12" s="1">
        <v>124</v>
      </c>
    </row>
    <row r="13" spans="1:26">
      <c r="A13" s="102" t="s">
        <v>330</v>
      </c>
      <c r="B13">
        <v>201710974</v>
      </c>
      <c r="C13" t="s">
        <v>331</v>
      </c>
      <c r="D13" t="s">
        <v>332</v>
      </c>
      <c r="E13" t="s">
        <v>333</v>
      </c>
      <c r="F13" t="s">
        <v>233</v>
      </c>
      <c r="G13" t="s">
        <v>277</v>
      </c>
      <c r="J13" t="s">
        <v>278</v>
      </c>
      <c r="K13">
        <v>2020</v>
      </c>
      <c r="L13">
        <v>202010</v>
      </c>
      <c r="M13">
        <v>202010</v>
      </c>
      <c r="N13" t="s">
        <v>279</v>
      </c>
      <c r="O13" t="s">
        <v>230</v>
      </c>
      <c r="P13" t="s">
        <v>280</v>
      </c>
      <c r="Q13" t="s">
        <v>233</v>
      </c>
      <c r="R13" t="s">
        <v>277</v>
      </c>
      <c r="S13" t="s">
        <v>94</v>
      </c>
      <c r="T13" s="105" t="str">
        <f>_xlfn.XLOOKUP(Tabla1[[#This Row],[Universidad]],Conversiones!$B:$B,Conversiones!$C:$C)</f>
        <v>Maastricht University</v>
      </c>
      <c r="U13" s="105" t="str">
        <f>_xlfn.XLOOKUP(Tabla1[[#This Row],[Universidad KPIs]],Conversiones!$C:$C,Conversiones!$E:$E)</f>
        <v>Específico</v>
      </c>
      <c r="V13" t="s">
        <v>95</v>
      </c>
      <c r="W13" t="s">
        <v>281</v>
      </c>
      <c r="X13" s="2">
        <v>43850</v>
      </c>
      <c r="Y13" s="2">
        <v>43974</v>
      </c>
      <c r="Z13">
        <v>124</v>
      </c>
    </row>
    <row r="14" spans="1:26">
      <c r="A14" s="103" t="s">
        <v>334</v>
      </c>
      <c r="B14" s="1">
        <v>201533599</v>
      </c>
      <c r="C14" s="1" t="s">
        <v>335</v>
      </c>
      <c r="D14" s="1" t="s">
        <v>336</v>
      </c>
      <c r="E14" s="1" t="s">
        <v>337</v>
      </c>
      <c r="F14" s="1" t="s">
        <v>233</v>
      </c>
      <c r="G14" s="1" t="s">
        <v>277</v>
      </c>
      <c r="H14" s="1"/>
      <c r="I14" s="1"/>
      <c r="J14" s="1" t="s">
        <v>278</v>
      </c>
      <c r="K14" s="1">
        <v>2020</v>
      </c>
      <c r="L14" s="1">
        <v>202010</v>
      </c>
      <c r="M14" s="1">
        <v>202010</v>
      </c>
      <c r="N14" s="1" t="s">
        <v>279</v>
      </c>
      <c r="O14" s="1" t="s">
        <v>230</v>
      </c>
      <c r="P14" s="1" t="s">
        <v>280</v>
      </c>
      <c r="Q14" s="1" t="s">
        <v>233</v>
      </c>
      <c r="R14" s="1" t="s">
        <v>277</v>
      </c>
      <c r="S14" s="1" t="s">
        <v>338</v>
      </c>
      <c r="T14" s="105" t="str">
        <f>_xlfn.XLOOKUP(Tabla1[[#This Row],[Universidad]],Conversiones!$B:$B,Conversiones!$C:$C)</f>
        <v>University of Mannheim Business School</v>
      </c>
      <c r="U14" s="105" t="str">
        <f>_xlfn.XLOOKUP(Tabla1[[#This Row],[Universidad KPIs]],Conversiones!$C:$C,Conversiones!$E:$E)</f>
        <v>Específico</v>
      </c>
      <c r="V14" s="1" t="s">
        <v>76</v>
      </c>
      <c r="W14" s="1" t="s">
        <v>281</v>
      </c>
      <c r="X14" s="87">
        <v>43850</v>
      </c>
      <c r="Y14" s="87">
        <v>43974</v>
      </c>
      <c r="Z14" s="1">
        <v>124</v>
      </c>
    </row>
    <row r="15" spans="1:26">
      <c r="A15" s="102" t="s">
        <v>339</v>
      </c>
      <c r="B15">
        <v>201530055</v>
      </c>
      <c r="C15" t="s">
        <v>340</v>
      </c>
      <c r="D15" t="s">
        <v>341</v>
      </c>
      <c r="E15" t="s">
        <v>342</v>
      </c>
      <c r="F15" t="s">
        <v>234</v>
      </c>
      <c r="G15" t="s">
        <v>277</v>
      </c>
      <c r="J15" t="s">
        <v>278</v>
      </c>
      <c r="K15">
        <v>2020</v>
      </c>
      <c r="L15">
        <v>202010</v>
      </c>
      <c r="M15">
        <v>202010</v>
      </c>
      <c r="N15" t="s">
        <v>279</v>
      </c>
      <c r="O15" t="s">
        <v>230</v>
      </c>
      <c r="P15" t="s">
        <v>280</v>
      </c>
      <c r="Q15" t="s">
        <v>234</v>
      </c>
      <c r="R15" t="s">
        <v>277</v>
      </c>
      <c r="S15" t="s">
        <v>94</v>
      </c>
      <c r="T15" s="105" t="str">
        <f>_xlfn.XLOOKUP(Tabla1[[#This Row],[Universidad]],Conversiones!$B:$B,Conversiones!$C:$C)</f>
        <v>Maastricht University</v>
      </c>
      <c r="U15" s="105" t="str">
        <f>_xlfn.XLOOKUP(Tabla1[[#This Row],[Universidad KPIs]],Conversiones!$C:$C,Conversiones!$E:$E)</f>
        <v>Específico</v>
      </c>
      <c r="V15" t="s">
        <v>95</v>
      </c>
      <c r="W15" t="s">
        <v>281</v>
      </c>
      <c r="X15" s="2">
        <v>43850</v>
      </c>
      <c r="Y15" s="2">
        <v>43974</v>
      </c>
      <c r="Z15">
        <v>124</v>
      </c>
    </row>
    <row r="16" spans="1:26">
      <c r="A16" s="103" t="s">
        <v>343</v>
      </c>
      <c r="B16" s="1">
        <v>201632828</v>
      </c>
      <c r="C16" s="1" t="s">
        <v>344</v>
      </c>
      <c r="D16" s="1" t="s">
        <v>345</v>
      </c>
      <c r="E16" s="1" t="s">
        <v>346</v>
      </c>
      <c r="F16" s="1" t="s">
        <v>233</v>
      </c>
      <c r="G16" s="1" t="s">
        <v>277</v>
      </c>
      <c r="H16" s="1"/>
      <c r="I16" s="1"/>
      <c r="J16" s="1" t="s">
        <v>278</v>
      </c>
      <c r="K16" s="1">
        <v>2020</v>
      </c>
      <c r="L16" s="1">
        <v>202010</v>
      </c>
      <c r="M16" s="1">
        <v>202010</v>
      </c>
      <c r="N16" s="1" t="s">
        <v>279</v>
      </c>
      <c r="O16" s="1" t="s">
        <v>230</v>
      </c>
      <c r="P16" s="1" t="s">
        <v>280</v>
      </c>
      <c r="Q16" s="1" t="s">
        <v>233</v>
      </c>
      <c r="R16" s="1" t="s">
        <v>277</v>
      </c>
      <c r="S16" s="1" t="s">
        <v>310</v>
      </c>
      <c r="T16" s="105" t="str">
        <f>_xlfn.XLOOKUP(Tabla1[[#This Row],[Universidad]],Conversiones!$B:$B,Conversiones!$C:$C)</f>
        <v>Toulouse Business School</v>
      </c>
      <c r="U16" s="105" t="str">
        <f>_xlfn.XLOOKUP(Tabla1[[#This Row],[Universidad KPIs]],Conversiones!$C:$C,Conversiones!$E:$E)</f>
        <v>Específico</v>
      </c>
      <c r="V16" s="1" t="s">
        <v>57</v>
      </c>
      <c r="W16" s="1" t="s">
        <v>281</v>
      </c>
      <c r="X16" s="87">
        <v>43850</v>
      </c>
      <c r="Y16" s="87">
        <v>43974</v>
      </c>
      <c r="Z16" s="1">
        <v>124</v>
      </c>
    </row>
    <row r="17" spans="1:26">
      <c r="A17" s="102" t="s">
        <v>347</v>
      </c>
      <c r="B17">
        <v>201631141</v>
      </c>
      <c r="C17" t="s">
        <v>348</v>
      </c>
      <c r="D17" t="s">
        <v>349</v>
      </c>
      <c r="E17" t="s">
        <v>350</v>
      </c>
      <c r="F17" t="s">
        <v>233</v>
      </c>
      <c r="G17" t="s">
        <v>277</v>
      </c>
      <c r="J17" t="s">
        <v>278</v>
      </c>
      <c r="K17">
        <v>2020</v>
      </c>
      <c r="L17">
        <v>202010</v>
      </c>
      <c r="M17">
        <v>202010</v>
      </c>
      <c r="N17" t="s">
        <v>279</v>
      </c>
      <c r="O17" t="s">
        <v>230</v>
      </c>
      <c r="P17" t="s">
        <v>280</v>
      </c>
      <c r="Q17" t="s">
        <v>233</v>
      </c>
      <c r="R17" t="s">
        <v>277</v>
      </c>
      <c r="S17" t="s">
        <v>351</v>
      </c>
      <c r="T17" s="105" t="str">
        <f>_xlfn.XLOOKUP(Tabla1[[#This Row],[Universidad]],Conversiones!$B:$B,Conversiones!$C:$C)</f>
        <v>KLU Kühne Logistics University</v>
      </c>
      <c r="U17" s="105" t="str">
        <f>_xlfn.XLOOKUP(Tabla1[[#This Row],[Universidad KPIs]],Conversiones!$C:$C,Conversiones!$E:$E)</f>
        <v>Específico</v>
      </c>
      <c r="V17" t="s">
        <v>76</v>
      </c>
      <c r="W17" t="s">
        <v>281</v>
      </c>
      <c r="X17" s="2">
        <v>43850</v>
      </c>
      <c r="Y17" s="2">
        <v>43974</v>
      </c>
      <c r="Z17">
        <v>124</v>
      </c>
    </row>
    <row r="18" spans="1:26">
      <c r="A18" s="103" t="s">
        <v>352</v>
      </c>
      <c r="B18" s="1">
        <v>201533692</v>
      </c>
      <c r="C18" s="1" t="s">
        <v>353</v>
      </c>
      <c r="D18" s="1" t="s">
        <v>354</v>
      </c>
      <c r="E18" s="1" t="s">
        <v>355</v>
      </c>
      <c r="F18" s="1" t="s">
        <v>233</v>
      </c>
      <c r="G18" s="1" t="s">
        <v>277</v>
      </c>
      <c r="H18" s="1"/>
      <c r="I18" s="1"/>
      <c r="J18" s="1" t="s">
        <v>278</v>
      </c>
      <c r="K18" s="1">
        <v>2020</v>
      </c>
      <c r="L18" s="1">
        <v>202010</v>
      </c>
      <c r="M18" s="1">
        <v>202010</v>
      </c>
      <c r="N18" s="1" t="s">
        <v>279</v>
      </c>
      <c r="O18" s="1" t="s">
        <v>230</v>
      </c>
      <c r="P18" s="1" t="s">
        <v>280</v>
      </c>
      <c r="Q18" s="1" t="s">
        <v>233</v>
      </c>
      <c r="R18" s="1" t="s">
        <v>277</v>
      </c>
      <c r="S18" s="1" t="s">
        <v>356</v>
      </c>
      <c r="T18" s="105" t="str">
        <f>_xlfn.XLOOKUP(Tabla1[[#This Row],[Universidad]],Conversiones!$B:$B,Conversiones!$C:$C)</f>
        <v>Università Commerciale Luigi Bocconi</v>
      </c>
      <c r="U18" s="105" t="str">
        <f>_xlfn.XLOOKUP(Tabla1[[#This Row],[Universidad KPIs]],Conversiones!$C:$C,Conversiones!$E:$E)</f>
        <v>Específico</v>
      </c>
      <c r="V18" s="1" t="s">
        <v>103</v>
      </c>
      <c r="W18" s="1" t="s">
        <v>281</v>
      </c>
      <c r="X18" s="87">
        <v>43850</v>
      </c>
      <c r="Y18" s="87">
        <v>43974</v>
      </c>
      <c r="Z18" s="1">
        <v>124</v>
      </c>
    </row>
    <row r="19" spans="1:26">
      <c r="A19" s="102" t="s">
        <v>357</v>
      </c>
      <c r="B19">
        <v>201713178</v>
      </c>
      <c r="C19" t="s">
        <v>358</v>
      </c>
      <c r="D19" t="s">
        <v>359</v>
      </c>
      <c r="E19" t="s">
        <v>360</v>
      </c>
      <c r="F19" t="s">
        <v>233</v>
      </c>
      <c r="G19" t="s">
        <v>277</v>
      </c>
      <c r="J19" t="s">
        <v>278</v>
      </c>
      <c r="K19">
        <v>2020</v>
      </c>
      <c r="L19">
        <v>202010</v>
      </c>
      <c r="M19">
        <v>202010</v>
      </c>
      <c r="N19" t="s">
        <v>279</v>
      </c>
      <c r="O19" t="s">
        <v>230</v>
      </c>
      <c r="P19" t="s">
        <v>280</v>
      </c>
      <c r="Q19" t="s">
        <v>233</v>
      </c>
      <c r="R19" t="s">
        <v>277</v>
      </c>
      <c r="S19" t="s">
        <v>361</v>
      </c>
      <c r="T19" s="105" t="str">
        <f>_xlfn.XLOOKUP(Tabla1[[#This Row],[Universidad]],Conversiones!$B:$B,Conversiones!$C:$C)</f>
        <v>ITAM - Instituto Tecnológico Autónomo de México</v>
      </c>
      <c r="U19" s="105" t="str">
        <f>_xlfn.XLOOKUP(Tabla1[[#This Row],[Universidad KPIs]],Conversiones!$C:$C,Conversiones!$E:$E)</f>
        <v>Específico</v>
      </c>
      <c r="V19" t="s">
        <v>87</v>
      </c>
      <c r="W19" t="s">
        <v>291</v>
      </c>
      <c r="X19" s="2">
        <v>43850</v>
      </c>
      <c r="Y19" s="2">
        <v>43974</v>
      </c>
      <c r="Z19">
        <v>124</v>
      </c>
    </row>
    <row r="20" spans="1:26">
      <c r="A20" s="103" t="s">
        <v>362</v>
      </c>
      <c r="B20" s="1">
        <v>201614626</v>
      </c>
      <c r="C20" s="1" t="s">
        <v>363</v>
      </c>
      <c r="D20" s="1" t="s">
        <v>364</v>
      </c>
      <c r="E20" s="1" t="s">
        <v>365</v>
      </c>
      <c r="F20" s="1" t="s">
        <v>233</v>
      </c>
      <c r="G20" s="1" t="s">
        <v>277</v>
      </c>
      <c r="H20" s="1"/>
      <c r="I20" s="1"/>
      <c r="J20" s="1" t="s">
        <v>278</v>
      </c>
      <c r="K20" s="1">
        <v>2020</v>
      </c>
      <c r="L20" s="1">
        <v>202010</v>
      </c>
      <c r="M20" s="1">
        <v>202010</v>
      </c>
      <c r="N20" s="1" t="s">
        <v>279</v>
      </c>
      <c r="O20" s="1" t="s">
        <v>230</v>
      </c>
      <c r="P20" s="1" t="s">
        <v>280</v>
      </c>
      <c r="Q20" s="1" t="s">
        <v>233</v>
      </c>
      <c r="R20" s="1" t="s">
        <v>277</v>
      </c>
      <c r="S20" s="1" t="s">
        <v>366</v>
      </c>
      <c r="T20" s="105" t="str">
        <f>_xlfn.XLOOKUP(Tabla1[[#This Row],[Universidad]],Conversiones!$B:$B,Conversiones!$C:$C)</f>
        <v>HEC Montréal</v>
      </c>
      <c r="U20" s="105" t="str">
        <f>_xlfn.XLOOKUP(Tabla1[[#This Row],[Universidad KPIs]],Conversiones!$C:$C,Conversiones!$E:$E)</f>
        <v>Específico</v>
      </c>
      <c r="V20" s="1" t="s">
        <v>74</v>
      </c>
      <c r="W20" s="1" t="s">
        <v>291</v>
      </c>
      <c r="X20" s="87">
        <v>43850</v>
      </c>
      <c r="Y20" s="87">
        <v>43974</v>
      </c>
      <c r="Z20" s="1">
        <v>124</v>
      </c>
    </row>
    <row r="21" spans="1:26">
      <c r="A21" s="102" t="s">
        <v>367</v>
      </c>
      <c r="B21">
        <v>201533170</v>
      </c>
      <c r="C21" t="s">
        <v>368</v>
      </c>
      <c r="D21" t="s">
        <v>369</v>
      </c>
      <c r="E21" t="s">
        <v>370</v>
      </c>
      <c r="F21" t="s">
        <v>233</v>
      </c>
      <c r="G21" t="s">
        <v>277</v>
      </c>
      <c r="J21" t="s">
        <v>278</v>
      </c>
      <c r="K21">
        <v>2020</v>
      </c>
      <c r="L21">
        <v>202010</v>
      </c>
      <c r="M21">
        <v>202010</v>
      </c>
      <c r="N21" t="s">
        <v>279</v>
      </c>
      <c r="O21" t="s">
        <v>231</v>
      </c>
      <c r="P21" t="s">
        <v>371</v>
      </c>
      <c r="Q21" t="s">
        <v>233</v>
      </c>
      <c r="R21" t="s">
        <v>277</v>
      </c>
      <c r="S21" t="s">
        <v>372</v>
      </c>
      <c r="T21" s="105" t="str">
        <f>_xlfn.XLOOKUP(Tabla1[[#This Row],[Universidad]],Conversiones!$B:$B,Conversiones!$C:$C)</f>
        <v>A.B. Freeman School of Business, Tulane University</v>
      </c>
      <c r="U21" s="105" t="str">
        <f>_xlfn.XLOOKUP(Tabla1[[#This Row],[Universidad KPIs]],Conversiones!$C:$C,Conversiones!$E:$E)</f>
        <v>Específico</v>
      </c>
      <c r="V21" t="s">
        <v>51</v>
      </c>
      <c r="W21" t="s">
        <v>291</v>
      </c>
      <c r="X21" s="2">
        <v>43850</v>
      </c>
      <c r="Y21" s="2">
        <v>43974</v>
      </c>
      <c r="Z21">
        <v>124</v>
      </c>
    </row>
    <row r="22" spans="1:26">
      <c r="A22" s="103" t="s">
        <v>373</v>
      </c>
      <c r="B22" s="1">
        <v>201626135</v>
      </c>
      <c r="C22" s="1" t="s">
        <v>374</v>
      </c>
      <c r="D22" s="1" t="s">
        <v>375</v>
      </c>
      <c r="E22" s="1" t="s">
        <v>376</v>
      </c>
      <c r="F22" s="1" t="s">
        <v>234</v>
      </c>
      <c r="G22" s="1" t="s">
        <v>277</v>
      </c>
      <c r="H22" s="1"/>
      <c r="I22" s="1"/>
      <c r="J22" s="1" t="s">
        <v>278</v>
      </c>
      <c r="K22" s="1">
        <v>2020</v>
      </c>
      <c r="L22" s="1">
        <v>202010</v>
      </c>
      <c r="M22" s="1">
        <v>202010</v>
      </c>
      <c r="N22" s="1" t="s">
        <v>279</v>
      </c>
      <c r="O22" s="1" t="s">
        <v>230</v>
      </c>
      <c r="P22" s="1" t="s">
        <v>280</v>
      </c>
      <c r="Q22" s="1" t="s">
        <v>234</v>
      </c>
      <c r="R22" s="1" t="s">
        <v>277</v>
      </c>
      <c r="S22" s="1" t="s">
        <v>94</v>
      </c>
      <c r="T22" s="105" t="str">
        <f>_xlfn.XLOOKUP(Tabla1[[#This Row],[Universidad]],Conversiones!$B:$B,Conversiones!$C:$C)</f>
        <v>Maastricht University</v>
      </c>
      <c r="U22" s="105" t="str">
        <f>_xlfn.XLOOKUP(Tabla1[[#This Row],[Universidad KPIs]],Conversiones!$C:$C,Conversiones!$E:$E)</f>
        <v>Específico</v>
      </c>
      <c r="V22" s="1" t="s">
        <v>95</v>
      </c>
      <c r="W22" s="1" t="s">
        <v>281</v>
      </c>
      <c r="X22" s="87">
        <v>43850</v>
      </c>
      <c r="Y22" s="87">
        <v>43974</v>
      </c>
      <c r="Z22" s="1">
        <v>124</v>
      </c>
    </row>
    <row r="23" spans="1:26">
      <c r="A23" s="102" t="s">
        <v>377</v>
      </c>
      <c r="B23">
        <v>201516640</v>
      </c>
      <c r="C23" t="s">
        <v>378</v>
      </c>
      <c r="D23" t="s">
        <v>379</v>
      </c>
      <c r="E23" t="s">
        <v>380</v>
      </c>
      <c r="F23" t="s">
        <v>233</v>
      </c>
      <c r="G23" t="s">
        <v>277</v>
      </c>
      <c r="J23" t="s">
        <v>278</v>
      </c>
      <c r="K23">
        <v>2020</v>
      </c>
      <c r="L23">
        <v>202010</v>
      </c>
      <c r="M23">
        <v>202010</v>
      </c>
      <c r="N23" t="s">
        <v>279</v>
      </c>
      <c r="O23" t="s">
        <v>230</v>
      </c>
      <c r="P23" t="s">
        <v>280</v>
      </c>
      <c r="Q23" t="s">
        <v>233</v>
      </c>
      <c r="R23" t="s">
        <v>277</v>
      </c>
      <c r="S23" t="s">
        <v>381</v>
      </c>
      <c r="T23" s="105" t="str">
        <f>_xlfn.XLOOKUP(Tabla1[[#This Row],[Universidad]],Conversiones!$B:$B,Conversiones!$C:$C)</f>
        <v>Audencia. École de Management</v>
      </c>
      <c r="U23" s="105" t="str">
        <f>_xlfn.XLOOKUP(Tabla1[[#This Row],[Universidad KPIs]],Conversiones!$C:$C,Conversiones!$E:$E)</f>
        <v>Específico</v>
      </c>
      <c r="V23" t="s">
        <v>57</v>
      </c>
      <c r="W23" t="s">
        <v>281</v>
      </c>
      <c r="X23" s="2">
        <v>43850</v>
      </c>
      <c r="Y23" s="2">
        <v>43974</v>
      </c>
      <c r="Z23">
        <v>124</v>
      </c>
    </row>
    <row r="24" spans="1:26">
      <c r="A24" s="103" t="s">
        <v>382</v>
      </c>
      <c r="B24" s="1">
        <v>201614932</v>
      </c>
      <c r="C24" s="1" t="s">
        <v>326</v>
      </c>
      <c r="D24" s="1" t="s">
        <v>383</v>
      </c>
      <c r="E24" s="1" t="s">
        <v>384</v>
      </c>
      <c r="F24" s="1" t="s">
        <v>233</v>
      </c>
      <c r="G24" s="1" t="s">
        <v>277</v>
      </c>
      <c r="H24" s="1"/>
      <c r="I24" s="1"/>
      <c r="J24" s="1" t="s">
        <v>278</v>
      </c>
      <c r="K24" s="1">
        <v>2020</v>
      </c>
      <c r="L24" s="1">
        <v>202010</v>
      </c>
      <c r="M24" s="1">
        <v>202010</v>
      </c>
      <c r="N24" s="1" t="s">
        <v>279</v>
      </c>
      <c r="O24" s="1" t="s">
        <v>230</v>
      </c>
      <c r="P24" s="1" t="s">
        <v>280</v>
      </c>
      <c r="Q24" s="1" t="s">
        <v>233</v>
      </c>
      <c r="R24" s="1" t="s">
        <v>277</v>
      </c>
      <c r="S24" s="1" t="s">
        <v>120</v>
      </c>
      <c r="T24" s="105" t="str">
        <f>_xlfn.XLOOKUP(Tabla1[[#This Row],[Universidad]],Conversiones!$B:$B,Conversiones!$C:$C)</f>
        <v>University of Melbourne</v>
      </c>
      <c r="U24" s="105" t="str">
        <f>_xlfn.XLOOKUP(Tabla1[[#This Row],[Universidad KPIs]],Conversiones!$C:$C,Conversiones!$E:$E)</f>
        <v>Específico</v>
      </c>
      <c r="V24" s="1" t="s">
        <v>106</v>
      </c>
      <c r="W24" s="1" t="s">
        <v>385</v>
      </c>
      <c r="X24" s="87">
        <v>43850</v>
      </c>
      <c r="Y24" s="87">
        <v>43974</v>
      </c>
      <c r="Z24" s="1">
        <v>124</v>
      </c>
    </row>
    <row r="25" spans="1:26">
      <c r="A25" s="102" t="s">
        <v>386</v>
      </c>
      <c r="B25">
        <v>201631419</v>
      </c>
      <c r="C25" t="s">
        <v>317</v>
      </c>
      <c r="D25" t="s">
        <v>387</v>
      </c>
      <c r="E25" t="s">
        <v>388</v>
      </c>
      <c r="F25" t="s">
        <v>233</v>
      </c>
      <c r="G25" t="s">
        <v>277</v>
      </c>
      <c r="J25" t="s">
        <v>278</v>
      </c>
      <c r="K25">
        <v>2020</v>
      </c>
      <c r="L25">
        <v>202010</v>
      </c>
      <c r="M25">
        <v>202010</v>
      </c>
      <c r="N25" t="s">
        <v>279</v>
      </c>
      <c r="O25" t="s">
        <v>230</v>
      </c>
      <c r="P25" t="s">
        <v>280</v>
      </c>
      <c r="Q25" t="s">
        <v>233</v>
      </c>
      <c r="R25" t="s">
        <v>277</v>
      </c>
      <c r="S25" t="s">
        <v>372</v>
      </c>
      <c r="T25" s="105" t="str">
        <f>_xlfn.XLOOKUP(Tabla1[[#This Row],[Universidad]],Conversiones!$B:$B,Conversiones!$C:$C)</f>
        <v>A.B. Freeman School of Business, Tulane University</v>
      </c>
      <c r="U25" s="105" t="str">
        <f>_xlfn.XLOOKUP(Tabla1[[#This Row],[Universidad KPIs]],Conversiones!$C:$C,Conversiones!$E:$E)</f>
        <v>Específico</v>
      </c>
      <c r="V25" t="s">
        <v>51</v>
      </c>
      <c r="W25" t="s">
        <v>291</v>
      </c>
      <c r="X25" s="2">
        <v>43850</v>
      </c>
      <c r="Y25" s="2">
        <v>43974</v>
      </c>
      <c r="Z25">
        <v>124</v>
      </c>
    </row>
    <row r="26" spans="1:26">
      <c r="A26" s="103" t="s">
        <v>389</v>
      </c>
      <c r="B26" s="1">
        <v>201632657</v>
      </c>
      <c r="C26" s="1" t="s">
        <v>390</v>
      </c>
      <c r="D26" s="1" t="s">
        <v>391</v>
      </c>
      <c r="E26" s="1" t="s">
        <v>392</v>
      </c>
      <c r="F26" s="1" t="s">
        <v>233</v>
      </c>
      <c r="G26" s="1" t="s">
        <v>277</v>
      </c>
      <c r="H26" s="1"/>
      <c r="I26" s="1"/>
      <c r="J26" s="1" t="s">
        <v>278</v>
      </c>
      <c r="K26" s="1">
        <v>2020</v>
      </c>
      <c r="L26" s="1">
        <v>202010</v>
      </c>
      <c r="M26" s="1">
        <v>202010</v>
      </c>
      <c r="N26" s="1" t="s">
        <v>279</v>
      </c>
      <c r="O26" s="1" t="s">
        <v>230</v>
      </c>
      <c r="P26" s="1" t="s">
        <v>280</v>
      </c>
      <c r="Q26" s="1" t="s">
        <v>233</v>
      </c>
      <c r="R26" s="1" t="s">
        <v>277</v>
      </c>
      <c r="S26" s="1" t="s">
        <v>393</v>
      </c>
      <c r="T26" s="105" t="str">
        <f>_xlfn.XLOOKUP(Tabla1[[#This Row],[Universidad]],Conversiones!$B:$B,Conversiones!$C:$C)</f>
        <v>Frankfurt School of Finance and Management</v>
      </c>
      <c r="U26" s="105" t="str">
        <f>_xlfn.XLOOKUP(Tabla1[[#This Row],[Universidad KPIs]],Conversiones!$C:$C,Conversiones!$E:$E)</f>
        <v>Específico</v>
      </c>
      <c r="V26" s="1" t="s">
        <v>76</v>
      </c>
      <c r="W26" s="1" t="s">
        <v>281</v>
      </c>
      <c r="X26" s="87">
        <v>43850</v>
      </c>
      <c r="Y26" s="87">
        <v>43974</v>
      </c>
      <c r="Z26" s="1">
        <v>124</v>
      </c>
    </row>
    <row r="27" spans="1:26">
      <c r="A27" s="102" t="s">
        <v>394</v>
      </c>
      <c r="B27">
        <v>201633208</v>
      </c>
      <c r="C27" t="s">
        <v>395</v>
      </c>
      <c r="D27" t="s">
        <v>396</v>
      </c>
      <c r="E27" t="s">
        <v>397</v>
      </c>
      <c r="F27" t="s">
        <v>233</v>
      </c>
      <c r="G27" t="s">
        <v>277</v>
      </c>
      <c r="J27" t="s">
        <v>278</v>
      </c>
      <c r="K27">
        <v>2020</v>
      </c>
      <c r="L27">
        <v>202010</v>
      </c>
      <c r="M27">
        <v>202010</v>
      </c>
      <c r="N27" t="s">
        <v>279</v>
      </c>
      <c r="O27" t="s">
        <v>230</v>
      </c>
      <c r="P27" t="s">
        <v>280</v>
      </c>
      <c r="Q27" t="s">
        <v>233</v>
      </c>
      <c r="R27" t="s">
        <v>277</v>
      </c>
      <c r="S27" t="s">
        <v>310</v>
      </c>
      <c r="T27" s="105" t="str">
        <f>_xlfn.XLOOKUP(Tabla1[[#This Row],[Universidad]],Conversiones!$B:$B,Conversiones!$C:$C)</f>
        <v>Toulouse Business School</v>
      </c>
      <c r="U27" s="105" t="str">
        <f>_xlfn.XLOOKUP(Tabla1[[#This Row],[Universidad KPIs]],Conversiones!$C:$C,Conversiones!$E:$E)</f>
        <v>Específico</v>
      </c>
      <c r="V27" t="s">
        <v>57</v>
      </c>
      <c r="W27" t="s">
        <v>281</v>
      </c>
      <c r="X27" s="2">
        <v>43850</v>
      </c>
      <c r="Y27" s="2">
        <v>43974</v>
      </c>
      <c r="Z27">
        <v>124</v>
      </c>
    </row>
    <row r="28" spans="1:26">
      <c r="A28" s="103" t="s">
        <v>398</v>
      </c>
      <c r="B28" s="1">
        <v>201731261</v>
      </c>
      <c r="C28" s="1" t="s">
        <v>288</v>
      </c>
      <c r="D28" s="1" t="s">
        <v>399</v>
      </c>
      <c r="E28" s="1" t="s">
        <v>400</v>
      </c>
      <c r="F28" s="1" t="s">
        <v>233</v>
      </c>
      <c r="G28" s="1" t="s">
        <v>277</v>
      </c>
      <c r="H28" s="1"/>
      <c r="I28" s="1"/>
      <c r="J28" s="1" t="s">
        <v>278</v>
      </c>
      <c r="K28" s="1">
        <v>2020</v>
      </c>
      <c r="L28" s="1">
        <v>202010</v>
      </c>
      <c r="M28" s="1">
        <v>202010</v>
      </c>
      <c r="N28" s="1" t="s">
        <v>279</v>
      </c>
      <c r="O28" s="1" t="s">
        <v>230</v>
      </c>
      <c r="P28" s="1" t="s">
        <v>280</v>
      </c>
      <c r="Q28" s="1" t="s">
        <v>233</v>
      </c>
      <c r="R28" s="1" t="s">
        <v>277</v>
      </c>
      <c r="S28" s="1" t="s">
        <v>94</v>
      </c>
      <c r="T28" s="105" t="str">
        <f>_xlfn.XLOOKUP(Tabla1[[#This Row],[Universidad]],Conversiones!$B:$B,Conversiones!$C:$C)</f>
        <v>Maastricht University</v>
      </c>
      <c r="U28" s="105" t="str">
        <f>_xlfn.XLOOKUP(Tabla1[[#This Row],[Universidad KPIs]],Conversiones!$C:$C,Conversiones!$E:$E)</f>
        <v>Específico</v>
      </c>
      <c r="V28" s="1" t="s">
        <v>95</v>
      </c>
      <c r="W28" s="1" t="s">
        <v>281</v>
      </c>
      <c r="X28" s="87">
        <v>43850</v>
      </c>
      <c r="Y28" s="87">
        <v>43974</v>
      </c>
      <c r="Z28" s="1">
        <v>124</v>
      </c>
    </row>
    <row r="29" spans="1:26">
      <c r="A29" s="102" t="s">
        <v>401</v>
      </c>
      <c r="B29">
        <v>201415122</v>
      </c>
      <c r="C29" t="s">
        <v>402</v>
      </c>
      <c r="D29" t="s">
        <v>403</v>
      </c>
      <c r="E29" t="s">
        <v>404</v>
      </c>
      <c r="F29" t="s">
        <v>233</v>
      </c>
      <c r="G29" t="s">
        <v>277</v>
      </c>
      <c r="J29" t="s">
        <v>278</v>
      </c>
      <c r="K29">
        <v>2020</v>
      </c>
      <c r="L29">
        <v>202010</v>
      </c>
      <c r="M29">
        <v>202010</v>
      </c>
      <c r="N29" t="s">
        <v>279</v>
      </c>
      <c r="O29" t="s">
        <v>230</v>
      </c>
      <c r="P29" t="s">
        <v>280</v>
      </c>
      <c r="Q29" t="s">
        <v>233</v>
      </c>
      <c r="R29" t="s">
        <v>277</v>
      </c>
      <c r="S29" t="s">
        <v>405</v>
      </c>
      <c r="T29" s="105" t="str">
        <f>_xlfn.XLOOKUP(Tabla1[[#This Row],[Universidad]],Conversiones!$B:$B,Conversiones!$C:$C)</f>
        <v>University of Ljubljana</v>
      </c>
      <c r="U29" s="105" t="str">
        <f>_xlfn.XLOOKUP(Tabla1[[#This Row],[Universidad KPIs]],Conversiones!$C:$C,Conversiones!$E:$E)</f>
        <v>Específico</v>
      </c>
      <c r="V29" t="s">
        <v>118</v>
      </c>
      <c r="W29" t="s">
        <v>281</v>
      </c>
      <c r="X29" s="2">
        <v>43850</v>
      </c>
      <c r="Y29" s="2">
        <v>43974</v>
      </c>
      <c r="Z29">
        <v>124</v>
      </c>
    </row>
    <row r="30" spans="1:26">
      <c r="A30" s="103" t="s">
        <v>406</v>
      </c>
      <c r="B30" s="1">
        <v>201631699</v>
      </c>
      <c r="C30" s="1" t="s">
        <v>407</v>
      </c>
      <c r="D30" s="1" t="s">
        <v>408</v>
      </c>
      <c r="E30" s="1" t="s">
        <v>409</v>
      </c>
      <c r="F30" s="1" t="s">
        <v>233</v>
      </c>
      <c r="G30" s="1" t="s">
        <v>277</v>
      </c>
      <c r="H30" s="1"/>
      <c r="I30" s="1"/>
      <c r="J30" s="1" t="s">
        <v>278</v>
      </c>
      <c r="K30" s="1">
        <v>2020</v>
      </c>
      <c r="L30" s="1">
        <v>202010</v>
      </c>
      <c r="M30" s="1">
        <v>202010</v>
      </c>
      <c r="N30" s="1" t="s">
        <v>279</v>
      </c>
      <c r="O30" s="1" t="s">
        <v>230</v>
      </c>
      <c r="P30" s="1" t="s">
        <v>280</v>
      </c>
      <c r="Q30" s="1" t="s">
        <v>233</v>
      </c>
      <c r="R30" s="1" t="s">
        <v>277</v>
      </c>
      <c r="S30" s="1" t="s">
        <v>351</v>
      </c>
      <c r="T30" s="105" t="str">
        <f>_xlfn.XLOOKUP(Tabla1[[#This Row],[Universidad]],Conversiones!$B:$B,Conversiones!$C:$C)</f>
        <v>KLU Kühne Logistics University</v>
      </c>
      <c r="U30" s="105" t="str">
        <f>_xlfn.XLOOKUP(Tabla1[[#This Row],[Universidad KPIs]],Conversiones!$C:$C,Conversiones!$E:$E)</f>
        <v>Específico</v>
      </c>
      <c r="V30" s="1" t="s">
        <v>76</v>
      </c>
      <c r="W30" s="1" t="s">
        <v>281</v>
      </c>
      <c r="X30" s="87">
        <v>43850</v>
      </c>
      <c r="Y30" s="87">
        <v>43974</v>
      </c>
      <c r="Z30" s="1">
        <v>124</v>
      </c>
    </row>
    <row r="31" spans="1:26">
      <c r="A31" s="102" t="s">
        <v>410</v>
      </c>
      <c r="B31">
        <v>201415904</v>
      </c>
      <c r="C31" t="s">
        <v>411</v>
      </c>
      <c r="D31" t="s">
        <v>412</v>
      </c>
      <c r="E31" t="s">
        <v>413</v>
      </c>
      <c r="F31" t="s">
        <v>233</v>
      </c>
      <c r="G31" t="s">
        <v>277</v>
      </c>
      <c r="J31" t="s">
        <v>278</v>
      </c>
      <c r="K31">
        <v>2020</v>
      </c>
      <c r="L31">
        <v>202010</v>
      </c>
      <c r="M31">
        <v>202010</v>
      </c>
      <c r="N31" t="s">
        <v>279</v>
      </c>
      <c r="O31" t="s">
        <v>230</v>
      </c>
      <c r="P31" t="s">
        <v>280</v>
      </c>
      <c r="Q31" t="s">
        <v>233</v>
      </c>
      <c r="R31" t="s">
        <v>277</v>
      </c>
      <c r="S31" t="s">
        <v>414</v>
      </c>
      <c r="T31" s="105" t="str">
        <f>_xlfn.XLOOKUP(Tabla1[[#This Row],[Universidad]],Conversiones!$B:$B,Conversiones!$C:$C)</f>
        <v>Faculté des Sciences de l'Administration. FSA Laval</v>
      </c>
      <c r="U31" s="105" t="str">
        <f>_xlfn.XLOOKUP(Tabla1[[#This Row],[Universidad KPIs]],Conversiones!$C:$C,Conversiones!$E:$E)</f>
        <v>Específico</v>
      </c>
      <c r="V31" t="s">
        <v>74</v>
      </c>
      <c r="W31" t="s">
        <v>291</v>
      </c>
      <c r="X31" s="2">
        <v>43850</v>
      </c>
      <c r="Y31" s="2">
        <v>43974</v>
      </c>
      <c r="Z31">
        <v>124</v>
      </c>
    </row>
    <row r="32" spans="1:26">
      <c r="A32" s="103" t="s">
        <v>415</v>
      </c>
      <c r="B32" s="1">
        <v>201534307</v>
      </c>
      <c r="C32" s="1" t="s">
        <v>416</v>
      </c>
      <c r="D32" s="1" t="s">
        <v>417</v>
      </c>
      <c r="E32" s="1" t="s">
        <v>418</v>
      </c>
      <c r="F32" s="1" t="s">
        <v>233</v>
      </c>
      <c r="G32" s="1" t="s">
        <v>277</v>
      </c>
      <c r="H32" s="1"/>
      <c r="I32" s="1"/>
      <c r="J32" s="1" t="s">
        <v>278</v>
      </c>
      <c r="K32" s="1">
        <v>2020</v>
      </c>
      <c r="L32" s="1">
        <v>202010</v>
      </c>
      <c r="M32" s="1">
        <v>202010</v>
      </c>
      <c r="N32" s="1" t="s">
        <v>279</v>
      </c>
      <c r="O32" s="1" t="s">
        <v>230</v>
      </c>
      <c r="P32" s="1" t="s">
        <v>280</v>
      </c>
      <c r="Q32" s="1" t="s">
        <v>233</v>
      </c>
      <c r="R32" s="1" t="s">
        <v>277</v>
      </c>
      <c r="S32" s="1" t="s">
        <v>419</v>
      </c>
      <c r="T32" s="105" t="str">
        <f>_xlfn.XLOOKUP(Tabla1[[#This Row],[Universidad]],Conversiones!$B:$B,Conversiones!$C:$C)</f>
        <v>ESCP</v>
      </c>
      <c r="U32" s="105" t="str">
        <f>_xlfn.XLOOKUP(Tabla1[[#This Row],[Universidad KPIs]],Conversiones!$C:$C,Conversiones!$E:$E)</f>
        <v>Específico</v>
      </c>
      <c r="V32" s="1" t="s">
        <v>57</v>
      </c>
      <c r="W32" s="1" t="s">
        <v>281</v>
      </c>
      <c r="X32" s="87">
        <v>43850</v>
      </c>
      <c r="Y32" s="87">
        <v>43974</v>
      </c>
      <c r="Z32" s="1">
        <v>124</v>
      </c>
    </row>
    <row r="33" spans="1:26">
      <c r="A33" s="102" t="s">
        <v>420</v>
      </c>
      <c r="B33">
        <v>201631803</v>
      </c>
      <c r="C33" t="s">
        <v>421</v>
      </c>
      <c r="D33" t="s">
        <v>422</v>
      </c>
      <c r="E33" t="s">
        <v>423</v>
      </c>
      <c r="F33" t="s">
        <v>233</v>
      </c>
      <c r="G33" t="s">
        <v>277</v>
      </c>
      <c r="J33" t="s">
        <v>278</v>
      </c>
      <c r="K33">
        <v>2020</v>
      </c>
      <c r="L33">
        <v>202010</v>
      </c>
      <c r="M33">
        <v>202010</v>
      </c>
      <c r="N33" t="s">
        <v>279</v>
      </c>
      <c r="O33" t="s">
        <v>230</v>
      </c>
      <c r="P33" t="s">
        <v>280</v>
      </c>
      <c r="Q33" t="s">
        <v>233</v>
      </c>
      <c r="R33" t="s">
        <v>277</v>
      </c>
      <c r="S33" t="s">
        <v>94</v>
      </c>
      <c r="T33" s="105" t="str">
        <f>_xlfn.XLOOKUP(Tabla1[[#This Row],[Universidad]],Conversiones!$B:$B,Conversiones!$C:$C)</f>
        <v>Maastricht University</v>
      </c>
      <c r="U33" s="105" t="str">
        <f>_xlfn.XLOOKUP(Tabla1[[#This Row],[Universidad KPIs]],Conversiones!$C:$C,Conversiones!$E:$E)</f>
        <v>Específico</v>
      </c>
      <c r="V33" t="s">
        <v>95</v>
      </c>
      <c r="W33" t="s">
        <v>281</v>
      </c>
      <c r="X33" s="2">
        <v>43850</v>
      </c>
      <c r="Y33" s="2">
        <v>43974</v>
      </c>
      <c r="Z33">
        <v>124</v>
      </c>
    </row>
    <row r="34" spans="1:26">
      <c r="A34" s="103" t="s">
        <v>424</v>
      </c>
      <c r="B34" s="1">
        <v>201631809</v>
      </c>
      <c r="C34" s="1" t="s">
        <v>425</v>
      </c>
      <c r="D34" s="1" t="s">
        <v>426</v>
      </c>
      <c r="E34" s="1" t="s">
        <v>427</v>
      </c>
      <c r="F34" s="1" t="s">
        <v>233</v>
      </c>
      <c r="G34" s="1" t="s">
        <v>277</v>
      </c>
      <c r="H34" s="1"/>
      <c r="I34" s="1"/>
      <c r="J34" s="1" t="s">
        <v>278</v>
      </c>
      <c r="K34" s="1">
        <v>2020</v>
      </c>
      <c r="L34" s="1">
        <v>202010</v>
      </c>
      <c r="M34" s="1">
        <v>202010</v>
      </c>
      <c r="N34" s="1" t="s">
        <v>279</v>
      </c>
      <c r="O34" s="1" t="s">
        <v>230</v>
      </c>
      <c r="P34" s="1" t="s">
        <v>280</v>
      </c>
      <c r="Q34" s="1" t="s">
        <v>233</v>
      </c>
      <c r="R34" s="1" t="s">
        <v>277</v>
      </c>
      <c r="S34" s="1" t="s">
        <v>428</v>
      </c>
      <c r="T34" s="105" t="str">
        <f>_xlfn.XLOOKUP(Tabla1[[#This Row],[Universidad]],Conversiones!$B:$B,Conversiones!$C:$C)</f>
        <v>Roskilde University</v>
      </c>
      <c r="U34" s="105" t="str">
        <f>_xlfn.XLOOKUP(Tabla1[[#This Row],[Universidad KPIs]],Conversiones!$C:$C,Conversiones!$E:$E)</f>
        <v>General</v>
      </c>
      <c r="V34" s="1" t="s">
        <v>63</v>
      </c>
      <c r="W34" s="1" t="s">
        <v>281</v>
      </c>
      <c r="X34" s="87">
        <v>43850</v>
      </c>
      <c r="Y34" s="87">
        <v>43974</v>
      </c>
      <c r="Z34" s="1">
        <v>124</v>
      </c>
    </row>
    <row r="35" spans="1:26">
      <c r="A35" s="102" t="s">
        <v>429</v>
      </c>
      <c r="B35">
        <v>201631852</v>
      </c>
      <c r="C35" t="s">
        <v>395</v>
      </c>
      <c r="D35" t="s">
        <v>430</v>
      </c>
      <c r="E35" t="s">
        <v>431</v>
      </c>
      <c r="F35" t="s">
        <v>233</v>
      </c>
      <c r="G35" t="s">
        <v>277</v>
      </c>
      <c r="J35" t="s">
        <v>278</v>
      </c>
      <c r="K35">
        <v>2020</v>
      </c>
      <c r="L35">
        <v>202010</v>
      </c>
      <c r="M35">
        <v>202010</v>
      </c>
      <c r="N35" t="s">
        <v>279</v>
      </c>
      <c r="O35" t="s">
        <v>230</v>
      </c>
      <c r="P35" t="s">
        <v>432</v>
      </c>
      <c r="Q35" t="s">
        <v>233</v>
      </c>
      <c r="R35" t="s">
        <v>277</v>
      </c>
      <c r="S35" t="s">
        <v>156</v>
      </c>
      <c r="T35" s="105" t="str">
        <f>_xlfn.XLOOKUP(Tabla1[[#This Row],[Universidad]],Conversiones!$B:$B,Conversiones!$C:$C)</f>
        <v>Universidad Carlos III de Madrid</v>
      </c>
      <c r="U35" s="105" t="str">
        <f>_xlfn.XLOOKUP(Tabla1[[#This Row],[Universidad KPIs]],Conversiones!$C:$C,Conversiones!$E:$E)</f>
        <v>General</v>
      </c>
      <c r="V35" t="s">
        <v>69</v>
      </c>
      <c r="W35" t="s">
        <v>281</v>
      </c>
      <c r="X35" s="2">
        <v>43850</v>
      </c>
      <c r="Y35" s="2">
        <v>43974</v>
      </c>
      <c r="Z35">
        <v>124</v>
      </c>
    </row>
    <row r="36" spans="1:26">
      <c r="A36" s="103" t="s">
        <v>433</v>
      </c>
      <c r="B36" s="1">
        <v>201631960</v>
      </c>
      <c r="C36" s="1" t="s">
        <v>434</v>
      </c>
      <c r="D36" s="1" t="s">
        <v>435</v>
      </c>
      <c r="E36" s="1" t="s">
        <v>436</v>
      </c>
      <c r="F36" s="1" t="s">
        <v>233</v>
      </c>
      <c r="G36" s="1" t="s">
        <v>277</v>
      </c>
      <c r="H36" s="1"/>
      <c r="I36" s="1"/>
      <c r="J36" s="1" t="s">
        <v>278</v>
      </c>
      <c r="K36" s="1">
        <v>2020</v>
      </c>
      <c r="L36" s="1">
        <v>202010</v>
      </c>
      <c r="M36" s="1">
        <v>202010</v>
      </c>
      <c r="N36" s="1" t="s">
        <v>279</v>
      </c>
      <c r="O36" s="1" t="s">
        <v>230</v>
      </c>
      <c r="P36" s="1" t="s">
        <v>280</v>
      </c>
      <c r="Q36" s="1" t="s">
        <v>233</v>
      </c>
      <c r="R36" s="1" t="s">
        <v>277</v>
      </c>
      <c r="S36" s="1" t="s">
        <v>320</v>
      </c>
      <c r="T36" s="105" t="str">
        <f>_xlfn.XLOOKUP(Tabla1[[#This Row],[Universidad]],Conversiones!$B:$B,Conversiones!$C:$C)</f>
        <v>ESADE</v>
      </c>
      <c r="U36" s="105" t="str">
        <f>_xlfn.XLOOKUP(Tabla1[[#This Row],[Universidad KPIs]],Conversiones!$C:$C,Conversiones!$E:$E)</f>
        <v>Específico</v>
      </c>
      <c r="V36" s="1" t="s">
        <v>69</v>
      </c>
      <c r="W36" s="1" t="s">
        <v>281</v>
      </c>
      <c r="X36" s="87">
        <v>43850</v>
      </c>
      <c r="Y36" s="87">
        <v>43974</v>
      </c>
      <c r="Z36" s="1">
        <v>124</v>
      </c>
    </row>
    <row r="37" spans="1:26">
      <c r="A37" s="102" t="s">
        <v>437</v>
      </c>
      <c r="B37">
        <v>201631333</v>
      </c>
      <c r="C37" t="s">
        <v>438</v>
      </c>
      <c r="D37" t="s">
        <v>439</v>
      </c>
      <c r="E37" t="s">
        <v>440</v>
      </c>
      <c r="F37" t="s">
        <v>233</v>
      </c>
      <c r="G37" t="s">
        <v>277</v>
      </c>
      <c r="J37" t="s">
        <v>278</v>
      </c>
      <c r="K37">
        <v>2020</v>
      </c>
      <c r="L37">
        <v>202010</v>
      </c>
      <c r="M37">
        <v>202010</v>
      </c>
      <c r="N37" t="s">
        <v>279</v>
      </c>
      <c r="O37" t="s">
        <v>230</v>
      </c>
      <c r="P37" t="s">
        <v>280</v>
      </c>
      <c r="Q37" t="s">
        <v>233</v>
      </c>
      <c r="R37" t="s">
        <v>277</v>
      </c>
      <c r="S37" t="s">
        <v>441</v>
      </c>
      <c r="T37" s="105" t="str">
        <f>_xlfn.XLOOKUP(Tabla1[[#This Row],[Universidad]],Conversiones!$B:$B,Conversiones!$C:$C)</f>
        <v xml:space="preserve">CBS- Copenhagen Business School  </v>
      </c>
      <c r="U37" s="105" t="str">
        <f>_xlfn.XLOOKUP(Tabla1[[#This Row],[Universidad KPIs]],Conversiones!$C:$C,Conversiones!$E:$E)</f>
        <v>Específico</v>
      </c>
      <c r="V37" t="s">
        <v>63</v>
      </c>
      <c r="W37" t="s">
        <v>281</v>
      </c>
      <c r="X37" s="2">
        <v>43850</v>
      </c>
      <c r="Y37" s="2">
        <v>43974</v>
      </c>
      <c r="Z37">
        <v>124</v>
      </c>
    </row>
    <row r="38" spans="1:26">
      <c r="A38" s="103" t="s">
        <v>442</v>
      </c>
      <c r="B38" s="1">
        <v>201633398</v>
      </c>
      <c r="C38" s="1" t="s">
        <v>288</v>
      </c>
      <c r="D38" s="1" t="s">
        <v>443</v>
      </c>
      <c r="E38" s="1" t="s">
        <v>444</v>
      </c>
      <c r="F38" s="1" t="s">
        <v>233</v>
      </c>
      <c r="G38" s="1" t="s">
        <v>277</v>
      </c>
      <c r="H38" s="1"/>
      <c r="I38" s="1"/>
      <c r="J38" s="1" t="s">
        <v>278</v>
      </c>
      <c r="K38" s="1">
        <v>2020</v>
      </c>
      <c r="L38" s="1">
        <v>202010</v>
      </c>
      <c r="M38" s="1">
        <v>202010</v>
      </c>
      <c r="N38" s="1" t="s">
        <v>279</v>
      </c>
      <c r="O38" s="1" t="s">
        <v>230</v>
      </c>
      <c r="P38" s="1" t="s">
        <v>280</v>
      </c>
      <c r="Q38" s="1" t="s">
        <v>233</v>
      </c>
      <c r="R38" s="1" t="s">
        <v>277</v>
      </c>
      <c r="S38" s="1" t="s">
        <v>315</v>
      </c>
      <c r="T38" s="105" t="str">
        <f>_xlfn.XLOOKUP(Tabla1[[#This Row],[Universidad]],Conversiones!$B:$B,Conversiones!$C:$C)</f>
        <v>HEC Lausanne</v>
      </c>
      <c r="U38" s="105" t="str">
        <f>_xlfn.XLOOKUP(Tabla1[[#This Row],[Universidad KPIs]],Conversiones!$C:$C,Conversiones!$E:$E)</f>
        <v>Específico</v>
      </c>
      <c r="V38" s="1" t="s">
        <v>81</v>
      </c>
      <c r="W38" s="1" t="s">
        <v>281</v>
      </c>
      <c r="X38" s="87">
        <v>43850</v>
      </c>
      <c r="Y38" s="87">
        <v>43974</v>
      </c>
      <c r="Z38" s="1">
        <v>124</v>
      </c>
    </row>
    <row r="39" spans="1:26">
      <c r="A39" s="102" t="s">
        <v>445</v>
      </c>
      <c r="B39">
        <v>201632170</v>
      </c>
      <c r="C39" t="s">
        <v>407</v>
      </c>
      <c r="D39" t="s">
        <v>446</v>
      </c>
      <c r="E39" t="s">
        <v>447</v>
      </c>
      <c r="F39" t="s">
        <v>233</v>
      </c>
      <c r="G39" t="s">
        <v>277</v>
      </c>
      <c r="J39" t="s">
        <v>278</v>
      </c>
      <c r="K39">
        <v>2020</v>
      </c>
      <c r="L39">
        <v>202010</v>
      </c>
      <c r="M39">
        <v>202010</v>
      </c>
      <c r="N39" t="s">
        <v>279</v>
      </c>
      <c r="O39" t="s">
        <v>230</v>
      </c>
      <c r="P39" t="s">
        <v>280</v>
      </c>
      <c r="Q39" t="s">
        <v>233</v>
      </c>
      <c r="R39" t="s">
        <v>277</v>
      </c>
      <c r="S39" t="s">
        <v>441</v>
      </c>
      <c r="T39" s="105" t="str">
        <f>_xlfn.XLOOKUP(Tabla1[[#This Row],[Universidad]],Conversiones!$B:$B,Conversiones!$C:$C)</f>
        <v xml:space="preserve">CBS- Copenhagen Business School  </v>
      </c>
      <c r="U39" s="105" t="str">
        <f>_xlfn.XLOOKUP(Tabla1[[#This Row],[Universidad KPIs]],Conversiones!$C:$C,Conversiones!$E:$E)</f>
        <v>Específico</v>
      </c>
      <c r="V39" t="s">
        <v>63</v>
      </c>
      <c r="W39" t="s">
        <v>281</v>
      </c>
      <c r="X39" s="2">
        <v>43850</v>
      </c>
      <c r="Y39" s="2">
        <v>43974</v>
      </c>
      <c r="Z39">
        <v>124</v>
      </c>
    </row>
    <row r="40" spans="1:26">
      <c r="A40" s="103" t="s">
        <v>448</v>
      </c>
      <c r="B40" s="1">
        <v>201632319</v>
      </c>
      <c r="C40" s="1" t="s">
        <v>438</v>
      </c>
      <c r="D40" s="1" t="s">
        <v>449</v>
      </c>
      <c r="E40" s="1" t="s">
        <v>450</v>
      </c>
      <c r="F40" s="1" t="s">
        <v>233</v>
      </c>
      <c r="G40" s="1" t="s">
        <v>277</v>
      </c>
      <c r="H40" s="1"/>
      <c r="I40" s="1"/>
      <c r="J40" s="1" t="s">
        <v>278</v>
      </c>
      <c r="K40" s="1">
        <v>2020</v>
      </c>
      <c r="L40" s="1">
        <v>202010</v>
      </c>
      <c r="M40" s="1">
        <v>202010</v>
      </c>
      <c r="N40" s="1" t="s">
        <v>279</v>
      </c>
      <c r="O40" s="1" t="s">
        <v>230</v>
      </c>
      <c r="P40" s="1" t="s">
        <v>280</v>
      </c>
      <c r="Q40" s="1" t="s">
        <v>233</v>
      </c>
      <c r="R40" s="1" t="s">
        <v>277</v>
      </c>
      <c r="S40" s="1" t="s">
        <v>54</v>
      </c>
      <c r="T40" s="105" t="str">
        <f>_xlfn.XLOOKUP(Tabla1[[#This Row],[Universidad]],Conversiones!$B:$B,Conversiones!$C:$C)</f>
        <v>Aston University</v>
      </c>
      <c r="U40" s="105" t="str">
        <f>_xlfn.XLOOKUP(Tabla1[[#This Row],[Universidad KPIs]],Conversiones!$C:$C,Conversiones!$E:$E)</f>
        <v>Específico</v>
      </c>
      <c r="V40" s="1" t="s">
        <v>55</v>
      </c>
      <c r="W40" s="1" t="s">
        <v>281</v>
      </c>
      <c r="X40" s="87">
        <v>43850</v>
      </c>
      <c r="Y40" s="87">
        <v>43974</v>
      </c>
      <c r="Z40" s="1">
        <v>124</v>
      </c>
    </row>
    <row r="41" spans="1:26">
      <c r="A41" s="102" t="s">
        <v>451</v>
      </c>
      <c r="B41">
        <v>201517393</v>
      </c>
      <c r="C41" t="s">
        <v>452</v>
      </c>
      <c r="D41" t="s">
        <v>453</v>
      </c>
      <c r="E41" t="s">
        <v>454</v>
      </c>
      <c r="F41" t="s">
        <v>233</v>
      </c>
      <c r="G41" t="s">
        <v>277</v>
      </c>
      <c r="J41" t="s">
        <v>278</v>
      </c>
      <c r="K41">
        <v>2020</v>
      </c>
      <c r="L41">
        <v>202010</v>
      </c>
      <c r="M41">
        <v>202010</v>
      </c>
      <c r="N41" t="s">
        <v>279</v>
      </c>
      <c r="O41" t="s">
        <v>230</v>
      </c>
      <c r="P41" t="s">
        <v>280</v>
      </c>
      <c r="Q41" t="s">
        <v>233</v>
      </c>
      <c r="R41" t="s">
        <v>277</v>
      </c>
      <c r="S41" t="s">
        <v>455</v>
      </c>
      <c r="T41" s="105" t="str">
        <f>_xlfn.XLOOKUP(Tabla1[[#This Row],[Universidad]],Conversiones!$B:$B,Conversiones!$C:$C)</f>
        <v>Nova School of Business and Economics</v>
      </c>
      <c r="U41" s="105" t="str">
        <f>_xlfn.XLOOKUP(Tabla1[[#This Row],[Universidad KPIs]],Conversiones!$C:$C,Conversiones!$E:$E)</f>
        <v>Específico</v>
      </c>
      <c r="V41" t="s">
        <v>61</v>
      </c>
      <c r="W41" t="s">
        <v>281</v>
      </c>
      <c r="X41" s="2">
        <v>43850</v>
      </c>
      <c r="Y41" s="2">
        <v>43974</v>
      </c>
      <c r="Z41">
        <v>124</v>
      </c>
    </row>
    <row r="42" spans="1:26">
      <c r="A42" s="103" t="s">
        <v>456</v>
      </c>
      <c r="B42" s="1">
        <v>201811070</v>
      </c>
      <c r="C42" s="1" t="s">
        <v>457</v>
      </c>
      <c r="D42" s="1" t="s">
        <v>458</v>
      </c>
      <c r="E42" s="1" t="s">
        <v>459</v>
      </c>
      <c r="F42" s="1" t="s">
        <v>233</v>
      </c>
      <c r="G42" s="1" t="s">
        <v>277</v>
      </c>
      <c r="H42" s="1"/>
      <c r="I42" s="1"/>
      <c r="J42" s="1" t="s">
        <v>278</v>
      </c>
      <c r="K42" s="1">
        <v>2020</v>
      </c>
      <c r="L42" s="1">
        <v>202010</v>
      </c>
      <c r="M42" s="1">
        <v>202010</v>
      </c>
      <c r="N42" s="1" t="s">
        <v>279</v>
      </c>
      <c r="O42" s="1" t="s">
        <v>230</v>
      </c>
      <c r="P42" s="1" t="s">
        <v>280</v>
      </c>
      <c r="Q42" s="1" t="s">
        <v>233</v>
      </c>
      <c r="R42" s="1" t="s">
        <v>277</v>
      </c>
      <c r="S42" s="1" t="s">
        <v>356</v>
      </c>
      <c r="T42" s="105" t="str">
        <f>_xlfn.XLOOKUP(Tabla1[[#This Row],[Universidad]],Conversiones!$B:$B,Conversiones!$C:$C)</f>
        <v>Università Commerciale Luigi Bocconi</v>
      </c>
      <c r="U42" s="105" t="str">
        <f>_xlfn.XLOOKUP(Tabla1[[#This Row],[Universidad KPIs]],Conversiones!$C:$C,Conversiones!$E:$E)</f>
        <v>Específico</v>
      </c>
      <c r="V42" s="1" t="s">
        <v>103</v>
      </c>
      <c r="W42" s="1" t="s">
        <v>281</v>
      </c>
      <c r="X42" s="87">
        <v>43850</v>
      </c>
      <c r="Y42" s="87">
        <v>43974</v>
      </c>
      <c r="Z42" s="1">
        <v>124</v>
      </c>
    </row>
    <row r="43" spans="1:26">
      <c r="A43" s="102" t="s">
        <v>460</v>
      </c>
      <c r="B43">
        <v>201715367</v>
      </c>
      <c r="C43" t="s">
        <v>461</v>
      </c>
      <c r="D43" t="s">
        <v>462</v>
      </c>
      <c r="E43" t="s">
        <v>463</v>
      </c>
      <c r="F43" t="s">
        <v>233</v>
      </c>
      <c r="G43" t="s">
        <v>277</v>
      </c>
      <c r="J43" t="s">
        <v>278</v>
      </c>
      <c r="K43">
        <v>2020</v>
      </c>
      <c r="L43">
        <v>202010</v>
      </c>
      <c r="M43">
        <v>202010</v>
      </c>
      <c r="N43" t="s">
        <v>279</v>
      </c>
      <c r="O43" t="s">
        <v>230</v>
      </c>
      <c r="P43" t="s">
        <v>280</v>
      </c>
      <c r="Q43" t="s">
        <v>233</v>
      </c>
      <c r="R43" t="s">
        <v>277</v>
      </c>
      <c r="S43" t="s">
        <v>305</v>
      </c>
      <c r="T43" s="105" t="str">
        <f>_xlfn.XLOOKUP(Tabla1[[#This Row],[Universidad]],Conversiones!$B:$B,Conversiones!$C:$C)</f>
        <v>Catolica Lisbon Business &amp; Economics. Universidade Católica Portuguesa</v>
      </c>
      <c r="U43" s="105" t="str">
        <f>_xlfn.XLOOKUP(Tabla1[[#This Row],[Universidad KPIs]],Conversiones!$C:$C,Conversiones!$E:$E)</f>
        <v>Específico</v>
      </c>
      <c r="V43" t="s">
        <v>61</v>
      </c>
      <c r="W43" t="s">
        <v>281</v>
      </c>
      <c r="X43" s="2">
        <v>43850</v>
      </c>
      <c r="Y43" s="2">
        <v>43974</v>
      </c>
      <c r="Z43">
        <v>124</v>
      </c>
    </row>
    <row r="44" spans="1:26">
      <c r="A44" s="103" t="s">
        <v>464</v>
      </c>
      <c r="B44" s="1">
        <v>201630473</v>
      </c>
      <c r="C44" s="1" t="s">
        <v>465</v>
      </c>
      <c r="D44" s="1" t="s">
        <v>466</v>
      </c>
      <c r="E44" s="1" t="s">
        <v>467</v>
      </c>
      <c r="F44" s="1" t="s">
        <v>233</v>
      </c>
      <c r="G44" s="1" t="s">
        <v>277</v>
      </c>
      <c r="H44" s="1"/>
      <c r="I44" s="1"/>
      <c r="J44" s="1" t="s">
        <v>278</v>
      </c>
      <c r="K44" s="1">
        <v>2020</v>
      </c>
      <c r="L44" s="1">
        <v>202019</v>
      </c>
      <c r="M44" s="1">
        <v>202019</v>
      </c>
      <c r="N44" s="1" t="s">
        <v>279</v>
      </c>
      <c r="O44" s="1" t="s">
        <v>232</v>
      </c>
      <c r="P44" s="1" t="s">
        <v>468</v>
      </c>
      <c r="Q44" s="1" t="s">
        <v>233</v>
      </c>
      <c r="R44" s="1" t="s">
        <v>277</v>
      </c>
      <c r="S44" s="1" t="s">
        <v>197</v>
      </c>
      <c r="T44" s="105" t="str">
        <f>_xlfn.XLOOKUP(Tabla1[[#This Row],[Universidad]],Conversiones!$B:$B,Conversiones!$C:$C)</f>
        <v>Cornell University</v>
      </c>
      <c r="U44" s="105" t="str">
        <f>_xlfn.XLOOKUP(Tabla1[[#This Row],[Universidad KPIs]],Conversiones!$C:$C,Conversiones!$E:$E)</f>
        <v>General</v>
      </c>
      <c r="V44" s="1" t="s">
        <v>51</v>
      </c>
      <c r="W44" s="1" t="s">
        <v>291</v>
      </c>
      <c r="X44" s="87">
        <v>43998</v>
      </c>
      <c r="Y44" s="87">
        <v>44051</v>
      </c>
      <c r="Z44" s="1">
        <v>53</v>
      </c>
    </row>
    <row r="45" spans="1:26">
      <c r="A45" s="102" t="s">
        <v>469</v>
      </c>
      <c r="B45">
        <v>201327028</v>
      </c>
      <c r="C45" t="s">
        <v>470</v>
      </c>
      <c r="D45" t="s">
        <v>471</v>
      </c>
      <c r="E45" t="s">
        <v>472</v>
      </c>
      <c r="F45" t="s">
        <v>233</v>
      </c>
      <c r="G45" t="s">
        <v>277</v>
      </c>
      <c r="J45" t="s">
        <v>278</v>
      </c>
      <c r="K45">
        <v>2020</v>
      </c>
      <c r="L45">
        <v>202019</v>
      </c>
      <c r="M45">
        <v>202019</v>
      </c>
      <c r="N45" t="s">
        <v>279</v>
      </c>
      <c r="O45" t="s">
        <v>232</v>
      </c>
      <c r="P45" t="s">
        <v>468</v>
      </c>
      <c r="Q45" t="s">
        <v>233</v>
      </c>
      <c r="R45" t="s">
        <v>277</v>
      </c>
      <c r="S45" t="s">
        <v>197</v>
      </c>
      <c r="T45" s="105" t="str">
        <f>_xlfn.XLOOKUP(Tabla1[[#This Row],[Universidad]],Conversiones!$B:$B,Conversiones!$C:$C)</f>
        <v>Cornell University</v>
      </c>
      <c r="U45" s="105" t="str">
        <f>_xlfn.XLOOKUP(Tabla1[[#This Row],[Universidad KPIs]],Conversiones!$C:$C,Conversiones!$E:$E)</f>
        <v>General</v>
      </c>
      <c r="V45" t="s">
        <v>51</v>
      </c>
      <c r="W45" t="s">
        <v>291</v>
      </c>
      <c r="X45" s="2">
        <v>43998</v>
      </c>
      <c r="Y45" s="2">
        <v>44051</v>
      </c>
      <c r="Z45">
        <v>53</v>
      </c>
    </row>
    <row r="46" spans="1:26">
      <c r="A46" s="103" t="s">
        <v>473</v>
      </c>
      <c r="B46" s="1">
        <v>201630419</v>
      </c>
      <c r="C46" s="1" t="s">
        <v>474</v>
      </c>
      <c r="D46" s="1" t="s">
        <v>475</v>
      </c>
      <c r="E46" s="1" t="s">
        <v>476</v>
      </c>
      <c r="F46" s="1" t="s">
        <v>233</v>
      </c>
      <c r="G46" s="1" t="s">
        <v>277</v>
      </c>
      <c r="H46" s="1"/>
      <c r="I46" s="1"/>
      <c r="J46" s="1" t="s">
        <v>278</v>
      </c>
      <c r="K46" s="1">
        <v>2020</v>
      </c>
      <c r="L46" s="1">
        <v>202020</v>
      </c>
      <c r="M46" s="1">
        <v>202020</v>
      </c>
      <c r="N46" s="1" t="s">
        <v>279</v>
      </c>
      <c r="O46" s="1" t="s">
        <v>231</v>
      </c>
      <c r="P46" s="1" t="s">
        <v>477</v>
      </c>
      <c r="Q46" s="1" t="s">
        <v>233</v>
      </c>
      <c r="R46" s="1" t="s">
        <v>277</v>
      </c>
      <c r="S46" s="1" t="s">
        <v>310</v>
      </c>
      <c r="T46" s="105" t="str">
        <f>_xlfn.XLOOKUP(Tabla1[[#This Row],[Universidad]],Conversiones!$B:$B,Conversiones!$C:$C)</f>
        <v>Toulouse Business School</v>
      </c>
      <c r="U46" s="105" t="str">
        <f>_xlfn.XLOOKUP(Tabla1[[#This Row],[Universidad KPIs]],Conversiones!$C:$C,Conversiones!$E:$E)</f>
        <v>Específico</v>
      </c>
      <c r="V46" s="1" t="s">
        <v>57</v>
      </c>
      <c r="W46" s="1" t="s">
        <v>281</v>
      </c>
      <c r="X46" s="87">
        <v>44053</v>
      </c>
      <c r="Y46" s="87">
        <v>44170</v>
      </c>
      <c r="Z46" s="1">
        <v>117</v>
      </c>
    </row>
    <row r="47" spans="1:26">
      <c r="A47" s="102" t="s">
        <v>478</v>
      </c>
      <c r="B47">
        <v>201614350</v>
      </c>
      <c r="C47" t="s">
        <v>479</v>
      </c>
      <c r="D47" t="s">
        <v>480</v>
      </c>
      <c r="E47" t="s">
        <v>481</v>
      </c>
      <c r="F47" t="s">
        <v>233</v>
      </c>
      <c r="G47" t="s">
        <v>277</v>
      </c>
      <c r="J47" t="s">
        <v>278</v>
      </c>
      <c r="K47">
        <v>2020</v>
      </c>
      <c r="L47">
        <v>202020</v>
      </c>
      <c r="M47">
        <v>202020</v>
      </c>
      <c r="N47" t="s">
        <v>279</v>
      </c>
      <c r="O47" t="s">
        <v>230</v>
      </c>
      <c r="P47" t="s">
        <v>280</v>
      </c>
      <c r="Q47" t="s">
        <v>233</v>
      </c>
      <c r="R47" t="s">
        <v>277</v>
      </c>
      <c r="S47" t="s">
        <v>315</v>
      </c>
      <c r="T47" s="105" t="str">
        <f>_xlfn.XLOOKUP(Tabla1[[#This Row],[Universidad]],Conversiones!$B:$B,Conversiones!$C:$C)</f>
        <v>HEC Lausanne</v>
      </c>
      <c r="U47" s="105" t="str">
        <f>_xlfn.XLOOKUP(Tabla1[[#This Row],[Universidad KPIs]],Conversiones!$C:$C,Conversiones!$E:$E)</f>
        <v>Específico</v>
      </c>
      <c r="V47" t="s">
        <v>81</v>
      </c>
      <c r="W47" t="s">
        <v>281</v>
      </c>
      <c r="X47" s="2">
        <v>44053</v>
      </c>
      <c r="Y47" s="2">
        <v>44170</v>
      </c>
      <c r="Z47">
        <v>117</v>
      </c>
    </row>
    <row r="48" spans="1:26">
      <c r="A48" s="103" t="s">
        <v>482</v>
      </c>
      <c r="B48" s="1">
        <v>201632930</v>
      </c>
      <c r="C48" s="1" t="s">
        <v>483</v>
      </c>
      <c r="D48" s="1" t="s">
        <v>484</v>
      </c>
      <c r="E48" s="1" t="s">
        <v>485</v>
      </c>
      <c r="F48" s="1" t="s">
        <v>233</v>
      </c>
      <c r="G48" s="1" t="s">
        <v>277</v>
      </c>
      <c r="H48" s="1"/>
      <c r="I48" s="1"/>
      <c r="J48" s="1" t="s">
        <v>278</v>
      </c>
      <c r="K48" s="1">
        <v>2020</v>
      </c>
      <c r="L48" s="1">
        <v>202020</v>
      </c>
      <c r="M48" s="1">
        <v>202020</v>
      </c>
      <c r="N48" s="1" t="s">
        <v>279</v>
      </c>
      <c r="O48" s="1" t="s">
        <v>230</v>
      </c>
      <c r="P48" s="1" t="s">
        <v>280</v>
      </c>
      <c r="Q48" s="1" t="s">
        <v>233</v>
      </c>
      <c r="R48" s="1" t="s">
        <v>277</v>
      </c>
      <c r="S48" s="1" t="s">
        <v>486</v>
      </c>
      <c r="T48" s="105" t="str">
        <f>_xlfn.XLOOKUP(Tabla1[[#This Row],[Universidad]],Conversiones!$B:$B,Conversiones!$C:$C)</f>
        <v>Aalto University</v>
      </c>
      <c r="U48" s="105" t="str">
        <f>_xlfn.XLOOKUP(Tabla1[[#This Row],[Universidad KPIs]],Conversiones!$C:$C,Conversiones!$E:$E)</f>
        <v>Específico</v>
      </c>
      <c r="V48" s="1" t="s">
        <v>53</v>
      </c>
      <c r="W48" s="1" t="s">
        <v>281</v>
      </c>
      <c r="X48" s="87">
        <v>44053</v>
      </c>
      <c r="Y48" s="87">
        <v>44170</v>
      </c>
      <c r="Z48" s="1">
        <v>117</v>
      </c>
    </row>
    <row r="49" spans="1:26">
      <c r="A49" s="102" t="s">
        <v>487</v>
      </c>
      <c r="B49">
        <v>201631456</v>
      </c>
      <c r="C49" t="s">
        <v>488</v>
      </c>
      <c r="D49" t="s">
        <v>489</v>
      </c>
      <c r="E49" t="s">
        <v>490</v>
      </c>
      <c r="F49" t="s">
        <v>491</v>
      </c>
      <c r="G49" t="s">
        <v>492</v>
      </c>
      <c r="H49" t="s">
        <v>233</v>
      </c>
      <c r="I49" t="s">
        <v>277</v>
      </c>
      <c r="J49" t="s">
        <v>278</v>
      </c>
      <c r="K49">
        <v>2020</v>
      </c>
      <c r="L49">
        <v>202020</v>
      </c>
      <c r="M49">
        <v>202020</v>
      </c>
      <c r="N49" t="s">
        <v>279</v>
      </c>
      <c r="O49" t="s">
        <v>231</v>
      </c>
      <c r="P49" t="s">
        <v>477</v>
      </c>
      <c r="Q49" t="s">
        <v>233</v>
      </c>
      <c r="R49" t="s">
        <v>277</v>
      </c>
      <c r="S49" t="s">
        <v>310</v>
      </c>
      <c r="T49" s="105" t="str">
        <f>_xlfn.XLOOKUP(Tabla1[[#This Row],[Universidad]],Conversiones!$B:$B,Conversiones!$C:$C)</f>
        <v>Toulouse Business School</v>
      </c>
      <c r="U49" s="105" t="str">
        <f>_xlfn.XLOOKUP(Tabla1[[#This Row],[Universidad KPIs]],Conversiones!$C:$C,Conversiones!$E:$E)</f>
        <v>Específico</v>
      </c>
      <c r="V49" t="s">
        <v>57</v>
      </c>
      <c r="W49" t="s">
        <v>281</v>
      </c>
      <c r="X49" s="2">
        <v>44053</v>
      </c>
      <c r="Y49" s="2">
        <v>44170</v>
      </c>
      <c r="Z49">
        <v>117</v>
      </c>
    </row>
    <row r="50" spans="1:26">
      <c r="A50" s="103" t="s">
        <v>493</v>
      </c>
      <c r="B50" s="1">
        <v>201517114</v>
      </c>
      <c r="C50" s="1" t="s">
        <v>494</v>
      </c>
      <c r="D50" s="1" t="s">
        <v>495</v>
      </c>
      <c r="E50" s="1" t="s">
        <v>496</v>
      </c>
      <c r="F50" s="1" t="s">
        <v>233</v>
      </c>
      <c r="G50" s="1" t="s">
        <v>277</v>
      </c>
      <c r="H50" s="1" t="s">
        <v>497</v>
      </c>
      <c r="I50" s="1" t="s">
        <v>498</v>
      </c>
      <c r="J50" s="1" t="s">
        <v>278</v>
      </c>
      <c r="K50" s="1">
        <v>2020</v>
      </c>
      <c r="L50" s="1">
        <v>202020</v>
      </c>
      <c r="M50" s="1">
        <v>202020</v>
      </c>
      <c r="N50" s="1" t="s">
        <v>279</v>
      </c>
      <c r="O50" s="1" t="s">
        <v>231</v>
      </c>
      <c r="P50" s="1" t="s">
        <v>477</v>
      </c>
      <c r="Q50" s="1" t="s">
        <v>233</v>
      </c>
      <c r="R50" s="1" t="s">
        <v>277</v>
      </c>
      <c r="S50" s="1" t="s">
        <v>310</v>
      </c>
      <c r="T50" s="105" t="str">
        <f>_xlfn.XLOOKUP(Tabla1[[#This Row],[Universidad]],Conversiones!$B:$B,Conversiones!$C:$C)</f>
        <v>Toulouse Business School</v>
      </c>
      <c r="U50" s="105" t="str">
        <f>_xlfn.XLOOKUP(Tabla1[[#This Row],[Universidad KPIs]],Conversiones!$C:$C,Conversiones!$E:$E)</f>
        <v>Específico</v>
      </c>
      <c r="V50" s="1" t="s">
        <v>57</v>
      </c>
      <c r="W50" s="1" t="s">
        <v>281</v>
      </c>
      <c r="X50" s="87">
        <v>44053</v>
      </c>
      <c r="Y50" s="87">
        <v>44170</v>
      </c>
      <c r="Z50" s="1">
        <v>117</v>
      </c>
    </row>
    <row r="51" spans="1:26">
      <c r="A51" s="102" t="s">
        <v>437</v>
      </c>
      <c r="B51">
        <v>201631333</v>
      </c>
      <c r="C51" t="s">
        <v>499</v>
      </c>
      <c r="D51" t="s">
        <v>439</v>
      </c>
      <c r="E51" t="s">
        <v>500</v>
      </c>
      <c r="F51" t="s">
        <v>233</v>
      </c>
      <c r="G51" t="s">
        <v>277</v>
      </c>
      <c r="H51" t="s">
        <v>501</v>
      </c>
      <c r="J51" t="s">
        <v>278</v>
      </c>
      <c r="K51">
        <v>2020</v>
      </c>
      <c r="L51">
        <v>202020</v>
      </c>
      <c r="M51">
        <v>202020</v>
      </c>
      <c r="N51" t="s">
        <v>279</v>
      </c>
      <c r="O51" t="s">
        <v>231</v>
      </c>
      <c r="P51" t="s">
        <v>477</v>
      </c>
      <c r="Q51" t="s">
        <v>233</v>
      </c>
      <c r="R51" t="s">
        <v>277</v>
      </c>
      <c r="S51" t="s">
        <v>310</v>
      </c>
      <c r="T51" s="105" t="str">
        <f>_xlfn.XLOOKUP(Tabla1[[#This Row],[Universidad]],Conversiones!$B:$B,Conversiones!$C:$C)</f>
        <v>Toulouse Business School</v>
      </c>
      <c r="U51" s="105" t="str">
        <f>_xlfn.XLOOKUP(Tabla1[[#This Row],[Universidad KPIs]],Conversiones!$C:$C,Conversiones!$E:$E)</f>
        <v>Específico</v>
      </c>
      <c r="V51" t="s">
        <v>57</v>
      </c>
      <c r="W51" t="s">
        <v>281</v>
      </c>
      <c r="X51" s="2">
        <v>44053</v>
      </c>
      <c r="Y51" s="2">
        <v>44170</v>
      </c>
      <c r="Z51">
        <v>117</v>
      </c>
    </row>
    <row r="52" spans="1:26">
      <c r="A52" s="103" t="s">
        <v>502</v>
      </c>
      <c r="B52" s="1">
        <v>201632495</v>
      </c>
      <c r="C52" s="1" t="s">
        <v>499</v>
      </c>
      <c r="D52" s="1" t="s">
        <v>503</v>
      </c>
      <c r="E52" s="1" t="s">
        <v>504</v>
      </c>
      <c r="F52" s="1" t="s">
        <v>233</v>
      </c>
      <c r="G52" s="1" t="s">
        <v>277</v>
      </c>
      <c r="H52" s="1"/>
      <c r="I52" s="1"/>
      <c r="J52" s="1" t="s">
        <v>278</v>
      </c>
      <c r="K52" s="1">
        <v>2020</v>
      </c>
      <c r="L52" s="1">
        <v>202020</v>
      </c>
      <c r="M52" s="1">
        <v>202020</v>
      </c>
      <c r="N52" s="1" t="s">
        <v>279</v>
      </c>
      <c r="O52" s="1" t="s">
        <v>231</v>
      </c>
      <c r="P52" s="1" t="s">
        <v>477</v>
      </c>
      <c r="Q52" s="1" t="s">
        <v>233</v>
      </c>
      <c r="R52" s="1" t="s">
        <v>277</v>
      </c>
      <c r="S52" s="1" t="s">
        <v>107</v>
      </c>
      <c r="T52" s="105" t="str">
        <f>_xlfn.XLOOKUP(Tabla1[[#This Row],[Universidad]],Conversiones!$B:$B,Conversiones!$C:$C)</f>
        <v>Toulouse Business School</v>
      </c>
      <c r="U52" s="105" t="str">
        <f>_xlfn.XLOOKUP(Tabla1[[#This Row],[Universidad KPIs]],Conversiones!$C:$C,Conversiones!$E:$E)</f>
        <v>Específico</v>
      </c>
      <c r="V52" s="1" t="s">
        <v>57</v>
      </c>
      <c r="W52" s="1" t="s">
        <v>281</v>
      </c>
      <c r="X52" s="87">
        <v>44053</v>
      </c>
      <c r="Y52" s="87">
        <v>44170</v>
      </c>
      <c r="Z52" s="1">
        <v>117</v>
      </c>
    </row>
    <row r="53" spans="1:26">
      <c r="A53" s="102" t="s">
        <v>505</v>
      </c>
      <c r="B53">
        <v>201813783</v>
      </c>
      <c r="C53" t="s">
        <v>506</v>
      </c>
      <c r="D53" t="s">
        <v>507</v>
      </c>
      <c r="E53" t="s">
        <v>508</v>
      </c>
      <c r="F53" t="s">
        <v>233</v>
      </c>
      <c r="G53" t="s">
        <v>277</v>
      </c>
      <c r="J53" t="s">
        <v>278</v>
      </c>
      <c r="K53">
        <v>2021</v>
      </c>
      <c r="L53">
        <v>202110</v>
      </c>
      <c r="M53">
        <v>202110</v>
      </c>
      <c r="N53" t="s">
        <v>279</v>
      </c>
      <c r="O53" t="s">
        <v>230</v>
      </c>
      <c r="P53" t="s">
        <v>280</v>
      </c>
      <c r="Q53" t="s">
        <v>233</v>
      </c>
      <c r="R53" t="s">
        <v>277</v>
      </c>
      <c r="S53" t="s">
        <v>315</v>
      </c>
      <c r="T53" s="105" t="str">
        <f>_xlfn.XLOOKUP(Tabla1[[#This Row],[Universidad]],Conversiones!$B:$B,Conversiones!$C:$C)</f>
        <v>HEC Lausanne</v>
      </c>
      <c r="U53" s="105" t="str">
        <f>_xlfn.XLOOKUP(Tabla1[[#This Row],[Universidad KPIs]],Conversiones!$C:$C,Conversiones!$E:$E)</f>
        <v>Específico</v>
      </c>
      <c r="V53" t="s">
        <v>81</v>
      </c>
      <c r="W53" t="s">
        <v>281</v>
      </c>
      <c r="X53" s="2">
        <v>44221</v>
      </c>
      <c r="Y53" s="2">
        <v>44345</v>
      </c>
      <c r="Z53">
        <v>124</v>
      </c>
    </row>
    <row r="54" spans="1:26">
      <c r="A54" s="103" t="s">
        <v>509</v>
      </c>
      <c r="B54" s="1">
        <v>201731617</v>
      </c>
      <c r="C54" s="1" t="s">
        <v>288</v>
      </c>
      <c r="D54" s="1" t="s">
        <v>510</v>
      </c>
      <c r="E54" s="1" t="s">
        <v>511</v>
      </c>
      <c r="F54" s="1" t="s">
        <v>233</v>
      </c>
      <c r="G54" s="1" t="s">
        <v>277</v>
      </c>
      <c r="H54" s="1"/>
      <c r="I54" s="1"/>
      <c r="J54" s="1" t="s">
        <v>278</v>
      </c>
      <c r="K54" s="1">
        <v>2021</v>
      </c>
      <c r="L54" s="1">
        <v>202110</v>
      </c>
      <c r="M54" s="1">
        <v>202110</v>
      </c>
      <c r="N54" s="1" t="s">
        <v>279</v>
      </c>
      <c r="O54" s="1" t="s">
        <v>230</v>
      </c>
      <c r="P54" s="1" t="s">
        <v>280</v>
      </c>
      <c r="Q54" s="1" t="s">
        <v>233</v>
      </c>
      <c r="R54" s="1" t="s">
        <v>277</v>
      </c>
      <c r="S54" s="1" t="s">
        <v>94</v>
      </c>
      <c r="T54" s="105" t="str">
        <f>_xlfn.XLOOKUP(Tabla1[[#This Row],[Universidad]],Conversiones!$B:$B,Conversiones!$C:$C)</f>
        <v>Maastricht University</v>
      </c>
      <c r="U54" s="105" t="str">
        <f>_xlfn.XLOOKUP(Tabla1[[#This Row],[Universidad KPIs]],Conversiones!$C:$C,Conversiones!$E:$E)</f>
        <v>Específico</v>
      </c>
      <c r="V54" s="1" t="s">
        <v>95</v>
      </c>
      <c r="W54" s="1" t="s">
        <v>281</v>
      </c>
      <c r="X54" s="87">
        <v>44221</v>
      </c>
      <c r="Y54" s="87">
        <v>44345</v>
      </c>
      <c r="Z54" s="1">
        <v>124</v>
      </c>
    </row>
    <row r="55" spans="1:26">
      <c r="A55" s="102" t="s">
        <v>512</v>
      </c>
      <c r="B55">
        <v>201715966</v>
      </c>
      <c r="C55" t="s">
        <v>513</v>
      </c>
      <c r="D55" t="s">
        <v>514</v>
      </c>
      <c r="E55" t="s">
        <v>515</v>
      </c>
      <c r="F55" t="s">
        <v>233</v>
      </c>
      <c r="G55" t="s">
        <v>277</v>
      </c>
      <c r="J55" t="s">
        <v>278</v>
      </c>
      <c r="K55">
        <v>2021</v>
      </c>
      <c r="L55">
        <v>202110</v>
      </c>
      <c r="M55">
        <v>202110</v>
      </c>
      <c r="N55" t="s">
        <v>279</v>
      </c>
      <c r="O55" t="s">
        <v>230</v>
      </c>
      <c r="P55" t="s">
        <v>280</v>
      </c>
      <c r="Q55" t="s">
        <v>233</v>
      </c>
      <c r="R55" t="s">
        <v>277</v>
      </c>
      <c r="S55" t="s">
        <v>366</v>
      </c>
      <c r="T55" s="105" t="str">
        <f>_xlfn.XLOOKUP(Tabla1[[#This Row],[Universidad]],Conversiones!$B:$B,Conversiones!$C:$C)</f>
        <v>HEC Montréal</v>
      </c>
      <c r="U55" s="105" t="str">
        <f>_xlfn.XLOOKUP(Tabla1[[#This Row],[Universidad KPIs]],Conversiones!$C:$C,Conversiones!$E:$E)</f>
        <v>Específico</v>
      </c>
      <c r="V55" t="s">
        <v>74</v>
      </c>
      <c r="W55" t="s">
        <v>291</v>
      </c>
      <c r="X55" s="2">
        <v>44221</v>
      </c>
      <c r="Y55" s="2">
        <v>44345</v>
      </c>
      <c r="Z55">
        <v>124</v>
      </c>
    </row>
    <row r="56" spans="1:26">
      <c r="A56" s="103" t="s">
        <v>516</v>
      </c>
      <c r="B56" s="1">
        <v>201716866</v>
      </c>
      <c r="C56" s="1" t="s">
        <v>517</v>
      </c>
      <c r="D56" s="1" t="s">
        <v>518</v>
      </c>
      <c r="E56" s="1" t="s">
        <v>519</v>
      </c>
      <c r="F56" s="1" t="s">
        <v>233</v>
      </c>
      <c r="G56" s="1" t="s">
        <v>277</v>
      </c>
      <c r="H56" s="1"/>
      <c r="I56" s="1"/>
      <c r="J56" s="1" t="s">
        <v>278</v>
      </c>
      <c r="K56" s="1">
        <v>2021</v>
      </c>
      <c r="L56" s="1">
        <v>202110</v>
      </c>
      <c r="M56" s="1">
        <v>202110</v>
      </c>
      <c r="N56" s="1" t="s">
        <v>279</v>
      </c>
      <c r="O56" s="1" t="s">
        <v>230</v>
      </c>
      <c r="P56" s="1" t="s">
        <v>280</v>
      </c>
      <c r="Q56" s="1" t="s">
        <v>233</v>
      </c>
      <c r="R56" s="1" t="s">
        <v>277</v>
      </c>
      <c r="S56" s="1" t="s">
        <v>94</v>
      </c>
      <c r="T56" s="105" t="str">
        <f>_xlfn.XLOOKUP(Tabla1[[#This Row],[Universidad]],Conversiones!$B:$B,Conversiones!$C:$C)</f>
        <v>Maastricht University</v>
      </c>
      <c r="U56" s="105" t="str">
        <f>_xlfn.XLOOKUP(Tabla1[[#This Row],[Universidad KPIs]],Conversiones!$C:$C,Conversiones!$E:$E)</f>
        <v>Específico</v>
      </c>
      <c r="V56" s="1" t="s">
        <v>95</v>
      </c>
      <c r="W56" s="1" t="s">
        <v>281</v>
      </c>
      <c r="X56" s="87">
        <v>44221</v>
      </c>
      <c r="Y56" s="87">
        <v>44345</v>
      </c>
      <c r="Z56" s="1">
        <v>124</v>
      </c>
    </row>
    <row r="57" spans="1:26">
      <c r="A57" s="102" t="s">
        <v>520</v>
      </c>
      <c r="B57">
        <v>201730500</v>
      </c>
      <c r="C57" t="s">
        <v>521</v>
      </c>
      <c r="D57" t="s">
        <v>522</v>
      </c>
      <c r="E57" t="s">
        <v>523</v>
      </c>
      <c r="F57" t="s">
        <v>233</v>
      </c>
      <c r="G57" t="s">
        <v>277</v>
      </c>
      <c r="H57" t="s">
        <v>491</v>
      </c>
      <c r="I57" t="s">
        <v>492</v>
      </c>
      <c r="J57" t="s">
        <v>278</v>
      </c>
      <c r="K57">
        <v>2021</v>
      </c>
      <c r="L57">
        <v>202110</v>
      </c>
      <c r="M57">
        <v>202110</v>
      </c>
      <c r="N57" t="s">
        <v>279</v>
      </c>
      <c r="O57" t="s">
        <v>230</v>
      </c>
      <c r="P57" t="s">
        <v>280</v>
      </c>
      <c r="Q57" t="s">
        <v>233</v>
      </c>
      <c r="R57" t="s">
        <v>277</v>
      </c>
      <c r="S57" t="s">
        <v>524</v>
      </c>
      <c r="T57" s="105" t="str">
        <f>_xlfn.XLOOKUP(Tabla1[[#This Row],[Universidad]],Conversiones!$B:$B,Conversiones!$C:$C)</f>
        <v>University of Saint Gallen</v>
      </c>
      <c r="U57" s="105" t="str">
        <f>_xlfn.XLOOKUP(Tabla1[[#This Row],[Universidad KPIs]],Conversiones!$C:$C,Conversiones!$E:$E)</f>
        <v>Específico</v>
      </c>
      <c r="V57" t="s">
        <v>81</v>
      </c>
      <c r="W57" t="s">
        <v>281</v>
      </c>
      <c r="X57" s="2">
        <v>44221</v>
      </c>
      <c r="Y57" s="2">
        <v>44345</v>
      </c>
      <c r="Z57">
        <v>124</v>
      </c>
    </row>
    <row r="58" spans="1:26">
      <c r="A58" s="103" t="s">
        <v>525</v>
      </c>
      <c r="B58" s="1">
        <v>201630612</v>
      </c>
      <c r="C58" s="1" t="s">
        <v>526</v>
      </c>
      <c r="D58" s="1" t="s">
        <v>527</v>
      </c>
      <c r="E58" s="1" t="s">
        <v>528</v>
      </c>
      <c r="F58" s="1" t="s">
        <v>233</v>
      </c>
      <c r="G58" s="1" t="s">
        <v>277</v>
      </c>
      <c r="H58" s="1"/>
      <c r="I58" s="1"/>
      <c r="J58" s="1" t="s">
        <v>278</v>
      </c>
      <c r="K58" s="1">
        <v>2021</v>
      </c>
      <c r="L58" s="1">
        <v>202110</v>
      </c>
      <c r="M58" s="1">
        <v>202110</v>
      </c>
      <c r="N58" s="1" t="s">
        <v>279</v>
      </c>
      <c r="O58" s="1" t="s">
        <v>230</v>
      </c>
      <c r="P58" s="1" t="s">
        <v>280</v>
      </c>
      <c r="Q58" s="1" t="s">
        <v>233</v>
      </c>
      <c r="R58" s="1" t="s">
        <v>277</v>
      </c>
      <c r="S58" s="1" t="s">
        <v>154</v>
      </c>
      <c r="T58" s="105" t="str">
        <f>_xlfn.XLOOKUP(Tabla1[[#This Row],[Universidad]],Conversiones!$B:$B,Conversiones!$C:$C)</f>
        <v>Technische Universität München</v>
      </c>
      <c r="U58" s="105" t="str">
        <f>_xlfn.XLOOKUP(Tabla1[[#This Row],[Universidad KPIs]],Conversiones!$C:$C,Conversiones!$E:$E)</f>
        <v>General</v>
      </c>
      <c r="V58" s="1" t="s">
        <v>76</v>
      </c>
      <c r="W58" s="1" t="s">
        <v>281</v>
      </c>
      <c r="X58" s="87">
        <v>44221</v>
      </c>
      <c r="Y58" s="87">
        <v>44345</v>
      </c>
      <c r="Z58" s="1">
        <v>124</v>
      </c>
    </row>
    <row r="59" spans="1:26">
      <c r="A59" s="102" t="s">
        <v>529</v>
      </c>
      <c r="B59">
        <v>201729813</v>
      </c>
      <c r="C59" t="s">
        <v>530</v>
      </c>
      <c r="D59" t="s">
        <v>531</v>
      </c>
      <c r="E59" t="s">
        <v>532</v>
      </c>
      <c r="F59" t="s">
        <v>233</v>
      </c>
      <c r="G59" t="s">
        <v>277</v>
      </c>
      <c r="J59" t="s">
        <v>278</v>
      </c>
      <c r="K59">
        <v>2021</v>
      </c>
      <c r="L59">
        <v>202110</v>
      </c>
      <c r="M59">
        <v>202110</v>
      </c>
      <c r="N59" t="s">
        <v>279</v>
      </c>
      <c r="O59" t="s">
        <v>230</v>
      </c>
      <c r="P59" t="s">
        <v>280</v>
      </c>
      <c r="Q59" t="s">
        <v>233</v>
      </c>
      <c r="R59" t="s">
        <v>277</v>
      </c>
      <c r="S59" t="s">
        <v>305</v>
      </c>
      <c r="T59" s="105" t="str">
        <f>_xlfn.XLOOKUP(Tabla1[[#This Row],[Universidad]],Conversiones!$B:$B,Conversiones!$C:$C)</f>
        <v>Catolica Lisbon Business &amp; Economics. Universidade Católica Portuguesa</v>
      </c>
      <c r="U59" s="105" t="str">
        <f>_xlfn.XLOOKUP(Tabla1[[#This Row],[Universidad KPIs]],Conversiones!$C:$C,Conversiones!$E:$E)</f>
        <v>Específico</v>
      </c>
      <c r="V59" t="s">
        <v>61</v>
      </c>
      <c r="W59" t="s">
        <v>281</v>
      </c>
      <c r="X59" s="2">
        <v>44221</v>
      </c>
      <c r="Y59" s="2">
        <v>44345</v>
      </c>
      <c r="Z59">
        <v>124</v>
      </c>
    </row>
    <row r="60" spans="1:26">
      <c r="A60" s="103" t="s">
        <v>533</v>
      </c>
      <c r="B60" s="1">
        <v>201630495</v>
      </c>
      <c r="C60" s="1" t="s">
        <v>534</v>
      </c>
      <c r="D60" s="1" t="s">
        <v>535</v>
      </c>
      <c r="E60" s="1" t="s">
        <v>536</v>
      </c>
      <c r="F60" s="1" t="s">
        <v>233</v>
      </c>
      <c r="G60" s="1" t="s">
        <v>277</v>
      </c>
      <c r="H60" s="1" t="s">
        <v>537</v>
      </c>
      <c r="I60" s="1" t="s">
        <v>538</v>
      </c>
      <c r="J60" s="1" t="s">
        <v>278</v>
      </c>
      <c r="K60" s="1">
        <v>2021</v>
      </c>
      <c r="L60" s="1">
        <v>202110</v>
      </c>
      <c r="M60" s="1">
        <v>202020</v>
      </c>
      <c r="N60" s="1" t="s">
        <v>279</v>
      </c>
      <c r="O60" s="1" t="s">
        <v>230</v>
      </c>
      <c r="P60" s="1" t="s">
        <v>280</v>
      </c>
      <c r="Q60" s="1" t="s">
        <v>233</v>
      </c>
      <c r="R60" s="1" t="s">
        <v>277</v>
      </c>
      <c r="S60" s="1" t="s">
        <v>441</v>
      </c>
      <c r="T60" s="105" t="str">
        <f>_xlfn.XLOOKUP(Tabla1[[#This Row],[Universidad]],Conversiones!$B:$B,Conversiones!$C:$C)</f>
        <v xml:space="preserve">CBS- Copenhagen Business School  </v>
      </c>
      <c r="U60" s="105" t="str">
        <f>_xlfn.XLOOKUP(Tabla1[[#This Row],[Universidad KPIs]],Conversiones!$C:$C,Conversiones!$E:$E)</f>
        <v>Específico</v>
      </c>
      <c r="V60" s="1" t="s">
        <v>63</v>
      </c>
      <c r="W60" s="1" t="s">
        <v>281</v>
      </c>
      <c r="X60" s="87">
        <v>44221</v>
      </c>
      <c r="Y60" s="87">
        <v>44345</v>
      </c>
      <c r="Z60" s="1">
        <v>124</v>
      </c>
    </row>
    <row r="61" spans="1:26">
      <c r="A61" s="102" t="s">
        <v>539</v>
      </c>
      <c r="B61">
        <v>201712862</v>
      </c>
      <c r="C61" t="s">
        <v>540</v>
      </c>
      <c r="D61" t="s">
        <v>541</v>
      </c>
      <c r="E61" t="s">
        <v>542</v>
      </c>
      <c r="F61" t="s">
        <v>233</v>
      </c>
      <c r="G61" t="s">
        <v>277</v>
      </c>
      <c r="H61" t="s">
        <v>543</v>
      </c>
      <c r="I61" t="s">
        <v>544</v>
      </c>
      <c r="J61" t="s">
        <v>278</v>
      </c>
      <c r="K61">
        <v>2021</v>
      </c>
      <c r="L61">
        <v>202110</v>
      </c>
      <c r="M61">
        <v>202110</v>
      </c>
      <c r="N61" t="s">
        <v>279</v>
      </c>
      <c r="O61" t="s">
        <v>230</v>
      </c>
      <c r="P61" t="s">
        <v>280</v>
      </c>
      <c r="Q61" t="s">
        <v>233</v>
      </c>
      <c r="R61" t="s">
        <v>277</v>
      </c>
      <c r="S61" t="s">
        <v>419</v>
      </c>
      <c r="T61" s="105" t="str">
        <f>_xlfn.XLOOKUP(Tabla1[[#This Row],[Universidad]],Conversiones!$B:$B,Conversiones!$C:$C)</f>
        <v>ESCP</v>
      </c>
      <c r="U61" s="105" t="str">
        <f>_xlfn.XLOOKUP(Tabla1[[#This Row],[Universidad KPIs]],Conversiones!$C:$C,Conversiones!$E:$E)</f>
        <v>Específico</v>
      </c>
      <c r="V61" t="s">
        <v>57</v>
      </c>
      <c r="W61" t="s">
        <v>281</v>
      </c>
      <c r="X61" s="2">
        <v>44221</v>
      </c>
      <c r="Y61" s="2">
        <v>44345</v>
      </c>
      <c r="Z61">
        <v>124</v>
      </c>
    </row>
    <row r="62" spans="1:26">
      <c r="A62" s="103" t="s">
        <v>545</v>
      </c>
      <c r="B62" s="1">
        <v>201631007</v>
      </c>
      <c r="C62" s="1" t="s">
        <v>317</v>
      </c>
      <c r="D62" s="1" t="s">
        <v>546</v>
      </c>
      <c r="E62" s="1" t="s">
        <v>547</v>
      </c>
      <c r="F62" s="1" t="s">
        <v>233</v>
      </c>
      <c r="G62" s="1" t="s">
        <v>277</v>
      </c>
      <c r="H62" s="1"/>
      <c r="I62" s="1"/>
      <c r="J62" s="1" t="s">
        <v>278</v>
      </c>
      <c r="K62" s="1">
        <v>2021</v>
      </c>
      <c r="L62" s="1">
        <v>202110</v>
      </c>
      <c r="M62" s="1">
        <v>202020</v>
      </c>
      <c r="N62" s="1" t="s">
        <v>279</v>
      </c>
      <c r="O62" s="1" t="s">
        <v>230</v>
      </c>
      <c r="P62" s="1" t="s">
        <v>280</v>
      </c>
      <c r="Q62" s="1" t="s">
        <v>233</v>
      </c>
      <c r="R62" s="1" t="s">
        <v>277</v>
      </c>
      <c r="S62" s="1" t="s">
        <v>310</v>
      </c>
      <c r="T62" s="105" t="str">
        <f>_xlfn.XLOOKUP(Tabla1[[#This Row],[Universidad]],Conversiones!$B:$B,Conversiones!$C:$C)</f>
        <v>Toulouse Business School</v>
      </c>
      <c r="U62" s="105" t="str">
        <f>_xlfn.XLOOKUP(Tabla1[[#This Row],[Universidad KPIs]],Conversiones!$C:$C,Conversiones!$E:$E)</f>
        <v>Específico</v>
      </c>
      <c r="V62" s="1" t="s">
        <v>57</v>
      </c>
      <c r="W62" s="1" t="s">
        <v>281</v>
      </c>
      <c r="X62" s="87">
        <v>44221</v>
      </c>
      <c r="Y62" s="87">
        <v>44345</v>
      </c>
      <c r="Z62" s="1">
        <v>124</v>
      </c>
    </row>
    <row r="63" spans="1:26">
      <c r="A63" s="102" t="s">
        <v>548</v>
      </c>
      <c r="B63">
        <v>201729515</v>
      </c>
      <c r="C63" t="s">
        <v>434</v>
      </c>
      <c r="D63" t="s">
        <v>549</v>
      </c>
      <c r="E63" t="s">
        <v>550</v>
      </c>
      <c r="F63" t="s">
        <v>233</v>
      </c>
      <c r="G63" t="s">
        <v>277</v>
      </c>
      <c r="J63" t="s">
        <v>278</v>
      </c>
      <c r="K63">
        <v>2021</v>
      </c>
      <c r="L63">
        <v>202110</v>
      </c>
      <c r="M63">
        <v>202020</v>
      </c>
      <c r="N63" t="s">
        <v>279</v>
      </c>
      <c r="O63" t="s">
        <v>230</v>
      </c>
      <c r="P63" t="s">
        <v>280</v>
      </c>
      <c r="Q63" t="s">
        <v>233</v>
      </c>
      <c r="R63" t="s">
        <v>277</v>
      </c>
      <c r="S63" t="s">
        <v>94</v>
      </c>
      <c r="T63" s="105" t="str">
        <f>_xlfn.XLOOKUP(Tabla1[[#This Row],[Universidad]],Conversiones!$B:$B,Conversiones!$C:$C)</f>
        <v>Maastricht University</v>
      </c>
      <c r="U63" s="105" t="str">
        <f>_xlfn.XLOOKUP(Tabla1[[#This Row],[Universidad KPIs]],Conversiones!$C:$C,Conversiones!$E:$E)</f>
        <v>Específico</v>
      </c>
      <c r="V63" t="s">
        <v>95</v>
      </c>
      <c r="W63" t="s">
        <v>281</v>
      </c>
      <c r="X63" s="2">
        <v>44221</v>
      </c>
      <c r="Y63" s="2">
        <v>44345</v>
      </c>
      <c r="Z63">
        <v>124</v>
      </c>
    </row>
    <row r="64" spans="1:26">
      <c r="A64" s="103" t="s">
        <v>551</v>
      </c>
      <c r="B64" s="1">
        <v>201631231</v>
      </c>
      <c r="C64" s="1" t="s">
        <v>552</v>
      </c>
      <c r="D64" s="1" t="s">
        <v>553</v>
      </c>
      <c r="E64" s="1" t="s">
        <v>554</v>
      </c>
      <c r="F64" s="1" t="s">
        <v>543</v>
      </c>
      <c r="G64" s="1" t="s">
        <v>544</v>
      </c>
      <c r="H64" s="1" t="s">
        <v>233</v>
      </c>
      <c r="I64" s="1" t="s">
        <v>277</v>
      </c>
      <c r="J64" s="1" t="s">
        <v>278</v>
      </c>
      <c r="K64" s="1">
        <v>2021</v>
      </c>
      <c r="L64" s="1">
        <v>202110</v>
      </c>
      <c r="M64" s="1">
        <v>202020</v>
      </c>
      <c r="N64" s="1" t="s">
        <v>279</v>
      </c>
      <c r="O64" s="1" t="s">
        <v>230</v>
      </c>
      <c r="P64" s="1" t="s">
        <v>280</v>
      </c>
      <c r="Q64" s="1" t="s">
        <v>233</v>
      </c>
      <c r="R64" s="1" t="s">
        <v>277</v>
      </c>
      <c r="S64" s="1" t="s">
        <v>94</v>
      </c>
      <c r="T64" s="105" t="str">
        <f>_xlfn.XLOOKUP(Tabla1[[#This Row],[Universidad]],Conversiones!$B:$B,Conversiones!$C:$C)</f>
        <v>Maastricht University</v>
      </c>
      <c r="U64" s="105" t="str">
        <f>_xlfn.XLOOKUP(Tabla1[[#This Row],[Universidad KPIs]],Conversiones!$C:$C,Conversiones!$E:$E)</f>
        <v>Específico</v>
      </c>
      <c r="V64" s="1" t="s">
        <v>95</v>
      </c>
      <c r="W64" s="1" t="s">
        <v>281</v>
      </c>
      <c r="X64" s="87">
        <v>44221</v>
      </c>
      <c r="Y64" s="87">
        <v>44345</v>
      </c>
      <c r="Z64" s="1">
        <v>124</v>
      </c>
    </row>
    <row r="65" spans="1:26">
      <c r="A65" s="102" t="s">
        <v>555</v>
      </c>
      <c r="B65">
        <v>201822171</v>
      </c>
      <c r="C65" t="s">
        <v>556</v>
      </c>
      <c r="D65" t="s">
        <v>557</v>
      </c>
      <c r="E65" t="s">
        <v>558</v>
      </c>
      <c r="F65" t="s">
        <v>233</v>
      </c>
      <c r="G65" t="s">
        <v>277</v>
      </c>
      <c r="J65" t="s">
        <v>278</v>
      </c>
      <c r="K65">
        <v>2021</v>
      </c>
      <c r="L65">
        <v>202110</v>
      </c>
      <c r="M65">
        <v>202020</v>
      </c>
      <c r="N65" t="s">
        <v>279</v>
      </c>
      <c r="O65" t="s">
        <v>230</v>
      </c>
      <c r="P65" t="s">
        <v>280</v>
      </c>
      <c r="Q65" t="s">
        <v>233</v>
      </c>
      <c r="R65" t="s">
        <v>277</v>
      </c>
      <c r="S65" t="s">
        <v>559</v>
      </c>
      <c r="T65" s="105" t="str">
        <f>_xlfn.XLOOKUP(Tabla1[[#This Row],[Universidad]],Conversiones!$B:$B,Conversiones!$C:$C)</f>
        <v>ICN Business School - Institut Commercial de Nancy</v>
      </c>
      <c r="U65" s="105" t="str">
        <f>_xlfn.XLOOKUP(Tabla1[[#This Row],[Universidad KPIs]],Conversiones!$C:$C,Conversiones!$E:$E)</f>
        <v>Específico</v>
      </c>
      <c r="V65" t="s">
        <v>57</v>
      </c>
      <c r="W65" t="s">
        <v>281</v>
      </c>
      <c r="X65" s="2">
        <v>44221</v>
      </c>
      <c r="Y65" s="2">
        <v>44345</v>
      </c>
      <c r="Z65">
        <v>124</v>
      </c>
    </row>
    <row r="66" spans="1:26">
      <c r="A66" s="103" t="s">
        <v>560</v>
      </c>
      <c r="B66" s="1">
        <v>201632729</v>
      </c>
      <c r="C66" s="1" t="s">
        <v>465</v>
      </c>
      <c r="D66" s="1" t="s">
        <v>561</v>
      </c>
      <c r="E66" s="1" t="s">
        <v>562</v>
      </c>
      <c r="F66" s="1" t="s">
        <v>233</v>
      </c>
      <c r="G66" s="1" t="s">
        <v>277</v>
      </c>
      <c r="H66" s="1" t="s">
        <v>491</v>
      </c>
      <c r="I66" s="1" t="s">
        <v>492</v>
      </c>
      <c r="J66" s="1" t="s">
        <v>278</v>
      </c>
      <c r="K66" s="1">
        <v>2021</v>
      </c>
      <c r="L66" s="1">
        <v>202110</v>
      </c>
      <c r="M66" s="1">
        <v>202020</v>
      </c>
      <c r="N66" s="1" t="s">
        <v>279</v>
      </c>
      <c r="O66" s="1" t="s">
        <v>230</v>
      </c>
      <c r="P66" s="1" t="s">
        <v>280</v>
      </c>
      <c r="Q66" s="1" t="s">
        <v>233</v>
      </c>
      <c r="R66" s="1" t="s">
        <v>277</v>
      </c>
      <c r="S66" s="1" t="s">
        <v>310</v>
      </c>
      <c r="T66" s="105" t="str">
        <f>_xlfn.XLOOKUP(Tabla1[[#This Row],[Universidad]],Conversiones!$B:$B,Conversiones!$C:$C)</f>
        <v>Toulouse Business School</v>
      </c>
      <c r="U66" s="105" t="str">
        <f>_xlfn.XLOOKUP(Tabla1[[#This Row],[Universidad KPIs]],Conversiones!$C:$C,Conversiones!$E:$E)</f>
        <v>Específico</v>
      </c>
      <c r="V66" s="1" t="s">
        <v>57</v>
      </c>
      <c r="W66" s="1" t="s">
        <v>281</v>
      </c>
      <c r="X66" s="87">
        <v>44221</v>
      </c>
      <c r="Y66" s="87">
        <v>44345</v>
      </c>
      <c r="Z66" s="1">
        <v>124</v>
      </c>
    </row>
    <row r="67" spans="1:26">
      <c r="A67" s="102" t="s">
        <v>563</v>
      </c>
      <c r="B67">
        <v>201714722</v>
      </c>
      <c r="C67" t="s">
        <v>335</v>
      </c>
      <c r="D67" t="s">
        <v>564</v>
      </c>
      <c r="E67" t="s">
        <v>565</v>
      </c>
      <c r="F67" t="s">
        <v>233</v>
      </c>
      <c r="G67" t="s">
        <v>277</v>
      </c>
      <c r="J67" t="s">
        <v>566</v>
      </c>
      <c r="K67">
        <v>2021</v>
      </c>
      <c r="L67">
        <v>202110</v>
      </c>
      <c r="M67">
        <v>202110</v>
      </c>
      <c r="N67" t="s">
        <v>279</v>
      </c>
      <c r="O67" t="s">
        <v>230</v>
      </c>
      <c r="P67" t="s">
        <v>280</v>
      </c>
      <c r="Q67" t="s">
        <v>233</v>
      </c>
      <c r="R67" t="s">
        <v>277</v>
      </c>
      <c r="S67" t="s">
        <v>567</v>
      </c>
      <c r="T67" s="105" t="str">
        <f>_xlfn.XLOOKUP(Tabla1[[#This Row],[Universidad]],Conversiones!$B:$B,Conversiones!$C:$C)</f>
        <v>NUCB- Nagoya University of commerce and business</v>
      </c>
      <c r="U67" s="105" t="str">
        <f>_xlfn.XLOOKUP(Tabla1[[#This Row],[Universidad KPIs]],Conversiones!$C:$C,Conversiones!$E:$E)</f>
        <v>Específico</v>
      </c>
      <c r="V67" t="s">
        <v>101</v>
      </c>
      <c r="W67" t="s">
        <v>568</v>
      </c>
      <c r="X67" s="2">
        <v>44221</v>
      </c>
      <c r="Y67" s="2">
        <v>44345</v>
      </c>
      <c r="Z67">
        <v>124</v>
      </c>
    </row>
    <row r="68" spans="1:26">
      <c r="A68" s="103" t="s">
        <v>569</v>
      </c>
      <c r="B68" s="1">
        <v>201633753</v>
      </c>
      <c r="C68" s="1" t="s">
        <v>570</v>
      </c>
      <c r="D68" s="1" t="s">
        <v>571</v>
      </c>
      <c r="E68" s="1" t="s">
        <v>572</v>
      </c>
      <c r="F68" s="1" t="s">
        <v>233</v>
      </c>
      <c r="G68" s="1" t="s">
        <v>277</v>
      </c>
      <c r="H68" s="1"/>
      <c r="I68" s="1"/>
      <c r="J68" s="1" t="s">
        <v>278</v>
      </c>
      <c r="K68" s="1">
        <v>2021</v>
      </c>
      <c r="L68" s="1">
        <v>202110</v>
      </c>
      <c r="M68" s="1">
        <v>202110</v>
      </c>
      <c r="N68" s="1" t="s">
        <v>279</v>
      </c>
      <c r="O68" s="1" t="s">
        <v>230</v>
      </c>
      <c r="P68" s="1" t="s">
        <v>280</v>
      </c>
      <c r="Q68" s="1" t="s">
        <v>233</v>
      </c>
      <c r="R68" s="1" t="s">
        <v>277</v>
      </c>
      <c r="S68" s="1" t="s">
        <v>94</v>
      </c>
      <c r="T68" s="105" t="str">
        <f>_xlfn.XLOOKUP(Tabla1[[#This Row],[Universidad]],Conversiones!$B:$B,Conversiones!$C:$C)</f>
        <v>Maastricht University</v>
      </c>
      <c r="U68" s="105" t="str">
        <f>_xlfn.XLOOKUP(Tabla1[[#This Row],[Universidad KPIs]],Conversiones!$C:$C,Conversiones!$E:$E)</f>
        <v>Específico</v>
      </c>
      <c r="V68" s="1" t="s">
        <v>95</v>
      </c>
      <c r="W68" s="1" t="s">
        <v>281</v>
      </c>
      <c r="X68" s="87">
        <v>44221</v>
      </c>
      <c r="Y68" s="87">
        <v>44345</v>
      </c>
      <c r="Z68" s="1">
        <v>124</v>
      </c>
    </row>
    <row r="69" spans="1:26">
      <c r="A69" s="102" t="s">
        <v>573</v>
      </c>
      <c r="B69">
        <v>201730520</v>
      </c>
      <c r="C69" t="s">
        <v>298</v>
      </c>
      <c r="D69" t="s">
        <v>574</v>
      </c>
      <c r="E69" t="s">
        <v>575</v>
      </c>
      <c r="F69" t="s">
        <v>233</v>
      </c>
      <c r="G69" t="s">
        <v>277</v>
      </c>
      <c r="J69" t="s">
        <v>278</v>
      </c>
      <c r="K69">
        <v>2021</v>
      </c>
      <c r="L69">
        <v>202110</v>
      </c>
      <c r="M69">
        <v>202110</v>
      </c>
      <c r="N69" t="s">
        <v>279</v>
      </c>
      <c r="O69" t="s">
        <v>230</v>
      </c>
      <c r="P69" t="s">
        <v>280</v>
      </c>
      <c r="Q69" t="s">
        <v>233</v>
      </c>
      <c r="R69" t="s">
        <v>277</v>
      </c>
      <c r="S69" t="s">
        <v>419</v>
      </c>
      <c r="T69" s="105" t="str">
        <f>_xlfn.XLOOKUP(Tabla1[[#This Row],[Universidad]],Conversiones!$B:$B,Conversiones!$C:$C)</f>
        <v>ESCP</v>
      </c>
      <c r="U69" s="105" t="str">
        <f>_xlfn.XLOOKUP(Tabla1[[#This Row],[Universidad KPIs]],Conversiones!$C:$C,Conversiones!$E:$E)</f>
        <v>Específico</v>
      </c>
      <c r="V69" t="s">
        <v>57</v>
      </c>
      <c r="W69" t="s">
        <v>281</v>
      </c>
      <c r="X69" s="2">
        <v>44221</v>
      </c>
      <c r="Y69" s="2">
        <v>44345</v>
      </c>
      <c r="Z69">
        <v>124</v>
      </c>
    </row>
    <row r="70" spans="1:26">
      <c r="A70" s="103" t="s">
        <v>576</v>
      </c>
      <c r="B70" s="1">
        <v>201731812</v>
      </c>
      <c r="C70" s="1" t="s">
        <v>577</v>
      </c>
      <c r="D70" s="1" t="s">
        <v>578</v>
      </c>
      <c r="E70" s="1" t="s">
        <v>579</v>
      </c>
      <c r="F70" s="1" t="s">
        <v>233</v>
      </c>
      <c r="G70" s="1" t="s">
        <v>277</v>
      </c>
      <c r="H70" s="1"/>
      <c r="I70" s="1"/>
      <c r="J70" s="1" t="s">
        <v>278</v>
      </c>
      <c r="K70" s="1">
        <v>2021</v>
      </c>
      <c r="L70" s="1">
        <v>202110</v>
      </c>
      <c r="M70" s="1">
        <v>202020</v>
      </c>
      <c r="N70" s="1" t="s">
        <v>279</v>
      </c>
      <c r="O70" s="1" t="s">
        <v>230</v>
      </c>
      <c r="P70" s="1" t="s">
        <v>280</v>
      </c>
      <c r="Q70" s="1" t="s">
        <v>233</v>
      </c>
      <c r="R70" s="1" t="s">
        <v>277</v>
      </c>
      <c r="S70" s="1" t="s">
        <v>320</v>
      </c>
      <c r="T70" s="105" t="str">
        <f>_xlfn.XLOOKUP(Tabla1[[#This Row],[Universidad]],Conversiones!$B:$B,Conversiones!$C:$C)</f>
        <v>ESADE</v>
      </c>
      <c r="U70" s="105" t="str">
        <f>_xlfn.XLOOKUP(Tabla1[[#This Row],[Universidad KPIs]],Conversiones!$C:$C,Conversiones!$E:$E)</f>
        <v>Específico</v>
      </c>
      <c r="V70" s="1" t="s">
        <v>69</v>
      </c>
      <c r="W70" s="1" t="s">
        <v>281</v>
      </c>
      <c r="X70" s="87">
        <v>44221</v>
      </c>
      <c r="Y70" s="87">
        <v>44345</v>
      </c>
      <c r="Z70" s="1">
        <v>124</v>
      </c>
    </row>
    <row r="71" spans="1:26">
      <c r="A71" s="102" t="s">
        <v>580</v>
      </c>
      <c r="B71">
        <v>201629865</v>
      </c>
      <c r="C71" t="s">
        <v>581</v>
      </c>
      <c r="D71" t="s">
        <v>582</v>
      </c>
      <c r="E71" t="s">
        <v>583</v>
      </c>
      <c r="F71" t="s">
        <v>233</v>
      </c>
      <c r="G71" t="s">
        <v>277</v>
      </c>
      <c r="J71" t="s">
        <v>566</v>
      </c>
      <c r="K71">
        <v>2021</v>
      </c>
      <c r="L71">
        <v>202119</v>
      </c>
      <c r="M71">
        <v>202119</v>
      </c>
      <c r="N71" t="s">
        <v>279</v>
      </c>
      <c r="O71" t="s">
        <v>584</v>
      </c>
      <c r="P71" t="s">
        <v>468</v>
      </c>
      <c r="Q71" t="s">
        <v>233</v>
      </c>
      <c r="R71" t="s">
        <v>277</v>
      </c>
      <c r="S71" t="s">
        <v>197</v>
      </c>
      <c r="T71" s="105" t="str">
        <f>_xlfn.XLOOKUP(Tabla1[[#This Row],[Universidad]],Conversiones!$B:$B,Conversiones!$C:$C)</f>
        <v>Cornell University</v>
      </c>
      <c r="U71" s="105" t="str">
        <f>_xlfn.XLOOKUP(Tabla1[[#This Row],[Universidad KPIs]],Conversiones!$C:$C,Conversiones!$E:$E)</f>
        <v>General</v>
      </c>
      <c r="V71" t="s">
        <v>51</v>
      </c>
      <c r="W71" t="s">
        <v>291</v>
      </c>
      <c r="X71" s="2">
        <v>44355</v>
      </c>
      <c r="Y71" s="2">
        <v>44408</v>
      </c>
      <c r="Z71">
        <v>53</v>
      </c>
    </row>
    <row r="72" spans="1:26">
      <c r="A72" s="103" t="s">
        <v>585</v>
      </c>
      <c r="B72" s="1">
        <v>201630649</v>
      </c>
      <c r="C72" s="1" t="s">
        <v>586</v>
      </c>
      <c r="D72" s="1" t="s">
        <v>587</v>
      </c>
      <c r="E72" s="1" t="s">
        <v>588</v>
      </c>
      <c r="F72" s="1" t="s">
        <v>233</v>
      </c>
      <c r="G72" s="1" t="s">
        <v>277</v>
      </c>
      <c r="H72" s="1"/>
      <c r="I72" s="1"/>
      <c r="J72" s="1" t="s">
        <v>566</v>
      </c>
      <c r="K72" s="1">
        <v>2021</v>
      </c>
      <c r="L72" s="1">
        <v>202119</v>
      </c>
      <c r="M72" s="1">
        <v>202119</v>
      </c>
      <c r="N72" s="1" t="s">
        <v>279</v>
      </c>
      <c r="O72" s="1" t="s">
        <v>584</v>
      </c>
      <c r="P72" s="1" t="s">
        <v>468</v>
      </c>
      <c r="Q72" s="1" t="s">
        <v>233</v>
      </c>
      <c r="R72" s="1" t="s">
        <v>277</v>
      </c>
      <c r="S72" s="1" t="s">
        <v>197</v>
      </c>
      <c r="T72" s="105" t="str">
        <f>_xlfn.XLOOKUP(Tabla1[[#This Row],[Universidad]],Conversiones!$B:$B,Conversiones!$C:$C)</f>
        <v>Cornell University</v>
      </c>
      <c r="U72" s="105" t="str">
        <f>_xlfn.XLOOKUP(Tabla1[[#This Row],[Universidad KPIs]],Conversiones!$C:$C,Conversiones!$E:$E)</f>
        <v>General</v>
      </c>
      <c r="V72" s="1" t="s">
        <v>51</v>
      </c>
      <c r="W72" s="1" t="s">
        <v>291</v>
      </c>
      <c r="X72" s="87">
        <v>44355</v>
      </c>
      <c r="Y72" s="87">
        <v>44408</v>
      </c>
      <c r="Z72" s="1">
        <v>53</v>
      </c>
    </row>
    <row r="73" spans="1:26">
      <c r="A73" s="102" t="s">
        <v>589</v>
      </c>
      <c r="B73">
        <v>201719929</v>
      </c>
      <c r="C73" t="s">
        <v>586</v>
      </c>
      <c r="D73" t="s">
        <v>590</v>
      </c>
      <c r="E73" t="s">
        <v>591</v>
      </c>
      <c r="F73" t="s">
        <v>233</v>
      </c>
      <c r="G73" t="s">
        <v>277</v>
      </c>
      <c r="J73" t="s">
        <v>566</v>
      </c>
      <c r="K73">
        <v>2021</v>
      </c>
      <c r="L73">
        <v>202119</v>
      </c>
      <c r="M73">
        <v>202119</v>
      </c>
      <c r="N73" t="s">
        <v>279</v>
      </c>
      <c r="O73" t="s">
        <v>584</v>
      </c>
      <c r="P73" t="s">
        <v>468</v>
      </c>
      <c r="Q73" t="s">
        <v>233</v>
      </c>
      <c r="R73" t="s">
        <v>277</v>
      </c>
      <c r="S73" t="s">
        <v>197</v>
      </c>
      <c r="T73" s="105" t="str">
        <f>_xlfn.XLOOKUP(Tabla1[[#This Row],[Universidad]],Conversiones!$B:$B,Conversiones!$C:$C)</f>
        <v>Cornell University</v>
      </c>
      <c r="U73" s="105" t="str">
        <f>_xlfn.XLOOKUP(Tabla1[[#This Row],[Universidad KPIs]],Conversiones!$C:$C,Conversiones!$E:$E)</f>
        <v>General</v>
      </c>
      <c r="V73" t="s">
        <v>51</v>
      </c>
      <c r="W73" t="s">
        <v>291</v>
      </c>
      <c r="X73" s="2">
        <v>44355</v>
      </c>
      <c r="Y73" s="2">
        <v>44408</v>
      </c>
      <c r="Z73">
        <v>53</v>
      </c>
    </row>
    <row r="74" spans="1:26">
      <c r="A74" s="103" t="s">
        <v>592</v>
      </c>
      <c r="B74" s="1">
        <v>201632389</v>
      </c>
      <c r="C74" s="1" t="s">
        <v>593</v>
      </c>
      <c r="D74" s="1" t="s">
        <v>594</v>
      </c>
      <c r="E74" s="1" t="s">
        <v>595</v>
      </c>
      <c r="F74" s="1" t="s">
        <v>233</v>
      </c>
      <c r="G74" s="1" t="s">
        <v>277</v>
      </c>
      <c r="H74" s="1"/>
      <c r="I74" s="1"/>
      <c r="J74" s="1" t="s">
        <v>566</v>
      </c>
      <c r="K74" s="1">
        <v>2021</v>
      </c>
      <c r="L74" s="1">
        <v>202119</v>
      </c>
      <c r="M74" s="1">
        <v>202119</v>
      </c>
      <c r="N74" s="1" t="s">
        <v>279</v>
      </c>
      <c r="O74" s="1" t="s">
        <v>584</v>
      </c>
      <c r="P74" s="1" t="s">
        <v>468</v>
      </c>
      <c r="Q74" s="1" t="s">
        <v>233</v>
      </c>
      <c r="R74" s="1" t="s">
        <v>277</v>
      </c>
      <c r="S74" s="1" t="s">
        <v>197</v>
      </c>
      <c r="T74" s="105" t="str">
        <f>_xlfn.XLOOKUP(Tabla1[[#This Row],[Universidad]],Conversiones!$B:$B,Conversiones!$C:$C)</f>
        <v>Cornell University</v>
      </c>
      <c r="U74" s="105" t="str">
        <f>_xlfn.XLOOKUP(Tabla1[[#This Row],[Universidad KPIs]],Conversiones!$C:$C,Conversiones!$E:$E)</f>
        <v>General</v>
      </c>
      <c r="V74" s="1" t="s">
        <v>51</v>
      </c>
      <c r="W74" s="1" t="s">
        <v>291</v>
      </c>
      <c r="X74" s="87">
        <v>44355</v>
      </c>
      <c r="Y74" s="87">
        <v>44408</v>
      </c>
      <c r="Z74" s="1">
        <v>53</v>
      </c>
    </row>
    <row r="75" spans="1:26">
      <c r="A75" s="102" t="s">
        <v>596</v>
      </c>
      <c r="B75">
        <v>201729127</v>
      </c>
      <c r="C75" t="s">
        <v>274</v>
      </c>
      <c r="D75" t="s">
        <v>597</v>
      </c>
      <c r="E75" t="s">
        <v>598</v>
      </c>
      <c r="F75" t="s">
        <v>233</v>
      </c>
      <c r="G75" t="s">
        <v>277</v>
      </c>
      <c r="J75" t="s">
        <v>566</v>
      </c>
      <c r="K75">
        <v>2021</v>
      </c>
      <c r="L75">
        <v>202119</v>
      </c>
      <c r="M75">
        <v>202119</v>
      </c>
      <c r="N75" t="s">
        <v>279</v>
      </c>
      <c r="O75" t="s">
        <v>584</v>
      </c>
      <c r="P75" t="s">
        <v>468</v>
      </c>
      <c r="Q75" t="s">
        <v>233</v>
      </c>
      <c r="R75" t="s">
        <v>277</v>
      </c>
      <c r="S75" t="s">
        <v>197</v>
      </c>
      <c r="T75" s="105" t="str">
        <f>_xlfn.XLOOKUP(Tabla1[[#This Row],[Universidad]],Conversiones!$B:$B,Conversiones!$C:$C)</f>
        <v>Cornell University</v>
      </c>
      <c r="U75" s="105" t="str">
        <f>_xlfn.XLOOKUP(Tabla1[[#This Row],[Universidad KPIs]],Conversiones!$C:$C,Conversiones!$E:$E)</f>
        <v>General</v>
      </c>
      <c r="V75" t="s">
        <v>51</v>
      </c>
      <c r="W75" t="s">
        <v>291</v>
      </c>
      <c r="X75" s="2">
        <v>44355</v>
      </c>
      <c r="Y75" s="2">
        <v>44408</v>
      </c>
      <c r="Z75">
        <v>53</v>
      </c>
    </row>
    <row r="76" spans="1:26">
      <c r="A76" s="103" t="s">
        <v>599</v>
      </c>
      <c r="B76" s="1">
        <v>201730158</v>
      </c>
      <c r="C76" s="1" t="s">
        <v>600</v>
      </c>
      <c r="D76" s="1" t="s">
        <v>601</v>
      </c>
      <c r="E76" s="1" t="s">
        <v>602</v>
      </c>
      <c r="F76" s="1" t="s">
        <v>233</v>
      </c>
      <c r="G76" s="1" t="s">
        <v>277</v>
      </c>
      <c r="H76" s="1"/>
      <c r="I76" s="1"/>
      <c r="J76" s="1" t="s">
        <v>566</v>
      </c>
      <c r="K76" s="1">
        <v>2021</v>
      </c>
      <c r="L76" s="1">
        <v>202119</v>
      </c>
      <c r="M76" s="1">
        <v>202119</v>
      </c>
      <c r="N76" s="1" t="s">
        <v>279</v>
      </c>
      <c r="O76" s="1" t="s">
        <v>584</v>
      </c>
      <c r="P76" s="1" t="s">
        <v>468</v>
      </c>
      <c r="Q76" s="1" t="s">
        <v>233</v>
      </c>
      <c r="R76" s="1" t="s">
        <v>277</v>
      </c>
      <c r="S76" s="1" t="s">
        <v>197</v>
      </c>
      <c r="T76" s="105" t="str">
        <f>_xlfn.XLOOKUP(Tabla1[[#This Row],[Universidad]],Conversiones!$B:$B,Conversiones!$C:$C)</f>
        <v>Cornell University</v>
      </c>
      <c r="U76" s="105" t="str">
        <f>_xlfn.XLOOKUP(Tabla1[[#This Row],[Universidad KPIs]],Conversiones!$C:$C,Conversiones!$E:$E)</f>
        <v>General</v>
      </c>
      <c r="V76" s="1" t="s">
        <v>51</v>
      </c>
      <c r="W76" s="1" t="s">
        <v>291</v>
      </c>
      <c r="X76" s="87">
        <v>44355</v>
      </c>
      <c r="Y76" s="87">
        <v>44408</v>
      </c>
      <c r="Z76" s="1">
        <v>53</v>
      </c>
    </row>
    <row r="77" spans="1:26">
      <c r="A77" s="102" t="s">
        <v>603</v>
      </c>
      <c r="B77">
        <v>201729052</v>
      </c>
      <c r="C77" t="s">
        <v>604</v>
      </c>
      <c r="D77" t="s">
        <v>605</v>
      </c>
      <c r="E77" t="s">
        <v>606</v>
      </c>
      <c r="F77" t="s">
        <v>233</v>
      </c>
      <c r="G77" t="s">
        <v>277</v>
      </c>
      <c r="J77" t="s">
        <v>566</v>
      </c>
      <c r="K77">
        <v>2021</v>
      </c>
      <c r="L77">
        <v>202119</v>
      </c>
      <c r="M77">
        <v>202119</v>
      </c>
      <c r="N77" t="s">
        <v>279</v>
      </c>
      <c r="O77" t="s">
        <v>584</v>
      </c>
      <c r="P77" t="s">
        <v>468</v>
      </c>
      <c r="Q77" t="s">
        <v>233</v>
      </c>
      <c r="R77" t="s">
        <v>277</v>
      </c>
      <c r="S77" t="s">
        <v>197</v>
      </c>
      <c r="T77" s="105" t="str">
        <f>_xlfn.XLOOKUP(Tabla1[[#This Row],[Universidad]],Conversiones!$B:$B,Conversiones!$C:$C)</f>
        <v>Cornell University</v>
      </c>
      <c r="U77" s="105" t="str">
        <f>_xlfn.XLOOKUP(Tabla1[[#This Row],[Universidad KPIs]],Conversiones!$C:$C,Conversiones!$E:$E)</f>
        <v>General</v>
      </c>
      <c r="V77" t="s">
        <v>51</v>
      </c>
      <c r="W77" t="s">
        <v>291</v>
      </c>
      <c r="X77" s="2">
        <v>44355</v>
      </c>
      <c r="Y77" s="2">
        <v>44408</v>
      </c>
      <c r="Z77">
        <v>53</v>
      </c>
    </row>
    <row r="78" spans="1:26">
      <c r="A78" s="103" t="s">
        <v>607</v>
      </c>
      <c r="B78" s="1">
        <v>201729731</v>
      </c>
      <c r="C78" s="1" t="s">
        <v>474</v>
      </c>
      <c r="D78" s="1" t="s">
        <v>608</v>
      </c>
      <c r="E78" s="1" t="s">
        <v>609</v>
      </c>
      <c r="F78" s="1" t="s">
        <v>233</v>
      </c>
      <c r="G78" s="1" t="s">
        <v>277</v>
      </c>
      <c r="H78" s="1"/>
      <c r="I78" s="1"/>
      <c r="J78" s="1" t="s">
        <v>566</v>
      </c>
      <c r="K78" s="1">
        <v>2021</v>
      </c>
      <c r="L78" s="1">
        <v>202119</v>
      </c>
      <c r="M78" s="1">
        <v>202119</v>
      </c>
      <c r="N78" s="1" t="s">
        <v>279</v>
      </c>
      <c r="O78" s="1" t="s">
        <v>584</v>
      </c>
      <c r="P78" s="1" t="s">
        <v>468</v>
      </c>
      <c r="Q78" s="1" t="s">
        <v>233</v>
      </c>
      <c r="R78" s="1" t="s">
        <v>277</v>
      </c>
      <c r="S78" s="1" t="s">
        <v>197</v>
      </c>
      <c r="T78" s="105" t="str">
        <f>_xlfn.XLOOKUP(Tabla1[[#This Row],[Universidad]],Conversiones!$B:$B,Conversiones!$C:$C)</f>
        <v>Cornell University</v>
      </c>
      <c r="U78" s="105" t="str">
        <f>_xlfn.XLOOKUP(Tabla1[[#This Row],[Universidad KPIs]],Conversiones!$C:$C,Conversiones!$E:$E)</f>
        <v>General</v>
      </c>
      <c r="V78" s="1" t="s">
        <v>51</v>
      </c>
      <c r="W78" s="1" t="s">
        <v>291</v>
      </c>
      <c r="X78" s="87">
        <v>44355</v>
      </c>
      <c r="Y78" s="87">
        <v>44408</v>
      </c>
      <c r="Z78" s="1">
        <v>53</v>
      </c>
    </row>
    <row r="79" spans="1:26">
      <c r="A79" s="102" t="s">
        <v>610</v>
      </c>
      <c r="B79">
        <v>201530867</v>
      </c>
      <c r="C79" t="s">
        <v>611</v>
      </c>
      <c r="D79" t="s">
        <v>612</v>
      </c>
      <c r="E79" t="s">
        <v>613</v>
      </c>
      <c r="F79" t="s">
        <v>233</v>
      </c>
      <c r="G79" t="s">
        <v>277</v>
      </c>
      <c r="J79" t="s">
        <v>278</v>
      </c>
      <c r="K79">
        <v>2021</v>
      </c>
      <c r="L79">
        <v>202120</v>
      </c>
      <c r="M79">
        <v>202120</v>
      </c>
      <c r="N79" t="s">
        <v>279</v>
      </c>
      <c r="O79" t="s">
        <v>231</v>
      </c>
      <c r="P79" t="s">
        <v>477</v>
      </c>
      <c r="Q79" t="s">
        <v>233</v>
      </c>
      <c r="R79" t="s">
        <v>277</v>
      </c>
      <c r="S79" t="s">
        <v>107</v>
      </c>
      <c r="T79" s="105" t="str">
        <f>_xlfn.XLOOKUP(Tabla1[[#This Row],[Universidad]],Conversiones!$B:$B,Conversiones!$C:$C)</f>
        <v>Toulouse Business School</v>
      </c>
      <c r="U79" s="105" t="str">
        <f>_xlfn.XLOOKUP(Tabla1[[#This Row],[Universidad KPIs]],Conversiones!$C:$C,Conversiones!$E:$E)</f>
        <v>Específico</v>
      </c>
      <c r="V79" t="s">
        <v>57</v>
      </c>
      <c r="W79" t="s">
        <v>281</v>
      </c>
      <c r="X79" s="2">
        <v>44417</v>
      </c>
      <c r="Y79" s="2">
        <v>44534</v>
      </c>
      <c r="Z79">
        <v>117</v>
      </c>
    </row>
    <row r="80" spans="1:26">
      <c r="A80" s="103" t="s">
        <v>614</v>
      </c>
      <c r="B80" s="1">
        <v>202023082</v>
      </c>
      <c r="C80" s="1" t="s">
        <v>615</v>
      </c>
      <c r="D80" s="1" t="s">
        <v>616</v>
      </c>
      <c r="E80" s="1" t="s">
        <v>617</v>
      </c>
      <c r="F80" s="1" t="s">
        <v>236</v>
      </c>
      <c r="G80" s="1" t="s">
        <v>277</v>
      </c>
      <c r="H80" s="1"/>
      <c r="I80" s="1"/>
      <c r="J80" s="1" t="s">
        <v>278</v>
      </c>
      <c r="K80" s="1">
        <v>2021</v>
      </c>
      <c r="L80" s="1">
        <v>202120</v>
      </c>
      <c r="M80" s="1">
        <v>202120</v>
      </c>
      <c r="N80" s="1" t="s">
        <v>618</v>
      </c>
      <c r="O80" s="1" t="s">
        <v>230</v>
      </c>
      <c r="P80" s="1" t="s">
        <v>619</v>
      </c>
      <c r="Q80" s="1" t="s">
        <v>236</v>
      </c>
      <c r="R80" s="1" t="s">
        <v>277</v>
      </c>
      <c r="S80" s="1" t="s">
        <v>620</v>
      </c>
      <c r="T80" s="105" t="str">
        <f>_xlfn.XLOOKUP(Tabla1[[#This Row],[Universidad]],Conversiones!$B:$B,Conversiones!$C:$C)</f>
        <v>JIBS Jönköping International Business School</v>
      </c>
      <c r="U80" s="105" t="str">
        <f>_xlfn.XLOOKUP(Tabla1[[#This Row],[Universidad KPIs]],Conversiones!$C:$C,Conversiones!$E:$E)</f>
        <v>Específico</v>
      </c>
      <c r="V80" s="1" t="s">
        <v>90</v>
      </c>
      <c r="W80" s="1" t="s">
        <v>281</v>
      </c>
      <c r="X80" s="87">
        <v>44417</v>
      </c>
      <c r="Y80" s="87">
        <v>44534</v>
      </c>
      <c r="Z80" s="1">
        <v>117</v>
      </c>
    </row>
    <row r="81" spans="1:26">
      <c r="A81" s="102" t="s">
        <v>621</v>
      </c>
      <c r="B81">
        <v>201812666</v>
      </c>
      <c r="C81" t="s">
        <v>457</v>
      </c>
      <c r="D81" t="s">
        <v>622</v>
      </c>
      <c r="E81" t="s">
        <v>623</v>
      </c>
      <c r="F81" t="s">
        <v>233</v>
      </c>
      <c r="G81" t="s">
        <v>277</v>
      </c>
      <c r="J81" t="s">
        <v>278</v>
      </c>
      <c r="K81">
        <v>2021</v>
      </c>
      <c r="L81">
        <v>202120</v>
      </c>
      <c r="M81">
        <v>202120</v>
      </c>
      <c r="N81" t="s">
        <v>279</v>
      </c>
      <c r="O81" t="s">
        <v>230</v>
      </c>
      <c r="P81" t="s">
        <v>280</v>
      </c>
      <c r="Q81" t="s">
        <v>233</v>
      </c>
      <c r="R81" t="s">
        <v>277</v>
      </c>
      <c r="S81" t="s">
        <v>419</v>
      </c>
      <c r="T81" s="105" t="str">
        <f>_xlfn.XLOOKUP(Tabla1[[#This Row],[Universidad]],Conversiones!$B:$B,Conversiones!$C:$C)</f>
        <v>ESCP</v>
      </c>
      <c r="U81" s="105" t="str">
        <f>_xlfn.XLOOKUP(Tabla1[[#This Row],[Universidad KPIs]],Conversiones!$C:$C,Conversiones!$E:$E)</f>
        <v>Específico</v>
      </c>
      <c r="V81" t="s">
        <v>57</v>
      </c>
      <c r="W81" t="s">
        <v>281</v>
      </c>
      <c r="X81" s="2">
        <v>44417</v>
      </c>
      <c r="Y81" s="2">
        <v>44534</v>
      </c>
      <c r="Z81">
        <v>117</v>
      </c>
    </row>
    <row r="82" spans="1:26">
      <c r="A82" s="103" t="s">
        <v>624</v>
      </c>
      <c r="B82" s="1">
        <v>201731042</v>
      </c>
      <c r="C82" s="1" t="s">
        <v>457</v>
      </c>
      <c r="D82" s="1" t="s">
        <v>625</v>
      </c>
      <c r="E82" s="1" t="s">
        <v>626</v>
      </c>
      <c r="F82" s="1" t="s">
        <v>233</v>
      </c>
      <c r="G82" s="1" t="s">
        <v>277</v>
      </c>
      <c r="H82" s="1"/>
      <c r="I82" s="1"/>
      <c r="J82" s="1" t="s">
        <v>278</v>
      </c>
      <c r="K82" s="1">
        <v>2021</v>
      </c>
      <c r="L82" s="1">
        <v>202120</v>
      </c>
      <c r="M82" s="1">
        <v>202120</v>
      </c>
      <c r="N82" s="1" t="s">
        <v>279</v>
      </c>
      <c r="O82" s="1" t="s">
        <v>230</v>
      </c>
      <c r="P82" s="1" t="s">
        <v>280</v>
      </c>
      <c r="Q82" s="1" t="s">
        <v>233</v>
      </c>
      <c r="R82" s="1" t="s">
        <v>277</v>
      </c>
      <c r="S82" s="1" t="s">
        <v>94</v>
      </c>
      <c r="T82" s="105" t="str">
        <f>_xlfn.XLOOKUP(Tabla1[[#This Row],[Universidad]],Conversiones!$B:$B,Conversiones!$C:$C)</f>
        <v>Maastricht University</v>
      </c>
      <c r="U82" s="105" t="str">
        <f>_xlfn.XLOOKUP(Tabla1[[#This Row],[Universidad KPIs]],Conversiones!$C:$C,Conversiones!$E:$E)</f>
        <v>Específico</v>
      </c>
      <c r="V82" s="1" t="s">
        <v>95</v>
      </c>
      <c r="W82" s="1" t="s">
        <v>281</v>
      </c>
      <c r="X82" s="87">
        <v>44417</v>
      </c>
      <c r="Y82" s="87">
        <v>44534</v>
      </c>
      <c r="Z82" s="1">
        <v>117</v>
      </c>
    </row>
    <row r="83" spans="1:26">
      <c r="A83" s="102" t="s">
        <v>627</v>
      </c>
      <c r="B83">
        <v>201631731</v>
      </c>
      <c r="C83" t="s">
        <v>628</v>
      </c>
      <c r="D83" t="s">
        <v>629</v>
      </c>
      <c r="E83" t="s">
        <v>630</v>
      </c>
      <c r="F83" t="s">
        <v>233</v>
      </c>
      <c r="G83" t="s">
        <v>277</v>
      </c>
      <c r="H83" t="s">
        <v>631</v>
      </c>
      <c r="I83" t="s">
        <v>538</v>
      </c>
      <c r="J83" t="s">
        <v>278</v>
      </c>
      <c r="K83">
        <v>2021</v>
      </c>
      <c r="L83">
        <v>202120</v>
      </c>
      <c r="M83">
        <v>202120</v>
      </c>
      <c r="N83" t="s">
        <v>279</v>
      </c>
      <c r="O83" t="s">
        <v>231</v>
      </c>
      <c r="P83" t="s">
        <v>477</v>
      </c>
      <c r="Q83" t="s">
        <v>233</v>
      </c>
      <c r="R83" t="s">
        <v>277</v>
      </c>
      <c r="S83" t="s">
        <v>107</v>
      </c>
      <c r="T83" s="105" t="str">
        <f>_xlfn.XLOOKUP(Tabla1[[#This Row],[Universidad]],Conversiones!$B:$B,Conversiones!$C:$C)</f>
        <v>Toulouse Business School</v>
      </c>
      <c r="U83" s="105" t="str">
        <f>_xlfn.XLOOKUP(Tabla1[[#This Row],[Universidad KPIs]],Conversiones!$C:$C,Conversiones!$E:$E)</f>
        <v>Específico</v>
      </c>
      <c r="V83" t="s">
        <v>57</v>
      </c>
      <c r="W83" t="s">
        <v>281</v>
      </c>
      <c r="X83" s="2">
        <v>44417</v>
      </c>
      <c r="Y83" s="2">
        <v>44534</v>
      </c>
      <c r="Z83">
        <v>117</v>
      </c>
    </row>
    <row r="84" spans="1:26">
      <c r="A84" s="103" t="s">
        <v>632</v>
      </c>
      <c r="B84" s="1">
        <v>201729094</v>
      </c>
      <c r="C84" s="1" t="s">
        <v>633</v>
      </c>
      <c r="D84" s="1" t="s">
        <v>634</v>
      </c>
      <c r="E84" s="1" t="s">
        <v>635</v>
      </c>
      <c r="F84" s="1" t="s">
        <v>233</v>
      </c>
      <c r="G84" s="1" t="s">
        <v>277</v>
      </c>
      <c r="H84" s="1"/>
      <c r="I84" s="1"/>
      <c r="J84" s="1" t="s">
        <v>278</v>
      </c>
      <c r="K84" s="1">
        <v>2021</v>
      </c>
      <c r="L84" s="1">
        <v>202120</v>
      </c>
      <c r="M84" s="1">
        <v>202120</v>
      </c>
      <c r="N84" s="1" t="s">
        <v>279</v>
      </c>
      <c r="O84" s="1" t="s">
        <v>230</v>
      </c>
      <c r="P84" s="1" t="s">
        <v>280</v>
      </c>
      <c r="Q84" s="1" t="s">
        <v>233</v>
      </c>
      <c r="R84" s="1" t="s">
        <v>277</v>
      </c>
      <c r="S84" s="1" t="s">
        <v>286</v>
      </c>
      <c r="T84" s="105" t="str">
        <f>_xlfn.XLOOKUP(Tabla1[[#This Row],[Universidad]],Conversiones!$B:$B,Conversiones!$C:$C)</f>
        <v>ESC Rouen (NEOMA)</v>
      </c>
      <c r="U84" s="105" t="str">
        <f>_xlfn.XLOOKUP(Tabla1[[#This Row],[Universidad KPIs]],Conversiones!$C:$C,Conversiones!$E:$E)</f>
        <v>Específico</v>
      </c>
      <c r="V84" s="1" t="s">
        <v>57</v>
      </c>
      <c r="W84" s="1" t="s">
        <v>281</v>
      </c>
      <c r="X84" s="87">
        <v>44417</v>
      </c>
      <c r="Y84" s="87">
        <v>44534</v>
      </c>
      <c r="Z84" s="1">
        <v>117</v>
      </c>
    </row>
    <row r="85" spans="1:26">
      <c r="A85" s="102" t="s">
        <v>636</v>
      </c>
      <c r="B85">
        <v>201823217</v>
      </c>
      <c r="C85" t="s">
        <v>633</v>
      </c>
      <c r="D85" t="s">
        <v>637</v>
      </c>
      <c r="E85" t="s">
        <v>638</v>
      </c>
      <c r="F85" t="s">
        <v>233</v>
      </c>
      <c r="G85" t="s">
        <v>277</v>
      </c>
      <c r="J85" t="s">
        <v>278</v>
      </c>
      <c r="K85">
        <v>2021</v>
      </c>
      <c r="L85">
        <v>202120</v>
      </c>
      <c r="M85">
        <v>202120</v>
      </c>
      <c r="N85" t="s">
        <v>279</v>
      </c>
      <c r="O85" t="s">
        <v>230</v>
      </c>
      <c r="P85" t="s">
        <v>280</v>
      </c>
      <c r="Q85" t="s">
        <v>233</v>
      </c>
      <c r="R85" t="s">
        <v>277</v>
      </c>
      <c r="S85" t="s">
        <v>639</v>
      </c>
      <c r="T85" s="105" t="str">
        <f>_xlfn.XLOOKUP(Tabla1[[#This Row],[Universidad]],Conversiones!$B:$B,Conversiones!$C:$C)</f>
        <v>IE Instituto Empresa</v>
      </c>
      <c r="U85" s="105" t="str">
        <f>_xlfn.XLOOKUP(Tabla1[[#This Row],[Universidad KPIs]],Conversiones!$C:$C,Conversiones!$E:$E)</f>
        <v>Específico</v>
      </c>
      <c r="V85" t="s">
        <v>69</v>
      </c>
      <c r="W85" t="s">
        <v>281</v>
      </c>
      <c r="X85" s="2">
        <v>44417</v>
      </c>
      <c r="Y85" s="2">
        <v>44534</v>
      </c>
      <c r="Z85">
        <v>117</v>
      </c>
    </row>
    <row r="86" spans="1:26">
      <c r="A86" s="103" t="s">
        <v>640</v>
      </c>
      <c r="B86" s="1">
        <v>201731645</v>
      </c>
      <c r="C86" s="1" t="s">
        <v>641</v>
      </c>
      <c r="D86" s="1" t="s">
        <v>642</v>
      </c>
      <c r="E86" s="1" t="s">
        <v>643</v>
      </c>
      <c r="F86" s="1" t="s">
        <v>233</v>
      </c>
      <c r="G86" s="1" t="s">
        <v>277</v>
      </c>
      <c r="H86" s="1" t="s">
        <v>233</v>
      </c>
      <c r="I86" s="1" t="s">
        <v>277</v>
      </c>
      <c r="J86" s="1" t="s">
        <v>278</v>
      </c>
      <c r="K86" s="1">
        <v>2021</v>
      </c>
      <c r="L86" s="1">
        <v>202120</v>
      </c>
      <c r="M86" s="1">
        <v>202120</v>
      </c>
      <c r="N86" s="1" t="s">
        <v>279</v>
      </c>
      <c r="O86" s="1" t="s">
        <v>230</v>
      </c>
      <c r="P86" s="1" t="s">
        <v>280</v>
      </c>
      <c r="Q86" s="1" t="s">
        <v>233</v>
      </c>
      <c r="R86" s="1" t="s">
        <v>277</v>
      </c>
      <c r="S86" s="1" t="s">
        <v>644</v>
      </c>
      <c r="T86" s="105" t="str">
        <f>_xlfn.XLOOKUP(Tabla1[[#This Row],[Universidad]],Conversiones!$B:$B,Conversiones!$C:$C)</f>
        <v>Audencia. École de Management</v>
      </c>
      <c r="U86" s="105" t="str">
        <f>_xlfn.XLOOKUP(Tabla1[[#This Row],[Universidad KPIs]],Conversiones!$C:$C,Conversiones!$E:$E)</f>
        <v>Específico</v>
      </c>
      <c r="V86" s="1" t="s">
        <v>57</v>
      </c>
      <c r="W86" s="1" t="s">
        <v>281</v>
      </c>
      <c r="X86" s="87">
        <v>44417</v>
      </c>
      <c r="Y86" s="87">
        <v>44534</v>
      </c>
      <c r="Z86" s="1">
        <v>117</v>
      </c>
    </row>
    <row r="87" spans="1:26">
      <c r="A87" s="102" t="s">
        <v>645</v>
      </c>
      <c r="B87">
        <v>201817308</v>
      </c>
      <c r="C87" t="s">
        <v>298</v>
      </c>
      <c r="D87" t="s">
        <v>646</v>
      </c>
      <c r="E87" t="s">
        <v>647</v>
      </c>
      <c r="F87" t="s">
        <v>233</v>
      </c>
      <c r="G87" t="s">
        <v>277</v>
      </c>
      <c r="H87" t="s">
        <v>648</v>
      </c>
      <c r="I87" t="s">
        <v>649</v>
      </c>
      <c r="J87" t="s">
        <v>278</v>
      </c>
      <c r="K87">
        <v>2021</v>
      </c>
      <c r="L87">
        <v>202120</v>
      </c>
      <c r="M87">
        <v>202120</v>
      </c>
      <c r="N87" t="s">
        <v>279</v>
      </c>
      <c r="O87" t="s">
        <v>230</v>
      </c>
      <c r="P87" t="s">
        <v>280</v>
      </c>
      <c r="Q87" t="s">
        <v>233</v>
      </c>
      <c r="R87" t="s">
        <v>277</v>
      </c>
      <c r="S87" t="s">
        <v>650</v>
      </c>
      <c r="T87" s="105" t="str">
        <f>_xlfn.XLOOKUP(Tabla1[[#This Row],[Universidad]],Conversiones!$B:$B,Conversiones!$C:$C)</f>
        <v>Grenoble. École de Management</v>
      </c>
      <c r="U87" s="105" t="str">
        <f>_xlfn.XLOOKUP(Tabla1[[#This Row],[Universidad KPIs]],Conversiones!$C:$C,Conversiones!$E:$E)</f>
        <v>Específico</v>
      </c>
      <c r="V87" t="s">
        <v>57</v>
      </c>
      <c r="W87" t="s">
        <v>281</v>
      </c>
      <c r="X87" s="2">
        <v>44417</v>
      </c>
      <c r="Y87" s="2">
        <v>44534</v>
      </c>
      <c r="Z87">
        <v>117</v>
      </c>
    </row>
    <row r="88" spans="1:26">
      <c r="A88" s="103" t="s">
        <v>651</v>
      </c>
      <c r="B88" s="1">
        <v>201632175</v>
      </c>
      <c r="C88" s="1" t="s">
        <v>652</v>
      </c>
      <c r="D88" s="1" t="s">
        <v>653</v>
      </c>
      <c r="E88" s="1" t="s">
        <v>654</v>
      </c>
      <c r="F88" s="1" t="s">
        <v>233</v>
      </c>
      <c r="G88" s="1" t="s">
        <v>277</v>
      </c>
      <c r="H88" s="1" t="s">
        <v>491</v>
      </c>
      <c r="I88" s="1" t="s">
        <v>492</v>
      </c>
      <c r="J88" s="1" t="s">
        <v>278</v>
      </c>
      <c r="K88" s="1">
        <v>2021</v>
      </c>
      <c r="L88" s="1">
        <v>202120</v>
      </c>
      <c r="M88" s="1">
        <v>202120</v>
      </c>
      <c r="N88" s="1" t="s">
        <v>279</v>
      </c>
      <c r="O88" s="1" t="s">
        <v>230</v>
      </c>
      <c r="P88" s="1" t="s">
        <v>280</v>
      </c>
      <c r="Q88" s="1" t="s">
        <v>233</v>
      </c>
      <c r="R88" s="1" t="s">
        <v>277</v>
      </c>
      <c r="S88" s="1" t="s">
        <v>639</v>
      </c>
      <c r="T88" s="105" t="str">
        <f>_xlfn.XLOOKUP(Tabla1[[#This Row],[Universidad]],Conversiones!$B:$B,Conversiones!$C:$C)</f>
        <v>IE Instituto Empresa</v>
      </c>
      <c r="U88" s="105" t="str">
        <f>_xlfn.XLOOKUP(Tabla1[[#This Row],[Universidad KPIs]],Conversiones!$C:$C,Conversiones!$E:$E)</f>
        <v>Específico</v>
      </c>
      <c r="V88" s="1" t="s">
        <v>69</v>
      </c>
      <c r="W88" s="1" t="s">
        <v>281</v>
      </c>
      <c r="X88" s="87">
        <v>44417</v>
      </c>
      <c r="Y88" s="87">
        <v>44534</v>
      </c>
      <c r="Z88" s="1">
        <v>117</v>
      </c>
    </row>
    <row r="89" spans="1:26">
      <c r="A89" s="102" t="s">
        <v>655</v>
      </c>
      <c r="B89">
        <v>201822046</v>
      </c>
      <c r="C89" t="s">
        <v>656</v>
      </c>
      <c r="D89" t="s">
        <v>657</v>
      </c>
      <c r="E89" t="s">
        <v>658</v>
      </c>
      <c r="F89" t="s">
        <v>233</v>
      </c>
      <c r="G89" t="s">
        <v>277</v>
      </c>
      <c r="J89" t="s">
        <v>278</v>
      </c>
      <c r="K89">
        <v>2021</v>
      </c>
      <c r="L89">
        <v>202120</v>
      </c>
      <c r="M89">
        <v>202120</v>
      </c>
      <c r="N89" t="s">
        <v>279</v>
      </c>
      <c r="O89" t="s">
        <v>230</v>
      </c>
      <c r="P89" t="s">
        <v>280</v>
      </c>
      <c r="Q89" t="s">
        <v>233</v>
      </c>
      <c r="R89" t="s">
        <v>277</v>
      </c>
      <c r="S89" t="s">
        <v>286</v>
      </c>
      <c r="T89" s="105" t="str">
        <f>_xlfn.XLOOKUP(Tabla1[[#This Row],[Universidad]],Conversiones!$B:$B,Conversiones!$C:$C)</f>
        <v>ESC Rouen (NEOMA)</v>
      </c>
      <c r="U89" s="105" t="str">
        <f>_xlfn.XLOOKUP(Tabla1[[#This Row],[Universidad KPIs]],Conversiones!$C:$C,Conversiones!$E:$E)</f>
        <v>Específico</v>
      </c>
      <c r="V89" t="s">
        <v>57</v>
      </c>
      <c r="W89" t="s">
        <v>281</v>
      </c>
      <c r="X89" s="2">
        <v>44417</v>
      </c>
      <c r="Y89" s="2">
        <v>44534</v>
      </c>
      <c r="Z89">
        <v>117</v>
      </c>
    </row>
    <row r="90" spans="1:26">
      <c r="A90" s="103" t="s">
        <v>659</v>
      </c>
      <c r="B90" s="1">
        <v>201821704</v>
      </c>
      <c r="C90" s="1" t="s">
        <v>660</v>
      </c>
      <c r="D90" s="1" t="s">
        <v>661</v>
      </c>
      <c r="E90" s="1" t="s">
        <v>662</v>
      </c>
      <c r="F90" s="1" t="s">
        <v>233</v>
      </c>
      <c r="G90" s="1" t="s">
        <v>277</v>
      </c>
      <c r="H90" s="1"/>
      <c r="I90" s="1"/>
      <c r="J90" s="1" t="s">
        <v>278</v>
      </c>
      <c r="K90" s="1">
        <v>2021</v>
      </c>
      <c r="L90" s="1">
        <v>202120</v>
      </c>
      <c r="M90" s="1">
        <v>202120</v>
      </c>
      <c r="N90" s="1" t="s">
        <v>279</v>
      </c>
      <c r="O90" s="1" t="s">
        <v>231</v>
      </c>
      <c r="P90" s="1" t="s">
        <v>477</v>
      </c>
      <c r="Q90" s="1" t="s">
        <v>233</v>
      </c>
      <c r="R90" s="1" t="s">
        <v>277</v>
      </c>
      <c r="S90" s="1" t="s">
        <v>107</v>
      </c>
      <c r="T90" s="105" t="str">
        <f>_xlfn.XLOOKUP(Tabla1[[#This Row],[Universidad]],Conversiones!$B:$B,Conversiones!$C:$C)</f>
        <v>Toulouse Business School</v>
      </c>
      <c r="U90" s="105" t="str">
        <f>_xlfn.XLOOKUP(Tabla1[[#This Row],[Universidad KPIs]],Conversiones!$C:$C,Conversiones!$E:$E)</f>
        <v>Específico</v>
      </c>
      <c r="V90" s="1" t="s">
        <v>57</v>
      </c>
      <c r="W90" s="1" t="s">
        <v>281</v>
      </c>
      <c r="X90" s="87">
        <v>44417</v>
      </c>
      <c r="Y90" s="87">
        <v>44534</v>
      </c>
      <c r="Z90" s="1">
        <v>117</v>
      </c>
    </row>
    <row r="91" spans="1:26">
      <c r="A91" s="102" t="s">
        <v>663</v>
      </c>
      <c r="B91">
        <v>201812285</v>
      </c>
      <c r="C91" t="s">
        <v>586</v>
      </c>
      <c r="D91" t="s">
        <v>664</v>
      </c>
      <c r="E91" t="s">
        <v>665</v>
      </c>
      <c r="F91" t="s">
        <v>233</v>
      </c>
      <c r="G91" t="s">
        <v>277</v>
      </c>
      <c r="J91" t="s">
        <v>278</v>
      </c>
      <c r="K91">
        <v>2021</v>
      </c>
      <c r="L91">
        <v>202120</v>
      </c>
      <c r="M91">
        <v>202120</v>
      </c>
      <c r="N91" t="s">
        <v>279</v>
      </c>
      <c r="O91" t="s">
        <v>230</v>
      </c>
      <c r="P91" t="s">
        <v>280</v>
      </c>
      <c r="Q91" t="s">
        <v>233</v>
      </c>
      <c r="R91" t="s">
        <v>277</v>
      </c>
      <c r="S91" t="s">
        <v>405</v>
      </c>
      <c r="T91" s="105" t="str">
        <f>_xlfn.XLOOKUP(Tabla1[[#This Row],[Universidad]],Conversiones!$B:$B,Conversiones!$C:$C)</f>
        <v>University of Ljubljana</v>
      </c>
      <c r="U91" s="105" t="str">
        <f>_xlfn.XLOOKUP(Tabla1[[#This Row],[Universidad KPIs]],Conversiones!$C:$C,Conversiones!$E:$E)</f>
        <v>Específico</v>
      </c>
      <c r="V91" t="s">
        <v>118</v>
      </c>
      <c r="W91" t="s">
        <v>281</v>
      </c>
      <c r="X91" s="2">
        <v>44417</v>
      </c>
      <c r="Y91" s="2">
        <v>44534</v>
      </c>
      <c r="Z91">
        <v>117</v>
      </c>
    </row>
    <row r="92" spans="1:26">
      <c r="A92" s="103" t="s">
        <v>666</v>
      </c>
      <c r="B92" s="1">
        <v>201729190</v>
      </c>
      <c r="C92" s="1" t="s">
        <v>667</v>
      </c>
      <c r="D92" s="1" t="s">
        <v>668</v>
      </c>
      <c r="E92" s="1" t="s">
        <v>669</v>
      </c>
      <c r="F92" s="1" t="s">
        <v>233</v>
      </c>
      <c r="G92" s="1" t="s">
        <v>277</v>
      </c>
      <c r="H92" s="1"/>
      <c r="I92" s="1"/>
      <c r="J92" s="1" t="s">
        <v>278</v>
      </c>
      <c r="K92" s="1">
        <v>2021</v>
      </c>
      <c r="L92" s="1">
        <v>202120</v>
      </c>
      <c r="M92" s="1">
        <v>202020</v>
      </c>
      <c r="N92" s="1" t="s">
        <v>279</v>
      </c>
      <c r="O92" s="1" t="s">
        <v>230</v>
      </c>
      <c r="P92" s="1" t="s">
        <v>280</v>
      </c>
      <c r="Q92" s="1" t="s">
        <v>233</v>
      </c>
      <c r="R92" s="1" t="s">
        <v>277</v>
      </c>
      <c r="S92" s="1" t="s">
        <v>351</v>
      </c>
      <c r="T92" s="105" t="str">
        <f>_xlfn.XLOOKUP(Tabla1[[#This Row],[Universidad]],Conversiones!$B:$B,Conversiones!$C:$C)</f>
        <v>KLU Kühne Logistics University</v>
      </c>
      <c r="U92" s="105" t="str">
        <f>_xlfn.XLOOKUP(Tabla1[[#This Row],[Universidad KPIs]],Conversiones!$C:$C,Conversiones!$E:$E)</f>
        <v>Específico</v>
      </c>
      <c r="V92" s="1" t="s">
        <v>76</v>
      </c>
      <c r="W92" s="1" t="s">
        <v>281</v>
      </c>
      <c r="X92" s="87">
        <v>44417</v>
      </c>
      <c r="Y92" s="87">
        <v>44534</v>
      </c>
      <c r="Z92" s="1">
        <v>117</v>
      </c>
    </row>
    <row r="93" spans="1:26">
      <c r="A93" s="102" t="s">
        <v>670</v>
      </c>
      <c r="B93">
        <v>201820578</v>
      </c>
      <c r="C93" t="s">
        <v>331</v>
      </c>
      <c r="D93" t="s">
        <v>671</v>
      </c>
      <c r="E93" t="s">
        <v>672</v>
      </c>
      <c r="F93" t="s">
        <v>233</v>
      </c>
      <c r="G93" t="s">
        <v>277</v>
      </c>
      <c r="J93" t="s">
        <v>278</v>
      </c>
      <c r="K93">
        <v>2021</v>
      </c>
      <c r="L93">
        <v>202120</v>
      </c>
      <c r="M93">
        <v>202120</v>
      </c>
      <c r="N93" t="s">
        <v>279</v>
      </c>
      <c r="O93" t="s">
        <v>230</v>
      </c>
      <c r="P93" t="s">
        <v>280</v>
      </c>
      <c r="Q93" t="s">
        <v>233</v>
      </c>
      <c r="R93" t="s">
        <v>277</v>
      </c>
      <c r="S93" t="s">
        <v>286</v>
      </c>
      <c r="T93" s="105" t="str">
        <f>_xlfn.XLOOKUP(Tabla1[[#This Row],[Universidad]],Conversiones!$B:$B,Conversiones!$C:$C)</f>
        <v>ESC Rouen (NEOMA)</v>
      </c>
      <c r="U93" s="105" t="str">
        <f>_xlfn.XLOOKUP(Tabla1[[#This Row],[Universidad KPIs]],Conversiones!$C:$C,Conversiones!$E:$E)</f>
        <v>Específico</v>
      </c>
      <c r="V93" t="s">
        <v>57</v>
      </c>
      <c r="W93" t="s">
        <v>281</v>
      </c>
      <c r="X93" s="2">
        <v>44417</v>
      </c>
      <c r="Y93" s="2">
        <v>44534</v>
      </c>
      <c r="Z93">
        <v>117</v>
      </c>
    </row>
    <row r="94" spans="1:26">
      <c r="A94" s="103" t="s">
        <v>673</v>
      </c>
      <c r="B94" s="1">
        <v>201821606</v>
      </c>
      <c r="C94" s="1" t="s">
        <v>674</v>
      </c>
      <c r="D94" s="1" t="s">
        <v>675</v>
      </c>
      <c r="E94" s="1" t="s">
        <v>676</v>
      </c>
      <c r="F94" s="1" t="s">
        <v>233</v>
      </c>
      <c r="G94" s="1" t="s">
        <v>277</v>
      </c>
      <c r="H94" s="1"/>
      <c r="I94" s="1"/>
      <c r="J94" s="1" t="s">
        <v>278</v>
      </c>
      <c r="K94" s="1">
        <v>2021</v>
      </c>
      <c r="L94" s="1">
        <v>202120</v>
      </c>
      <c r="M94" s="1">
        <v>202120</v>
      </c>
      <c r="N94" s="1" t="s">
        <v>279</v>
      </c>
      <c r="O94" s="1" t="s">
        <v>230</v>
      </c>
      <c r="P94" s="1" t="s">
        <v>280</v>
      </c>
      <c r="Q94" s="1" t="s">
        <v>233</v>
      </c>
      <c r="R94" s="1" t="s">
        <v>277</v>
      </c>
      <c r="S94" s="1" t="s">
        <v>677</v>
      </c>
      <c r="T94" s="105" t="str">
        <f>_xlfn.XLOOKUP(Tabla1[[#This Row],[Universidad]],Conversiones!$B:$B,Conversiones!$C:$C)</f>
        <v>Aalto University</v>
      </c>
      <c r="U94" s="105" t="str">
        <f>_xlfn.XLOOKUP(Tabla1[[#This Row],[Universidad KPIs]],Conversiones!$C:$C,Conversiones!$E:$E)</f>
        <v>Específico</v>
      </c>
      <c r="V94" s="1" t="s">
        <v>53</v>
      </c>
      <c r="W94" s="1" t="s">
        <v>281</v>
      </c>
      <c r="X94" s="87">
        <v>44417</v>
      </c>
      <c r="Y94" s="87">
        <v>44534</v>
      </c>
      <c r="Z94" s="1">
        <v>117</v>
      </c>
    </row>
    <row r="95" spans="1:26">
      <c r="A95" s="102" t="s">
        <v>678</v>
      </c>
      <c r="B95">
        <v>201813542</v>
      </c>
      <c r="C95" t="s">
        <v>586</v>
      </c>
      <c r="D95" t="s">
        <v>679</v>
      </c>
      <c r="E95" t="s">
        <v>680</v>
      </c>
      <c r="F95" t="s">
        <v>233</v>
      </c>
      <c r="G95" t="s">
        <v>277</v>
      </c>
      <c r="J95" t="s">
        <v>278</v>
      </c>
      <c r="K95">
        <v>2021</v>
      </c>
      <c r="L95">
        <v>202120</v>
      </c>
      <c r="M95">
        <v>202120</v>
      </c>
      <c r="N95" t="s">
        <v>279</v>
      </c>
      <c r="O95" t="s">
        <v>230</v>
      </c>
      <c r="P95" t="s">
        <v>280</v>
      </c>
      <c r="Q95" t="s">
        <v>233</v>
      </c>
      <c r="R95" t="s">
        <v>277</v>
      </c>
      <c r="S95" t="s">
        <v>351</v>
      </c>
      <c r="T95" s="105" t="str">
        <f>_xlfn.XLOOKUP(Tabla1[[#This Row],[Universidad]],Conversiones!$B:$B,Conversiones!$C:$C)</f>
        <v>KLU Kühne Logistics University</v>
      </c>
      <c r="U95" s="105" t="str">
        <f>_xlfn.XLOOKUP(Tabla1[[#This Row],[Universidad KPIs]],Conversiones!$C:$C,Conversiones!$E:$E)</f>
        <v>Específico</v>
      </c>
      <c r="V95" t="s">
        <v>76</v>
      </c>
      <c r="W95" t="s">
        <v>281</v>
      </c>
      <c r="X95" s="2">
        <v>44417</v>
      </c>
      <c r="Y95" s="2">
        <v>44534</v>
      </c>
      <c r="Z95">
        <v>117</v>
      </c>
    </row>
    <row r="96" spans="1:26">
      <c r="A96" s="103" t="s">
        <v>681</v>
      </c>
      <c r="B96" s="1">
        <v>201730144</v>
      </c>
      <c r="C96" s="1" t="s">
        <v>682</v>
      </c>
      <c r="D96" s="1" t="s">
        <v>683</v>
      </c>
      <c r="E96" s="1" t="s">
        <v>684</v>
      </c>
      <c r="F96" s="1" t="s">
        <v>233</v>
      </c>
      <c r="G96" s="1" t="s">
        <v>277</v>
      </c>
      <c r="H96" s="1"/>
      <c r="I96" s="1"/>
      <c r="J96" s="1" t="s">
        <v>278</v>
      </c>
      <c r="K96" s="1">
        <v>2021</v>
      </c>
      <c r="L96" s="1">
        <v>202120</v>
      </c>
      <c r="M96" s="1">
        <v>202120</v>
      </c>
      <c r="N96" s="1" t="s">
        <v>279</v>
      </c>
      <c r="O96" s="1" t="s">
        <v>230</v>
      </c>
      <c r="P96" s="1" t="s">
        <v>280</v>
      </c>
      <c r="Q96" s="1" t="s">
        <v>233</v>
      </c>
      <c r="R96" s="1" t="s">
        <v>277</v>
      </c>
      <c r="S96" s="1" t="s">
        <v>320</v>
      </c>
      <c r="T96" s="105" t="str">
        <f>_xlfn.XLOOKUP(Tabla1[[#This Row],[Universidad]],Conversiones!$B:$B,Conversiones!$C:$C)</f>
        <v>ESADE</v>
      </c>
      <c r="U96" s="105" t="str">
        <f>_xlfn.XLOOKUP(Tabla1[[#This Row],[Universidad KPIs]],Conversiones!$C:$C,Conversiones!$E:$E)</f>
        <v>Específico</v>
      </c>
      <c r="V96" s="1" t="s">
        <v>69</v>
      </c>
      <c r="W96" s="1" t="s">
        <v>281</v>
      </c>
      <c r="X96" s="87">
        <v>44417</v>
      </c>
      <c r="Y96" s="87">
        <v>44534</v>
      </c>
      <c r="Z96" s="1">
        <v>117</v>
      </c>
    </row>
    <row r="97" spans="1:26">
      <c r="A97" s="102" t="s">
        <v>685</v>
      </c>
      <c r="B97">
        <v>201632593</v>
      </c>
      <c r="C97" t="s">
        <v>686</v>
      </c>
      <c r="D97" t="s">
        <v>687</v>
      </c>
      <c r="E97" t="s">
        <v>688</v>
      </c>
      <c r="F97" t="s">
        <v>233</v>
      </c>
      <c r="G97" t="s">
        <v>277</v>
      </c>
      <c r="J97" t="s">
        <v>278</v>
      </c>
      <c r="K97">
        <v>2021</v>
      </c>
      <c r="L97">
        <v>202120</v>
      </c>
      <c r="M97">
        <v>202120</v>
      </c>
      <c r="N97" t="s">
        <v>279</v>
      </c>
      <c r="O97" t="s">
        <v>230</v>
      </c>
      <c r="P97" t="s">
        <v>280</v>
      </c>
      <c r="Q97" t="s">
        <v>233</v>
      </c>
      <c r="R97" t="s">
        <v>277</v>
      </c>
      <c r="S97" t="s">
        <v>524</v>
      </c>
      <c r="T97" s="105" t="str">
        <f>_xlfn.XLOOKUP(Tabla1[[#This Row],[Universidad]],Conversiones!$B:$B,Conversiones!$C:$C)</f>
        <v>University of Saint Gallen</v>
      </c>
      <c r="U97" s="105" t="str">
        <f>_xlfn.XLOOKUP(Tabla1[[#This Row],[Universidad KPIs]],Conversiones!$C:$C,Conversiones!$E:$E)</f>
        <v>Específico</v>
      </c>
      <c r="V97" t="s">
        <v>81</v>
      </c>
      <c r="W97" t="s">
        <v>281</v>
      </c>
      <c r="X97" s="2">
        <v>44417</v>
      </c>
      <c r="Y97" s="2">
        <v>44534</v>
      </c>
      <c r="Z97">
        <v>117</v>
      </c>
    </row>
    <row r="98" spans="1:26">
      <c r="A98" s="103" t="s">
        <v>689</v>
      </c>
      <c r="B98" s="1">
        <v>201533177</v>
      </c>
      <c r="C98" s="1" t="s">
        <v>690</v>
      </c>
      <c r="D98" s="1" t="s">
        <v>691</v>
      </c>
      <c r="E98" s="1" t="s">
        <v>692</v>
      </c>
      <c r="F98" s="1" t="s">
        <v>233</v>
      </c>
      <c r="G98" s="1" t="s">
        <v>277</v>
      </c>
      <c r="H98" s="1"/>
      <c r="I98" s="1"/>
      <c r="J98" s="1" t="s">
        <v>278</v>
      </c>
      <c r="K98" s="1">
        <v>2021</v>
      </c>
      <c r="L98" s="1">
        <v>202120</v>
      </c>
      <c r="M98" s="1">
        <v>202120</v>
      </c>
      <c r="N98" s="1" t="s">
        <v>279</v>
      </c>
      <c r="O98" s="1" t="s">
        <v>230</v>
      </c>
      <c r="P98" s="1" t="s">
        <v>280</v>
      </c>
      <c r="Q98" s="1" t="s">
        <v>233</v>
      </c>
      <c r="R98" s="1" t="s">
        <v>277</v>
      </c>
      <c r="S98" s="1" t="s">
        <v>54</v>
      </c>
      <c r="T98" s="105" t="str">
        <f>_xlfn.XLOOKUP(Tabla1[[#This Row],[Universidad]],Conversiones!$B:$B,Conversiones!$C:$C)</f>
        <v>Aston University</v>
      </c>
      <c r="U98" s="105" t="str">
        <f>_xlfn.XLOOKUP(Tabla1[[#This Row],[Universidad KPIs]],Conversiones!$C:$C,Conversiones!$E:$E)</f>
        <v>Específico</v>
      </c>
      <c r="V98" s="1" t="s">
        <v>55</v>
      </c>
      <c r="W98" s="1" t="s">
        <v>281</v>
      </c>
      <c r="X98" s="87">
        <v>44417</v>
      </c>
      <c r="Y98" s="87">
        <v>44534</v>
      </c>
      <c r="Z98" s="1">
        <v>117</v>
      </c>
    </row>
    <row r="99" spans="1:26">
      <c r="A99" s="102" t="s">
        <v>693</v>
      </c>
      <c r="B99">
        <v>201630389</v>
      </c>
      <c r="C99" t="s">
        <v>694</v>
      </c>
      <c r="D99" t="s">
        <v>695</v>
      </c>
      <c r="E99" t="s">
        <v>696</v>
      </c>
      <c r="F99" t="s">
        <v>233</v>
      </c>
      <c r="G99" t="s">
        <v>277</v>
      </c>
      <c r="H99" t="s">
        <v>543</v>
      </c>
      <c r="I99" t="s">
        <v>544</v>
      </c>
      <c r="J99" t="s">
        <v>278</v>
      </c>
      <c r="K99">
        <v>2021</v>
      </c>
      <c r="L99">
        <v>202120</v>
      </c>
      <c r="M99">
        <v>202120</v>
      </c>
      <c r="N99" t="s">
        <v>279</v>
      </c>
      <c r="O99" t="s">
        <v>230</v>
      </c>
      <c r="P99" t="s">
        <v>280</v>
      </c>
      <c r="Q99" t="s">
        <v>233</v>
      </c>
      <c r="R99" t="s">
        <v>277</v>
      </c>
      <c r="S99" t="s">
        <v>54</v>
      </c>
      <c r="T99" s="105" t="str">
        <f>_xlfn.XLOOKUP(Tabla1[[#This Row],[Universidad]],Conversiones!$B:$B,Conversiones!$C:$C)</f>
        <v>Aston University</v>
      </c>
      <c r="U99" s="105" t="str">
        <f>_xlfn.XLOOKUP(Tabla1[[#This Row],[Universidad KPIs]],Conversiones!$C:$C,Conversiones!$E:$E)</f>
        <v>Específico</v>
      </c>
      <c r="V99" t="s">
        <v>55</v>
      </c>
      <c r="W99" t="s">
        <v>281</v>
      </c>
      <c r="X99" s="2">
        <v>44417</v>
      </c>
      <c r="Y99" s="2">
        <v>44534</v>
      </c>
      <c r="Z99">
        <v>117</v>
      </c>
    </row>
    <row r="100" spans="1:26">
      <c r="A100" s="103" t="s">
        <v>697</v>
      </c>
      <c r="B100" s="1">
        <v>201729853</v>
      </c>
      <c r="C100" s="1" t="s">
        <v>698</v>
      </c>
      <c r="D100" s="1" t="s">
        <v>699</v>
      </c>
      <c r="E100" s="1" t="s">
        <v>700</v>
      </c>
      <c r="F100" s="1" t="s">
        <v>233</v>
      </c>
      <c r="G100" s="1" t="s">
        <v>277</v>
      </c>
      <c r="H100" s="1" t="s">
        <v>233</v>
      </c>
      <c r="I100" s="1" t="s">
        <v>277</v>
      </c>
      <c r="J100" s="1" t="s">
        <v>278</v>
      </c>
      <c r="K100" s="1">
        <v>2021</v>
      </c>
      <c r="L100" s="1">
        <v>202120</v>
      </c>
      <c r="M100" s="1">
        <v>202020</v>
      </c>
      <c r="N100" s="1" t="s">
        <v>279</v>
      </c>
      <c r="O100" s="1" t="s">
        <v>230</v>
      </c>
      <c r="P100" s="1" t="s">
        <v>280</v>
      </c>
      <c r="Q100" s="1" t="s">
        <v>233</v>
      </c>
      <c r="R100" s="1" t="s">
        <v>277</v>
      </c>
      <c r="S100" s="1" t="s">
        <v>455</v>
      </c>
      <c r="T100" s="105" t="str">
        <f>_xlfn.XLOOKUP(Tabla1[[#This Row],[Universidad]],Conversiones!$B:$B,Conversiones!$C:$C)</f>
        <v>Nova School of Business and Economics</v>
      </c>
      <c r="U100" s="105" t="str">
        <f>_xlfn.XLOOKUP(Tabla1[[#This Row],[Universidad KPIs]],Conversiones!$C:$C,Conversiones!$E:$E)</f>
        <v>Específico</v>
      </c>
      <c r="V100" s="1" t="s">
        <v>61</v>
      </c>
      <c r="W100" s="1" t="s">
        <v>281</v>
      </c>
      <c r="X100" s="87">
        <v>44417</v>
      </c>
      <c r="Y100" s="87">
        <v>44534</v>
      </c>
      <c r="Z100" s="1">
        <v>117</v>
      </c>
    </row>
    <row r="101" spans="1:26">
      <c r="A101" s="102" t="s">
        <v>701</v>
      </c>
      <c r="B101">
        <v>201821511</v>
      </c>
      <c r="C101" t="s">
        <v>434</v>
      </c>
      <c r="D101" t="s">
        <v>702</v>
      </c>
      <c r="E101" t="s">
        <v>703</v>
      </c>
      <c r="F101" t="s">
        <v>233</v>
      </c>
      <c r="G101" t="s">
        <v>277</v>
      </c>
      <c r="J101" t="s">
        <v>278</v>
      </c>
      <c r="K101">
        <v>2021</v>
      </c>
      <c r="L101">
        <v>202120</v>
      </c>
      <c r="M101">
        <v>202120</v>
      </c>
      <c r="N101" t="s">
        <v>279</v>
      </c>
      <c r="O101" t="s">
        <v>230</v>
      </c>
      <c r="P101" t="s">
        <v>280</v>
      </c>
      <c r="Q101" t="s">
        <v>233</v>
      </c>
      <c r="R101" t="s">
        <v>277</v>
      </c>
      <c r="S101" t="s">
        <v>305</v>
      </c>
      <c r="T101" s="105" t="str">
        <f>_xlfn.XLOOKUP(Tabla1[[#This Row],[Universidad]],Conversiones!$B:$B,Conversiones!$C:$C)</f>
        <v>Catolica Lisbon Business &amp; Economics. Universidade Católica Portuguesa</v>
      </c>
      <c r="U101" s="105" t="str">
        <f>_xlfn.XLOOKUP(Tabla1[[#This Row],[Universidad KPIs]],Conversiones!$C:$C,Conversiones!$E:$E)</f>
        <v>Específico</v>
      </c>
      <c r="V101" t="s">
        <v>61</v>
      </c>
      <c r="W101" t="s">
        <v>281</v>
      </c>
      <c r="X101" s="2">
        <v>44417</v>
      </c>
      <c r="Y101" s="2">
        <v>44534</v>
      </c>
      <c r="Z101">
        <v>117</v>
      </c>
    </row>
    <row r="102" spans="1:26">
      <c r="A102" s="103" t="s">
        <v>704</v>
      </c>
      <c r="B102" s="1">
        <v>201512297</v>
      </c>
      <c r="C102" s="1" t="s">
        <v>705</v>
      </c>
      <c r="D102" s="1" t="s">
        <v>706</v>
      </c>
      <c r="E102" s="1" t="s">
        <v>707</v>
      </c>
      <c r="F102" s="1" t="s">
        <v>233</v>
      </c>
      <c r="G102" s="1" t="s">
        <v>277</v>
      </c>
      <c r="H102" s="1"/>
      <c r="I102" s="1"/>
      <c r="J102" s="1" t="s">
        <v>278</v>
      </c>
      <c r="K102" s="1">
        <v>2021</v>
      </c>
      <c r="L102" s="1">
        <v>202120</v>
      </c>
      <c r="M102" s="1">
        <v>202120</v>
      </c>
      <c r="N102" s="1" t="s">
        <v>279</v>
      </c>
      <c r="O102" s="1" t="s">
        <v>231</v>
      </c>
      <c r="P102" s="1" t="s">
        <v>477</v>
      </c>
      <c r="Q102" s="1" t="s">
        <v>233</v>
      </c>
      <c r="R102" s="1" t="s">
        <v>277</v>
      </c>
      <c r="S102" s="1" t="s">
        <v>107</v>
      </c>
      <c r="T102" s="105" t="str">
        <f>_xlfn.XLOOKUP(Tabla1[[#This Row],[Universidad]],Conversiones!$B:$B,Conversiones!$C:$C)</f>
        <v>Toulouse Business School</v>
      </c>
      <c r="U102" s="105" t="str">
        <f>_xlfn.XLOOKUP(Tabla1[[#This Row],[Universidad KPIs]],Conversiones!$C:$C,Conversiones!$E:$E)</f>
        <v>Específico</v>
      </c>
      <c r="V102" s="1" t="s">
        <v>57</v>
      </c>
      <c r="W102" s="1" t="s">
        <v>281</v>
      </c>
      <c r="X102" s="87">
        <v>44417</v>
      </c>
      <c r="Y102" s="87">
        <v>44534</v>
      </c>
      <c r="Z102" s="1">
        <v>117</v>
      </c>
    </row>
    <row r="103" spans="1:26">
      <c r="A103" s="102" t="s">
        <v>708</v>
      </c>
      <c r="B103">
        <v>201812100</v>
      </c>
      <c r="C103" t="s">
        <v>709</v>
      </c>
      <c r="D103" t="s">
        <v>710</v>
      </c>
      <c r="E103" t="s">
        <v>711</v>
      </c>
      <c r="F103" t="s">
        <v>233</v>
      </c>
      <c r="G103" t="s">
        <v>277</v>
      </c>
      <c r="J103" t="s">
        <v>278</v>
      </c>
      <c r="K103">
        <v>2021</v>
      </c>
      <c r="L103">
        <v>202120</v>
      </c>
      <c r="M103">
        <v>202020</v>
      </c>
      <c r="N103" t="s">
        <v>279</v>
      </c>
      <c r="O103" t="s">
        <v>230</v>
      </c>
      <c r="P103" t="s">
        <v>280</v>
      </c>
      <c r="Q103" t="s">
        <v>233</v>
      </c>
      <c r="R103" t="s">
        <v>277</v>
      </c>
      <c r="S103" t="s">
        <v>94</v>
      </c>
      <c r="T103" s="105" t="str">
        <f>_xlfn.XLOOKUP(Tabla1[[#This Row],[Universidad]],Conversiones!$B:$B,Conversiones!$C:$C)</f>
        <v>Maastricht University</v>
      </c>
      <c r="U103" s="105" t="str">
        <f>_xlfn.XLOOKUP(Tabla1[[#This Row],[Universidad KPIs]],Conversiones!$C:$C,Conversiones!$E:$E)</f>
        <v>Específico</v>
      </c>
      <c r="V103" t="s">
        <v>95</v>
      </c>
      <c r="W103" t="s">
        <v>281</v>
      </c>
      <c r="X103" s="2">
        <v>44417</v>
      </c>
      <c r="Y103" s="2">
        <v>44534</v>
      </c>
      <c r="Z103">
        <v>117</v>
      </c>
    </row>
    <row r="104" spans="1:26">
      <c r="A104" s="103" t="s">
        <v>712</v>
      </c>
      <c r="B104" s="1">
        <v>201821349</v>
      </c>
      <c r="C104" s="1" t="s">
        <v>713</v>
      </c>
      <c r="D104" s="1" t="s">
        <v>714</v>
      </c>
      <c r="E104" s="1" t="s">
        <v>715</v>
      </c>
      <c r="F104" s="1" t="s">
        <v>233</v>
      </c>
      <c r="G104" s="1" t="s">
        <v>277</v>
      </c>
      <c r="H104" s="1"/>
      <c r="I104" s="1"/>
      <c r="J104" s="1" t="s">
        <v>278</v>
      </c>
      <c r="K104" s="1">
        <v>2021</v>
      </c>
      <c r="L104" s="1">
        <v>202120</v>
      </c>
      <c r="M104" s="1">
        <v>202120</v>
      </c>
      <c r="N104" s="1" t="s">
        <v>279</v>
      </c>
      <c r="O104" s="1" t="s">
        <v>230</v>
      </c>
      <c r="P104" s="1" t="s">
        <v>280</v>
      </c>
      <c r="Q104" s="1" t="s">
        <v>233</v>
      </c>
      <c r="R104" s="1" t="s">
        <v>277</v>
      </c>
      <c r="S104" s="1" t="s">
        <v>441</v>
      </c>
      <c r="T104" s="105" t="str">
        <f>_xlfn.XLOOKUP(Tabla1[[#This Row],[Universidad]],Conversiones!$B:$B,Conversiones!$C:$C)</f>
        <v xml:space="preserve">CBS- Copenhagen Business School  </v>
      </c>
      <c r="U104" s="105" t="str">
        <f>_xlfn.XLOOKUP(Tabla1[[#This Row],[Universidad KPIs]],Conversiones!$C:$C,Conversiones!$E:$E)</f>
        <v>Específico</v>
      </c>
      <c r="V104" s="1" t="s">
        <v>63</v>
      </c>
      <c r="W104" s="1" t="s">
        <v>281</v>
      </c>
      <c r="X104" s="87">
        <v>44417</v>
      </c>
      <c r="Y104" s="87">
        <v>44534</v>
      </c>
      <c r="Z104" s="1">
        <v>117</v>
      </c>
    </row>
    <row r="105" spans="1:26">
      <c r="A105" s="102" t="s">
        <v>716</v>
      </c>
      <c r="B105">
        <v>201821385</v>
      </c>
      <c r="C105" t="s">
        <v>534</v>
      </c>
      <c r="D105" t="s">
        <v>717</v>
      </c>
      <c r="E105" t="s">
        <v>718</v>
      </c>
      <c r="F105" t="s">
        <v>233</v>
      </c>
      <c r="G105" t="s">
        <v>277</v>
      </c>
      <c r="J105" t="s">
        <v>278</v>
      </c>
      <c r="K105">
        <v>2021</v>
      </c>
      <c r="L105">
        <v>202120</v>
      </c>
      <c r="M105">
        <v>202120</v>
      </c>
      <c r="N105" t="s">
        <v>279</v>
      </c>
      <c r="O105" t="s">
        <v>230</v>
      </c>
      <c r="P105" t="s">
        <v>280</v>
      </c>
      <c r="Q105" t="s">
        <v>233</v>
      </c>
      <c r="R105" t="s">
        <v>277</v>
      </c>
      <c r="S105" t="s">
        <v>559</v>
      </c>
      <c r="T105" s="105" t="str">
        <f>_xlfn.XLOOKUP(Tabla1[[#This Row],[Universidad]],Conversiones!$B:$B,Conversiones!$C:$C)</f>
        <v>ICN Business School - Institut Commercial de Nancy</v>
      </c>
      <c r="U105" s="105" t="str">
        <f>_xlfn.XLOOKUP(Tabla1[[#This Row],[Universidad KPIs]],Conversiones!$C:$C,Conversiones!$E:$E)</f>
        <v>Específico</v>
      </c>
      <c r="V105" t="s">
        <v>57</v>
      </c>
      <c r="W105" t="s">
        <v>281</v>
      </c>
      <c r="X105" s="2">
        <v>44417</v>
      </c>
      <c r="Y105" s="2">
        <v>44534</v>
      </c>
      <c r="Z105">
        <v>117</v>
      </c>
    </row>
    <row r="106" spans="1:26">
      <c r="A106" s="103" t="s">
        <v>719</v>
      </c>
      <c r="B106" s="1">
        <v>201821774</v>
      </c>
      <c r="C106" s="1" t="s">
        <v>720</v>
      </c>
      <c r="D106" s="1" t="s">
        <v>721</v>
      </c>
      <c r="E106" s="1" t="s">
        <v>722</v>
      </c>
      <c r="F106" s="1" t="s">
        <v>233</v>
      </c>
      <c r="G106" s="1" t="s">
        <v>277</v>
      </c>
      <c r="H106" s="1"/>
      <c r="I106" s="1"/>
      <c r="J106" s="1" t="s">
        <v>278</v>
      </c>
      <c r="K106" s="1">
        <v>2021</v>
      </c>
      <c r="L106" s="1">
        <v>202120</v>
      </c>
      <c r="M106" s="1">
        <v>202120</v>
      </c>
      <c r="N106" s="1" t="s">
        <v>279</v>
      </c>
      <c r="O106" s="1" t="s">
        <v>230</v>
      </c>
      <c r="P106" s="1" t="s">
        <v>280</v>
      </c>
      <c r="Q106" s="1" t="s">
        <v>233</v>
      </c>
      <c r="R106" s="1" t="s">
        <v>277</v>
      </c>
      <c r="S106" s="1" t="s">
        <v>173</v>
      </c>
      <c r="T106" s="105" t="str">
        <f>_xlfn.XLOOKUP(Tabla1[[#This Row],[Universidad]],Conversiones!$B:$B,Conversiones!$C:$C)</f>
        <v>UniversitÃ  Ca' Foscari Venezia</v>
      </c>
      <c r="U106" s="105" t="str">
        <f>_xlfn.XLOOKUP(Tabla1[[#This Row],[Universidad KPIs]],Conversiones!$C:$C,Conversiones!$E:$E)</f>
        <v>General</v>
      </c>
      <c r="V106" s="1" t="s">
        <v>103</v>
      </c>
      <c r="W106" s="1" t="s">
        <v>281</v>
      </c>
      <c r="X106" s="87">
        <v>44417</v>
      </c>
      <c r="Y106" s="87">
        <v>44534</v>
      </c>
      <c r="Z106" s="1">
        <v>117</v>
      </c>
    </row>
    <row r="107" spans="1:26">
      <c r="A107" s="102" t="s">
        <v>723</v>
      </c>
      <c r="B107">
        <v>201730080</v>
      </c>
      <c r="C107" t="s">
        <v>326</v>
      </c>
      <c r="D107" t="s">
        <v>724</v>
      </c>
      <c r="E107" t="s">
        <v>725</v>
      </c>
      <c r="F107" t="s">
        <v>233</v>
      </c>
      <c r="G107" t="s">
        <v>277</v>
      </c>
      <c r="H107" t="s">
        <v>543</v>
      </c>
      <c r="I107" t="s">
        <v>544</v>
      </c>
      <c r="J107" t="s">
        <v>278</v>
      </c>
      <c r="K107">
        <v>2021</v>
      </c>
      <c r="L107">
        <v>202120</v>
      </c>
      <c r="M107">
        <v>202020</v>
      </c>
      <c r="N107" t="s">
        <v>279</v>
      </c>
      <c r="O107" t="s">
        <v>230</v>
      </c>
      <c r="P107" t="s">
        <v>280</v>
      </c>
      <c r="Q107" t="s">
        <v>233</v>
      </c>
      <c r="R107" t="s">
        <v>277</v>
      </c>
      <c r="S107" t="s">
        <v>455</v>
      </c>
      <c r="T107" s="105" t="str">
        <f>_xlfn.XLOOKUP(Tabla1[[#This Row],[Universidad]],Conversiones!$B:$B,Conversiones!$C:$C)</f>
        <v>Nova School of Business and Economics</v>
      </c>
      <c r="U107" s="105" t="str">
        <f>_xlfn.XLOOKUP(Tabla1[[#This Row],[Universidad KPIs]],Conversiones!$C:$C,Conversiones!$E:$E)</f>
        <v>Específico</v>
      </c>
      <c r="V107" t="s">
        <v>61</v>
      </c>
      <c r="W107" t="s">
        <v>281</v>
      </c>
      <c r="X107" s="2">
        <v>44417</v>
      </c>
      <c r="Y107" s="2">
        <v>44534</v>
      </c>
      <c r="Z107">
        <v>117</v>
      </c>
    </row>
    <row r="108" spans="1:26">
      <c r="A108" s="103" t="s">
        <v>726</v>
      </c>
      <c r="B108" s="1">
        <v>201730725</v>
      </c>
      <c r="C108" s="1" t="s">
        <v>407</v>
      </c>
      <c r="D108" s="1" t="s">
        <v>727</v>
      </c>
      <c r="E108" s="1" t="s">
        <v>728</v>
      </c>
      <c r="F108" s="1" t="s">
        <v>233</v>
      </c>
      <c r="G108" s="1" t="s">
        <v>277</v>
      </c>
      <c r="H108" s="1"/>
      <c r="I108" s="1"/>
      <c r="J108" s="1" t="s">
        <v>278</v>
      </c>
      <c r="K108" s="1">
        <v>2021</v>
      </c>
      <c r="L108" s="1">
        <v>202120</v>
      </c>
      <c r="M108" s="1">
        <v>202120</v>
      </c>
      <c r="N108" s="1" t="s">
        <v>279</v>
      </c>
      <c r="O108" s="1" t="s">
        <v>230</v>
      </c>
      <c r="P108" s="1" t="s">
        <v>280</v>
      </c>
      <c r="Q108" s="1" t="s">
        <v>233</v>
      </c>
      <c r="R108" s="1" t="s">
        <v>277</v>
      </c>
      <c r="S108" s="1" t="s">
        <v>372</v>
      </c>
      <c r="T108" s="105" t="str">
        <f>_xlfn.XLOOKUP(Tabla1[[#This Row],[Universidad]],Conversiones!$B:$B,Conversiones!$C:$C)</f>
        <v>A.B. Freeman School of Business, Tulane University</v>
      </c>
      <c r="U108" s="105" t="str">
        <f>_xlfn.XLOOKUP(Tabla1[[#This Row],[Universidad KPIs]],Conversiones!$C:$C,Conversiones!$E:$E)</f>
        <v>Específico</v>
      </c>
      <c r="V108" s="1" t="s">
        <v>51</v>
      </c>
      <c r="W108" s="1" t="s">
        <v>291</v>
      </c>
      <c r="X108" s="87">
        <v>44417</v>
      </c>
      <c r="Y108" s="87">
        <v>44534</v>
      </c>
      <c r="Z108" s="1">
        <v>117</v>
      </c>
    </row>
    <row r="109" spans="1:26">
      <c r="A109" s="102" t="s">
        <v>729</v>
      </c>
      <c r="B109">
        <v>201822623</v>
      </c>
      <c r="C109" t="s">
        <v>730</v>
      </c>
      <c r="D109" t="s">
        <v>731</v>
      </c>
      <c r="E109" t="s">
        <v>732</v>
      </c>
      <c r="F109" t="s">
        <v>233</v>
      </c>
      <c r="G109" t="s">
        <v>277</v>
      </c>
      <c r="J109" t="s">
        <v>278</v>
      </c>
      <c r="K109">
        <v>2021</v>
      </c>
      <c r="L109">
        <v>202120</v>
      </c>
      <c r="M109">
        <v>202120</v>
      </c>
      <c r="N109" t="s">
        <v>279</v>
      </c>
      <c r="O109" t="s">
        <v>230</v>
      </c>
      <c r="P109" t="s">
        <v>280</v>
      </c>
      <c r="Q109" t="s">
        <v>233</v>
      </c>
      <c r="R109" t="s">
        <v>277</v>
      </c>
      <c r="S109" t="s">
        <v>286</v>
      </c>
      <c r="T109" s="105" t="str">
        <f>_xlfn.XLOOKUP(Tabla1[[#This Row],[Universidad]],Conversiones!$B:$B,Conversiones!$C:$C)</f>
        <v>ESC Rouen (NEOMA)</v>
      </c>
      <c r="U109" s="105" t="str">
        <f>_xlfn.XLOOKUP(Tabla1[[#This Row],[Universidad KPIs]],Conversiones!$C:$C,Conversiones!$E:$E)</f>
        <v>Específico</v>
      </c>
      <c r="V109" t="s">
        <v>57</v>
      </c>
      <c r="W109" t="s">
        <v>281</v>
      </c>
      <c r="X109" s="2">
        <v>44417</v>
      </c>
      <c r="Y109" s="2">
        <v>44534</v>
      </c>
      <c r="Z109">
        <v>117</v>
      </c>
    </row>
    <row r="110" spans="1:26">
      <c r="A110" s="103" t="s">
        <v>733</v>
      </c>
      <c r="B110" s="1">
        <v>201730722</v>
      </c>
      <c r="C110" s="1" t="s">
        <v>734</v>
      </c>
      <c r="D110" s="1" t="s">
        <v>735</v>
      </c>
      <c r="E110" s="1" t="s">
        <v>736</v>
      </c>
      <c r="F110" s="1" t="s">
        <v>233</v>
      </c>
      <c r="G110" s="1" t="s">
        <v>277</v>
      </c>
      <c r="H110" s="1"/>
      <c r="I110" s="1"/>
      <c r="J110" s="1" t="s">
        <v>278</v>
      </c>
      <c r="K110" s="1">
        <v>2021</v>
      </c>
      <c r="L110" s="1">
        <v>202120</v>
      </c>
      <c r="M110" s="1">
        <v>202020</v>
      </c>
      <c r="N110" s="1" t="s">
        <v>279</v>
      </c>
      <c r="O110" s="1" t="s">
        <v>230</v>
      </c>
      <c r="P110" s="1" t="s">
        <v>280</v>
      </c>
      <c r="Q110" s="1" t="s">
        <v>233</v>
      </c>
      <c r="R110" s="1" t="s">
        <v>277</v>
      </c>
      <c r="S110" s="1" t="s">
        <v>329</v>
      </c>
      <c r="T110" s="105" t="str">
        <f>_xlfn.XLOOKUP(Tabla1[[#This Row],[Universidad]],Conversiones!$B:$B,Conversiones!$C:$C)</f>
        <v>ESSEC</v>
      </c>
      <c r="U110" s="105" t="str">
        <f>_xlfn.XLOOKUP(Tabla1[[#This Row],[Universidad KPIs]],Conversiones!$C:$C,Conversiones!$E:$E)</f>
        <v>Específico</v>
      </c>
      <c r="V110" s="1" t="s">
        <v>57</v>
      </c>
      <c r="W110" s="1" t="s">
        <v>281</v>
      </c>
      <c r="X110" s="87">
        <v>44417</v>
      </c>
      <c r="Y110" s="87">
        <v>44534</v>
      </c>
      <c r="Z110" s="1">
        <v>117</v>
      </c>
    </row>
    <row r="111" spans="1:26">
      <c r="A111" s="102" t="s">
        <v>737</v>
      </c>
      <c r="B111">
        <v>201730800</v>
      </c>
      <c r="C111" t="s">
        <v>395</v>
      </c>
      <c r="D111" t="s">
        <v>738</v>
      </c>
      <c r="E111" t="s">
        <v>739</v>
      </c>
      <c r="F111" t="s">
        <v>233</v>
      </c>
      <c r="G111" t="s">
        <v>277</v>
      </c>
      <c r="J111" t="s">
        <v>278</v>
      </c>
      <c r="K111">
        <v>2021</v>
      </c>
      <c r="L111">
        <v>202120</v>
      </c>
      <c r="M111">
        <v>202120</v>
      </c>
      <c r="N111" t="s">
        <v>279</v>
      </c>
      <c r="O111" t="s">
        <v>230</v>
      </c>
      <c r="P111" t="s">
        <v>280</v>
      </c>
      <c r="Q111" t="s">
        <v>233</v>
      </c>
      <c r="R111" t="s">
        <v>277</v>
      </c>
      <c r="S111" t="s">
        <v>372</v>
      </c>
      <c r="T111" s="105" t="str">
        <f>_xlfn.XLOOKUP(Tabla1[[#This Row],[Universidad]],Conversiones!$B:$B,Conversiones!$C:$C)</f>
        <v>A.B. Freeman School of Business, Tulane University</v>
      </c>
      <c r="U111" s="105" t="str">
        <f>_xlfn.XLOOKUP(Tabla1[[#This Row],[Universidad KPIs]],Conversiones!$C:$C,Conversiones!$E:$E)</f>
        <v>Específico</v>
      </c>
      <c r="V111" t="s">
        <v>51</v>
      </c>
      <c r="W111" t="s">
        <v>291</v>
      </c>
      <c r="X111" s="2">
        <v>44417</v>
      </c>
      <c r="Y111" s="2">
        <v>44534</v>
      </c>
      <c r="Z111">
        <v>117</v>
      </c>
    </row>
    <row r="112" spans="1:26">
      <c r="A112" s="103" t="s">
        <v>740</v>
      </c>
      <c r="B112" s="1">
        <v>201823004</v>
      </c>
      <c r="C112" s="1" t="s">
        <v>395</v>
      </c>
      <c r="D112" s="1" t="s">
        <v>741</v>
      </c>
      <c r="E112" s="1" t="s">
        <v>742</v>
      </c>
      <c r="F112" s="1" t="s">
        <v>233</v>
      </c>
      <c r="G112" s="1" t="s">
        <v>277</v>
      </c>
      <c r="H112" s="1"/>
      <c r="I112" s="1"/>
      <c r="J112" s="1" t="s">
        <v>278</v>
      </c>
      <c r="K112" s="1">
        <v>2021</v>
      </c>
      <c r="L112" s="1">
        <v>202120</v>
      </c>
      <c r="M112" s="1">
        <v>202120</v>
      </c>
      <c r="N112" s="1" t="s">
        <v>279</v>
      </c>
      <c r="O112" s="1" t="s">
        <v>230</v>
      </c>
      <c r="P112" s="1" t="s">
        <v>280</v>
      </c>
      <c r="Q112" s="1" t="s">
        <v>233</v>
      </c>
      <c r="R112" s="1" t="s">
        <v>277</v>
      </c>
      <c r="S112" s="1" t="s">
        <v>94</v>
      </c>
      <c r="T112" s="105" t="str">
        <f>_xlfn.XLOOKUP(Tabla1[[#This Row],[Universidad]],Conversiones!$B:$B,Conversiones!$C:$C)</f>
        <v>Maastricht University</v>
      </c>
      <c r="U112" s="105" t="str">
        <f>_xlfn.XLOOKUP(Tabla1[[#This Row],[Universidad KPIs]],Conversiones!$C:$C,Conversiones!$E:$E)</f>
        <v>Específico</v>
      </c>
      <c r="V112" s="1" t="s">
        <v>95</v>
      </c>
      <c r="W112" s="1" t="s">
        <v>281</v>
      </c>
      <c r="X112" s="87">
        <v>44417</v>
      </c>
      <c r="Y112" s="87">
        <v>44534</v>
      </c>
      <c r="Z112" s="1">
        <v>117</v>
      </c>
    </row>
    <row r="113" spans="1:26">
      <c r="A113" s="102" t="s">
        <v>743</v>
      </c>
      <c r="B113">
        <v>201023321</v>
      </c>
      <c r="C113" t="s">
        <v>744</v>
      </c>
      <c r="D113" t="s">
        <v>745</v>
      </c>
      <c r="E113" t="s">
        <v>746</v>
      </c>
      <c r="F113" t="s">
        <v>236</v>
      </c>
      <c r="G113" t="s">
        <v>277</v>
      </c>
      <c r="J113" t="s">
        <v>278</v>
      </c>
      <c r="K113">
        <v>2021</v>
      </c>
      <c r="L113">
        <v>202120</v>
      </c>
      <c r="M113">
        <v>202120</v>
      </c>
      <c r="N113" t="s">
        <v>618</v>
      </c>
      <c r="O113" t="s">
        <v>230</v>
      </c>
      <c r="P113" t="s">
        <v>619</v>
      </c>
      <c r="Q113" t="s">
        <v>236</v>
      </c>
      <c r="R113" t="s">
        <v>277</v>
      </c>
      <c r="S113" t="s">
        <v>620</v>
      </c>
      <c r="T113" s="105" t="str">
        <f>_xlfn.XLOOKUP(Tabla1[[#This Row],[Universidad]],Conversiones!$B:$B,Conversiones!$C:$C)</f>
        <v>JIBS Jönköping International Business School</v>
      </c>
      <c r="U113" s="105" t="str">
        <f>_xlfn.XLOOKUP(Tabla1[[#This Row],[Universidad KPIs]],Conversiones!$C:$C,Conversiones!$E:$E)</f>
        <v>Específico</v>
      </c>
      <c r="V113" t="s">
        <v>90</v>
      </c>
      <c r="W113" t="s">
        <v>281</v>
      </c>
      <c r="X113" s="2">
        <v>44417</v>
      </c>
      <c r="Y113" s="2">
        <v>44534</v>
      </c>
      <c r="Z113">
        <v>117</v>
      </c>
    </row>
    <row r="114" spans="1:26">
      <c r="A114" s="103" t="s">
        <v>747</v>
      </c>
      <c r="B114" s="1">
        <v>201730584</v>
      </c>
      <c r="C114" s="1" t="s">
        <v>434</v>
      </c>
      <c r="D114" s="1" t="s">
        <v>748</v>
      </c>
      <c r="E114" s="1" t="s">
        <v>749</v>
      </c>
      <c r="F114" s="1" t="s">
        <v>233</v>
      </c>
      <c r="G114" s="1" t="s">
        <v>277</v>
      </c>
      <c r="H114" s="1" t="s">
        <v>491</v>
      </c>
      <c r="I114" s="1" t="s">
        <v>492</v>
      </c>
      <c r="J114" s="1" t="s">
        <v>278</v>
      </c>
      <c r="K114" s="1">
        <v>2021</v>
      </c>
      <c r="L114" s="1">
        <v>202120</v>
      </c>
      <c r="M114" s="1">
        <v>202120</v>
      </c>
      <c r="N114" s="1" t="s">
        <v>279</v>
      </c>
      <c r="O114" s="1" t="s">
        <v>231</v>
      </c>
      <c r="P114" s="1" t="s">
        <v>477</v>
      </c>
      <c r="Q114" s="1" t="s">
        <v>233</v>
      </c>
      <c r="R114" s="1" t="s">
        <v>277</v>
      </c>
      <c r="S114" s="1" t="s">
        <v>107</v>
      </c>
      <c r="T114" s="105" t="str">
        <f>_xlfn.XLOOKUP(Tabla1[[#This Row],[Universidad]],Conversiones!$B:$B,Conversiones!$C:$C)</f>
        <v>Toulouse Business School</v>
      </c>
      <c r="U114" s="105" t="str">
        <f>_xlfn.XLOOKUP(Tabla1[[#This Row],[Universidad KPIs]],Conversiones!$C:$C,Conversiones!$E:$E)</f>
        <v>Específico</v>
      </c>
      <c r="V114" s="1" t="s">
        <v>57</v>
      </c>
      <c r="W114" s="1" t="s">
        <v>281</v>
      </c>
      <c r="X114" s="87">
        <v>44417</v>
      </c>
      <c r="Y114" s="87">
        <v>44534</v>
      </c>
      <c r="Z114" s="1">
        <v>117</v>
      </c>
    </row>
    <row r="115" spans="1:26">
      <c r="A115" s="102" t="s">
        <v>750</v>
      </c>
      <c r="B115">
        <v>201812610</v>
      </c>
      <c r="C115" t="s">
        <v>751</v>
      </c>
      <c r="D115" t="s">
        <v>752</v>
      </c>
      <c r="E115" t="s">
        <v>753</v>
      </c>
      <c r="F115" t="s">
        <v>233</v>
      </c>
      <c r="G115" t="s">
        <v>277</v>
      </c>
      <c r="J115" t="s">
        <v>278</v>
      </c>
      <c r="K115">
        <v>2022</v>
      </c>
      <c r="L115">
        <v>202210</v>
      </c>
      <c r="M115">
        <v>202210</v>
      </c>
      <c r="N115" t="s">
        <v>279</v>
      </c>
      <c r="O115" t="s">
        <v>230</v>
      </c>
      <c r="P115" t="s">
        <v>280</v>
      </c>
      <c r="Q115" t="s">
        <v>233</v>
      </c>
      <c r="R115" t="s">
        <v>277</v>
      </c>
      <c r="S115" t="s">
        <v>182</v>
      </c>
      <c r="T115" s="105" t="str">
        <f>_xlfn.XLOOKUP(Tabla1[[#This Row],[Universidad]],Conversiones!$B:$B,Conversiones!$C:$C)</f>
        <v>University of Oklahoma</v>
      </c>
      <c r="U115" s="105" t="str">
        <f>_xlfn.XLOOKUP(Tabla1[[#This Row],[Universidad KPIs]],Conversiones!$C:$C,Conversiones!$E:$E)</f>
        <v>General</v>
      </c>
      <c r="V115" t="s">
        <v>51</v>
      </c>
      <c r="W115" t="s">
        <v>291</v>
      </c>
      <c r="X115" s="2">
        <v>44585</v>
      </c>
      <c r="Y115" s="2">
        <v>44709</v>
      </c>
      <c r="Z115">
        <v>124</v>
      </c>
    </row>
    <row r="116" spans="1:26">
      <c r="A116" s="103" t="s">
        <v>754</v>
      </c>
      <c r="B116" s="1">
        <v>201911405</v>
      </c>
      <c r="C116" s="1" t="s">
        <v>755</v>
      </c>
      <c r="D116" s="1" t="s">
        <v>756</v>
      </c>
      <c r="E116" s="1" t="s">
        <v>757</v>
      </c>
      <c r="F116" s="1" t="s">
        <v>233</v>
      </c>
      <c r="G116" s="1" t="s">
        <v>277</v>
      </c>
      <c r="H116" s="1">
        <v>0</v>
      </c>
      <c r="I116" s="1">
        <v>0</v>
      </c>
      <c r="J116" s="1" t="s">
        <v>278</v>
      </c>
      <c r="K116" s="1">
        <v>2022</v>
      </c>
      <c r="L116" s="1">
        <v>202220</v>
      </c>
      <c r="M116" s="1">
        <v>202220</v>
      </c>
      <c r="N116" s="1" t="s">
        <v>279</v>
      </c>
      <c r="O116" s="1" t="s">
        <v>230</v>
      </c>
      <c r="P116" s="1" t="s">
        <v>280</v>
      </c>
      <c r="Q116" s="1" t="s">
        <v>233</v>
      </c>
      <c r="R116" s="1" t="s">
        <v>277</v>
      </c>
      <c r="S116" s="1" t="s">
        <v>151</v>
      </c>
      <c r="T116" s="105" t="str">
        <f>_xlfn.XLOOKUP(Tabla1[[#This Row],[Universidad]],Conversiones!$B:$B,Conversiones!$C:$C)</f>
        <v>Pontificia Universidade Católica do Rio Grande do Sul (PUCRS)</v>
      </c>
      <c r="U116" s="105" t="str">
        <f>_xlfn.XLOOKUP(Tabla1[[#This Row],[Universidad KPIs]],Conversiones!$C:$C,Conversiones!$E:$E)</f>
        <v>General</v>
      </c>
      <c r="V116" s="1" t="s">
        <v>78</v>
      </c>
      <c r="W116" s="1" t="s">
        <v>296</v>
      </c>
      <c r="X116" s="87">
        <v>44781</v>
      </c>
      <c r="Y116" s="87">
        <v>44898</v>
      </c>
      <c r="Z116" s="1">
        <v>117</v>
      </c>
    </row>
    <row r="117" spans="1:26">
      <c r="A117" s="102" t="s">
        <v>758</v>
      </c>
      <c r="B117">
        <v>201920653</v>
      </c>
      <c r="C117" t="s">
        <v>759</v>
      </c>
      <c r="D117" t="s">
        <v>760</v>
      </c>
      <c r="E117" t="s">
        <v>761</v>
      </c>
      <c r="F117" t="s">
        <v>233</v>
      </c>
      <c r="G117" t="s">
        <v>277</v>
      </c>
      <c r="H117" t="s">
        <v>491</v>
      </c>
      <c r="I117" t="s">
        <v>492</v>
      </c>
      <c r="J117" t="s">
        <v>278</v>
      </c>
      <c r="K117">
        <v>2022</v>
      </c>
      <c r="L117">
        <v>202210</v>
      </c>
      <c r="M117">
        <v>202210</v>
      </c>
      <c r="N117" t="s">
        <v>279</v>
      </c>
      <c r="O117" t="s">
        <v>230</v>
      </c>
      <c r="P117" t="s">
        <v>280</v>
      </c>
      <c r="Q117" t="s">
        <v>233</v>
      </c>
      <c r="R117" t="s">
        <v>277</v>
      </c>
      <c r="S117" t="s">
        <v>174</v>
      </c>
      <c r="T117" s="105" t="str">
        <f>_xlfn.XLOOKUP(Tabla1[[#This Row],[Universidad]],Conversiones!$B:$B,Conversiones!$C:$C)</f>
        <v>Universitat Politècnica de Catalunya</v>
      </c>
      <c r="U117" s="105" t="str">
        <f>_xlfn.XLOOKUP(Tabla1[[#This Row],[Universidad KPIs]],Conversiones!$C:$C,Conversiones!$E:$E)</f>
        <v>General</v>
      </c>
      <c r="V117" t="s">
        <v>69</v>
      </c>
      <c r="W117" t="s">
        <v>281</v>
      </c>
      <c r="X117" s="2">
        <v>44585</v>
      </c>
      <c r="Y117" s="2">
        <v>44709</v>
      </c>
      <c r="Z117">
        <v>124</v>
      </c>
    </row>
    <row r="118" spans="1:26">
      <c r="A118" s="103" t="s">
        <v>762</v>
      </c>
      <c r="B118" s="1">
        <v>201731824</v>
      </c>
      <c r="C118" s="1" t="s">
        <v>763</v>
      </c>
      <c r="D118" s="1" t="s">
        <v>764</v>
      </c>
      <c r="E118" s="1" t="s">
        <v>765</v>
      </c>
      <c r="F118" s="1" t="s">
        <v>233</v>
      </c>
      <c r="G118" s="1" t="s">
        <v>277</v>
      </c>
      <c r="H118" s="1"/>
      <c r="I118" s="1"/>
      <c r="J118" s="1" t="s">
        <v>278</v>
      </c>
      <c r="K118" s="1">
        <v>2022</v>
      </c>
      <c r="L118" s="1">
        <v>202210</v>
      </c>
      <c r="M118" s="1">
        <v>202210</v>
      </c>
      <c r="N118" s="1" t="s">
        <v>279</v>
      </c>
      <c r="O118" s="1" t="s">
        <v>230</v>
      </c>
      <c r="P118" s="1" t="s">
        <v>280</v>
      </c>
      <c r="Q118" s="1" t="s">
        <v>233</v>
      </c>
      <c r="R118" s="1" t="s">
        <v>277</v>
      </c>
      <c r="S118" s="1" t="s">
        <v>54</v>
      </c>
      <c r="T118" s="105" t="str">
        <f>_xlfn.XLOOKUP(Tabla1[[#This Row],[Universidad]],Conversiones!$B:$B,Conversiones!$C:$C)</f>
        <v>Aston University</v>
      </c>
      <c r="U118" s="105" t="str">
        <f>_xlfn.XLOOKUP(Tabla1[[#This Row],[Universidad KPIs]],Conversiones!$C:$C,Conversiones!$E:$E)</f>
        <v>Específico</v>
      </c>
      <c r="V118" s="1" t="s">
        <v>55</v>
      </c>
      <c r="W118" s="1" t="s">
        <v>281</v>
      </c>
      <c r="X118" s="87">
        <v>44585</v>
      </c>
      <c r="Y118" s="87">
        <v>44709</v>
      </c>
      <c r="Z118" s="1">
        <v>124</v>
      </c>
    </row>
    <row r="119" spans="1:26">
      <c r="A119" s="102" t="s">
        <v>766</v>
      </c>
      <c r="B119">
        <v>201921846</v>
      </c>
      <c r="C119" t="s">
        <v>407</v>
      </c>
      <c r="D119" t="s">
        <v>767</v>
      </c>
      <c r="E119" t="s">
        <v>768</v>
      </c>
      <c r="F119" t="s">
        <v>233</v>
      </c>
      <c r="G119" t="s">
        <v>277</v>
      </c>
      <c r="J119" t="s">
        <v>278</v>
      </c>
      <c r="K119">
        <v>2022</v>
      </c>
      <c r="L119">
        <v>202220</v>
      </c>
      <c r="M119">
        <v>202220</v>
      </c>
      <c r="N119" t="s">
        <v>279</v>
      </c>
      <c r="O119" t="s">
        <v>231</v>
      </c>
      <c r="P119" t="s">
        <v>477</v>
      </c>
      <c r="Q119" t="s">
        <v>233</v>
      </c>
      <c r="R119" t="s">
        <v>277</v>
      </c>
      <c r="S119" t="s">
        <v>769</v>
      </c>
      <c r="T119" s="105" t="str">
        <f>_xlfn.XLOOKUP(Tabla1[[#This Row],[Universidad]],Conversiones!$B:$B,Conversiones!$C:$C)</f>
        <v>Universidad de Tilburg</v>
      </c>
      <c r="U119" s="105" t="str">
        <f>_xlfn.XLOOKUP(Tabla1[[#This Row],[Universidad KPIs]],Conversiones!$C:$C,Conversiones!$E:$E)</f>
        <v>Específico</v>
      </c>
      <c r="V119" t="s">
        <v>95</v>
      </c>
      <c r="W119" t="s">
        <v>281</v>
      </c>
      <c r="X119" s="2">
        <v>44781</v>
      </c>
      <c r="Y119" s="2">
        <v>44898</v>
      </c>
      <c r="Z119">
        <v>117</v>
      </c>
    </row>
    <row r="120" spans="1:26">
      <c r="A120" s="103" t="s">
        <v>770</v>
      </c>
      <c r="B120" s="1">
        <v>201820676</v>
      </c>
      <c r="C120" s="1" t="s">
        <v>771</v>
      </c>
      <c r="D120" s="1" t="s">
        <v>772</v>
      </c>
      <c r="E120" s="1" t="s">
        <v>773</v>
      </c>
      <c r="F120" s="1" t="s">
        <v>233</v>
      </c>
      <c r="G120" s="1" t="s">
        <v>277</v>
      </c>
      <c r="H120" s="1"/>
      <c r="I120" s="1"/>
      <c r="J120" s="1" t="s">
        <v>278</v>
      </c>
      <c r="K120" s="1">
        <v>2022</v>
      </c>
      <c r="L120" s="1">
        <v>202210</v>
      </c>
      <c r="M120" s="1">
        <v>202210</v>
      </c>
      <c r="N120" s="1" t="s">
        <v>279</v>
      </c>
      <c r="O120" s="1" t="s">
        <v>230</v>
      </c>
      <c r="P120" s="1" t="s">
        <v>280</v>
      </c>
      <c r="Q120" s="1" t="s">
        <v>233</v>
      </c>
      <c r="R120" s="1" t="s">
        <v>277</v>
      </c>
      <c r="S120" s="1" t="s">
        <v>66</v>
      </c>
      <c r="T120" s="105" t="str">
        <f>_xlfn.XLOOKUP(Tabla1[[#This Row],[Universidad]],Conversiones!$B:$B,Conversiones!$C:$C)</f>
        <v>EDHEC Business School</v>
      </c>
      <c r="U120" s="105" t="str">
        <f>_xlfn.XLOOKUP(Tabla1[[#This Row],[Universidad KPIs]],Conversiones!$C:$C,Conversiones!$E:$E)</f>
        <v>Específico</v>
      </c>
      <c r="V120" s="1" t="s">
        <v>57</v>
      </c>
      <c r="W120" s="1" t="s">
        <v>281</v>
      </c>
      <c r="X120" s="87">
        <v>44585</v>
      </c>
      <c r="Y120" s="87">
        <v>44709</v>
      </c>
      <c r="Z120" s="1">
        <v>124</v>
      </c>
    </row>
    <row r="121" spans="1:26">
      <c r="A121" s="102" t="s">
        <v>774</v>
      </c>
      <c r="B121">
        <v>201820690</v>
      </c>
      <c r="C121" t="s">
        <v>698</v>
      </c>
      <c r="D121" t="s">
        <v>775</v>
      </c>
      <c r="E121" t="s">
        <v>776</v>
      </c>
      <c r="F121" t="s">
        <v>233</v>
      </c>
      <c r="G121" t="s">
        <v>277</v>
      </c>
      <c r="J121" t="s">
        <v>278</v>
      </c>
      <c r="K121">
        <v>2022</v>
      </c>
      <c r="L121">
        <v>202210</v>
      </c>
      <c r="M121">
        <v>202210</v>
      </c>
      <c r="N121" t="s">
        <v>279</v>
      </c>
      <c r="O121" t="s">
        <v>230</v>
      </c>
      <c r="P121" t="s">
        <v>280</v>
      </c>
      <c r="Q121" t="s">
        <v>233</v>
      </c>
      <c r="R121" t="s">
        <v>277</v>
      </c>
      <c r="S121" t="s">
        <v>94</v>
      </c>
      <c r="T121" s="105" t="str">
        <f>_xlfn.XLOOKUP(Tabla1[[#This Row],[Universidad]],Conversiones!$B:$B,Conversiones!$C:$C)</f>
        <v>Maastricht University</v>
      </c>
      <c r="U121" s="105" t="str">
        <f>_xlfn.XLOOKUP(Tabla1[[#This Row],[Universidad KPIs]],Conversiones!$C:$C,Conversiones!$E:$E)</f>
        <v>Específico</v>
      </c>
      <c r="V121" t="s">
        <v>95</v>
      </c>
      <c r="W121" t="s">
        <v>281</v>
      </c>
      <c r="X121" s="2">
        <v>44585</v>
      </c>
      <c r="Y121" s="2">
        <v>44709</v>
      </c>
      <c r="Z121">
        <v>124</v>
      </c>
    </row>
    <row r="122" spans="1:26">
      <c r="A122" s="103" t="s">
        <v>777</v>
      </c>
      <c r="B122" s="1">
        <v>201729155</v>
      </c>
      <c r="C122" s="1" t="s">
        <v>778</v>
      </c>
      <c r="D122" s="1" t="s">
        <v>779</v>
      </c>
      <c r="E122" s="1" t="s">
        <v>780</v>
      </c>
      <c r="F122" s="1" t="s">
        <v>543</v>
      </c>
      <c r="G122" s="1" t="s">
        <v>544</v>
      </c>
      <c r="H122" s="1" t="s">
        <v>233</v>
      </c>
      <c r="I122" s="1" t="s">
        <v>277</v>
      </c>
      <c r="J122" s="1" t="s">
        <v>278</v>
      </c>
      <c r="K122" s="1">
        <v>2022</v>
      </c>
      <c r="L122" s="1">
        <v>202210</v>
      </c>
      <c r="M122" s="1">
        <v>202210</v>
      </c>
      <c r="N122" s="1" t="s">
        <v>279</v>
      </c>
      <c r="O122" s="1" t="s">
        <v>230</v>
      </c>
      <c r="P122" s="1" t="s">
        <v>280</v>
      </c>
      <c r="Q122" s="1" t="s">
        <v>233</v>
      </c>
      <c r="R122" s="1" t="s">
        <v>277</v>
      </c>
      <c r="S122" s="1" t="s">
        <v>338</v>
      </c>
      <c r="T122" s="105" t="str">
        <f>_xlfn.XLOOKUP(Tabla1[[#This Row],[Universidad]],Conversiones!$B:$B,Conversiones!$C:$C)</f>
        <v>University of Mannheim Business School</v>
      </c>
      <c r="U122" s="105" t="str">
        <f>_xlfn.XLOOKUP(Tabla1[[#This Row],[Universidad KPIs]],Conversiones!$C:$C,Conversiones!$E:$E)</f>
        <v>Específico</v>
      </c>
      <c r="V122" s="1" t="s">
        <v>76</v>
      </c>
      <c r="W122" s="1" t="s">
        <v>281</v>
      </c>
      <c r="X122" s="87">
        <v>44585</v>
      </c>
      <c r="Y122" s="87">
        <v>44709</v>
      </c>
      <c r="Z122" s="1">
        <v>124</v>
      </c>
    </row>
    <row r="123" spans="1:26">
      <c r="A123" s="102" t="s">
        <v>781</v>
      </c>
      <c r="B123">
        <v>201820707</v>
      </c>
      <c r="C123" t="s">
        <v>782</v>
      </c>
      <c r="D123" t="s">
        <v>783</v>
      </c>
      <c r="E123" t="s">
        <v>784</v>
      </c>
      <c r="F123" t="s">
        <v>233</v>
      </c>
      <c r="G123" t="s">
        <v>277</v>
      </c>
      <c r="J123" t="s">
        <v>278</v>
      </c>
      <c r="K123">
        <v>2022</v>
      </c>
      <c r="L123">
        <v>202210</v>
      </c>
      <c r="M123">
        <v>202110</v>
      </c>
      <c r="N123" t="s">
        <v>279</v>
      </c>
      <c r="O123" t="s">
        <v>230</v>
      </c>
      <c r="P123" t="s">
        <v>280</v>
      </c>
      <c r="Q123" t="s">
        <v>233</v>
      </c>
      <c r="R123" t="s">
        <v>277</v>
      </c>
      <c r="S123" t="s">
        <v>785</v>
      </c>
      <c r="T123" s="105" t="str">
        <f>_xlfn.XLOOKUP(Tabla1[[#This Row],[Universidad]],Conversiones!$B:$B,Conversiones!$C:$C)</f>
        <v>HEC Lausanne</v>
      </c>
      <c r="U123" s="105" t="str">
        <f>_xlfn.XLOOKUP(Tabla1[[#This Row],[Universidad KPIs]],Conversiones!$C:$C,Conversiones!$E:$E)</f>
        <v>Específico</v>
      </c>
      <c r="V123" t="s">
        <v>81</v>
      </c>
      <c r="W123" t="s">
        <v>281</v>
      </c>
      <c r="X123" s="2">
        <v>44585</v>
      </c>
      <c r="Y123" s="2">
        <v>44709</v>
      </c>
      <c r="Z123">
        <v>124</v>
      </c>
    </row>
    <row r="124" spans="1:26">
      <c r="A124" s="103" t="s">
        <v>786</v>
      </c>
      <c r="B124" s="1">
        <v>201812841</v>
      </c>
      <c r="C124" s="1" t="s">
        <v>787</v>
      </c>
      <c r="D124" s="1" t="s">
        <v>788</v>
      </c>
      <c r="E124" s="1" t="s">
        <v>789</v>
      </c>
      <c r="F124" s="1" t="s">
        <v>233</v>
      </c>
      <c r="G124" s="1" t="s">
        <v>277</v>
      </c>
      <c r="H124" s="1" t="s">
        <v>497</v>
      </c>
      <c r="I124" s="1" t="s">
        <v>498</v>
      </c>
      <c r="J124" s="1" t="s">
        <v>278</v>
      </c>
      <c r="K124" s="1">
        <v>2022</v>
      </c>
      <c r="L124" s="1">
        <v>202220</v>
      </c>
      <c r="M124" s="1">
        <v>202220</v>
      </c>
      <c r="N124" s="1" t="s">
        <v>279</v>
      </c>
      <c r="O124" s="1" t="s">
        <v>230</v>
      </c>
      <c r="P124" s="1" t="s">
        <v>280</v>
      </c>
      <c r="Q124" s="1" t="s">
        <v>233</v>
      </c>
      <c r="R124" s="1" t="s">
        <v>277</v>
      </c>
      <c r="S124" s="1" t="s">
        <v>286</v>
      </c>
      <c r="T124" s="105" t="str">
        <f>_xlfn.XLOOKUP(Tabla1[[#This Row],[Universidad]],Conversiones!$B:$B,Conversiones!$C:$C)</f>
        <v>ESC Rouen (NEOMA)</v>
      </c>
      <c r="U124" s="105" t="str">
        <f>_xlfn.XLOOKUP(Tabla1[[#This Row],[Universidad KPIs]],Conversiones!$C:$C,Conversiones!$E:$E)</f>
        <v>Específico</v>
      </c>
      <c r="V124" s="1" t="s">
        <v>57</v>
      </c>
      <c r="W124" s="1" t="s">
        <v>281</v>
      </c>
      <c r="X124" s="87">
        <v>44781</v>
      </c>
      <c r="Y124" s="87">
        <v>44898</v>
      </c>
      <c r="Z124" s="1">
        <v>117</v>
      </c>
    </row>
    <row r="125" spans="1:26">
      <c r="A125" s="102" t="s">
        <v>790</v>
      </c>
      <c r="B125">
        <v>201921928</v>
      </c>
      <c r="C125" t="s">
        <v>298</v>
      </c>
      <c r="D125" t="s">
        <v>791</v>
      </c>
      <c r="E125" t="s">
        <v>792</v>
      </c>
      <c r="F125" t="s">
        <v>233</v>
      </c>
      <c r="G125" t="s">
        <v>277</v>
      </c>
      <c r="H125">
        <v>0</v>
      </c>
      <c r="I125">
        <v>0</v>
      </c>
      <c r="J125" t="s">
        <v>278</v>
      </c>
      <c r="K125">
        <v>2022</v>
      </c>
      <c r="L125">
        <v>202220</v>
      </c>
      <c r="M125">
        <v>202220</v>
      </c>
      <c r="N125" t="s">
        <v>279</v>
      </c>
      <c r="O125" t="s">
        <v>230</v>
      </c>
      <c r="P125" t="s">
        <v>280</v>
      </c>
      <c r="Q125" t="s">
        <v>233</v>
      </c>
      <c r="R125" t="s">
        <v>277</v>
      </c>
      <c r="S125" t="s">
        <v>94</v>
      </c>
      <c r="T125" s="105" t="str">
        <f>_xlfn.XLOOKUP(Tabla1[[#This Row],[Universidad]],Conversiones!$B:$B,Conversiones!$C:$C)</f>
        <v>Maastricht University</v>
      </c>
      <c r="U125" s="105" t="str">
        <f>_xlfn.XLOOKUP(Tabla1[[#This Row],[Universidad KPIs]],Conversiones!$C:$C,Conversiones!$E:$E)</f>
        <v>Específico</v>
      </c>
      <c r="V125" t="s">
        <v>95</v>
      </c>
      <c r="W125" t="s">
        <v>281</v>
      </c>
      <c r="X125" s="2">
        <v>44781</v>
      </c>
      <c r="Y125" s="2">
        <v>44898</v>
      </c>
      <c r="Z125">
        <v>117</v>
      </c>
    </row>
    <row r="126" spans="1:26">
      <c r="A126" s="103" t="s">
        <v>793</v>
      </c>
      <c r="B126" s="1">
        <v>201820792</v>
      </c>
      <c r="C126" s="1" t="s">
        <v>395</v>
      </c>
      <c r="D126" s="1" t="s">
        <v>794</v>
      </c>
      <c r="E126" s="1" t="s">
        <v>795</v>
      </c>
      <c r="F126" s="1" t="s">
        <v>233</v>
      </c>
      <c r="G126" s="1" t="s">
        <v>277</v>
      </c>
      <c r="H126" s="1"/>
      <c r="I126" s="1"/>
      <c r="J126" s="1" t="s">
        <v>278</v>
      </c>
      <c r="K126" s="1">
        <v>2022</v>
      </c>
      <c r="L126" s="1">
        <v>202220</v>
      </c>
      <c r="M126" s="1">
        <v>202220</v>
      </c>
      <c r="N126" s="1" t="s">
        <v>279</v>
      </c>
      <c r="O126" s="1" t="s">
        <v>230</v>
      </c>
      <c r="P126" s="1" t="s">
        <v>280</v>
      </c>
      <c r="Q126" s="1" t="s">
        <v>233</v>
      </c>
      <c r="R126" s="1" t="s">
        <v>277</v>
      </c>
      <c r="S126" s="1" t="s">
        <v>286</v>
      </c>
      <c r="T126" s="105" t="str">
        <f>_xlfn.XLOOKUP(Tabla1[[#This Row],[Universidad]],Conversiones!$B:$B,Conversiones!$C:$C)</f>
        <v>ESC Rouen (NEOMA)</v>
      </c>
      <c r="U126" s="105" t="str">
        <f>_xlfn.XLOOKUP(Tabla1[[#This Row],[Universidad KPIs]],Conversiones!$C:$C,Conversiones!$E:$E)</f>
        <v>Específico</v>
      </c>
      <c r="V126" s="1" t="s">
        <v>57</v>
      </c>
      <c r="W126" s="1" t="s">
        <v>281</v>
      </c>
      <c r="X126" s="87">
        <v>44781</v>
      </c>
      <c r="Y126" s="87">
        <v>44898</v>
      </c>
      <c r="Z126" s="1">
        <v>117</v>
      </c>
    </row>
    <row r="127" spans="1:26">
      <c r="A127" s="102" t="s">
        <v>796</v>
      </c>
      <c r="B127">
        <v>201820793</v>
      </c>
      <c r="C127" t="s">
        <v>797</v>
      </c>
      <c r="D127" t="s">
        <v>798</v>
      </c>
      <c r="E127" t="s">
        <v>799</v>
      </c>
      <c r="F127" t="s">
        <v>233</v>
      </c>
      <c r="G127" t="s">
        <v>277</v>
      </c>
      <c r="J127" t="s">
        <v>278</v>
      </c>
      <c r="K127">
        <v>2022</v>
      </c>
      <c r="L127">
        <v>202210</v>
      </c>
      <c r="M127">
        <v>202210</v>
      </c>
      <c r="N127" t="s">
        <v>279</v>
      </c>
      <c r="O127" t="s">
        <v>230</v>
      </c>
      <c r="P127" t="s">
        <v>280</v>
      </c>
      <c r="Q127" t="s">
        <v>233</v>
      </c>
      <c r="R127" t="s">
        <v>277</v>
      </c>
      <c r="S127" t="s">
        <v>170</v>
      </c>
      <c r="T127" s="105" t="str">
        <f>_xlfn.XLOOKUP(Tabla1[[#This Row],[Universidad]],Conversiones!$B:$B,Conversiones!$C:$C)</f>
        <v>Università degli Studi 'Ca' Foscari' di Venezia</v>
      </c>
      <c r="U127" s="105" t="str">
        <f>_xlfn.XLOOKUP(Tabla1[[#This Row],[Universidad KPIs]],Conversiones!$C:$C,Conversiones!$E:$E)</f>
        <v>General</v>
      </c>
      <c r="V127" t="s">
        <v>103</v>
      </c>
      <c r="W127" t="s">
        <v>281</v>
      </c>
      <c r="X127" s="2">
        <v>44585</v>
      </c>
      <c r="Y127" s="2">
        <v>44709</v>
      </c>
      <c r="Z127">
        <v>124</v>
      </c>
    </row>
    <row r="128" spans="1:26">
      <c r="A128" s="103" t="s">
        <v>800</v>
      </c>
      <c r="B128" s="1">
        <v>201729225</v>
      </c>
      <c r="C128" s="1" t="s">
        <v>474</v>
      </c>
      <c r="D128" s="1" t="s">
        <v>801</v>
      </c>
      <c r="E128" s="1" t="s">
        <v>802</v>
      </c>
      <c r="F128" s="1" t="s">
        <v>233</v>
      </c>
      <c r="G128" s="1" t="s">
        <v>277</v>
      </c>
      <c r="H128" s="1"/>
      <c r="I128" s="1"/>
      <c r="J128" s="1" t="s">
        <v>278</v>
      </c>
      <c r="K128" s="1">
        <v>2022</v>
      </c>
      <c r="L128" s="1">
        <v>202210</v>
      </c>
      <c r="M128" s="1">
        <v>202120</v>
      </c>
      <c r="N128" s="1" t="s">
        <v>279</v>
      </c>
      <c r="O128" s="1" t="s">
        <v>230</v>
      </c>
      <c r="P128" s="1" t="s">
        <v>280</v>
      </c>
      <c r="Q128" s="1" t="s">
        <v>233</v>
      </c>
      <c r="R128" s="1" t="s">
        <v>277</v>
      </c>
      <c r="S128" s="1" t="s">
        <v>393</v>
      </c>
      <c r="T128" s="105" t="str">
        <f>_xlfn.XLOOKUP(Tabla1[[#This Row],[Universidad]],Conversiones!$B:$B,Conversiones!$C:$C)</f>
        <v>Frankfurt School of Finance and Management</v>
      </c>
      <c r="U128" s="105" t="str">
        <f>_xlfn.XLOOKUP(Tabla1[[#This Row],[Universidad KPIs]],Conversiones!$C:$C,Conversiones!$E:$E)</f>
        <v>Específico</v>
      </c>
      <c r="V128" s="1" t="s">
        <v>76</v>
      </c>
      <c r="W128" s="1" t="s">
        <v>281</v>
      </c>
      <c r="X128" s="87">
        <v>44585</v>
      </c>
      <c r="Y128" s="87">
        <v>44709</v>
      </c>
      <c r="Z128" s="1">
        <v>124</v>
      </c>
    </row>
    <row r="129" spans="1:26">
      <c r="A129" s="102" t="s">
        <v>803</v>
      </c>
      <c r="B129">
        <v>201921990</v>
      </c>
      <c r="C129" t="s">
        <v>298</v>
      </c>
      <c r="D129" t="s">
        <v>804</v>
      </c>
      <c r="E129" t="s">
        <v>805</v>
      </c>
      <c r="F129" t="s">
        <v>233</v>
      </c>
      <c r="G129" t="s">
        <v>277</v>
      </c>
      <c r="H129">
        <v>0</v>
      </c>
      <c r="I129">
        <v>0</v>
      </c>
      <c r="J129" t="s">
        <v>278</v>
      </c>
      <c r="K129">
        <v>2022</v>
      </c>
      <c r="L129">
        <v>202220</v>
      </c>
      <c r="M129">
        <v>202220</v>
      </c>
      <c r="N129" t="s">
        <v>279</v>
      </c>
      <c r="O129" t="s">
        <v>230</v>
      </c>
      <c r="P129" t="s">
        <v>280</v>
      </c>
      <c r="Q129" t="s">
        <v>233</v>
      </c>
      <c r="R129" t="s">
        <v>277</v>
      </c>
      <c r="S129" t="s">
        <v>310</v>
      </c>
      <c r="T129" s="105" t="str">
        <f>_xlfn.XLOOKUP(Tabla1[[#This Row],[Universidad]],Conversiones!$B:$B,Conversiones!$C:$C)</f>
        <v>Toulouse Business School</v>
      </c>
      <c r="U129" s="105" t="str">
        <f>_xlfn.XLOOKUP(Tabla1[[#This Row],[Universidad KPIs]],Conversiones!$C:$C,Conversiones!$E:$E)</f>
        <v>Específico</v>
      </c>
      <c r="V129" t="s">
        <v>57</v>
      </c>
      <c r="W129" t="s">
        <v>281</v>
      </c>
      <c r="X129" s="2">
        <v>44781</v>
      </c>
      <c r="Y129" s="2">
        <v>44898</v>
      </c>
      <c r="Z129">
        <v>117</v>
      </c>
    </row>
    <row r="130" spans="1:26">
      <c r="A130" s="103" t="s">
        <v>806</v>
      </c>
      <c r="B130" s="1">
        <v>201911830</v>
      </c>
      <c r="C130" s="1" t="s">
        <v>807</v>
      </c>
      <c r="D130" s="1" t="s">
        <v>808</v>
      </c>
      <c r="E130" s="1" t="s">
        <v>809</v>
      </c>
      <c r="F130" s="1" t="s">
        <v>233</v>
      </c>
      <c r="G130" s="1" t="s">
        <v>277</v>
      </c>
      <c r="H130" s="1" t="s">
        <v>810</v>
      </c>
      <c r="I130" s="1" t="s">
        <v>811</v>
      </c>
      <c r="J130" s="1" t="s">
        <v>278</v>
      </c>
      <c r="K130" s="1">
        <v>2022</v>
      </c>
      <c r="L130" s="1">
        <v>202220</v>
      </c>
      <c r="M130" s="1">
        <v>202220</v>
      </c>
      <c r="N130" s="1" t="s">
        <v>279</v>
      </c>
      <c r="O130" s="1" t="s">
        <v>230</v>
      </c>
      <c r="P130" s="1" t="s">
        <v>280</v>
      </c>
      <c r="Q130" s="1" t="s">
        <v>233</v>
      </c>
      <c r="R130" s="1" t="s">
        <v>277</v>
      </c>
      <c r="S130" s="1" t="s">
        <v>812</v>
      </c>
      <c r="T130" s="105" t="str">
        <f>_xlfn.XLOOKUP(Tabla1[[#This Row],[Universidad]],Conversiones!$B:$B,Conversiones!$C:$C)</f>
        <v>ITESM-EGADE -Instituto tecnológico y de estudios superiores de Monterrey</v>
      </c>
      <c r="U130" s="105" t="str">
        <f>_xlfn.XLOOKUP(Tabla1[[#This Row],[Universidad KPIs]],Conversiones!$C:$C,Conversiones!$E:$E)</f>
        <v>Específico</v>
      </c>
      <c r="V130" s="1" t="s">
        <v>87</v>
      </c>
      <c r="W130" s="1" t="s">
        <v>291</v>
      </c>
      <c r="X130" s="87">
        <v>44781</v>
      </c>
      <c r="Y130" s="87">
        <v>44898</v>
      </c>
      <c r="Z130" s="1">
        <v>117</v>
      </c>
    </row>
    <row r="131" spans="1:26">
      <c r="A131" s="102" t="s">
        <v>813</v>
      </c>
      <c r="B131">
        <v>201819805</v>
      </c>
      <c r="C131" t="s">
        <v>814</v>
      </c>
      <c r="D131" t="s">
        <v>815</v>
      </c>
      <c r="E131" t="s">
        <v>816</v>
      </c>
      <c r="F131" t="s">
        <v>233</v>
      </c>
      <c r="G131" t="s">
        <v>277</v>
      </c>
      <c r="J131" t="s">
        <v>278</v>
      </c>
      <c r="K131">
        <v>2022</v>
      </c>
      <c r="L131">
        <v>202210</v>
      </c>
      <c r="M131">
        <v>202210</v>
      </c>
      <c r="N131" t="s">
        <v>279</v>
      </c>
      <c r="O131" t="s">
        <v>230</v>
      </c>
      <c r="P131" t="s">
        <v>280</v>
      </c>
      <c r="Q131" t="s">
        <v>233</v>
      </c>
      <c r="R131" t="s">
        <v>277</v>
      </c>
      <c r="S131" t="s">
        <v>338</v>
      </c>
      <c r="T131" s="105" t="str">
        <f>_xlfn.XLOOKUP(Tabla1[[#This Row],[Universidad]],Conversiones!$B:$B,Conversiones!$C:$C)</f>
        <v>University of Mannheim Business School</v>
      </c>
      <c r="U131" s="105" t="str">
        <f>_xlfn.XLOOKUP(Tabla1[[#This Row],[Universidad KPIs]],Conversiones!$C:$C,Conversiones!$E:$E)</f>
        <v>Específico</v>
      </c>
      <c r="V131" t="s">
        <v>76</v>
      </c>
      <c r="W131" t="s">
        <v>281</v>
      </c>
      <c r="X131" s="2">
        <v>44585</v>
      </c>
      <c r="Y131" s="2">
        <v>44709</v>
      </c>
      <c r="Z131">
        <v>124</v>
      </c>
    </row>
    <row r="132" spans="1:26">
      <c r="A132" s="103" t="s">
        <v>817</v>
      </c>
      <c r="B132" s="1">
        <v>201820849</v>
      </c>
      <c r="C132" s="1" t="s">
        <v>818</v>
      </c>
      <c r="D132" s="1" t="s">
        <v>819</v>
      </c>
      <c r="E132" s="1" t="s">
        <v>820</v>
      </c>
      <c r="F132" s="1" t="s">
        <v>233</v>
      </c>
      <c r="G132" s="1" t="s">
        <v>277</v>
      </c>
      <c r="H132" s="1"/>
      <c r="I132" s="1"/>
      <c r="J132" s="1" t="s">
        <v>278</v>
      </c>
      <c r="K132" s="1">
        <v>2022</v>
      </c>
      <c r="L132" s="1">
        <v>202220</v>
      </c>
      <c r="M132" s="1">
        <v>202220</v>
      </c>
      <c r="N132" s="1" t="s">
        <v>279</v>
      </c>
      <c r="O132" s="1" t="s">
        <v>231</v>
      </c>
      <c r="P132" s="1" t="s">
        <v>477</v>
      </c>
      <c r="Q132" s="1" t="s">
        <v>233</v>
      </c>
      <c r="R132" s="1" t="s">
        <v>277</v>
      </c>
      <c r="S132" s="1" t="s">
        <v>310</v>
      </c>
      <c r="T132" s="105" t="str">
        <f>_xlfn.XLOOKUP(Tabla1[[#This Row],[Universidad]],Conversiones!$B:$B,Conversiones!$C:$C)</f>
        <v>Toulouse Business School</v>
      </c>
      <c r="U132" s="105" t="str">
        <f>_xlfn.XLOOKUP(Tabla1[[#This Row],[Universidad KPIs]],Conversiones!$C:$C,Conversiones!$E:$E)</f>
        <v>Específico</v>
      </c>
      <c r="V132" s="1" t="s">
        <v>57</v>
      </c>
      <c r="W132" s="1" t="s">
        <v>281</v>
      </c>
      <c r="X132" s="87">
        <v>44781</v>
      </c>
      <c r="Y132" s="87">
        <v>44898</v>
      </c>
      <c r="Z132" s="1">
        <v>117</v>
      </c>
    </row>
    <row r="133" spans="1:26">
      <c r="A133" s="102" t="s">
        <v>821</v>
      </c>
      <c r="B133">
        <v>201813045</v>
      </c>
      <c r="C133" t="s">
        <v>331</v>
      </c>
      <c r="D133" t="s">
        <v>822</v>
      </c>
      <c r="E133" t="s">
        <v>823</v>
      </c>
      <c r="F133" t="s">
        <v>491</v>
      </c>
      <c r="G133" t="s">
        <v>492</v>
      </c>
      <c r="H133" t="s">
        <v>233</v>
      </c>
      <c r="I133" t="s">
        <v>277</v>
      </c>
      <c r="J133" t="s">
        <v>278</v>
      </c>
      <c r="K133">
        <v>2022</v>
      </c>
      <c r="L133">
        <v>202210</v>
      </c>
      <c r="M133">
        <v>202210</v>
      </c>
      <c r="N133" t="s">
        <v>279</v>
      </c>
      <c r="O133" t="s">
        <v>230</v>
      </c>
      <c r="P133" t="s">
        <v>280</v>
      </c>
      <c r="Q133" t="s">
        <v>233</v>
      </c>
      <c r="R133" t="s">
        <v>277</v>
      </c>
      <c r="S133" t="s">
        <v>94</v>
      </c>
      <c r="T133" s="105" t="str">
        <f>_xlfn.XLOOKUP(Tabla1[[#This Row],[Universidad]],Conversiones!$B:$B,Conversiones!$C:$C)</f>
        <v>Maastricht University</v>
      </c>
      <c r="U133" s="105" t="str">
        <f>_xlfn.XLOOKUP(Tabla1[[#This Row],[Universidad KPIs]],Conversiones!$C:$C,Conversiones!$E:$E)</f>
        <v>Específico</v>
      </c>
      <c r="V133" t="s">
        <v>95</v>
      </c>
      <c r="W133" t="s">
        <v>281</v>
      </c>
      <c r="X133" s="2">
        <v>44585</v>
      </c>
      <c r="Y133" s="2">
        <v>44709</v>
      </c>
      <c r="Z133">
        <v>124</v>
      </c>
    </row>
    <row r="134" spans="1:26">
      <c r="A134" s="103" t="s">
        <v>824</v>
      </c>
      <c r="B134" s="1">
        <v>201820401</v>
      </c>
      <c r="C134" s="1" t="s">
        <v>457</v>
      </c>
      <c r="D134" s="1" t="s">
        <v>825</v>
      </c>
      <c r="E134" s="1" t="s">
        <v>826</v>
      </c>
      <c r="F134" s="1" t="s">
        <v>233</v>
      </c>
      <c r="G134" s="1" t="s">
        <v>277</v>
      </c>
      <c r="H134" s="1"/>
      <c r="I134" s="1"/>
      <c r="J134" s="1" t="s">
        <v>278</v>
      </c>
      <c r="K134" s="1">
        <v>2022</v>
      </c>
      <c r="L134" s="1">
        <v>202210</v>
      </c>
      <c r="M134" s="1">
        <v>202210</v>
      </c>
      <c r="N134" s="1" t="s">
        <v>279</v>
      </c>
      <c r="O134" s="1" t="s">
        <v>230</v>
      </c>
      <c r="P134" s="1" t="s">
        <v>280</v>
      </c>
      <c r="Q134" s="1" t="s">
        <v>233</v>
      </c>
      <c r="R134" s="1" t="s">
        <v>277</v>
      </c>
      <c r="S134" s="1" t="s">
        <v>524</v>
      </c>
      <c r="T134" s="105" t="str">
        <f>_xlfn.XLOOKUP(Tabla1[[#This Row],[Universidad]],Conversiones!$B:$B,Conversiones!$C:$C)</f>
        <v>University of Saint Gallen</v>
      </c>
      <c r="U134" s="105" t="str">
        <f>_xlfn.XLOOKUP(Tabla1[[#This Row],[Universidad KPIs]],Conversiones!$C:$C,Conversiones!$E:$E)</f>
        <v>Específico</v>
      </c>
      <c r="V134" s="1" t="s">
        <v>81</v>
      </c>
      <c r="W134" s="1" t="s">
        <v>281</v>
      </c>
      <c r="X134" s="87">
        <v>44585</v>
      </c>
      <c r="Y134" s="87">
        <v>44709</v>
      </c>
      <c r="Z134" s="1">
        <v>124</v>
      </c>
    </row>
    <row r="135" spans="1:26">
      <c r="A135" s="102" t="s">
        <v>827</v>
      </c>
      <c r="B135">
        <v>201820879</v>
      </c>
      <c r="C135" t="s">
        <v>434</v>
      </c>
      <c r="D135" t="s">
        <v>828</v>
      </c>
      <c r="E135" t="s">
        <v>829</v>
      </c>
      <c r="F135" t="s">
        <v>233</v>
      </c>
      <c r="G135" t="s">
        <v>277</v>
      </c>
      <c r="J135" t="s">
        <v>278</v>
      </c>
      <c r="K135">
        <v>2022</v>
      </c>
      <c r="L135">
        <v>202210</v>
      </c>
      <c r="M135">
        <v>202210</v>
      </c>
      <c r="N135" t="s">
        <v>279</v>
      </c>
      <c r="O135" t="s">
        <v>230</v>
      </c>
      <c r="P135" t="s">
        <v>280</v>
      </c>
      <c r="Q135" t="s">
        <v>233</v>
      </c>
      <c r="R135" t="s">
        <v>277</v>
      </c>
      <c r="S135" t="s">
        <v>644</v>
      </c>
      <c r="T135" s="105" t="str">
        <f>_xlfn.XLOOKUP(Tabla1[[#This Row],[Universidad]],Conversiones!$B:$B,Conversiones!$C:$C)</f>
        <v>Audencia. École de Management</v>
      </c>
      <c r="U135" s="105" t="str">
        <f>_xlfn.XLOOKUP(Tabla1[[#This Row],[Universidad KPIs]],Conversiones!$C:$C,Conversiones!$E:$E)</f>
        <v>Específico</v>
      </c>
      <c r="V135" t="s">
        <v>57</v>
      </c>
      <c r="W135" t="s">
        <v>281</v>
      </c>
      <c r="X135" s="2">
        <v>44585</v>
      </c>
      <c r="Y135" s="2">
        <v>44709</v>
      </c>
      <c r="Z135">
        <v>124</v>
      </c>
    </row>
    <row r="136" spans="1:26">
      <c r="A136" s="103" t="s">
        <v>830</v>
      </c>
      <c r="B136" s="1">
        <v>201911984</v>
      </c>
      <c r="C136" s="1" t="s">
        <v>831</v>
      </c>
      <c r="D136" s="1" t="s">
        <v>832</v>
      </c>
      <c r="E136" s="1" t="s">
        <v>833</v>
      </c>
      <c r="F136" s="1" t="s">
        <v>543</v>
      </c>
      <c r="G136" s="1" t="s">
        <v>544</v>
      </c>
      <c r="H136" s="1" t="s">
        <v>233</v>
      </c>
      <c r="I136" s="1" t="s">
        <v>277</v>
      </c>
      <c r="J136" s="1" t="s">
        <v>278</v>
      </c>
      <c r="K136" s="1">
        <v>2022</v>
      </c>
      <c r="L136" s="1">
        <v>202220</v>
      </c>
      <c r="M136" s="1">
        <v>202220</v>
      </c>
      <c r="N136" s="1" t="s">
        <v>279</v>
      </c>
      <c r="O136" s="1" t="s">
        <v>230</v>
      </c>
      <c r="P136" s="1" t="s">
        <v>280</v>
      </c>
      <c r="Q136" s="1" t="s">
        <v>233</v>
      </c>
      <c r="R136" s="1" t="s">
        <v>277</v>
      </c>
      <c r="S136" s="1" t="s">
        <v>559</v>
      </c>
      <c r="T136" s="105" t="str">
        <f>_xlfn.XLOOKUP(Tabla1[[#This Row],[Universidad]],Conversiones!$B:$B,Conversiones!$C:$C)</f>
        <v>ICN Business School - Institut Commercial de Nancy</v>
      </c>
      <c r="U136" s="105" t="str">
        <f>_xlfn.XLOOKUP(Tabla1[[#This Row],[Universidad KPIs]],Conversiones!$C:$C,Conversiones!$E:$E)</f>
        <v>Específico</v>
      </c>
      <c r="V136" s="1" t="s">
        <v>57</v>
      </c>
      <c r="W136" s="1" t="s">
        <v>281</v>
      </c>
      <c r="X136" s="87">
        <v>44781</v>
      </c>
      <c r="Y136" s="87">
        <v>44898</v>
      </c>
      <c r="Z136" s="1">
        <v>117</v>
      </c>
    </row>
    <row r="137" spans="1:26">
      <c r="A137" s="102" t="s">
        <v>834</v>
      </c>
      <c r="B137">
        <v>201820881</v>
      </c>
      <c r="C137" t="s">
        <v>835</v>
      </c>
      <c r="D137" t="s">
        <v>836</v>
      </c>
      <c r="E137" t="s">
        <v>837</v>
      </c>
      <c r="F137" t="s">
        <v>491</v>
      </c>
      <c r="G137" t="s">
        <v>492</v>
      </c>
      <c r="H137" t="s">
        <v>233</v>
      </c>
      <c r="I137" t="s">
        <v>277</v>
      </c>
      <c r="J137" t="s">
        <v>278</v>
      </c>
      <c r="K137">
        <v>2022</v>
      </c>
      <c r="L137">
        <v>202210</v>
      </c>
      <c r="M137">
        <v>202210</v>
      </c>
      <c r="N137" t="s">
        <v>279</v>
      </c>
      <c r="O137" t="s">
        <v>230</v>
      </c>
      <c r="P137" t="s">
        <v>280</v>
      </c>
      <c r="Q137" t="s">
        <v>233</v>
      </c>
      <c r="R137" t="s">
        <v>277</v>
      </c>
      <c r="S137" t="s">
        <v>320</v>
      </c>
      <c r="T137" s="105" t="str">
        <f>_xlfn.XLOOKUP(Tabla1[[#This Row],[Universidad]],Conversiones!$B:$B,Conversiones!$C:$C)</f>
        <v>ESADE</v>
      </c>
      <c r="U137" s="105" t="str">
        <f>_xlfn.XLOOKUP(Tabla1[[#This Row],[Universidad KPIs]],Conversiones!$C:$C,Conversiones!$E:$E)</f>
        <v>Específico</v>
      </c>
      <c r="V137" t="s">
        <v>69</v>
      </c>
      <c r="W137" t="s">
        <v>281</v>
      </c>
      <c r="X137" s="2">
        <v>44585</v>
      </c>
      <c r="Y137" s="2">
        <v>44709</v>
      </c>
      <c r="Z137">
        <v>124</v>
      </c>
    </row>
    <row r="138" spans="1:26">
      <c r="A138" s="103" t="s">
        <v>838</v>
      </c>
      <c r="B138" s="1">
        <v>202014221</v>
      </c>
      <c r="C138" s="1" t="s">
        <v>839</v>
      </c>
      <c r="D138" s="1" t="s">
        <v>840</v>
      </c>
      <c r="E138" s="1" t="s">
        <v>841</v>
      </c>
      <c r="F138" s="1" t="s">
        <v>233</v>
      </c>
      <c r="G138" s="1" t="s">
        <v>277</v>
      </c>
      <c r="H138" s="1"/>
      <c r="I138" s="1"/>
      <c r="J138" s="1" t="s">
        <v>278</v>
      </c>
      <c r="K138" s="1">
        <v>2022</v>
      </c>
      <c r="L138" s="1">
        <v>202220</v>
      </c>
      <c r="M138" s="1">
        <v>202220</v>
      </c>
      <c r="N138" s="1" t="s">
        <v>279</v>
      </c>
      <c r="O138" s="1" t="s">
        <v>230</v>
      </c>
      <c r="P138" s="1" t="s">
        <v>280</v>
      </c>
      <c r="Q138" s="1" t="s">
        <v>233</v>
      </c>
      <c r="R138" s="1" t="s">
        <v>277</v>
      </c>
      <c r="S138" s="1" t="s">
        <v>64</v>
      </c>
      <c r="T138" s="105" t="str">
        <f>_xlfn.XLOOKUP(Tabla1[[#This Row],[Universidad]],Conversiones!$B:$B,Conversiones!$C:$C)</f>
        <v>City University of Hong Kong</v>
      </c>
      <c r="U138" s="105" t="str">
        <f>_xlfn.XLOOKUP(Tabla1[[#This Row],[Universidad KPIs]],Conversiones!$C:$C,Conversiones!$E:$E)</f>
        <v>Específico</v>
      </c>
      <c r="V138" s="1" t="s">
        <v>65</v>
      </c>
      <c r="W138" s="1" t="s">
        <v>568</v>
      </c>
      <c r="X138" s="87">
        <v>44781</v>
      </c>
      <c r="Y138" s="87">
        <v>44898</v>
      </c>
      <c r="Z138" s="1">
        <v>117</v>
      </c>
    </row>
    <row r="139" spans="1:26">
      <c r="A139" s="102" t="s">
        <v>842</v>
      </c>
      <c r="B139">
        <v>201820930</v>
      </c>
      <c r="C139" t="s">
        <v>843</v>
      </c>
      <c r="D139" t="s">
        <v>844</v>
      </c>
      <c r="E139" t="s">
        <v>845</v>
      </c>
      <c r="F139" t="s">
        <v>233</v>
      </c>
      <c r="G139" t="s">
        <v>277</v>
      </c>
      <c r="H139">
        <v>0</v>
      </c>
      <c r="I139">
        <v>0</v>
      </c>
      <c r="J139" t="s">
        <v>278</v>
      </c>
      <c r="K139">
        <v>2022</v>
      </c>
      <c r="L139">
        <v>202220</v>
      </c>
      <c r="M139">
        <v>202220</v>
      </c>
      <c r="N139" t="s">
        <v>279</v>
      </c>
      <c r="O139" t="s">
        <v>230</v>
      </c>
      <c r="P139" t="s">
        <v>280</v>
      </c>
      <c r="Q139" t="s">
        <v>233</v>
      </c>
      <c r="R139" t="s">
        <v>277</v>
      </c>
      <c r="S139" t="s">
        <v>372</v>
      </c>
      <c r="T139" s="105" t="str">
        <f>_xlfn.XLOOKUP(Tabla1[[#This Row],[Universidad]],Conversiones!$B:$B,Conversiones!$C:$C)</f>
        <v>A.B. Freeman School of Business, Tulane University</v>
      </c>
      <c r="U139" s="105" t="str">
        <f>_xlfn.XLOOKUP(Tabla1[[#This Row],[Universidad KPIs]],Conversiones!$C:$C,Conversiones!$E:$E)</f>
        <v>Específico</v>
      </c>
      <c r="V139" t="s">
        <v>51</v>
      </c>
      <c r="W139" t="s">
        <v>291</v>
      </c>
      <c r="X139" s="2">
        <v>44781</v>
      </c>
      <c r="Y139" s="2">
        <v>44898</v>
      </c>
      <c r="Z139">
        <v>117</v>
      </c>
    </row>
    <row r="140" spans="1:26">
      <c r="A140" s="103" t="s">
        <v>846</v>
      </c>
      <c r="B140" s="1">
        <v>201820409</v>
      </c>
      <c r="C140" s="1" t="s">
        <v>686</v>
      </c>
      <c r="D140" s="1" t="s">
        <v>847</v>
      </c>
      <c r="E140" s="1" t="s">
        <v>848</v>
      </c>
      <c r="F140" s="1" t="s">
        <v>233</v>
      </c>
      <c r="G140" s="1" t="s">
        <v>277</v>
      </c>
      <c r="H140" s="1"/>
      <c r="I140" s="1"/>
      <c r="J140" s="1" t="s">
        <v>278</v>
      </c>
      <c r="K140" s="1">
        <v>2022</v>
      </c>
      <c r="L140" s="1">
        <v>202210</v>
      </c>
      <c r="M140" s="1">
        <v>202210</v>
      </c>
      <c r="N140" s="1" t="s">
        <v>279</v>
      </c>
      <c r="O140" s="1" t="s">
        <v>230</v>
      </c>
      <c r="P140" s="1" t="s">
        <v>280</v>
      </c>
      <c r="Q140" s="1" t="s">
        <v>233</v>
      </c>
      <c r="R140" s="1" t="s">
        <v>277</v>
      </c>
      <c r="S140" s="1" t="s">
        <v>639</v>
      </c>
      <c r="T140" s="105" t="str">
        <f>_xlfn.XLOOKUP(Tabla1[[#This Row],[Universidad]],Conversiones!$B:$B,Conversiones!$C:$C)</f>
        <v>IE Instituto Empresa</v>
      </c>
      <c r="U140" s="105" t="str">
        <f>_xlfn.XLOOKUP(Tabla1[[#This Row],[Universidad KPIs]],Conversiones!$C:$C,Conversiones!$E:$E)</f>
        <v>Específico</v>
      </c>
      <c r="V140" s="1" t="s">
        <v>69</v>
      </c>
      <c r="W140" s="1" t="s">
        <v>281</v>
      </c>
      <c r="X140" s="87">
        <v>44585</v>
      </c>
      <c r="Y140" s="87">
        <v>44709</v>
      </c>
      <c r="Z140" s="1">
        <v>124</v>
      </c>
    </row>
    <row r="141" spans="1:26">
      <c r="A141" s="102" t="s">
        <v>849</v>
      </c>
      <c r="B141">
        <v>201712743</v>
      </c>
      <c r="C141" t="s">
        <v>850</v>
      </c>
      <c r="D141" t="s">
        <v>851</v>
      </c>
      <c r="E141" t="s">
        <v>852</v>
      </c>
      <c r="F141" t="s">
        <v>233</v>
      </c>
      <c r="G141" t="s">
        <v>277</v>
      </c>
      <c r="J141" t="s">
        <v>278</v>
      </c>
      <c r="K141">
        <v>2022</v>
      </c>
      <c r="L141">
        <v>202210</v>
      </c>
      <c r="M141">
        <v>202210</v>
      </c>
      <c r="N141" t="s">
        <v>279</v>
      </c>
      <c r="O141" t="s">
        <v>230</v>
      </c>
      <c r="P141" t="s">
        <v>280</v>
      </c>
      <c r="Q141" t="s">
        <v>233</v>
      </c>
      <c r="R141" t="s">
        <v>277</v>
      </c>
      <c r="S141" t="s">
        <v>286</v>
      </c>
      <c r="T141" s="105" t="str">
        <f>_xlfn.XLOOKUP(Tabla1[[#This Row],[Universidad]],Conversiones!$B:$B,Conversiones!$C:$C)</f>
        <v>ESC Rouen (NEOMA)</v>
      </c>
      <c r="U141" s="105" t="str">
        <f>_xlfn.XLOOKUP(Tabla1[[#This Row],[Universidad KPIs]],Conversiones!$C:$C,Conversiones!$E:$E)</f>
        <v>Específico</v>
      </c>
      <c r="V141" t="s">
        <v>57</v>
      </c>
      <c r="W141" t="s">
        <v>281</v>
      </c>
      <c r="X141" s="2">
        <v>44585</v>
      </c>
      <c r="Y141" s="2">
        <v>44709</v>
      </c>
      <c r="Z141">
        <v>124</v>
      </c>
    </row>
    <row r="142" spans="1:26">
      <c r="A142" s="103" t="s">
        <v>853</v>
      </c>
      <c r="B142" s="1">
        <v>201912173</v>
      </c>
      <c r="C142" s="1" t="s">
        <v>854</v>
      </c>
      <c r="D142" s="1" t="s">
        <v>855</v>
      </c>
      <c r="E142" s="1" t="s">
        <v>856</v>
      </c>
      <c r="F142" s="1" t="s">
        <v>233</v>
      </c>
      <c r="G142" s="1" t="s">
        <v>277</v>
      </c>
      <c r="H142" s="1" t="s">
        <v>543</v>
      </c>
      <c r="I142" s="1" t="s">
        <v>544</v>
      </c>
      <c r="J142" s="1" t="s">
        <v>278</v>
      </c>
      <c r="K142" s="1">
        <v>2022</v>
      </c>
      <c r="L142" s="1">
        <v>202220</v>
      </c>
      <c r="M142" s="1">
        <v>202220</v>
      </c>
      <c r="N142" s="1" t="s">
        <v>279</v>
      </c>
      <c r="O142" s="1" t="s">
        <v>230</v>
      </c>
      <c r="P142" s="1" t="s">
        <v>280</v>
      </c>
      <c r="Q142" s="1" t="s">
        <v>233</v>
      </c>
      <c r="R142" s="1" t="s">
        <v>277</v>
      </c>
      <c r="S142" s="1" t="s">
        <v>178</v>
      </c>
      <c r="T142" s="105" t="str">
        <f>_xlfn.XLOOKUP(Tabla1[[#This Row],[Universidad]],Conversiones!$B:$B,Conversiones!$C:$C)</f>
        <v>Université Paris-Dauphine</v>
      </c>
      <c r="U142" s="105" t="str">
        <f>_xlfn.XLOOKUP(Tabla1[[#This Row],[Universidad KPIs]],Conversiones!$C:$C,Conversiones!$E:$E)</f>
        <v>General</v>
      </c>
      <c r="V142" s="1" t="s">
        <v>57</v>
      </c>
      <c r="W142" s="1" t="s">
        <v>281</v>
      </c>
      <c r="X142" s="87">
        <v>44781</v>
      </c>
      <c r="Y142" s="87">
        <v>44898</v>
      </c>
      <c r="Z142" s="1">
        <v>117</v>
      </c>
    </row>
    <row r="143" spans="1:26">
      <c r="A143" s="102" t="s">
        <v>857</v>
      </c>
      <c r="B143">
        <v>201813367</v>
      </c>
      <c r="C143" t="s">
        <v>858</v>
      </c>
      <c r="D143" t="s">
        <v>859</v>
      </c>
      <c r="E143" t="s">
        <v>860</v>
      </c>
      <c r="F143" t="s">
        <v>233</v>
      </c>
      <c r="G143" t="s">
        <v>277</v>
      </c>
      <c r="H143" t="s">
        <v>491</v>
      </c>
      <c r="I143" t="s">
        <v>492</v>
      </c>
      <c r="J143" t="s">
        <v>278</v>
      </c>
      <c r="K143">
        <v>2022</v>
      </c>
      <c r="L143">
        <v>202220</v>
      </c>
      <c r="M143">
        <v>202220</v>
      </c>
      <c r="N143" t="s">
        <v>279</v>
      </c>
      <c r="O143" t="s">
        <v>230</v>
      </c>
      <c r="P143" t="s">
        <v>280</v>
      </c>
      <c r="Q143" t="s">
        <v>233</v>
      </c>
      <c r="R143" t="s">
        <v>277</v>
      </c>
      <c r="S143" t="s">
        <v>94</v>
      </c>
      <c r="T143" s="105" t="str">
        <f>_xlfn.XLOOKUP(Tabla1[[#This Row],[Universidad]],Conversiones!$B:$B,Conversiones!$C:$C)</f>
        <v>Maastricht University</v>
      </c>
      <c r="U143" s="105" t="str">
        <f>_xlfn.XLOOKUP(Tabla1[[#This Row],[Universidad KPIs]],Conversiones!$C:$C,Conversiones!$E:$E)</f>
        <v>Específico</v>
      </c>
      <c r="V143" t="s">
        <v>95</v>
      </c>
      <c r="W143" t="s">
        <v>281</v>
      </c>
      <c r="X143" s="2">
        <v>44781</v>
      </c>
      <c r="Y143" s="2">
        <v>44898</v>
      </c>
      <c r="Z143">
        <v>117</v>
      </c>
    </row>
    <row r="144" spans="1:26">
      <c r="A144" s="103" t="s">
        <v>861</v>
      </c>
      <c r="B144" s="1">
        <v>201922191</v>
      </c>
      <c r="C144" s="1" t="s">
        <v>862</v>
      </c>
      <c r="D144" s="1" t="s">
        <v>863</v>
      </c>
      <c r="E144" s="1" t="s">
        <v>864</v>
      </c>
      <c r="F144" s="1" t="s">
        <v>233</v>
      </c>
      <c r="G144" s="1" t="s">
        <v>277</v>
      </c>
      <c r="H144" s="1" t="s">
        <v>543</v>
      </c>
      <c r="I144" s="1" t="s">
        <v>544</v>
      </c>
      <c r="J144" s="1" t="s">
        <v>278</v>
      </c>
      <c r="K144" s="1">
        <v>2022</v>
      </c>
      <c r="L144" s="1">
        <v>202220</v>
      </c>
      <c r="M144" s="1">
        <v>202220</v>
      </c>
      <c r="N144" s="1" t="s">
        <v>279</v>
      </c>
      <c r="O144" s="1" t="s">
        <v>230</v>
      </c>
      <c r="P144" s="1" t="s">
        <v>865</v>
      </c>
      <c r="Q144" s="1" t="s">
        <v>233</v>
      </c>
      <c r="R144" s="1" t="s">
        <v>277</v>
      </c>
      <c r="S144" s="1" t="s">
        <v>174</v>
      </c>
      <c r="T144" s="105" t="str">
        <f>_xlfn.XLOOKUP(Tabla1[[#This Row],[Universidad]],Conversiones!$B:$B,Conversiones!$C:$C)</f>
        <v>Universitat Politècnica de Catalunya</v>
      </c>
      <c r="U144" s="105" t="str">
        <f>_xlfn.XLOOKUP(Tabla1[[#This Row],[Universidad KPIs]],Conversiones!$C:$C,Conversiones!$E:$E)</f>
        <v>General</v>
      </c>
      <c r="V144" s="1" t="s">
        <v>69</v>
      </c>
      <c r="W144" s="1" t="s">
        <v>281</v>
      </c>
      <c r="X144" s="87">
        <v>44781</v>
      </c>
      <c r="Y144" s="87">
        <v>44898</v>
      </c>
      <c r="Z144" s="1">
        <v>117</v>
      </c>
    </row>
    <row r="145" spans="1:26">
      <c r="A145" s="102" t="s">
        <v>866</v>
      </c>
      <c r="B145">
        <v>200623017</v>
      </c>
      <c r="C145" t="s">
        <v>867</v>
      </c>
      <c r="D145" t="s">
        <v>868</v>
      </c>
      <c r="E145" t="s">
        <v>869</v>
      </c>
      <c r="F145" t="s">
        <v>237</v>
      </c>
      <c r="G145" t="s">
        <v>277</v>
      </c>
      <c r="J145" t="s">
        <v>278</v>
      </c>
      <c r="K145">
        <v>2022</v>
      </c>
      <c r="L145">
        <v>202220</v>
      </c>
      <c r="M145">
        <v>202220</v>
      </c>
      <c r="N145" t="s">
        <v>618</v>
      </c>
      <c r="O145" t="s">
        <v>230</v>
      </c>
      <c r="P145" t="s">
        <v>619</v>
      </c>
      <c r="Q145" t="s">
        <v>237</v>
      </c>
      <c r="R145" t="s">
        <v>277</v>
      </c>
      <c r="S145" t="s">
        <v>870</v>
      </c>
      <c r="T145" s="105" t="str">
        <f>_xlfn.XLOOKUP(Tabla1[[#This Row],[Universidad]],Conversiones!$B:$B,Conversiones!$C:$C)</f>
        <v>London Business School</v>
      </c>
      <c r="U145" s="105" t="str">
        <f>_xlfn.XLOOKUP(Tabla1[[#This Row],[Universidad KPIs]],Conversiones!$C:$C,Conversiones!$E:$E)</f>
        <v>Específico</v>
      </c>
      <c r="V145" t="s">
        <v>55</v>
      </c>
      <c r="W145" t="s">
        <v>281</v>
      </c>
      <c r="X145" s="2">
        <v>44781</v>
      </c>
      <c r="Y145" s="2">
        <v>44898</v>
      </c>
      <c r="Z145">
        <v>117</v>
      </c>
    </row>
    <row r="146" spans="1:26">
      <c r="A146" s="103" t="s">
        <v>871</v>
      </c>
      <c r="B146" s="1">
        <v>201912523</v>
      </c>
      <c r="C146" s="1" t="s">
        <v>759</v>
      </c>
      <c r="D146" s="1" t="s">
        <v>679</v>
      </c>
      <c r="E146" s="1" t="s">
        <v>872</v>
      </c>
      <c r="F146" s="1" t="s">
        <v>233</v>
      </c>
      <c r="G146" s="1" t="s">
        <v>277</v>
      </c>
      <c r="H146" s="1" t="s">
        <v>491</v>
      </c>
      <c r="I146" s="1" t="s">
        <v>492</v>
      </c>
      <c r="J146" s="1" t="s">
        <v>278</v>
      </c>
      <c r="K146" s="1">
        <v>2022</v>
      </c>
      <c r="L146" s="1">
        <v>202220</v>
      </c>
      <c r="M146" s="1">
        <v>202220</v>
      </c>
      <c r="N146" s="1" t="s">
        <v>279</v>
      </c>
      <c r="O146" s="1" t="s">
        <v>230</v>
      </c>
      <c r="P146" s="1" t="s">
        <v>280</v>
      </c>
      <c r="Q146" s="1" t="s">
        <v>233</v>
      </c>
      <c r="R146" s="1" t="s">
        <v>277</v>
      </c>
      <c r="S146" s="1" t="s">
        <v>329</v>
      </c>
      <c r="T146" s="105" t="str">
        <f>_xlfn.XLOOKUP(Tabla1[[#This Row],[Universidad]],Conversiones!$B:$B,Conversiones!$C:$C)</f>
        <v>ESSEC</v>
      </c>
      <c r="U146" s="105" t="str">
        <f>_xlfn.XLOOKUP(Tabla1[[#This Row],[Universidad KPIs]],Conversiones!$C:$C,Conversiones!$E:$E)</f>
        <v>Específico</v>
      </c>
      <c r="V146" s="1" t="s">
        <v>57</v>
      </c>
      <c r="W146" s="1" t="s">
        <v>281</v>
      </c>
      <c r="X146" s="87">
        <v>44781</v>
      </c>
      <c r="Y146" s="87">
        <v>44898</v>
      </c>
      <c r="Z146" s="1">
        <v>117</v>
      </c>
    </row>
    <row r="147" spans="1:26">
      <c r="A147" s="102" t="s">
        <v>873</v>
      </c>
      <c r="B147">
        <v>201821140</v>
      </c>
      <c r="C147" t="s">
        <v>874</v>
      </c>
      <c r="D147" t="s">
        <v>875</v>
      </c>
      <c r="E147" t="s">
        <v>876</v>
      </c>
      <c r="F147" t="s">
        <v>233</v>
      </c>
      <c r="G147" t="s">
        <v>277</v>
      </c>
      <c r="J147" t="s">
        <v>278</v>
      </c>
      <c r="K147">
        <v>2022</v>
      </c>
      <c r="L147">
        <v>202210</v>
      </c>
      <c r="M147">
        <v>202210</v>
      </c>
      <c r="N147" t="s">
        <v>279</v>
      </c>
      <c r="O147" t="s">
        <v>230</v>
      </c>
      <c r="P147" t="s">
        <v>280</v>
      </c>
      <c r="Q147" t="s">
        <v>233</v>
      </c>
      <c r="R147" t="s">
        <v>277</v>
      </c>
      <c r="S147" t="s">
        <v>171</v>
      </c>
      <c r="T147" s="105" t="str">
        <f>_xlfn.XLOOKUP(Tabla1[[#This Row],[Universidad]],Conversiones!$B:$B,Conversiones!$C:$C)</f>
        <v>Università degli Studi di Bologna 'Alma Mater Studiorum'</v>
      </c>
      <c r="U147" s="105" t="str">
        <f>_xlfn.XLOOKUP(Tabla1[[#This Row],[Universidad KPIs]],Conversiones!$C:$C,Conversiones!$E:$E)</f>
        <v>General</v>
      </c>
      <c r="V147" t="s">
        <v>103</v>
      </c>
      <c r="W147" t="s">
        <v>281</v>
      </c>
      <c r="X147" s="2">
        <v>44585</v>
      </c>
      <c r="Y147" s="2">
        <v>44709</v>
      </c>
      <c r="Z147">
        <v>124</v>
      </c>
    </row>
    <row r="148" spans="1:26">
      <c r="A148" s="103" t="s">
        <v>877</v>
      </c>
      <c r="B148" s="1">
        <v>201819907</v>
      </c>
      <c r="C148" s="1" t="s">
        <v>326</v>
      </c>
      <c r="D148" s="1" t="s">
        <v>878</v>
      </c>
      <c r="E148" s="1" t="s">
        <v>879</v>
      </c>
      <c r="F148" s="1" t="s">
        <v>233</v>
      </c>
      <c r="G148" s="1" t="s">
        <v>277</v>
      </c>
      <c r="H148" s="1"/>
      <c r="I148" s="1"/>
      <c r="J148" s="1" t="s">
        <v>278</v>
      </c>
      <c r="K148" s="1">
        <v>2022</v>
      </c>
      <c r="L148" s="1">
        <v>202210</v>
      </c>
      <c r="M148" s="1">
        <v>202210</v>
      </c>
      <c r="N148" s="1" t="s">
        <v>279</v>
      </c>
      <c r="O148" s="1" t="s">
        <v>230</v>
      </c>
      <c r="P148" s="1" t="s">
        <v>280</v>
      </c>
      <c r="Q148" s="1" t="s">
        <v>233</v>
      </c>
      <c r="R148" s="1" t="s">
        <v>277</v>
      </c>
      <c r="S148" s="1" t="s">
        <v>812</v>
      </c>
      <c r="T148" s="105" t="str">
        <f>_xlfn.XLOOKUP(Tabla1[[#This Row],[Universidad]],Conversiones!$B:$B,Conversiones!$C:$C)</f>
        <v>ITESM-EGADE -Instituto tecnológico y de estudios superiores de Monterrey</v>
      </c>
      <c r="U148" s="105" t="str">
        <f>_xlfn.XLOOKUP(Tabla1[[#This Row],[Universidad KPIs]],Conversiones!$C:$C,Conversiones!$E:$E)</f>
        <v>Específico</v>
      </c>
      <c r="V148" s="1" t="s">
        <v>87</v>
      </c>
      <c r="W148" s="1" t="s">
        <v>291</v>
      </c>
      <c r="X148" s="87">
        <v>44585</v>
      </c>
      <c r="Y148" s="87">
        <v>44709</v>
      </c>
      <c r="Z148" s="1">
        <v>124</v>
      </c>
    </row>
    <row r="149" spans="1:26">
      <c r="A149" s="102" t="s">
        <v>880</v>
      </c>
      <c r="B149">
        <v>201821166</v>
      </c>
      <c r="C149" t="s">
        <v>288</v>
      </c>
      <c r="D149" t="s">
        <v>881</v>
      </c>
      <c r="E149" t="s">
        <v>882</v>
      </c>
      <c r="F149" t="s">
        <v>233</v>
      </c>
      <c r="G149" t="s">
        <v>277</v>
      </c>
      <c r="J149" t="s">
        <v>278</v>
      </c>
      <c r="K149">
        <v>2022</v>
      </c>
      <c r="L149">
        <v>202210</v>
      </c>
      <c r="M149">
        <v>202210</v>
      </c>
      <c r="N149" t="s">
        <v>279</v>
      </c>
      <c r="O149" t="s">
        <v>230</v>
      </c>
      <c r="P149" t="s">
        <v>280</v>
      </c>
      <c r="Q149" t="s">
        <v>233</v>
      </c>
      <c r="R149" t="s">
        <v>277</v>
      </c>
      <c r="S149" t="s">
        <v>305</v>
      </c>
      <c r="T149" s="105" t="str">
        <f>_xlfn.XLOOKUP(Tabla1[[#This Row],[Universidad]],Conversiones!$B:$B,Conversiones!$C:$C)</f>
        <v>Catolica Lisbon Business &amp; Economics. Universidade Católica Portuguesa</v>
      </c>
      <c r="U149" s="105" t="str">
        <f>_xlfn.XLOOKUP(Tabla1[[#This Row],[Universidad KPIs]],Conversiones!$C:$C,Conversiones!$E:$E)</f>
        <v>Específico</v>
      </c>
      <c r="V149" t="s">
        <v>61</v>
      </c>
      <c r="W149" t="s">
        <v>281</v>
      </c>
      <c r="X149" s="2">
        <v>44585</v>
      </c>
      <c r="Y149" s="2">
        <v>44709</v>
      </c>
      <c r="Z149">
        <v>124</v>
      </c>
    </row>
    <row r="150" spans="1:26">
      <c r="A150" s="103" t="s">
        <v>883</v>
      </c>
      <c r="B150" s="1">
        <v>201822342</v>
      </c>
      <c r="C150" s="1" t="s">
        <v>884</v>
      </c>
      <c r="D150" s="1" t="s">
        <v>885</v>
      </c>
      <c r="E150" s="1" t="s">
        <v>886</v>
      </c>
      <c r="F150" s="1" t="s">
        <v>233</v>
      </c>
      <c r="G150" s="1" t="s">
        <v>277</v>
      </c>
      <c r="H150" s="1"/>
      <c r="I150" s="1"/>
      <c r="J150" s="1" t="s">
        <v>278</v>
      </c>
      <c r="K150" s="1">
        <v>2022</v>
      </c>
      <c r="L150" s="1">
        <v>202220</v>
      </c>
      <c r="M150" s="1">
        <v>202220</v>
      </c>
      <c r="N150" s="1" t="s">
        <v>279</v>
      </c>
      <c r="O150" s="1" t="s">
        <v>231</v>
      </c>
      <c r="P150" s="1" t="s">
        <v>477</v>
      </c>
      <c r="Q150" s="1" t="s">
        <v>233</v>
      </c>
      <c r="R150" s="1" t="s">
        <v>277</v>
      </c>
      <c r="S150" s="1" t="s">
        <v>310</v>
      </c>
      <c r="T150" s="105" t="str">
        <f>_xlfn.XLOOKUP(Tabla1[[#This Row],[Universidad]],Conversiones!$B:$B,Conversiones!$C:$C)</f>
        <v>Toulouse Business School</v>
      </c>
      <c r="U150" s="105" t="str">
        <f>_xlfn.XLOOKUP(Tabla1[[#This Row],[Universidad KPIs]],Conversiones!$C:$C,Conversiones!$E:$E)</f>
        <v>Específico</v>
      </c>
      <c r="V150" s="1" t="s">
        <v>57</v>
      </c>
      <c r="W150" s="1" t="s">
        <v>281</v>
      </c>
      <c r="X150" s="87">
        <v>44781</v>
      </c>
      <c r="Y150" s="87">
        <v>44898</v>
      </c>
      <c r="Z150" s="1">
        <v>117</v>
      </c>
    </row>
    <row r="151" spans="1:26">
      <c r="A151" s="102" t="s">
        <v>887</v>
      </c>
      <c r="B151">
        <v>201821189</v>
      </c>
      <c r="C151" t="s">
        <v>358</v>
      </c>
      <c r="D151" t="s">
        <v>888</v>
      </c>
      <c r="E151" t="s">
        <v>889</v>
      </c>
      <c r="F151" t="s">
        <v>233</v>
      </c>
      <c r="G151" t="s">
        <v>277</v>
      </c>
      <c r="J151" t="s">
        <v>278</v>
      </c>
      <c r="K151">
        <v>2022</v>
      </c>
      <c r="L151">
        <v>202210</v>
      </c>
      <c r="M151">
        <v>202210</v>
      </c>
      <c r="N151" t="s">
        <v>279</v>
      </c>
      <c r="O151" t="s">
        <v>230</v>
      </c>
      <c r="P151" t="s">
        <v>280</v>
      </c>
      <c r="Q151" t="s">
        <v>233</v>
      </c>
      <c r="R151" t="s">
        <v>277</v>
      </c>
      <c r="S151" t="s">
        <v>320</v>
      </c>
      <c r="T151" s="105" t="str">
        <f>_xlfn.XLOOKUP(Tabla1[[#This Row],[Universidad]],Conversiones!$B:$B,Conversiones!$C:$C)</f>
        <v>ESADE</v>
      </c>
      <c r="U151" s="105" t="str">
        <f>_xlfn.XLOOKUP(Tabla1[[#This Row],[Universidad KPIs]],Conversiones!$C:$C,Conversiones!$E:$E)</f>
        <v>Específico</v>
      </c>
      <c r="V151" t="s">
        <v>69</v>
      </c>
      <c r="W151" t="s">
        <v>281</v>
      </c>
      <c r="X151" s="2">
        <v>44585</v>
      </c>
      <c r="Y151" s="2">
        <v>44709</v>
      </c>
      <c r="Z151">
        <v>124</v>
      </c>
    </row>
    <row r="152" spans="1:26">
      <c r="A152" s="103" t="s">
        <v>890</v>
      </c>
      <c r="B152" s="1">
        <v>201822773</v>
      </c>
      <c r="C152" s="1" t="s">
        <v>407</v>
      </c>
      <c r="D152" s="1" t="s">
        <v>891</v>
      </c>
      <c r="E152" s="1" t="s">
        <v>892</v>
      </c>
      <c r="F152" s="1" t="s">
        <v>233</v>
      </c>
      <c r="G152" s="1" t="s">
        <v>277</v>
      </c>
      <c r="H152" s="1"/>
      <c r="I152" s="1"/>
      <c r="J152" s="1" t="s">
        <v>278</v>
      </c>
      <c r="K152" s="1">
        <v>2022</v>
      </c>
      <c r="L152" s="1">
        <v>202220</v>
      </c>
      <c r="M152" s="1">
        <v>202220</v>
      </c>
      <c r="N152" s="1" t="s">
        <v>279</v>
      </c>
      <c r="O152" s="1" t="s">
        <v>230</v>
      </c>
      <c r="P152" s="1" t="s">
        <v>280</v>
      </c>
      <c r="Q152" s="1" t="s">
        <v>233</v>
      </c>
      <c r="R152" s="1" t="s">
        <v>277</v>
      </c>
      <c r="S152" s="1" t="s">
        <v>153</v>
      </c>
      <c r="T152" s="105" t="str">
        <f>_xlfn.XLOOKUP(Tabla1[[#This Row],[Universidad]],Conversiones!$B:$B,Conversiones!$C:$C)</f>
        <v>St. John's University</v>
      </c>
      <c r="U152" s="105" t="str">
        <f>_xlfn.XLOOKUP(Tabla1[[#This Row],[Universidad KPIs]],Conversiones!$C:$C,Conversiones!$E:$E)</f>
        <v>General</v>
      </c>
      <c r="V152" s="1" t="s">
        <v>51</v>
      </c>
      <c r="W152" s="1" t="s">
        <v>291</v>
      </c>
      <c r="X152" s="87">
        <v>44781</v>
      </c>
      <c r="Y152" s="87">
        <v>44898</v>
      </c>
      <c r="Z152" s="1">
        <v>117</v>
      </c>
    </row>
    <row r="153" spans="1:26">
      <c r="A153" s="102" t="s">
        <v>893</v>
      </c>
      <c r="B153">
        <v>201820464</v>
      </c>
      <c r="C153" t="s">
        <v>600</v>
      </c>
      <c r="D153" t="s">
        <v>894</v>
      </c>
      <c r="E153" t="s">
        <v>895</v>
      </c>
      <c r="F153" t="s">
        <v>233</v>
      </c>
      <c r="G153" t="s">
        <v>277</v>
      </c>
      <c r="H153" t="s">
        <v>491</v>
      </c>
      <c r="I153" t="s">
        <v>492</v>
      </c>
      <c r="J153" t="s">
        <v>278</v>
      </c>
      <c r="K153">
        <v>2022</v>
      </c>
      <c r="L153">
        <v>202220</v>
      </c>
      <c r="M153">
        <v>202220</v>
      </c>
      <c r="N153" t="s">
        <v>279</v>
      </c>
      <c r="O153" t="s">
        <v>230</v>
      </c>
      <c r="P153" t="s">
        <v>280</v>
      </c>
      <c r="Q153" t="s">
        <v>233</v>
      </c>
      <c r="R153" t="s">
        <v>277</v>
      </c>
      <c r="S153" t="s">
        <v>769</v>
      </c>
      <c r="T153" s="105" t="str">
        <f>_xlfn.XLOOKUP(Tabla1[[#This Row],[Universidad]],Conversiones!$B:$B,Conversiones!$C:$C)</f>
        <v>Universidad de Tilburg</v>
      </c>
      <c r="U153" s="105" t="str">
        <f>_xlfn.XLOOKUP(Tabla1[[#This Row],[Universidad KPIs]],Conversiones!$C:$C,Conversiones!$E:$E)</f>
        <v>Específico</v>
      </c>
      <c r="V153" t="s">
        <v>95</v>
      </c>
      <c r="W153" t="s">
        <v>281</v>
      </c>
      <c r="X153" s="2">
        <v>44781</v>
      </c>
      <c r="Y153" s="2">
        <v>44898</v>
      </c>
      <c r="Z153">
        <v>117</v>
      </c>
    </row>
    <row r="154" spans="1:26">
      <c r="A154" s="103" t="s">
        <v>896</v>
      </c>
      <c r="B154" s="1">
        <v>201821204</v>
      </c>
      <c r="C154" s="1" t="s">
        <v>897</v>
      </c>
      <c r="D154" s="1" t="s">
        <v>898</v>
      </c>
      <c r="E154" s="1" t="s">
        <v>899</v>
      </c>
      <c r="F154" s="1" t="s">
        <v>233</v>
      </c>
      <c r="G154" s="1" t="s">
        <v>277</v>
      </c>
      <c r="H154" s="1"/>
      <c r="I154" s="1"/>
      <c r="J154" s="1" t="s">
        <v>278</v>
      </c>
      <c r="K154" s="1">
        <v>2022</v>
      </c>
      <c r="L154" s="1">
        <v>202220</v>
      </c>
      <c r="M154" s="1">
        <v>202220</v>
      </c>
      <c r="N154" s="1" t="s">
        <v>279</v>
      </c>
      <c r="O154" s="1" t="s">
        <v>231</v>
      </c>
      <c r="P154" s="1" t="s">
        <v>477</v>
      </c>
      <c r="Q154" s="1" t="s">
        <v>233</v>
      </c>
      <c r="R154" s="1" t="s">
        <v>277</v>
      </c>
      <c r="S154" s="1" t="s">
        <v>310</v>
      </c>
      <c r="T154" s="105" t="str">
        <f>_xlfn.XLOOKUP(Tabla1[[#This Row],[Universidad]],Conversiones!$B:$B,Conversiones!$C:$C)</f>
        <v>Toulouse Business School</v>
      </c>
      <c r="U154" s="105" t="str">
        <f>_xlfn.XLOOKUP(Tabla1[[#This Row],[Universidad KPIs]],Conversiones!$C:$C,Conversiones!$E:$E)</f>
        <v>Específico</v>
      </c>
      <c r="V154" s="1" t="s">
        <v>57</v>
      </c>
      <c r="W154" s="1" t="s">
        <v>281</v>
      </c>
      <c r="X154" s="87">
        <v>44781</v>
      </c>
      <c r="Y154" s="87">
        <v>44898</v>
      </c>
      <c r="Z154" s="1">
        <v>117</v>
      </c>
    </row>
    <row r="155" spans="1:26">
      <c r="A155" s="102" t="s">
        <v>900</v>
      </c>
      <c r="B155">
        <v>201922398</v>
      </c>
      <c r="C155" t="s">
        <v>901</v>
      </c>
      <c r="D155" t="s">
        <v>902</v>
      </c>
      <c r="E155" t="s">
        <v>903</v>
      </c>
      <c r="F155" t="s">
        <v>233</v>
      </c>
      <c r="G155" t="s">
        <v>277</v>
      </c>
      <c r="H155">
        <v>0</v>
      </c>
      <c r="I155">
        <v>0</v>
      </c>
      <c r="J155" t="s">
        <v>278</v>
      </c>
      <c r="K155">
        <v>2022</v>
      </c>
      <c r="L155">
        <v>202220</v>
      </c>
      <c r="M155">
        <v>202220</v>
      </c>
      <c r="N155" t="s">
        <v>279</v>
      </c>
      <c r="O155" t="s">
        <v>230</v>
      </c>
      <c r="P155" t="s">
        <v>280</v>
      </c>
      <c r="Q155" t="s">
        <v>233</v>
      </c>
      <c r="R155" t="s">
        <v>277</v>
      </c>
      <c r="S155" t="s">
        <v>286</v>
      </c>
      <c r="T155" s="105" t="str">
        <f>_xlfn.XLOOKUP(Tabla1[[#This Row],[Universidad]],Conversiones!$B:$B,Conversiones!$C:$C)</f>
        <v>ESC Rouen (NEOMA)</v>
      </c>
      <c r="U155" s="105" t="str">
        <f>_xlfn.XLOOKUP(Tabla1[[#This Row],[Universidad KPIs]],Conversiones!$C:$C,Conversiones!$E:$E)</f>
        <v>Específico</v>
      </c>
      <c r="V155" t="s">
        <v>57</v>
      </c>
      <c r="W155" t="s">
        <v>281</v>
      </c>
      <c r="X155" s="2">
        <v>44781</v>
      </c>
      <c r="Y155" s="2">
        <v>44898</v>
      </c>
      <c r="Z155">
        <v>117</v>
      </c>
    </row>
    <row r="156" spans="1:26">
      <c r="A156" s="103" t="s">
        <v>505</v>
      </c>
      <c r="B156" s="1">
        <v>201813783</v>
      </c>
      <c r="C156" s="1" t="s">
        <v>506</v>
      </c>
      <c r="D156" s="1" t="s">
        <v>507</v>
      </c>
      <c r="E156" s="1" t="s">
        <v>508</v>
      </c>
      <c r="F156" s="1" t="s">
        <v>233</v>
      </c>
      <c r="G156" s="1" t="s">
        <v>277</v>
      </c>
      <c r="H156" s="1"/>
      <c r="I156" s="1"/>
      <c r="J156" s="1" t="s">
        <v>278</v>
      </c>
      <c r="K156" s="1">
        <v>2022</v>
      </c>
      <c r="L156" s="1">
        <v>202220</v>
      </c>
      <c r="M156" s="1">
        <v>202220</v>
      </c>
      <c r="N156" s="1" t="s">
        <v>279</v>
      </c>
      <c r="O156" s="1" t="s">
        <v>231</v>
      </c>
      <c r="P156" s="1" t="s">
        <v>477</v>
      </c>
      <c r="Q156" s="1" t="s">
        <v>233</v>
      </c>
      <c r="R156" s="1" t="s">
        <v>277</v>
      </c>
      <c r="S156" s="1" t="s">
        <v>310</v>
      </c>
      <c r="T156" s="105" t="str">
        <f>_xlfn.XLOOKUP(Tabla1[[#This Row],[Universidad]],Conversiones!$B:$B,Conversiones!$C:$C)</f>
        <v>Toulouse Business School</v>
      </c>
      <c r="U156" s="105" t="str">
        <f>_xlfn.XLOOKUP(Tabla1[[#This Row],[Universidad KPIs]],Conversiones!$C:$C,Conversiones!$E:$E)</f>
        <v>Específico</v>
      </c>
      <c r="V156" s="1" t="s">
        <v>57</v>
      </c>
      <c r="W156" s="1" t="s">
        <v>281</v>
      </c>
      <c r="X156" s="87">
        <v>44781</v>
      </c>
      <c r="Y156" s="87">
        <v>44898</v>
      </c>
      <c r="Z156" s="1">
        <v>117</v>
      </c>
    </row>
    <row r="157" spans="1:26">
      <c r="A157" s="102" t="s">
        <v>904</v>
      </c>
      <c r="B157">
        <v>201514290</v>
      </c>
      <c r="C157" t="s">
        <v>905</v>
      </c>
      <c r="D157" t="s">
        <v>906</v>
      </c>
      <c r="E157" t="s">
        <v>907</v>
      </c>
      <c r="F157" t="s">
        <v>233</v>
      </c>
      <c r="G157" t="s">
        <v>277</v>
      </c>
      <c r="J157" t="s">
        <v>278</v>
      </c>
      <c r="K157">
        <v>2022</v>
      </c>
      <c r="L157">
        <v>202219</v>
      </c>
      <c r="M157">
        <v>202219</v>
      </c>
      <c r="N157" t="s">
        <v>279</v>
      </c>
      <c r="O157" t="s">
        <v>584</v>
      </c>
      <c r="P157" t="s">
        <v>468</v>
      </c>
      <c r="Q157" t="s">
        <v>233</v>
      </c>
      <c r="R157" t="s">
        <v>277</v>
      </c>
      <c r="S157" t="s">
        <v>197</v>
      </c>
      <c r="T157" s="105" t="str">
        <f>_xlfn.XLOOKUP(Tabla1[[#This Row],[Universidad]],Conversiones!$B:$B,Conversiones!$C:$C)</f>
        <v>Cornell University</v>
      </c>
      <c r="U157" s="105" t="str">
        <f>_xlfn.XLOOKUP(Tabla1[[#This Row],[Universidad KPIs]],Conversiones!$C:$C,Conversiones!$E:$E)</f>
        <v>General</v>
      </c>
      <c r="V157" t="s">
        <v>51</v>
      </c>
      <c r="W157" t="s">
        <v>291</v>
      </c>
      <c r="X157" s="2">
        <v>44718</v>
      </c>
      <c r="Y157" s="2">
        <v>44772</v>
      </c>
      <c r="Z157">
        <v>54</v>
      </c>
    </row>
    <row r="158" spans="1:26">
      <c r="A158" s="103" t="s">
        <v>908</v>
      </c>
      <c r="B158" s="1">
        <v>201730940</v>
      </c>
      <c r="C158" s="1" t="s">
        <v>909</v>
      </c>
      <c r="D158" s="1" t="s">
        <v>910</v>
      </c>
      <c r="E158" s="1" t="s">
        <v>911</v>
      </c>
      <c r="F158" s="1" t="s">
        <v>233</v>
      </c>
      <c r="G158" s="1" t="s">
        <v>277</v>
      </c>
      <c r="H158" s="1"/>
      <c r="I158" s="1"/>
      <c r="J158" s="1" t="s">
        <v>278</v>
      </c>
      <c r="K158" s="1">
        <v>2022</v>
      </c>
      <c r="L158" s="1">
        <v>202210</v>
      </c>
      <c r="M158" s="1">
        <v>202210</v>
      </c>
      <c r="N158" s="1" t="s">
        <v>279</v>
      </c>
      <c r="O158" s="1" t="s">
        <v>230</v>
      </c>
      <c r="P158" s="1" t="s">
        <v>280</v>
      </c>
      <c r="Q158" s="1" t="s">
        <v>233</v>
      </c>
      <c r="R158" s="1" t="s">
        <v>277</v>
      </c>
      <c r="S158" s="1" t="s">
        <v>315</v>
      </c>
      <c r="T158" s="105" t="str">
        <f>_xlfn.XLOOKUP(Tabla1[[#This Row],[Universidad]],Conversiones!$B:$B,Conversiones!$C:$C)</f>
        <v>HEC Lausanne</v>
      </c>
      <c r="U158" s="105" t="str">
        <f>_xlfn.XLOOKUP(Tabla1[[#This Row],[Universidad KPIs]],Conversiones!$C:$C,Conversiones!$E:$E)</f>
        <v>Específico</v>
      </c>
      <c r="V158" s="1" t="s">
        <v>81</v>
      </c>
      <c r="W158" s="1" t="s">
        <v>281</v>
      </c>
      <c r="X158" s="87">
        <v>44585</v>
      </c>
      <c r="Y158" s="87">
        <v>44709</v>
      </c>
      <c r="Z158" s="1">
        <v>124</v>
      </c>
    </row>
    <row r="159" spans="1:26">
      <c r="A159" s="102" t="s">
        <v>912</v>
      </c>
      <c r="B159">
        <v>201821298</v>
      </c>
      <c r="C159" t="s">
        <v>586</v>
      </c>
      <c r="D159" t="s">
        <v>913</v>
      </c>
      <c r="E159" t="s">
        <v>914</v>
      </c>
      <c r="F159" t="s">
        <v>233</v>
      </c>
      <c r="G159" t="s">
        <v>277</v>
      </c>
      <c r="J159" t="s">
        <v>278</v>
      </c>
      <c r="K159">
        <v>2022</v>
      </c>
      <c r="L159">
        <v>202220</v>
      </c>
      <c r="M159">
        <v>202220</v>
      </c>
      <c r="N159" t="s">
        <v>279</v>
      </c>
      <c r="O159" t="s">
        <v>230</v>
      </c>
      <c r="P159" t="s">
        <v>865</v>
      </c>
      <c r="Q159" t="s">
        <v>233</v>
      </c>
      <c r="R159" t="s">
        <v>277</v>
      </c>
      <c r="S159" t="s">
        <v>172</v>
      </c>
      <c r="T159" s="105" t="str">
        <f>_xlfn.XLOOKUP(Tabla1[[#This Row],[Universidad]],Conversiones!$B:$B,Conversiones!$C:$C)</f>
        <v>Università degli Studi di Genova</v>
      </c>
      <c r="U159" s="105" t="str">
        <f>_xlfn.XLOOKUP(Tabla1[[#This Row],[Universidad KPIs]],Conversiones!$C:$C,Conversiones!$E:$E)</f>
        <v>General</v>
      </c>
      <c r="V159" t="s">
        <v>103</v>
      </c>
      <c r="W159" t="s">
        <v>281</v>
      </c>
      <c r="X159" s="2">
        <v>44781</v>
      </c>
      <c r="Y159" s="2">
        <v>44898</v>
      </c>
      <c r="Z159">
        <v>117</v>
      </c>
    </row>
    <row r="160" spans="1:26">
      <c r="A160" s="103" t="s">
        <v>607</v>
      </c>
      <c r="B160" s="1">
        <v>201729731</v>
      </c>
      <c r="C160" s="1" t="s">
        <v>474</v>
      </c>
      <c r="D160" s="1" t="s">
        <v>915</v>
      </c>
      <c r="E160" s="1" t="s">
        <v>916</v>
      </c>
      <c r="F160" s="1" t="s">
        <v>233</v>
      </c>
      <c r="G160" s="1" t="s">
        <v>277</v>
      </c>
      <c r="H160" s="1" t="s">
        <v>491</v>
      </c>
      <c r="I160" s="1" t="s">
        <v>492</v>
      </c>
      <c r="J160" s="1" t="s">
        <v>278</v>
      </c>
      <c r="K160" s="1">
        <v>2022</v>
      </c>
      <c r="L160" s="1">
        <v>202210</v>
      </c>
      <c r="M160" s="1">
        <v>202210</v>
      </c>
      <c r="N160" s="1" t="s">
        <v>279</v>
      </c>
      <c r="O160" s="1" t="s">
        <v>230</v>
      </c>
      <c r="P160" s="1" t="s">
        <v>280</v>
      </c>
      <c r="Q160" s="1" t="s">
        <v>233</v>
      </c>
      <c r="R160" s="1" t="s">
        <v>277</v>
      </c>
      <c r="S160" s="1" t="s">
        <v>94</v>
      </c>
      <c r="T160" s="105" t="str">
        <f>_xlfn.XLOOKUP(Tabla1[[#This Row],[Universidad]],Conversiones!$B:$B,Conversiones!$C:$C)</f>
        <v>Maastricht University</v>
      </c>
      <c r="U160" s="105" t="str">
        <f>_xlfn.XLOOKUP(Tabla1[[#This Row],[Universidad KPIs]],Conversiones!$C:$C,Conversiones!$E:$E)</f>
        <v>Específico</v>
      </c>
      <c r="V160" s="1" t="s">
        <v>95</v>
      </c>
      <c r="W160" s="1" t="s">
        <v>281</v>
      </c>
      <c r="X160" s="87">
        <v>44585</v>
      </c>
      <c r="Y160" s="87">
        <v>44709</v>
      </c>
      <c r="Z160" s="1">
        <v>124</v>
      </c>
    </row>
    <row r="161" spans="1:26">
      <c r="A161" s="102" t="s">
        <v>607</v>
      </c>
      <c r="B161">
        <v>201729731</v>
      </c>
      <c r="C161" t="s">
        <v>474</v>
      </c>
      <c r="D161" t="s">
        <v>915</v>
      </c>
      <c r="E161" t="s">
        <v>916</v>
      </c>
      <c r="F161" t="s">
        <v>233</v>
      </c>
      <c r="G161" t="s">
        <v>277</v>
      </c>
      <c r="J161" t="s">
        <v>278</v>
      </c>
      <c r="K161">
        <v>2022</v>
      </c>
      <c r="L161">
        <v>202219</v>
      </c>
      <c r="M161">
        <v>202219</v>
      </c>
      <c r="N161" t="s">
        <v>279</v>
      </c>
      <c r="O161" t="s">
        <v>584</v>
      </c>
      <c r="P161" t="s">
        <v>468</v>
      </c>
      <c r="Q161" t="s">
        <v>233</v>
      </c>
      <c r="R161" t="s">
        <v>277</v>
      </c>
      <c r="S161" t="s">
        <v>197</v>
      </c>
      <c r="T161" s="105" t="str">
        <f>_xlfn.XLOOKUP(Tabla1[[#This Row],[Universidad]],Conversiones!$B:$B,Conversiones!$C:$C)</f>
        <v>Cornell University</v>
      </c>
      <c r="U161" s="105" t="str">
        <f>_xlfn.XLOOKUP(Tabla1[[#This Row],[Universidad KPIs]],Conversiones!$C:$C,Conversiones!$E:$E)</f>
        <v>General</v>
      </c>
      <c r="V161" t="s">
        <v>51</v>
      </c>
      <c r="W161" t="s">
        <v>291</v>
      </c>
      <c r="X161" s="2">
        <v>44718</v>
      </c>
      <c r="Y161" s="2">
        <v>44772</v>
      </c>
      <c r="Z161">
        <v>54</v>
      </c>
    </row>
    <row r="162" spans="1:26">
      <c r="A162" s="103" t="s">
        <v>917</v>
      </c>
      <c r="B162" s="1">
        <v>201731849</v>
      </c>
      <c r="C162" s="1" t="s">
        <v>918</v>
      </c>
      <c r="D162" s="1" t="s">
        <v>901</v>
      </c>
      <c r="E162" s="1" t="s">
        <v>919</v>
      </c>
      <c r="F162" s="1" t="s">
        <v>233</v>
      </c>
      <c r="G162" s="1" t="s">
        <v>277</v>
      </c>
      <c r="H162" s="1"/>
      <c r="I162" s="1"/>
      <c r="J162" s="1" t="s">
        <v>278</v>
      </c>
      <c r="K162" s="1">
        <v>2022</v>
      </c>
      <c r="L162" s="1">
        <v>202210</v>
      </c>
      <c r="M162" s="1">
        <v>202120</v>
      </c>
      <c r="N162" s="1" t="s">
        <v>279</v>
      </c>
      <c r="O162" s="1" t="s">
        <v>230</v>
      </c>
      <c r="P162" s="1" t="s">
        <v>280</v>
      </c>
      <c r="Q162" s="1" t="s">
        <v>233</v>
      </c>
      <c r="R162" s="1" t="s">
        <v>277</v>
      </c>
      <c r="S162" s="1" t="s">
        <v>650</v>
      </c>
      <c r="T162" s="105" t="str">
        <f>_xlfn.XLOOKUP(Tabla1[[#This Row],[Universidad]],Conversiones!$B:$B,Conversiones!$C:$C)</f>
        <v>Grenoble. École de Management</v>
      </c>
      <c r="U162" s="105" t="str">
        <f>_xlfn.XLOOKUP(Tabla1[[#This Row],[Universidad KPIs]],Conversiones!$C:$C,Conversiones!$E:$E)</f>
        <v>Específico</v>
      </c>
      <c r="V162" s="1" t="s">
        <v>57</v>
      </c>
      <c r="W162" s="1" t="s">
        <v>281</v>
      </c>
      <c r="X162" s="87">
        <v>44585</v>
      </c>
      <c r="Y162" s="87">
        <v>44709</v>
      </c>
      <c r="Z162" s="1">
        <v>124</v>
      </c>
    </row>
    <row r="163" spans="1:26">
      <c r="A163" s="102" t="s">
        <v>920</v>
      </c>
      <c r="B163">
        <v>201922500</v>
      </c>
      <c r="C163" t="s">
        <v>465</v>
      </c>
      <c r="D163" t="s">
        <v>921</v>
      </c>
      <c r="E163" t="s">
        <v>922</v>
      </c>
      <c r="F163" t="s">
        <v>233</v>
      </c>
      <c r="G163" t="s">
        <v>277</v>
      </c>
      <c r="J163" t="s">
        <v>278</v>
      </c>
      <c r="K163">
        <v>2022</v>
      </c>
      <c r="L163">
        <v>202210</v>
      </c>
      <c r="M163">
        <v>202210</v>
      </c>
      <c r="N163" t="s">
        <v>279</v>
      </c>
      <c r="O163" t="s">
        <v>230</v>
      </c>
      <c r="P163" t="s">
        <v>280</v>
      </c>
      <c r="Q163" t="s">
        <v>233</v>
      </c>
      <c r="R163" t="s">
        <v>277</v>
      </c>
      <c r="S163" t="s">
        <v>923</v>
      </c>
      <c r="T163" s="105" t="str">
        <f>_xlfn.XLOOKUP(Tabla1[[#This Row],[Universidad]],Conversiones!$B:$B,Conversiones!$C:$C)</f>
        <v>Johannes Gutemberg - Universität Mainz</v>
      </c>
      <c r="U163" s="105" t="str">
        <f>_xlfn.XLOOKUP(Tabla1[[#This Row],[Universidad KPIs]],Conversiones!$C:$C,Conversiones!$E:$E)</f>
        <v>General</v>
      </c>
      <c r="V163" t="s">
        <v>76</v>
      </c>
      <c r="W163" t="s">
        <v>281</v>
      </c>
      <c r="X163" s="2">
        <v>44585</v>
      </c>
      <c r="Y163" s="2">
        <v>44709</v>
      </c>
      <c r="Z163">
        <v>124</v>
      </c>
    </row>
    <row r="164" spans="1:26">
      <c r="A164" s="103" t="s">
        <v>924</v>
      </c>
      <c r="B164" s="1">
        <v>201621030</v>
      </c>
      <c r="C164" s="1" t="s">
        <v>395</v>
      </c>
      <c r="D164" s="1" t="s">
        <v>925</v>
      </c>
      <c r="E164" s="1" t="s">
        <v>926</v>
      </c>
      <c r="F164" s="1" t="s">
        <v>233</v>
      </c>
      <c r="G164" s="1" t="s">
        <v>277</v>
      </c>
      <c r="H164" s="1"/>
      <c r="I164" s="1"/>
      <c r="J164" s="1" t="s">
        <v>278</v>
      </c>
      <c r="K164" s="1">
        <v>2022</v>
      </c>
      <c r="L164" s="1">
        <v>202210</v>
      </c>
      <c r="M164" s="1">
        <v>202210</v>
      </c>
      <c r="N164" s="1" t="s">
        <v>279</v>
      </c>
      <c r="O164" s="1" t="s">
        <v>230</v>
      </c>
      <c r="P164" s="1" t="s">
        <v>280</v>
      </c>
      <c r="Q164" s="1" t="s">
        <v>233</v>
      </c>
      <c r="R164" s="1" t="s">
        <v>277</v>
      </c>
      <c r="S164" s="1" t="s">
        <v>366</v>
      </c>
      <c r="T164" s="105" t="str">
        <f>_xlfn.XLOOKUP(Tabla1[[#This Row],[Universidad]],Conversiones!$B:$B,Conversiones!$C:$C)</f>
        <v>HEC Montréal</v>
      </c>
      <c r="U164" s="105" t="str">
        <f>_xlfn.XLOOKUP(Tabla1[[#This Row],[Universidad KPIs]],Conversiones!$C:$C,Conversiones!$E:$E)</f>
        <v>Específico</v>
      </c>
      <c r="V164" s="1" t="s">
        <v>74</v>
      </c>
      <c r="W164" s="1" t="s">
        <v>291</v>
      </c>
      <c r="X164" s="87">
        <v>44585</v>
      </c>
      <c r="Y164" s="87">
        <v>44709</v>
      </c>
      <c r="Z164" s="1">
        <v>124</v>
      </c>
    </row>
    <row r="165" spans="1:26">
      <c r="A165" s="102" t="s">
        <v>712</v>
      </c>
      <c r="B165">
        <v>201821349</v>
      </c>
      <c r="C165" t="s">
        <v>713</v>
      </c>
      <c r="D165" t="s">
        <v>714</v>
      </c>
      <c r="E165" t="s">
        <v>715</v>
      </c>
      <c r="F165" t="s">
        <v>233</v>
      </c>
      <c r="G165" t="s">
        <v>277</v>
      </c>
      <c r="J165" t="s">
        <v>278</v>
      </c>
      <c r="K165">
        <v>2022</v>
      </c>
      <c r="L165">
        <v>202220</v>
      </c>
      <c r="M165">
        <v>202220</v>
      </c>
      <c r="N165" t="s">
        <v>279</v>
      </c>
      <c r="O165" t="s">
        <v>231</v>
      </c>
      <c r="P165" t="s">
        <v>477</v>
      </c>
      <c r="Q165" t="s">
        <v>233</v>
      </c>
      <c r="R165" t="s">
        <v>277</v>
      </c>
      <c r="S165" t="s">
        <v>310</v>
      </c>
      <c r="T165" s="105" t="str">
        <f>_xlfn.XLOOKUP(Tabla1[[#This Row],[Universidad]],Conversiones!$B:$B,Conversiones!$C:$C)</f>
        <v>Toulouse Business School</v>
      </c>
      <c r="U165" s="105" t="str">
        <f>_xlfn.XLOOKUP(Tabla1[[#This Row],[Universidad KPIs]],Conversiones!$C:$C,Conversiones!$E:$E)</f>
        <v>Específico</v>
      </c>
      <c r="V165" t="s">
        <v>57</v>
      </c>
      <c r="W165" t="s">
        <v>281</v>
      </c>
      <c r="X165" s="2">
        <v>44781</v>
      </c>
      <c r="Y165" s="2">
        <v>44898</v>
      </c>
      <c r="Z165">
        <v>117</v>
      </c>
    </row>
    <row r="166" spans="1:26">
      <c r="A166" s="103" t="s">
        <v>927</v>
      </c>
      <c r="B166" s="1">
        <v>201425780</v>
      </c>
      <c r="C166" s="1" t="s">
        <v>928</v>
      </c>
      <c r="D166" s="1" t="s">
        <v>929</v>
      </c>
      <c r="E166" s="1" t="s">
        <v>930</v>
      </c>
      <c r="F166" s="1" t="s">
        <v>235</v>
      </c>
      <c r="G166" s="1" t="s">
        <v>277</v>
      </c>
      <c r="H166" s="1"/>
      <c r="I166" s="1"/>
      <c r="J166" s="1" t="s">
        <v>278</v>
      </c>
      <c r="K166" s="1">
        <v>2022</v>
      </c>
      <c r="L166" s="1">
        <v>202210</v>
      </c>
      <c r="M166" s="1">
        <v>202210</v>
      </c>
      <c r="N166" s="1" t="s">
        <v>618</v>
      </c>
      <c r="O166" s="1" t="s">
        <v>230</v>
      </c>
      <c r="P166" s="1" t="s">
        <v>619</v>
      </c>
      <c r="Q166" s="1" t="s">
        <v>235</v>
      </c>
      <c r="R166" s="1" t="s">
        <v>277</v>
      </c>
      <c r="S166" s="1" t="s">
        <v>94</v>
      </c>
      <c r="T166" s="105" t="str">
        <f>_xlfn.XLOOKUP(Tabla1[[#This Row],[Universidad]],Conversiones!$B:$B,Conversiones!$C:$C)</f>
        <v>Maastricht University</v>
      </c>
      <c r="U166" s="105" t="str">
        <f>_xlfn.XLOOKUP(Tabla1[[#This Row],[Universidad KPIs]],Conversiones!$C:$C,Conversiones!$E:$E)</f>
        <v>Específico</v>
      </c>
      <c r="V166" s="1" t="s">
        <v>95</v>
      </c>
      <c r="W166" s="1" t="s">
        <v>281</v>
      </c>
      <c r="X166" s="87">
        <v>44585</v>
      </c>
      <c r="Y166" s="87">
        <v>44709</v>
      </c>
      <c r="Z166" s="1">
        <v>124</v>
      </c>
    </row>
    <row r="167" spans="1:26">
      <c r="A167" s="102" t="s">
        <v>931</v>
      </c>
      <c r="B167">
        <v>201218661</v>
      </c>
      <c r="C167" t="s">
        <v>932</v>
      </c>
      <c r="D167" t="s">
        <v>933</v>
      </c>
      <c r="E167" t="s">
        <v>934</v>
      </c>
      <c r="F167" t="s">
        <v>238</v>
      </c>
      <c r="G167" t="s">
        <v>277</v>
      </c>
      <c r="J167" t="s">
        <v>278</v>
      </c>
      <c r="K167">
        <v>2022</v>
      </c>
      <c r="L167">
        <v>202220</v>
      </c>
      <c r="M167">
        <v>202220</v>
      </c>
      <c r="N167" t="s">
        <v>618</v>
      </c>
      <c r="O167" t="s">
        <v>230</v>
      </c>
      <c r="P167" t="s">
        <v>619</v>
      </c>
      <c r="Q167" t="s">
        <v>238</v>
      </c>
      <c r="R167" t="s">
        <v>277</v>
      </c>
      <c r="S167" t="s">
        <v>329</v>
      </c>
      <c r="T167" s="105" t="str">
        <f>_xlfn.XLOOKUP(Tabla1[[#This Row],[Universidad]],Conversiones!$B:$B,Conversiones!$C:$C)</f>
        <v>ESSEC</v>
      </c>
      <c r="U167" s="105" t="str">
        <f>_xlfn.XLOOKUP(Tabla1[[#This Row],[Universidad KPIs]],Conversiones!$C:$C,Conversiones!$E:$E)</f>
        <v>Específico</v>
      </c>
      <c r="V167" t="s">
        <v>57</v>
      </c>
      <c r="W167" t="s">
        <v>281</v>
      </c>
      <c r="X167" s="2">
        <v>44781</v>
      </c>
      <c r="Y167" s="2">
        <v>44898</v>
      </c>
      <c r="Z167">
        <v>117</v>
      </c>
    </row>
    <row r="168" spans="1:26">
      <c r="A168" s="103" t="s">
        <v>935</v>
      </c>
      <c r="B168" s="1">
        <v>201922540</v>
      </c>
      <c r="C168" s="1" t="s">
        <v>358</v>
      </c>
      <c r="D168" s="1" t="s">
        <v>936</v>
      </c>
      <c r="E168" s="1" t="s">
        <v>937</v>
      </c>
      <c r="F168" s="1" t="s">
        <v>233</v>
      </c>
      <c r="G168" s="1" t="s">
        <v>277</v>
      </c>
      <c r="H168" s="1">
        <v>0</v>
      </c>
      <c r="I168" s="1">
        <v>0</v>
      </c>
      <c r="J168" s="1" t="s">
        <v>278</v>
      </c>
      <c r="K168" s="1">
        <v>2022</v>
      </c>
      <c r="L168" s="1">
        <v>202220</v>
      </c>
      <c r="M168" s="1">
        <v>202220</v>
      </c>
      <c r="N168" s="1" t="s">
        <v>279</v>
      </c>
      <c r="O168" s="1" t="s">
        <v>230</v>
      </c>
      <c r="P168" s="1" t="s">
        <v>280</v>
      </c>
      <c r="Q168" s="1" t="s">
        <v>233</v>
      </c>
      <c r="R168" s="1" t="s">
        <v>277</v>
      </c>
      <c r="S168" s="1" t="s">
        <v>372</v>
      </c>
      <c r="T168" s="105" t="str">
        <f>_xlfn.XLOOKUP(Tabla1[[#This Row],[Universidad]],Conversiones!$B:$B,Conversiones!$C:$C)</f>
        <v>A.B. Freeman School of Business, Tulane University</v>
      </c>
      <c r="U168" s="105" t="str">
        <f>_xlfn.XLOOKUP(Tabla1[[#This Row],[Universidad KPIs]],Conversiones!$C:$C,Conversiones!$E:$E)</f>
        <v>Específico</v>
      </c>
      <c r="V168" s="1" t="s">
        <v>51</v>
      </c>
      <c r="W168" s="1" t="s">
        <v>291</v>
      </c>
      <c r="X168" s="87">
        <v>44781</v>
      </c>
      <c r="Y168" s="87">
        <v>44898</v>
      </c>
      <c r="Z168" s="1">
        <v>117</v>
      </c>
    </row>
    <row r="169" spans="1:26">
      <c r="A169" s="102" t="s">
        <v>938</v>
      </c>
      <c r="B169">
        <v>201535796</v>
      </c>
      <c r="C169" t="s">
        <v>395</v>
      </c>
      <c r="D169" t="s">
        <v>939</v>
      </c>
      <c r="E169" t="s">
        <v>940</v>
      </c>
      <c r="F169" t="s">
        <v>233</v>
      </c>
      <c r="G169" t="s">
        <v>277</v>
      </c>
      <c r="J169" t="s">
        <v>278</v>
      </c>
      <c r="K169">
        <v>2022</v>
      </c>
      <c r="L169">
        <v>202210</v>
      </c>
      <c r="M169">
        <v>202110</v>
      </c>
      <c r="N169" t="s">
        <v>279</v>
      </c>
      <c r="O169" t="s">
        <v>230</v>
      </c>
      <c r="P169" t="s">
        <v>280</v>
      </c>
      <c r="Q169" t="s">
        <v>233</v>
      </c>
      <c r="R169" t="s">
        <v>277</v>
      </c>
      <c r="S169" t="s">
        <v>644</v>
      </c>
      <c r="T169" s="105" t="str">
        <f>_xlfn.XLOOKUP(Tabla1[[#This Row],[Universidad]],Conversiones!$B:$B,Conversiones!$C:$C)</f>
        <v>Audencia. École de Management</v>
      </c>
      <c r="U169" s="105" t="str">
        <f>_xlfn.XLOOKUP(Tabla1[[#This Row],[Universidad KPIs]],Conversiones!$C:$C,Conversiones!$E:$E)</f>
        <v>Específico</v>
      </c>
      <c r="V169" t="s">
        <v>57</v>
      </c>
      <c r="W169" t="s">
        <v>281</v>
      </c>
      <c r="X169" s="2">
        <v>44585</v>
      </c>
      <c r="Y169" s="2">
        <v>44709</v>
      </c>
      <c r="Z169">
        <v>124</v>
      </c>
    </row>
    <row r="170" spans="1:26">
      <c r="A170" s="103" t="s">
        <v>941</v>
      </c>
      <c r="B170" s="1">
        <v>201821403</v>
      </c>
      <c r="C170" s="1" t="s">
        <v>942</v>
      </c>
      <c r="D170" s="1" t="s">
        <v>943</v>
      </c>
      <c r="E170" s="1" t="s">
        <v>944</v>
      </c>
      <c r="F170" s="1" t="s">
        <v>233</v>
      </c>
      <c r="G170" s="1" t="s">
        <v>277</v>
      </c>
      <c r="H170" s="1"/>
      <c r="I170" s="1"/>
      <c r="J170" s="1" t="s">
        <v>278</v>
      </c>
      <c r="K170" s="1">
        <v>2022</v>
      </c>
      <c r="L170" s="1">
        <v>202210</v>
      </c>
      <c r="M170" s="1">
        <v>202210</v>
      </c>
      <c r="N170" s="1" t="s">
        <v>279</v>
      </c>
      <c r="O170" s="1" t="s">
        <v>230</v>
      </c>
      <c r="P170" s="1" t="s">
        <v>280</v>
      </c>
      <c r="Q170" s="1" t="s">
        <v>233</v>
      </c>
      <c r="R170" s="1" t="s">
        <v>277</v>
      </c>
      <c r="S170" s="1" t="s">
        <v>945</v>
      </c>
      <c r="T170" s="105" t="str">
        <f>_xlfn.XLOOKUP(Tabla1[[#This Row],[Universidad]],Conversiones!$B:$B,Conversiones!$C:$C)</f>
        <v>Universidad Jean Moulin Lyon 3</v>
      </c>
      <c r="U170" s="105" t="str">
        <f>_xlfn.XLOOKUP(Tabla1[[#This Row],[Universidad KPIs]],Conversiones!$C:$C,Conversiones!$E:$E)</f>
        <v>General</v>
      </c>
      <c r="V170" s="1" t="s">
        <v>57</v>
      </c>
      <c r="W170" s="1" t="s">
        <v>281</v>
      </c>
      <c r="X170" s="87">
        <v>44585</v>
      </c>
      <c r="Y170" s="87">
        <v>44709</v>
      </c>
      <c r="Z170" s="1">
        <v>124</v>
      </c>
    </row>
    <row r="171" spans="1:26">
      <c r="A171" s="102" t="s">
        <v>946</v>
      </c>
      <c r="B171">
        <v>201822829</v>
      </c>
      <c r="C171" t="s">
        <v>744</v>
      </c>
      <c r="D171" t="s">
        <v>947</v>
      </c>
      <c r="E171" t="s">
        <v>948</v>
      </c>
      <c r="F171" t="s">
        <v>233</v>
      </c>
      <c r="G171" t="s">
        <v>277</v>
      </c>
      <c r="J171" t="s">
        <v>278</v>
      </c>
      <c r="K171">
        <v>2022</v>
      </c>
      <c r="L171">
        <v>202220</v>
      </c>
      <c r="M171">
        <v>202220</v>
      </c>
      <c r="N171" t="s">
        <v>279</v>
      </c>
      <c r="O171" t="s">
        <v>231</v>
      </c>
      <c r="P171" t="s">
        <v>477</v>
      </c>
      <c r="Q171" t="s">
        <v>233</v>
      </c>
      <c r="R171" t="s">
        <v>277</v>
      </c>
      <c r="S171" t="s">
        <v>310</v>
      </c>
      <c r="T171" s="105" t="str">
        <f>_xlfn.XLOOKUP(Tabla1[[#This Row],[Universidad]],Conversiones!$B:$B,Conversiones!$C:$C)</f>
        <v>Toulouse Business School</v>
      </c>
      <c r="U171" s="105" t="str">
        <f>_xlfn.XLOOKUP(Tabla1[[#This Row],[Universidad KPIs]],Conversiones!$C:$C,Conversiones!$E:$E)</f>
        <v>Específico</v>
      </c>
      <c r="V171" t="s">
        <v>57</v>
      </c>
      <c r="W171" t="s">
        <v>281</v>
      </c>
      <c r="X171" s="2">
        <v>44781</v>
      </c>
      <c r="Y171" s="2">
        <v>44898</v>
      </c>
      <c r="Z171">
        <v>117</v>
      </c>
    </row>
    <row r="172" spans="1:26">
      <c r="A172" s="103" t="s">
        <v>949</v>
      </c>
      <c r="B172" s="1">
        <v>201922720</v>
      </c>
      <c r="C172" s="1" t="s">
        <v>331</v>
      </c>
      <c r="D172" s="1" t="s">
        <v>950</v>
      </c>
      <c r="E172" s="1" t="s">
        <v>951</v>
      </c>
      <c r="F172" s="1" t="s">
        <v>233</v>
      </c>
      <c r="G172" s="1" t="s">
        <v>277</v>
      </c>
      <c r="H172" s="1"/>
      <c r="I172" s="1"/>
      <c r="J172" s="1" t="s">
        <v>278</v>
      </c>
      <c r="K172" s="1">
        <v>2022</v>
      </c>
      <c r="L172" s="1">
        <v>202210</v>
      </c>
      <c r="M172" s="1">
        <v>202210</v>
      </c>
      <c r="N172" s="1" t="s">
        <v>279</v>
      </c>
      <c r="O172" s="1" t="s">
        <v>230</v>
      </c>
      <c r="P172" s="1" t="s">
        <v>280</v>
      </c>
      <c r="Q172" s="1" t="s">
        <v>233</v>
      </c>
      <c r="R172" s="1" t="s">
        <v>277</v>
      </c>
      <c r="S172" s="1" t="s">
        <v>153</v>
      </c>
      <c r="T172" s="105" t="str">
        <f>_xlfn.XLOOKUP(Tabla1[[#This Row],[Universidad]],Conversiones!$B:$B,Conversiones!$C:$C)</f>
        <v>St. John's University</v>
      </c>
      <c r="U172" s="105" t="str">
        <f>_xlfn.XLOOKUP(Tabla1[[#This Row],[Universidad KPIs]],Conversiones!$C:$C,Conversiones!$E:$E)</f>
        <v>General</v>
      </c>
      <c r="V172" s="1" t="s">
        <v>51</v>
      </c>
      <c r="W172" s="1" t="s">
        <v>291</v>
      </c>
      <c r="X172" s="87">
        <v>44585</v>
      </c>
      <c r="Y172" s="87">
        <v>44709</v>
      </c>
      <c r="Z172" s="1">
        <v>124</v>
      </c>
    </row>
    <row r="173" spans="1:26">
      <c r="A173" s="102" t="s">
        <v>952</v>
      </c>
      <c r="B173">
        <v>201821545</v>
      </c>
      <c r="C173" t="s">
        <v>953</v>
      </c>
      <c r="D173" t="s">
        <v>954</v>
      </c>
      <c r="E173" t="s">
        <v>955</v>
      </c>
      <c r="F173" t="s">
        <v>233</v>
      </c>
      <c r="G173" t="s">
        <v>277</v>
      </c>
      <c r="J173" t="s">
        <v>278</v>
      </c>
      <c r="K173">
        <v>2022</v>
      </c>
      <c r="L173">
        <v>202210</v>
      </c>
      <c r="M173">
        <v>202210</v>
      </c>
      <c r="N173" t="s">
        <v>279</v>
      </c>
      <c r="O173" t="s">
        <v>230</v>
      </c>
      <c r="P173" t="s">
        <v>280</v>
      </c>
      <c r="Q173" t="s">
        <v>233</v>
      </c>
      <c r="R173" t="s">
        <v>277</v>
      </c>
      <c r="S173" t="s">
        <v>639</v>
      </c>
      <c r="T173" s="105" t="str">
        <f>_xlfn.XLOOKUP(Tabla1[[#This Row],[Universidad]],Conversiones!$B:$B,Conversiones!$C:$C)</f>
        <v>IE Instituto Empresa</v>
      </c>
      <c r="U173" s="105" t="str">
        <f>_xlfn.XLOOKUP(Tabla1[[#This Row],[Universidad KPIs]],Conversiones!$C:$C,Conversiones!$E:$E)</f>
        <v>Específico</v>
      </c>
      <c r="V173" t="s">
        <v>69</v>
      </c>
      <c r="W173" t="s">
        <v>281</v>
      </c>
      <c r="X173" s="2">
        <v>44585</v>
      </c>
      <c r="Y173" s="2">
        <v>44709</v>
      </c>
      <c r="Z173">
        <v>124</v>
      </c>
    </row>
    <row r="174" spans="1:26">
      <c r="A174" s="103" t="s">
        <v>956</v>
      </c>
      <c r="B174" s="1">
        <v>200411241</v>
      </c>
      <c r="C174" s="1" t="s">
        <v>957</v>
      </c>
      <c r="D174" s="1" t="s">
        <v>958</v>
      </c>
      <c r="E174" s="1" t="s">
        <v>959</v>
      </c>
      <c r="F174" s="1" t="s">
        <v>237</v>
      </c>
      <c r="G174" s="1" t="s">
        <v>277</v>
      </c>
      <c r="H174" s="1"/>
      <c r="I174" s="1"/>
      <c r="J174" s="1" t="s">
        <v>278</v>
      </c>
      <c r="K174" s="1">
        <v>2022</v>
      </c>
      <c r="L174" s="1">
        <v>202210</v>
      </c>
      <c r="M174" s="1">
        <v>202210</v>
      </c>
      <c r="N174" s="1" t="s">
        <v>618</v>
      </c>
      <c r="O174" s="1" t="s">
        <v>230</v>
      </c>
      <c r="P174" s="1" t="s">
        <v>619</v>
      </c>
      <c r="Q174" s="1" t="s">
        <v>237</v>
      </c>
      <c r="R174" s="1" t="s">
        <v>277</v>
      </c>
      <c r="S174" s="1" t="s">
        <v>329</v>
      </c>
      <c r="T174" s="105" t="str">
        <f>_xlfn.XLOOKUP(Tabla1[[#This Row],[Universidad]],Conversiones!$B:$B,Conversiones!$C:$C)</f>
        <v>ESSEC</v>
      </c>
      <c r="U174" s="105" t="str">
        <f>_xlfn.XLOOKUP(Tabla1[[#This Row],[Universidad KPIs]],Conversiones!$C:$C,Conversiones!$E:$E)</f>
        <v>Específico</v>
      </c>
      <c r="V174" s="1" t="s">
        <v>57</v>
      </c>
      <c r="W174" s="1" t="s">
        <v>281</v>
      </c>
      <c r="X174" s="87">
        <v>44585</v>
      </c>
      <c r="Y174" s="87">
        <v>44709</v>
      </c>
      <c r="Z174" s="1">
        <v>124</v>
      </c>
    </row>
    <row r="175" spans="1:26">
      <c r="A175" s="102" t="s">
        <v>960</v>
      </c>
      <c r="B175">
        <v>201923603</v>
      </c>
      <c r="C175" t="s">
        <v>326</v>
      </c>
      <c r="D175" t="s">
        <v>961</v>
      </c>
      <c r="E175" t="s">
        <v>962</v>
      </c>
      <c r="F175" t="s">
        <v>233</v>
      </c>
      <c r="G175" t="s">
        <v>277</v>
      </c>
      <c r="J175" t="s">
        <v>278</v>
      </c>
      <c r="K175">
        <v>2022</v>
      </c>
      <c r="L175">
        <v>202220</v>
      </c>
      <c r="M175">
        <v>202220</v>
      </c>
      <c r="N175" t="s">
        <v>279</v>
      </c>
      <c r="O175" t="s">
        <v>230</v>
      </c>
      <c r="P175" t="s">
        <v>280</v>
      </c>
      <c r="Q175" t="s">
        <v>233</v>
      </c>
      <c r="R175" t="s">
        <v>277</v>
      </c>
      <c r="S175" t="s">
        <v>305</v>
      </c>
      <c r="T175" s="105" t="str">
        <f>_xlfn.XLOOKUP(Tabla1[[#This Row],[Universidad]],Conversiones!$B:$B,Conversiones!$C:$C)</f>
        <v>Catolica Lisbon Business &amp; Economics. Universidade Católica Portuguesa</v>
      </c>
      <c r="U175" s="105" t="str">
        <f>_xlfn.XLOOKUP(Tabla1[[#This Row],[Universidad KPIs]],Conversiones!$C:$C,Conversiones!$E:$E)</f>
        <v>Específico</v>
      </c>
      <c r="V175" t="s">
        <v>61</v>
      </c>
      <c r="W175" t="s">
        <v>281</v>
      </c>
      <c r="X175" s="2">
        <v>44781</v>
      </c>
      <c r="Y175" s="2">
        <v>44898</v>
      </c>
      <c r="Z175">
        <v>117</v>
      </c>
    </row>
    <row r="176" spans="1:26">
      <c r="A176" s="103" t="s">
        <v>963</v>
      </c>
      <c r="B176" s="1">
        <v>201616137</v>
      </c>
      <c r="C176" s="1" t="s">
        <v>964</v>
      </c>
      <c r="D176" s="1" t="s">
        <v>965</v>
      </c>
      <c r="E176" s="1" t="s">
        <v>966</v>
      </c>
      <c r="F176" s="1" t="s">
        <v>233</v>
      </c>
      <c r="G176" s="1" t="s">
        <v>277</v>
      </c>
      <c r="H176" s="1"/>
      <c r="I176" s="1"/>
      <c r="J176" s="1" t="s">
        <v>278</v>
      </c>
      <c r="K176" s="1">
        <v>2022</v>
      </c>
      <c r="L176" s="1">
        <v>202210</v>
      </c>
      <c r="M176" s="1">
        <v>202210</v>
      </c>
      <c r="N176" s="1" t="s">
        <v>279</v>
      </c>
      <c r="O176" s="1" t="s">
        <v>230</v>
      </c>
      <c r="P176" s="1" t="s">
        <v>280</v>
      </c>
      <c r="Q176" s="1" t="s">
        <v>233</v>
      </c>
      <c r="R176" s="1" t="s">
        <v>277</v>
      </c>
      <c r="S176" s="1" t="s">
        <v>366</v>
      </c>
      <c r="T176" s="105" t="str">
        <f>_xlfn.XLOOKUP(Tabla1[[#This Row],[Universidad]],Conversiones!$B:$B,Conversiones!$C:$C)</f>
        <v>HEC Montréal</v>
      </c>
      <c r="U176" s="105" t="str">
        <f>_xlfn.XLOOKUP(Tabla1[[#This Row],[Universidad KPIs]],Conversiones!$C:$C,Conversiones!$E:$E)</f>
        <v>Específico</v>
      </c>
      <c r="V176" s="1" t="s">
        <v>74</v>
      </c>
      <c r="W176" s="1" t="s">
        <v>291</v>
      </c>
      <c r="X176" s="87">
        <v>44585</v>
      </c>
      <c r="Y176" s="87">
        <v>44709</v>
      </c>
      <c r="Z176" s="1">
        <v>124</v>
      </c>
    </row>
    <row r="177" spans="1:26">
      <c r="A177" s="102" t="s">
        <v>967</v>
      </c>
      <c r="B177">
        <v>201922780</v>
      </c>
      <c r="C177" t="s">
        <v>358</v>
      </c>
      <c r="D177" t="s">
        <v>968</v>
      </c>
      <c r="E177" t="s">
        <v>969</v>
      </c>
      <c r="F177" t="s">
        <v>233</v>
      </c>
      <c r="G177" t="s">
        <v>277</v>
      </c>
      <c r="J177" t="s">
        <v>278</v>
      </c>
      <c r="K177">
        <v>2022</v>
      </c>
      <c r="L177">
        <v>202220</v>
      </c>
      <c r="M177">
        <v>202220</v>
      </c>
      <c r="N177" t="s">
        <v>279</v>
      </c>
      <c r="O177" t="s">
        <v>230</v>
      </c>
      <c r="P177" t="s">
        <v>280</v>
      </c>
      <c r="Q177" t="s">
        <v>233</v>
      </c>
      <c r="R177" t="s">
        <v>277</v>
      </c>
      <c r="S177" t="s">
        <v>320</v>
      </c>
      <c r="T177" s="105" t="str">
        <f>_xlfn.XLOOKUP(Tabla1[[#This Row],[Universidad]],Conversiones!$B:$B,Conversiones!$C:$C)</f>
        <v>ESADE</v>
      </c>
      <c r="U177" s="105" t="str">
        <f>_xlfn.XLOOKUP(Tabla1[[#This Row],[Universidad KPIs]],Conversiones!$C:$C,Conversiones!$E:$E)</f>
        <v>Específico</v>
      </c>
      <c r="V177" t="s">
        <v>69</v>
      </c>
      <c r="W177" t="s">
        <v>281</v>
      </c>
      <c r="X177" s="2">
        <v>44781</v>
      </c>
      <c r="Y177" s="2">
        <v>44898</v>
      </c>
      <c r="Z177">
        <v>117</v>
      </c>
    </row>
    <row r="178" spans="1:26">
      <c r="A178" s="103" t="s">
        <v>970</v>
      </c>
      <c r="B178" s="1">
        <v>201922820</v>
      </c>
      <c r="C178" s="1" t="s">
        <v>751</v>
      </c>
      <c r="D178" s="1" t="s">
        <v>971</v>
      </c>
      <c r="E178" s="1" t="s">
        <v>972</v>
      </c>
      <c r="F178" s="1" t="s">
        <v>233</v>
      </c>
      <c r="G178" s="1" t="s">
        <v>277</v>
      </c>
      <c r="H178" s="1"/>
      <c r="I178" s="1"/>
      <c r="J178" s="1" t="s">
        <v>278</v>
      </c>
      <c r="K178" s="1">
        <v>2022</v>
      </c>
      <c r="L178" s="1">
        <v>202210</v>
      </c>
      <c r="M178" s="1">
        <v>202210</v>
      </c>
      <c r="N178" s="1" t="s">
        <v>279</v>
      </c>
      <c r="O178" s="1" t="s">
        <v>230</v>
      </c>
      <c r="P178" s="1" t="s">
        <v>280</v>
      </c>
      <c r="Q178" s="1" t="s">
        <v>233</v>
      </c>
      <c r="R178" s="1" t="s">
        <v>277</v>
      </c>
      <c r="S178" s="1" t="s">
        <v>182</v>
      </c>
      <c r="T178" s="105" t="str">
        <f>_xlfn.XLOOKUP(Tabla1[[#This Row],[Universidad]],Conversiones!$B:$B,Conversiones!$C:$C)</f>
        <v>University of Oklahoma</v>
      </c>
      <c r="U178" s="105" t="str">
        <f>_xlfn.XLOOKUP(Tabla1[[#This Row],[Universidad KPIs]],Conversiones!$C:$C,Conversiones!$E:$E)</f>
        <v>General</v>
      </c>
      <c r="V178" s="1" t="s">
        <v>51</v>
      </c>
      <c r="W178" s="1" t="s">
        <v>291</v>
      </c>
      <c r="X178" s="87">
        <v>44585</v>
      </c>
      <c r="Y178" s="87">
        <v>44709</v>
      </c>
      <c r="Z178" s="1">
        <v>124</v>
      </c>
    </row>
    <row r="179" spans="1:26">
      <c r="A179" s="102" t="s">
        <v>973</v>
      </c>
      <c r="B179">
        <v>201921092</v>
      </c>
      <c r="C179" t="s">
        <v>763</v>
      </c>
      <c r="D179" t="s">
        <v>974</v>
      </c>
      <c r="E179" t="s">
        <v>975</v>
      </c>
      <c r="F179" t="s">
        <v>233</v>
      </c>
      <c r="G179" t="s">
        <v>277</v>
      </c>
      <c r="J179" t="s">
        <v>278</v>
      </c>
      <c r="K179">
        <v>2022</v>
      </c>
      <c r="L179">
        <v>202220</v>
      </c>
      <c r="M179">
        <v>202220</v>
      </c>
      <c r="N179" t="s">
        <v>279</v>
      </c>
      <c r="O179" t="s">
        <v>231</v>
      </c>
      <c r="P179" t="s">
        <v>477</v>
      </c>
      <c r="Q179" t="s">
        <v>233</v>
      </c>
      <c r="R179" t="s">
        <v>277</v>
      </c>
      <c r="S179" t="s">
        <v>310</v>
      </c>
      <c r="T179" s="105" t="str">
        <f>_xlfn.XLOOKUP(Tabla1[[#This Row],[Universidad]],Conversiones!$B:$B,Conversiones!$C:$C)</f>
        <v>Toulouse Business School</v>
      </c>
      <c r="U179" s="105" t="str">
        <f>_xlfn.XLOOKUP(Tabla1[[#This Row],[Universidad KPIs]],Conversiones!$C:$C,Conversiones!$E:$E)</f>
        <v>Específico</v>
      </c>
      <c r="V179" t="s">
        <v>57</v>
      </c>
      <c r="W179" t="s">
        <v>281</v>
      </c>
      <c r="X179" s="2">
        <v>44781</v>
      </c>
      <c r="Y179" s="2">
        <v>44898</v>
      </c>
      <c r="Z179">
        <v>117</v>
      </c>
    </row>
    <row r="180" spans="1:26">
      <c r="A180" s="103" t="s">
        <v>976</v>
      </c>
      <c r="B180" s="1">
        <v>201821669</v>
      </c>
      <c r="C180" s="1" t="s">
        <v>977</v>
      </c>
      <c r="D180" s="1" t="s">
        <v>974</v>
      </c>
      <c r="E180" s="1" t="s">
        <v>978</v>
      </c>
      <c r="F180" s="1" t="s">
        <v>233</v>
      </c>
      <c r="G180" s="1" t="s">
        <v>277</v>
      </c>
      <c r="H180" s="1"/>
      <c r="I180" s="1"/>
      <c r="J180" s="1" t="s">
        <v>278</v>
      </c>
      <c r="K180" s="1">
        <v>2022</v>
      </c>
      <c r="L180" s="1">
        <v>202220</v>
      </c>
      <c r="M180" s="1">
        <v>202220</v>
      </c>
      <c r="N180" s="1" t="s">
        <v>279</v>
      </c>
      <c r="O180" s="1" t="s">
        <v>231</v>
      </c>
      <c r="P180" s="1" t="s">
        <v>477</v>
      </c>
      <c r="Q180" s="1" t="s">
        <v>233</v>
      </c>
      <c r="R180" s="1" t="s">
        <v>277</v>
      </c>
      <c r="S180" s="1" t="s">
        <v>310</v>
      </c>
      <c r="T180" s="105" t="str">
        <f>_xlfn.XLOOKUP(Tabla1[[#This Row],[Universidad]],Conversiones!$B:$B,Conversiones!$C:$C)</f>
        <v>Toulouse Business School</v>
      </c>
      <c r="U180" s="105" t="str">
        <f>_xlfn.XLOOKUP(Tabla1[[#This Row],[Universidad KPIs]],Conversiones!$C:$C,Conversiones!$E:$E)</f>
        <v>Específico</v>
      </c>
      <c r="V180" s="1" t="s">
        <v>57</v>
      </c>
      <c r="W180" s="1" t="s">
        <v>281</v>
      </c>
      <c r="X180" s="87">
        <v>44781</v>
      </c>
      <c r="Y180" s="87">
        <v>44898</v>
      </c>
      <c r="Z180" s="1">
        <v>117</v>
      </c>
    </row>
    <row r="181" spans="1:26">
      <c r="A181" s="102" t="s">
        <v>979</v>
      </c>
      <c r="B181">
        <v>201922849</v>
      </c>
      <c r="C181" t="s">
        <v>980</v>
      </c>
      <c r="D181" t="s">
        <v>981</v>
      </c>
      <c r="E181" t="s">
        <v>982</v>
      </c>
      <c r="F181" t="s">
        <v>233</v>
      </c>
      <c r="G181" t="s">
        <v>277</v>
      </c>
      <c r="J181" t="s">
        <v>278</v>
      </c>
      <c r="K181">
        <v>2022</v>
      </c>
      <c r="L181">
        <v>202220</v>
      </c>
      <c r="M181">
        <v>202220</v>
      </c>
      <c r="N181" t="s">
        <v>279</v>
      </c>
      <c r="O181" t="s">
        <v>230</v>
      </c>
      <c r="P181" t="s">
        <v>280</v>
      </c>
      <c r="Q181" t="s">
        <v>233</v>
      </c>
      <c r="R181" t="s">
        <v>277</v>
      </c>
      <c r="S181" t="s">
        <v>983</v>
      </c>
      <c r="T181" s="105" t="str">
        <f>_xlfn.XLOOKUP(Tabla1[[#This Row],[Universidad]],Conversiones!$B:$B,Conversiones!$C:$C)</f>
        <v>Queens University School of Business</v>
      </c>
      <c r="U181" s="105" t="str">
        <f>_xlfn.XLOOKUP(Tabla1[[#This Row],[Universidad KPIs]],Conversiones!$C:$C,Conversiones!$E:$E)</f>
        <v>Específico</v>
      </c>
      <c r="V181" t="s">
        <v>74</v>
      </c>
      <c r="W181" t="s">
        <v>291</v>
      </c>
      <c r="X181" s="2">
        <v>44781</v>
      </c>
      <c r="Y181" s="2">
        <v>44898</v>
      </c>
      <c r="Z181">
        <v>117</v>
      </c>
    </row>
    <row r="182" spans="1:26">
      <c r="A182" s="103" t="s">
        <v>984</v>
      </c>
      <c r="B182" s="1">
        <v>201814645</v>
      </c>
      <c r="C182" s="1" t="s">
        <v>577</v>
      </c>
      <c r="D182" s="1" t="s">
        <v>985</v>
      </c>
      <c r="E182" s="1" t="s">
        <v>986</v>
      </c>
      <c r="F182" s="1" t="s">
        <v>233</v>
      </c>
      <c r="G182" s="1" t="s">
        <v>277</v>
      </c>
      <c r="H182" s="1"/>
      <c r="I182" s="1"/>
      <c r="J182" s="1" t="s">
        <v>278</v>
      </c>
      <c r="K182" s="1">
        <v>2022</v>
      </c>
      <c r="L182" s="1">
        <v>202220</v>
      </c>
      <c r="M182" s="1">
        <v>202220</v>
      </c>
      <c r="N182" s="1" t="s">
        <v>279</v>
      </c>
      <c r="O182" s="1" t="s">
        <v>230</v>
      </c>
      <c r="P182" s="1" t="s">
        <v>280</v>
      </c>
      <c r="Q182" s="1" t="s">
        <v>233</v>
      </c>
      <c r="R182" s="1" t="s">
        <v>277</v>
      </c>
      <c r="S182" s="1" t="s">
        <v>286</v>
      </c>
      <c r="T182" s="105" t="str">
        <f>_xlfn.XLOOKUP(Tabla1[[#This Row],[Universidad]],Conversiones!$B:$B,Conversiones!$C:$C)</f>
        <v>ESC Rouen (NEOMA)</v>
      </c>
      <c r="U182" s="105" t="str">
        <f>_xlfn.XLOOKUP(Tabla1[[#This Row],[Universidad KPIs]],Conversiones!$C:$C,Conversiones!$E:$E)</f>
        <v>Específico</v>
      </c>
      <c r="V182" s="1" t="s">
        <v>57</v>
      </c>
      <c r="W182" s="1" t="s">
        <v>281</v>
      </c>
      <c r="X182" s="87">
        <v>44781</v>
      </c>
      <c r="Y182" s="87">
        <v>44898</v>
      </c>
      <c r="Z182" s="1">
        <v>117</v>
      </c>
    </row>
    <row r="183" spans="1:26">
      <c r="A183" s="102" t="s">
        <v>987</v>
      </c>
      <c r="B183">
        <v>201714414</v>
      </c>
      <c r="C183" t="s">
        <v>690</v>
      </c>
      <c r="D183" t="s">
        <v>988</v>
      </c>
      <c r="E183" t="s">
        <v>989</v>
      </c>
      <c r="F183" t="s">
        <v>990</v>
      </c>
      <c r="G183" t="s">
        <v>538</v>
      </c>
      <c r="H183" t="s">
        <v>233</v>
      </c>
      <c r="I183" t="s">
        <v>277</v>
      </c>
      <c r="J183" t="s">
        <v>278</v>
      </c>
      <c r="K183">
        <v>2022</v>
      </c>
      <c r="L183">
        <v>202210</v>
      </c>
      <c r="M183">
        <v>202210</v>
      </c>
      <c r="N183" t="s">
        <v>279</v>
      </c>
      <c r="O183" t="s">
        <v>230</v>
      </c>
      <c r="P183" t="s">
        <v>280</v>
      </c>
      <c r="Q183" t="s">
        <v>233</v>
      </c>
      <c r="R183" t="s">
        <v>277</v>
      </c>
      <c r="S183" t="s">
        <v>320</v>
      </c>
      <c r="T183" s="105" t="str">
        <f>_xlfn.XLOOKUP(Tabla1[[#This Row],[Universidad]],Conversiones!$B:$B,Conversiones!$C:$C)</f>
        <v>ESADE</v>
      </c>
      <c r="U183" s="105" t="str">
        <f>_xlfn.XLOOKUP(Tabla1[[#This Row],[Universidad KPIs]],Conversiones!$C:$C,Conversiones!$E:$E)</f>
        <v>Específico</v>
      </c>
      <c r="V183" t="s">
        <v>69</v>
      </c>
      <c r="W183" t="s">
        <v>281</v>
      </c>
      <c r="X183" s="2">
        <v>44585</v>
      </c>
      <c r="Y183" s="2">
        <v>44709</v>
      </c>
      <c r="Z183">
        <v>124</v>
      </c>
    </row>
    <row r="184" spans="1:26">
      <c r="A184" s="103" t="s">
        <v>991</v>
      </c>
      <c r="B184" s="1">
        <v>201631942</v>
      </c>
      <c r="C184" s="1" t="s">
        <v>992</v>
      </c>
      <c r="D184" s="1" t="s">
        <v>993</v>
      </c>
      <c r="E184" s="1" t="s">
        <v>994</v>
      </c>
      <c r="F184" s="1" t="s">
        <v>497</v>
      </c>
      <c r="G184" s="1" t="s">
        <v>498</v>
      </c>
      <c r="H184" s="1" t="s">
        <v>233</v>
      </c>
      <c r="I184" s="1" t="s">
        <v>277</v>
      </c>
      <c r="J184" s="1" t="s">
        <v>278</v>
      </c>
      <c r="K184" s="1">
        <v>2022</v>
      </c>
      <c r="L184" s="1">
        <v>202220</v>
      </c>
      <c r="M184" s="1">
        <v>202220</v>
      </c>
      <c r="N184" s="1" t="s">
        <v>279</v>
      </c>
      <c r="O184" s="1" t="s">
        <v>230</v>
      </c>
      <c r="P184" s="1" t="s">
        <v>280</v>
      </c>
      <c r="Q184" s="1" t="s">
        <v>233</v>
      </c>
      <c r="R184" s="1" t="s">
        <v>277</v>
      </c>
      <c r="S184" s="1" t="s">
        <v>372</v>
      </c>
      <c r="T184" s="105" t="str">
        <f>_xlfn.XLOOKUP(Tabla1[[#This Row],[Universidad]],Conversiones!$B:$B,Conversiones!$C:$C)</f>
        <v>A.B. Freeman School of Business, Tulane University</v>
      </c>
      <c r="U184" s="105" t="str">
        <f>_xlfn.XLOOKUP(Tabla1[[#This Row],[Universidad KPIs]],Conversiones!$C:$C,Conversiones!$E:$E)</f>
        <v>Específico</v>
      </c>
      <c r="V184" s="1" t="s">
        <v>51</v>
      </c>
      <c r="W184" s="1" t="s">
        <v>291</v>
      </c>
      <c r="X184" s="87">
        <v>44781</v>
      </c>
      <c r="Y184" s="87">
        <v>44898</v>
      </c>
      <c r="Z184" s="1">
        <v>117</v>
      </c>
    </row>
    <row r="185" spans="1:26">
      <c r="A185" s="102" t="s">
        <v>995</v>
      </c>
      <c r="B185">
        <v>201821743</v>
      </c>
      <c r="C185" t="s">
        <v>996</v>
      </c>
      <c r="D185" t="s">
        <v>997</v>
      </c>
      <c r="E185" t="s">
        <v>998</v>
      </c>
      <c r="F185" t="s">
        <v>233</v>
      </c>
      <c r="G185" t="s">
        <v>277</v>
      </c>
      <c r="H185" t="s">
        <v>543</v>
      </c>
      <c r="I185" t="s">
        <v>544</v>
      </c>
      <c r="J185" t="s">
        <v>278</v>
      </c>
      <c r="K185">
        <v>2022</v>
      </c>
      <c r="L185">
        <v>202220</v>
      </c>
      <c r="M185">
        <v>202220</v>
      </c>
      <c r="N185" t="s">
        <v>279</v>
      </c>
      <c r="O185" t="s">
        <v>230</v>
      </c>
      <c r="P185" t="s">
        <v>865</v>
      </c>
      <c r="Q185" t="s">
        <v>233</v>
      </c>
      <c r="R185" t="s">
        <v>277</v>
      </c>
      <c r="S185" t="s">
        <v>160</v>
      </c>
      <c r="T185" s="105" t="str">
        <f>_xlfn.XLOOKUP(Tabla1[[#This Row],[Universidad]],Conversiones!$B:$B,Conversiones!$C:$C)</f>
        <v>Universidad de Cantabria</v>
      </c>
      <c r="U185" s="105" t="str">
        <f>_xlfn.XLOOKUP(Tabla1[[#This Row],[Universidad KPIs]],Conversiones!$C:$C,Conversiones!$E:$E)</f>
        <v>General</v>
      </c>
      <c r="V185" t="s">
        <v>69</v>
      </c>
      <c r="W185" t="s">
        <v>281</v>
      </c>
      <c r="X185" s="2">
        <v>44781</v>
      </c>
      <c r="Y185" s="2">
        <v>44898</v>
      </c>
      <c r="Z185">
        <v>117</v>
      </c>
    </row>
    <row r="186" spans="1:26">
      <c r="A186" s="103" t="s">
        <v>999</v>
      </c>
      <c r="B186" s="1">
        <v>201822945</v>
      </c>
      <c r="C186" s="1" t="s">
        <v>1000</v>
      </c>
      <c r="D186" s="1" t="s">
        <v>1001</v>
      </c>
      <c r="E186" s="1" t="s">
        <v>1002</v>
      </c>
      <c r="F186" s="1" t="s">
        <v>233</v>
      </c>
      <c r="G186" s="1" t="s">
        <v>277</v>
      </c>
      <c r="H186" s="1"/>
      <c r="I186" s="1"/>
      <c r="J186" s="1" t="s">
        <v>278</v>
      </c>
      <c r="K186" s="1">
        <v>2022</v>
      </c>
      <c r="L186" s="1">
        <v>202220</v>
      </c>
      <c r="M186" s="1">
        <v>202220</v>
      </c>
      <c r="N186" s="1" t="s">
        <v>279</v>
      </c>
      <c r="O186" s="1" t="s">
        <v>230</v>
      </c>
      <c r="P186" s="1" t="s">
        <v>280</v>
      </c>
      <c r="Q186" s="1" t="s">
        <v>233</v>
      </c>
      <c r="R186" s="1" t="s">
        <v>277</v>
      </c>
      <c r="S186" s="1" t="s">
        <v>338</v>
      </c>
      <c r="T186" s="105" t="str">
        <f>_xlfn.XLOOKUP(Tabla1[[#This Row],[Universidad]],Conversiones!$B:$B,Conversiones!$C:$C)</f>
        <v>University of Mannheim Business School</v>
      </c>
      <c r="U186" s="105" t="str">
        <f>_xlfn.XLOOKUP(Tabla1[[#This Row],[Universidad KPIs]],Conversiones!$C:$C,Conversiones!$E:$E)</f>
        <v>Específico</v>
      </c>
      <c r="V186" s="1" t="s">
        <v>76</v>
      </c>
      <c r="W186" s="1" t="s">
        <v>281</v>
      </c>
      <c r="X186" s="87">
        <v>44781</v>
      </c>
      <c r="Y186" s="87">
        <v>44898</v>
      </c>
      <c r="Z186" s="1">
        <v>117</v>
      </c>
    </row>
    <row r="187" spans="1:26">
      <c r="A187" s="102" t="s">
        <v>1003</v>
      </c>
      <c r="B187">
        <v>201910491</v>
      </c>
      <c r="C187" t="s">
        <v>884</v>
      </c>
      <c r="D187" t="s">
        <v>1004</v>
      </c>
      <c r="E187" t="s">
        <v>1005</v>
      </c>
      <c r="F187" t="s">
        <v>233</v>
      </c>
      <c r="G187" t="s">
        <v>277</v>
      </c>
      <c r="J187" t="s">
        <v>278</v>
      </c>
      <c r="K187">
        <v>2022</v>
      </c>
      <c r="L187">
        <v>202220</v>
      </c>
      <c r="M187">
        <v>202220</v>
      </c>
      <c r="N187" t="s">
        <v>279</v>
      </c>
      <c r="O187" t="s">
        <v>230</v>
      </c>
      <c r="P187" t="s">
        <v>280</v>
      </c>
      <c r="Q187" t="s">
        <v>233</v>
      </c>
      <c r="R187" t="s">
        <v>277</v>
      </c>
      <c r="S187" t="s">
        <v>320</v>
      </c>
      <c r="T187" s="105" t="str">
        <f>_xlfn.XLOOKUP(Tabla1[[#This Row],[Universidad]],Conversiones!$B:$B,Conversiones!$C:$C)</f>
        <v>ESADE</v>
      </c>
      <c r="U187" s="105" t="str">
        <f>_xlfn.XLOOKUP(Tabla1[[#This Row],[Universidad KPIs]],Conversiones!$C:$C,Conversiones!$E:$E)</f>
        <v>Específico</v>
      </c>
      <c r="V187" t="s">
        <v>69</v>
      </c>
      <c r="W187" t="s">
        <v>281</v>
      </c>
      <c r="X187" s="2">
        <v>44781</v>
      </c>
      <c r="Y187" s="2">
        <v>44898</v>
      </c>
      <c r="Z187">
        <v>117</v>
      </c>
    </row>
    <row r="188" spans="1:26">
      <c r="A188" s="103" t="s">
        <v>1006</v>
      </c>
      <c r="B188" s="1">
        <v>201922964</v>
      </c>
      <c r="C188" s="1" t="s">
        <v>1007</v>
      </c>
      <c r="D188" s="1" t="s">
        <v>1008</v>
      </c>
      <c r="E188" s="1" t="s">
        <v>1009</v>
      </c>
      <c r="F188" s="1" t="s">
        <v>233</v>
      </c>
      <c r="G188" s="1" t="s">
        <v>277</v>
      </c>
      <c r="H188" s="1"/>
      <c r="I188" s="1"/>
      <c r="J188" s="1" t="s">
        <v>278</v>
      </c>
      <c r="K188" s="1">
        <v>2022</v>
      </c>
      <c r="L188" s="1">
        <v>202220</v>
      </c>
      <c r="M188" s="1">
        <v>202220</v>
      </c>
      <c r="N188" s="1" t="s">
        <v>279</v>
      </c>
      <c r="O188" s="1" t="s">
        <v>231</v>
      </c>
      <c r="P188" s="1" t="s">
        <v>477</v>
      </c>
      <c r="Q188" s="1" t="s">
        <v>233</v>
      </c>
      <c r="R188" s="1" t="s">
        <v>277</v>
      </c>
      <c r="S188" s="1" t="s">
        <v>310</v>
      </c>
      <c r="T188" s="105" t="str">
        <f>_xlfn.XLOOKUP(Tabla1[[#This Row],[Universidad]],Conversiones!$B:$B,Conversiones!$C:$C)</f>
        <v>Toulouse Business School</v>
      </c>
      <c r="U188" s="105" t="str">
        <f>_xlfn.XLOOKUP(Tabla1[[#This Row],[Universidad KPIs]],Conversiones!$C:$C,Conversiones!$E:$E)</f>
        <v>Específico</v>
      </c>
      <c r="V188" s="1" t="s">
        <v>57</v>
      </c>
      <c r="W188" s="1" t="s">
        <v>281</v>
      </c>
      <c r="X188" s="87">
        <v>44781</v>
      </c>
      <c r="Y188" s="87">
        <v>44898</v>
      </c>
      <c r="Z188" s="1">
        <v>117</v>
      </c>
    </row>
    <row r="189" spans="1:26">
      <c r="A189" s="102" t="s">
        <v>1010</v>
      </c>
      <c r="B189">
        <v>201822949</v>
      </c>
      <c r="C189" t="s">
        <v>1011</v>
      </c>
      <c r="D189" t="s">
        <v>1012</v>
      </c>
      <c r="E189" t="s">
        <v>1013</v>
      </c>
      <c r="F189" t="s">
        <v>233</v>
      </c>
      <c r="G189" t="s">
        <v>277</v>
      </c>
      <c r="J189" t="s">
        <v>278</v>
      </c>
      <c r="K189">
        <v>2022</v>
      </c>
      <c r="L189">
        <v>202220</v>
      </c>
      <c r="M189">
        <v>202220</v>
      </c>
      <c r="N189" t="s">
        <v>279</v>
      </c>
      <c r="O189" t="s">
        <v>230</v>
      </c>
      <c r="P189" t="s">
        <v>280</v>
      </c>
      <c r="Q189" t="s">
        <v>233</v>
      </c>
      <c r="R189" t="s">
        <v>277</v>
      </c>
      <c r="S189" t="s">
        <v>393</v>
      </c>
      <c r="T189" s="105" t="str">
        <f>_xlfn.XLOOKUP(Tabla1[[#This Row],[Universidad]],Conversiones!$B:$B,Conversiones!$C:$C)</f>
        <v>Frankfurt School of Finance and Management</v>
      </c>
      <c r="U189" s="105" t="str">
        <f>_xlfn.XLOOKUP(Tabla1[[#This Row],[Universidad KPIs]],Conversiones!$C:$C,Conversiones!$E:$E)</f>
        <v>Específico</v>
      </c>
      <c r="V189" t="s">
        <v>76</v>
      </c>
      <c r="W189" t="s">
        <v>281</v>
      </c>
      <c r="X189" s="2">
        <v>44781</v>
      </c>
      <c r="Y189" s="2">
        <v>44898</v>
      </c>
      <c r="Z189">
        <v>117</v>
      </c>
    </row>
    <row r="190" spans="1:26">
      <c r="A190" s="103" t="s">
        <v>1014</v>
      </c>
      <c r="B190" s="1">
        <v>201730257</v>
      </c>
      <c r="C190" s="1" t="s">
        <v>759</v>
      </c>
      <c r="D190" s="1" t="s">
        <v>1015</v>
      </c>
      <c r="E190" s="1" t="s">
        <v>1016</v>
      </c>
      <c r="F190" s="1" t="s">
        <v>233</v>
      </c>
      <c r="G190" s="1" t="s">
        <v>277</v>
      </c>
      <c r="H190" s="1" t="s">
        <v>233</v>
      </c>
      <c r="I190" s="1" t="s">
        <v>277</v>
      </c>
      <c r="J190" s="1" t="s">
        <v>278</v>
      </c>
      <c r="K190" s="1">
        <v>2022</v>
      </c>
      <c r="L190" s="1">
        <v>202210</v>
      </c>
      <c r="M190" s="1">
        <v>202210</v>
      </c>
      <c r="N190" s="1" t="s">
        <v>279</v>
      </c>
      <c r="O190" s="1" t="s">
        <v>230</v>
      </c>
      <c r="P190" s="1" t="s">
        <v>280</v>
      </c>
      <c r="Q190" s="1" t="s">
        <v>233</v>
      </c>
      <c r="R190" s="1" t="s">
        <v>277</v>
      </c>
      <c r="S190" s="1" t="s">
        <v>441</v>
      </c>
      <c r="T190" s="105" t="str">
        <f>_xlfn.XLOOKUP(Tabla1[[#This Row],[Universidad]],Conversiones!$B:$B,Conversiones!$C:$C)</f>
        <v xml:space="preserve">CBS- Copenhagen Business School  </v>
      </c>
      <c r="U190" s="105" t="str">
        <f>_xlfn.XLOOKUP(Tabla1[[#This Row],[Universidad KPIs]],Conversiones!$C:$C,Conversiones!$E:$E)</f>
        <v>Específico</v>
      </c>
      <c r="V190" s="1" t="s">
        <v>63</v>
      </c>
      <c r="W190" s="1" t="s">
        <v>281</v>
      </c>
      <c r="X190" s="87">
        <v>44585</v>
      </c>
      <c r="Y190" s="87">
        <v>44709</v>
      </c>
      <c r="Z190" s="1">
        <v>124</v>
      </c>
    </row>
    <row r="191" spans="1:26">
      <c r="A191" s="102" t="s">
        <v>1017</v>
      </c>
      <c r="B191">
        <v>201814932</v>
      </c>
      <c r="C191" t="s">
        <v>1018</v>
      </c>
      <c r="D191" t="s">
        <v>1019</v>
      </c>
      <c r="E191" t="s">
        <v>1020</v>
      </c>
      <c r="F191" t="s">
        <v>233</v>
      </c>
      <c r="G191" t="s">
        <v>277</v>
      </c>
      <c r="J191" t="s">
        <v>278</v>
      </c>
      <c r="K191">
        <v>2022</v>
      </c>
      <c r="L191">
        <v>202210</v>
      </c>
      <c r="M191">
        <v>202210</v>
      </c>
      <c r="N191" t="s">
        <v>279</v>
      </c>
      <c r="O191" t="s">
        <v>230</v>
      </c>
      <c r="P191" t="s">
        <v>280</v>
      </c>
      <c r="Q191" t="s">
        <v>233</v>
      </c>
      <c r="R191" t="s">
        <v>277</v>
      </c>
      <c r="S191" t="s">
        <v>176</v>
      </c>
      <c r="T191" s="105" t="str">
        <f>_xlfn.XLOOKUP(Tabla1[[#This Row],[Universidad]],Conversiones!$B:$B,Conversiones!$C:$C)</f>
        <v>Université de Bordeaux</v>
      </c>
      <c r="U191" s="105" t="str">
        <f>_xlfn.XLOOKUP(Tabla1[[#This Row],[Universidad KPIs]],Conversiones!$C:$C,Conversiones!$E:$E)</f>
        <v>General</v>
      </c>
      <c r="V191" t="s">
        <v>57</v>
      </c>
      <c r="W191" t="s">
        <v>281</v>
      </c>
      <c r="X191" s="2">
        <v>44585</v>
      </c>
      <c r="Y191" s="2">
        <v>44709</v>
      </c>
      <c r="Z191">
        <v>124</v>
      </c>
    </row>
    <row r="192" spans="1:26">
      <c r="A192" s="103" t="s">
        <v>1021</v>
      </c>
      <c r="B192" s="1">
        <v>201822266</v>
      </c>
      <c r="C192" s="1" t="s">
        <v>1022</v>
      </c>
      <c r="D192" s="1" t="s">
        <v>1023</v>
      </c>
      <c r="E192" s="1" t="s">
        <v>1024</v>
      </c>
      <c r="F192" s="1" t="s">
        <v>233</v>
      </c>
      <c r="G192" s="1" t="s">
        <v>277</v>
      </c>
      <c r="H192" s="1" t="s">
        <v>1025</v>
      </c>
      <c r="I192" s="1" t="s">
        <v>1026</v>
      </c>
      <c r="J192" s="1" t="s">
        <v>278</v>
      </c>
      <c r="K192" s="1">
        <v>2022</v>
      </c>
      <c r="L192" s="1">
        <v>202210</v>
      </c>
      <c r="M192" s="1">
        <v>202210</v>
      </c>
      <c r="N192" s="1" t="s">
        <v>279</v>
      </c>
      <c r="O192" s="1" t="s">
        <v>230</v>
      </c>
      <c r="P192" s="1" t="s">
        <v>280</v>
      </c>
      <c r="Q192" s="1" t="s">
        <v>233</v>
      </c>
      <c r="R192" s="1" t="s">
        <v>277</v>
      </c>
      <c r="S192" s="1" t="s">
        <v>305</v>
      </c>
      <c r="T192" s="105" t="str">
        <f>_xlfn.XLOOKUP(Tabla1[[#This Row],[Universidad]],Conversiones!$B:$B,Conversiones!$C:$C)</f>
        <v>Catolica Lisbon Business &amp; Economics. Universidade Católica Portuguesa</v>
      </c>
      <c r="U192" s="105" t="str">
        <f>_xlfn.XLOOKUP(Tabla1[[#This Row],[Universidad KPIs]],Conversiones!$C:$C,Conversiones!$E:$E)</f>
        <v>Específico</v>
      </c>
      <c r="V192" s="1" t="s">
        <v>61</v>
      </c>
      <c r="W192" s="1" t="s">
        <v>281</v>
      </c>
      <c r="X192" s="87">
        <v>44585</v>
      </c>
      <c r="Y192" s="87">
        <v>44709</v>
      </c>
      <c r="Z192" s="1">
        <v>124</v>
      </c>
    </row>
    <row r="193" spans="1:26">
      <c r="A193" s="102" t="s">
        <v>1027</v>
      </c>
      <c r="B193">
        <v>202027964</v>
      </c>
      <c r="C193" t="s">
        <v>1028</v>
      </c>
      <c r="D193" t="s">
        <v>1029</v>
      </c>
      <c r="E193" t="s">
        <v>1030</v>
      </c>
      <c r="F193" t="s">
        <v>236</v>
      </c>
      <c r="G193" t="s">
        <v>277</v>
      </c>
      <c r="J193" t="s">
        <v>278</v>
      </c>
      <c r="K193">
        <v>2022</v>
      </c>
      <c r="L193">
        <v>202220</v>
      </c>
      <c r="M193">
        <v>202220</v>
      </c>
      <c r="N193" t="s">
        <v>618</v>
      </c>
      <c r="O193" t="s">
        <v>230</v>
      </c>
      <c r="P193" t="s">
        <v>619</v>
      </c>
      <c r="Q193" t="s">
        <v>236</v>
      </c>
      <c r="R193" t="s">
        <v>277</v>
      </c>
      <c r="S193" t="s">
        <v>351</v>
      </c>
      <c r="T193" s="105" t="str">
        <f>_xlfn.XLOOKUP(Tabla1[[#This Row],[Universidad]],Conversiones!$B:$B,Conversiones!$C:$C)</f>
        <v>KLU Kühne Logistics University</v>
      </c>
      <c r="U193" s="105" t="str">
        <f>_xlfn.XLOOKUP(Tabla1[[#This Row],[Universidad KPIs]],Conversiones!$C:$C,Conversiones!$E:$E)</f>
        <v>Específico</v>
      </c>
      <c r="V193" t="s">
        <v>76</v>
      </c>
      <c r="W193" t="s">
        <v>281</v>
      </c>
      <c r="X193" s="2">
        <v>44781</v>
      </c>
      <c r="Y193" s="2">
        <v>44898</v>
      </c>
      <c r="Z193">
        <v>117</v>
      </c>
    </row>
    <row r="194" spans="1:26">
      <c r="A194" s="103" t="s">
        <v>1031</v>
      </c>
      <c r="B194" s="1">
        <v>201820439</v>
      </c>
      <c r="C194" s="1" t="s">
        <v>288</v>
      </c>
      <c r="D194" s="1" t="s">
        <v>1032</v>
      </c>
      <c r="E194" s="1" t="s">
        <v>1033</v>
      </c>
      <c r="F194" s="1" t="s">
        <v>233</v>
      </c>
      <c r="G194" s="1" t="s">
        <v>277</v>
      </c>
      <c r="H194" s="1"/>
      <c r="I194" s="1"/>
      <c r="J194" s="1" t="s">
        <v>278</v>
      </c>
      <c r="K194" s="1">
        <v>2022</v>
      </c>
      <c r="L194" s="1">
        <v>202210</v>
      </c>
      <c r="M194" s="1">
        <v>202210</v>
      </c>
      <c r="N194" s="1" t="s">
        <v>279</v>
      </c>
      <c r="O194" s="1" t="s">
        <v>230</v>
      </c>
      <c r="P194" s="1" t="s">
        <v>280</v>
      </c>
      <c r="Q194" s="1" t="s">
        <v>233</v>
      </c>
      <c r="R194" s="1" t="s">
        <v>277</v>
      </c>
      <c r="S194" s="1" t="s">
        <v>171</v>
      </c>
      <c r="T194" s="105" t="str">
        <f>_xlfn.XLOOKUP(Tabla1[[#This Row],[Universidad]],Conversiones!$B:$B,Conversiones!$C:$C)</f>
        <v>Università degli Studi di Bologna 'Alma Mater Studiorum'</v>
      </c>
      <c r="U194" s="105" t="str">
        <f>_xlfn.XLOOKUP(Tabla1[[#This Row],[Universidad KPIs]],Conversiones!$C:$C,Conversiones!$E:$E)</f>
        <v>General</v>
      </c>
      <c r="V194" s="1" t="s">
        <v>103</v>
      </c>
      <c r="W194" s="1" t="s">
        <v>281</v>
      </c>
      <c r="X194" s="87">
        <v>44585</v>
      </c>
      <c r="Y194" s="87">
        <v>44709</v>
      </c>
      <c r="Z194" s="1">
        <v>124</v>
      </c>
    </row>
    <row r="195" spans="1:26">
      <c r="A195" s="102" t="s">
        <v>1034</v>
      </c>
      <c r="B195">
        <v>202013351</v>
      </c>
      <c r="C195" t="s">
        <v>992</v>
      </c>
      <c r="D195" t="s">
        <v>1035</v>
      </c>
      <c r="E195" t="s">
        <v>1036</v>
      </c>
      <c r="F195" t="s">
        <v>233</v>
      </c>
      <c r="G195" t="s">
        <v>277</v>
      </c>
      <c r="J195" t="s">
        <v>278</v>
      </c>
      <c r="K195">
        <v>2022</v>
      </c>
      <c r="L195">
        <v>202210</v>
      </c>
      <c r="M195">
        <v>202210</v>
      </c>
      <c r="N195" t="s">
        <v>279</v>
      </c>
      <c r="O195" t="s">
        <v>230</v>
      </c>
      <c r="P195" t="s">
        <v>280</v>
      </c>
      <c r="Q195" t="s">
        <v>233</v>
      </c>
      <c r="R195" t="s">
        <v>277</v>
      </c>
      <c r="S195" t="s">
        <v>441</v>
      </c>
      <c r="T195" s="105" t="str">
        <f>_xlfn.XLOOKUP(Tabla1[[#This Row],[Universidad]],Conversiones!$B:$B,Conversiones!$C:$C)</f>
        <v xml:space="preserve">CBS- Copenhagen Business School  </v>
      </c>
      <c r="U195" s="105" t="str">
        <f>_xlfn.XLOOKUP(Tabla1[[#This Row],[Universidad KPIs]],Conversiones!$C:$C,Conversiones!$E:$E)</f>
        <v>Específico</v>
      </c>
      <c r="V195" t="s">
        <v>63</v>
      </c>
      <c r="W195" t="s">
        <v>281</v>
      </c>
      <c r="X195" s="2">
        <v>44585</v>
      </c>
      <c r="Y195" s="2">
        <v>44709</v>
      </c>
      <c r="Z195">
        <v>124</v>
      </c>
    </row>
    <row r="196" spans="1:26">
      <c r="A196" s="103" t="s">
        <v>1037</v>
      </c>
      <c r="B196" s="1">
        <v>201821835</v>
      </c>
      <c r="C196" s="1" t="s">
        <v>759</v>
      </c>
      <c r="D196" s="1" t="s">
        <v>1038</v>
      </c>
      <c r="E196" s="1" t="s">
        <v>1039</v>
      </c>
      <c r="F196" s="1" t="s">
        <v>233</v>
      </c>
      <c r="G196" s="1" t="s">
        <v>277</v>
      </c>
      <c r="H196" s="1"/>
      <c r="I196" s="1"/>
      <c r="J196" s="1" t="s">
        <v>278</v>
      </c>
      <c r="K196" s="1">
        <v>2022</v>
      </c>
      <c r="L196" s="1">
        <v>202210</v>
      </c>
      <c r="M196" s="1">
        <v>202210</v>
      </c>
      <c r="N196" s="1" t="s">
        <v>279</v>
      </c>
      <c r="O196" s="1" t="s">
        <v>230</v>
      </c>
      <c r="P196" s="1" t="s">
        <v>280</v>
      </c>
      <c r="Q196" s="1" t="s">
        <v>233</v>
      </c>
      <c r="R196" s="1" t="s">
        <v>277</v>
      </c>
      <c r="S196" s="1" t="s">
        <v>366</v>
      </c>
      <c r="T196" s="105" t="str">
        <f>_xlfn.XLOOKUP(Tabla1[[#This Row],[Universidad]],Conversiones!$B:$B,Conversiones!$C:$C)</f>
        <v>HEC Montréal</v>
      </c>
      <c r="U196" s="105" t="str">
        <f>_xlfn.XLOOKUP(Tabla1[[#This Row],[Universidad KPIs]],Conversiones!$C:$C,Conversiones!$E:$E)</f>
        <v>Específico</v>
      </c>
      <c r="V196" s="1" t="s">
        <v>74</v>
      </c>
      <c r="W196" s="1" t="s">
        <v>291</v>
      </c>
      <c r="X196" s="87">
        <v>44585</v>
      </c>
      <c r="Y196" s="87">
        <v>44709</v>
      </c>
      <c r="Z196" s="1">
        <v>124</v>
      </c>
    </row>
    <row r="197" spans="1:26">
      <c r="A197" s="102" t="s">
        <v>1040</v>
      </c>
      <c r="B197">
        <v>201923030</v>
      </c>
      <c r="C197" t="s">
        <v>1041</v>
      </c>
      <c r="D197" t="s">
        <v>1042</v>
      </c>
      <c r="E197" t="s">
        <v>1043</v>
      </c>
      <c r="F197" t="s">
        <v>233</v>
      </c>
      <c r="G197" t="s">
        <v>277</v>
      </c>
      <c r="J197" t="s">
        <v>278</v>
      </c>
      <c r="K197">
        <v>2022</v>
      </c>
      <c r="L197">
        <v>202220</v>
      </c>
      <c r="M197">
        <v>202220</v>
      </c>
      <c r="N197" t="s">
        <v>279</v>
      </c>
      <c r="O197" t="s">
        <v>230</v>
      </c>
      <c r="P197" t="s">
        <v>280</v>
      </c>
      <c r="Q197" t="s">
        <v>233</v>
      </c>
      <c r="R197" t="s">
        <v>277</v>
      </c>
      <c r="S197" t="s">
        <v>639</v>
      </c>
      <c r="T197" s="105" t="str">
        <f>_xlfn.XLOOKUP(Tabla1[[#This Row],[Universidad]],Conversiones!$B:$B,Conversiones!$C:$C)</f>
        <v>IE Instituto Empresa</v>
      </c>
      <c r="U197" s="105" t="str">
        <f>_xlfn.XLOOKUP(Tabla1[[#This Row],[Universidad KPIs]],Conversiones!$C:$C,Conversiones!$E:$E)</f>
        <v>Específico</v>
      </c>
      <c r="V197" t="s">
        <v>69</v>
      </c>
      <c r="W197" t="s">
        <v>281</v>
      </c>
      <c r="X197" s="2">
        <v>44781</v>
      </c>
      <c r="Y197" s="2">
        <v>44898</v>
      </c>
      <c r="Z197">
        <v>117</v>
      </c>
    </row>
    <row r="198" spans="1:26">
      <c r="A198" s="103" t="s">
        <v>1044</v>
      </c>
      <c r="B198" s="1">
        <v>201812318</v>
      </c>
      <c r="C198" s="1" t="s">
        <v>1045</v>
      </c>
      <c r="D198" s="1" t="s">
        <v>1046</v>
      </c>
      <c r="E198" s="1" t="s">
        <v>1047</v>
      </c>
      <c r="F198" s="1" t="s">
        <v>234</v>
      </c>
      <c r="G198" s="1" t="s">
        <v>277</v>
      </c>
      <c r="H198" s="1" t="s">
        <v>233</v>
      </c>
      <c r="I198" s="1" t="s">
        <v>277</v>
      </c>
      <c r="J198" s="1" t="s">
        <v>278</v>
      </c>
      <c r="K198" s="1">
        <v>2022</v>
      </c>
      <c r="L198" s="1">
        <v>202220</v>
      </c>
      <c r="M198" s="1">
        <v>202220</v>
      </c>
      <c r="N198" s="1" t="s">
        <v>279</v>
      </c>
      <c r="O198" s="1" t="s">
        <v>230</v>
      </c>
      <c r="P198" s="1" t="s">
        <v>280</v>
      </c>
      <c r="Q198" s="1" t="s">
        <v>233</v>
      </c>
      <c r="R198" s="1" t="s">
        <v>277</v>
      </c>
      <c r="S198" s="1" t="s">
        <v>351</v>
      </c>
      <c r="T198" s="105" t="str">
        <f>_xlfn.XLOOKUP(Tabla1[[#This Row],[Universidad]],Conversiones!$B:$B,Conversiones!$C:$C)</f>
        <v>KLU Kühne Logistics University</v>
      </c>
      <c r="U198" s="105" t="str">
        <f>_xlfn.XLOOKUP(Tabla1[[#This Row],[Universidad KPIs]],Conversiones!$C:$C,Conversiones!$E:$E)</f>
        <v>Específico</v>
      </c>
      <c r="V198" s="1" t="s">
        <v>76</v>
      </c>
      <c r="W198" s="1" t="s">
        <v>281</v>
      </c>
      <c r="X198" s="87">
        <v>44781</v>
      </c>
      <c r="Y198" s="87">
        <v>44898</v>
      </c>
      <c r="Z198" s="1">
        <v>117</v>
      </c>
    </row>
    <row r="199" spans="1:26">
      <c r="A199" s="102" t="s">
        <v>1048</v>
      </c>
      <c r="B199">
        <v>202013487</v>
      </c>
      <c r="C199" t="s">
        <v>1049</v>
      </c>
      <c r="D199" t="s">
        <v>1050</v>
      </c>
      <c r="E199" t="s">
        <v>1051</v>
      </c>
      <c r="F199" t="s">
        <v>233</v>
      </c>
      <c r="G199" t="s">
        <v>277</v>
      </c>
      <c r="J199" t="s">
        <v>278</v>
      </c>
      <c r="K199">
        <v>2022</v>
      </c>
      <c r="L199">
        <v>202220</v>
      </c>
      <c r="M199">
        <v>202220</v>
      </c>
      <c r="N199" t="s">
        <v>279</v>
      </c>
      <c r="O199" t="s">
        <v>230</v>
      </c>
      <c r="P199" t="s">
        <v>280</v>
      </c>
      <c r="Q199" t="s">
        <v>233</v>
      </c>
      <c r="R199" t="s">
        <v>277</v>
      </c>
      <c r="S199" t="s">
        <v>405</v>
      </c>
      <c r="T199" s="105" t="str">
        <f>_xlfn.XLOOKUP(Tabla1[[#This Row],[Universidad]],Conversiones!$B:$B,Conversiones!$C:$C)</f>
        <v>University of Ljubljana</v>
      </c>
      <c r="U199" s="105" t="str">
        <f>_xlfn.XLOOKUP(Tabla1[[#This Row],[Universidad KPIs]],Conversiones!$C:$C,Conversiones!$E:$E)</f>
        <v>Específico</v>
      </c>
      <c r="V199" t="s">
        <v>118</v>
      </c>
      <c r="W199" t="s">
        <v>281</v>
      </c>
      <c r="X199" s="2">
        <v>44781</v>
      </c>
      <c r="Y199" s="2">
        <v>44898</v>
      </c>
      <c r="Z199">
        <v>117</v>
      </c>
    </row>
    <row r="200" spans="1:26">
      <c r="A200" s="103" t="s">
        <v>1052</v>
      </c>
      <c r="B200" s="1">
        <v>201815223</v>
      </c>
      <c r="C200" s="1" t="s">
        <v>326</v>
      </c>
      <c r="D200" s="1" t="s">
        <v>1053</v>
      </c>
      <c r="E200" s="1" t="s">
        <v>1054</v>
      </c>
      <c r="F200" s="1" t="s">
        <v>233</v>
      </c>
      <c r="G200" s="1" t="s">
        <v>277</v>
      </c>
      <c r="H200" s="1"/>
      <c r="I200" s="1"/>
      <c r="J200" s="1" t="s">
        <v>278</v>
      </c>
      <c r="K200" s="1">
        <v>2022</v>
      </c>
      <c r="L200" s="1">
        <v>202219</v>
      </c>
      <c r="M200" s="1">
        <v>202219</v>
      </c>
      <c r="N200" s="1" t="s">
        <v>279</v>
      </c>
      <c r="O200" s="1" t="s">
        <v>584</v>
      </c>
      <c r="P200" s="1" t="s">
        <v>468</v>
      </c>
      <c r="Q200" s="1" t="s">
        <v>233</v>
      </c>
      <c r="R200" s="1" t="s">
        <v>277</v>
      </c>
      <c r="S200" s="1" t="s">
        <v>197</v>
      </c>
      <c r="T200" s="105" t="str">
        <f>_xlfn.XLOOKUP(Tabla1[[#This Row],[Universidad]],Conversiones!$B:$B,Conversiones!$C:$C)</f>
        <v>Cornell University</v>
      </c>
      <c r="U200" s="105" t="str">
        <f>_xlfn.XLOOKUP(Tabla1[[#This Row],[Universidad KPIs]],Conversiones!$C:$C,Conversiones!$E:$E)</f>
        <v>General</v>
      </c>
      <c r="V200" s="1" t="s">
        <v>51</v>
      </c>
      <c r="W200" s="1" t="s">
        <v>291</v>
      </c>
      <c r="X200" s="87">
        <v>44718</v>
      </c>
      <c r="Y200" s="87">
        <v>44772</v>
      </c>
      <c r="Z200" s="1">
        <v>54</v>
      </c>
    </row>
    <row r="201" spans="1:26">
      <c r="A201" s="102" t="s">
        <v>1055</v>
      </c>
      <c r="B201">
        <v>202013553</v>
      </c>
      <c r="C201" t="s">
        <v>317</v>
      </c>
      <c r="D201" t="s">
        <v>1056</v>
      </c>
      <c r="E201" t="s">
        <v>1057</v>
      </c>
      <c r="F201" t="s">
        <v>233</v>
      </c>
      <c r="G201" t="s">
        <v>277</v>
      </c>
      <c r="J201" t="s">
        <v>278</v>
      </c>
      <c r="K201">
        <v>2022</v>
      </c>
      <c r="L201">
        <v>202220</v>
      </c>
      <c r="M201">
        <v>202220</v>
      </c>
      <c r="N201" t="s">
        <v>279</v>
      </c>
      <c r="O201" t="s">
        <v>230</v>
      </c>
      <c r="P201" t="s">
        <v>280</v>
      </c>
      <c r="Q201" t="s">
        <v>233</v>
      </c>
      <c r="R201" t="s">
        <v>277</v>
      </c>
      <c r="S201" t="s">
        <v>54</v>
      </c>
      <c r="T201" s="105" t="str">
        <f>_xlfn.XLOOKUP(Tabla1[[#This Row],[Universidad]],Conversiones!$B:$B,Conversiones!$C:$C)</f>
        <v>Aston University</v>
      </c>
      <c r="U201" s="105" t="str">
        <f>_xlfn.XLOOKUP(Tabla1[[#This Row],[Universidad KPIs]],Conversiones!$C:$C,Conversiones!$E:$E)</f>
        <v>Específico</v>
      </c>
      <c r="V201" t="s">
        <v>55</v>
      </c>
      <c r="W201" t="s">
        <v>281</v>
      </c>
      <c r="X201" s="2">
        <v>44781</v>
      </c>
      <c r="Y201" s="2">
        <v>44898</v>
      </c>
      <c r="Z201">
        <v>117</v>
      </c>
    </row>
    <row r="202" spans="1:26">
      <c r="A202" s="103" t="s">
        <v>1058</v>
      </c>
      <c r="B202" s="1">
        <v>201821914</v>
      </c>
      <c r="C202" s="1" t="s">
        <v>1059</v>
      </c>
      <c r="D202" s="1" t="s">
        <v>1060</v>
      </c>
      <c r="E202" s="1" t="s">
        <v>1061</v>
      </c>
      <c r="F202" s="1" t="s">
        <v>233</v>
      </c>
      <c r="G202" s="1" t="s">
        <v>277</v>
      </c>
      <c r="H202" s="1"/>
      <c r="I202" s="1"/>
      <c r="J202" s="1" t="s">
        <v>278</v>
      </c>
      <c r="K202" s="1">
        <v>2022</v>
      </c>
      <c r="L202" s="1">
        <v>202210</v>
      </c>
      <c r="M202" s="1">
        <v>202210</v>
      </c>
      <c r="N202" s="1" t="s">
        <v>279</v>
      </c>
      <c r="O202" s="1" t="s">
        <v>230</v>
      </c>
      <c r="P202" s="1" t="s">
        <v>280</v>
      </c>
      <c r="Q202" s="1" t="s">
        <v>233</v>
      </c>
      <c r="R202" s="1" t="s">
        <v>277</v>
      </c>
      <c r="S202" s="1" t="s">
        <v>983</v>
      </c>
      <c r="T202" s="105" t="str">
        <f>_xlfn.XLOOKUP(Tabla1[[#This Row],[Universidad]],Conversiones!$B:$B,Conversiones!$C:$C)</f>
        <v>Queens University School of Business</v>
      </c>
      <c r="U202" s="105" t="str">
        <f>_xlfn.XLOOKUP(Tabla1[[#This Row],[Universidad KPIs]],Conversiones!$C:$C,Conversiones!$E:$E)</f>
        <v>Específico</v>
      </c>
      <c r="V202" s="1" t="s">
        <v>74</v>
      </c>
      <c r="W202" s="1" t="s">
        <v>291</v>
      </c>
      <c r="X202" s="87">
        <v>44585</v>
      </c>
      <c r="Y202" s="87">
        <v>44709</v>
      </c>
      <c r="Z202" s="1">
        <v>124</v>
      </c>
    </row>
    <row r="203" spans="1:26">
      <c r="A203" s="102" t="s">
        <v>1062</v>
      </c>
      <c r="B203">
        <v>201921925</v>
      </c>
      <c r="C203" t="s">
        <v>1063</v>
      </c>
      <c r="D203" t="s">
        <v>1064</v>
      </c>
      <c r="E203" t="s">
        <v>1065</v>
      </c>
      <c r="F203" t="s">
        <v>233</v>
      </c>
      <c r="G203" t="s">
        <v>277</v>
      </c>
      <c r="J203" t="s">
        <v>278</v>
      </c>
      <c r="K203">
        <v>2022</v>
      </c>
      <c r="L203">
        <v>202210</v>
      </c>
      <c r="M203">
        <v>202210</v>
      </c>
      <c r="N203" t="s">
        <v>279</v>
      </c>
      <c r="O203" t="s">
        <v>230</v>
      </c>
      <c r="P203" t="s">
        <v>280</v>
      </c>
      <c r="Q203" t="s">
        <v>233</v>
      </c>
      <c r="R203" t="s">
        <v>277</v>
      </c>
      <c r="S203" t="s">
        <v>66</v>
      </c>
      <c r="T203" s="105" t="str">
        <f>_xlfn.XLOOKUP(Tabla1[[#This Row],[Universidad]],Conversiones!$B:$B,Conversiones!$C:$C)</f>
        <v>EDHEC Business School</v>
      </c>
      <c r="U203" s="105" t="str">
        <f>_xlfn.XLOOKUP(Tabla1[[#This Row],[Universidad KPIs]],Conversiones!$C:$C,Conversiones!$E:$E)</f>
        <v>Específico</v>
      </c>
      <c r="V203" t="s">
        <v>57</v>
      </c>
      <c r="W203" t="s">
        <v>281</v>
      </c>
      <c r="X203" s="2">
        <v>44585</v>
      </c>
      <c r="Y203" s="2">
        <v>44709</v>
      </c>
      <c r="Z203">
        <v>124</v>
      </c>
    </row>
    <row r="204" spans="1:26">
      <c r="A204" s="103" t="s">
        <v>1066</v>
      </c>
      <c r="B204" s="1">
        <v>201715713</v>
      </c>
      <c r="C204" s="1" t="s">
        <v>358</v>
      </c>
      <c r="D204" s="1" t="s">
        <v>1067</v>
      </c>
      <c r="E204" s="1" t="s">
        <v>1068</v>
      </c>
      <c r="F204" s="1" t="s">
        <v>1069</v>
      </c>
      <c r="G204" s="1" t="s">
        <v>538</v>
      </c>
      <c r="H204" s="1" t="s">
        <v>233</v>
      </c>
      <c r="I204" s="1" t="s">
        <v>277</v>
      </c>
      <c r="J204" s="1" t="s">
        <v>278</v>
      </c>
      <c r="K204" s="1">
        <v>2022</v>
      </c>
      <c r="L204" s="1">
        <v>202210</v>
      </c>
      <c r="M204" s="1">
        <v>202210</v>
      </c>
      <c r="N204" s="1" t="s">
        <v>279</v>
      </c>
      <c r="O204" s="1" t="s">
        <v>230</v>
      </c>
      <c r="P204" s="1" t="s">
        <v>280</v>
      </c>
      <c r="Q204" s="1" t="s">
        <v>233</v>
      </c>
      <c r="R204" s="1" t="s">
        <v>277</v>
      </c>
      <c r="S204" s="1" t="s">
        <v>329</v>
      </c>
      <c r="T204" s="105" t="str">
        <f>_xlfn.XLOOKUP(Tabla1[[#This Row],[Universidad]],Conversiones!$B:$B,Conversiones!$C:$C)</f>
        <v>ESSEC</v>
      </c>
      <c r="U204" s="105" t="str">
        <f>_xlfn.XLOOKUP(Tabla1[[#This Row],[Universidad KPIs]],Conversiones!$C:$C,Conversiones!$E:$E)</f>
        <v>Específico</v>
      </c>
      <c r="V204" s="1" t="s">
        <v>57</v>
      </c>
      <c r="W204" s="1" t="s">
        <v>281</v>
      </c>
      <c r="X204" s="87">
        <v>44585</v>
      </c>
      <c r="Y204" s="87">
        <v>44709</v>
      </c>
      <c r="Z204" s="1">
        <v>124</v>
      </c>
    </row>
    <row r="205" spans="1:26">
      <c r="A205" s="102" t="s">
        <v>1070</v>
      </c>
      <c r="B205">
        <v>201821945</v>
      </c>
      <c r="C205" t="s">
        <v>1071</v>
      </c>
      <c r="D205" t="s">
        <v>1072</v>
      </c>
      <c r="E205" t="s">
        <v>1073</v>
      </c>
      <c r="F205" t="s">
        <v>233</v>
      </c>
      <c r="G205" t="s">
        <v>277</v>
      </c>
      <c r="J205" t="s">
        <v>278</v>
      </c>
      <c r="K205">
        <v>2022</v>
      </c>
      <c r="L205">
        <v>202220</v>
      </c>
      <c r="M205">
        <v>202220</v>
      </c>
      <c r="N205" t="s">
        <v>279</v>
      </c>
      <c r="O205" t="s">
        <v>230</v>
      </c>
      <c r="P205" t="s">
        <v>280</v>
      </c>
      <c r="Q205" t="s">
        <v>233</v>
      </c>
      <c r="R205" t="s">
        <v>277</v>
      </c>
      <c r="S205" t="s">
        <v>305</v>
      </c>
      <c r="T205" s="105" t="str">
        <f>_xlfn.XLOOKUP(Tabla1[[#This Row],[Universidad]],Conversiones!$B:$B,Conversiones!$C:$C)</f>
        <v>Catolica Lisbon Business &amp; Economics. Universidade Católica Portuguesa</v>
      </c>
      <c r="U205" s="105" t="str">
        <f>_xlfn.XLOOKUP(Tabla1[[#This Row],[Universidad KPIs]],Conversiones!$C:$C,Conversiones!$E:$E)</f>
        <v>Específico</v>
      </c>
      <c r="V205" t="s">
        <v>61</v>
      </c>
      <c r="W205" t="s">
        <v>281</v>
      </c>
      <c r="X205" s="2">
        <v>44781</v>
      </c>
      <c r="Y205" s="2">
        <v>44898</v>
      </c>
      <c r="Z205">
        <v>117</v>
      </c>
    </row>
    <row r="206" spans="1:26">
      <c r="A206" s="103" t="s">
        <v>1074</v>
      </c>
      <c r="B206" s="1">
        <v>201729366</v>
      </c>
      <c r="C206" s="1" t="s">
        <v>1075</v>
      </c>
      <c r="D206" s="1" t="s">
        <v>1076</v>
      </c>
      <c r="E206" s="1" t="s">
        <v>1077</v>
      </c>
      <c r="F206" s="1" t="s">
        <v>233</v>
      </c>
      <c r="G206" s="1" t="s">
        <v>277</v>
      </c>
      <c r="H206" s="1"/>
      <c r="I206" s="1"/>
      <c r="J206" s="1" t="s">
        <v>278</v>
      </c>
      <c r="K206" s="1">
        <v>2022</v>
      </c>
      <c r="L206" s="1">
        <v>202210</v>
      </c>
      <c r="M206" s="1">
        <v>202120</v>
      </c>
      <c r="N206" s="1" t="s">
        <v>279</v>
      </c>
      <c r="O206" s="1" t="s">
        <v>230</v>
      </c>
      <c r="P206" s="1" t="s">
        <v>280</v>
      </c>
      <c r="Q206" s="1" t="s">
        <v>233</v>
      </c>
      <c r="R206" s="1" t="s">
        <v>277</v>
      </c>
      <c r="S206" s="1" t="s">
        <v>286</v>
      </c>
      <c r="T206" s="105" t="str">
        <f>_xlfn.XLOOKUP(Tabla1[[#This Row],[Universidad]],Conversiones!$B:$B,Conversiones!$C:$C)</f>
        <v>ESC Rouen (NEOMA)</v>
      </c>
      <c r="U206" s="105" t="str">
        <f>_xlfn.XLOOKUP(Tabla1[[#This Row],[Universidad KPIs]],Conversiones!$C:$C,Conversiones!$E:$E)</f>
        <v>Específico</v>
      </c>
      <c r="V206" s="1" t="s">
        <v>57</v>
      </c>
      <c r="W206" s="1" t="s">
        <v>281</v>
      </c>
      <c r="X206" s="87">
        <v>44585</v>
      </c>
      <c r="Y206" s="87">
        <v>44709</v>
      </c>
      <c r="Z206" s="1">
        <v>124</v>
      </c>
    </row>
    <row r="207" spans="1:26">
      <c r="A207" s="102" t="s">
        <v>1078</v>
      </c>
      <c r="B207">
        <v>201923195</v>
      </c>
      <c r="C207" t="s">
        <v>1079</v>
      </c>
      <c r="D207" t="s">
        <v>1080</v>
      </c>
      <c r="E207" t="s">
        <v>1081</v>
      </c>
      <c r="F207" t="s">
        <v>233</v>
      </c>
      <c r="G207" t="s">
        <v>277</v>
      </c>
      <c r="J207" t="s">
        <v>278</v>
      </c>
      <c r="K207">
        <v>2022</v>
      </c>
      <c r="L207">
        <v>202210</v>
      </c>
      <c r="M207">
        <v>202210</v>
      </c>
      <c r="N207" t="s">
        <v>279</v>
      </c>
      <c r="O207" t="s">
        <v>230</v>
      </c>
      <c r="P207" t="s">
        <v>280</v>
      </c>
      <c r="Q207" t="s">
        <v>233</v>
      </c>
      <c r="R207" t="s">
        <v>277</v>
      </c>
      <c r="S207" t="s">
        <v>171</v>
      </c>
      <c r="T207" s="105" t="str">
        <f>_xlfn.XLOOKUP(Tabla1[[#This Row],[Universidad]],Conversiones!$B:$B,Conversiones!$C:$C)</f>
        <v>Università degli Studi di Bologna 'Alma Mater Studiorum'</v>
      </c>
      <c r="U207" s="105" t="str">
        <f>_xlfn.XLOOKUP(Tabla1[[#This Row],[Universidad KPIs]],Conversiones!$C:$C,Conversiones!$E:$E)</f>
        <v>General</v>
      </c>
      <c r="V207" t="s">
        <v>103</v>
      </c>
      <c r="W207" t="s">
        <v>281</v>
      </c>
      <c r="X207" s="2">
        <v>44585</v>
      </c>
      <c r="Y207" s="2">
        <v>44709</v>
      </c>
      <c r="Z207">
        <v>124</v>
      </c>
    </row>
    <row r="208" spans="1:26">
      <c r="A208" s="103" t="s">
        <v>1082</v>
      </c>
      <c r="B208" s="1">
        <v>201731049</v>
      </c>
      <c r="C208" s="1" t="s">
        <v>1083</v>
      </c>
      <c r="D208" s="1" t="s">
        <v>1084</v>
      </c>
      <c r="E208" s="1" t="s">
        <v>1085</v>
      </c>
      <c r="F208" s="1" t="s">
        <v>233</v>
      </c>
      <c r="G208" s="1" t="s">
        <v>277</v>
      </c>
      <c r="H208" s="1"/>
      <c r="I208" s="1"/>
      <c r="J208" s="1" t="s">
        <v>278</v>
      </c>
      <c r="K208" s="1">
        <v>2022</v>
      </c>
      <c r="L208" s="1">
        <v>202220</v>
      </c>
      <c r="M208" s="1">
        <v>202220</v>
      </c>
      <c r="N208" s="1" t="s">
        <v>279</v>
      </c>
      <c r="O208" s="1" t="s">
        <v>230</v>
      </c>
      <c r="P208" s="1" t="s">
        <v>280</v>
      </c>
      <c r="Q208" s="1" t="s">
        <v>233</v>
      </c>
      <c r="R208" s="1" t="s">
        <v>277</v>
      </c>
      <c r="S208" s="1" t="s">
        <v>639</v>
      </c>
      <c r="T208" s="105" t="str">
        <f>_xlfn.XLOOKUP(Tabla1[[#This Row],[Universidad]],Conversiones!$B:$B,Conversiones!$C:$C)</f>
        <v>IE Instituto Empresa</v>
      </c>
      <c r="U208" s="105" t="str">
        <f>_xlfn.XLOOKUP(Tabla1[[#This Row],[Universidad KPIs]],Conversiones!$C:$C,Conversiones!$E:$E)</f>
        <v>Específico</v>
      </c>
      <c r="V208" s="1" t="s">
        <v>69</v>
      </c>
      <c r="W208" s="1" t="s">
        <v>281</v>
      </c>
      <c r="X208" s="87">
        <v>44781</v>
      </c>
      <c r="Y208" s="87">
        <v>44898</v>
      </c>
      <c r="Z208" s="1">
        <v>117</v>
      </c>
    </row>
    <row r="209" spans="1:26">
      <c r="A209" s="102" t="s">
        <v>1086</v>
      </c>
      <c r="B209">
        <v>201914560</v>
      </c>
      <c r="C209" t="s">
        <v>698</v>
      </c>
      <c r="D209" t="s">
        <v>1087</v>
      </c>
      <c r="E209" t="s">
        <v>1088</v>
      </c>
      <c r="F209" t="s">
        <v>233</v>
      </c>
      <c r="G209" t="s">
        <v>277</v>
      </c>
      <c r="H209" t="s">
        <v>543</v>
      </c>
      <c r="I209" t="s">
        <v>544</v>
      </c>
      <c r="J209" t="s">
        <v>278</v>
      </c>
      <c r="K209">
        <v>2022</v>
      </c>
      <c r="L209">
        <v>202220</v>
      </c>
      <c r="M209">
        <v>202220</v>
      </c>
      <c r="N209" t="s">
        <v>279</v>
      </c>
      <c r="O209" t="s">
        <v>230</v>
      </c>
      <c r="P209" t="s">
        <v>280</v>
      </c>
      <c r="Q209" t="s">
        <v>233</v>
      </c>
      <c r="R209" t="s">
        <v>277</v>
      </c>
      <c r="S209" t="s">
        <v>414</v>
      </c>
      <c r="T209" s="105" t="str">
        <f>_xlfn.XLOOKUP(Tabla1[[#This Row],[Universidad]],Conversiones!$B:$B,Conversiones!$C:$C)</f>
        <v>Faculté des Sciences de l'Administration. FSA Laval</v>
      </c>
      <c r="U209" s="105" t="str">
        <f>_xlfn.XLOOKUP(Tabla1[[#This Row],[Universidad KPIs]],Conversiones!$C:$C,Conversiones!$E:$E)</f>
        <v>Específico</v>
      </c>
      <c r="V209" t="s">
        <v>74</v>
      </c>
      <c r="W209" t="s">
        <v>291</v>
      </c>
      <c r="X209" s="2">
        <v>44781</v>
      </c>
      <c r="Y209" s="2">
        <v>44898</v>
      </c>
      <c r="Z209">
        <v>117</v>
      </c>
    </row>
    <row r="210" spans="1:26">
      <c r="A210" s="103" t="s">
        <v>1089</v>
      </c>
      <c r="B210" s="1">
        <v>201823029</v>
      </c>
      <c r="C210" s="1" t="s">
        <v>298</v>
      </c>
      <c r="D210" s="1" t="s">
        <v>1090</v>
      </c>
      <c r="E210" s="1" t="s">
        <v>1091</v>
      </c>
      <c r="F210" s="1" t="s">
        <v>233</v>
      </c>
      <c r="G210" s="1" t="s">
        <v>277</v>
      </c>
      <c r="H210" s="1" t="s">
        <v>491</v>
      </c>
      <c r="I210" s="1" t="s">
        <v>492</v>
      </c>
      <c r="J210" s="1" t="s">
        <v>278</v>
      </c>
      <c r="K210" s="1">
        <v>2022</v>
      </c>
      <c r="L210" s="1">
        <v>202220</v>
      </c>
      <c r="M210" s="1">
        <v>202220</v>
      </c>
      <c r="N210" s="1" t="s">
        <v>279</v>
      </c>
      <c r="O210" s="1" t="s">
        <v>230</v>
      </c>
      <c r="P210" s="1" t="s">
        <v>280</v>
      </c>
      <c r="Q210" s="1" t="s">
        <v>233</v>
      </c>
      <c r="R210" s="1" t="s">
        <v>277</v>
      </c>
      <c r="S210" s="1" t="s">
        <v>310</v>
      </c>
      <c r="T210" s="105" t="str">
        <f>_xlfn.XLOOKUP(Tabla1[[#This Row],[Universidad]],Conversiones!$B:$B,Conversiones!$C:$C)</f>
        <v>Toulouse Business School</v>
      </c>
      <c r="U210" s="105" t="str">
        <f>_xlfn.XLOOKUP(Tabla1[[#This Row],[Universidad KPIs]],Conversiones!$C:$C,Conversiones!$E:$E)</f>
        <v>Específico</v>
      </c>
      <c r="V210" s="1" t="s">
        <v>57</v>
      </c>
      <c r="W210" s="1" t="s">
        <v>281</v>
      </c>
      <c r="X210" s="87">
        <v>44781</v>
      </c>
      <c r="Y210" s="87">
        <v>44898</v>
      </c>
      <c r="Z210" s="1">
        <v>117</v>
      </c>
    </row>
    <row r="211" spans="1:26">
      <c r="A211" s="102" t="s">
        <v>1092</v>
      </c>
      <c r="B211">
        <v>201822007</v>
      </c>
      <c r="C211" t="s">
        <v>358</v>
      </c>
      <c r="D211" t="s">
        <v>1093</v>
      </c>
      <c r="E211" t="s">
        <v>1094</v>
      </c>
      <c r="F211" t="s">
        <v>233</v>
      </c>
      <c r="G211" t="s">
        <v>277</v>
      </c>
      <c r="H211" t="s">
        <v>491</v>
      </c>
      <c r="I211" t="s">
        <v>492</v>
      </c>
      <c r="J211" t="s">
        <v>278</v>
      </c>
      <c r="K211">
        <v>2022</v>
      </c>
      <c r="L211">
        <v>202210</v>
      </c>
      <c r="M211">
        <v>202210</v>
      </c>
      <c r="N211" t="s">
        <v>279</v>
      </c>
      <c r="O211" t="s">
        <v>230</v>
      </c>
      <c r="P211" t="s">
        <v>280</v>
      </c>
      <c r="Q211" t="s">
        <v>233</v>
      </c>
      <c r="R211" t="s">
        <v>277</v>
      </c>
      <c r="S211" t="s">
        <v>94</v>
      </c>
      <c r="T211" s="105" t="str">
        <f>_xlfn.XLOOKUP(Tabla1[[#This Row],[Universidad]],Conversiones!$B:$B,Conversiones!$C:$C)</f>
        <v>Maastricht University</v>
      </c>
      <c r="U211" s="105" t="str">
        <f>_xlfn.XLOOKUP(Tabla1[[#This Row],[Universidad KPIs]],Conversiones!$C:$C,Conversiones!$E:$E)</f>
        <v>Específico</v>
      </c>
      <c r="V211" t="s">
        <v>95</v>
      </c>
      <c r="W211" t="s">
        <v>281</v>
      </c>
      <c r="X211" s="2">
        <v>44585</v>
      </c>
      <c r="Y211" s="2">
        <v>44709</v>
      </c>
      <c r="Z211">
        <v>124</v>
      </c>
    </row>
    <row r="212" spans="1:26">
      <c r="A212" s="103" t="s">
        <v>1095</v>
      </c>
      <c r="B212" s="1">
        <v>201924010</v>
      </c>
      <c r="C212" s="1" t="s">
        <v>1096</v>
      </c>
      <c r="D212" s="1" t="s">
        <v>1097</v>
      </c>
      <c r="E212" s="1" t="s">
        <v>1098</v>
      </c>
      <c r="F212" s="1" t="s">
        <v>233</v>
      </c>
      <c r="G212" s="1" t="s">
        <v>277</v>
      </c>
      <c r="H212" s="1"/>
      <c r="I212" s="1"/>
      <c r="J212" s="1" t="s">
        <v>278</v>
      </c>
      <c r="K212" s="1">
        <v>2022</v>
      </c>
      <c r="L212" s="1">
        <v>202220</v>
      </c>
      <c r="M212" s="1">
        <v>202220</v>
      </c>
      <c r="N212" s="1" t="s">
        <v>279</v>
      </c>
      <c r="O212" s="1" t="s">
        <v>231</v>
      </c>
      <c r="P212" s="1" t="s">
        <v>477</v>
      </c>
      <c r="Q212" s="1" t="s">
        <v>233</v>
      </c>
      <c r="R212" s="1" t="s">
        <v>277</v>
      </c>
      <c r="S212" s="1" t="s">
        <v>769</v>
      </c>
      <c r="T212" s="105" t="str">
        <f>_xlfn.XLOOKUP(Tabla1[[#This Row],[Universidad]],Conversiones!$B:$B,Conversiones!$C:$C)</f>
        <v>Universidad de Tilburg</v>
      </c>
      <c r="U212" s="105" t="str">
        <f>_xlfn.XLOOKUP(Tabla1[[#This Row],[Universidad KPIs]],Conversiones!$C:$C,Conversiones!$E:$E)</f>
        <v>Específico</v>
      </c>
      <c r="V212" s="1" t="s">
        <v>95</v>
      </c>
      <c r="W212" s="1" t="s">
        <v>281</v>
      </c>
      <c r="X212" s="87">
        <v>44781</v>
      </c>
      <c r="Y212" s="87">
        <v>44898</v>
      </c>
      <c r="Z212" s="1">
        <v>117</v>
      </c>
    </row>
    <row r="213" spans="1:26">
      <c r="A213" s="102" t="s">
        <v>1099</v>
      </c>
      <c r="B213">
        <v>201730540</v>
      </c>
      <c r="C213" t="s">
        <v>1100</v>
      </c>
      <c r="D213" t="s">
        <v>1101</v>
      </c>
      <c r="E213" t="s">
        <v>1102</v>
      </c>
      <c r="F213" t="s">
        <v>233</v>
      </c>
      <c r="G213" t="s">
        <v>277</v>
      </c>
      <c r="H213" t="s">
        <v>810</v>
      </c>
      <c r="I213" t="s">
        <v>811</v>
      </c>
      <c r="J213" t="s">
        <v>278</v>
      </c>
      <c r="K213">
        <v>2022</v>
      </c>
      <c r="L213">
        <v>202220</v>
      </c>
      <c r="M213">
        <v>202220</v>
      </c>
      <c r="N213" t="s">
        <v>279</v>
      </c>
      <c r="O213" t="s">
        <v>230</v>
      </c>
      <c r="P213" t="s">
        <v>280</v>
      </c>
      <c r="Q213" t="s">
        <v>233</v>
      </c>
      <c r="R213" t="s">
        <v>277</v>
      </c>
      <c r="S213" t="s">
        <v>94</v>
      </c>
      <c r="T213" s="105" t="str">
        <f>_xlfn.XLOOKUP(Tabla1[[#This Row],[Universidad]],Conversiones!$B:$B,Conversiones!$C:$C)</f>
        <v>Maastricht University</v>
      </c>
      <c r="U213" s="105" t="str">
        <f>_xlfn.XLOOKUP(Tabla1[[#This Row],[Universidad KPIs]],Conversiones!$C:$C,Conversiones!$E:$E)</f>
        <v>Específico</v>
      </c>
      <c r="V213" t="s">
        <v>95</v>
      </c>
      <c r="W213" t="s">
        <v>281</v>
      </c>
      <c r="X213" s="2">
        <v>44781</v>
      </c>
      <c r="Y213" s="2">
        <v>44898</v>
      </c>
      <c r="Z213">
        <v>117</v>
      </c>
    </row>
    <row r="214" spans="1:26">
      <c r="A214" s="103" t="s">
        <v>1103</v>
      </c>
      <c r="B214" s="1">
        <v>201815531</v>
      </c>
      <c r="C214" s="1" t="s">
        <v>1104</v>
      </c>
      <c r="D214" s="1" t="s">
        <v>1105</v>
      </c>
      <c r="E214" s="1" t="s">
        <v>1106</v>
      </c>
      <c r="F214" s="1" t="s">
        <v>233</v>
      </c>
      <c r="G214" s="1" t="s">
        <v>277</v>
      </c>
      <c r="H214" s="1"/>
      <c r="I214" s="1"/>
      <c r="J214" s="1" t="s">
        <v>278</v>
      </c>
      <c r="K214" s="1">
        <v>2022</v>
      </c>
      <c r="L214" s="1">
        <v>202210</v>
      </c>
      <c r="M214" s="1">
        <v>202120</v>
      </c>
      <c r="N214" s="1" t="s">
        <v>279</v>
      </c>
      <c r="O214" s="1" t="s">
        <v>230</v>
      </c>
      <c r="P214" s="1" t="s">
        <v>280</v>
      </c>
      <c r="Q214" s="1" t="s">
        <v>233</v>
      </c>
      <c r="R214" s="1" t="s">
        <v>277</v>
      </c>
      <c r="S214" s="1" t="s">
        <v>812</v>
      </c>
      <c r="T214" s="105" t="str">
        <f>_xlfn.XLOOKUP(Tabla1[[#This Row],[Universidad]],Conversiones!$B:$B,Conversiones!$C:$C)</f>
        <v>ITESM-EGADE -Instituto tecnológico y de estudios superiores de Monterrey</v>
      </c>
      <c r="U214" s="105" t="str">
        <f>_xlfn.XLOOKUP(Tabla1[[#This Row],[Universidad KPIs]],Conversiones!$C:$C,Conversiones!$E:$E)</f>
        <v>Específico</v>
      </c>
      <c r="V214" s="1" t="s">
        <v>87</v>
      </c>
      <c r="W214" s="1" t="s">
        <v>291</v>
      </c>
      <c r="X214" s="87">
        <v>44585</v>
      </c>
      <c r="Y214" s="87">
        <v>44709</v>
      </c>
      <c r="Z214" s="1">
        <v>124</v>
      </c>
    </row>
    <row r="215" spans="1:26">
      <c r="A215" s="102" t="s">
        <v>1107</v>
      </c>
      <c r="B215">
        <v>201822037</v>
      </c>
      <c r="C215" t="s">
        <v>407</v>
      </c>
      <c r="D215" t="s">
        <v>1108</v>
      </c>
      <c r="E215" t="s">
        <v>1109</v>
      </c>
      <c r="F215" t="s">
        <v>233</v>
      </c>
      <c r="G215" t="s">
        <v>277</v>
      </c>
      <c r="J215" t="s">
        <v>278</v>
      </c>
      <c r="K215">
        <v>2022</v>
      </c>
      <c r="L215">
        <v>202210</v>
      </c>
      <c r="M215">
        <v>202120</v>
      </c>
      <c r="N215" t="s">
        <v>279</v>
      </c>
      <c r="O215" t="s">
        <v>230</v>
      </c>
      <c r="P215" t="s">
        <v>280</v>
      </c>
      <c r="Q215" t="s">
        <v>233</v>
      </c>
      <c r="R215" t="s">
        <v>277</v>
      </c>
      <c r="S215" t="s">
        <v>107</v>
      </c>
      <c r="T215" s="105" t="str">
        <f>_xlfn.XLOOKUP(Tabla1[[#This Row],[Universidad]],Conversiones!$B:$B,Conversiones!$C:$C)</f>
        <v>Toulouse Business School</v>
      </c>
      <c r="U215" s="105" t="str">
        <f>_xlfn.XLOOKUP(Tabla1[[#This Row],[Universidad KPIs]],Conversiones!$C:$C,Conversiones!$E:$E)</f>
        <v>Específico</v>
      </c>
      <c r="V215" t="s">
        <v>57</v>
      </c>
      <c r="W215" t="s">
        <v>281</v>
      </c>
      <c r="X215" s="2">
        <v>44585</v>
      </c>
      <c r="Y215" s="2">
        <v>44709</v>
      </c>
      <c r="Z215">
        <v>124</v>
      </c>
    </row>
    <row r="216" spans="1:26">
      <c r="A216" s="103" t="s">
        <v>1110</v>
      </c>
      <c r="B216" s="1">
        <v>201923283</v>
      </c>
      <c r="C216" s="1" t="s">
        <v>1111</v>
      </c>
      <c r="D216" s="1" t="s">
        <v>1112</v>
      </c>
      <c r="E216" s="1" t="s">
        <v>1113</v>
      </c>
      <c r="F216" s="1" t="s">
        <v>233</v>
      </c>
      <c r="G216" s="1" t="s">
        <v>277</v>
      </c>
      <c r="H216" s="1" t="s">
        <v>1114</v>
      </c>
      <c r="I216" s="1" t="s">
        <v>1026</v>
      </c>
      <c r="J216" s="1" t="s">
        <v>278</v>
      </c>
      <c r="K216" s="1">
        <v>2022</v>
      </c>
      <c r="L216" s="1">
        <v>202220</v>
      </c>
      <c r="M216" s="1">
        <v>202220</v>
      </c>
      <c r="N216" s="1" t="s">
        <v>279</v>
      </c>
      <c r="O216" s="1" t="s">
        <v>230</v>
      </c>
      <c r="P216" s="1" t="s">
        <v>280</v>
      </c>
      <c r="Q216" s="1" t="s">
        <v>233</v>
      </c>
      <c r="R216" s="1" t="s">
        <v>277</v>
      </c>
      <c r="S216" s="1" t="s">
        <v>372</v>
      </c>
      <c r="T216" s="105" t="str">
        <f>_xlfn.XLOOKUP(Tabla1[[#This Row],[Universidad]],Conversiones!$B:$B,Conversiones!$C:$C)</f>
        <v>A.B. Freeman School of Business, Tulane University</v>
      </c>
      <c r="U216" s="105" t="str">
        <f>_xlfn.XLOOKUP(Tabla1[[#This Row],[Universidad KPIs]],Conversiones!$C:$C,Conversiones!$E:$E)</f>
        <v>Específico</v>
      </c>
      <c r="V216" s="1" t="s">
        <v>51</v>
      </c>
      <c r="W216" s="1" t="s">
        <v>291</v>
      </c>
      <c r="X216" s="87">
        <v>44781</v>
      </c>
      <c r="Y216" s="87">
        <v>44898</v>
      </c>
      <c r="Z216" s="1">
        <v>117</v>
      </c>
    </row>
    <row r="217" spans="1:26">
      <c r="A217" s="102" t="s">
        <v>1115</v>
      </c>
      <c r="B217">
        <v>201923690</v>
      </c>
      <c r="C217" t="s">
        <v>465</v>
      </c>
      <c r="D217" t="s">
        <v>1116</v>
      </c>
      <c r="E217" t="s">
        <v>1117</v>
      </c>
      <c r="F217" t="s">
        <v>233</v>
      </c>
      <c r="G217" t="s">
        <v>277</v>
      </c>
      <c r="H217">
        <v>0</v>
      </c>
      <c r="I217">
        <v>0</v>
      </c>
      <c r="J217" t="s">
        <v>278</v>
      </c>
      <c r="K217">
        <v>2022</v>
      </c>
      <c r="L217">
        <v>202220</v>
      </c>
      <c r="M217">
        <v>202220</v>
      </c>
      <c r="N217" t="s">
        <v>279</v>
      </c>
      <c r="O217" t="s">
        <v>230</v>
      </c>
      <c r="P217" t="s">
        <v>280</v>
      </c>
      <c r="Q217" t="s">
        <v>233</v>
      </c>
      <c r="R217" t="s">
        <v>277</v>
      </c>
      <c r="S217" t="s">
        <v>310</v>
      </c>
      <c r="T217" s="105" t="str">
        <f>_xlfn.XLOOKUP(Tabla1[[#This Row],[Universidad]],Conversiones!$B:$B,Conversiones!$C:$C)</f>
        <v>Toulouse Business School</v>
      </c>
      <c r="U217" s="105" t="str">
        <f>_xlfn.XLOOKUP(Tabla1[[#This Row],[Universidad KPIs]],Conversiones!$C:$C,Conversiones!$E:$E)</f>
        <v>Específico</v>
      </c>
      <c r="V217" t="s">
        <v>57</v>
      </c>
      <c r="W217" t="s">
        <v>281</v>
      </c>
      <c r="X217" s="2">
        <v>44781</v>
      </c>
      <c r="Y217" s="2">
        <v>44898</v>
      </c>
      <c r="Z217">
        <v>117</v>
      </c>
    </row>
    <row r="218" spans="1:26">
      <c r="A218" s="103" t="s">
        <v>1118</v>
      </c>
      <c r="B218" s="1">
        <v>200722238</v>
      </c>
      <c r="C218" s="1" t="s">
        <v>526</v>
      </c>
      <c r="D218" s="1" t="s">
        <v>1119</v>
      </c>
      <c r="E218" s="1" t="s">
        <v>1120</v>
      </c>
      <c r="F218" s="1" t="s">
        <v>237</v>
      </c>
      <c r="G218" s="1" t="s">
        <v>277</v>
      </c>
      <c r="H218" s="1"/>
      <c r="I218" s="1"/>
      <c r="J218" s="1" t="s">
        <v>278</v>
      </c>
      <c r="K218" s="1">
        <v>2022</v>
      </c>
      <c r="L218" s="1">
        <v>202210</v>
      </c>
      <c r="M218" s="1">
        <v>202210</v>
      </c>
      <c r="N218" s="1" t="s">
        <v>618</v>
      </c>
      <c r="O218" s="1" t="s">
        <v>230</v>
      </c>
      <c r="P218" s="1" t="s">
        <v>619</v>
      </c>
      <c r="Q218" s="1" t="s">
        <v>237</v>
      </c>
      <c r="R218" s="1" t="s">
        <v>277</v>
      </c>
      <c r="S218" s="1" t="s">
        <v>393</v>
      </c>
      <c r="T218" s="105" t="str">
        <f>_xlfn.XLOOKUP(Tabla1[[#This Row],[Universidad]],Conversiones!$B:$B,Conversiones!$C:$C)</f>
        <v>Frankfurt School of Finance and Management</v>
      </c>
      <c r="U218" s="105" t="str">
        <f>_xlfn.XLOOKUP(Tabla1[[#This Row],[Universidad KPIs]],Conversiones!$C:$C,Conversiones!$E:$E)</f>
        <v>Específico</v>
      </c>
      <c r="V218" s="1" t="s">
        <v>76</v>
      </c>
      <c r="W218" s="1" t="s">
        <v>281</v>
      </c>
      <c r="X218" s="87">
        <v>44585</v>
      </c>
      <c r="Y218" s="87">
        <v>44709</v>
      </c>
      <c r="Z218" s="1">
        <v>124</v>
      </c>
    </row>
    <row r="219" spans="1:26">
      <c r="A219" s="102" t="s">
        <v>1121</v>
      </c>
      <c r="B219">
        <v>201923331</v>
      </c>
      <c r="C219" t="s">
        <v>395</v>
      </c>
      <c r="D219" t="s">
        <v>1122</v>
      </c>
      <c r="E219" t="s">
        <v>1123</v>
      </c>
      <c r="F219" t="s">
        <v>233</v>
      </c>
      <c r="G219" t="s">
        <v>277</v>
      </c>
      <c r="J219" t="s">
        <v>278</v>
      </c>
      <c r="K219">
        <v>2022</v>
      </c>
      <c r="L219">
        <v>202210</v>
      </c>
      <c r="M219">
        <v>202210</v>
      </c>
      <c r="N219" t="s">
        <v>279</v>
      </c>
      <c r="O219" t="s">
        <v>230</v>
      </c>
      <c r="P219" t="s">
        <v>280</v>
      </c>
      <c r="Q219" t="s">
        <v>233</v>
      </c>
      <c r="R219" t="s">
        <v>277</v>
      </c>
      <c r="S219" t="s">
        <v>94</v>
      </c>
      <c r="T219" s="105" t="str">
        <f>_xlfn.XLOOKUP(Tabla1[[#This Row],[Universidad]],Conversiones!$B:$B,Conversiones!$C:$C)</f>
        <v>Maastricht University</v>
      </c>
      <c r="U219" s="105" t="str">
        <f>_xlfn.XLOOKUP(Tabla1[[#This Row],[Universidad KPIs]],Conversiones!$C:$C,Conversiones!$E:$E)</f>
        <v>Específico</v>
      </c>
      <c r="V219" t="s">
        <v>95</v>
      </c>
      <c r="W219" t="s">
        <v>281</v>
      </c>
      <c r="X219" s="2">
        <v>44585</v>
      </c>
      <c r="Y219" s="2">
        <v>44709</v>
      </c>
      <c r="Z219">
        <v>124</v>
      </c>
    </row>
    <row r="220" spans="1:26">
      <c r="A220" s="103" t="s">
        <v>1124</v>
      </c>
      <c r="B220" s="1">
        <v>201822327</v>
      </c>
      <c r="C220" s="1" t="s">
        <v>465</v>
      </c>
      <c r="D220" s="1" t="s">
        <v>1125</v>
      </c>
      <c r="E220" s="1" t="s">
        <v>1126</v>
      </c>
      <c r="F220" s="1" t="s">
        <v>233</v>
      </c>
      <c r="G220" s="1" t="s">
        <v>277</v>
      </c>
      <c r="H220" s="1"/>
      <c r="I220" s="1"/>
      <c r="J220" s="1" t="s">
        <v>278</v>
      </c>
      <c r="K220" s="1">
        <v>2022</v>
      </c>
      <c r="L220" s="1">
        <v>202210</v>
      </c>
      <c r="M220" s="1">
        <v>202120</v>
      </c>
      <c r="N220" s="1" t="s">
        <v>279</v>
      </c>
      <c r="O220" s="1" t="s">
        <v>230</v>
      </c>
      <c r="P220" s="1" t="s">
        <v>280</v>
      </c>
      <c r="Q220" s="1" t="s">
        <v>233</v>
      </c>
      <c r="R220" s="1" t="s">
        <v>277</v>
      </c>
      <c r="S220" s="1" t="s">
        <v>107</v>
      </c>
      <c r="T220" s="105" t="str">
        <f>_xlfn.XLOOKUP(Tabla1[[#This Row],[Universidad]],Conversiones!$B:$B,Conversiones!$C:$C)</f>
        <v>Toulouse Business School</v>
      </c>
      <c r="U220" s="105" t="str">
        <f>_xlfn.XLOOKUP(Tabla1[[#This Row],[Universidad KPIs]],Conversiones!$C:$C,Conversiones!$E:$E)</f>
        <v>Específico</v>
      </c>
      <c r="V220" s="1" t="s">
        <v>57</v>
      </c>
      <c r="W220" s="1" t="s">
        <v>281</v>
      </c>
      <c r="X220" s="87">
        <v>44585</v>
      </c>
      <c r="Y220" s="87">
        <v>44709</v>
      </c>
      <c r="Z220" s="1">
        <v>124</v>
      </c>
    </row>
    <row r="221" spans="1:26">
      <c r="A221" s="102" t="s">
        <v>1127</v>
      </c>
      <c r="B221">
        <v>201815611</v>
      </c>
      <c r="C221" t="s">
        <v>1128</v>
      </c>
      <c r="D221" t="s">
        <v>1129</v>
      </c>
      <c r="E221" t="s">
        <v>1130</v>
      </c>
      <c r="F221" t="s">
        <v>233</v>
      </c>
      <c r="G221" t="s">
        <v>277</v>
      </c>
      <c r="J221" t="s">
        <v>278</v>
      </c>
      <c r="K221">
        <v>2022</v>
      </c>
      <c r="L221">
        <v>202210</v>
      </c>
      <c r="M221">
        <v>202210</v>
      </c>
      <c r="N221" t="s">
        <v>279</v>
      </c>
      <c r="O221" t="s">
        <v>230</v>
      </c>
      <c r="P221" t="s">
        <v>280</v>
      </c>
      <c r="Q221" t="s">
        <v>233</v>
      </c>
      <c r="R221" t="s">
        <v>277</v>
      </c>
      <c r="S221" t="s">
        <v>66</v>
      </c>
      <c r="T221" s="105" t="str">
        <f>_xlfn.XLOOKUP(Tabla1[[#This Row],[Universidad]],Conversiones!$B:$B,Conversiones!$C:$C)</f>
        <v>EDHEC Business School</v>
      </c>
      <c r="U221" s="105" t="str">
        <f>_xlfn.XLOOKUP(Tabla1[[#This Row],[Universidad KPIs]],Conversiones!$C:$C,Conversiones!$E:$E)</f>
        <v>Específico</v>
      </c>
      <c r="V221" t="s">
        <v>57</v>
      </c>
      <c r="W221" t="s">
        <v>281</v>
      </c>
      <c r="X221" s="2">
        <v>44585</v>
      </c>
      <c r="Y221" s="2">
        <v>44709</v>
      </c>
      <c r="Z221">
        <v>124</v>
      </c>
    </row>
    <row r="222" spans="1:26">
      <c r="A222" s="103" t="s">
        <v>1131</v>
      </c>
      <c r="B222" s="1">
        <v>201914792</v>
      </c>
      <c r="C222" s="1" t="s">
        <v>1132</v>
      </c>
      <c r="D222" s="1" t="s">
        <v>1133</v>
      </c>
      <c r="E222" s="1" t="s">
        <v>1134</v>
      </c>
      <c r="F222" s="1" t="s">
        <v>497</v>
      </c>
      <c r="G222" s="1" t="s">
        <v>498</v>
      </c>
      <c r="H222" s="1" t="s">
        <v>233</v>
      </c>
      <c r="I222" s="1" t="s">
        <v>277</v>
      </c>
      <c r="J222" s="1" t="s">
        <v>278</v>
      </c>
      <c r="K222" s="1">
        <v>2022</v>
      </c>
      <c r="L222" s="1">
        <v>202220</v>
      </c>
      <c r="M222" s="1">
        <v>202220</v>
      </c>
      <c r="N222" s="1" t="s">
        <v>279</v>
      </c>
      <c r="O222" s="1" t="s">
        <v>230</v>
      </c>
      <c r="P222" s="1" t="s">
        <v>280</v>
      </c>
      <c r="Q222" s="1" t="s">
        <v>233</v>
      </c>
      <c r="R222" s="1" t="s">
        <v>277</v>
      </c>
      <c r="S222" s="1" t="s">
        <v>320</v>
      </c>
      <c r="T222" s="105" t="str">
        <f>_xlfn.XLOOKUP(Tabla1[[#This Row],[Universidad]],Conversiones!$B:$B,Conversiones!$C:$C)</f>
        <v>ESADE</v>
      </c>
      <c r="U222" s="105" t="str">
        <f>_xlfn.XLOOKUP(Tabla1[[#This Row],[Universidad KPIs]],Conversiones!$C:$C,Conversiones!$E:$E)</f>
        <v>Específico</v>
      </c>
      <c r="V222" s="1" t="s">
        <v>69</v>
      </c>
      <c r="W222" s="1" t="s">
        <v>281</v>
      </c>
      <c r="X222" s="87">
        <v>44781</v>
      </c>
      <c r="Y222" s="87">
        <v>44898</v>
      </c>
      <c r="Z222" s="1">
        <v>117</v>
      </c>
    </row>
    <row r="223" spans="1:26">
      <c r="A223" s="102" t="s">
        <v>1135</v>
      </c>
      <c r="B223">
        <v>201822093</v>
      </c>
      <c r="C223" t="s">
        <v>667</v>
      </c>
      <c r="D223" t="s">
        <v>1136</v>
      </c>
      <c r="E223" t="s">
        <v>1137</v>
      </c>
      <c r="F223" t="s">
        <v>233</v>
      </c>
      <c r="G223" t="s">
        <v>277</v>
      </c>
      <c r="J223" t="s">
        <v>278</v>
      </c>
      <c r="K223">
        <v>2022</v>
      </c>
      <c r="L223">
        <v>202210</v>
      </c>
      <c r="M223">
        <v>202110</v>
      </c>
      <c r="N223" t="s">
        <v>279</v>
      </c>
      <c r="O223" t="s">
        <v>230</v>
      </c>
      <c r="P223" t="s">
        <v>280</v>
      </c>
      <c r="Q223" t="s">
        <v>233</v>
      </c>
      <c r="R223" t="s">
        <v>277</v>
      </c>
      <c r="S223" t="s">
        <v>338</v>
      </c>
      <c r="T223" s="105" t="str">
        <f>_xlfn.XLOOKUP(Tabla1[[#This Row],[Universidad]],Conversiones!$B:$B,Conversiones!$C:$C)</f>
        <v>University of Mannheim Business School</v>
      </c>
      <c r="U223" s="105" t="str">
        <f>_xlfn.XLOOKUP(Tabla1[[#This Row],[Universidad KPIs]],Conversiones!$C:$C,Conversiones!$E:$E)</f>
        <v>Específico</v>
      </c>
      <c r="V223" t="s">
        <v>76</v>
      </c>
      <c r="W223" t="s">
        <v>281</v>
      </c>
      <c r="X223" s="2">
        <v>44585</v>
      </c>
      <c r="Y223" s="2">
        <v>44709</v>
      </c>
      <c r="Z223">
        <v>124</v>
      </c>
    </row>
    <row r="224" spans="1:26">
      <c r="A224" s="103" t="s">
        <v>1138</v>
      </c>
      <c r="B224" s="1">
        <v>201730611</v>
      </c>
      <c r="C224" s="1" t="s">
        <v>540</v>
      </c>
      <c r="D224" s="1" t="s">
        <v>1139</v>
      </c>
      <c r="E224" s="1" t="s">
        <v>1140</v>
      </c>
      <c r="F224" s="1" t="s">
        <v>1069</v>
      </c>
      <c r="G224" s="1" t="s">
        <v>538</v>
      </c>
      <c r="H224" s="1" t="s">
        <v>233</v>
      </c>
      <c r="I224" s="1" t="s">
        <v>277</v>
      </c>
      <c r="J224" s="1" t="s">
        <v>278</v>
      </c>
      <c r="K224" s="1">
        <v>2022</v>
      </c>
      <c r="L224" s="1">
        <v>202210</v>
      </c>
      <c r="M224" s="1">
        <v>202210</v>
      </c>
      <c r="N224" s="1" t="s">
        <v>279</v>
      </c>
      <c r="O224" s="1" t="s">
        <v>230</v>
      </c>
      <c r="P224" s="1" t="s">
        <v>280</v>
      </c>
      <c r="Q224" s="1" t="s">
        <v>233</v>
      </c>
      <c r="R224" s="1" t="s">
        <v>277</v>
      </c>
      <c r="S224" s="1" t="s">
        <v>351</v>
      </c>
      <c r="T224" s="105" t="str">
        <f>_xlfn.XLOOKUP(Tabla1[[#This Row],[Universidad]],Conversiones!$B:$B,Conversiones!$C:$C)</f>
        <v>KLU Kühne Logistics University</v>
      </c>
      <c r="U224" s="105" t="str">
        <f>_xlfn.XLOOKUP(Tabla1[[#This Row],[Universidad KPIs]],Conversiones!$C:$C,Conversiones!$E:$E)</f>
        <v>Específico</v>
      </c>
      <c r="V224" s="1" t="s">
        <v>76</v>
      </c>
      <c r="W224" s="1" t="s">
        <v>281</v>
      </c>
      <c r="X224" s="87">
        <v>44585</v>
      </c>
      <c r="Y224" s="87">
        <v>44709</v>
      </c>
      <c r="Z224" s="1">
        <v>124</v>
      </c>
    </row>
    <row r="225" spans="1:26">
      <c r="A225" s="102" t="s">
        <v>1141</v>
      </c>
      <c r="B225">
        <v>201632461</v>
      </c>
      <c r="C225" t="s">
        <v>1142</v>
      </c>
      <c r="D225" t="s">
        <v>1143</v>
      </c>
      <c r="E225" t="s">
        <v>1144</v>
      </c>
      <c r="F225" t="s">
        <v>233</v>
      </c>
      <c r="G225" t="s">
        <v>277</v>
      </c>
      <c r="H225" t="s">
        <v>543</v>
      </c>
      <c r="I225" t="s">
        <v>544</v>
      </c>
      <c r="J225" t="s">
        <v>278</v>
      </c>
      <c r="K225">
        <v>2022</v>
      </c>
      <c r="L225">
        <v>202220</v>
      </c>
      <c r="M225">
        <v>202220</v>
      </c>
      <c r="N225" t="s">
        <v>279</v>
      </c>
      <c r="O225" t="s">
        <v>231</v>
      </c>
      <c r="P225" t="s">
        <v>477</v>
      </c>
      <c r="Q225" t="s">
        <v>233</v>
      </c>
      <c r="R225" t="s">
        <v>277</v>
      </c>
      <c r="S225" t="s">
        <v>310</v>
      </c>
      <c r="T225" s="105" t="str">
        <f>_xlfn.XLOOKUP(Tabla1[[#This Row],[Universidad]],Conversiones!$B:$B,Conversiones!$C:$C)</f>
        <v>Toulouse Business School</v>
      </c>
      <c r="U225" s="105" t="str">
        <f>_xlfn.XLOOKUP(Tabla1[[#This Row],[Universidad KPIs]],Conversiones!$C:$C,Conversiones!$E:$E)</f>
        <v>Específico</v>
      </c>
      <c r="V225" t="s">
        <v>57</v>
      </c>
      <c r="W225" t="s">
        <v>281</v>
      </c>
      <c r="X225" s="2">
        <v>44781</v>
      </c>
      <c r="Y225" s="2">
        <v>44898</v>
      </c>
      <c r="Z225">
        <v>117</v>
      </c>
    </row>
    <row r="226" spans="1:26">
      <c r="A226" s="103" t="s">
        <v>1145</v>
      </c>
      <c r="B226" s="1">
        <v>202011085</v>
      </c>
      <c r="C226" s="1" t="s">
        <v>1146</v>
      </c>
      <c r="D226" s="1" t="s">
        <v>1147</v>
      </c>
      <c r="E226" s="1" t="s">
        <v>1148</v>
      </c>
      <c r="F226" s="1" t="s">
        <v>233</v>
      </c>
      <c r="G226" s="1" t="s">
        <v>277</v>
      </c>
      <c r="H226" s="1"/>
      <c r="I226" s="1"/>
      <c r="J226" s="1" t="s">
        <v>278</v>
      </c>
      <c r="K226" s="1">
        <v>2023</v>
      </c>
      <c r="L226" s="1">
        <v>202310</v>
      </c>
      <c r="M226" s="1">
        <v>202310</v>
      </c>
      <c r="N226" s="1" t="s">
        <v>279</v>
      </c>
      <c r="O226" s="1" t="s">
        <v>230</v>
      </c>
      <c r="P226" s="1" t="s">
        <v>280</v>
      </c>
      <c r="Q226" s="1" t="s">
        <v>233</v>
      </c>
      <c r="R226" s="1" t="s">
        <v>277</v>
      </c>
      <c r="S226" s="1" t="s">
        <v>486</v>
      </c>
      <c r="T226" s="105" t="str">
        <f>_xlfn.XLOOKUP(Tabla1[[#This Row],[Universidad]],Conversiones!$B:$B,Conversiones!$C:$C)</f>
        <v>Aalto University</v>
      </c>
      <c r="U226" s="105" t="str">
        <f>_xlfn.XLOOKUP(Tabla1[[#This Row],[Universidad KPIs]],Conversiones!$C:$C,Conversiones!$E:$E)</f>
        <v>Específico</v>
      </c>
      <c r="V226" s="1" t="s">
        <v>53</v>
      </c>
      <c r="W226" s="1" t="s">
        <v>281</v>
      </c>
      <c r="X226" s="87">
        <v>44949</v>
      </c>
      <c r="Y226" s="87">
        <v>45073</v>
      </c>
      <c r="Z226" s="1">
        <v>124</v>
      </c>
    </row>
    <row r="227" spans="1:26">
      <c r="A227" s="102" t="s">
        <v>1149</v>
      </c>
      <c r="B227">
        <v>201922236</v>
      </c>
      <c r="C227" t="s">
        <v>540</v>
      </c>
      <c r="D227" t="s">
        <v>1150</v>
      </c>
      <c r="E227" t="s">
        <v>1151</v>
      </c>
      <c r="F227" t="s">
        <v>233</v>
      </c>
      <c r="G227" t="s">
        <v>277</v>
      </c>
      <c r="J227" t="s">
        <v>278</v>
      </c>
      <c r="K227">
        <v>2023</v>
      </c>
      <c r="L227">
        <v>202310</v>
      </c>
      <c r="M227">
        <v>202310</v>
      </c>
      <c r="N227" t="s">
        <v>279</v>
      </c>
      <c r="O227" t="s">
        <v>230</v>
      </c>
      <c r="P227" t="s">
        <v>1152</v>
      </c>
      <c r="Q227" t="s">
        <v>233</v>
      </c>
      <c r="R227" t="s">
        <v>277</v>
      </c>
      <c r="S227" t="s">
        <v>140</v>
      </c>
      <c r="T227" s="105" t="str">
        <f>_xlfn.XLOOKUP(Tabla1[[#This Row],[Universidad]],Conversiones!$B:$B,Conversiones!$C:$C)</f>
        <v>American University of Central Asia</v>
      </c>
      <c r="U227" s="105" t="str">
        <f>_xlfn.XLOOKUP(Tabla1[[#This Row],[Universidad KPIs]],Conversiones!$C:$C,Conversiones!$E:$E)</f>
        <v>General</v>
      </c>
      <c r="V227" t="s">
        <v>141</v>
      </c>
      <c r="W227" t="s">
        <v>568</v>
      </c>
      <c r="X227" s="2">
        <v>44949</v>
      </c>
      <c r="Y227" s="2">
        <v>45073</v>
      </c>
      <c r="Z227">
        <v>124</v>
      </c>
    </row>
    <row r="228" spans="1:26">
      <c r="A228" s="103" t="s">
        <v>1153</v>
      </c>
      <c r="B228" s="1">
        <v>201812055</v>
      </c>
      <c r="C228" s="1" t="s">
        <v>1154</v>
      </c>
      <c r="D228" s="1" t="s">
        <v>1155</v>
      </c>
      <c r="E228" s="1" t="s">
        <v>1156</v>
      </c>
      <c r="F228" s="1" t="s">
        <v>233</v>
      </c>
      <c r="G228" s="1" t="s">
        <v>277</v>
      </c>
      <c r="H228" s="1" t="s">
        <v>648</v>
      </c>
      <c r="I228" s="1" t="s">
        <v>649</v>
      </c>
      <c r="J228" s="1" t="s">
        <v>278</v>
      </c>
      <c r="K228" s="1">
        <v>2023</v>
      </c>
      <c r="L228" s="1">
        <v>202310</v>
      </c>
      <c r="M228" s="1">
        <v>202310</v>
      </c>
      <c r="N228" s="1" t="s">
        <v>279</v>
      </c>
      <c r="O228" s="1" t="s">
        <v>230</v>
      </c>
      <c r="P228" s="1" t="s">
        <v>280</v>
      </c>
      <c r="Q228" s="1" t="s">
        <v>233</v>
      </c>
      <c r="R228" s="1" t="s">
        <v>277</v>
      </c>
      <c r="S228" s="1" t="s">
        <v>54</v>
      </c>
      <c r="T228" s="105" t="str">
        <f>_xlfn.XLOOKUP(Tabla1[[#This Row],[Universidad]],Conversiones!$B:$B,Conversiones!$C:$C)</f>
        <v>Aston University</v>
      </c>
      <c r="U228" s="105" t="str">
        <f>_xlfn.XLOOKUP(Tabla1[[#This Row],[Universidad KPIs]],Conversiones!$C:$C,Conversiones!$E:$E)</f>
        <v>Específico</v>
      </c>
      <c r="V228" s="1" t="s">
        <v>55</v>
      </c>
      <c r="W228" s="1" t="s">
        <v>281</v>
      </c>
      <c r="X228" s="87">
        <v>44949</v>
      </c>
      <c r="Y228" s="87">
        <v>45073</v>
      </c>
      <c r="Z228" s="1">
        <v>124</v>
      </c>
    </row>
    <row r="229" spans="1:26">
      <c r="A229" s="102" t="s">
        <v>1157</v>
      </c>
      <c r="B229">
        <v>202012645</v>
      </c>
      <c r="C229" t="s">
        <v>1158</v>
      </c>
      <c r="D229" t="s">
        <v>1159</v>
      </c>
      <c r="E229" t="s">
        <v>1160</v>
      </c>
      <c r="F229" t="s">
        <v>233</v>
      </c>
      <c r="G229" t="s">
        <v>277</v>
      </c>
      <c r="J229" t="s">
        <v>278</v>
      </c>
      <c r="K229">
        <v>2023</v>
      </c>
      <c r="L229">
        <v>202310</v>
      </c>
      <c r="M229">
        <v>202310</v>
      </c>
      <c r="N229" t="s">
        <v>279</v>
      </c>
      <c r="O229" t="s">
        <v>230</v>
      </c>
      <c r="P229" t="s">
        <v>280</v>
      </c>
      <c r="Q229" t="s">
        <v>233</v>
      </c>
      <c r="R229" t="s">
        <v>277</v>
      </c>
      <c r="S229" t="s">
        <v>381</v>
      </c>
      <c r="T229" s="105" t="str">
        <f>_xlfn.XLOOKUP(Tabla1[[#This Row],[Universidad]],Conversiones!$B:$B,Conversiones!$C:$C)</f>
        <v>Audencia. École de Management</v>
      </c>
      <c r="U229" s="105" t="str">
        <f>_xlfn.XLOOKUP(Tabla1[[#This Row],[Universidad KPIs]],Conversiones!$C:$C,Conversiones!$E:$E)</f>
        <v>Específico</v>
      </c>
      <c r="V229" t="s">
        <v>57</v>
      </c>
      <c r="W229" t="s">
        <v>281</v>
      </c>
      <c r="X229" s="2">
        <v>44949</v>
      </c>
      <c r="Y229" s="2">
        <v>45073</v>
      </c>
      <c r="Z229">
        <v>124</v>
      </c>
    </row>
    <row r="230" spans="1:26">
      <c r="A230" s="103" t="s">
        <v>1161</v>
      </c>
      <c r="B230" s="1">
        <v>202020714</v>
      </c>
      <c r="C230" s="1" t="s">
        <v>1162</v>
      </c>
      <c r="D230" s="1" t="s">
        <v>1163</v>
      </c>
      <c r="E230" s="1" t="s">
        <v>1164</v>
      </c>
      <c r="F230" s="1" t="s">
        <v>233</v>
      </c>
      <c r="G230" s="1" t="s">
        <v>277</v>
      </c>
      <c r="H230" s="1"/>
      <c r="I230" s="1"/>
      <c r="J230" s="1" t="s">
        <v>278</v>
      </c>
      <c r="K230" s="1">
        <v>2023</v>
      </c>
      <c r="L230" s="1">
        <v>202310</v>
      </c>
      <c r="M230" s="1">
        <v>202310</v>
      </c>
      <c r="N230" s="1" t="s">
        <v>279</v>
      </c>
      <c r="O230" s="1" t="s">
        <v>230</v>
      </c>
      <c r="P230" s="1" t="s">
        <v>280</v>
      </c>
      <c r="Q230" s="1" t="s">
        <v>233</v>
      </c>
      <c r="R230" s="1" t="s">
        <v>277</v>
      </c>
      <c r="S230" s="1" t="s">
        <v>381</v>
      </c>
      <c r="T230" s="105" t="str">
        <f>_xlfn.XLOOKUP(Tabla1[[#This Row],[Universidad]],Conversiones!$B:$B,Conversiones!$C:$C)</f>
        <v>Audencia. École de Management</v>
      </c>
      <c r="U230" s="105" t="str">
        <f>_xlfn.XLOOKUP(Tabla1[[#This Row],[Universidad KPIs]],Conversiones!$C:$C,Conversiones!$E:$E)</f>
        <v>Específico</v>
      </c>
      <c r="V230" s="1" t="s">
        <v>57</v>
      </c>
      <c r="W230" s="1" t="s">
        <v>281</v>
      </c>
      <c r="X230" s="87">
        <v>44949</v>
      </c>
      <c r="Y230" s="87">
        <v>45073</v>
      </c>
      <c r="Z230" s="1">
        <v>124</v>
      </c>
    </row>
    <row r="231" spans="1:26">
      <c r="A231" s="102" t="s">
        <v>1165</v>
      </c>
      <c r="B231">
        <v>201622073</v>
      </c>
      <c r="C231" t="s">
        <v>1166</v>
      </c>
      <c r="D231" t="s">
        <v>1167</v>
      </c>
      <c r="E231" t="s">
        <v>1168</v>
      </c>
      <c r="F231" t="s">
        <v>233</v>
      </c>
      <c r="G231" t="s">
        <v>277</v>
      </c>
      <c r="J231" t="s">
        <v>278</v>
      </c>
      <c r="K231">
        <v>2023</v>
      </c>
      <c r="L231">
        <v>202310</v>
      </c>
      <c r="M231">
        <v>202310</v>
      </c>
      <c r="N231" t="s">
        <v>279</v>
      </c>
      <c r="O231" t="s">
        <v>230</v>
      </c>
      <c r="P231" t="s">
        <v>280</v>
      </c>
      <c r="Q231" t="s">
        <v>233</v>
      </c>
      <c r="R231" t="s">
        <v>277</v>
      </c>
      <c r="S231" t="s">
        <v>1169</v>
      </c>
      <c r="T231" s="105" t="str">
        <f>_xlfn.XLOOKUP(Tabla1[[#This Row],[Universidad]],Conversiones!$B:$B,Conversiones!$C:$C)</f>
        <v>BI Norwegian Business School</v>
      </c>
      <c r="U231" s="105" t="str">
        <f>_xlfn.XLOOKUP(Tabla1[[#This Row],[Universidad KPIs]],Conversiones!$C:$C,Conversiones!$E:$E)</f>
        <v>Específico</v>
      </c>
      <c r="V231" t="s">
        <v>59</v>
      </c>
      <c r="W231" t="s">
        <v>281</v>
      </c>
      <c r="X231" s="2">
        <v>44949</v>
      </c>
      <c r="Y231" s="2">
        <v>45073</v>
      </c>
      <c r="Z231">
        <v>124</v>
      </c>
    </row>
    <row r="232" spans="1:26">
      <c r="A232" s="103" t="s">
        <v>1170</v>
      </c>
      <c r="B232" s="1">
        <v>201913938</v>
      </c>
      <c r="C232" s="1" t="s">
        <v>457</v>
      </c>
      <c r="D232" s="1" t="s">
        <v>1171</v>
      </c>
      <c r="E232" s="1" t="s">
        <v>1172</v>
      </c>
      <c r="F232" s="1" t="s">
        <v>233</v>
      </c>
      <c r="G232" s="1" t="s">
        <v>277</v>
      </c>
      <c r="H232" s="1"/>
      <c r="I232" s="1"/>
      <c r="J232" s="1" t="s">
        <v>278</v>
      </c>
      <c r="K232" s="1">
        <v>2023</v>
      </c>
      <c r="L232" s="1">
        <v>202310</v>
      </c>
      <c r="M232" s="1">
        <v>202310</v>
      </c>
      <c r="N232" s="1" t="s">
        <v>279</v>
      </c>
      <c r="O232" s="1" t="s">
        <v>230</v>
      </c>
      <c r="P232" s="1" t="s">
        <v>280</v>
      </c>
      <c r="Q232" s="1" t="s">
        <v>233</v>
      </c>
      <c r="R232" s="1" t="s">
        <v>277</v>
      </c>
      <c r="S232" s="1" t="s">
        <v>1169</v>
      </c>
      <c r="T232" s="105" t="str">
        <f>_xlfn.XLOOKUP(Tabla1[[#This Row],[Universidad]],Conversiones!$B:$B,Conversiones!$C:$C)</f>
        <v>BI Norwegian Business School</v>
      </c>
      <c r="U232" s="105" t="str">
        <f>_xlfn.XLOOKUP(Tabla1[[#This Row],[Universidad KPIs]],Conversiones!$C:$C,Conversiones!$E:$E)</f>
        <v>Específico</v>
      </c>
      <c r="V232" s="1" t="s">
        <v>59</v>
      </c>
      <c r="W232" s="1" t="s">
        <v>281</v>
      </c>
      <c r="X232" s="87">
        <v>44949</v>
      </c>
      <c r="Y232" s="87">
        <v>45073</v>
      </c>
      <c r="Z232" s="1">
        <v>124</v>
      </c>
    </row>
    <row r="233" spans="1:26">
      <c r="A233" s="102" t="s">
        <v>1173</v>
      </c>
      <c r="B233">
        <v>201922477</v>
      </c>
      <c r="C233" t="s">
        <v>1174</v>
      </c>
      <c r="D233" t="s">
        <v>1175</v>
      </c>
      <c r="E233" t="s">
        <v>1176</v>
      </c>
      <c r="F233" t="s">
        <v>233</v>
      </c>
      <c r="G233" t="s">
        <v>277</v>
      </c>
      <c r="J233" t="s">
        <v>278</v>
      </c>
      <c r="K233">
        <v>2023</v>
      </c>
      <c r="L233">
        <v>202310</v>
      </c>
      <c r="M233">
        <v>202310</v>
      </c>
      <c r="N233" t="s">
        <v>279</v>
      </c>
      <c r="O233" t="s">
        <v>230</v>
      </c>
      <c r="P233" t="s">
        <v>280</v>
      </c>
      <c r="Q233" t="s">
        <v>233</v>
      </c>
      <c r="R233" t="s">
        <v>277</v>
      </c>
      <c r="S233" t="s">
        <v>64</v>
      </c>
      <c r="T233" s="105" t="str">
        <f>_xlfn.XLOOKUP(Tabla1[[#This Row],[Universidad]],Conversiones!$B:$B,Conversiones!$C:$C)</f>
        <v>City University of Hong Kong</v>
      </c>
      <c r="U233" s="105" t="str">
        <f>_xlfn.XLOOKUP(Tabla1[[#This Row],[Universidad KPIs]],Conversiones!$C:$C,Conversiones!$E:$E)</f>
        <v>Específico</v>
      </c>
      <c r="V233" t="s">
        <v>65</v>
      </c>
      <c r="W233" t="s">
        <v>568</v>
      </c>
      <c r="X233" s="2">
        <v>44949</v>
      </c>
      <c r="Y233" s="2">
        <v>45073</v>
      </c>
      <c r="Z233">
        <v>124</v>
      </c>
    </row>
    <row r="234" spans="1:26">
      <c r="A234" s="103" t="s">
        <v>1177</v>
      </c>
      <c r="B234" s="1">
        <v>202020568</v>
      </c>
      <c r="C234" s="1" t="s">
        <v>331</v>
      </c>
      <c r="D234" s="1" t="s">
        <v>1178</v>
      </c>
      <c r="E234" s="1" t="s">
        <v>1179</v>
      </c>
      <c r="F234" s="1" t="s">
        <v>233</v>
      </c>
      <c r="G234" s="1" t="s">
        <v>277</v>
      </c>
      <c r="H234" s="1"/>
      <c r="I234" s="1"/>
      <c r="J234" s="1" t="s">
        <v>278</v>
      </c>
      <c r="K234" s="1">
        <v>2023</v>
      </c>
      <c r="L234" s="1">
        <v>202310</v>
      </c>
      <c r="M234" s="1">
        <v>202310</v>
      </c>
      <c r="N234" s="1" t="s">
        <v>279</v>
      </c>
      <c r="O234" s="1" t="s">
        <v>230</v>
      </c>
      <c r="P234" s="1" t="s">
        <v>280</v>
      </c>
      <c r="Q234" s="1" t="s">
        <v>233</v>
      </c>
      <c r="R234" s="1" t="s">
        <v>277</v>
      </c>
      <c r="S234" s="1" t="s">
        <v>366</v>
      </c>
      <c r="T234" s="105" t="str">
        <f>_xlfn.XLOOKUP(Tabla1[[#This Row],[Universidad]],Conversiones!$B:$B,Conversiones!$C:$C)</f>
        <v>HEC Montréal</v>
      </c>
      <c r="U234" s="105" t="str">
        <f>_xlfn.XLOOKUP(Tabla1[[#This Row],[Universidad KPIs]],Conversiones!$C:$C,Conversiones!$E:$E)</f>
        <v>Específico</v>
      </c>
      <c r="V234" s="1" t="s">
        <v>74</v>
      </c>
      <c r="W234" s="1" t="s">
        <v>291</v>
      </c>
      <c r="X234" s="87">
        <v>44949</v>
      </c>
      <c r="Y234" s="87">
        <v>45073</v>
      </c>
      <c r="Z234" s="1">
        <v>124</v>
      </c>
    </row>
    <row r="235" spans="1:26">
      <c r="A235" s="102" t="s">
        <v>1180</v>
      </c>
      <c r="B235">
        <v>201914594</v>
      </c>
      <c r="C235" t="s">
        <v>1181</v>
      </c>
      <c r="D235" t="s">
        <v>1182</v>
      </c>
      <c r="E235" t="s">
        <v>1183</v>
      </c>
      <c r="F235" t="s">
        <v>233</v>
      </c>
      <c r="G235" t="s">
        <v>277</v>
      </c>
      <c r="J235" t="s">
        <v>278</v>
      </c>
      <c r="K235">
        <v>2023</v>
      </c>
      <c r="L235">
        <v>202310</v>
      </c>
      <c r="M235">
        <v>202310</v>
      </c>
      <c r="N235" t="s">
        <v>279</v>
      </c>
      <c r="O235" t="s">
        <v>230</v>
      </c>
      <c r="P235" t="s">
        <v>280</v>
      </c>
      <c r="Q235" t="s">
        <v>233</v>
      </c>
      <c r="R235" t="s">
        <v>277</v>
      </c>
      <c r="S235" t="s">
        <v>366</v>
      </c>
      <c r="T235" s="105" t="str">
        <f>_xlfn.XLOOKUP(Tabla1[[#This Row],[Universidad]],Conversiones!$B:$B,Conversiones!$C:$C)</f>
        <v>HEC Montréal</v>
      </c>
      <c r="U235" s="105" t="str">
        <f>_xlfn.XLOOKUP(Tabla1[[#This Row],[Universidad KPIs]],Conversiones!$C:$C,Conversiones!$E:$E)</f>
        <v>Específico</v>
      </c>
      <c r="V235" t="s">
        <v>74</v>
      </c>
      <c r="W235" t="s">
        <v>291</v>
      </c>
      <c r="X235" s="2">
        <v>44949</v>
      </c>
      <c r="Y235" s="2">
        <v>45073</v>
      </c>
      <c r="Z235">
        <v>124</v>
      </c>
    </row>
    <row r="236" spans="1:26">
      <c r="A236" s="103" t="s">
        <v>1184</v>
      </c>
      <c r="B236" s="1">
        <v>201912183</v>
      </c>
      <c r="C236" s="1" t="s">
        <v>1185</v>
      </c>
      <c r="D236" s="1" t="s">
        <v>1186</v>
      </c>
      <c r="E236" s="1" t="s">
        <v>1187</v>
      </c>
      <c r="F236" s="1" t="s">
        <v>491</v>
      </c>
      <c r="G236" s="1" t="s">
        <v>492</v>
      </c>
      <c r="H236" s="1" t="s">
        <v>233</v>
      </c>
      <c r="I236" s="1" t="s">
        <v>277</v>
      </c>
      <c r="J236" s="1" t="s">
        <v>278</v>
      </c>
      <c r="K236" s="1">
        <v>2023</v>
      </c>
      <c r="L236" s="1">
        <v>202310</v>
      </c>
      <c r="M236" s="1">
        <v>202310</v>
      </c>
      <c r="N236" s="1" t="s">
        <v>279</v>
      </c>
      <c r="O236" s="1" t="s">
        <v>230</v>
      </c>
      <c r="P236" s="1" t="s">
        <v>280</v>
      </c>
      <c r="Q236" s="1" t="s">
        <v>233</v>
      </c>
      <c r="R236" s="1" t="s">
        <v>277</v>
      </c>
      <c r="S236" s="1" t="s">
        <v>66</v>
      </c>
      <c r="T236" s="105" t="str">
        <f>_xlfn.XLOOKUP(Tabla1[[#This Row],[Universidad]],Conversiones!$B:$B,Conversiones!$C:$C)</f>
        <v>EDHEC Business School</v>
      </c>
      <c r="U236" s="105" t="str">
        <f>_xlfn.XLOOKUP(Tabla1[[#This Row],[Universidad KPIs]],Conversiones!$C:$C,Conversiones!$E:$E)</f>
        <v>Específico</v>
      </c>
      <c r="V236" s="1" t="s">
        <v>57</v>
      </c>
      <c r="W236" s="1" t="s">
        <v>281</v>
      </c>
      <c r="X236" s="87">
        <v>44949</v>
      </c>
      <c r="Y236" s="87">
        <v>45073</v>
      </c>
      <c r="Z236" s="1">
        <v>124</v>
      </c>
    </row>
    <row r="237" spans="1:26">
      <c r="A237" s="102" t="s">
        <v>1188</v>
      </c>
      <c r="B237">
        <v>202021752</v>
      </c>
      <c r="C237" t="s">
        <v>331</v>
      </c>
      <c r="D237" t="s">
        <v>1189</v>
      </c>
      <c r="E237" t="s">
        <v>1190</v>
      </c>
      <c r="F237" t="s">
        <v>233</v>
      </c>
      <c r="G237" t="s">
        <v>277</v>
      </c>
      <c r="J237" t="s">
        <v>278</v>
      </c>
      <c r="K237">
        <v>2023</v>
      </c>
      <c r="L237">
        <v>202310</v>
      </c>
      <c r="M237">
        <v>202310</v>
      </c>
      <c r="N237" t="s">
        <v>279</v>
      </c>
      <c r="O237" t="s">
        <v>230</v>
      </c>
      <c r="P237" t="s">
        <v>280</v>
      </c>
      <c r="Q237" t="s">
        <v>233</v>
      </c>
      <c r="R237" t="s">
        <v>277</v>
      </c>
      <c r="S237" t="s">
        <v>66</v>
      </c>
      <c r="T237" s="105" t="str">
        <f>_xlfn.XLOOKUP(Tabla1[[#This Row],[Universidad]],Conversiones!$B:$B,Conversiones!$C:$C)</f>
        <v>EDHEC Business School</v>
      </c>
      <c r="U237" s="105" t="str">
        <f>_xlfn.XLOOKUP(Tabla1[[#This Row],[Universidad KPIs]],Conversiones!$C:$C,Conversiones!$E:$E)</f>
        <v>Específico</v>
      </c>
      <c r="V237" t="s">
        <v>57</v>
      </c>
      <c r="W237" t="s">
        <v>281</v>
      </c>
      <c r="X237" s="2">
        <v>44949</v>
      </c>
      <c r="Y237" s="2">
        <v>45073</v>
      </c>
      <c r="Z237">
        <v>124</v>
      </c>
    </row>
    <row r="238" spans="1:26">
      <c r="A238" s="103" t="s">
        <v>1191</v>
      </c>
      <c r="B238" s="1">
        <v>201922757</v>
      </c>
      <c r="C238" s="1" t="s">
        <v>358</v>
      </c>
      <c r="D238" s="1" t="s">
        <v>1192</v>
      </c>
      <c r="E238" s="1" t="s">
        <v>1193</v>
      </c>
      <c r="F238" s="1" t="s">
        <v>233</v>
      </c>
      <c r="G238" s="1" t="s">
        <v>277</v>
      </c>
      <c r="H238" s="1"/>
      <c r="I238" s="1"/>
      <c r="J238" s="1" t="s">
        <v>278</v>
      </c>
      <c r="K238" s="1">
        <v>2023</v>
      </c>
      <c r="L238" s="1">
        <v>202310</v>
      </c>
      <c r="M238" s="1">
        <v>202310</v>
      </c>
      <c r="N238" s="1" t="s">
        <v>279</v>
      </c>
      <c r="O238" s="1" t="s">
        <v>230</v>
      </c>
      <c r="P238" s="1" t="s">
        <v>280</v>
      </c>
      <c r="Q238" s="1" t="s">
        <v>233</v>
      </c>
      <c r="R238" s="1" t="s">
        <v>277</v>
      </c>
      <c r="S238" s="1" t="s">
        <v>419</v>
      </c>
      <c r="T238" s="105" t="str">
        <f>_xlfn.XLOOKUP(Tabla1[[#This Row],[Universidad]],Conversiones!$B:$B,Conversiones!$C:$C)</f>
        <v>ESCP</v>
      </c>
      <c r="U238" s="105" t="str">
        <f>_xlfn.XLOOKUP(Tabla1[[#This Row],[Universidad KPIs]],Conversiones!$C:$C,Conversiones!$E:$E)</f>
        <v>Específico</v>
      </c>
      <c r="V238" s="1" t="s">
        <v>57</v>
      </c>
      <c r="W238" s="1" t="s">
        <v>281</v>
      </c>
      <c r="X238" s="87">
        <v>44949</v>
      </c>
      <c r="Y238" s="87">
        <v>45073</v>
      </c>
      <c r="Z238" s="1">
        <v>124</v>
      </c>
    </row>
    <row r="239" spans="1:26">
      <c r="A239" s="102" t="s">
        <v>1194</v>
      </c>
      <c r="B239">
        <v>201923210</v>
      </c>
      <c r="C239" t="s">
        <v>395</v>
      </c>
      <c r="D239" t="s">
        <v>1195</v>
      </c>
      <c r="E239" t="s">
        <v>1196</v>
      </c>
      <c r="F239" t="s">
        <v>233</v>
      </c>
      <c r="G239" t="s">
        <v>277</v>
      </c>
      <c r="J239" t="s">
        <v>278</v>
      </c>
      <c r="K239">
        <v>2023</v>
      </c>
      <c r="L239">
        <v>202310</v>
      </c>
      <c r="M239">
        <v>202310</v>
      </c>
      <c r="N239" t="s">
        <v>279</v>
      </c>
      <c r="O239" t="s">
        <v>230</v>
      </c>
      <c r="P239" t="s">
        <v>280</v>
      </c>
      <c r="Q239" t="s">
        <v>233</v>
      </c>
      <c r="R239" t="s">
        <v>277</v>
      </c>
      <c r="S239" t="s">
        <v>419</v>
      </c>
      <c r="T239" s="105" t="str">
        <f>_xlfn.XLOOKUP(Tabla1[[#This Row],[Universidad]],Conversiones!$B:$B,Conversiones!$C:$C)</f>
        <v>ESCP</v>
      </c>
      <c r="U239" s="105" t="str">
        <f>_xlfn.XLOOKUP(Tabla1[[#This Row],[Universidad KPIs]],Conversiones!$C:$C,Conversiones!$E:$E)</f>
        <v>Específico</v>
      </c>
      <c r="V239" t="s">
        <v>57</v>
      </c>
      <c r="W239" t="s">
        <v>281</v>
      </c>
      <c r="X239" s="2">
        <v>44949</v>
      </c>
      <c r="Y239" s="2">
        <v>45073</v>
      </c>
      <c r="Z239">
        <v>124</v>
      </c>
    </row>
    <row r="240" spans="1:26">
      <c r="A240" s="103" t="s">
        <v>1197</v>
      </c>
      <c r="B240" s="1">
        <v>201922497</v>
      </c>
      <c r="C240" s="1" t="s">
        <v>977</v>
      </c>
      <c r="D240" s="1" t="s">
        <v>1198</v>
      </c>
      <c r="E240" s="1" t="s">
        <v>1199</v>
      </c>
      <c r="F240" s="1" t="s">
        <v>233</v>
      </c>
      <c r="G240" s="1" t="s">
        <v>277</v>
      </c>
      <c r="H240" s="1"/>
      <c r="I240" s="1"/>
      <c r="J240" s="1" t="s">
        <v>278</v>
      </c>
      <c r="K240" s="1">
        <v>2023</v>
      </c>
      <c r="L240" s="1">
        <v>202310</v>
      </c>
      <c r="M240" s="1">
        <v>202310</v>
      </c>
      <c r="N240" s="1" t="s">
        <v>279</v>
      </c>
      <c r="O240" s="1" t="s">
        <v>230</v>
      </c>
      <c r="P240" s="1" t="s">
        <v>280</v>
      </c>
      <c r="Q240" s="1" t="s">
        <v>233</v>
      </c>
      <c r="R240" s="1" t="s">
        <v>277</v>
      </c>
      <c r="S240" s="1" t="s">
        <v>329</v>
      </c>
      <c r="T240" s="105" t="str">
        <f>_xlfn.XLOOKUP(Tabla1[[#This Row],[Universidad]],Conversiones!$B:$B,Conversiones!$C:$C)</f>
        <v>ESSEC</v>
      </c>
      <c r="U240" s="105" t="str">
        <f>_xlfn.XLOOKUP(Tabla1[[#This Row],[Universidad KPIs]],Conversiones!$C:$C,Conversiones!$E:$E)</f>
        <v>Específico</v>
      </c>
      <c r="V240" s="1" t="s">
        <v>57</v>
      </c>
      <c r="W240" s="1" t="s">
        <v>281</v>
      </c>
      <c r="X240" s="87">
        <v>44949</v>
      </c>
      <c r="Y240" s="87">
        <v>45073</v>
      </c>
      <c r="Z240" s="1">
        <v>124</v>
      </c>
    </row>
    <row r="241" spans="1:26">
      <c r="A241" s="102" t="s">
        <v>1200</v>
      </c>
      <c r="B241">
        <v>201922863</v>
      </c>
      <c r="C241" t="s">
        <v>694</v>
      </c>
      <c r="D241" t="s">
        <v>1201</v>
      </c>
      <c r="E241" t="s">
        <v>1202</v>
      </c>
      <c r="F241" t="s">
        <v>233</v>
      </c>
      <c r="G241" t="s">
        <v>277</v>
      </c>
      <c r="J241" t="s">
        <v>278</v>
      </c>
      <c r="K241">
        <v>2023</v>
      </c>
      <c r="L241">
        <v>202310</v>
      </c>
      <c r="M241">
        <v>202310</v>
      </c>
      <c r="N241" t="s">
        <v>279</v>
      </c>
      <c r="O241" t="s">
        <v>230</v>
      </c>
      <c r="P241" t="s">
        <v>280</v>
      </c>
      <c r="Q241" t="s">
        <v>233</v>
      </c>
      <c r="R241" t="s">
        <v>277</v>
      </c>
      <c r="S241" t="s">
        <v>329</v>
      </c>
      <c r="T241" s="105" t="str">
        <f>_xlfn.XLOOKUP(Tabla1[[#This Row],[Universidad]],Conversiones!$B:$B,Conversiones!$C:$C)</f>
        <v>ESSEC</v>
      </c>
      <c r="U241" s="105" t="str">
        <f>_xlfn.XLOOKUP(Tabla1[[#This Row],[Universidad KPIs]],Conversiones!$C:$C,Conversiones!$E:$E)</f>
        <v>Específico</v>
      </c>
      <c r="V241" t="s">
        <v>57</v>
      </c>
      <c r="W241" t="s">
        <v>281</v>
      </c>
      <c r="X241" s="2">
        <v>44949</v>
      </c>
      <c r="Y241" s="2">
        <v>45073</v>
      </c>
      <c r="Z241">
        <v>124</v>
      </c>
    </row>
    <row r="242" spans="1:26">
      <c r="A242" s="103" t="s">
        <v>1203</v>
      </c>
      <c r="B242" s="1">
        <v>201913215</v>
      </c>
      <c r="C242" s="1" t="s">
        <v>1204</v>
      </c>
      <c r="D242" s="1" t="s">
        <v>1205</v>
      </c>
      <c r="E242" s="1" t="s">
        <v>1206</v>
      </c>
      <c r="F242" s="1" t="s">
        <v>233</v>
      </c>
      <c r="G242" s="1" t="s">
        <v>277</v>
      </c>
      <c r="H242" s="1" t="s">
        <v>491</v>
      </c>
      <c r="I242" s="1" t="s">
        <v>492</v>
      </c>
      <c r="J242" s="1" t="s">
        <v>278</v>
      </c>
      <c r="K242" s="1">
        <v>2023</v>
      </c>
      <c r="L242" s="1">
        <v>202310</v>
      </c>
      <c r="M242" s="1">
        <v>202310</v>
      </c>
      <c r="N242" s="1" t="s">
        <v>279</v>
      </c>
      <c r="O242" s="1" t="s">
        <v>230</v>
      </c>
      <c r="P242" s="1" t="s">
        <v>280</v>
      </c>
      <c r="Q242" s="1" t="s">
        <v>233</v>
      </c>
      <c r="R242" s="1" t="s">
        <v>277</v>
      </c>
      <c r="S242" s="1" t="s">
        <v>393</v>
      </c>
      <c r="T242" s="105" t="str">
        <f>_xlfn.XLOOKUP(Tabla1[[#This Row],[Universidad]],Conversiones!$B:$B,Conversiones!$C:$C)</f>
        <v>Frankfurt School of Finance and Management</v>
      </c>
      <c r="U242" s="105" t="str">
        <f>_xlfn.XLOOKUP(Tabla1[[#This Row],[Universidad KPIs]],Conversiones!$C:$C,Conversiones!$E:$E)</f>
        <v>Específico</v>
      </c>
      <c r="V242" s="1" t="s">
        <v>76</v>
      </c>
      <c r="W242" s="1" t="s">
        <v>281</v>
      </c>
      <c r="X242" s="87">
        <v>44949</v>
      </c>
      <c r="Y242" s="87">
        <v>45073</v>
      </c>
      <c r="Z242" s="1">
        <v>124</v>
      </c>
    </row>
    <row r="243" spans="1:26">
      <c r="A243" s="102" t="s">
        <v>1207</v>
      </c>
      <c r="B243">
        <v>202014993</v>
      </c>
      <c r="C243" t="s">
        <v>1208</v>
      </c>
      <c r="D243" t="s">
        <v>1209</v>
      </c>
      <c r="E243" t="s">
        <v>1210</v>
      </c>
      <c r="F243" t="s">
        <v>233</v>
      </c>
      <c r="G243" t="s">
        <v>277</v>
      </c>
      <c r="H243" t="s">
        <v>537</v>
      </c>
      <c r="I243" t="s">
        <v>538</v>
      </c>
      <c r="J243" t="s">
        <v>278</v>
      </c>
      <c r="K243">
        <v>2023</v>
      </c>
      <c r="L243">
        <v>202310</v>
      </c>
      <c r="M243">
        <v>202310</v>
      </c>
      <c r="N243" t="s">
        <v>279</v>
      </c>
      <c r="O243" t="s">
        <v>230</v>
      </c>
      <c r="P243" t="s">
        <v>280</v>
      </c>
      <c r="Q243" t="s">
        <v>233</v>
      </c>
      <c r="R243" t="s">
        <v>277</v>
      </c>
      <c r="S243" t="s">
        <v>77</v>
      </c>
      <c r="T243" s="105" t="str">
        <f>_xlfn.XLOOKUP(Tabla1[[#This Row],[Universidad]],Conversiones!$B:$B,Conversiones!$C:$C)</f>
        <v>Fundação Getulio Vargas</v>
      </c>
      <c r="U243" s="105" t="str">
        <f>_xlfn.XLOOKUP(Tabla1[[#This Row],[Universidad KPIs]],Conversiones!$C:$C,Conversiones!$E:$E)</f>
        <v>Específico</v>
      </c>
      <c r="V243" t="s">
        <v>78</v>
      </c>
      <c r="W243" t="s">
        <v>296</v>
      </c>
      <c r="X243" s="2">
        <v>44949</v>
      </c>
      <c r="Y243" s="2">
        <v>45073</v>
      </c>
      <c r="Z243">
        <v>124</v>
      </c>
    </row>
    <row r="244" spans="1:26">
      <c r="A244" s="103" t="s">
        <v>1211</v>
      </c>
      <c r="B244" s="1">
        <v>201921912</v>
      </c>
      <c r="C244" s="1" t="s">
        <v>1212</v>
      </c>
      <c r="D244" s="1" t="s">
        <v>1213</v>
      </c>
      <c r="E244" s="1" t="s">
        <v>1214</v>
      </c>
      <c r="F244" s="1" t="s">
        <v>233</v>
      </c>
      <c r="G244" s="1" t="s">
        <v>277</v>
      </c>
      <c r="H244" s="1"/>
      <c r="I244" s="1"/>
      <c r="J244" s="1" t="s">
        <v>278</v>
      </c>
      <c r="K244" s="1">
        <v>2023</v>
      </c>
      <c r="L244" s="1">
        <v>202310</v>
      </c>
      <c r="M244" s="1">
        <v>202310</v>
      </c>
      <c r="N244" s="1" t="s">
        <v>279</v>
      </c>
      <c r="O244" s="1" t="s">
        <v>230</v>
      </c>
      <c r="P244" s="1" t="s">
        <v>280</v>
      </c>
      <c r="Q244" s="1" t="s">
        <v>233</v>
      </c>
      <c r="R244" s="1" t="s">
        <v>277</v>
      </c>
      <c r="S244" s="1" t="s">
        <v>77</v>
      </c>
      <c r="T244" s="105" t="str">
        <f>_xlfn.XLOOKUP(Tabla1[[#This Row],[Universidad]],Conversiones!$B:$B,Conversiones!$C:$C)</f>
        <v>Fundação Getulio Vargas</v>
      </c>
      <c r="U244" s="105" t="str">
        <f>_xlfn.XLOOKUP(Tabla1[[#This Row],[Universidad KPIs]],Conversiones!$C:$C,Conversiones!$E:$E)</f>
        <v>Específico</v>
      </c>
      <c r="V244" s="1" t="s">
        <v>78</v>
      </c>
      <c r="W244" s="1" t="s">
        <v>296</v>
      </c>
      <c r="X244" s="87">
        <v>44949</v>
      </c>
      <c r="Y244" s="87">
        <v>45073</v>
      </c>
      <c r="Z244" s="1">
        <v>124</v>
      </c>
    </row>
    <row r="245" spans="1:26">
      <c r="A245" s="102" t="s">
        <v>1215</v>
      </c>
      <c r="B245">
        <v>202021003</v>
      </c>
      <c r="C245" t="s">
        <v>586</v>
      </c>
      <c r="D245" t="s">
        <v>1216</v>
      </c>
      <c r="E245" t="s">
        <v>1217</v>
      </c>
      <c r="F245" t="s">
        <v>233</v>
      </c>
      <c r="G245" t="s">
        <v>277</v>
      </c>
      <c r="J245" t="s">
        <v>278</v>
      </c>
      <c r="K245">
        <v>2023</v>
      </c>
      <c r="L245">
        <v>202310</v>
      </c>
      <c r="M245">
        <v>202310</v>
      </c>
      <c r="N245" t="s">
        <v>279</v>
      </c>
      <c r="O245" t="s">
        <v>230</v>
      </c>
      <c r="P245" t="s">
        <v>280</v>
      </c>
      <c r="Q245" t="s">
        <v>233</v>
      </c>
      <c r="R245" t="s">
        <v>277</v>
      </c>
      <c r="S245" t="s">
        <v>650</v>
      </c>
      <c r="T245" s="105" t="str">
        <f>_xlfn.XLOOKUP(Tabla1[[#This Row],[Universidad]],Conversiones!$B:$B,Conversiones!$C:$C)</f>
        <v>Grenoble. École de Management</v>
      </c>
      <c r="U245" s="105" t="str">
        <f>_xlfn.XLOOKUP(Tabla1[[#This Row],[Universidad KPIs]],Conversiones!$C:$C,Conversiones!$E:$E)</f>
        <v>Específico</v>
      </c>
      <c r="V245" t="s">
        <v>57</v>
      </c>
      <c r="W245" t="s">
        <v>281</v>
      </c>
      <c r="X245" s="2">
        <v>44949</v>
      </c>
      <c r="Y245" s="2">
        <v>45073</v>
      </c>
      <c r="Z245">
        <v>124</v>
      </c>
    </row>
    <row r="246" spans="1:26">
      <c r="A246" s="103" t="s">
        <v>1218</v>
      </c>
      <c r="B246" s="1">
        <v>201624136</v>
      </c>
      <c r="C246" s="1" t="s">
        <v>1219</v>
      </c>
      <c r="D246" s="1" t="s">
        <v>1220</v>
      </c>
      <c r="E246" s="1" t="s">
        <v>1221</v>
      </c>
      <c r="F246" s="1" t="s">
        <v>233</v>
      </c>
      <c r="G246" s="1" t="s">
        <v>277</v>
      </c>
      <c r="H246" s="1" t="s">
        <v>491</v>
      </c>
      <c r="I246" s="1" t="s">
        <v>492</v>
      </c>
      <c r="J246" s="1" t="s">
        <v>278</v>
      </c>
      <c r="K246" s="1">
        <v>2023</v>
      </c>
      <c r="L246" s="1">
        <v>202310</v>
      </c>
      <c r="M246" s="1">
        <v>202310</v>
      </c>
      <c r="N246" s="1" t="s">
        <v>279</v>
      </c>
      <c r="O246" s="1" t="s">
        <v>230</v>
      </c>
      <c r="P246" s="1" t="s">
        <v>280</v>
      </c>
      <c r="Q246" s="1" t="s">
        <v>233</v>
      </c>
      <c r="R246" s="1" t="s">
        <v>277</v>
      </c>
      <c r="S246" s="1" t="s">
        <v>441</v>
      </c>
      <c r="T246" s="105" t="str">
        <f>_xlfn.XLOOKUP(Tabla1[[#This Row],[Universidad]],Conversiones!$B:$B,Conversiones!$C:$C)</f>
        <v xml:space="preserve">CBS- Copenhagen Business School  </v>
      </c>
      <c r="U246" s="105" t="str">
        <f>_xlfn.XLOOKUP(Tabla1[[#This Row],[Universidad KPIs]],Conversiones!$C:$C,Conversiones!$E:$E)</f>
        <v>Específico</v>
      </c>
      <c r="V246" s="1" t="s">
        <v>63</v>
      </c>
      <c r="W246" s="1" t="s">
        <v>281</v>
      </c>
      <c r="X246" s="87">
        <v>44949</v>
      </c>
      <c r="Y246" s="87">
        <v>45073</v>
      </c>
      <c r="Z246" s="1">
        <v>124</v>
      </c>
    </row>
    <row r="247" spans="1:26">
      <c r="A247" s="102" t="s">
        <v>1222</v>
      </c>
      <c r="B247">
        <v>202011065</v>
      </c>
      <c r="C247" t="s">
        <v>586</v>
      </c>
      <c r="D247" t="s">
        <v>1223</v>
      </c>
      <c r="E247" t="s">
        <v>1224</v>
      </c>
      <c r="F247" t="s">
        <v>233</v>
      </c>
      <c r="G247" t="s">
        <v>277</v>
      </c>
      <c r="J247" t="s">
        <v>278</v>
      </c>
      <c r="K247">
        <v>2023</v>
      </c>
      <c r="L247">
        <v>202310</v>
      </c>
      <c r="M247">
        <v>202310</v>
      </c>
      <c r="N247" t="s">
        <v>279</v>
      </c>
      <c r="O247" t="s">
        <v>230</v>
      </c>
      <c r="P247" t="s">
        <v>280</v>
      </c>
      <c r="Q247" t="s">
        <v>233</v>
      </c>
      <c r="R247" t="s">
        <v>277</v>
      </c>
      <c r="S247" t="s">
        <v>559</v>
      </c>
      <c r="T247" s="105" t="str">
        <f>_xlfn.XLOOKUP(Tabla1[[#This Row],[Universidad]],Conversiones!$B:$B,Conversiones!$C:$C)</f>
        <v>ICN Business School - Institut Commercial de Nancy</v>
      </c>
      <c r="U247" s="105" t="str">
        <f>_xlfn.XLOOKUP(Tabla1[[#This Row],[Universidad KPIs]],Conversiones!$C:$C,Conversiones!$E:$E)</f>
        <v>Específico</v>
      </c>
      <c r="V247" t="s">
        <v>57</v>
      </c>
      <c r="W247" t="s">
        <v>281</v>
      </c>
      <c r="X247" s="2">
        <v>44949</v>
      </c>
      <c r="Y247" s="2">
        <v>45073</v>
      </c>
      <c r="Z247">
        <v>124</v>
      </c>
    </row>
    <row r="248" spans="1:26">
      <c r="A248" s="103" t="s">
        <v>1225</v>
      </c>
      <c r="B248" s="1">
        <v>202013460</v>
      </c>
      <c r="C248" s="1" t="s">
        <v>288</v>
      </c>
      <c r="D248" s="1" t="s">
        <v>1226</v>
      </c>
      <c r="E248" s="1" t="s">
        <v>1227</v>
      </c>
      <c r="F248" s="1" t="s">
        <v>233</v>
      </c>
      <c r="G248" s="1" t="s">
        <v>277</v>
      </c>
      <c r="H248" s="1"/>
      <c r="I248" s="1"/>
      <c r="J248" s="1" t="s">
        <v>278</v>
      </c>
      <c r="K248" s="1">
        <v>2023</v>
      </c>
      <c r="L248" s="1">
        <v>202310</v>
      </c>
      <c r="M248" s="1">
        <v>202310</v>
      </c>
      <c r="N248" s="1" t="s">
        <v>279</v>
      </c>
      <c r="O248" s="1" t="s">
        <v>230</v>
      </c>
      <c r="P248" s="1" t="s">
        <v>280</v>
      </c>
      <c r="Q248" s="1" t="s">
        <v>233</v>
      </c>
      <c r="R248" s="1" t="s">
        <v>277</v>
      </c>
      <c r="S248" s="1" t="s">
        <v>559</v>
      </c>
      <c r="T248" s="105" t="str">
        <f>_xlfn.XLOOKUP(Tabla1[[#This Row],[Universidad]],Conversiones!$B:$B,Conversiones!$C:$C)</f>
        <v>ICN Business School - Institut Commercial de Nancy</v>
      </c>
      <c r="U248" s="105" t="str">
        <f>_xlfn.XLOOKUP(Tabla1[[#This Row],[Universidad KPIs]],Conversiones!$C:$C,Conversiones!$E:$E)</f>
        <v>Específico</v>
      </c>
      <c r="V248" s="1" t="s">
        <v>57</v>
      </c>
      <c r="W248" s="1" t="s">
        <v>281</v>
      </c>
      <c r="X248" s="87">
        <v>44949</v>
      </c>
      <c r="Y248" s="87">
        <v>45073</v>
      </c>
      <c r="Z248" s="1">
        <v>124</v>
      </c>
    </row>
    <row r="249" spans="1:26">
      <c r="A249" s="102" t="s">
        <v>1228</v>
      </c>
      <c r="B249">
        <v>202020784</v>
      </c>
      <c r="C249" t="s">
        <v>897</v>
      </c>
      <c r="D249" t="s">
        <v>1229</v>
      </c>
      <c r="E249" t="s">
        <v>1230</v>
      </c>
      <c r="F249" t="s">
        <v>233</v>
      </c>
      <c r="G249" t="s">
        <v>277</v>
      </c>
      <c r="J249" t="s">
        <v>278</v>
      </c>
      <c r="K249">
        <v>2023</v>
      </c>
      <c r="L249">
        <v>202310</v>
      </c>
      <c r="M249">
        <v>202310</v>
      </c>
      <c r="N249" t="s">
        <v>279</v>
      </c>
      <c r="O249" t="s">
        <v>230</v>
      </c>
      <c r="P249" t="s">
        <v>280</v>
      </c>
      <c r="Q249" t="s">
        <v>233</v>
      </c>
      <c r="R249" t="s">
        <v>277</v>
      </c>
      <c r="S249" t="s">
        <v>639</v>
      </c>
      <c r="T249" s="105" t="str">
        <f>_xlfn.XLOOKUP(Tabla1[[#This Row],[Universidad]],Conversiones!$B:$B,Conversiones!$C:$C)</f>
        <v>IE Instituto Empresa</v>
      </c>
      <c r="U249" s="105" t="str">
        <f>_xlfn.XLOOKUP(Tabla1[[#This Row],[Universidad KPIs]],Conversiones!$C:$C,Conversiones!$E:$E)</f>
        <v>Específico</v>
      </c>
      <c r="V249" t="s">
        <v>69</v>
      </c>
      <c r="W249" t="s">
        <v>281</v>
      </c>
      <c r="X249" s="2">
        <v>44949</v>
      </c>
      <c r="Y249" s="2">
        <v>45073</v>
      </c>
      <c r="Z249">
        <v>124</v>
      </c>
    </row>
    <row r="250" spans="1:26">
      <c r="A250" s="103" t="s">
        <v>1231</v>
      </c>
      <c r="B250" s="1">
        <v>201820723</v>
      </c>
      <c r="C250" s="1" t="s">
        <v>759</v>
      </c>
      <c r="D250" s="1" t="s">
        <v>1232</v>
      </c>
      <c r="E250" s="1" t="s">
        <v>1233</v>
      </c>
      <c r="F250" s="1" t="s">
        <v>491</v>
      </c>
      <c r="G250" s="1" t="s">
        <v>492</v>
      </c>
      <c r="H250" s="1" t="s">
        <v>233</v>
      </c>
      <c r="I250" s="1" t="s">
        <v>277</v>
      </c>
      <c r="J250" s="1" t="s">
        <v>278</v>
      </c>
      <c r="K250" s="1">
        <v>2023</v>
      </c>
      <c r="L250" s="1">
        <v>202310</v>
      </c>
      <c r="M250" s="1">
        <v>202310</v>
      </c>
      <c r="N250" s="1" t="s">
        <v>279</v>
      </c>
      <c r="O250" s="1" t="s">
        <v>230</v>
      </c>
      <c r="P250" s="1" t="s">
        <v>280</v>
      </c>
      <c r="Q250" s="1" t="s">
        <v>233</v>
      </c>
      <c r="R250" s="1" t="s">
        <v>277</v>
      </c>
      <c r="S250" s="1" t="s">
        <v>812</v>
      </c>
      <c r="T250" s="105" t="str">
        <f>_xlfn.XLOOKUP(Tabla1[[#This Row],[Universidad]],Conversiones!$B:$B,Conversiones!$C:$C)</f>
        <v>ITESM-EGADE -Instituto tecnológico y de estudios superiores de Monterrey</v>
      </c>
      <c r="U250" s="105" t="str">
        <f>_xlfn.XLOOKUP(Tabla1[[#This Row],[Universidad KPIs]],Conversiones!$C:$C,Conversiones!$E:$E)</f>
        <v>Específico</v>
      </c>
      <c r="V250" s="1" t="s">
        <v>87</v>
      </c>
      <c r="W250" s="1" t="s">
        <v>291</v>
      </c>
      <c r="X250" s="87">
        <v>44949</v>
      </c>
      <c r="Y250" s="87">
        <v>45073</v>
      </c>
      <c r="Z250" s="1">
        <v>124</v>
      </c>
    </row>
    <row r="251" spans="1:26">
      <c r="A251" s="102" t="s">
        <v>1234</v>
      </c>
      <c r="B251">
        <v>202021981</v>
      </c>
      <c r="C251" t="s">
        <v>577</v>
      </c>
      <c r="D251" t="s">
        <v>1235</v>
      </c>
      <c r="E251" t="s">
        <v>1236</v>
      </c>
      <c r="F251" t="s">
        <v>233</v>
      </c>
      <c r="G251" t="s">
        <v>277</v>
      </c>
      <c r="J251" t="s">
        <v>278</v>
      </c>
      <c r="K251">
        <v>2023</v>
      </c>
      <c r="L251">
        <v>202310</v>
      </c>
      <c r="M251">
        <v>202310</v>
      </c>
      <c r="N251" t="s">
        <v>279</v>
      </c>
      <c r="O251" t="s">
        <v>230</v>
      </c>
      <c r="P251" t="s">
        <v>280</v>
      </c>
      <c r="Q251" t="s">
        <v>233</v>
      </c>
      <c r="R251" t="s">
        <v>277</v>
      </c>
      <c r="S251" t="s">
        <v>351</v>
      </c>
      <c r="T251" s="105" t="str">
        <f>_xlfn.XLOOKUP(Tabla1[[#This Row],[Universidad]],Conversiones!$B:$B,Conversiones!$C:$C)</f>
        <v>KLU Kühne Logistics University</v>
      </c>
      <c r="U251" s="105" t="str">
        <f>_xlfn.XLOOKUP(Tabla1[[#This Row],[Universidad KPIs]],Conversiones!$C:$C,Conversiones!$E:$E)</f>
        <v>Específico</v>
      </c>
      <c r="V251" t="s">
        <v>76</v>
      </c>
      <c r="W251" t="s">
        <v>281</v>
      </c>
      <c r="X251" s="2">
        <v>44949</v>
      </c>
      <c r="Y251" s="2">
        <v>45073</v>
      </c>
      <c r="Z251">
        <v>124</v>
      </c>
    </row>
    <row r="252" spans="1:26">
      <c r="A252" s="103" t="s">
        <v>1237</v>
      </c>
      <c r="B252" s="1">
        <v>201820550</v>
      </c>
      <c r="C252" s="1" t="s">
        <v>499</v>
      </c>
      <c r="D252" s="1" t="s">
        <v>1238</v>
      </c>
      <c r="E252" s="1" t="s">
        <v>1239</v>
      </c>
      <c r="F252" s="1" t="s">
        <v>491</v>
      </c>
      <c r="G252" s="1" t="s">
        <v>492</v>
      </c>
      <c r="H252" s="1" t="s">
        <v>233</v>
      </c>
      <c r="I252" s="1" t="s">
        <v>277</v>
      </c>
      <c r="J252" s="1" t="s">
        <v>278</v>
      </c>
      <c r="K252" s="1">
        <v>2023</v>
      </c>
      <c r="L252" s="1">
        <v>202310</v>
      </c>
      <c r="M252" s="1">
        <v>202310</v>
      </c>
      <c r="N252" s="1" t="s">
        <v>279</v>
      </c>
      <c r="O252" s="1" t="s">
        <v>230</v>
      </c>
      <c r="P252" s="1" t="s">
        <v>280</v>
      </c>
      <c r="Q252" s="1" t="s">
        <v>233</v>
      </c>
      <c r="R252" s="1" t="s">
        <v>277</v>
      </c>
      <c r="S252" s="1" t="s">
        <v>94</v>
      </c>
      <c r="T252" s="105" t="str">
        <f>_xlfn.XLOOKUP(Tabla1[[#This Row],[Universidad]],Conversiones!$B:$B,Conversiones!$C:$C)</f>
        <v>Maastricht University</v>
      </c>
      <c r="U252" s="105" t="str">
        <f>_xlfn.XLOOKUP(Tabla1[[#This Row],[Universidad KPIs]],Conversiones!$C:$C,Conversiones!$E:$E)</f>
        <v>Específico</v>
      </c>
      <c r="V252" s="1" t="s">
        <v>95</v>
      </c>
      <c r="W252" s="1" t="s">
        <v>281</v>
      </c>
      <c r="X252" s="87">
        <v>44949</v>
      </c>
      <c r="Y252" s="87">
        <v>45073</v>
      </c>
      <c r="Z252" s="1">
        <v>124</v>
      </c>
    </row>
    <row r="253" spans="1:26">
      <c r="A253" s="102" t="s">
        <v>1240</v>
      </c>
      <c r="B253">
        <v>201921583</v>
      </c>
      <c r="C253" t="s">
        <v>600</v>
      </c>
      <c r="D253" t="s">
        <v>1241</v>
      </c>
      <c r="E253" t="s">
        <v>1242</v>
      </c>
      <c r="F253" t="s">
        <v>233</v>
      </c>
      <c r="G253" t="s">
        <v>277</v>
      </c>
      <c r="J253" t="s">
        <v>278</v>
      </c>
      <c r="K253">
        <v>2023</v>
      </c>
      <c r="L253">
        <v>202310</v>
      </c>
      <c r="M253">
        <v>202310</v>
      </c>
      <c r="N253" t="s">
        <v>279</v>
      </c>
      <c r="O253" t="s">
        <v>230</v>
      </c>
      <c r="P253" t="s">
        <v>280</v>
      </c>
      <c r="Q253" t="s">
        <v>233</v>
      </c>
      <c r="R253" t="s">
        <v>277</v>
      </c>
      <c r="S253" t="s">
        <v>94</v>
      </c>
      <c r="T253" s="105" t="str">
        <f>_xlfn.XLOOKUP(Tabla1[[#This Row],[Universidad]],Conversiones!$B:$B,Conversiones!$C:$C)</f>
        <v>Maastricht University</v>
      </c>
      <c r="U253" s="105" t="str">
        <f>_xlfn.XLOOKUP(Tabla1[[#This Row],[Universidad KPIs]],Conversiones!$C:$C,Conversiones!$E:$E)</f>
        <v>Específico</v>
      </c>
      <c r="V253" t="s">
        <v>95</v>
      </c>
      <c r="W253" t="s">
        <v>281</v>
      </c>
      <c r="X253" s="2">
        <v>44949</v>
      </c>
      <c r="Y253" s="2">
        <v>45073</v>
      </c>
      <c r="Z253">
        <v>124</v>
      </c>
    </row>
    <row r="254" spans="1:26">
      <c r="A254" s="103" t="s">
        <v>1243</v>
      </c>
      <c r="B254" s="1">
        <v>201912057</v>
      </c>
      <c r="C254" s="1" t="s">
        <v>358</v>
      </c>
      <c r="D254" s="1" t="s">
        <v>1244</v>
      </c>
      <c r="E254" s="1" t="s">
        <v>1245</v>
      </c>
      <c r="F254" s="1" t="s">
        <v>233</v>
      </c>
      <c r="G254" s="1" t="s">
        <v>277</v>
      </c>
      <c r="H254" s="1"/>
      <c r="I254" s="1"/>
      <c r="J254" s="1" t="s">
        <v>278</v>
      </c>
      <c r="K254" s="1">
        <v>2023</v>
      </c>
      <c r="L254" s="1">
        <v>202310</v>
      </c>
      <c r="M254" s="1">
        <v>202310</v>
      </c>
      <c r="N254" s="1" t="s">
        <v>279</v>
      </c>
      <c r="O254" s="1" t="s">
        <v>230</v>
      </c>
      <c r="P254" s="1" t="s">
        <v>280</v>
      </c>
      <c r="Q254" s="1" t="s">
        <v>233</v>
      </c>
      <c r="R254" s="1" t="s">
        <v>277</v>
      </c>
      <c r="S254" s="1" t="s">
        <v>94</v>
      </c>
      <c r="T254" s="105" t="str">
        <f>_xlfn.XLOOKUP(Tabla1[[#This Row],[Universidad]],Conversiones!$B:$B,Conversiones!$C:$C)</f>
        <v>Maastricht University</v>
      </c>
      <c r="U254" s="105" t="str">
        <f>_xlfn.XLOOKUP(Tabla1[[#This Row],[Universidad KPIs]],Conversiones!$C:$C,Conversiones!$E:$E)</f>
        <v>Específico</v>
      </c>
      <c r="V254" s="1" t="s">
        <v>95</v>
      </c>
      <c r="W254" s="1" t="s">
        <v>281</v>
      </c>
      <c r="X254" s="87">
        <v>44949</v>
      </c>
      <c r="Y254" s="87">
        <v>45073</v>
      </c>
      <c r="Z254" s="1">
        <v>124</v>
      </c>
    </row>
    <row r="255" spans="1:26">
      <c r="A255" s="102" t="s">
        <v>1246</v>
      </c>
      <c r="B255">
        <v>201912081</v>
      </c>
      <c r="C255" t="s">
        <v>1247</v>
      </c>
      <c r="D255" t="s">
        <v>1248</v>
      </c>
      <c r="E255" t="s">
        <v>1249</v>
      </c>
      <c r="F255" t="s">
        <v>233</v>
      </c>
      <c r="G255" t="s">
        <v>277</v>
      </c>
      <c r="H255" t="s">
        <v>1250</v>
      </c>
      <c r="I255" t="s">
        <v>544</v>
      </c>
      <c r="J255" t="s">
        <v>278</v>
      </c>
      <c r="K255">
        <v>2023</v>
      </c>
      <c r="L255">
        <v>202310</v>
      </c>
      <c r="M255">
        <v>202310</v>
      </c>
      <c r="N255" t="s">
        <v>279</v>
      </c>
      <c r="O255" t="s">
        <v>230</v>
      </c>
      <c r="P255" t="s">
        <v>280</v>
      </c>
      <c r="Q255" t="s">
        <v>233</v>
      </c>
      <c r="R255" t="s">
        <v>277</v>
      </c>
      <c r="S255" t="s">
        <v>94</v>
      </c>
      <c r="T255" s="105" t="str">
        <f>_xlfn.XLOOKUP(Tabla1[[#This Row],[Universidad]],Conversiones!$B:$B,Conversiones!$C:$C)</f>
        <v>Maastricht University</v>
      </c>
      <c r="U255" s="105" t="str">
        <f>_xlfn.XLOOKUP(Tabla1[[#This Row],[Universidad KPIs]],Conversiones!$C:$C,Conversiones!$E:$E)</f>
        <v>Específico</v>
      </c>
      <c r="V255" t="s">
        <v>95</v>
      </c>
      <c r="W255" t="s">
        <v>281</v>
      </c>
      <c r="X255" s="2">
        <v>44949</v>
      </c>
      <c r="Y255" s="2">
        <v>45073</v>
      </c>
      <c r="Z255">
        <v>124</v>
      </c>
    </row>
    <row r="256" spans="1:26">
      <c r="A256" s="103" t="s">
        <v>1251</v>
      </c>
      <c r="B256" s="1">
        <v>201923754</v>
      </c>
      <c r="C256" s="1" t="s">
        <v>1252</v>
      </c>
      <c r="D256" s="1" t="s">
        <v>1253</v>
      </c>
      <c r="E256" s="1" t="s">
        <v>1254</v>
      </c>
      <c r="F256" s="1" t="s">
        <v>233</v>
      </c>
      <c r="G256" s="1" t="s">
        <v>277</v>
      </c>
      <c r="H256" s="1"/>
      <c r="I256" s="1"/>
      <c r="J256" s="1" t="s">
        <v>278</v>
      </c>
      <c r="K256" s="1">
        <v>2023</v>
      </c>
      <c r="L256" s="1">
        <v>202310</v>
      </c>
      <c r="M256" s="1">
        <v>202310</v>
      </c>
      <c r="N256" s="1" t="s">
        <v>279</v>
      </c>
      <c r="O256" s="1" t="s">
        <v>230</v>
      </c>
      <c r="P256" s="1" t="s">
        <v>280</v>
      </c>
      <c r="Q256" s="1" t="s">
        <v>233</v>
      </c>
      <c r="R256" s="1" t="s">
        <v>277</v>
      </c>
      <c r="S256" s="1" t="s">
        <v>94</v>
      </c>
      <c r="T256" s="105" t="str">
        <f>_xlfn.XLOOKUP(Tabla1[[#This Row],[Universidad]],Conversiones!$B:$B,Conversiones!$C:$C)</f>
        <v>Maastricht University</v>
      </c>
      <c r="U256" s="105" t="str">
        <f>_xlfn.XLOOKUP(Tabla1[[#This Row],[Universidad KPIs]],Conversiones!$C:$C,Conversiones!$E:$E)</f>
        <v>Específico</v>
      </c>
      <c r="V256" s="1" t="s">
        <v>95</v>
      </c>
      <c r="W256" s="1" t="s">
        <v>281</v>
      </c>
      <c r="X256" s="87">
        <v>44949</v>
      </c>
      <c r="Y256" s="87">
        <v>45073</v>
      </c>
      <c r="Z256" s="1">
        <v>124</v>
      </c>
    </row>
    <row r="257" spans="1:26">
      <c r="A257" s="102" t="s">
        <v>1255</v>
      </c>
      <c r="B257">
        <v>201815766</v>
      </c>
      <c r="C257" t="s">
        <v>694</v>
      </c>
      <c r="D257" t="s">
        <v>1256</v>
      </c>
      <c r="E257" t="s">
        <v>1257</v>
      </c>
      <c r="F257" t="s">
        <v>233</v>
      </c>
      <c r="G257" t="s">
        <v>277</v>
      </c>
      <c r="H257" t="s">
        <v>491</v>
      </c>
      <c r="I257" t="s">
        <v>492</v>
      </c>
      <c r="J257" t="s">
        <v>278</v>
      </c>
      <c r="K257">
        <v>2023</v>
      </c>
      <c r="L257">
        <v>202310</v>
      </c>
      <c r="M257">
        <v>202310</v>
      </c>
      <c r="N257" t="s">
        <v>279</v>
      </c>
      <c r="O257" t="s">
        <v>230</v>
      </c>
      <c r="P257" t="s">
        <v>280</v>
      </c>
      <c r="Q257" t="s">
        <v>233</v>
      </c>
      <c r="R257" t="s">
        <v>277</v>
      </c>
      <c r="S257" t="s">
        <v>94</v>
      </c>
      <c r="T257" s="105" t="str">
        <f>_xlfn.XLOOKUP(Tabla1[[#This Row],[Universidad]],Conversiones!$B:$B,Conversiones!$C:$C)</f>
        <v>Maastricht University</v>
      </c>
      <c r="U257" s="105" t="str">
        <f>_xlfn.XLOOKUP(Tabla1[[#This Row],[Universidad KPIs]],Conversiones!$C:$C,Conversiones!$E:$E)</f>
        <v>Específico</v>
      </c>
      <c r="V257" t="s">
        <v>95</v>
      </c>
      <c r="W257" t="s">
        <v>281</v>
      </c>
      <c r="X257" s="2">
        <v>44949</v>
      </c>
      <c r="Y257" s="2">
        <v>45073</v>
      </c>
      <c r="Z257">
        <v>124</v>
      </c>
    </row>
    <row r="258" spans="1:26">
      <c r="A258" s="103" t="s">
        <v>1258</v>
      </c>
      <c r="B258" s="1">
        <v>201923608</v>
      </c>
      <c r="C258" s="1" t="s">
        <v>1259</v>
      </c>
      <c r="D258" s="1" t="s">
        <v>1260</v>
      </c>
      <c r="E258" s="1" t="s">
        <v>1261</v>
      </c>
      <c r="F258" s="1" t="s">
        <v>233</v>
      </c>
      <c r="G258" s="1" t="s">
        <v>277</v>
      </c>
      <c r="H258" s="1"/>
      <c r="I258" s="1"/>
      <c r="J258" s="1" t="s">
        <v>278</v>
      </c>
      <c r="K258" s="1">
        <v>2023</v>
      </c>
      <c r="L258" s="1">
        <v>202310</v>
      </c>
      <c r="M258" s="1">
        <v>202310</v>
      </c>
      <c r="N258" s="1" t="s">
        <v>279</v>
      </c>
      <c r="O258" s="1" t="s">
        <v>230</v>
      </c>
      <c r="P258" s="1" t="s">
        <v>280</v>
      </c>
      <c r="Q258" s="1" t="s">
        <v>233</v>
      </c>
      <c r="R258" s="1" t="s">
        <v>277</v>
      </c>
      <c r="S258" s="1" t="s">
        <v>94</v>
      </c>
      <c r="T258" s="105" t="str">
        <f>_xlfn.XLOOKUP(Tabla1[[#This Row],[Universidad]],Conversiones!$B:$B,Conversiones!$C:$C)</f>
        <v>Maastricht University</v>
      </c>
      <c r="U258" s="105" t="str">
        <f>_xlfn.XLOOKUP(Tabla1[[#This Row],[Universidad KPIs]],Conversiones!$C:$C,Conversiones!$E:$E)</f>
        <v>Específico</v>
      </c>
      <c r="V258" s="1" t="s">
        <v>95</v>
      </c>
      <c r="W258" s="1" t="s">
        <v>281</v>
      </c>
      <c r="X258" s="87">
        <v>44949</v>
      </c>
      <c r="Y258" s="87">
        <v>45073</v>
      </c>
      <c r="Z258" s="1">
        <v>124</v>
      </c>
    </row>
    <row r="259" spans="1:26">
      <c r="A259" s="102" t="s">
        <v>1262</v>
      </c>
      <c r="B259">
        <v>201922843</v>
      </c>
      <c r="C259" t="s">
        <v>434</v>
      </c>
      <c r="D259" t="s">
        <v>1263</v>
      </c>
      <c r="E259" t="s">
        <v>1264</v>
      </c>
      <c r="F259" t="s">
        <v>233</v>
      </c>
      <c r="G259" t="s">
        <v>277</v>
      </c>
      <c r="J259" t="s">
        <v>278</v>
      </c>
      <c r="K259">
        <v>2023</v>
      </c>
      <c r="L259">
        <v>202310</v>
      </c>
      <c r="M259">
        <v>202310</v>
      </c>
      <c r="N259" t="s">
        <v>279</v>
      </c>
      <c r="O259" t="s">
        <v>230</v>
      </c>
      <c r="P259" t="s">
        <v>280</v>
      </c>
      <c r="Q259" t="s">
        <v>233</v>
      </c>
      <c r="R259" t="s">
        <v>277</v>
      </c>
      <c r="S259" t="s">
        <v>94</v>
      </c>
      <c r="T259" s="105" t="str">
        <f>_xlfn.XLOOKUP(Tabla1[[#This Row],[Universidad]],Conversiones!$B:$B,Conversiones!$C:$C)</f>
        <v>Maastricht University</v>
      </c>
      <c r="U259" s="105" t="str">
        <f>_xlfn.XLOOKUP(Tabla1[[#This Row],[Universidad KPIs]],Conversiones!$C:$C,Conversiones!$E:$E)</f>
        <v>Específico</v>
      </c>
      <c r="V259" t="s">
        <v>95</v>
      </c>
      <c r="W259" t="s">
        <v>281</v>
      </c>
      <c r="X259" s="2">
        <v>44949</v>
      </c>
      <c r="Y259" s="2">
        <v>45073</v>
      </c>
      <c r="Z259">
        <v>124</v>
      </c>
    </row>
    <row r="260" spans="1:26">
      <c r="A260" s="103" t="s">
        <v>1265</v>
      </c>
      <c r="B260" s="1">
        <v>201922587</v>
      </c>
      <c r="C260" s="1" t="s">
        <v>317</v>
      </c>
      <c r="D260" s="1" t="s">
        <v>1266</v>
      </c>
      <c r="E260" s="1" t="s">
        <v>1267</v>
      </c>
      <c r="F260" s="1" t="s">
        <v>233</v>
      </c>
      <c r="G260" s="1" t="s">
        <v>277</v>
      </c>
      <c r="H260" s="1"/>
      <c r="I260" s="1"/>
      <c r="J260" s="1" t="s">
        <v>278</v>
      </c>
      <c r="K260" s="1">
        <v>2023</v>
      </c>
      <c r="L260" s="1">
        <v>202310</v>
      </c>
      <c r="M260" s="1">
        <v>202310</v>
      </c>
      <c r="N260" s="1" t="s">
        <v>279</v>
      </c>
      <c r="O260" s="1" t="s">
        <v>230</v>
      </c>
      <c r="P260" s="1" t="s">
        <v>280</v>
      </c>
      <c r="Q260" s="1" t="s">
        <v>233</v>
      </c>
      <c r="R260" s="1" t="s">
        <v>277</v>
      </c>
      <c r="S260" s="1" t="s">
        <v>567</v>
      </c>
      <c r="T260" s="105" t="str">
        <f>_xlfn.XLOOKUP(Tabla1[[#This Row],[Universidad]],Conversiones!$B:$B,Conversiones!$C:$C)</f>
        <v>NUCB- Nagoya University of commerce and business</v>
      </c>
      <c r="U260" s="105" t="str">
        <f>_xlfn.XLOOKUP(Tabla1[[#This Row],[Universidad KPIs]],Conversiones!$C:$C,Conversiones!$E:$E)</f>
        <v>Específico</v>
      </c>
      <c r="V260" s="1" t="s">
        <v>101</v>
      </c>
      <c r="W260" s="1" t="s">
        <v>568</v>
      </c>
      <c r="X260" s="87">
        <v>44949</v>
      </c>
      <c r="Y260" s="87">
        <v>45073</v>
      </c>
      <c r="Z260" s="1">
        <v>124</v>
      </c>
    </row>
    <row r="261" spans="1:26">
      <c r="A261" s="102" t="s">
        <v>1268</v>
      </c>
      <c r="B261">
        <v>201819983</v>
      </c>
      <c r="C261" t="s">
        <v>992</v>
      </c>
      <c r="D261" t="s">
        <v>1269</v>
      </c>
      <c r="E261" t="s">
        <v>1270</v>
      </c>
      <c r="F261" t="s">
        <v>233</v>
      </c>
      <c r="G261" t="s">
        <v>277</v>
      </c>
      <c r="J261" t="s">
        <v>278</v>
      </c>
      <c r="K261">
        <v>2023</v>
      </c>
      <c r="L261">
        <v>202310</v>
      </c>
      <c r="M261">
        <v>202310</v>
      </c>
      <c r="N261" t="s">
        <v>279</v>
      </c>
      <c r="O261" t="s">
        <v>230</v>
      </c>
      <c r="P261" t="s">
        <v>280</v>
      </c>
      <c r="Q261" t="s">
        <v>233</v>
      </c>
      <c r="R261" t="s">
        <v>277</v>
      </c>
      <c r="S261" t="s">
        <v>286</v>
      </c>
      <c r="T261" s="105" t="str">
        <f>_xlfn.XLOOKUP(Tabla1[[#This Row],[Universidad]],Conversiones!$B:$B,Conversiones!$C:$C)</f>
        <v>ESC Rouen (NEOMA)</v>
      </c>
      <c r="U261" s="105" t="str">
        <f>_xlfn.XLOOKUP(Tabla1[[#This Row],[Universidad KPIs]],Conversiones!$C:$C,Conversiones!$E:$E)</f>
        <v>Específico</v>
      </c>
      <c r="V261" t="s">
        <v>57</v>
      </c>
      <c r="W261" t="s">
        <v>281</v>
      </c>
      <c r="X261" s="2">
        <v>44949</v>
      </c>
      <c r="Y261" s="2">
        <v>45073</v>
      </c>
      <c r="Z261">
        <v>124</v>
      </c>
    </row>
    <row r="262" spans="1:26">
      <c r="A262" s="103" t="s">
        <v>1271</v>
      </c>
      <c r="B262" s="1">
        <v>201922763</v>
      </c>
      <c r="C262" s="1" t="s">
        <v>499</v>
      </c>
      <c r="D262" s="1" t="s">
        <v>1272</v>
      </c>
      <c r="E262" s="1" t="s">
        <v>1273</v>
      </c>
      <c r="F262" s="1" t="s">
        <v>233</v>
      </c>
      <c r="G262" s="1" t="s">
        <v>277</v>
      </c>
      <c r="H262" s="1"/>
      <c r="I262" s="1"/>
      <c r="J262" s="1" t="s">
        <v>278</v>
      </c>
      <c r="K262" s="1">
        <v>2023</v>
      </c>
      <c r="L262" s="1">
        <v>202310</v>
      </c>
      <c r="M262" s="1">
        <v>202310</v>
      </c>
      <c r="N262" s="1" t="s">
        <v>279</v>
      </c>
      <c r="O262" s="1" t="s">
        <v>230</v>
      </c>
      <c r="P262" s="1" t="s">
        <v>280</v>
      </c>
      <c r="Q262" s="1" t="s">
        <v>233</v>
      </c>
      <c r="R262" s="1" t="s">
        <v>277</v>
      </c>
      <c r="S262" s="1" t="s">
        <v>286</v>
      </c>
      <c r="T262" s="105" t="str">
        <f>_xlfn.XLOOKUP(Tabla1[[#This Row],[Universidad]],Conversiones!$B:$B,Conversiones!$C:$C)</f>
        <v>ESC Rouen (NEOMA)</v>
      </c>
      <c r="U262" s="105" t="str">
        <f>_xlfn.XLOOKUP(Tabla1[[#This Row],[Universidad KPIs]],Conversiones!$C:$C,Conversiones!$E:$E)</f>
        <v>Específico</v>
      </c>
      <c r="V262" s="1" t="s">
        <v>57</v>
      </c>
      <c r="W262" s="1" t="s">
        <v>281</v>
      </c>
      <c r="X262" s="87">
        <v>44949</v>
      </c>
      <c r="Y262" s="87">
        <v>45073</v>
      </c>
      <c r="Z262" s="1">
        <v>124</v>
      </c>
    </row>
    <row r="263" spans="1:26">
      <c r="A263" s="102" t="s">
        <v>1274</v>
      </c>
      <c r="B263">
        <v>201914203</v>
      </c>
      <c r="C263" t="s">
        <v>331</v>
      </c>
      <c r="D263" t="s">
        <v>1275</v>
      </c>
      <c r="E263" t="s">
        <v>1276</v>
      </c>
      <c r="F263" t="s">
        <v>233</v>
      </c>
      <c r="G263" t="s">
        <v>277</v>
      </c>
      <c r="H263" t="s">
        <v>543</v>
      </c>
      <c r="I263" t="s">
        <v>544</v>
      </c>
      <c r="J263" t="s">
        <v>278</v>
      </c>
      <c r="K263">
        <v>2023</v>
      </c>
      <c r="L263">
        <v>202310</v>
      </c>
      <c r="M263">
        <v>202310</v>
      </c>
      <c r="N263" t="s">
        <v>279</v>
      </c>
      <c r="O263" t="s">
        <v>230</v>
      </c>
      <c r="P263" t="s">
        <v>280</v>
      </c>
      <c r="Q263" t="s">
        <v>233</v>
      </c>
      <c r="R263" t="s">
        <v>277</v>
      </c>
      <c r="S263" t="s">
        <v>286</v>
      </c>
      <c r="T263" s="105" t="str">
        <f>_xlfn.XLOOKUP(Tabla1[[#This Row],[Universidad]],Conversiones!$B:$B,Conversiones!$C:$C)</f>
        <v>ESC Rouen (NEOMA)</v>
      </c>
      <c r="U263" s="105" t="str">
        <f>_xlfn.XLOOKUP(Tabla1[[#This Row],[Universidad KPIs]],Conversiones!$C:$C,Conversiones!$E:$E)</f>
        <v>Específico</v>
      </c>
      <c r="V263" t="s">
        <v>57</v>
      </c>
      <c r="W263" t="s">
        <v>281</v>
      </c>
      <c r="X263" s="2">
        <v>44949</v>
      </c>
      <c r="Y263" s="2">
        <v>45073</v>
      </c>
      <c r="Z263">
        <v>124</v>
      </c>
    </row>
    <row r="264" spans="1:26">
      <c r="A264" s="103" t="s">
        <v>1277</v>
      </c>
      <c r="B264" s="1">
        <v>201822094</v>
      </c>
      <c r="C264" s="1" t="s">
        <v>771</v>
      </c>
      <c r="D264" s="1" t="s">
        <v>1278</v>
      </c>
      <c r="E264" s="1" t="s">
        <v>1279</v>
      </c>
      <c r="F264" s="1" t="s">
        <v>491</v>
      </c>
      <c r="G264" s="1" t="s">
        <v>492</v>
      </c>
      <c r="H264" s="1" t="s">
        <v>233</v>
      </c>
      <c r="I264" s="1" t="s">
        <v>277</v>
      </c>
      <c r="J264" s="1" t="s">
        <v>278</v>
      </c>
      <c r="K264" s="1">
        <v>2023</v>
      </c>
      <c r="L264" s="1">
        <v>202310</v>
      </c>
      <c r="M264" s="1">
        <v>202310</v>
      </c>
      <c r="N264" s="1" t="s">
        <v>279</v>
      </c>
      <c r="O264" s="1" t="s">
        <v>230</v>
      </c>
      <c r="P264" s="1" t="s">
        <v>280</v>
      </c>
      <c r="Q264" s="1" t="s">
        <v>233</v>
      </c>
      <c r="R264" s="1" t="s">
        <v>277</v>
      </c>
      <c r="S264" s="1" t="s">
        <v>148</v>
      </c>
      <c r="T264" s="105" t="str">
        <f>_xlfn.XLOOKUP(Tabla1[[#This Row],[Universidad]],Conversiones!$B:$B,Conversiones!$C:$C)</f>
        <v>Northumbria University, Newcastle</v>
      </c>
      <c r="U264" s="105" t="str">
        <f>_xlfn.XLOOKUP(Tabla1[[#This Row],[Universidad KPIs]],Conversiones!$C:$C,Conversiones!$E:$E)</f>
        <v>General</v>
      </c>
      <c r="V264" s="1" t="s">
        <v>55</v>
      </c>
      <c r="W264" s="1" t="s">
        <v>281</v>
      </c>
      <c r="X264" s="87">
        <v>44949</v>
      </c>
      <c r="Y264" s="87">
        <v>45073</v>
      </c>
      <c r="Z264" s="1">
        <v>124</v>
      </c>
    </row>
    <row r="265" spans="1:26">
      <c r="A265" s="102" t="s">
        <v>1280</v>
      </c>
      <c r="B265">
        <v>202022371</v>
      </c>
      <c r="C265" t="s">
        <v>534</v>
      </c>
      <c r="D265" t="s">
        <v>1281</v>
      </c>
      <c r="E265" t="s">
        <v>1282</v>
      </c>
      <c r="F265" t="s">
        <v>233</v>
      </c>
      <c r="G265" t="s">
        <v>277</v>
      </c>
      <c r="J265" t="s">
        <v>278</v>
      </c>
      <c r="K265">
        <v>2023</v>
      </c>
      <c r="L265">
        <v>202310</v>
      </c>
      <c r="M265">
        <v>202310</v>
      </c>
      <c r="N265" t="s">
        <v>279</v>
      </c>
      <c r="O265" t="s">
        <v>230</v>
      </c>
      <c r="P265" t="s">
        <v>280</v>
      </c>
      <c r="Q265" t="s">
        <v>233</v>
      </c>
      <c r="R265" t="s">
        <v>277</v>
      </c>
      <c r="S265" t="s">
        <v>567</v>
      </c>
      <c r="T265" s="105" t="str">
        <f>_xlfn.XLOOKUP(Tabla1[[#This Row],[Universidad]],Conversiones!$B:$B,Conversiones!$C:$C)</f>
        <v>NUCB- Nagoya University of commerce and business</v>
      </c>
      <c r="U265" s="105" t="str">
        <f>_xlfn.XLOOKUP(Tabla1[[#This Row],[Universidad KPIs]],Conversiones!$C:$C,Conversiones!$E:$E)</f>
        <v>Específico</v>
      </c>
      <c r="V265" t="s">
        <v>101</v>
      </c>
      <c r="W265" t="s">
        <v>568</v>
      </c>
      <c r="X265" s="2">
        <v>44949</v>
      </c>
      <c r="Y265" s="2">
        <v>45073</v>
      </c>
      <c r="Z265">
        <v>124</v>
      </c>
    </row>
    <row r="266" spans="1:26">
      <c r="A266" s="103" t="s">
        <v>1283</v>
      </c>
      <c r="B266" s="1">
        <v>201912995</v>
      </c>
      <c r="C266" s="1" t="s">
        <v>452</v>
      </c>
      <c r="D266" s="1" t="s">
        <v>1284</v>
      </c>
      <c r="E266" s="1" t="s">
        <v>1285</v>
      </c>
      <c r="F266" s="1" t="s">
        <v>233</v>
      </c>
      <c r="G266" s="1" t="s">
        <v>277</v>
      </c>
      <c r="H266" s="1"/>
      <c r="I266" s="1"/>
      <c r="J266" s="1" t="s">
        <v>278</v>
      </c>
      <c r="K266" s="1">
        <v>2023</v>
      </c>
      <c r="L266" s="1">
        <v>202310</v>
      </c>
      <c r="M266" s="1">
        <v>202310</v>
      </c>
      <c r="N266" s="1" t="s">
        <v>279</v>
      </c>
      <c r="O266" s="1" t="s">
        <v>230</v>
      </c>
      <c r="P266" s="1" t="s">
        <v>280</v>
      </c>
      <c r="Q266" s="1" t="s">
        <v>233</v>
      </c>
      <c r="R266" s="1" t="s">
        <v>277</v>
      </c>
      <c r="S266" s="1" t="s">
        <v>102</v>
      </c>
      <c r="T266" s="105" t="str">
        <f>_xlfn.XLOOKUP(Tabla1[[#This Row],[Universidad]],Conversiones!$B:$B,Conversiones!$C:$C)</f>
        <v>Politecnico di Milano</v>
      </c>
      <c r="U266" s="105" t="str">
        <f>_xlfn.XLOOKUP(Tabla1[[#This Row],[Universidad KPIs]],Conversiones!$C:$C,Conversiones!$E:$E)</f>
        <v>Específico</v>
      </c>
      <c r="V266" s="1" t="s">
        <v>103</v>
      </c>
      <c r="W266" s="1" t="s">
        <v>281</v>
      </c>
      <c r="X266" s="87">
        <v>44949</v>
      </c>
      <c r="Y266" s="87">
        <v>45073</v>
      </c>
      <c r="Z266" s="1">
        <v>124</v>
      </c>
    </row>
    <row r="267" spans="1:26">
      <c r="A267" s="102" t="s">
        <v>1286</v>
      </c>
      <c r="B267">
        <v>201822237</v>
      </c>
      <c r="C267" t="s">
        <v>1287</v>
      </c>
      <c r="D267" t="s">
        <v>1288</v>
      </c>
      <c r="E267" t="s">
        <v>1289</v>
      </c>
      <c r="F267" t="s">
        <v>233</v>
      </c>
      <c r="G267" t="s">
        <v>277</v>
      </c>
      <c r="H267" t="s">
        <v>491</v>
      </c>
      <c r="I267" t="s">
        <v>492</v>
      </c>
      <c r="J267" t="s">
        <v>278</v>
      </c>
      <c r="K267">
        <v>2023</v>
      </c>
      <c r="L267">
        <v>202310</v>
      </c>
      <c r="M267">
        <v>202310</v>
      </c>
      <c r="N267" t="s">
        <v>279</v>
      </c>
      <c r="O267" t="s">
        <v>230</v>
      </c>
      <c r="P267" t="s">
        <v>280</v>
      </c>
      <c r="Q267" t="s">
        <v>233</v>
      </c>
      <c r="R267" t="s">
        <v>277</v>
      </c>
      <c r="S267" t="s">
        <v>102</v>
      </c>
      <c r="T267" s="105" t="str">
        <f>_xlfn.XLOOKUP(Tabla1[[#This Row],[Universidad]],Conversiones!$B:$B,Conversiones!$C:$C)</f>
        <v>Politecnico di Milano</v>
      </c>
      <c r="U267" s="105" t="str">
        <f>_xlfn.XLOOKUP(Tabla1[[#This Row],[Universidad KPIs]],Conversiones!$C:$C,Conversiones!$E:$E)</f>
        <v>Específico</v>
      </c>
      <c r="V267" t="s">
        <v>103</v>
      </c>
      <c r="W267" t="s">
        <v>281</v>
      </c>
      <c r="X267" s="2">
        <v>44949</v>
      </c>
      <c r="Y267" s="2">
        <v>45073</v>
      </c>
      <c r="Z267">
        <v>124</v>
      </c>
    </row>
    <row r="268" spans="1:26">
      <c r="A268" s="103" t="s">
        <v>1290</v>
      </c>
      <c r="B268" s="1">
        <v>201913968</v>
      </c>
      <c r="C268" s="1" t="s">
        <v>1181</v>
      </c>
      <c r="D268" s="1" t="s">
        <v>1291</v>
      </c>
      <c r="E268" s="1" t="s">
        <v>1292</v>
      </c>
      <c r="F268" s="1" t="s">
        <v>233</v>
      </c>
      <c r="G268" s="1" t="s">
        <v>277</v>
      </c>
      <c r="H268" s="1"/>
      <c r="I268" s="1"/>
      <c r="J268" s="1" t="s">
        <v>278</v>
      </c>
      <c r="K268" s="1">
        <v>2023</v>
      </c>
      <c r="L268" s="1">
        <v>202310</v>
      </c>
      <c r="M268" s="1">
        <v>202310</v>
      </c>
      <c r="N268" s="1" t="s">
        <v>279</v>
      </c>
      <c r="O268" s="1" t="s">
        <v>230</v>
      </c>
      <c r="P268" s="1" t="s">
        <v>280</v>
      </c>
      <c r="Q268" s="1" t="s">
        <v>233</v>
      </c>
      <c r="R268" s="1" t="s">
        <v>277</v>
      </c>
      <c r="S268" s="1" t="s">
        <v>102</v>
      </c>
      <c r="T268" s="105" t="str">
        <f>_xlfn.XLOOKUP(Tabla1[[#This Row],[Universidad]],Conversiones!$B:$B,Conversiones!$C:$C)</f>
        <v>Politecnico di Milano</v>
      </c>
      <c r="U268" s="105" t="str">
        <f>_xlfn.XLOOKUP(Tabla1[[#This Row],[Universidad KPIs]],Conversiones!$C:$C,Conversiones!$E:$E)</f>
        <v>Específico</v>
      </c>
      <c r="V268" s="1" t="s">
        <v>103</v>
      </c>
      <c r="W268" s="1" t="s">
        <v>281</v>
      </c>
      <c r="X268" s="87">
        <v>44949</v>
      </c>
      <c r="Y268" s="87">
        <v>45073</v>
      </c>
      <c r="Z268" s="1">
        <v>124</v>
      </c>
    </row>
    <row r="269" spans="1:26">
      <c r="A269" s="102" t="s">
        <v>1293</v>
      </c>
      <c r="B269">
        <v>201913892</v>
      </c>
      <c r="C269" t="s">
        <v>1294</v>
      </c>
      <c r="D269" t="s">
        <v>1295</v>
      </c>
      <c r="E269" t="s">
        <v>1296</v>
      </c>
      <c r="F269" t="s">
        <v>233</v>
      </c>
      <c r="G269" t="s">
        <v>277</v>
      </c>
      <c r="J269" t="s">
        <v>278</v>
      </c>
      <c r="K269">
        <v>2023</v>
      </c>
      <c r="L269">
        <v>202310</v>
      </c>
      <c r="M269">
        <v>202310</v>
      </c>
      <c r="N269" t="s">
        <v>279</v>
      </c>
      <c r="O269" t="s">
        <v>230</v>
      </c>
      <c r="P269" t="s">
        <v>865</v>
      </c>
      <c r="Q269" t="s">
        <v>233</v>
      </c>
      <c r="R269" t="s">
        <v>277</v>
      </c>
      <c r="S269" t="s">
        <v>150</v>
      </c>
      <c r="T269" s="105" t="str">
        <f>_xlfn.XLOOKUP(Tabla1[[#This Row],[Universidad]],Conversiones!$B:$B,Conversiones!$C:$C)</f>
        <v>Pontificia Universidad Católica del Perú</v>
      </c>
      <c r="U269" s="105" t="str">
        <f>_xlfn.XLOOKUP(Tabla1[[#This Row],[Universidad KPIs]],Conversiones!$C:$C,Conversiones!$E:$E)</f>
        <v>General</v>
      </c>
      <c r="V269" t="s">
        <v>112</v>
      </c>
      <c r="W269" t="s">
        <v>296</v>
      </c>
      <c r="X269" s="2">
        <v>44949</v>
      </c>
      <c r="Y269" s="2">
        <v>45073</v>
      </c>
      <c r="Z269">
        <v>124</v>
      </c>
    </row>
    <row r="270" spans="1:26">
      <c r="A270" s="103" t="s">
        <v>1297</v>
      </c>
      <c r="B270" s="1">
        <v>202022187</v>
      </c>
      <c r="C270" s="1" t="s">
        <v>1298</v>
      </c>
      <c r="D270" s="1" t="s">
        <v>1299</v>
      </c>
      <c r="E270" s="1" t="s">
        <v>1300</v>
      </c>
      <c r="F270" s="1" t="s">
        <v>233</v>
      </c>
      <c r="G270" s="1" t="s">
        <v>277</v>
      </c>
      <c r="H270" s="1"/>
      <c r="I270" s="1"/>
      <c r="J270" s="1" t="s">
        <v>278</v>
      </c>
      <c r="K270" s="1">
        <v>2023</v>
      </c>
      <c r="L270" s="1">
        <v>202310</v>
      </c>
      <c r="M270" s="1">
        <v>202310</v>
      </c>
      <c r="N270" s="1" t="s">
        <v>279</v>
      </c>
      <c r="O270" s="1" t="s">
        <v>230</v>
      </c>
      <c r="P270" s="1" t="s">
        <v>280</v>
      </c>
      <c r="Q270" s="1" t="s">
        <v>233</v>
      </c>
      <c r="R270" s="1" t="s">
        <v>277</v>
      </c>
      <c r="S270" s="1" t="s">
        <v>769</v>
      </c>
      <c r="T270" s="105" t="str">
        <f>_xlfn.XLOOKUP(Tabla1[[#This Row],[Universidad]],Conversiones!$B:$B,Conversiones!$C:$C)</f>
        <v>Universidad de Tilburg</v>
      </c>
      <c r="U270" s="105" t="str">
        <f>_xlfn.XLOOKUP(Tabla1[[#This Row],[Universidad KPIs]],Conversiones!$C:$C,Conversiones!$E:$E)</f>
        <v>Específico</v>
      </c>
      <c r="V270" s="1" t="s">
        <v>95</v>
      </c>
      <c r="W270" s="1" t="s">
        <v>281</v>
      </c>
      <c r="X270" s="87">
        <v>44949</v>
      </c>
      <c r="Y270" s="87">
        <v>45073</v>
      </c>
      <c r="Z270" s="1">
        <v>124</v>
      </c>
    </row>
    <row r="271" spans="1:26">
      <c r="A271" s="102" t="s">
        <v>1301</v>
      </c>
      <c r="B271">
        <v>201922091</v>
      </c>
      <c r="C271" t="s">
        <v>1302</v>
      </c>
      <c r="D271" t="s">
        <v>1303</v>
      </c>
      <c r="E271" t="s">
        <v>1304</v>
      </c>
      <c r="F271" t="s">
        <v>233</v>
      </c>
      <c r="G271" t="s">
        <v>277</v>
      </c>
      <c r="J271" t="s">
        <v>278</v>
      </c>
      <c r="K271">
        <v>2023</v>
      </c>
      <c r="L271">
        <v>202310</v>
      </c>
      <c r="M271">
        <v>202310</v>
      </c>
      <c r="N271" t="s">
        <v>279</v>
      </c>
      <c r="O271" t="s">
        <v>230</v>
      </c>
      <c r="P271" t="s">
        <v>280</v>
      </c>
      <c r="Q271" t="s">
        <v>233</v>
      </c>
      <c r="R271" t="s">
        <v>277</v>
      </c>
      <c r="S271" t="s">
        <v>310</v>
      </c>
      <c r="T271" s="105" t="str">
        <f>_xlfn.XLOOKUP(Tabla1[[#This Row],[Universidad]],Conversiones!$B:$B,Conversiones!$C:$C)</f>
        <v>Toulouse Business School</v>
      </c>
      <c r="U271" s="105" t="str">
        <f>_xlfn.XLOOKUP(Tabla1[[#This Row],[Universidad KPIs]],Conversiones!$C:$C,Conversiones!$E:$E)</f>
        <v>Específico</v>
      </c>
      <c r="V271" t="s">
        <v>57</v>
      </c>
      <c r="W271" t="s">
        <v>281</v>
      </c>
      <c r="X271" s="2">
        <v>44949</v>
      </c>
      <c r="Y271" s="2">
        <v>45073</v>
      </c>
      <c r="Z271">
        <v>124</v>
      </c>
    </row>
    <row r="272" spans="1:26">
      <c r="A272" s="103" t="s">
        <v>1305</v>
      </c>
      <c r="B272" s="1">
        <v>201711058</v>
      </c>
      <c r="C272" s="1" t="s">
        <v>407</v>
      </c>
      <c r="D272" s="1" t="s">
        <v>1306</v>
      </c>
      <c r="E272" s="1" t="s">
        <v>1307</v>
      </c>
      <c r="F272" s="1" t="s">
        <v>233</v>
      </c>
      <c r="G272" s="1" t="s">
        <v>277</v>
      </c>
      <c r="H272" s="1"/>
      <c r="I272" s="1"/>
      <c r="J272" s="1" t="s">
        <v>278</v>
      </c>
      <c r="K272" s="1">
        <v>2023</v>
      </c>
      <c r="L272" s="1">
        <v>202310</v>
      </c>
      <c r="M272" s="1">
        <v>202310</v>
      </c>
      <c r="N272" s="1" t="s">
        <v>279</v>
      </c>
      <c r="O272" s="1" t="s">
        <v>230</v>
      </c>
      <c r="P272" s="1" t="s">
        <v>280</v>
      </c>
      <c r="Q272" s="1" t="s">
        <v>233</v>
      </c>
      <c r="R272" s="1" t="s">
        <v>277</v>
      </c>
      <c r="S272" s="1" t="s">
        <v>310</v>
      </c>
      <c r="T272" s="105" t="str">
        <f>_xlfn.XLOOKUP(Tabla1[[#This Row],[Universidad]],Conversiones!$B:$B,Conversiones!$C:$C)</f>
        <v>Toulouse Business School</v>
      </c>
      <c r="U272" s="105" t="str">
        <f>_xlfn.XLOOKUP(Tabla1[[#This Row],[Universidad KPIs]],Conversiones!$C:$C,Conversiones!$E:$E)</f>
        <v>Específico</v>
      </c>
      <c r="V272" s="1" t="s">
        <v>57</v>
      </c>
      <c r="W272" s="1" t="s">
        <v>281</v>
      </c>
      <c r="X272" s="87">
        <v>44949</v>
      </c>
      <c r="Y272" s="87">
        <v>45073</v>
      </c>
      <c r="Z272" s="1">
        <v>124</v>
      </c>
    </row>
    <row r="273" spans="1:26">
      <c r="A273" s="102" t="s">
        <v>1308</v>
      </c>
      <c r="B273">
        <v>202013791</v>
      </c>
      <c r="C273" t="s">
        <v>600</v>
      </c>
      <c r="D273" t="s">
        <v>1309</v>
      </c>
      <c r="E273" t="s">
        <v>1310</v>
      </c>
      <c r="F273" t="s">
        <v>233</v>
      </c>
      <c r="G273" t="s">
        <v>277</v>
      </c>
      <c r="H273" t="s">
        <v>648</v>
      </c>
      <c r="I273" t="s">
        <v>649</v>
      </c>
      <c r="J273" t="s">
        <v>278</v>
      </c>
      <c r="K273">
        <v>2023</v>
      </c>
      <c r="L273">
        <v>202310</v>
      </c>
      <c r="M273">
        <v>202310</v>
      </c>
      <c r="N273" t="s">
        <v>279</v>
      </c>
      <c r="O273" t="s">
        <v>230</v>
      </c>
      <c r="P273" t="s">
        <v>280</v>
      </c>
      <c r="Q273" t="s">
        <v>233</v>
      </c>
      <c r="R273" t="s">
        <v>277</v>
      </c>
      <c r="S273" t="s">
        <v>310</v>
      </c>
      <c r="T273" s="105" t="str">
        <f>_xlfn.XLOOKUP(Tabla1[[#This Row],[Universidad]],Conversiones!$B:$B,Conversiones!$C:$C)</f>
        <v>Toulouse Business School</v>
      </c>
      <c r="U273" s="105" t="str">
        <f>_xlfn.XLOOKUP(Tabla1[[#This Row],[Universidad KPIs]],Conversiones!$C:$C,Conversiones!$E:$E)</f>
        <v>Específico</v>
      </c>
      <c r="V273" t="s">
        <v>57</v>
      </c>
      <c r="W273" t="s">
        <v>281</v>
      </c>
      <c r="X273" s="2">
        <v>44949</v>
      </c>
      <c r="Y273" s="2">
        <v>45073</v>
      </c>
      <c r="Z273">
        <v>124</v>
      </c>
    </row>
    <row r="274" spans="1:26">
      <c r="A274" s="103" t="s">
        <v>1311</v>
      </c>
      <c r="B274" s="1">
        <v>201922227</v>
      </c>
      <c r="C274" s="1" t="s">
        <v>1312</v>
      </c>
      <c r="D274" s="1" t="s">
        <v>1313</v>
      </c>
      <c r="E274" s="1" t="s">
        <v>1314</v>
      </c>
      <c r="F274" s="1" t="s">
        <v>233</v>
      </c>
      <c r="G274" s="1" t="s">
        <v>277</v>
      </c>
      <c r="H274" s="1"/>
      <c r="I274" s="1"/>
      <c r="J274" s="1" t="s">
        <v>278</v>
      </c>
      <c r="K274" s="1">
        <v>2023</v>
      </c>
      <c r="L274" s="1">
        <v>202310</v>
      </c>
      <c r="M274" s="1">
        <v>202310</v>
      </c>
      <c r="N274" s="1" t="s">
        <v>279</v>
      </c>
      <c r="O274" s="1" t="s">
        <v>230</v>
      </c>
      <c r="P274" s="1" t="s">
        <v>280</v>
      </c>
      <c r="Q274" s="1" t="s">
        <v>233</v>
      </c>
      <c r="R274" s="1" t="s">
        <v>277</v>
      </c>
      <c r="S274" s="1" t="s">
        <v>372</v>
      </c>
      <c r="T274" s="105" t="str">
        <f>_xlfn.XLOOKUP(Tabla1[[#This Row],[Universidad]],Conversiones!$B:$B,Conversiones!$C:$C)</f>
        <v>A.B. Freeman School of Business, Tulane University</v>
      </c>
      <c r="U274" s="105" t="str">
        <f>_xlfn.XLOOKUP(Tabla1[[#This Row],[Universidad KPIs]],Conversiones!$C:$C,Conversiones!$E:$E)</f>
        <v>Específico</v>
      </c>
      <c r="V274" s="1" t="s">
        <v>51</v>
      </c>
      <c r="W274" s="1" t="s">
        <v>291</v>
      </c>
      <c r="X274" s="87">
        <v>44949</v>
      </c>
      <c r="Y274" s="87">
        <v>45073</v>
      </c>
      <c r="Z274" s="1">
        <v>124</v>
      </c>
    </row>
    <row r="275" spans="1:26">
      <c r="A275" s="102" t="s">
        <v>1315</v>
      </c>
      <c r="B275">
        <v>201913646</v>
      </c>
      <c r="C275" t="s">
        <v>1316</v>
      </c>
      <c r="D275" t="s">
        <v>1317</v>
      </c>
      <c r="E275" t="s">
        <v>1318</v>
      </c>
      <c r="F275" t="s">
        <v>491</v>
      </c>
      <c r="G275" t="s">
        <v>492</v>
      </c>
      <c r="H275" t="s">
        <v>233</v>
      </c>
      <c r="I275" t="s">
        <v>277</v>
      </c>
      <c r="J275" t="s">
        <v>278</v>
      </c>
      <c r="K275">
        <v>2023</v>
      </c>
      <c r="L275">
        <v>202310</v>
      </c>
      <c r="M275">
        <v>202310</v>
      </c>
      <c r="N275" t="s">
        <v>279</v>
      </c>
      <c r="O275" t="s">
        <v>230</v>
      </c>
      <c r="P275" t="s">
        <v>280</v>
      </c>
      <c r="Q275" t="s">
        <v>233</v>
      </c>
      <c r="R275" t="s">
        <v>277</v>
      </c>
      <c r="S275" t="s">
        <v>372</v>
      </c>
      <c r="T275" s="105" t="str">
        <f>_xlfn.XLOOKUP(Tabla1[[#This Row],[Universidad]],Conversiones!$B:$B,Conversiones!$C:$C)</f>
        <v>A.B. Freeman School of Business, Tulane University</v>
      </c>
      <c r="U275" s="105" t="str">
        <f>_xlfn.XLOOKUP(Tabla1[[#This Row],[Universidad KPIs]],Conversiones!$C:$C,Conversiones!$E:$E)</f>
        <v>Específico</v>
      </c>
      <c r="V275" t="s">
        <v>51</v>
      </c>
      <c r="W275" t="s">
        <v>291</v>
      </c>
      <c r="X275" s="2">
        <v>44949</v>
      </c>
      <c r="Y275" s="2">
        <v>45073</v>
      </c>
      <c r="Z275">
        <v>124</v>
      </c>
    </row>
    <row r="276" spans="1:26">
      <c r="A276" s="103" t="s">
        <v>1319</v>
      </c>
      <c r="B276" s="1">
        <v>201922840</v>
      </c>
      <c r="C276" s="1" t="s">
        <v>953</v>
      </c>
      <c r="D276" s="1" t="s">
        <v>1320</v>
      </c>
      <c r="E276" s="1" t="s">
        <v>1321</v>
      </c>
      <c r="F276" s="1" t="s">
        <v>233</v>
      </c>
      <c r="G276" s="1" t="s">
        <v>277</v>
      </c>
      <c r="H276" s="1"/>
      <c r="I276" s="1"/>
      <c r="J276" s="1" t="s">
        <v>278</v>
      </c>
      <c r="K276" s="1">
        <v>2023</v>
      </c>
      <c r="L276" s="1">
        <v>202310</v>
      </c>
      <c r="M276" s="1">
        <v>202310</v>
      </c>
      <c r="N276" s="1" t="s">
        <v>279</v>
      </c>
      <c r="O276" s="1" t="s">
        <v>230</v>
      </c>
      <c r="P276" s="1" t="s">
        <v>280</v>
      </c>
      <c r="Q276" s="1" t="s">
        <v>233</v>
      </c>
      <c r="R276" s="1" t="s">
        <v>277</v>
      </c>
      <c r="S276" s="1" t="s">
        <v>372</v>
      </c>
      <c r="T276" s="105" t="str">
        <f>_xlfn.XLOOKUP(Tabla1[[#This Row],[Universidad]],Conversiones!$B:$B,Conversiones!$C:$C)</f>
        <v>A.B. Freeman School of Business, Tulane University</v>
      </c>
      <c r="U276" s="105" t="str">
        <f>_xlfn.XLOOKUP(Tabla1[[#This Row],[Universidad KPIs]],Conversiones!$C:$C,Conversiones!$E:$E)</f>
        <v>Específico</v>
      </c>
      <c r="V276" s="1" t="s">
        <v>51</v>
      </c>
      <c r="W276" s="1" t="s">
        <v>291</v>
      </c>
      <c r="X276" s="87">
        <v>44949</v>
      </c>
      <c r="Y276" s="87">
        <v>45073</v>
      </c>
      <c r="Z276" s="1">
        <v>124</v>
      </c>
    </row>
    <row r="277" spans="1:26">
      <c r="A277" s="102" t="s">
        <v>1322</v>
      </c>
      <c r="B277">
        <v>201720451</v>
      </c>
      <c r="C277" t="s">
        <v>1323</v>
      </c>
      <c r="D277" t="s">
        <v>1324</v>
      </c>
      <c r="E277" t="s">
        <v>1325</v>
      </c>
      <c r="F277" t="s">
        <v>1326</v>
      </c>
      <c r="G277" t="s">
        <v>1026</v>
      </c>
      <c r="H277" t="s">
        <v>233</v>
      </c>
      <c r="I277" t="s">
        <v>277</v>
      </c>
      <c r="J277" t="s">
        <v>278</v>
      </c>
      <c r="K277">
        <v>2023</v>
      </c>
      <c r="L277">
        <v>202310</v>
      </c>
      <c r="M277">
        <v>202310</v>
      </c>
      <c r="N277" t="s">
        <v>279</v>
      </c>
      <c r="O277" t="s">
        <v>230</v>
      </c>
      <c r="P277" t="s">
        <v>865</v>
      </c>
      <c r="Q277" t="s">
        <v>233</v>
      </c>
      <c r="R277" t="s">
        <v>277</v>
      </c>
      <c r="S277" t="s">
        <v>160</v>
      </c>
      <c r="T277" s="105" t="str">
        <f>_xlfn.XLOOKUP(Tabla1[[#This Row],[Universidad]],Conversiones!$B:$B,Conversiones!$C:$C)</f>
        <v>Universidad de Cantabria</v>
      </c>
      <c r="U277" s="105" t="str">
        <f>_xlfn.XLOOKUP(Tabla1[[#This Row],[Universidad KPIs]],Conversiones!$C:$C,Conversiones!$E:$E)</f>
        <v>General</v>
      </c>
      <c r="V277" t="s">
        <v>69</v>
      </c>
      <c r="W277" t="s">
        <v>281</v>
      </c>
      <c r="X277" s="2">
        <v>44949</v>
      </c>
      <c r="Y277" s="2">
        <v>45073</v>
      </c>
      <c r="Z277">
        <v>124</v>
      </c>
    </row>
    <row r="278" spans="1:26">
      <c r="A278" s="103" t="s">
        <v>1327</v>
      </c>
      <c r="B278" s="1">
        <v>201820804</v>
      </c>
      <c r="C278" s="1" t="s">
        <v>734</v>
      </c>
      <c r="D278" s="1" t="s">
        <v>1328</v>
      </c>
      <c r="E278" s="1" t="s">
        <v>1329</v>
      </c>
      <c r="F278" s="1" t="s">
        <v>233</v>
      </c>
      <c r="G278" s="1" t="s">
        <v>277</v>
      </c>
      <c r="H278" s="1"/>
      <c r="I278" s="1"/>
      <c r="J278" s="1" t="s">
        <v>278</v>
      </c>
      <c r="K278" s="1">
        <v>2023</v>
      </c>
      <c r="L278" s="1">
        <v>202310</v>
      </c>
      <c r="M278" s="1">
        <v>202310</v>
      </c>
      <c r="N278" s="1" t="s">
        <v>279</v>
      </c>
      <c r="O278" s="1" t="s">
        <v>230</v>
      </c>
      <c r="P278" s="1" t="s">
        <v>865</v>
      </c>
      <c r="Q278" s="1" t="s">
        <v>233</v>
      </c>
      <c r="R278" s="1" t="s">
        <v>277</v>
      </c>
      <c r="S278" s="1" t="s">
        <v>161</v>
      </c>
      <c r="T278" s="105" t="str">
        <f>_xlfn.XLOOKUP(Tabla1[[#This Row],[Universidad]],Conversiones!$B:$B,Conversiones!$C:$C)</f>
        <v>Universidad de Málaga</v>
      </c>
      <c r="U278" s="105" t="str">
        <f>_xlfn.XLOOKUP(Tabla1[[#This Row],[Universidad KPIs]],Conversiones!$C:$C,Conversiones!$E:$E)</f>
        <v>General</v>
      </c>
      <c r="V278" s="1" t="s">
        <v>69</v>
      </c>
      <c r="W278" s="1" t="s">
        <v>281</v>
      </c>
      <c r="X278" s="87">
        <v>44949</v>
      </c>
      <c r="Y278" s="87">
        <v>45073</v>
      </c>
      <c r="Z278" s="1">
        <v>124</v>
      </c>
    </row>
    <row r="279" spans="1:26">
      <c r="A279" s="102" t="s">
        <v>1330</v>
      </c>
      <c r="B279">
        <v>201910513</v>
      </c>
      <c r="C279" t="s">
        <v>395</v>
      </c>
      <c r="D279" t="s">
        <v>1331</v>
      </c>
      <c r="E279" t="s">
        <v>1332</v>
      </c>
      <c r="F279" t="s">
        <v>233</v>
      </c>
      <c r="G279" t="s">
        <v>277</v>
      </c>
      <c r="J279" t="s">
        <v>278</v>
      </c>
      <c r="K279">
        <v>2023</v>
      </c>
      <c r="L279">
        <v>202310</v>
      </c>
      <c r="M279">
        <v>202310</v>
      </c>
      <c r="N279" t="s">
        <v>279</v>
      </c>
      <c r="O279" t="s">
        <v>230</v>
      </c>
      <c r="P279" t="s">
        <v>865</v>
      </c>
      <c r="Q279" t="s">
        <v>233</v>
      </c>
      <c r="R279" t="s">
        <v>277</v>
      </c>
      <c r="S279" t="s">
        <v>161</v>
      </c>
      <c r="T279" s="105" t="str">
        <f>_xlfn.XLOOKUP(Tabla1[[#This Row],[Universidad]],Conversiones!$B:$B,Conversiones!$C:$C)</f>
        <v>Universidad de Málaga</v>
      </c>
      <c r="U279" s="105" t="str">
        <f>_xlfn.XLOOKUP(Tabla1[[#This Row],[Universidad KPIs]],Conversiones!$C:$C,Conversiones!$E:$E)</f>
        <v>General</v>
      </c>
      <c r="V279" t="s">
        <v>69</v>
      </c>
      <c r="W279" t="s">
        <v>281</v>
      </c>
      <c r="X279" s="2">
        <v>44949</v>
      </c>
      <c r="Y279" s="2">
        <v>45073</v>
      </c>
      <c r="Z279">
        <v>124</v>
      </c>
    </row>
    <row r="280" spans="1:26">
      <c r="A280" s="103" t="s">
        <v>1333</v>
      </c>
      <c r="B280" s="1">
        <v>202014606</v>
      </c>
      <c r="C280" s="1" t="s">
        <v>1334</v>
      </c>
      <c r="D280" s="1" t="s">
        <v>1335</v>
      </c>
      <c r="E280" s="1" t="s">
        <v>1336</v>
      </c>
      <c r="F280" s="1" t="s">
        <v>233</v>
      </c>
      <c r="G280" s="1" t="s">
        <v>277</v>
      </c>
      <c r="H280" s="1"/>
      <c r="I280" s="1"/>
      <c r="J280" s="1" t="s">
        <v>278</v>
      </c>
      <c r="K280" s="1">
        <v>2023</v>
      </c>
      <c r="L280" s="1">
        <v>202310</v>
      </c>
      <c r="M280" s="1">
        <v>202310</v>
      </c>
      <c r="N280" s="1" t="s">
        <v>279</v>
      </c>
      <c r="O280" s="1" t="s">
        <v>230</v>
      </c>
      <c r="P280" s="1" t="s">
        <v>280</v>
      </c>
      <c r="Q280" s="1" t="s">
        <v>233</v>
      </c>
      <c r="R280" s="1" t="s">
        <v>277</v>
      </c>
      <c r="S280" s="1" t="s">
        <v>1337</v>
      </c>
      <c r="T280" s="105" t="str">
        <f>_xlfn.XLOOKUP(Tabla1[[#This Row],[Universidad]],Conversiones!$B:$B,Conversiones!$C:$C)</f>
        <v>Universidad del Pacífico</v>
      </c>
      <c r="U280" s="105" t="str">
        <f>_xlfn.XLOOKUP(Tabla1[[#This Row],[Universidad KPIs]],Conversiones!$C:$C,Conversiones!$E:$E)</f>
        <v>Específico</v>
      </c>
      <c r="V280" s="1" t="s">
        <v>112</v>
      </c>
      <c r="W280" s="1" t="s">
        <v>296</v>
      </c>
      <c r="X280" s="87">
        <v>44949</v>
      </c>
      <c r="Y280" s="87">
        <v>45073</v>
      </c>
      <c r="Z280" s="1">
        <v>124</v>
      </c>
    </row>
    <row r="281" spans="1:26">
      <c r="A281" s="102" t="s">
        <v>1338</v>
      </c>
      <c r="B281">
        <v>202020598</v>
      </c>
      <c r="C281" t="s">
        <v>331</v>
      </c>
      <c r="D281" t="s">
        <v>1339</v>
      </c>
      <c r="E281" t="s">
        <v>1340</v>
      </c>
      <c r="F281" t="s">
        <v>233</v>
      </c>
      <c r="G281" t="s">
        <v>277</v>
      </c>
      <c r="H281" t="s">
        <v>810</v>
      </c>
      <c r="I281" t="s">
        <v>811</v>
      </c>
      <c r="J281" t="s">
        <v>278</v>
      </c>
      <c r="K281">
        <v>2023</v>
      </c>
      <c r="L281">
        <v>202310</v>
      </c>
      <c r="M281">
        <v>202310</v>
      </c>
      <c r="N281" t="s">
        <v>279</v>
      </c>
      <c r="O281" t="s">
        <v>230</v>
      </c>
      <c r="P281" t="s">
        <v>280</v>
      </c>
      <c r="Q281" t="s">
        <v>233</v>
      </c>
      <c r="R281" t="s">
        <v>277</v>
      </c>
      <c r="S281" t="s">
        <v>305</v>
      </c>
      <c r="T281" s="105" t="str">
        <f>_xlfn.XLOOKUP(Tabla1[[#This Row],[Universidad]],Conversiones!$B:$B,Conversiones!$C:$C)</f>
        <v>Catolica Lisbon Business &amp; Economics. Universidade Católica Portuguesa</v>
      </c>
      <c r="U281" s="105" t="str">
        <f>_xlfn.XLOOKUP(Tabla1[[#This Row],[Universidad KPIs]],Conversiones!$C:$C,Conversiones!$E:$E)</f>
        <v>Específico</v>
      </c>
      <c r="V281" t="s">
        <v>61</v>
      </c>
      <c r="W281" t="s">
        <v>281</v>
      </c>
      <c r="X281" s="2">
        <v>44949</v>
      </c>
      <c r="Y281" s="2">
        <v>45073</v>
      </c>
      <c r="Z281">
        <v>124</v>
      </c>
    </row>
    <row r="282" spans="1:26">
      <c r="A282" s="103" t="s">
        <v>1341</v>
      </c>
      <c r="B282" s="1">
        <v>201923571</v>
      </c>
      <c r="C282" s="1" t="s">
        <v>317</v>
      </c>
      <c r="D282" s="1" t="s">
        <v>1342</v>
      </c>
      <c r="E282" s="1" t="s">
        <v>1343</v>
      </c>
      <c r="F282" s="1" t="s">
        <v>233</v>
      </c>
      <c r="G282" s="1" t="s">
        <v>277</v>
      </c>
      <c r="H282" s="1"/>
      <c r="I282" s="1"/>
      <c r="J282" s="1" t="s">
        <v>278</v>
      </c>
      <c r="K282" s="1">
        <v>2023</v>
      </c>
      <c r="L282" s="1">
        <v>202310</v>
      </c>
      <c r="M282" s="1">
        <v>202310</v>
      </c>
      <c r="N282" s="1" t="s">
        <v>279</v>
      </c>
      <c r="O282" s="1" t="s">
        <v>230</v>
      </c>
      <c r="P282" s="1" t="s">
        <v>280</v>
      </c>
      <c r="Q282" s="1" t="s">
        <v>233</v>
      </c>
      <c r="R282" s="1" t="s">
        <v>277</v>
      </c>
      <c r="S282" s="1" t="s">
        <v>305</v>
      </c>
      <c r="T282" s="105" t="str">
        <f>_xlfn.XLOOKUP(Tabla1[[#This Row],[Universidad]],Conversiones!$B:$B,Conversiones!$C:$C)</f>
        <v>Catolica Lisbon Business &amp; Economics. Universidade Católica Portuguesa</v>
      </c>
      <c r="U282" s="105" t="str">
        <f>_xlfn.XLOOKUP(Tabla1[[#This Row],[Universidad KPIs]],Conversiones!$C:$C,Conversiones!$E:$E)</f>
        <v>Específico</v>
      </c>
      <c r="V282" s="1" t="s">
        <v>61</v>
      </c>
      <c r="W282" s="1" t="s">
        <v>281</v>
      </c>
      <c r="X282" s="87">
        <v>44949</v>
      </c>
      <c r="Y282" s="87">
        <v>45073</v>
      </c>
      <c r="Z282" s="1">
        <v>124</v>
      </c>
    </row>
    <row r="283" spans="1:26">
      <c r="A283" s="102" t="s">
        <v>1344</v>
      </c>
      <c r="B283">
        <v>202022215</v>
      </c>
      <c r="C283" t="s">
        <v>1345</v>
      </c>
      <c r="D283" t="s">
        <v>1346</v>
      </c>
      <c r="E283" t="s">
        <v>1347</v>
      </c>
      <c r="F283" t="s">
        <v>233</v>
      </c>
      <c r="G283" t="s">
        <v>277</v>
      </c>
      <c r="J283" t="s">
        <v>278</v>
      </c>
      <c r="K283">
        <v>2023</v>
      </c>
      <c r="L283">
        <v>202310</v>
      </c>
      <c r="M283">
        <v>202310</v>
      </c>
      <c r="N283" t="s">
        <v>279</v>
      </c>
      <c r="O283" t="s">
        <v>230</v>
      </c>
      <c r="P283" t="s">
        <v>280</v>
      </c>
      <c r="Q283" t="s">
        <v>233</v>
      </c>
      <c r="R283" t="s">
        <v>277</v>
      </c>
      <c r="S283" t="s">
        <v>305</v>
      </c>
      <c r="T283" s="105" t="str">
        <f>_xlfn.XLOOKUP(Tabla1[[#This Row],[Universidad]],Conversiones!$B:$B,Conversiones!$C:$C)</f>
        <v>Catolica Lisbon Business &amp; Economics. Universidade Católica Portuguesa</v>
      </c>
      <c r="U283" s="105" t="str">
        <f>_xlfn.XLOOKUP(Tabla1[[#This Row],[Universidad KPIs]],Conversiones!$C:$C,Conversiones!$E:$E)</f>
        <v>Específico</v>
      </c>
      <c r="V283" t="s">
        <v>61</v>
      </c>
      <c r="W283" t="s">
        <v>281</v>
      </c>
      <c r="X283" s="2">
        <v>44949</v>
      </c>
      <c r="Y283" s="2">
        <v>45073</v>
      </c>
      <c r="Z283">
        <v>124</v>
      </c>
    </row>
    <row r="284" spans="1:26">
      <c r="A284" s="103" t="s">
        <v>1348</v>
      </c>
      <c r="B284" s="1">
        <v>201922798</v>
      </c>
      <c r="C284" s="1" t="s">
        <v>1349</v>
      </c>
      <c r="D284" s="1" t="s">
        <v>1350</v>
      </c>
      <c r="E284" s="1" t="s">
        <v>1351</v>
      </c>
      <c r="F284" s="1" t="s">
        <v>497</v>
      </c>
      <c r="G284" s="1" t="s">
        <v>498</v>
      </c>
      <c r="H284" s="1" t="s">
        <v>233</v>
      </c>
      <c r="I284" s="1" t="s">
        <v>277</v>
      </c>
      <c r="J284" s="1" t="s">
        <v>278</v>
      </c>
      <c r="K284" s="1">
        <v>2023</v>
      </c>
      <c r="L284" s="1">
        <v>202310</v>
      </c>
      <c r="M284" s="1">
        <v>202310</v>
      </c>
      <c r="N284" s="1" t="s">
        <v>279</v>
      </c>
      <c r="O284" s="1" t="s">
        <v>230</v>
      </c>
      <c r="P284" s="1" t="s">
        <v>280</v>
      </c>
      <c r="Q284" s="1" t="s">
        <v>233</v>
      </c>
      <c r="R284" s="1" t="s">
        <v>277</v>
      </c>
      <c r="S284" s="1" t="s">
        <v>455</v>
      </c>
      <c r="T284" s="105" t="str">
        <f>_xlfn.XLOOKUP(Tabla1[[#This Row],[Universidad]],Conversiones!$B:$B,Conversiones!$C:$C)</f>
        <v>Nova School of Business and Economics</v>
      </c>
      <c r="U284" s="105" t="str">
        <f>_xlfn.XLOOKUP(Tabla1[[#This Row],[Universidad KPIs]],Conversiones!$C:$C,Conversiones!$E:$E)</f>
        <v>Específico</v>
      </c>
      <c r="V284" s="1" t="s">
        <v>61</v>
      </c>
      <c r="W284" s="1" t="s">
        <v>281</v>
      </c>
      <c r="X284" s="87">
        <v>44949</v>
      </c>
      <c r="Y284" s="87">
        <v>45073</v>
      </c>
      <c r="Z284" s="1">
        <v>124</v>
      </c>
    </row>
    <row r="285" spans="1:26">
      <c r="A285" s="102" t="s">
        <v>1352</v>
      </c>
      <c r="B285">
        <v>202022298</v>
      </c>
      <c r="C285" t="s">
        <v>434</v>
      </c>
      <c r="D285" t="s">
        <v>1353</v>
      </c>
      <c r="E285" t="s">
        <v>1354</v>
      </c>
      <c r="F285" t="s">
        <v>233</v>
      </c>
      <c r="G285" t="s">
        <v>277</v>
      </c>
      <c r="J285" t="s">
        <v>278</v>
      </c>
      <c r="K285">
        <v>2023</v>
      </c>
      <c r="L285">
        <v>202310</v>
      </c>
      <c r="M285">
        <v>202310</v>
      </c>
      <c r="N285" t="s">
        <v>279</v>
      </c>
      <c r="O285" t="s">
        <v>230</v>
      </c>
      <c r="P285" t="s">
        <v>280</v>
      </c>
      <c r="Q285" t="s">
        <v>233</v>
      </c>
      <c r="R285" t="s">
        <v>277</v>
      </c>
      <c r="S285" t="s">
        <v>455</v>
      </c>
      <c r="T285" s="105" t="str">
        <f>_xlfn.XLOOKUP(Tabla1[[#This Row],[Universidad]],Conversiones!$B:$B,Conversiones!$C:$C)</f>
        <v>Nova School of Business and Economics</v>
      </c>
      <c r="U285" s="105" t="str">
        <f>_xlfn.XLOOKUP(Tabla1[[#This Row],[Universidad KPIs]],Conversiones!$C:$C,Conversiones!$E:$E)</f>
        <v>Específico</v>
      </c>
      <c r="V285" t="s">
        <v>61</v>
      </c>
      <c r="W285" t="s">
        <v>281</v>
      </c>
      <c r="X285" s="2">
        <v>44949</v>
      </c>
      <c r="Y285" s="2">
        <v>45073</v>
      </c>
      <c r="Z285">
        <v>124</v>
      </c>
    </row>
    <row r="286" spans="1:26">
      <c r="A286" s="103" t="s">
        <v>1355</v>
      </c>
      <c r="B286" s="1">
        <v>201923367</v>
      </c>
      <c r="C286" s="1" t="s">
        <v>506</v>
      </c>
      <c r="D286" s="1" t="s">
        <v>1356</v>
      </c>
      <c r="E286" s="1" t="s">
        <v>1357</v>
      </c>
      <c r="F286" s="1" t="s">
        <v>233</v>
      </c>
      <c r="G286" s="1" t="s">
        <v>277</v>
      </c>
      <c r="H286" s="1"/>
      <c r="I286" s="1"/>
      <c r="J286" s="1" t="s">
        <v>278</v>
      </c>
      <c r="K286" s="1">
        <v>2023</v>
      </c>
      <c r="L286" s="1">
        <v>202310</v>
      </c>
      <c r="M286" s="1">
        <v>202310</v>
      </c>
      <c r="N286" s="1" t="s">
        <v>279</v>
      </c>
      <c r="O286" s="1" t="s">
        <v>230</v>
      </c>
      <c r="P286" s="1" t="s">
        <v>280</v>
      </c>
      <c r="Q286" s="1" t="s">
        <v>233</v>
      </c>
      <c r="R286" s="1" t="s">
        <v>277</v>
      </c>
      <c r="S286" s="1" t="s">
        <v>171</v>
      </c>
      <c r="T286" s="105" t="str">
        <f>_xlfn.XLOOKUP(Tabla1[[#This Row],[Universidad]],Conversiones!$B:$B,Conversiones!$C:$C)</f>
        <v>Università degli Studi di Bologna 'Alma Mater Studiorum'</v>
      </c>
      <c r="U286" s="105" t="str">
        <f>_xlfn.XLOOKUP(Tabla1[[#This Row],[Universidad KPIs]],Conversiones!$C:$C,Conversiones!$E:$E)</f>
        <v>General</v>
      </c>
      <c r="V286" s="1" t="s">
        <v>103</v>
      </c>
      <c r="W286" s="1" t="s">
        <v>281</v>
      </c>
      <c r="X286" s="87">
        <v>44949</v>
      </c>
      <c r="Y286" s="87">
        <v>45073</v>
      </c>
      <c r="Z286" s="1">
        <v>124</v>
      </c>
    </row>
    <row r="287" spans="1:26">
      <c r="A287" s="102" t="s">
        <v>1358</v>
      </c>
      <c r="B287">
        <v>201822150</v>
      </c>
      <c r="C287" t="s">
        <v>1359</v>
      </c>
      <c r="D287" t="s">
        <v>1360</v>
      </c>
      <c r="E287" t="s">
        <v>1361</v>
      </c>
      <c r="F287" t="s">
        <v>233</v>
      </c>
      <c r="G287" t="s">
        <v>277</v>
      </c>
      <c r="J287" t="s">
        <v>278</v>
      </c>
      <c r="K287">
        <v>2023</v>
      </c>
      <c r="L287">
        <v>202310</v>
      </c>
      <c r="M287">
        <v>202310</v>
      </c>
      <c r="N287" t="s">
        <v>279</v>
      </c>
      <c r="O287" t="s">
        <v>230</v>
      </c>
      <c r="P287" t="s">
        <v>865</v>
      </c>
      <c r="Q287" t="s">
        <v>233</v>
      </c>
      <c r="R287" t="s">
        <v>277</v>
      </c>
      <c r="S287" t="s">
        <v>172</v>
      </c>
      <c r="T287" s="105" t="str">
        <f>_xlfn.XLOOKUP(Tabla1[[#This Row],[Universidad]],Conversiones!$B:$B,Conversiones!$C:$C)</f>
        <v>Università degli Studi di Genova</v>
      </c>
      <c r="U287" s="105" t="str">
        <f>_xlfn.XLOOKUP(Tabla1[[#This Row],[Universidad KPIs]],Conversiones!$C:$C,Conversiones!$E:$E)</f>
        <v>General</v>
      </c>
      <c r="V287" t="s">
        <v>103</v>
      </c>
      <c r="W287" t="s">
        <v>281</v>
      </c>
      <c r="X287" s="2">
        <v>44949</v>
      </c>
      <c r="Y287" s="2">
        <v>45073</v>
      </c>
      <c r="Z287">
        <v>124</v>
      </c>
    </row>
    <row r="288" spans="1:26">
      <c r="A288" s="103" t="s">
        <v>1362</v>
      </c>
      <c r="B288" s="1">
        <v>202021218</v>
      </c>
      <c r="C288" s="1" t="s">
        <v>1363</v>
      </c>
      <c r="D288" s="1" t="s">
        <v>1364</v>
      </c>
      <c r="E288" s="1" t="s">
        <v>1365</v>
      </c>
      <c r="F288" s="1" t="s">
        <v>233</v>
      </c>
      <c r="G288" s="1" t="s">
        <v>277</v>
      </c>
      <c r="H288" s="1" t="s">
        <v>491</v>
      </c>
      <c r="I288" s="1" t="s">
        <v>492</v>
      </c>
      <c r="J288" s="1" t="s">
        <v>278</v>
      </c>
      <c r="K288" s="1">
        <v>2023</v>
      </c>
      <c r="L288" s="1">
        <v>202310</v>
      </c>
      <c r="M288" s="1">
        <v>202310</v>
      </c>
      <c r="N288" s="1" t="s">
        <v>279</v>
      </c>
      <c r="O288" s="1" t="s">
        <v>230</v>
      </c>
      <c r="P288" s="1" t="s">
        <v>280</v>
      </c>
      <c r="Q288" s="1" t="s">
        <v>233</v>
      </c>
      <c r="R288" s="1" t="s">
        <v>277</v>
      </c>
      <c r="S288" s="1" t="s">
        <v>338</v>
      </c>
      <c r="T288" s="105" t="str">
        <f>_xlfn.XLOOKUP(Tabla1[[#This Row],[Universidad]],Conversiones!$B:$B,Conversiones!$C:$C)</f>
        <v>University of Mannheim Business School</v>
      </c>
      <c r="U288" s="105" t="str">
        <f>_xlfn.XLOOKUP(Tabla1[[#This Row],[Universidad KPIs]],Conversiones!$C:$C,Conversiones!$E:$E)</f>
        <v>Específico</v>
      </c>
      <c r="V288" s="1" t="s">
        <v>76</v>
      </c>
      <c r="W288" s="1" t="s">
        <v>281</v>
      </c>
      <c r="X288" s="87">
        <v>44949</v>
      </c>
      <c r="Y288" s="87">
        <v>45073</v>
      </c>
      <c r="Z288" s="1">
        <v>124</v>
      </c>
    </row>
    <row r="289" spans="1:26">
      <c r="A289" s="102" t="s">
        <v>1366</v>
      </c>
      <c r="B289">
        <v>202012689</v>
      </c>
      <c r="C289" t="s">
        <v>1367</v>
      </c>
      <c r="D289" t="s">
        <v>1368</v>
      </c>
      <c r="E289" t="s">
        <v>1369</v>
      </c>
      <c r="F289" t="s">
        <v>233</v>
      </c>
      <c r="G289" t="s">
        <v>277</v>
      </c>
      <c r="J289" t="s">
        <v>278</v>
      </c>
      <c r="K289">
        <v>2023</v>
      </c>
      <c r="L289">
        <v>202310</v>
      </c>
      <c r="M289">
        <v>202310</v>
      </c>
      <c r="N289" t="s">
        <v>279</v>
      </c>
      <c r="O289" t="s">
        <v>230</v>
      </c>
      <c r="P289" t="s">
        <v>280</v>
      </c>
      <c r="Q289" t="s">
        <v>233</v>
      </c>
      <c r="R289" t="s">
        <v>277</v>
      </c>
      <c r="S289" t="s">
        <v>338</v>
      </c>
      <c r="T289" s="105" t="str">
        <f>_xlfn.XLOOKUP(Tabla1[[#This Row],[Universidad]],Conversiones!$B:$B,Conversiones!$C:$C)</f>
        <v>University of Mannheim Business School</v>
      </c>
      <c r="U289" s="105" t="str">
        <f>_xlfn.XLOOKUP(Tabla1[[#This Row],[Universidad KPIs]],Conversiones!$C:$C,Conversiones!$E:$E)</f>
        <v>Específico</v>
      </c>
      <c r="V289" t="s">
        <v>76</v>
      </c>
      <c r="W289" t="s">
        <v>281</v>
      </c>
      <c r="X289" s="2">
        <v>44949</v>
      </c>
      <c r="Y289" s="2">
        <v>45073</v>
      </c>
      <c r="Z289">
        <v>124</v>
      </c>
    </row>
    <row r="290" spans="1:26">
      <c r="A290" s="103" t="s">
        <v>1370</v>
      </c>
      <c r="B290" s="1">
        <v>201911476</v>
      </c>
      <c r="C290" s="1" t="s">
        <v>807</v>
      </c>
      <c r="D290" s="1" t="s">
        <v>1371</v>
      </c>
      <c r="E290" s="1" t="s">
        <v>1372</v>
      </c>
      <c r="F290" s="1" t="s">
        <v>233</v>
      </c>
      <c r="G290" s="1" t="s">
        <v>277</v>
      </c>
      <c r="H290" s="1"/>
      <c r="I290" s="1"/>
      <c r="J290" s="1" t="s">
        <v>278</v>
      </c>
      <c r="K290" s="1">
        <v>2023</v>
      </c>
      <c r="L290" s="1">
        <v>202310</v>
      </c>
      <c r="M290" s="1">
        <v>202310</v>
      </c>
      <c r="N290" s="1" t="s">
        <v>279</v>
      </c>
      <c r="O290" s="1" t="s">
        <v>230</v>
      </c>
      <c r="P290" s="1" t="s">
        <v>865</v>
      </c>
      <c r="Q290" s="1" t="s">
        <v>233</v>
      </c>
      <c r="R290" s="1" t="s">
        <v>277</v>
      </c>
      <c r="S290" s="1" t="s">
        <v>174</v>
      </c>
      <c r="T290" s="105" t="str">
        <f>_xlfn.XLOOKUP(Tabla1[[#This Row],[Universidad]],Conversiones!$B:$B,Conversiones!$C:$C)</f>
        <v>Universitat Politècnica de Catalunya</v>
      </c>
      <c r="U290" s="105" t="str">
        <f>_xlfn.XLOOKUP(Tabla1[[#This Row],[Universidad KPIs]],Conversiones!$C:$C,Conversiones!$E:$E)</f>
        <v>General</v>
      </c>
      <c r="V290" s="1" t="s">
        <v>69</v>
      </c>
      <c r="W290" s="1" t="s">
        <v>281</v>
      </c>
      <c r="X290" s="87">
        <v>44949</v>
      </c>
      <c r="Y290" s="87">
        <v>45073</v>
      </c>
      <c r="Z290" s="1">
        <v>124</v>
      </c>
    </row>
    <row r="291" spans="1:26">
      <c r="A291" s="102" t="s">
        <v>1373</v>
      </c>
      <c r="B291">
        <v>202021605</v>
      </c>
      <c r="C291" t="s">
        <v>1374</v>
      </c>
      <c r="D291" t="s">
        <v>1375</v>
      </c>
      <c r="E291" t="s">
        <v>1376</v>
      </c>
      <c r="F291" t="s">
        <v>233</v>
      </c>
      <c r="G291" t="s">
        <v>277</v>
      </c>
      <c r="J291" t="s">
        <v>278</v>
      </c>
      <c r="K291">
        <v>2023</v>
      </c>
      <c r="L291">
        <v>202310</v>
      </c>
      <c r="M291">
        <v>202310</v>
      </c>
      <c r="N291" t="s">
        <v>279</v>
      </c>
      <c r="O291" t="s">
        <v>230</v>
      </c>
      <c r="P291" t="s">
        <v>865</v>
      </c>
      <c r="Q291" t="s">
        <v>233</v>
      </c>
      <c r="R291" t="s">
        <v>277</v>
      </c>
      <c r="S291" t="s">
        <v>174</v>
      </c>
      <c r="T291" s="105" t="str">
        <f>_xlfn.XLOOKUP(Tabla1[[#This Row],[Universidad]],Conversiones!$B:$B,Conversiones!$C:$C)</f>
        <v>Universitat Politècnica de Catalunya</v>
      </c>
      <c r="U291" s="105" t="str">
        <f>_xlfn.XLOOKUP(Tabla1[[#This Row],[Universidad KPIs]],Conversiones!$C:$C,Conversiones!$E:$E)</f>
        <v>General</v>
      </c>
      <c r="V291" t="s">
        <v>69</v>
      </c>
      <c r="W291" t="s">
        <v>281</v>
      </c>
      <c r="X291" s="2">
        <v>44949</v>
      </c>
      <c r="Y291" s="2">
        <v>45073</v>
      </c>
      <c r="Z291">
        <v>124</v>
      </c>
    </row>
    <row r="292" spans="1:26">
      <c r="A292" s="103" t="s">
        <v>1377</v>
      </c>
      <c r="B292" s="1">
        <v>201921122</v>
      </c>
      <c r="C292" s="1" t="s">
        <v>1378</v>
      </c>
      <c r="D292" s="1" t="s">
        <v>1379</v>
      </c>
      <c r="E292" s="1" t="s">
        <v>1380</v>
      </c>
      <c r="F292" s="1" t="s">
        <v>233</v>
      </c>
      <c r="G292" s="1" t="s">
        <v>277</v>
      </c>
      <c r="H292" s="1"/>
      <c r="I292" s="1"/>
      <c r="J292" s="1" t="s">
        <v>278</v>
      </c>
      <c r="K292" s="1">
        <v>2023</v>
      </c>
      <c r="L292" s="1">
        <v>202310</v>
      </c>
      <c r="M292" s="1">
        <v>202310</v>
      </c>
      <c r="N292" s="1" t="s">
        <v>279</v>
      </c>
      <c r="O292" s="1" t="s">
        <v>230</v>
      </c>
      <c r="P292" s="1" t="s">
        <v>280</v>
      </c>
      <c r="Q292" s="1" t="s">
        <v>233</v>
      </c>
      <c r="R292" s="1" t="s">
        <v>277</v>
      </c>
      <c r="S292" s="1" t="s">
        <v>320</v>
      </c>
      <c r="T292" s="105" t="str">
        <f>_xlfn.XLOOKUP(Tabla1[[#This Row],[Universidad]],Conversiones!$B:$B,Conversiones!$C:$C)</f>
        <v>ESADE</v>
      </c>
      <c r="U292" s="105" t="str">
        <f>_xlfn.XLOOKUP(Tabla1[[#This Row],[Universidad KPIs]],Conversiones!$C:$C,Conversiones!$E:$E)</f>
        <v>Específico</v>
      </c>
      <c r="V292" s="1" t="s">
        <v>69</v>
      </c>
      <c r="W292" s="1" t="s">
        <v>281</v>
      </c>
      <c r="X292" s="87">
        <v>44949</v>
      </c>
      <c r="Y292" s="87">
        <v>45073</v>
      </c>
      <c r="Z292" s="1">
        <v>124</v>
      </c>
    </row>
    <row r="293" spans="1:26">
      <c r="A293" s="102" t="s">
        <v>1381</v>
      </c>
      <c r="B293">
        <v>201923038</v>
      </c>
      <c r="C293" t="s">
        <v>980</v>
      </c>
      <c r="D293" t="s">
        <v>1382</v>
      </c>
      <c r="E293" t="s">
        <v>1383</v>
      </c>
      <c r="F293" t="s">
        <v>233</v>
      </c>
      <c r="G293" t="s">
        <v>277</v>
      </c>
      <c r="J293" t="s">
        <v>278</v>
      </c>
      <c r="K293">
        <v>2023</v>
      </c>
      <c r="L293">
        <v>202310</v>
      </c>
      <c r="M293">
        <v>202310</v>
      </c>
      <c r="N293" t="s">
        <v>279</v>
      </c>
      <c r="O293" t="s">
        <v>230</v>
      </c>
      <c r="P293" t="s">
        <v>280</v>
      </c>
      <c r="Q293" t="s">
        <v>233</v>
      </c>
      <c r="R293" t="s">
        <v>277</v>
      </c>
      <c r="S293" t="s">
        <v>320</v>
      </c>
      <c r="T293" s="105" t="str">
        <f>_xlfn.XLOOKUP(Tabla1[[#This Row],[Universidad]],Conversiones!$B:$B,Conversiones!$C:$C)</f>
        <v>ESADE</v>
      </c>
      <c r="U293" s="105" t="str">
        <f>_xlfn.XLOOKUP(Tabla1[[#This Row],[Universidad KPIs]],Conversiones!$C:$C,Conversiones!$E:$E)</f>
        <v>Específico</v>
      </c>
      <c r="V293" t="s">
        <v>69</v>
      </c>
      <c r="W293" t="s">
        <v>281</v>
      </c>
      <c r="X293" s="2">
        <v>44949</v>
      </c>
      <c r="Y293" s="2">
        <v>45073</v>
      </c>
      <c r="Z293">
        <v>124</v>
      </c>
    </row>
    <row r="294" spans="1:26">
      <c r="A294" s="103" t="s">
        <v>1384</v>
      </c>
      <c r="B294" s="1">
        <v>202011982</v>
      </c>
      <c r="C294" s="1" t="s">
        <v>992</v>
      </c>
      <c r="D294" s="1" t="s">
        <v>1385</v>
      </c>
      <c r="E294" s="1" t="s">
        <v>1386</v>
      </c>
      <c r="F294" s="1" t="s">
        <v>233</v>
      </c>
      <c r="G294" s="1" t="s">
        <v>277</v>
      </c>
      <c r="H294" s="1"/>
      <c r="I294" s="1"/>
      <c r="J294" s="1" t="s">
        <v>278</v>
      </c>
      <c r="K294" s="1">
        <v>2023</v>
      </c>
      <c r="L294" s="1">
        <v>202310</v>
      </c>
      <c r="M294" s="1">
        <v>202310</v>
      </c>
      <c r="N294" s="1" t="s">
        <v>279</v>
      </c>
      <c r="O294" s="1" t="s">
        <v>230</v>
      </c>
      <c r="P294" s="1" t="s">
        <v>280</v>
      </c>
      <c r="Q294" s="1" t="s">
        <v>233</v>
      </c>
      <c r="R294" s="1" t="s">
        <v>277</v>
      </c>
      <c r="S294" s="1" t="s">
        <v>524</v>
      </c>
      <c r="T294" s="105" t="str">
        <f>_xlfn.XLOOKUP(Tabla1[[#This Row],[Universidad]],Conversiones!$B:$B,Conversiones!$C:$C)</f>
        <v>University of Saint Gallen</v>
      </c>
      <c r="U294" s="105" t="str">
        <f>_xlfn.XLOOKUP(Tabla1[[#This Row],[Universidad KPIs]],Conversiones!$C:$C,Conversiones!$E:$E)</f>
        <v>Específico</v>
      </c>
      <c r="V294" s="1" t="s">
        <v>81</v>
      </c>
      <c r="W294" s="1" t="s">
        <v>281</v>
      </c>
      <c r="X294" s="87">
        <v>44949</v>
      </c>
      <c r="Y294" s="87">
        <v>45073</v>
      </c>
      <c r="Z294" s="1">
        <v>124</v>
      </c>
    </row>
    <row r="295" spans="1:26">
      <c r="A295" s="102" t="s">
        <v>1387</v>
      </c>
      <c r="B295">
        <v>201911346</v>
      </c>
      <c r="C295" t="s">
        <v>690</v>
      </c>
      <c r="D295" t="s">
        <v>1388</v>
      </c>
      <c r="E295" t="s">
        <v>1389</v>
      </c>
      <c r="F295" t="s">
        <v>233</v>
      </c>
      <c r="G295" t="s">
        <v>277</v>
      </c>
      <c r="H295" t="s">
        <v>543</v>
      </c>
      <c r="I295" t="s">
        <v>544</v>
      </c>
      <c r="J295" t="s">
        <v>278</v>
      </c>
      <c r="K295">
        <v>2023</v>
      </c>
      <c r="L295">
        <v>202310</v>
      </c>
      <c r="M295">
        <v>202310</v>
      </c>
      <c r="N295" t="s">
        <v>279</v>
      </c>
      <c r="O295" t="s">
        <v>230</v>
      </c>
      <c r="P295" t="s">
        <v>280</v>
      </c>
      <c r="Q295" t="s">
        <v>233</v>
      </c>
      <c r="R295" t="s">
        <v>277</v>
      </c>
      <c r="S295" t="s">
        <v>315</v>
      </c>
      <c r="T295" s="105" t="str">
        <f>_xlfn.XLOOKUP(Tabla1[[#This Row],[Universidad]],Conversiones!$B:$B,Conversiones!$C:$C)</f>
        <v>HEC Lausanne</v>
      </c>
      <c r="U295" s="105" t="str">
        <f>_xlfn.XLOOKUP(Tabla1[[#This Row],[Universidad KPIs]],Conversiones!$C:$C,Conversiones!$E:$E)</f>
        <v>Específico</v>
      </c>
      <c r="V295" t="s">
        <v>81</v>
      </c>
      <c r="W295" t="s">
        <v>281</v>
      </c>
      <c r="X295" s="2">
        <v>44949</v>
      </c>
      <c r="Y295" s="2">
        <v>45073</v>
      </c>
      <c r="Z295">
        <v>124</v>
      </c>
    </row>
    <row r="296" spans="1:26">
      <c r="A296" s="103" t="s">
        <v>1390</v>
      </c>
      <c r="B296" s="1">
        <v>201822737</v>
      </c>
      <c r="C296" s="1" t="s">
        <v>534</v>
      </c>
      <c r="D296" s="1" t="s">
        <v>1391</v>
      </c>
      <c r="E296" s="1" t="s">
        <v>1392</v>
      </c>
      <c r="F296" s="1" t="s">
        <v>233</v>
      </c>
      <c r="G296" s="1" t="s">
        <v>277</v>
      </c>
      <c r="H296" s="1" t="s">
        <v>491</v>
      </c>
      <c r="I296" s="1" t="s">
        <v>492</v>
      </c>
      <c r="J296" s="1" t="s">
        <v>278</v>
      </c>
      <c r="K296" s="1">
        <v>2023</v>
      </c>
      <c r="L296" s="1">
        <v>202310</v>
      </c>
      <c r="M296" s="1">
        <v>202310</v>
      </c>
      <c r="N296" s="1" t="s">
        <v>279</v>
      </c>
      <c r="O296" s="1" t="s">
        <v>230</v>
      </c>
      <c r="P296" s="1" t="s">
        <v>280</v>
      </c>
      <c r="Q296" s="1" t="s">
        <v>233</v>
      </c>
      <c r="R296" s="1" t="s">
        <v>277</v>
      </c>
      <c r="S296" s="1" t="s">
        <v>315</v>
      </c>
      <c r="T296" s="105" t="str">
        <f>_xlfn.XLOOKUP(Tabla1[[#This Row],[Universidad]],Conversiones!$B:$B,Conversiones!$C:$C)</f>
        <v>HEC Lausanne</v>
      </c>
      <c r="U296" s="105" t="str">
        <f>_xlfn.XLOOKUP(Tabla1[[#This Row],[Universidad KPIs]],Conversiones!$C:$C,Conversiones!$E:$E)</f>
        <v>Específico</v>
      </c>
      <c r="V296" s="1" t="s">
        <v>81</v>
      </c>
      <c r="W296" s="1" t="s">
        <v>281</v>
      </c>
      <c r="X296" s="87">
        <v>44949</v>
      </c>
      <c r="Y296" s="87">
        <v>45073</v>
      </c>
      <c r="Z296" s="1">
        <v>124</v>
      </c>
    </row>
    <row r="297" spans="1:26">
      <c r="A297" s="102" t="s">
        <v>1393</v>
      </c>
      <c r="B297">
        <v>201922879</v>
      </c>
      <c r="C297" t="s">
        <v>434</v>
      </c>
      <c r="D297" t="s">
        <v>1394</v>
      </c>
      <c r="E297" t="s">
        <v>1395</v>
      </c>
      <c r="F297" t="s">
        <v>233</v>
      </c>
      <c r="G297" t="s">
        <v>277</v>
      </c>
      <c r="J297" t="s">
        <v>278</v>
      </c>
      <c r="K297">
        <v>2023</v>
      </c>
      <c r="L297">
        <v>202310</v>
      </c>
      <c r="M297">
        <v>202310</v>
      </c>
      <c r="N297" t="s">
        <v>279</v>
      </c>
      <c r="O297" t="s">
        <v>230</v>
      </c>
      <c r="P297" t="s">
        <v>280</v>
      </c>
      <c r="Q297" t="s">
        <v>233</v>
      </c>
      <c r="R297" t="s">
        <v>277</v>
      </c>
      <c r="S297" t="s">
        <v>315</v>
      </c>
      <c r="T297" s="105" t="str">
        <f>_xlfn.XLOOKUP(Tabla1[[#This Row],[Universidad]],Conversiones!$B:$B,Conversiones!$C:$C)</f>
        <v>HEC Lausanne</v>
      </c>
      <c r="U297" s="105" t="str">
        <f>_xlfn.XLOOKUP(Tabla1[[#This Row],[Universidad KPIs]],Conversiones!$C:$C,Conversiones!$E:$E)</f>
        <v>Específico</v>
      </c>
      <c r="V297" t="s">
        <v>81</v>
      </c>
      <c r="W297" t="s">
        <v>281</v>
      </c>
      <c r="X297" s="2">
        <v>44949</v>
      </c>
      <c r="Y297" s="2">
        <v>45073</v>
      </c>
      <c r="Z297">
        <v>124</v>
      </c>
    </row>
    <row r="298" spans="1:26">
      <c r="A298" s="103" t="s">
        <v>1396</v>
      </c>
      <c r="B298" s="1">
        <v>201822627</v>
      </c>
      <c r="C298" s="1" t="s">
        <v>1397</v>
      </c>
      <c r="D298" s="1" t="s">
        <v>1398</v>
      </c>
      <c r="E298" s="1" t="s">
        <v>1399</v>
      </c>
      <c r="F298" s="1" t="s">
        <v>233</v>
      </c>
      <c r="G298" s="1" t="s">
        <v>277</v>
      </c>
      <c r="H298" s="1"/>
      <c r="I298" s="1"/>
      <c r="J298" s="1" t="s">
        <v>278</v>
      </c>
      <c r="K298" s="1">
        <v>2023</v>
      </c>
      <c r="L298" s="1">
        <v>202310</v>
      </c>
      <c r="M298" s="1">
        <v>202310</v>
      </c>
      <c r="N298" s="1" t="s">
        <v>279</v>
      </c>
      <c r="O298" s="1" t="s">
        <v>230</v>
      </c>
      <c r="P298" s="1" t="s">
        <v>280</v>
      </c>
      <c r="Q298" s="1" t="s">
        <v>233</v>
      </c>
      <c r="R298" s="1" t="s">
        <v>277</v>
      </c>
      <c r="S298" s="1" t="s">
        <v>1400</v>
      </c>
      <c r="T298" s="105" t="str">
        <f>_xlfn.XLOOKUP(Tabla1[[#This Row],[Universidad]],Conversiones!$B:$B,Conversiones!$C:$C)</f>
        <v>EM Strasbourg</v>
      </c>
      <c r="U298" s="105" t="str">
        <f>_xlfn.XLOOKUP(Tabla1[[#This Row],[Universidad KPIs]],Conversiones!$C:$C,Conversiones!$E:$E)</f>
        <v>Específico</v>
      </c>
      <c r="V298" s="1" t="s">
        <v>57</v>
      </c>
      <c r="W298" s="1" t="s">
        <v>281</v>
      </c>
      <c r="X298" s="87">
        <v>44949</v>
      </c>
      <c r="Y298" s="87">
        <v>45073</v>
      </c>
      <c r="Z298" s="1">
        <v>124</v>
      </c>
    </row>
    <row r="299" spans="1:26">
      <c r="A299" s="102" t="s">
        <v>1401</v>
      </c>
      <c r="B299">
        <v>202021563</v>
      </c>
      <c r="C299" t="s">
        <v>690</v>
      </c>
      <c r="D299" t="s">
        <v>1402</v>
      </c>
      <c r="E299" t="s">
        <v>1403</v>
      </c>
      <c r="F299" t="s">
        <v>233</v>
      </c>
      <c r="G299" t="s">
        <v>277</v>
      </c>
      <c r="J299" t="s">
        <v>278</v>
      </c>
      <c r="K299">
        <v>2023</v>
      </c>
      <c r="L299">
        <v>202310</v>
      </c>
      <c r="M299">
        <v>202310</v>
      </c>
      <c r="N299" t="s">
        <v>279</v>
      </c>
      <c r="O299" t="s">
        <v>230</v>
      </c>
      <c r="P299" t="s">
        <v>280</v>
      </c>
      <c r="Q299" t="s">
        <v>233</v>
      </c>
      <c r="R299" t="s">
        <v>277</v>
      </c>
      <c r="S299" t="s">
        <v>1400</v>
      </c>
      <c r="T299" s="105" t="str">
        <f>_xlfn.XLOOKUP(Tabla1[[#This Row],[Universidad]],Conversiones!$B:$B,Conversiones!$C:$C)</f>
        <v>EM Strasbourg</v>
      </c>
      <c r="U299" s="105" t="str">
        <f>_xlfn.XLOOKUP(Tabla1[[#This Row],[Universidad KPIs]],Conversiones!$C:$C,Conversiones!$E:$E)</f>
        <v>Específico</v>
      </c>
      <c r="V299" t="s">
        <v>57</v>
      </c>
      <c r="W299" t="s">
        <v>281</v>
      </c>
      <c r="X299" s="2">
        <v>44949</v>
      </c>
      <c r="Y299" s="2">
        <v>45073</v>
      </c>
      <c r="Z299">
        <v>124</v>
      </c>
    </row>
    <row r="300" spans="1:26">
      <c r="A300" s="103" t="s">
        <v>1404</v>
      </c>
      <c r="B300" s="1">
        <v>201820577</v>
      </c>
      <c r="C300" s="1" t="s">
        <v>1405</v>
      </c>
      <c r="D300" s="1" t="s">
        <v>1406</v>
      </c>
      <c r="E300" s="1" t="s">
        <v>1407</v>
      </c>
      <c r="F300" s="1" t="s">
        <v>233</v>
      </c>
      <c r="G300" s="1" t="s">
        <v>277</v>
      </c>
      <c r="H300" s="1" t="s">
        <v>491</v>
      </c>
      <c r="I300" s="1" t="s">
        <v>492</v>
      </c>
      <c r="J300" s="1" t="s">
        <v>278</v>
      </c>
      <c r="K300" s="1">
        <v>2023</v>
      </c>
      <c r="L300" s="1">
        <v>202310</v>
      </c>
      <c r="M300" s="1">
        <v>202310</v>
      </c>
      <c r="N300" s="1" t="s">
        <v>279</v>
      </c>
      <c r="O300" s="1" t="s">
        <v>230</v>
      </c>
      <c r="P300" s="1" t="s">
        <v>280</v>
      </c>
      <c r="Q300" s="1" t="s">
        <v>233</v>
      </c>
      <c r="R300" s="1" t="s">
        <v>277</v>
      </c>
      <c r="S300" s="1" t="s">
        <v>1408</v>
      </c>
      <c r="T300" s="105" t="str">
        <f>_xlfn.XLOOKUP(Tabla1[[#This Row],[Universidad]],Conversiones!$B:$B,Conversiones!$C:$C)</f>
        <v>Grenoble. École de Management</v>
      </c>
      <c r="U300" s="105" t="str">
        <f>_xlfn.XLOOKUP(Tabla1[[#This Row],[Universidad KPIs]],Conversiones!$C:$C,Conversiones!$E:$E)</f>
        <v>Específico</v>
      </c>
      <c r="V300" s="1" t="s">
        <v>57</v>
      </c>
      <c r="W300" s="1" t="s">
        <v>281</v>
      </c>
      <c r="X300" s="87">
        <v>44949</v>
      </c>
      <c r="Y300" s="87">
        <v>45073</v>
      </c>
      <c r="Z300" s="1">
        <v>124</v>
      </c>
    </row>
    <row r="301" spans="1:26">
      <c r="A301" s="102" t="s">
        <v>1409</v>
      </c>
      <c r="B301">
        <v>201913690</v>
      </c>
      <c r="C301" t="s">
        <v>1410</v>
      </c>
      <c r="D301" t="s">
        <v>1411</v>
      </c>
      <c r="E301" t="s">
        <v>1412</v>
      </c>
      <c r="F301" t="s">
        <v>233</v>
      </c>
      <c r="G301" t="s">
        <v>277</v>
      </c>
      <c r="J301" t="s">
        <v>278</v>
      </c>
      <c r="K301">
        <v>2023</v>
      </c>
      <c r="L301">
        <v>202310</v>
      </c>
      <c r="M301">
        <v>202310</v>
      </c>
      <c r="N301" t="s">
        <v>279</v>
      </c>
      <c r="O301" t="s">
        <v>230</v>
      </c>
      <c r="P301" t="s">
        <v>280</v>
      </c>
      <c r="Q301" t="s">
        <v>233</v>
      </c>
      <c r="R301" t="s">
        <v>277</v>
      </c>
      <c r="S301" t="s">
        <v>414</v>
      </c>
      <c r="T301" s="105" t="str">
        <f>_xlfn.XLOOKUP(Tabla1[[#This Row],[Universidad]],Conversiones!$B:$B,Conversiones!$C:$C)</f>
        <v>Faculté des Sciences de l'Administration. FSA Laval</v>
      </c>
      <c r="U301" s="105" t="str">
        <f>_xlfn.XLOOKUP(Tabla1[[#This Row],[Universidad KPIs]],Conversiones!$C:$C,Conversiones!$E:$E)</f>
        <v>Específico</v>
      </c>
      <c r="V301" t="s">
        <v>74</v>
      </c>
      <c r="W301" t="s">
        <v>291</v>
      </c>
      <c r="X301" s="2">
        <v>44949</v>
      </c>
      <c r="Y301" s="2">
        <v>45073</v>
      </c>
      <c r="Z301">
        <v>124</v>
      </c>
    </row>
    <row r="302" spans="1:26">
      <c r="A302" s="103" t="s">
        <v>1413</v>
      </c>
      <c r="B302" s="1">
        <v>201920911</v>
      </c>
      <c r="C302" s="1" t="s">
        <v>465</v>
      </c>
      <c r="D302" s="1" t="s">
        <v>1414</v>
      </c>
      <c r="E302" s="1" t="s">
        <v>1415</v>
      </c>
      <c r="F302" s="1" t="s">
        <v>233</v>
      </c>
      <c r="G302" s="1" t="s">
        <v>277</v>
      </c>
      <c r="H302" s="1"/>
      <c r="I302" s="1"/>
      <c r="J302" s="1" t="s">
        <v>278</v>
      </c>
      <c r="K302" s="1">
        <v>2023</v>
      </c>
      <c r="L302" s="1">
        <v>202310</v>
      </c>
      <c r="M302" s="1">
        <v>202310</v>
      </c>
      <c r="N302" s="1" t="s">
        <v>279</v>
      </c>
      <c r="O302" s="1" t="s">
        <v>230</v>
      </c>
      <c r="P302" s="1" t="s">
        <v>280</v>
      </c>
      <c r="Q302" s="1" t="s">
        <v>233</v>
      </c>
      <c r="R302" s="1" t="s">
        <v>277</v>
      </c>
      <c r="S302" s="1" t="s">
        <v>179</v>
      </c>
      <c r="T302" s="105" t="str">
        <f>_xlfn.XLOOKUP(Tabla1[[#This Row],[Universidad]],Conversiones!$B:$B,Conversiones!$C:$C)</f>
        <v>University College London</v>
      </c>
      <c r="U302" s="105" t="str">
        <f>_xlfn.XLOOKUP(Tabla1[[#This Row],[Universidad KPIs]],Conversiones!$C:$C,Conversiones!$E:$E)</f>
        <v>General</v>
      </c>
      <c r="V302" s="1" t="s">
        <v>55</v>
      </c>
      <c r="W302" s="1" t="s">
        <v>281</v>
      </c>
      <c r="X302" s="87">
        <v>44949</v>
      </c>
      <c r="Y302" s="87">
        <v>45073</v>
      </c>
      <c r="Z302" s="1">
        <v>124</v>
      </c>
    </row>
    <row r="303" spans="1:26">
      <c r="A303" s="102" t="s">
        <v>1416</v>
      </c>
      <c r="B303">
        <v>202011088</v>
      </c>
      <c r="C303" t="s">
        <v>326</v>
      </c>
      <c r="D303" t="s">
        <v>1417</v>
      </c>
      <c r="E303" t="s">
        <v>1418</v>
      </c>
      <c r="F303" t="s">
        <v>233</v>
      </c>
      <c r="G303" t="s">
        <v>277</v>
      </c>
      <c r="J303" t="s">
        <v>278</v>
      </c>
      <c r="K303">
        <v>2023</v>
      </c>
      <c r="L303">
        <v>202310</v>
      </c>
      <c r="M303">
        <v>202310</v>
      </c>
      <c r="N303" t="s">
        <v>279</v>
      </c>
      <c r="O303" t="s">
        <v>230</v>
      </c>
      <c r="P303" t="s">
        <v>280</v>
      </c>
      <c r="Q303" t="s">
        <v>233</v>
      </c>
      <c r="R303" t="s">
        <v>277</v>
      </c>
      <c r="S303" t="s">
        <v>405</v>
      </c>
      <c r="T303" s="105" t="str">
        <f>_xlfn.XLOOKUP(Tabla1[[#This Row],[Universidad]],Conversiones!$B:$B,Conversiones!$C:$C)</f>
        <v>University of Ljubljana</v>
      </c>
      <c r="U303" s="105" t="str">
        <f>_xlfn.XLOOKUP(Tabla1[[#This Row],[Universidad KPIs]],Conversiones!$C:$C,Conversiones!$E:$E)</f>
        <v>Específico</v>
      </c>
      <c r="V303" t="s">
        <v>118</v>
      </c>
      <c r="W303" t="s">
        <v>281</v>
      </c>
      <c r="X303" s="2">
        <v>44949</v>
      </c>
      <c r="Y303" s="2">
        <v>45073</v>
      </c>
      <c r="Z303">
        <v>124</v>
      </c>
    </row>
    <row r="304" spans="1:26">
      <c r="A304" s="103" t="s">
        <v>1419</v>
      </c>
      <c r="B304" s="1">
        <v>202021561</v>
      </c>
      <c r="C304" s="1" t="s">
        <v>407</v>
      </c>
      <c r="D304" s="1" t="s">
        <v>1420</v>
      </c>
      <c r="E304" s="1" t="s">
        <v>1421</v>
      </c>
      <c r="F304" s="1" t="s">
        <v>233</v>
      </c>
      <c r="G304" s="1" t="s">
        <v>277</v>
      </c>
      <c r="H304" s="1"/>
      <c r="I304" s="1"/>
      <c r="J304" s="1" t="s">
        <v>278</v>
      </c>
      <c r="K304" s="1">
        <v>2023</v>
      </c>
      <c r="L304" s="1">
        <v>202319</v>
      </c>
      <c r="M304" s="1">
        <v>202319</v>
      </c>
      <c r="N304" s="1" t="s">
        <v>279</v>
      </c>
      <c r="O304" s="1" t="s">
        <v>232</v>
      </c>
      <c r="P304" s="1" t="s">
        <v>468</v>
      </c>
      <c r="Q304" s="1" t="s">
        <v>233</v>
      </c>
      <c r="R304" s="1" t="s">
        <v>277</v>
      </c>
      <c r="S304" s="1" t="s">
        <v>197</v>
      </c>
      <c r="T304" s="105" t="str">
        <f>_xlfn.XLOOKUP(Tabla1[[#This Row],[Universidad]],Conversiones!$B:$B,Conversiones!$C:$C)</f>
        <v>Cornell University</v>
      </c>
      <c r="U304" s="105" t="str">
        <f>_xlfn.XLOOKUP(Tabla1[[#This Row],[Universidad KPIs]],Conversiones!$C:$C,Conversiones!$E:$E)</f>
        <v>General</v>
      </c>
      <c r="V304" s="1" t="s">
        <v>51</v>
      </c>
      <c r="W304" s="1" t="s">
        <v>291</v>
      </c>
      <c r="X304" s="87">
        <v>45082</v>
      </c>
      <c r="Y304" s="87">
        <v>45136</v>
      </c>
      <c r="Z304" s="1">
        <v>54</v>
      </c>
    </row>
    <row r="305" spans="1:26">
      <c r="A305" s="102" t="s">
        <v>1422</v>
      </c>
      <c r="B305">
        <v>202020686</v>
      </c>
      <c r="C305" t="s">
        <v>1423</v>
      </c>
      <c r="D305" t="s">
        <v>1424</v>
      </c>
      <c r="E305" t="s">
        <v>1425</v>
      </c>
      <c r="F305" t="s">
        <v>233</v>
      </c>
      <c r="G305" t="s">
        <v>277</v>
      </c>
      <c r="J305" t="s">
        <v>278</v>
      </c>
      <c r="K305">
        <v>2023</v>
      </c>
      <c r="L305">
        <v>202320</v>
      </c>
      <c r="M305">
        <v>202320</v>
      </c>
      <c r="N305" t="s">
        <v>279</v>
      </c>
      <c r="O305" t="s">
        <v>230</v>
      </c>
      <c r="P305" t="s">
        <v>280</v>
      </c>
      <c r="Q305" t="s">
        <v>233</v>
      </c>
      <c r="R305" t="s">
        <v>277</v>
      </c>
      <c r="S305" t="s">
        <v>677</v>
      </c>
      <c r="T305" s="105" t="str">
        <f>_xlfn.XLOOKUP(Tabla1[[#This Row],[Universidad]],Conversiones!$B:$B,Conversiones!$C:$C)</f>
        <v>Aalto University</v>
      </c>
      <c r="U305" s="105" t="str">
        <f>_xlfn.XLOOKUP(Tabla1[[#This Row],[Universidad KPIs]],Conversiones!$C:$C,Conversiones!$E:$E)</f>
        <v>Específico</v>
      </c>
      <c r="V305" t="s">
        <v>53</v>
      </c>
      <c r="W305" t="s">
        <v>281</v>
      </c>
      <c r="X305" s="2">
        <v>45146</v>
      </c>
      <c r="Y305" s="2">
        <v>45262</v>
      </c>
      <c r="Z305">
        <v>116</v>
      </c>
    </row>
    <row r="306" spans="1:26">
      <c r="A306" s="103" t="s">
        <v>1426</v>
      </c>
      <c r="B306" s="1">
        <v>202012626</v>
      </c>
      <c r="C306" s="1" t="s">
        <v>730</v>
      </c>
      <c r="D306" s="1" t="s">
        <v>1427</v>
      </c>
      <c r="E306" s="1" t="s">
        <v>1428</v>
      </c>
      <c r="F306" s="1" t="s">
        <v>233</v>
      </c>
      <c r="G306" s="1" t="s">
        <v>277</v>
      </c>
      <c r="H306" s="1" t="s">
        <v>543</v>
      </c>
      <c r="I306" s="1" t="s">
        <v>544</v>
      </c>
      <c r="J306" s="1" t="s">
        <v>278</v>
      </c>
      <c r="K306" s="1">
        <v>2023</v>
      </c>
      <c r="L306" s="1">
        <v>202320</v>
      </c>
      <c r="M306" s="1">
        <v>202320</v>
      </c>
      <c r="N306" s="1" t="s">
        <v>279</v>
      </c>
      <c r="O306" s="1" t="s">
        <v>230</v>
      </c>
      <c r="P306" s="1" t="s">
        <v>280</v>
      </c>
      <c r="Q306" s="1" t="s">
        <v>233</v>
      </c>
      <c r="R306" s="1" t="s">
        <v>277</v>
      </c>
      <c r="S306" s="1" t="s">
        <v>54</v>
      </c>
      <c r="T306" s="105" t="str">
        <f>_xlfn.XLOOKUP(Tabla1[[#This Row],[Universidad]],Conversiones!$B:$B,Conversiones!$C:$C)</f>
        <v>Aston University</v>
      </c>
      <c r="U306" s="105" t="str">
        <f>_xlfn.XLOOKUP(Tabla1[[#This Row],[Universidad KPIs]],Conversiones!$C:$C,Conversiones!$E:$E)</f>
        <v>Específico</v>
      </c>
      <c r="V306" s="1" t="s">
        <v>55</v>
      </c>
      <c r="W306" s="1" t="s">
        <v>281</v>
      </c>
      <c r="X306" s="87">
        <v>45146</v>
      </c>
      <c r="Y306" s="87">
        <v>45262</v>
      </c>
      <c r="Z306" s="1">
        <v>116</v>
      </c>
    </row>
    <row r="307" spans="1:26">
      <c r="A307" s="102" t="s">
        <v>1429</v>
      </c>
      <c r="B307">
        <v>202021339</v>
      </c>
      <c r="C307" t="s">
        <v>1430</v>
      </c>
      <c r="D307" t="s">
        <v>1431</v>
      </c>
      <c r="E307" t="s">
        <v>1432</v>
      </c>
      <c r="F307" t="s">
        <v>233</v>
      </c>
      <c r="G307" t="s">
        <v>277</v>
      </c>
      <c r="J307" t="s">
        <v>278</v>
      </c>
      <c r="K307">
        <v>2023</v>
      </c>
      <c r="L307">
        <v>202320</v>
      </c>
      <c r="M307">
        <v>202320</v>
      </c>
      <c r="N307" t="s">
        <v>279</v>
      </c>
      <c r="O307" t="s">
        <v>230</v>
      </c>
      <c r="P307" t="s">
        <v>280</v>
      </c>
      <c r="Q307" t="s">
        <v>233</v>
      </c>
      <c r="R307" t="s">
        <v>277</v>
      </c>
      <c r="S307" t="s">
        <v>54</v>
      </c>
      <c r="T307" s="105" t="str">
        <f>_xlfn.XLOOKUP(Tabla1[[#This Row],[Universidad]],Conversiones!$B:$B,Conversiones!$C:$C)</f>
        <v>Aston University</v>
      </c>
      <c r="U307" s="105" t="str">
        <f>_xlfn.XLOOKUP(Tabla1[[#This Row],[Universidad KPIs]],Conversiones!$C:$C,Conversiones!$E:$E)</f>
        <v>Específico</v>
      </c>
      <c r="V307" t="s">
        <v>55</v>
      </c>
      <c r="W307" t="s">
        <v>281</v>
      </c>
      <c r="X307" s="2">
        <v>45146</v>
      </c>
      <c r="Y307" s="2">
        <v>45262</v>
      </c>
      <c r="Z307">
        <v>116</v>
      </c>
    </row>
    <row r="308" spans="1:26">
      <c r="A308" s="103" t="s">
        <v>1433</v>
      </c>
      <c r="B308" s="1">
        <v>202021420</v>
      </c>
      <c r="C308" s="1" t="s">
        <v>1434</v>
      </c>
      <c r="D308" s="1" t="s">
        <v>1435</v>
      </c>
      <c r="E308" s="1" t="s">
        <v>1436</v>
      </c>
      <c r="F308" s="1" t="s">
        <v>233</v>
      </c>
      <c r="G308" s="1" t="s">
        <v>277</v>
      </c>
      <c r="H308" s="1"/>
      <c r="I308" s="1"/>
      <c r="J308" s="1" t="s">
        <v>278</v>
      </c>
      <c r="K308" s="1">
        <v>2023</v>
      </c>
      <c r="L308" s="1">
        <v>202320</v>
      </c>
      <c r="M308" s="1">
        <v>202320</v>
      </c>
      <c r="N308" s="1" t="s">
        <v>279</v>
      </c>
      <c r="O308" s="1" t="s">
        <v>230</v>
      </c>
      <c r="P308" s="1" t="s">
        <v>280</v>
      </c>
      <c r="Q308" s="1" t="s">
        <v>233</v>
      </c>
      <c r="R308" s="1" t="s">
        <v>277</v>
      </c>
      <c r="S308" s="1" t="s">
        <v>644</v>
      </c>
      <c r="T308" s="105" t="str">
        <f>_xlfn.XLOOKUP(Tabla1[[#This Row],[Universidad]],Conversiones!$B:$B,Conversiones!$C:$C)</f>
        <v>Audencia. École de Management</v>
      </c>
      <c r="U308" s="105" t="str">
        <f>_xlfn.XLOOKUP(Tabla1[[#This Row],[Universidad KPIs]],Conversiones!$C:$C,Conversiones!$E:$E)</f>
        <v>Específico</v>
      </c>
      <c r="V308" s="1" t="s">
        <v>57</v>
      </c>
      <c r="W308" s="1" t="s">
        <v>281</v>
      </c>
      <c r="X308" s="87">
        <v>45146</v>
      </c>
      <c r="Y308" s="87">
        <v>45262</v>
      </c>
      <c r="Z308" s="1">
        <v>116</v>
      </c>
    </row>
    <row r="309" spans="1:26">
      <c r="A309" s="102" t="s">
        <v>1437</v>
      </c>
      <c r="B309">
        <v>202110101</v>
      </c>
      <c r="C309" t="s">
        <v>1438</v>
      </c>
      <c r="D309" t="s">
        <v>1439</v>
      </c>
      <c r="E309" t="s">
        <v>1440</v>
      </c>
      <c r="F309" t="s">
        <v>1441</v>
      </c>
      <c r="G309" t="s">
        <v>277</v>
      </c>
      <c r="J309" t="s">
        <v>278</v>
      </c>
      <c r="K309">
        <v>2023</v>
      </c>
      <c r="L309">
        <v>202320</v>
      </c>
      <c r="M309">
        <v>202320</v>
      </c>
      <c r="N309" t="s">
        <v>618</v>
      </c>
      <c r="O309" t="s">
        <v>230</v>
      </c>
      <c r="P309" t="s">
        <v>1152</v>
      </c>
      <c r="Q309" t="s">
        <v>236</v>
      </c>
      <c r="R309" t="s">
        <v>277</v>
      </c>
      <c r="S309" t="s">
        <v>200</v>
      </c>
      <c r="T309" s="105" t="str">
        <f>_xlfn.XLOOKUP(Tabla1[[#This Row],[Universidad]],Conversiones!$B:$B,Conversiones!$C:$C)</f>
        <v>Central European University</v>
      </c>
      <c r="U309" s="105" t="str">
        <f>_xlfn.XLOOKUP(Tabla1[[#This Row],[Universidad KPIs]],Conversiones!$C:$C,Conversiones!$E:$E)</f>
        <v>General</v>
      </c>
      <c r="V309" t="s">
        <v>201</v>
      </c>
      <c r="W309" t="s">
        <v>281</v>
      </c>
      <c r="X309" s="2">
        <v>45146</v>
      </c>
      <c r="Y309" s="2">
        <v>45262</v>
      </c>
      <c r="Z309">
        <v>116</v>
      </c>
    </row>
    <row r="310" spans="1:26">
      <c r="A310" s="103" t="s">
        <v>1442</v>
      </c>
      <c r="B310" s="1">
        <v>202022290</v>
      </c>
      <c r="C310" s="1" t="s">
        <v>1443</v>
      </c>
      <c r="D310" s="1" t="s">
        <v>1444</v>
      </c>
      <c r="E310" s="1" t="s">
        <v>1445</v>
      </c>
      <c r="F310" s="1" t="s">
        <v>233</v>
      </c>
      <c r="G310" s="1" t="s">
        <v>277</v>
      </c>
      <c r="H310" s="1"/>
      <c r="I310" s="1"/>
      <c r="J310" s="1" t="s">
        <v>278</v>
      </c>
      <c r="K310" s="1">
        <v>2023</v>
      </c>
      <c r="L310" s="1">
        <v>202320</v>
      </c>
      <c r="M310" s="1">
        <v>202320</v>
      </c>
      <c r="N310" s="1" t="s">
        <v>279</v>
      </c>
      <c r="O310" s="1" t="s">
        <v>230</v>
      </c>
      <c r="P310" s="1" t="s">
        <v>280</v>
      </c>
      <c r="Q310" s="1" t="s">
        <v>233</v>
      </c>
      <c r="R310" s="1" t="s">
        <v>277</v>
      </c>
      <c r="S310" s="1" t="s">
        <v>64</v>
      </c>
      <c r="T310" s="105" t="str">
        <f>_xlfn.XLOOKUP(Tabla1[[#This Row],[Universidad]],Conversiones!$B:$B,Conversiones!$C:$C)</f>
        <v>City University of Hong Kong</v>
      </c>
      <c r="U310" s="105" t="str">
        <f>_xlfn.XLOOKUP(Tabla1[[#This Row],[Universidad KPIs]],Conversiones!$C:$C,Conversiones!$E:$E)</f>
        <v>Específico</v>
      </c>
      <c r="V310" s="1" t="s">
        <v>65</v>
      </c>
      <c r="W310" s="1" t="s">
        <v>568</v>
      </c>
      <c r="X310" s="87">
        <v>45146</v>
      </c>
      <c r="Y310" s="87">
        <v>45262</v>
      </c>
      <c r="Z310" s="1">
        <v>116</v>
      </c>
    </row>
    <row r="311" spans="1:26">
      <c r="A311" s="102" t="s">
        <v>1446</v>
      </c>
      <c r="B311">
        <v>201820957</v>
      </c>
      <c r="C311" t="s">
        <v>1447</v>
      </c>
      <c r="D311" t="s">
        <v>1448</v>
      </c>
      <c r="E311" t="s">
        <v>1449</v>
      </c>
      <c r="F311" t="s">
        <v>233</v>
      </c>
      <c r="G311" t="s">
        <v>277</v>
      </c>
      <c r="H311" t="s">
        <v>648</v>
      </c>
      <c r="I311" t="s">
        <v>649</v>
      </c>
      <c r="J311" t="s">
        <v>278</v>
      </c>
      <c r="K311">
        <v>2023</v>
      </c>
      <c r="L311">
        <v>202320</v>
      </c>
      <c r="M311">
        <v>202320</v>
      </c>
      <c r="N311" t="s">
        <v>279</v>
      </c>
      <c r="O311" t="s">
        <v>230</v>
      </c>
      <c r="P311" t="s">
        <v>280</v>
      </c>
      <c r="Q311" t="s">
        <v>233</v>
      </c>
      <c r="R311" t="s">
        <v>277</v>
      </c>
      <c r="S311" t="s">
        <v>143</v>
      </c>
      <c r="T311" s="105" t="str">
        <f>_xlfn.XLOOKUP(Tabla1[[#This Row],[Universidad]],Conversiones!$B:$B,Conversiones!$C:$C)</f>
        <v>Curtin University</v>
      </c>
      <c r="U311" s="105" t="str">
        <f>_xlfn.XLOOKUP(Tabla1[[#This Row],[Universidad KPIs]],Conversiones!$C:$C,Conversiones!$E:$E)</f>
        <v>General</v>
      </c>
      <c r="V311" t="s">
        <v>106</v>
      </c>
      <c r="W311" t="s">
        <v>385</v>
      </c>
      <c r="X311" s="2">
        <v>45146</v>
      </c>
      <c r="Y311" s="2">
        <v>45262</v>
      </c>
      <c r="Z311">
        <v>116</v>
      </c>
    </row>
    <row r="312" spans="1:26">
      <c r="A312" s="103" t="s">
        <v>1450</v>
      </c>
      <c r="B312" s="1">
        <v>202012032</v>
      </c>
      <c r="C312" s="1" t="s">
        <v>1451</v>
      </c>
      <c r="D312" s="1" t="s">
        <v>1452</v>
      </c>
      <c r="E312" s="1" t="s">
        <v>1453</v>
      </c>
      <c r="F312" s="1" t="s">
        <v>233</v>
      </c>
      <c r="G312" s="1" t="s">
        <v>277</v>
      </c>
      <c r="H312" s="1"/>
      <c r="I312" s="1"/>
      <c r="J312" s="1" t="s">
        <v>278</v>
      </c>
      <c r="K312" s="1">
        <v>2023</v>
      </c>
      <c r="L312" s="1">
        <v>202320</v>
      </c>
      <c r="M312" s="1">
        <v>202320</v>
      </c>
      <c r="N312" s="1" t="s">
        <v>279</v>
      </c>
      <c r="O312" s="1" t="s">
        <v>230</v>
      </c>
      <c r="P312" s="1" t="s">
        <v>280</v>
      </c>
      <c r="Q312" s="1" t="s">
        <v>233</v>
      </c>
      <c r="R312" s="1" t="s">
        <v>277</v>
      </c>
      <c r="S312" s="1" t="s">
        <v>366</v>
      </c>
      <c r="T312" s="105" t="str">
        <f>_xlfn.XLOOKUP(Tabla1[[#This Row],[Universidad]],Conversiones!$B:$B,Conversiones!$C:$C)</f>
        <v>HEC Montréal</v>
      </c>
      <c r="U312" s="105" t="str">
        <f>_xlfn.XLOOKUP(Tabla1[[#This Row],[Universidad KPIs]],Conversiones!$C:$C,Conversiones!$E:$E)</f>
        <v>Específico</v>
      </c>
      <c r="V312" s="1" t="s">
        <v>74</v>
      </c>
      <c r="W312" s="1" t="s">
        <v>291</v>
      </c>
      <c r="X312" s="87">
        <v>45146</v>
      </c>
      <c r="Y312" s="87">
        <v>45262</v>
      </c>
      <c r="Z312" s="1">
        <v>116</v>
      </c>
    </row>
    <row r="313" spans="1:26">
      <c r="A313" s="102" t="s">
        <v>1454</v>
      </c>
      <c r="B313">
        <v>201922310</v>
      </c>
      <c r="C313" t="s">
        <v>326</v>
      </c>
      <c r="D313" t="s">
        <v>1455</v>
      </c>
      <c r="E313" t="s">
        <v>1456</v>
      </c>
      <c r="F313" t="s">
        <v>233</v>
      </c>
      <c r="G313" t="s">
        <v>277</v>
      </c>
      <c r="J313" t="s">
        <v>278</v>
      </c>
      <c r="K313">
        <v>2023</v>
      </c>
      <c r="L313">
        <v>202320</v>
      </c>
      <c r="M313">
        <v>202310</v>
      </c>
      <c r="N313" t="s">
        <v>279</v>
      </c>
      <c r="O313" t="s">
        <v>230</v>
      </c>
      <c r="P313" t="s">
        <v>280</v>
      </c>
      <c r="Q313" t="s">
        <v>233</v>
      </c>
      <c r="R313" t="s">
        <v>277</v>
      </c>
      <c r="S313" t="s">
        <v>366</v>
      </c>
      <c r="T313" s="105" t="str">
        <f>_xlfn.XLOOKUP(Tabla1[[#This Row],[Universidad]],Conversiones!$B:$B,Conversiones!$C:$C)</f>
        <v>HEC Montréal</v>
      </c>
      <c r="U313" s="105" t="str">
        <f>_xlfn.XLOOKUP(Tabla1[[#This Row],[Universidad KPIs]],Conversiones!$C:$C,Conversiones!$E:$E)</f>
        <v>Específico</v>
      </c>
      <c r="V313" t="s">
        <v>74</v>
      </c>
      <c r="W313" t="s">
        <v>291</v>
      </c>
      <c r="X313" s="2">
        <v>45146</v>
      </c>
      <c r="Y313" s="2">
        <v>45262</v>
      </c>
      <c r="Z313">
        <v>116</v>
      </c>
    </row>
    <row r="314" spans="1:26">
      <c r="A314" s="103" t="s">
        <v>1457</v>
      </c>
      <c r="B314" s="1">
        <v>202012811</v>
      </c>
      <c r="C314" s="1" t="s">
        <v>1458</v>
      </c>
      <c r="D314" s="1" t="s">
        <v>1459</v>
      </c>
      <c r="E314" s="1" t="s">
        <v>1460</v>
      </c>
      <c r="F314" s="1" t="s">
        <v>233</v>
      </c>
      <c r="G314" s="1" t="s">
        <v>277</v>
      </c>
      <c r="H314" s="1" t="s">
        <v>543</v>
      </c>
      <c r="I314" s="1" t="s">
        <v>544</v>
      </c>
      <c r="J314" s="1" t="s">
        <v>278</v>
      </c>
      <c r="K314" s="1">
        <v>2023</v>
      </c>
      <c r="L314" s="1">
        <v>202320</v>
      </c>
      <c r="M314" s="1">
        <v>202320</v>
      </c>
      <c r="N314" s="1" t="s">
        <v>279</v>
      </c>
      <c r="O314" s="1" t="s">
        <v>230</v>
      </c>
      <c r="P314" s="1" t="s">
        <v>280</v>
      </c>
      <c r="Q314" s="1" t="s">
        <v>233</v>
      </c>
      <c r="R314" s="1" t="s">
        <v>277</v>
      </c>
      <c r="S314" s="1" t="s">
        <v>419</v>
      </c>
      <c r="T314" s="105" t="str">
        <f>_xlfn.XLOOKUP(Tabla1[[#This Row],[Universidad]],Conversiones!$B:$B,Conversiones!$C:$C)</f>
        <v>ESCP</v>
      </c>
      <c r="U314" s="105" t="str">
        <f>_xlfn.XLOOKUP(Tabla1[[#This Row],[Universidad KPIs]],Conversiones!$C:$C,Conversiones!$E:$E)</f>
        <v>Específico</v>
      </c>
      <c r="V314" s="1" t="s">
        <v>57</v>
      </c>
      <c r="W314" s="1" t="s">
        <v>281</v>
      </c>
      <c r="X314" s="87">
        <v>45146</v>
      </c>
      <c r="Y314" s="87">
        <v>45262</v>
      </c>
      <c r="Z314" s="1">
        <v>116</v>
      </c>
    </row>
    <row r="315" spans="1:26">
      <c r="A315" s="102" t="s">
        <v>1461</v>
      </c>
      <c r="B315">
        <v>202021100</v>
      </c>
      <c r="C315" t="s">
        <v>1462</v>
      </c>
      <c r="D315" t="s">
        <v>1463</v>
      </c>
      <c r="E315" t="s">
        <v>1464</v>
      </c>
      <c r="F315" t="s">
        <v>233</v>
      </c>
      <c r="G315" t="s">
        <v>277</v>
      </c>
      <c r="J315" t="s">
        <v>278</v>
      </c>
      <c r="K315">
        <v>2023</v>
      </c>
      <c r="L315">
        <v>202320</v>
      </c>
      <c r="M315">
        <v>202320</v>
      </c>
      <c r="N315" t="s">
        <v>279</v>
      </c>
      <c r="O315" t="s">
        <v>230</v>
      </c>
      <c r="P315" t="s">
        <v>280</v>
      </c>
      <c r="Q315" t="s">
        <v>233</v>
      </c>
      <c r="R315" t="s">
        <v>277</v>
      </c>
      <c r="S315" t="s">
        <v>419</v>
      </c>
      <c r="T315" s="105" t="str">
        <f>_xlfn.XLOOKUP(Tabla1[[#This Row],[Universidad]],Conversiones!$B:$B,Conversiones!$C:$C)</f>
        <v>ESCP</v>
      </c>
      <c r="U315" s="105" t="str">
        <f>_xlfn.XLOOKUP(Tabla1[[#This Row],[Universidad KPIs]],Conversiones!$C:$C,Conversiones!$E:$E)</f>
        <v>Específico</v>
      </c>
      <c r="V315" t="s">
        <v>57</v>
      </c>
      <c r="W315" t="s">
        <v>281</v>
      </c>
      <c r="X315" s="2">
        <v>45146</v>
      </c>
      <c r="Y315" s="2">
        <v>45262</v>
      </c>
      <c r="Z315">
        <v>116</v>
      </c>
    </row>
    <row r="316" spans="1:26">
      <c r="A316" s="103" t="s">
        <v>1465</v>
      </c>
      <c r="B316" s="1">
        <v>201922176</v>
      </c>
      <c r="C316" s="1" t="s">
        <v>1466</v>
      </c>
      <c r="D316" s="1" t="s">
        <v>1467</v>
      </c>
      <c r="E316" s="1" t="s">
        <v>1468</v>
      </c>
      <c r="F316" s="1" t="s">
        <v>233</v>
      </c>
      <c r="G316" s="1" t="s">
        <v>277</v>
      </c>
      <c r="H316" s="1"/>
      <c r="I316" s="1"/>
      <c r="J316" s="1" t="s">
        <v>278</v>
      </c>
      <c r="K316" s="1">
        <v>2023</v>
      </c>
      <c r="L316" s="1">
        <v>202320</v>
      </c>
      <c r="M316" s="1">
        <v>202320</v>
      </c>
      <c r="N316" s="1" t="s">
        <v>279</v>
      </c>
      <c r="O316" s="1" t="s">
        <v>230</v>
      </c>
      <c r="P316" s="1" t="s">
        <v>280</v>
      </c>
      <c r="Q316" s="1" t="s">
        <v>233</v>
      </c>
      <c r="R316" s="1" t="s">
        <v>277</v>
      </c>
      <c r="S316" s="1" t="s">
        <v>329</v>
      </c>
      <c r="T316" s="105" t="str">
        <f>_xlfn.XLOOKUP(Tabla1[[#This Row],[Universidad]],Conversiones!$B:$B,Conversiones!$C:$C)</f>
        <v>ESSEC</v>
      </c>
      <c r="U316" s="105" t="str">
        <f>_xlfn.XLOOKUP(Tabla1[[#This Row],[Universidad KPIs]],Conversiones!$C:$C,Conversiones!$E:$E)</f>
        <v>Específico</v>
      </c>
      <c r="V316" s="1" t="s">
        <v>57</v>
      </c>
      <c r="W316" s="1" t="s">
        <v>281</v>
      </c>
      <c r="X316" s="87">
        <v>45146</v>
      </c>
      <c r="Y316" s="87">
        <v>45262</v>
      </c>
      <c r="Z316" s="1">
        <v>116</v>
      </c>
    </row>
    <row r="317" spans="1:26">
      <c r="A317" s="102" t="s">
        <v>1469</v>
      </c>
      <c r="B317">
        <v>201923607</v>
      </c>
      <c r="C317" t="s">
        <v>1443</v>
      </c>
      <c r="D317" t="s">
        <v>1470</v>
      </c>
      <c r="E317" t="s">
        <v>1471</v>
      </c>
      <c r="F317" t="s">
        <v>233</v>
      </c>
      <c r="G317" t="s">
        <v>277</v>
      </c>
      <c r="J317" t="s">
        <v>278</v>
      </c>
      <c r="K317">
        <v>2023</v>
      </c>
      <c r="L317">
        <v>202320</v>
      </c>
      <c r="M317">
        <v>202320</v>
      </c>
      <c r="N317" t="s">
        <v>279</v>
      </c>
      <c r="O317" t="s">
        <v>230</v>
      </c>
      <c r="P317" t="s">
        <v>280</v>
      </c>
      <c r="Q317" t="s">
        <v>233</v>
      </c>
      <c r="R317" t="s">
        <v>277</v>
      </c>
      <c r="S317" t="s">
        <v>329</v>
      </c>
      <c r="T317" s="105" t="str">
        <f>_xlfn.XLOOKUP(Tabla1[[#This Row],[Universidad]],Conversiones!$B:$B,Conversiones!$C:$C)</f>
        <v>ESSEC</v>
      </c>
      <c r="U317" s="105" t="str">
        <f>_xlfn.XLOOKUP(Tabla1[[#This Row],[Universidad KPIs]],Conversiones!$C:$C,Conversiones!$E:$E)</f>
        <v>Específico</v>
      </c>
      <c r="V317" t="s">
        <v>57</v>
      </c>
      <c r="W317" t="s">
        <v>281</v>
      </c>
      <c r="X317" s="2">
        <v>45146</v>
      </c>
      <c r="Y317" s="2">
        <v>45262</v>
      </c>
      <c r="Z317">
        <v>116</v>
      </c>
    </row>
    <row r="318" spans="1:26">
      <c r="A318" s="103" t="s">
        <v>1472</v>
      </c>
      <c r="B318" s="1">
        <v>202013434</v>
      </c>
      <c r="C318" s="1" t="s">
        <v>1473</v>
      </c>
      <c r="D318" s="1" t="s">
        <v>1474</v>
      </c>
      <c r="E318" s="1" t="s">
        <v>1475</v>
      </c>
      <c r="F318" s="1" t="s">
        <v>233</v>
      </c>
      <c r="G318" s="1" t="s">
        <v>277</v>
      </c>
      <c r="H318" s="1" t="s">
        <v>491</v>
      </c>
      <c r="I318" s="1" t="s">
        <v>492</v>
      </c>
      <c r="J318" s="1" t="s">
        <v>278</v>
      </c>
      <c r="K318" s="1">
        <v>2023</v>
      </c>
      <c r="L318" s="1">
        <v>202320</v>
      </c>
      <c r="M318" s="1">
        <v>202320</v>
      </c>
      <c r="N318" s="1" t="s">
        <v>279</v>
      </c>
      <c r="O318" s="1" t="s">
        <v>230</v>
      </c>
      <c r="P318" s="1" t="s">
        <v>280</v>
      </c>
      <c r="Q318" s="1" t="s">
        <v>233</v>
      </c>
      <c r="R318" s="1" t="s">
        <v>277</v>
      </c>
      <c r="S318" s="1" t="s">
        <v>77</v>
      </c>
      <c r="T318" s="105" t="str">
        <f>_xlfn.XLOOKUP(Tabla1[[#This Row],[Universidad]],Conversiones!$B:$B,Conversiones!$C:$C)</f>
        <v>Fundação Getulio Vargas</v>
      </c>
      <c r="U318" s="105" t="str">
        <f>_xlfn.XLOOKUP(Tabla1[[#This Row],[Universidad KPIs]],Conversiones!$C:$C,Conversiones!$E:$E)</f>
        <v>Específico</v>
      </c>
      <c r="V318" s="1" t="s">
        <v>78</v>
      </c>
      <c r="W318" s="1" t="s">
        <v>296</v>
      </c>
      <c r="X318" s="87">
        <v>45146</v>
      </c>
      <c r="Y318" s="87">
        <v>45262</v>
      </c>
      <c r="Z318" s="1">
        <v>116</v>
      </c>
    </row>
    <row r="319" spans="1:26">
      <c r="A319" s="102" t="s">
        <v>1476</v>
      </c>
      <c r="B319">
        <v>202021706</v>
      </c>
      <c r="C319" t="s">
        <v>1367</v>
      </c>
      <c r="D319" t="s">
        <v>1477</v>
      </c>
      <c r="E319" t="s">
        <v>1478</v>
      </c>
      <c r="F319" t="s">
        <v>233</v>
      </c>
      <c r="G319" t="s">
        <v>277</v>
      </c>
      <c r="J319" t="s">
        <v>278</v>
      </c>
      <c r="K319">
        <v>2023</v>
      </c>
      <c r="L319">
        <v>202320</v>
      </c>
      <c r="M319">
        <v>202320</v>
      </c>
      <c r="N319" t="s">
        <v>279</v>
      </c>
      <c r="O319" t="s">
        <v>230</v>
      </c>
      <c r="P319" t="s">
        <v>280</v>
      </c>
      <c r="Q319" t="s">
        <v>233</v>
      </c>
      <c r="R319" t="s">
        <v>277</v>
      </c>
      <c r="S319" t="s">
        <v>650</v>
      </c>
      <c r="T319" s="105" t="str">
        <f>_xlfn.XLOOKUP(Tabla1[[#This Row],[Universidad]],Conversiones!$B:$B,Conversiones!$C:$C)</f>
        <v>Grenoble. École de Management</v>
      </c>
      <c r="U319" s="105" t="str">
        <f>_xlfn.XLOOKUP(Tabla1[[#This Row],[Universidad KPIs]],Conversiones!$C:$C,Conversiones!$E:$E)</f>
        <v>Específico</v>
      </c>
      <c r="V319" t="s">
        <v>57</v>
      </c>
      <c r="W319" t="s">
        <v>281</v>
      </c>
      <c r="X319" s="2">
        <v>45146</v>
      </c>
      <c r="Y319" s="2">
        <v>45262</v>
      </c>
      <c r="Z319">
        <v>116</v>
      </c>
    </row>
    <row r="320" spans="1:26">
      <c r="A320" s="103" t="s">
        <v>1479</v>
      </c>
      <c r="B320" s="1">
        <v>202011263</v>
      </c>
      <c r="C320" s="1" t="s">
        <v>586</v>
      </c>
      <c r="D320" s="1" t="s">
        <v>1480</v>
      </c>
      <c r="E320" s="1" t="s">
        <v>1481</v>
      </c>
      <c r="F320" s="1" t="s">
        <v>233</v>
      </c>
      <c r="G320" s="1" t="s">
        <v>277</v>
      </c>
      <c r="H320" s="1"/>
      <c r="I320" s="1"/>
      <c r="J320" s="1" t="s">
        <v>278</v>
      </c>
      <c r="K320" s="1">
        <v>2023</v>
      </c>
      <c r="L320" s="1">
        <v>202320</v>
      </c>
      <c r="M320" s="1">
        <v>202320</v>
      </c>
      <c r="N320" s="1" t="s">
        <v>279</v>
      </c>
      <c r="O320" s="1" t="s">
        <v>230</v>
      </c>
      <c r="P320" s="1" t="s">
        <v>280</v>
      </c>
      <c r="Q320" s="1" t="s">
        <v>233</v>
      </c>
      <c r="R320" s="1" t="s">
        <v>277</v>
      </c>
      <c r="S320" s="1" t="s">
        <v>441</v>
      </c>
      <c r="T320" s="105" t="str">
        <f>_xlfn.XLOOKUP(Tabla1[[#This Row],[Universidad]],Conversiones!$B:$B,Conversiones!$C:$C)</f>
        <v xml:space="preserve">CBS- Copenhagen Business School  </v>
      </c>
      <c r="U320" s="105" t="str">
        <f>_xlfn.XLOOKUP(Tabla1[[#This Row],[Universidad KPIs]],Conversiones!$C:$C,Conversiones!$E:$E)</f>
        <v>Específico</v>
      </c>
      <c r="V320" s="1" t="s">
        <v>63</v>
      </c>
      <c r="W320" s="1" t="s">
        <v>281</v>
      </c>
      <c r="X320" s="87">
        <v>45146</v>
      </c>
      <c r="Y320" s="87">
        <v>45262</v>
      </c>
      <c r="Z320" s="1">
        <v>116</v>
      </c>
    </row>
    <row r="321" spans="1:26">
      <c r="A321" s="102" t="s">
        <v>1482</v>
      </c>
      <c r="B321">
        <v>202021656</v>
      </c>
      <c r="C321" t="s">
        <v>499</v>
      </c>
      <c r="D321" t="s">
        <v>1483</v>
      </c>
      <c r="E321" t="s">
        <v>1484</v>
      </c>
      <c r="F321" t="s">
        <v>491</v>
      </c>
      <c r="G321" t="s">
        <v>492</v>
      </c>
      <c r="H321" t="s">
        <v>233</v>
      </c>
      <c r="I321" t="s">
        <v>277</v>
      </c>
      <c r="J321" t="s">
        <v>278</v>
      </c>
      <c r="K321">
        <v>2023</v>
      </c>
      <c r="L321">
        <v>202320</v>
      </c>
      <c r="M321">
        <v>202320</v>
      </c>
      <c r="N321" t="s">
        <v>279</v>
      </c>
      <c r="O321" t="s">
        <v>230</v>
      </c>
      <c r="P321" t="s">
        <v>280</v>
      </c>
      <c r="Q321" t="s">
        <v>233</v>
      </c>
      <c r="R321" t="s">
        <v>277</v>
      </c>
      <c r="S321" t="s">
        <v>1485</v>
      </c>
      <c r="T321" s="105" t="str">
        <f>_xlfn.XLOOKUP(Tabla1[[#This Row],[Universidad]],Conversiones!$B:$B,Conversiones!$C:$C)</f>
        <v>HEC Paris</v>
      </c>
      <c r="U321" s="105" t="str">
        <f>_xlfn.XLOOKUP(Tabla1[[#This Row],[Universidad KPIs]],Conversiones!$C:$C,Conversiones!$E:$E)</f>
        <v>Específico</v>
      </c>
      <c r="V321" t="s">
        <v>57</v>
      </c>
      <c r="W321" t="s">
        <v>281</v>
      </c>
      <c r="X321" s="2">
        <v>45146</v>
      </c>
      <c r="Y321" s="2">
        <v>45262</v>
      </c>
      <c r="Z321">
        <v>116</v>
      </c>
    </row>
    <row r="322" spans="1:26">
      <c r="A322" s="103" t="s">
        <v>1486</v>
      </c>
      <c r="B322" s="1">
        <v>202021037</v>
      </c>
      <c r="C322" s="1" t="s">
        <v>1487</v>
      </c>
      <c r="D322" s="1" t="s">
        <v>1488</v>
      </c>
      <c r="E322" s="1" t="s">
        <v>1489</v>
      </c>
      <c r="F322" s="1" t="s">
        <v>233</v>
      </c>
      <c r="G322" s="1" t="s">
        <v>277</v>
      </c>
      <c r="H322" s="1"/>
      <c r="I322" s="1"/>
      <c r="J322" s="1" t="s">
        <v>278</v>
      </c>
      <c r="K322" s="1">
        <v>2023</v>
      </c>
      <c r="L322" s="1">
        <v>202320</v>
      </c>
      <c r="M322" s="1">
        <v>202320</v>
      </c>
      <c r="N322" s="1" t="s">
        <v>279</v>
      </c>
      <c r="O322" s="1" t="s">
        <v>230</v>
      </c>
      <c r="P322" s="1" t="s">
        <v>280</v>
      </c>
      <c r="Q322" s="1" t="s">
        <v>233</v>
      </c>
      <c r="R322" s="1" t="s">
        <v>277</v>
      </c>
      <c r="S322" s="1" t="s">
        <v>1485</v>
      </c>
      <c r="T322" s="105" t="str">
        <f>_xlfn.XLOOKUP(Tabla1[[#This Row],[Universidad]],Conversiones!$B:$B,Conversiones!$C:$C)</f>
        <v>HEC Paris</v>
      </c>
      <c r="U322" s="105" t="str">
        <f>_xlfn.XLOOKUP(Tabla1[[#This Row],[Universidad KPIs]],Conversiones!$C:$C,Conversiones!$E:$E)</f>
        <v>Específico</v>
      </c>
      <c r="V322" s="1" t="s">
        <v>57</v>
      </c>
      <c r="W322" s="1" t="s">
        <v>281</v>
      </c>
      <c r="X322" s="87">
        <v>45146</v>
      </c>
      <c r="Y322" s="87">
        <v>45262</v>
      </c>
      <c r="Z322" s="1">
        <v>116</v>
      </c>
    </row>
    <row r="323" spans="1:26">
      <c r="A323" s="102" t="s">
        <v>1490</v>
      </c>
      <c r="B323">
        <v>202011039</v>
      </c>
      <c r="C323" t="s">
        <v>1491</v>
      </c>
      <c r="D323" t="s">
        <v>1492</v>
      </c>
      <c r="E323" t="s">
        <v>1493</v>
      </c>
      <c r="F323" t="s">
        <v>233</v>
      </c>
      <c r="G323" t="s">
        <v>277</v>
      </c>
      <c r="J323" t="s">
        <v>278</v>
      </c>
      <c r="K323">
        <v>2023</v>
      </c>
      <c r="L323">
        <v>202320</v>
      </c>
      <c r="M323">
        <v>202320</v>
      </c>
      <c r="N323" t="s">
        <v>279</v>
      </c>
      <c r="O323" t="s">
        <v>230</v>
      </c>
      <c r="P323" t="s">
        <v>280</v>
      </c>
      <c r="Q323" t="s">
        <v>233</v>
      </c>
      <c r="R323" t="s">
        <v>277</v>
      </c>
      <c r="S323" t="s">
        <v>620</v>
      </c>
      <c r="T323" s="105" t="str">
        <f>_xlfn.XLOOKUP(Tabla1[[#This Row],[Universidad]],Conversiones!$B:$B,Conversiones!$C:$C)</f>
        <v>JIBS Jönköping International Business School</v>
      </c>
      <c r="U323" s="105" t="str">
        <f>_xlfn.XLOOKUP(Tabla1[[#This Row],[Universidad KPIs]],Conversiones!$C:$C,Conversiones!$E:$E)</f>
        <v>Específico</v>
      </c>
      <c r="V323" t="s">
        <v>90</v>
      </c>
      <c r="W323" t="s">
        <v>281</v>
      </c>
      <c r="X323" s="2">
        <v>45146</v>
      </c>
      <c r="Y323" s="2">
        <v>45262</v>
      </c>
      <c r="Z323">
        <v>116</v>
      </c>
    </row>
    <row r="324" spans="1:26">
      <c r="A324" s="103" t="s">
        <v>1494</v>
      </c>
      <c r="B324" s="1">
        <v>201729521</v>
      </c>
      <c r="C324" s="1" t="s">
        <v>1458</v>
      </c>
      <c r="D324" s="1" t="s">
        <v>1495</v>
      </c>
      <c r="E324" s="1" t="s">
        <v>1496</v>
      </c>
      <c r="F324" s="1" t="s">
        <v>543</v>
      </c>
      <c r="G324" s="1" t="s">
        <v>544</v>
      </c>
      <c r="H324" s="1" t="s">
        <v>233</v>
      </c>
      <c r="I324" s="1" t="s">
        <v>277</v>
      </c>
      <c r="J324" s="1" t="s">
        <v>278</v>
      </c>
      <c r="K324" s="1">
        <v>2023</v>
      </c>
      <c r="L324" s="1">
        <v>202320</v>
      </c>
      <c r="M324" s="1">
        <v>202320</v>
      </c>
      <c r="N324" s="1" t="s">
        <v>279</v>
      </c>
      <c r="O324" s="1" t="s">
        <v>230</v>
      </c>
      <c r="P324" s="1" t="s">
        <v>280</v>
      </c>
      <c r="Q324" s="1" t="s">
        <v>233</v>
      </c>
      <c r="R324" s="1" t="s">
        <v>277</v>
      </c>
      <c r="S324" s="1" t="s">
        <v>559</v>
      </c>
      <c r="T324" s="105" t="str">
        <f>_xlfn.XLOOKUP(Tabla1[[#This Row],[Universidad]],Conversiones!$B:$B,Conversiones!$C:$C)</f>
        <v>ICN Business School - Institut Commercial de Nancy</v>
      </c>
      <c r="U324" s="105" t="str">
        <f>_xlfn.XLOOKUP(Tabla1[[#This Row],[Universidad KPIs]],Conversiones!$C:$C,Conversiones!$E:$E)</f>
        <v>Específico</v>
      </c>
      <c r="V324" s="1" t="s">
        <v>57</v>
      </c>
      <c r="W324" s="1" t="s">
        <v>281</v>
      </c>
      <c r="X324" s="87">
        <v>45146</v>
      </c>
      <c r="Y324" s="87">
        <v>45262</v>
      </c>
      <c r="Z324" s="1">
        <v>116</v>
      </c>
    </row>
    <row r="325" spans="1:26">
      <c r="A325" s="102" t="s">
        <v>1497</v>
      </c>
      <c r="B325">
        <v>202024119</v>
      </c>
      <c r="C325" t="s">
        <v>771</v>
      </c>
      <c r="D325" t="s">
        <v>1498</v>
      </c>
      <c r="E325" t="s">
        <v>1499</v>
      </c>
      <c r="F325" t="s">
        <v>233</v>
      </c>
      <c r="G325" t="s">
        <v>277</v>
      </c>
      <c r="J325" t="s">
        <v>278</v>
      </c>
      <c r="K325">
        <v>2023</v>
      </c>
      <c r="L325">
        <v>202320</v>
      </c>
      <c r="M325">
        <v>202320</v>
      </c>
      <c r="N325" t="s">
        <v>279</v>
      </c>
      <c r="O325" t="s">
        <v>230</v>
      </c>
      <c r="P325" t="s">
        <v>280</v>
      </c>
      <c r="Q325" t="s">
        <v>233</v>
      </c>
      <c r="R325" t="s">
        <v>277</v>
      </c>
      <c r="S325" t="s">
        <v>559</v>
      </c>
      <c r="T325" s="105" t="str">
        <f>_xlfn.XLOOKUP(Tabla1[[#This Row],[Universidad]],Conversiones!$B:$B,Conversiones!$C:$C)</f>
        <v>ICN Business School - Institut Commercial de Nancy</v>
      </c>
      <c r="U325" s="105" t="str">
        <f>_xlfn.XLOOKUP(Tabla1[[#This Row],[Universidad KPIs]],Conversiones!$C:$C,Conversiones!$E:$E)</f>
        <v>Específico</v>
      </c>
      <c r="V325" t="s">
        <v>57</v>
      </c>
      <c r="W325" t="s">
        <v>281</v>
      </c>
      <c r="X325" s="2">
        <v>45146</v>
      </c>
      <c r="Y325" s="2">
        <v>45262</v>
      </c>
      <c r="Z325">
        <v>116</v>
      </c>
    </row>
    <row r="326" spans="1:26">
      <c r="A326" s="103" t="s">
        <v>1500</v>
      </c>
      <c r="B326" s="1">
        <v>202010805</v>
      </c>
      <c r="C326" s="1" t="s">
        <v>1501</v>
      </c>
      <c r="D326" s="1" t="s">
        <v>1502</v>
      </c>
      <c r="E326" s="1" t="s">
        <v>1503</v>
      </c>
      <c r="F326" s="1" t="s">
        <v>233</v>
      </c>
      <c r="G326" s="1" t="s">
        <v>277</v>
      </c>
      <c r="H326" s="1"/>
      <c r="I326" s="1"/>
      <c r="J326" s="1" t="s">
        <v>278</v>
      </c>
      <c r="K326" s="1">
        <v>2023</v>
      </c>
      <c r="L326" s="1">
        <v>202320</v>
      </c>
      <c r="M326" s="1">
        <v>202320</v>
      </c>
      <c r="N326" s="1" t="s">
        <v>279</v>
      </c>
      <c r="O326" s="1" t="s">
        <v>230</v>
      </c>
      <c r="P326" s="1" t="s">
        <v>280</v>
      </c>
      <c r="Q326" s="1" t="s">
        <v>233</v>
      </c>
      <c r="R326" s="1" t="s">
        <v>277</v>
      </c>
      <c r="S326" s="1" t="s">
        <v>639</v>
      </c>
      <c r="T326" s="105" t="str">
        <f>_xlfn.XLOOKUP(Tabla1[[#This Row],[Universidad]],Conversiones!$B:$B,Conversiones!$C:$C)</f>
        <v>IE Instituto Empresa</v>
      </c>
      <c r="U326" s="105" t="str">
        <f>_xlfn.XLOOKUP(Tabla1[[#This Row],[Universidad KPIs]],Conversiones!$C:$C,Conversiones!$E:$E)</f>
        <v>Específico</v>
      </c>
      <c r="V326" s="1" t="s">
        <v>69</v>
      </c>
      <c r="W326" s="1" t="s">
        <v>281</v>
      </c>
      <c r="X326" s="87">
        <v>45146</v>
      </c>
      <c r="Y326" s="87">
        <v>45262</v>
      </c>
      <c r="Z326" s="1">
        <v>116</v>
      </c>
    </row>
    <row r="327" spans="1:26">
      <c r="A327" s="102" t="s">
        <v>1504</v>
      </c>
      <c r="B327">
        <v>202012894</v>
      </c>
      <c r="C327" t="s">
        <v>1158</v>
      </c>
      <c r="D327" t="s">
        <v>1505</v>
      </c>
      <c r="E327" t="s">
        <v>1506</v>
      </c>
      <c r="F327" t="s">
        <v>233</v>
      </c>
      <c r="G327" t="s">
        <v>277</v>
      </c>
      <c r="H327">
        <v>0</v>
      </c>
      <c r="I327">
        <v>0</v>
      </c>
      <c r="J327" t="s">
        <v>278</v>
      </c>
      <c r="K327">
        <v>2023</v>
      </c>
      <c r="L327">
        <v>202320</v>
      </c>
      <c r="M327">
        <v>202320</v>
      </c>
      <c r="N327" t="s">
        <v>279</v>
      </c>
      <c r="O327" t="s">
        <v>230</v>
      </c>
      <c r="P327" t="s">
        <v>280</v>
      </c>
      <c r="Q327" t="s">
        <v>233</v>
      </c>
      <c r="R327" t="s">
        <v>277</v>
      </c>
      <c r="S327" t="s">
        <v>812</v>
      </c>
      <c r="T327" s="105" t="str">
        <f>_xlfn.XLOOKUP(Tabla1[[#This Row],[Universidad]],Conversiones!$B:$B,Conversiones!$C:$C)</f>
        <v>ITESM-EGADE -Instituto tecnológico y de estudios superiores de Monterrey</v>
      </c>
      <c r="U327" s="105" t="str">
        <f>_xlfn.XLOOKUP(Tabla1[[#This Row],[Universidad KPIs]],Conversiones!$C:$C,Conversiones!$E:$E)</f>
        <v>Específico</v>
      </c>
      <c r="V327" t="s">
        <v>87</v>
      </c>
      <c r="W327" t="s">
        <v>291</v>
      </c>
      <c r="X327" s="2">
        <v>45146</v>
      </c>
      <c r="Y327" s="2">
        <v>45262</v>
      </c>
      <c r="Z327">
        <v>116</v>
      </c>
    </row>
    <row r="328" spans="1:26">
      <c r="A328" s="102" t="s">
        <v>1507</v>
      </c>
      <c r="B328">
        <v>202011021</v>
      </c>
      <c r="C328" t="s">
        <v>517</v>
      </c>
      <c r="D328" t="s">
        <v>1508</v>
      </c>
      <c r="E328" t="s">
        <v>1509</v>
      </c>
      <c r="F328" t="s">
        <v>233</v>
      </c>
      <c r="G328" t="s">
        <v>277</v>
      </c>
      <c r="J328" t="s">
        <v>278</v>
      </c>
      <c r="K328">
        <v>2023</v>
      </c>
      <c r="L328">
        <v>202320</v>
      </c>
      <c r="M328">
        <v>202320</v>
      </c>
      <c r="N328" t="s">
        <v>279</v>
      </c>
      <c r="O328" t="s">
        <v>230</v>
      </c>
      <c r="P328" t="s">
        <v>280</v>
      </c>
      <c r="Q328" t="s">
        <v>233</v>
      </c>
      <c r="R328" t="s">
        <v>277</v>
      </c>
      <c r="S328" t="s">
        <v>92</v>
      </c>
      <c r="T328" s="105" t="str">
        <f>_xlfn.XLOOKUP(Tabla1[[#This Row],[Universidad]],Conversiones!$B:$B,Conversiones!$C:$C)</f>
        <v>Koc University</v>
      </c>
      <c r="U328" s="105" t="str">
        <f>_xlfn.XLOOKUP(Tabla1[[#This Row],[Universidad KPIs]],Conversiones!$C:$C,Conversiones!$E:$E)</f>
        <v>Específico</v>
      </c>
      <c r="V328" t="s">
        <v>93</v>
      </c>
      <c r="W328" t="s">
        <v>568</v>
      </c>
      <c r="X328" s="2">
        <v>45146</v>
      </c>
      <c r="Y328" s="2">
        <v>45262</v>
      </c>
      <c r="Z328">
        <v>116</v>
      </c>
    </row>
    <row r="329" spans="1:26">
      <c r="A329" s="103" t="s">
        <v>1510</v>
      </c>
      <c r="B329" s="1">
        <v>202020612</v>
      </c>
      <c r="C329" s="1" t="s">
        <v>1511</v>
      </c>
      <c r="D329" s="1" t="s">
        <v>1512</v>
      </c>
      <c r="E329" s="1" t="s">
        <v>1513</v>
      </c>
      <c r="F329" s="1" t="s">
        <v>233</v>
      </c>
      <c r="G329" s="1" t="s">
        <v>277</v>
      </c>
      <c r="H329" s="1"/>
      <c r="I329" s="1"/>
      <c r="J329" s="1" t="s">
        <v>278</v>
      </c>
      <c r="K329" s="1">
        <v>2023</v>
      </c>
      <c r="L329" s="1">
        <v>202320</v>
      </c>
      <c r="M329" s="1">
        <v>202320</v>
      </c>
      <c r="N329" s="1" t="s">
        <v>279</v>
      </c>
      <c r="O329" s="1" t="s">
        <v>230</v>
      </c>
      <c r="P329" s="1" t="s">
        <v>280</v>
      </c>
      <c r="Q329" s="1" t="s">
        <v>233</v>
      </c>
      <c r="R329" s="1" t="s">
        <v>277</v>
      </c>
      <c r="S329" s="1" t="s">
        <v>351</v>
      </c>
      <c r="T329" s="105" t="str">
        <f>_xlfn.XLOOKUP(Tabla1[[#This Row],[Universidad]],Conversiones!$B:$B,Conversiones!$C:$C)</f>
        <v>KLU Kühne Logistics University</v>
      </c>
      <c r="U329" s="105" t="str">
        <f>_xlfn.XLOOKUP(Tabla1[[#This Row],[Universidad KPIs]],Conversiones!$C:$C,Conversiones!$E:$E)</f>
        <v>Específico</v>
      </c>
      <c r="V329" s="1" t="s">
        <v>76</v>
      </c>
      <c r="W329" s="1" t="s">
        <v>281</v>
      </c>
      <c r="X329" s="87">
        <v>45146</v>
      </c>
      <c r="Y329" s="87">
        <v>45262</v>
      </c>
      <c r="Z329" s="1">
        <v>116</v>
      </c>
    </row>
    <row r="330" spans="1:26">
      <c r="A330" s="102" t="s">
        <v>1514</v>
      </c>
      <c r="B330">
        <v>202020942</v>
      </c>
      <c r="C330" t="s">
        <v>1515</v>
      </c>
      <c r="D330" t="s">
        <v>1516</v>
      </c>
      <c r="E330" t="s">
        <v>1517</v>
      </c>
      <c r="F330" t="s">
        <v>233</v>
      </c>
      <c r="G330" t="s">
        <v>277</v>
      </c>
      <c r="J330" t="s">
        <v>278</v>
      </c>
      <c r="K330">
        <v>2023</v>
      </c>
      <c r="L330">
        <v>202320</v>
      </c>
      <c r="M330">
        <v>202320</v>
      </c>
      <c r="N330" t="s">
        <v>279</v>
      </c>
      <c r="O330" t="s">
        <v>230</v>
      </c>
      <c r="P330" t="s">
        <v>280</v>
      </c>
      <c r="Q330" t="s">
        <v>233</v>
      </c>
      <c r="R330" t="s">
        <v>277</v>
      </c>
      <c r="S330" t="s">
        <v>351</v>
      </c>
      <c r="T330" s="105" t="str">
        <f>_xlfn.XLOOKUP(Tabla1[[#This Row],[Universidad]],Conversiones!$B:$B,Conversiones!$C:$C)</f>
        <v>KLU Kühne Logistics University</v>
      </c>
      <c r="U330" s="105" t="str">
        <f>_xlfn.XLOOKUP(Tabla1[[#This Row],[Universidad KPIs]],Conversiones!$C:$C,Conversiones!$E:$E)</f>
        <v>Específico</v>
      </c>
      <c r="V330" t="s">
        <v>76</v>
      </c>
      <c r="W330" t="s">
        <v>281</v>
      </c>
      <c r="X330" s="2">
        <v>45146</v>
      </c>
      <c r="Y330" s="2">
        <v>45262</v>
      </c>
      <c r="Z330">
        <v>116</v>
      </c>
    </row>
    <row r="331" spans="1:26">
      <c r="A331" s="103" t="s">
        <v>1518</v>
      </c>
      <c r="B331" s="1">
        <v>202027524</v>
      </c>
      <c r="C331" s="1" t="s">
        <v>1519</v>
      </c>
      <c r="D331" s="1" t="s">
        <v>1520</v>
      </c>
      <c r="E331" s="1" t="s">
        <v>1521</v>
      </c>
      <c r="F331" s="1" t="s">
        <v>236</v>
      </c>
      <c r="G331" s="1" t="s">
        <v>277</v>
      </c>
      <c r="H331" s="1"/>
      <c r="I331" s="1"/>
      <c r="J331" s="1" t="s">
        <v>278</v>
      </c>
      <c r="K331" s="1">
        <v>2023</v>
      </c>
      <c r="L331" s="1">
        <v>202320</v>
      </c>
      <c r="M331" s="1">
        <v>202320</v>
      </c>
      <c r="N331" s="1" t="s">
        <v>618</v>
      </c>
      <c r="O331" s="1" t="s">
        <v>230</v>
      </c>
      <c r="P331" s="1" t="s">
        <v>1522</v>
      </c>
      <c r="Q331" s="1" t="s">
        <v>236</v>
      </c>
      <c r="R331" s="1" t="s">
        <v>277</v>
      </c>
      <c r="S331" s="1" t="s">
        <v>351</v>
      </c>
      <c r="T331" s="105" t="str">
        <f>_xlfn.XLOOKUP(Tabla1[[#This Row],[Universidad]],Conversiones!$B:$B,Conversiones!$C:$C)</f>
        <v>KLU Kühne Logistics University</v>
      </c>
      <c r="U331" s="105" t="str">
        <f>_xlfn.XLOOKUP(Tabla1[[#This Row],[Universidad KPIs]],Conversiones!$C:$C,Conversiones!$E:$E)</f>
        <v>Específico</v>
      </c>
      <c r="V331" s="1" t="s">
        <v>76</v>
      </c>
      <c r="W331" s="1" t="s">
        <v>281</v>
      </c>
      <c r="X331" s="87">
        <v>45146</v>
      </c>
      <c r="Y331" s="87">
        <v>45262</v>
      </c>
      <c r="Z331" s="1">
        <v>116</v>
      </c>
    </row>
    <row r="332" spans="1:26">
      <c r="A332" s="102" t="s">
        <v>1523</v>
      </c>
      <c r="B332">
        <v>202010597</v>
      </c>
      <c r="C332" t="s">
        <v>932</v>
      </c>
      <c r="D332" t="s">
        <v>1524</v>
      </c>
      <c r="E332" t="s">
        <v>1525</v>
      </c>
      <c r="F332" t="s">
        <v>233</v>
      </c>
      <c r="G332" t="s">
        <v>277</v>
      </c>
      <c r="J332" t="s">
        <v>278</v>
      </c>
      <c r="K332">
        <v>2023</v>
      </c>
      <c r="L332">
        <v>202320</v>
      </c>
      <c r="M332">
        <v>202320</v>
      </c>
      <c r="N332" t="s">
        <v>279</v>
      </c>
      <c r="O332" t="s">
        <v>230</v>
      </c>
      <c r="P332" t="s">
        <v>280</v>
      </c>
      <c r="Q332" t="s">
        <v>233</v>
      </c>
      <c r="R332" t="s">
        <v>277</v>
      </c>
      <c r="S332" t="s">
        <v>94</v>
      </c>
      <c r="T332" s="105" t="str">
        <f>_xlfn.XLOOKUP(Tabla1[[#This Row],[Universidad]],Conversiones!$B:$B,Conversiones!$C:$C)</f>
        <v>Maastricht University</v>
      </c>
      <c r="U332" s="105" t="str">
        <f>_xlfn.XLOOKUP(Tabla1[[#This Row],[Universidad KPIs]],Conversiones!$C:$C,Conversiones!$E:$E)</f>
        <v>Específico</v>
      </c>
      <c r="V332" t="s">
        <v>95</v>
      </c>
      <c r="W332" t="s">
        <v>281</v>
      </c>
      <c r="X332" s="2">
        <v>45146</v>
      </c>
      <c r="Y332" s="2">
        <v>45262</v>
      </c>
      <c r="Z332">
        <v>116</v>
      </c>
    </row>
    <row r="333" spans="1:26">
      <c r="A333" s="103" t="s">
        <v>1526</v>
      </c>
      <c r="B333" s="1">
        <v>202011385</v>
      </c>
      <c r="C333" s="1" t="s">
        <v>1527</v>
      </c>
      <c r="D333" s="1" t="s">
        <v>1528</v>
      </c>
      <c r="E333" s="1" t="s">
        <v>1529</v>
      </c>
      <c r="F333" s="1" t="s">
        <v>233</v>
      </c>
      <c r="G333" s="1" t="s">
        <v>277</v>
      </c>
      <c r="H333" s="1"/>
      <c r="I333" s="1"/>
      <c r="J333" s="1" t="s">
        <v>278</v>
      </c>
      <c r="K333" s="1">
        <v>2023</v>
      </c>
      <c r="L333" s="1">
        <v>202320</v>
      </c>
      <c r="M333" s="1">
        <v>202320</v>
      </c>
      <c r="N333" s="1" t="s">
        <v>279</v>
      </c>
      <c r="O333" s="1" t="s">
        <v>230</v>
      </c>
      <c r="P333" s="1" t="s">
        <v>280</v>
      </c>
      <c r="Q333" s="1" t="s">
        <v>233</v>
      </c>
      <c r="R333" s="1" t="s">
        <v>277</v>
      </c>
      <c r="S333" s="1" t="s">
        <v>94</v>
      </c>
      <c r="T333" s="105" t="str">
        <f>_xlfn.XLOOKUP(Tabla1[[#This Row],[Universidad]],Conversiones!$B:$B,Conversiones!$C:$C)</f>
        <v>Maastricht University</v>
      </c>
      <c r="U333" s="105" t="str">
        <f>_xlfn.XLOOKUP(Tabla1[[#This Row],[Universidad KPIs]],Conversiones!$C:$C,Conversiones!$E:$E)</f>
        <v>Específico</v>
      </c>
      <c r="V333" s="1" t="s">
        <v>95</v>
      </c>
      <c r="W333" s="1" t="s">
        <v>281</v>
      </c>
      <c r="X333" s="87">
        <v>45146</v>
      </c>
      <c r="Y333" s="87">
        <v>45262</v>
      </c>
      <c r="Z333" s="1">
        <v>116</v>
      </c>
    </row>
    <row r="334" spans="1:26">
      <c r="A334" s="102" t="s">
        <v>1530</v>
      </c>
      <c r="B334">
        <v>202022578</v>
      </c>
      <c r="C334" t="s">
        <v>694</v>
      </c>
      <c r="D334" t="s">
        <v>1531</v>
      </c>
      <c r="E334" t="s">
        <v>1532</v>
      </c>
      <c r="F334" t="s">
        <v>233</v>
      </c>
      <c r="G334" t="s">
        <v>277</v>
      </c>
      <c r="J334" t="s">
        <v>278</v>
      </c>
      <c r="K334">
        <v>2023</v>
      </c>
      <c r="L334">
        <v>202320</v>
      </c>
      <c r="M334">
        <v>202320</v>
      </c>
      <c r="N334" t="s">
        <v>279</v>
      </c>
      <c r="O334" t="s">
        <v>230</v>
      </c>
      <c r="P334" t="s">
        <v>280</v>
      </c>
      <c r="Q334" t="s">
        <v>233</v>
      </c>
      <c r="R334" t="s">
        <v>277</v>
      </c>
      <c r="S334" t="s">
        <v>94</v>
      </c>
      <c r="T334" s="105" t="str">
        <f>_xlfn.XLOOKUP(Tabla1[[#This Row],[Universidad]],Conversiones!$B:$B,Conversiones!$C:$C)</f>
        <v>Maastricht University</v>
      </c>
      <c r="U334" s="105" t="str">
        <f>_xlfn.XLOOKUP(Tabla1[[#This Row],[Universidad KPIs]],Conversiones!$C:$C,Conversiones!$E:$E)</f>
        <v>Específico</v>
      </c>
      <c r="V334" t="s">
        <v>95</v>
      </c>
      <c r="W334" t="s">
        <v>281</v>
      </c>
      <c r="X334" s="2">
        <v>45146</v>
      </c>
      <c r="Y334" s="2">
        <v>45262</v>
      </c>
      <c r="Z334">
        <v>116</v>
      </c>
    </row>
    <row r="335" spans="1:26">
      <c r="A335" s="103" t="s">
        <v>1533</v>
      </c>
      <c r="B335" s="1">
        <v>202114030</v>
      </c>
      <c r="C335" s="1" t="s">
        <v>1466</v>
      </c>
      <c r="D335" s="1" t="s">
        <v>1534</v>
      </c>
      <c r="E335" s="1" t="s">
        <v>1535</v>
      </c>
      <c r="F335" s="1" t="s">
        <v>233</v>
      </c>
      <c r="G335" s="1" t="s">
        <v>277</v>
      </c>
      <c r="H335" s="1"/>
      <c r="I335" s="1"/>
      <c r="J335" s="1" t="s">
        <v>278</v>
      </c>
      <c r="K335" s="1">
        <v>2023</v>
      </c>
      <c r="L335" s="1">
        <v>202320</v>
      </c>
      <c r="M335" s="1">
        <v>202320</v>
      </c>
      <c r="N335" s="1" t="s">
        <v>279</v>
      </c>
      <c r="O335" s="1" t="s">
        <v>230</v>
      </c>
      <c r="P335" s="1" t="s">
        <v>280</v>
      </c>
      <c r="Q335" s="1" t="s">
        <v>233</v>
      </c>
      <c r="R335" s="1" t="s">
        <v>277</v>
      </c>
      <c r="S335" s="1" t="s">
        <v>94</v>
      </c>
      <c r="T335" s="105" t="str">
        <f>_xlfn.XLOOKUP(Tabla1[[#This Row],[Universidad]],Conversiones!$B:$B,Conversiones!$C:$C)</f>
        <v>Maastricht University</v>
      </c>
      <c r="U335" s="105" t="str">
        <f>_xlfn.XLOOKUP(Tabla1[[#This Row],[Universidad KPIs]],Conversiones!$C:$C,Conversiones!$E:$E)</f>
        <v>Específico</v>
      </c>
      <c r="V335" s="1" t="s">
        <v>95</v>
      </c>
      <c r="W335" s="1" t="s">
        <v>281</v>
      </c>
      <c r="X335" s="87">
        <v>45146</v>
      </c>
      <c r="Y335" s="87">
        <v>45262</v>
      </c>
      <c r="Z335" s="1">
        <v>116</v>
      </c>
    </row>
    <row r="336" spans="1:26">
      <c r="A336" s="102" t="s">
        <v>1536</v>
      </c>
      <c r="B336">
        <v>201923597</v>
      </c>
      <c r="C336" t="s">
        <v>1537</v>
      </c>
      <c r="D336" t="s">
        <v>1538</v>
      </c>
      <c r="E336" t="s">
        <v>1539</v>
      </c>
      <c r="F336" t="s">
        <v>233</v>
      </c>
      <c r="G336" t="s">
        <v>277</v>
      </c>
      <c r="H336" t="s">
        <v>491</v>
      </c>
      <c r="I336" t="s">
        <v>492</v>
      </c>
      <c r="J336" t="s">
        <v>278</v>
      </c>
      <c r="K336">
        <v>2023</v>
      </c>
      <c r="L336">
        <v>202320</v>
      </c>
      <c r="M336">
        <v>202320</v>
      </c>
      <c r="N336" t="s">
        <v>279</v>
      </c>
      <c r="O336" t="s">
        <v>230</v>
      </c>
      <c r="P336" t="s">
        <v>280</v>
      </c>
      <c r="Q336" t="s">
        <v>233</v>
      </c>
      <c r="R336" t="s">
        <v>277</v>
      </c>
      <c r="S336" t="s">
        <v>94</v>
      </c>
      <c r="T336" s="105" t="str">
        <f>_xlfn.XLOOKUP(Tabla1[[#This Row],[Universidad]],Conversiones!$B:$B,Conversiones!$C:$C)</f>
        <v>Maastricht University</v>
      </c>
      <c r="U336" s="105" t="str">
        <f>_xlfn.XLOOKUP(Tabla1[[#This Row],[Universidad KPIs]],Conversiones!$C:$C,Conversiones!$E:$E)</f>
        <v>Específico</v>
      </c>
      <c r="V336" t="s">
        <v>95</v>
      </c>
      <c r="W336" t="s">
        <v>281</v>
      </c>
      <c r="X336" s="2">
        <v>45146</v>
      </c>
      <c r="Y336" s="2">
        <v>45262</v>
      </c>
      <c r="Z336">
        <v>116</v>
      </c>
    </row>
    <row r="337" spans="1:26">
      <c r="A337" s="103" t="s">
        <v>1540</v>
      </c>
      <c r="B337" s="1">
        <v>201813565</v>
      </c>
      <c r="C337" s="1" t="s">
        <v>1541</v>
      </c>
      <c r="D337" s="1" t="s">
        <v>1542</v>
      </c>
      <c r="E337" s="1" t="s">
        <v>1543</v>
      </c>
      <c r="F337" s="1" t="s">
        <v>233</v>
      </c>
      <c r="G337" s="1" t="s">
        <v>277</v>
      </c>
      <c r="H337" s="1" t="s">
        <v>543</v>
      </c>
      <c r="I337" s="1" t="s">
        <v>544</v>
      </c>
      <c r="J337" s="1" t="s">
        <v>278</v>
      </c>
      <c r="K337" s="1">
        <v>2023</v>
      </c>
      <c r="L337" s="1">
        <v>202320</v>
      </c>
      <c r="M337" s="1">
        <v>202320</v>
      </c>
      <c r="N337" s="1" t="s">
        <v>279</v>
      </c>
      <c r="O337" s="1" t="s">
        <v>230</v>
      </c>
      <c r="P337" s="1" t="s">
        <v>280</v>
      </c>
      <c r="Q337" s="1" t="s">
        <v>233</v>
      </c>
      <c r="R337" s="1" t="s">
        <v>277</v>
      </c>
      <c r="S337" s="1" t="s">
        <v>1544</v>
      </c>
      <c r="T337" s="105" t="str">
        <f>_xlfn.XLOOKUP(Tabla1[[#This Row],[Universidad]],Conversiones!$B:$B,Conversiones!$C:$C)</f>
        <v>NUCB- Nagoya University of commerce and business</v>
      </c>
      <c r="U337" s="105" t="str">
        <f>_xlfn.XLOOKUP(Tabla1[[#This Row],[Universidad KPIs]],Conversiones!$C:$C,Conversiones!$E:$E)</f>
        <v>Específico</v>
      </c>
      <c r="V337" s="1" t="s">
        <v>101</v>
      </c>
      <c r="W337" s="1" t="s">
        <v>568</v>
      </c>
      <c r="X337" s="87">
        <v>45146</v>
      </c>
      <c r="Y337" s="87">
        <v>45262</v>
      </c>
      <c r="Z337" s="1">
        <v>116</v>
      </c>
    </row>
    <row r="338" spans="1:26">
      <c r="A338" s="102" t="s">
        <v>1545</v>
      </c>
      <c r="B338">
        <v>201713785</v>
      </c>
      <c r="C338" t="s">
        <v>416</v>
      </c>
      <c r="D338" t="s">
        <v>1546</v>
      </c>
      <c r="E338" t="s">
        <v>1547</v>
      </c>
      <c r="F338" t="s">
        <v>491</v>
      </c>
      <c r="G338" t="s">
        <v>492</v>
      </c>
      <c r="H338" t="s">
        <v>233</v>
      </c>
      <c r="I338" t="s">
        <v>277</v>
      </c>
      <c r="J338" t="s">
        <v>278</v>
      </c>
      <c r="K338">
        <v>2023</v>
      </c>
      <c r="L338">
        <v>202320</v>
      </c>
      <c r="M338">
        <v>202320</v>
      </c>
      <c r="N338" t="s">
        <v>279</v>
      </c>
      <c r="O338" t="s">
        <v>230</v>
      </c>
      <c r="P338" t="s">
        <v>280</v>
      </c>
      <c r="Q338" t="s">
        <v>233</v>
      </c>
      <c r="R338" t="s">
        <v>277</v>
      </c>
      <c r="S338" t="s">
        <v>1548</v>
      </c>
      <c r="T338" s="105" t="str">
        <f>_xlfn.XLOOKUP(Tabla1[[#This Row],[Universidad]],Conversiones!$B:$B,Conversiones!$C:$C)</f>
        <v>NCCU- National Chengchi University</v>
      </c>
      <c r="U338" s="105" t="str">
        <f>_xlfn.XLOOKUP(Tabla1[[#This Row],[Universidad KPIs]],Conversiones!$C:$C,Conversiones!$E:$E)</f>
        <v>Específico</v>
      </c>
      <c r="V338" t="s">
        <v>98</v>
      </c>
      <c r="W338" t="s">
        <v>568</v>
      </c>
      <c r="X338" s="2">
        <v>45146</v>
      </c>
      <c r="Y338" s="2">
        <v>45262</v>
      </c>
      <c r="Z338">
        <v>116</v>
      </c>
    </row>
    <row r="339" spans="1:26">
      <c r="A339" s="103" t="s">
        <v>1549</v>
      </c>
      <c r="B339" s="1">
        <v>202013652</v>
      </c>
      <c r="C339" s="1" t="s">
        <v>274</v>
      </c>
      <c r="D339" s="1" t="s">
        <v>1550</v>
      </c>
      <c r="E339" s="1" t="s">
        <v>1551</v>
      </c>
      <c r="F339" s="1" t="s">
        <v>233</v>
      </c>
      <c r="G339" s="1" t="s">
        <v>277</v>
      </c>
      <c r="H339" s="1">
        <v>0</v>
      </c>
      <c r="I339" s="1">
        <v>0</v>
      </c>
      <c r="J339" s="1" t="s">
        <v>278</v>
      </c>
      <c r="K339" s="1">
        <v>2023</v>
      </c>
      <c r="L339" s="1">
        <v>202320</v>
      </c>
      <c r="M339" s="1">
        <v>202320</v>
      </c>
      <c r="N339" s="1" t="s">
        <v>279</v>
      </c>
      <c r="O339" s="1" t="s">
        <v>230</v>
      </c>
      <c r="P339" s="1" t="s">
        <v>280</v>
      </c>
      <c r="Q339" s="1" t="s">
        <v>233</v>
      </c>
      <c r="R339" s="1" t="s">
        <v>277</v>
      </c>
      <c r="S339" s="1" t="s">
        <v>1548</v>
      </c>
      <c r="T339" s="105" t="str">
        <f>_xlfn.XLOOKUP(Tabla1[[#This Row],[Universidad]],Conversiones!$B:$B,Conversiones!$C:$C)</f>
        <v>NCCU- National Chengchi University</v>
      </c>
      <c r="U339" s="105" t="str">
        <f>_xlfn.XLOOKUP(Tabla1[[#This Row],[Universidad KPIs]],Conversiones!$C:$C,Conversiones!$E:$E)</f>
        <v>Específico</v>
      </c>
      <c r="V339" s="1" t="s">
        <v>98</v>
      </c>
      <c r="W339" s="1" t="s">
        <v>568</v>
      </c>
      <c r="X339" s="87">
        <v>45146</v>
      </c>
      <c r="Y339" s="87">
        <v>45262</v>
      </c>
      <c r="Z339" s="1">
        <v>116</v>
      </c>
    </row>
    <row r="340" spans="1:26">
      <c r="A340" s="102" t="s">
        <v>1552</v>
      </c>
      <c r="B340">
        <v>202022135</v>
      </c>
      <c r="C340" t="s">
        <v>1553</v>
      </c>
      <c r="D340" t="s">
        <v>1554</v>
      </c>
      <c r="E340" t="s">
        <v>1555</v>
      </c>
      <c r="F340" t="s">
        <v>233</v>
      </c>
      <c r="G340" t="s">
        <v>277</v>
      </c>
      <c r="H340" t="s">
        <v>543</v>
      </c>
      <c r="I340" t="s">
        <v>544</v>
      </c>
      <c r="J340" t="s">
        <v>278</v>
      </c>
      <c r="K340">
        <v>2023</v>
      </c>
      <c r="L340">
        <v>202320</v>
      </c>
      <c r="M340">
        <v>202320</v>
      </c>
      <c r="N340" t="s">
        <v>279</v>
      </c>
      <c r="O340" t="s">
        <v>230</v>
      </c>
      <c r="P340" t="s">
        <v>280</v>
      </c>
      <c r="Q340" t="s">
        <v>233</v>
      </c>
      <c r="R340" t="s">
        <v>277</v>
      </c>
      <c r="S340" t="s">
        <v>286</v>
      </c>
      <c r="T340" s="105" t="str">
        <f>_xlfn.XLOOKUP(Tabla1[[#This Row],[Universidad]],Conversiones!$B:$B,Conversiones!$C:$C)</f>
        <v>ESC Rouen (NEOMA)</v>
      </c>
      <c r="U340" s="105" t="str">
        <f>_xlfn.XLOOKUP(Tabla1[[#This Row],[Universidad KPIs]],Conversiones!$C:$C,Conversiones!$E:$E)</f>
        <v>Específico</v>
      </c>
      <c r="V340" t="s">
        <v>57</v>
      </c>
      <c r="W340" t="s">
        <v>281</v>
      </c>
      <c r="X340" s="2">
        <v>45146</v>
      </c>
      <c r="Y340" s="2">
        <v>45262</v>
      </c>
      <c r="Z340">
        <v>116</v>
      </c>
    </row>
    <row r="341" spans="1:26">
      <c r="A341" s="103" t="s">
        <v>1556</v>
      </c>
      <c r="B341" s="1">
        <v>201922877</v>
      </c>
      <c r="C341" s="1" t="s">
        <v>1557</v>
      </c>
      <c r="D341" s="1" t="s">
        <v>1558</v>
      </c>
      <c r="E341" s="1" t="s">
        <v>1559</v>
      </c>
      <c r="F341" s="1" t="s">
        <v>233</v>
      </c>
      <c r="G341" s="1" t="s">
        <v>277</v>
      </c>
      <c r="H341" s="1" t="s">
        <v>1025</v>
      </c>
      <c r="I341" s="1" t="s">
        <v>1026</v>
      </c>
      <c r="J341" s="1" t="s">
        <v>278</v>
      </c>
      <c r="K341" s="1">
        <v>2023</v>
      </c>
      <c r="L341" s="1">
        <v>202320</v>
      </c>
      <c r="M341" s="1">
        <v>202320</v>
      </c>
      <c r="N341" s="1" t="s">
        <v>279</v>
      </c>
      <c r="O341" s="1" t="s">
        <v>230</v>
      </c>
      <c r="P341" s="1" t="s">
        <v>280</v>
      </c>
      <c r="Q341" s="1" t="s">
        <v>233</v>
      </c>
      <c r="R341" s="1" t="s">
        <v>277</v>
      </c>
      <c r="S341" s="1" t="s">
        <v>102</v>
      </c>
      <c r="T341" s="105" t="str">
        <f>_xlfn.XLOOKUP(Tabla1[[#This Row],[Universidad]],Conversiones!$B:$B,Conversiones!$C:$C)</f>
        <v>Politecnico di Milano</v>
      </c>
      <c r="U341" s="105" t="str">
        <f>_xlfn.XLOOKUP(Tabla1[[#This Row],[Universidad KPIs]],Conversiones!$C:$C,Conversiones!$E:$E)</f>
        <v>Específico</v>
      </c>
      <c r="V341" s="1" t="s">
        <v>103</v>
      </c>
      <c r="W341" s="1" t="s">
        <v>281</v>
      </c>
      <c r="X341" s="87">
        <v>45146</v>
      </c>
      <c r="Y341" s="87">
        <v>45262</v>
      </c>
      <c r="Z341" s="1">
        <v>116</v>
      </c>
    </row>
    <row r="342" spans="1:26">
      <c r="A342" s="102" t="s">
        <v>1560</v>
      </c>
      <c r="B342">
        <v>202021281</v>
      </c>
      <c r="C342" t="s">
        <v>1561</v>
      </c>
      <c r="D342" t="s">
        <v>1562</v>
      </c>
      <c r="E342" t="s">
        <v>1563</v>
      </c>
      <c r="F342" t="s">
        <v>233</v>
      </c>
      <c r="G342" t="s">
        <v>277</v>
      </c>
      <c r="J342" t="s">
        <v>278</v>
      </c>
      <c r="K342">
        <v>2023</v>
      </c>
      <c r="L342">
        <v>202320</v>
      </c>
      <c r="M342">
        <v>202320</v>
      </c>
      <c r="N342" t="s">
        <v>279</v>
      </c>
      <c r="O342" t="s">
        <v>230</v>
      </c>
      <c r="P342" t="s">
        <v>280</v>
      </c>
      <c r="Q342" t="s">
        <v>233</v>
      </c>
      <c r="R342" t="s">
        <v>277</v>
      </c>
      <c r="S342" t="s">
        <v>102</v>
      </c>
      <c r="T342" s="105" t="str">
        <f>_xlfn.XLOOKUP(Tabla1[[#This Row],[Universidad]],Conversiones!$B:$B,Conversiones!$C:$C)</f>
        <v>Politecnico di Milano</v>
      </c>
      <c r="U342" s="105" t="str">
        <f>_xlfn.XLOOKUP(Tabla1[[#This Row],[Universidad KPIs]],Conversiones!$C:$C,Conversiones!$E:$E)</f>
        <v>Específico</v>
      </c>
      <c r="V342" t="s">
        <v>103</v>
      </c>
      <c r="W342" t="s">
        <v>281</v>
      </c>
      <c r="X342" s="2">
        <v>45146</v>
      </c>
      <c r="Y342" s="2">
        <v>45262</v>
      </c>
      <c r="Z342">
        <v>116</v>
      </c>
    </row>
    <row r="343" spans="1:26">
      <c r="A343" s="103" t="s">
        <v>1564</v>
      </c>
      <c r="B343" s="1">
        <v>202021931</v>
      </c>
      <c r="C343" s="1" t="s">
        <v>1565</v>
      </c>
      <c r="D343" s="1" t="s">
        <v>1566</v>
      </c>
      <c r="E343" s="1" t="s">
        <v>1567</v>
      </c>
      <c r="F343" s="1" t="s">
        <v>233</v>
      </c>
      <c r="G343" s="1" t="s">
        <v>277</v>
      </c>
      <c r="H343" s="1" t="s">
        <v>497</v>
      </c>
      <c r="I343" s="1" t="s">
        <v>498</v>
      </c>
      <c r="J343" s="1" t="s">
        <v>278</v>
      </c>
      <c r="K343" s="1">
        <v>2023</v>
      </c>
      <c r="L343" s="1">
        <v>202320</v>
      </c>
      <c r="M343" s="1">
        <v>202320</v>
      </c>
      <c r="N343" s="1" t="s">
        <v>279</v>
      </c>
      <c r="O343" s="1" t="s">
        <v>230</v>
      </c>
      <c r="P343" s="1" t="s">
        <v>280</v>
      </c>
      <c r="Q343" s="1" t="s">
        <v>233</v>
      </c>
      <c r="R343" s="1" t="s">
        <v>277</v>
      </c>
      <c r="S343" s="1" t="s">
        <v>102</v>
      </c>
      <c r="T343" s="105" t="str">
        <f>_xlfn.XLOOKUP(Tabla1[[#This Row],[Universidad]],Conversiones!$B:$B,Conversiones!$C:$C)</f>
        <v>Politecnico di Milano</v>
      </c>
      <c r="U343" s="105" t="str">
        <f>_xlfn.XLOOKUP(Tabla1[[#This Row],[Universidad KPIs]],Conversiones!$C:$C,Conversiones!$E:$E)</f>
        <v>Específico</v>
      </c>
      <c r="V343" s="1" t="s">
        <v>103</v>
      </c>
      <c r="W343" s="1" t="s">
        <v>281</v>
      </c>
      <c r="X343" s="87">
        <v>45146</v>
      </c>
      <c r="Y343" s="87">
        <v>45262</v>
      </c>
      <c r="Z343" s="1">
        <v>116</v>
      </c>
    </row>
    <row r="344" spans="1:26">
      <c r="A344" s="102" t="s">
        <v>1568</v>
      </c>
      <c r="B344">
        <v>202020864</v>
      </c>
      <c r="C344" t="s">
        <v>1569</v>
      </c>
      <c r="D344" t="s">
        <v>1570</v>
      </c>
      <c r="E344" t="s">
        <v>1571</v>
      </c>
      <c r="F344" t="s">
        <v>233</v>
      </c>
      <c r="G344" t="s">
        <v>277</v>
      </c>
      <c r="J344" t="s">
        <v>278</v>
      </c>
      <c r="K344">
        <v>2023</v>
      </c>
      <c r="L344">
        <v>202320</v>
      </c>
      <c r="M344">
        <v>202320</v>
      </c>
      <c r="N344" t="s">
        <v>279</v>
      </c>
      <c r="O344" t="s">
        <v>230</v>
      </c>
      <c r="P344" t="s">
        <v>280</v>
      </c>
      <c r="Q344" t="s">
        <v>233</v>
      </c>
      <c r="R344" t="s">
        <v>277</v>
      </c>
      <c r="S344" t="s">
        <v>983</v>
      </c>
      <c r="T344" s="105" t="str">
        <f>_xlfn.XLOOKUP(Tabla1[[#This Row],[Universidad]],Conversiones!$B:$B,Conversiones!$C:$C)</f>
        <v>Queens University School of Business</v>
      </c>
      <c r="U344" s="105" t="str">
        <f>_xlfn.XLOOKUP(Tabla1[[#This Row],[Universidad KPIs]],Conversiones!$C:$C,Conversiones!$E:$E)</f>
        <v>Específico</v>
      </c>
      <c r="V344" t="s">
        <v>74</v>
      </c>
      <c r="W344" t="s">
        <v>291</v>
      </c>
      <c r="X344" s="2">
        <v>45146</v>
      </c>
      <c r="Y344" s="2">
        <v>45262</v>
      </c>
      <c r="Z344">
        <v>116</v>
      </c>
    </row>
    <row r="345" spans="1:26">
      <c r="A345" s="103" t="s">
        <v>1572</v>
      </c>
      <c r="B345" s="1">
        <v>202021921</v>
      </c>
      <c r="C345" s="1" t="s">
        <v>1573</v>
      </c>
      <c r="D345" s="1" t="s">
        <v>1574</v>
      </c>
      <c r="E345" s="1" t="s">
        <v>1575</v>
      </c>
      <c r="F345" s="1" t="s">
        <v>233</v>
      </c>
      <c r="G345" s="1" t="s">
        <v>277</v>
      </c>
      <c r="H345" s="1"/>
      <c r="I345" s="1"/>
      <c r="J345" s="1" t="s">
        <v>278</v>
      </c>
      <c r="K345" s="1">
        <v>2023</v>
      </c>
      <c r="L345" s="1">
        <v>202320</v>
      </c>
      <c r="M345" s="1">
        <v>202320</v>
      </c>
      <c r="N345" s="1" t="s">
        <v>279</v>
      </c>
      <c r="O345" s="1" t="s">
        <v>230</v>
      </c>
      <c r="P345" s="1" t="s">
        <v>280</v>
      </c>
      <c r="Q345" s="1" t="s">
        <v>233</v>
      </c>
      <c r="R345" s="1" t="s">
        <v>277</v>
      </c>
      <c r="S345" s="1" t="s">
        <v>983</v>
      </c>
      <c r="T345" s="105" t="str">
        <f>_xlfn.XLOOKUP(Tabla1[[#This Row],[Universidad]],Conversiones!$B:$B,Conversiones!$C:$C)</f>
        <v>Queens University School of Business</v>
      </c>
      <c r="U345" s="105" t="str">
        <f>_xlfn.XLOOKUP(Tabla1[[#This Row],[Universidad KPIs]],Conversiones!$C:$C,Conversiones!$E:$E)</f>
        <v>Específico</v>
      </c>
      <c r="V345" s="1" t="s">
        <v>74</v>
      </c>
      <c r="W345" s="1" t="s">
        <v>291</v>
      </c>
      <c r="X345" s="87">
        <v>45146</v>
      </c>
      <c r="Y345" s="87">
        <v>45262</v>
      </c>
      <c r="Z345" s="1">
        <v>116</v>
      </c>
    </row>
    <row r="346" spans="1:26">
      <c r="A346" s="102" t="s">
        <v>1576</v>
      </c>
      <c r="B346">
        <v>202020530</v>
      </c>
      <c r="C346" t="s">
        <v>1577</v>
      </c>
      <c r="D346" t="s">
        <v>1578</v>
      </c>
      <c r="E346" t="s">
        <v>1579</v>
      </c>
      <c r="F346" t="s">
        <v>233</v>
      </c>
      <c r="G346" t="s">
        <v>277</v>
      </c>
      <c r="J346" t="s">
        <v>278</v>
      </c>
      <c r="K346">
        <v>2023</v>
      </c>
      <c r="L346">
        <v>202320</v>
      </c>
      <c r="M346">
        <v>202320</v>
      </c>
      <c r="N346" t="s">
        <v>279</v>
      </c>
      <c r="O346" t="s">
        <v>230</v>
      </c>
      <c r="P346" t="s">
        <v>280</v>
      </c>
      <c r="Q346" t="s">
        <v>233</v>
      </c>
      <c r="R346" t="s">
        <v>277</v>
      </c>
      <c r="S346" t="s">
        <v>105</v>
      </c>
      <c r="T346" s="105" t="str">
        <f>_xlfn.XLOOKUP(Tabla1[[#This Row],[Universidad]],Conversiones!$B:$B,Conversiones!$C:$C)</f>
        <v>Queensland University of Technology</v>
      </c>
      <c r="U346" s="105" t="str">
        <f>_xlfn.XLOOKUP(Tabla1[[#This Row],[Universidad KPIs]],Conversiones!$C:$C,Conversiones!$E:$E)</f>
        <v>Específico</v>
      </c>
      <c r="V346" t="s">
        <v>106</v>
      </c>
      <c r="W346" t="s">
        <v>385</v>
      </c>
      <c r="X346" s="2">
        <v>45146</v>
      </c>
      <c r="Y346" s="2">
        <v>45262</v>
      </c>
      <c r="Z346">
        <v>116</v>
      </c>
    </row>
    <row r="347" spans="1:26">
      <c r="A347" s="103" t="s">
        <v>1580</v>
      </c>
      <c r="B347" s="1">
        <v>202021989</v>
      </c>
      <c r="C347" s="1" t="s">
        <v>1581</v>
      </c>
      <c r="D347" s="1" t="s">
        <v>1582</v>
      </c>
      <c r="E347" s="1" t="s">
        <v>1583</v>
      </c>
      <c r="F347" s="1" t="s">
        <v>543</v>
      </c>
      <c r="G347" s="1" t="s">
        <v>544</v>
      </c>
      <c r="H347" s="1" t="s">
        <v>233</v>
      </c>
      <c r="I347" s="1" t="s">
        <v>277</v>
      </c>
      <c r="J347" s="1" t="s">
        <v>278</v>
      </c>
      <c r="K347" s="1">
        <v>2023</v>
      </c>
      <c r="L347" s="1">
        <v>202320</v>
      </c>
      <c r="M347" s="1">
        <v>202320</v>
      </c>
      <c r="N347" s="1" t="s">
        <v>279</v>
      </c>
      <c r="O347" s="1" t="s">
        <v>230</v>
      </c>
      <c r="P347" s="1" t="s">
        <v>280</v>
      </c>
      <c r="Q347" s="1" t="s">
        <v>233</v>
      </c>
      <c r="R347" s="1" t="s">
        <v>277</v>
      </c>
      <c r="S347" s="1" t="s">
        <v>153</v>
      </c>
      <c r="T347" s="105" t="str">
        <f>_xlfn.XLOOKUP(Tabla1[[#This Row],[Universidad]],Conversiones!$B:$B,Conversiones!$C:$C)</f>
        <v>St. John's University</v>
      </c>
      <c r="U347" s="105" t="str">
        <f>_xlfn.XLOOKUP(Tabla1[[#This Row],[Universidad KPIs]],Conversiones!$C:$C,Conversiones!$E:$E)</f>
        <v>General</v>
      </c>
      <c r="V347" s="1" t="s">
        <v>51</v>
      </c>
      <c r="W347" s="1" t="s">
        <v>291</v>
      </c>
      <c r="X347" s="87">
        <v>45146</v>
      </c>
      <c r="Y347" s="87">
        <v>45262</v>
      </c>
      <c r="Z347" s="1">
        <v>116</v>
      </c>
    </row>
    <row r="348" spans="1:26">
      <c r="A348" s="102" t="s">
        <v>1584</v>
      </c>
      <c r="B348">
        <v>201922718</v>
      </c>
      <c r="C348" t="s">
        <v>656</v>
      </c>
      <c r="D348" t="s">
        <v>1585</v>
      </c>
      <c r="E348" t="s">
        <v>1586</v>
      </c>
      <c r="F348" t="s">
        <v>233</v>
      </c>
      <c r="G348" t="s">
        <v>277</v>
      </c>
      <c r="J348" t="s">
        <v>278</v>
      </c>
      <c r="K348">
        <v>2023</v>
      </c>
      <c r="L348">
        <v>202320</v>
      </c>
      <c r="M348">
        <v>202320</v>
      </c>
      <c r="N348" t="s">
        <v>279</v>
      </c>
      <c r="O348" t="s">
        <v>231</v>
      </c>
      <c r="P348" t="s">
        <v>477</v>
      </c>
      <c r="Q348" t="s">
        <v>233</v>
      </c>
      <c r="R348" t="s">
        <v>277</v>
      </c>
      <c r="S348" t="s">
        <v>769</v>
      </c>
      <c r="T348" s="105" t="str">
        <f>_xlfn.XLOOKUP(Tabla1[[#This Row],[Universidad]],Conversiones!$B:$B,Conversiones!$C:$C)</f>
        <v>Universidad de Tilburg</v>
      </c>
      <c r="U348" s="105" t="str">
        <f>_xlfn.XLOOKUP(Tabla1[[#This Row],[Universidad KPIs]],Conversiones!$C:$C,Conversiones!$E:$E)</f>
        <v>Específico</v>
      </c>
      <c r="V348" t="s">
        <v>95</v>
      </c>
      <c r="W348" t="s">
        <v>281</v>
      </c>
      <c r="X348" s="2">
        <v>45146</v>
      </c>
      <c r="Y348" s="2">
        <v>45262</v>
      </c>
      <c r="Z348">
        <v>116</v>
      </c>
    </row>
    <row r="349" spans="1:26">
      <c r="A349" s="103" t="s">
        <v>1587</v>
      </c>
      <c r="B349" s="1">
        <v>202123251</v>
      </c>
      <c r="C349" s="1" t="s">
        <v>540</v>
      </c>
      <c r="D349" s="1" t="s">
        <v>1588</v>
      </c>
      <c r="E349" s="1" t="s">
        <v>1589</v>
      </c>
      <c r="F349" s="1" t="s">
        <v>233</v>
      </c>
      <c r="G349" s="1" t="s">
        <v>277</v>
      </c>
      <c r="H349" s="1"/>
      <c r="I349" s="1"/>
      <c r="J349" s="1" t="s">
        <v>278</v>
      </c>
      <c r="K349" s="1">
        <v>2023</v>
      </c>
      <c r="L349" s="1">
        <v>202320</v>
      </c>
      <c r="M349" s="1">
        <v>202320</v>
      </c>
      <c r="N349" s="1" t="s">
        <v>279</v>
      </c>
      <c r="O349" s="1" t="s">
        <v>231</v>
      </c>
      <c r="P349" s="1" t="s">
        <v>477</v>
      </c>
      <c r="Q349" s="1" t="s">
        <v>233</v>
      </c>
      <c r="R349" s="1" t="s">
        <v>277</v>
      </c>
      <c r="S349" s="1" t="s">
        <v>769</v>
      </c>
      <c r="T349" s="105" t="str">
        <f>_xlfn.XLOOKUP(Tabla1[[#This Row],[Universidad]],Conversiones!$B:$B,Conversiones!$C:$C)</f>
        <v>Universidad de Tilburg</v>
      </c>
      <c r="U349" s="105" t="str">
        <f>_xlfn.XLOOKUP(Tabla1[[#This Row],[Universidad KPIs]],Conversiones!$C:$C,Conversiones!$E:$E)</f>
        <v>Específico</v>
      </c>
      <c r="V349" s="1" t="s">
        <v>95</v>
      </c>
      <c r="W349" s="1" t="s">
        <v>281</v>
      </c>
      <c r="X349" s="87">
        <v>45146</v>
      </c>
      <c r="Y349" s="87">
        <v>45262</v>
      </c>
      <c r="Z349" s="1">
        <v>116</v>
      </c>
    </row>
    <row r="350" spans="1:26">
      <c r="A350" s="102" t="s">
        <v>1590</v>
      </c>
      <c r="B350">
        <v>202014664</v>
      </c>
      <c r="C350" t="s">
        <v>1591</v>
      </c>
      <c r="D350" t="s">
        <v>1592</v>
      </c>
      <c r="E350" t="s">
        <v>1593</v>
      </c>
      <c r="F350" t="s">
        <v>233</v>
      </c>
      <c r="G350" t="s">
        <v>277</v>
      </c>
      <c r="J350" t="s">
        <v>278</v>
      </c>
      <c r="K350">
        <v>2023</v>
      </c>
      <c r="L350">
        <v>202320</v>
      </c>
      <c r="M350">
        <v>202320</v>
      </c>
      <c r="N350" t="s">
        <v>279</v>
      </c>
      <c r="O350" t="s">
        <v>230</v>
      </c>
      <c r="P350" t="s">
        <v>280</v>
      </c>
      <c r="Q350" t="s">
        <v>233</v>
      </c>
      <c r="R350" t="s">
        <v>277</v>
      </c>
      <c r="S350" t="s">
        <v>769</v>
      </c>
      <c r="T350" s="105" t="str">
        <f>_xlfn.XLOOKUP(Tabla1[[#This Row],[Universidad]],Conversiones!$B:$B,Conversiones!$C:$C)</f>
        <v>Universidad de Tilburg</v>
      </c>
      <c r="U350" s="105" t="str">
        <f>_xlfn.XLOOKUP(Tabla1[[#This Row],[Universidad KPIs]],Conversiones!$C:$C,Conversiones!$E:$E)</f>
        <v>Específico</v>
      </c>
      <c r="V350" t="s">
        <v>95</v>
      </c>
      <c r="W350" t="s">
        <v>281</v>
      </c>
      <c r="X350" s="2">
        <v>45146</v>
      </c>
      <c r="Y350" s="2">
        <v>45262</v>
      </c>
      <c r="Z350">
        <v>116</v>
      </c>
    </row>
    <row r="351" spans="1:26">
      <c r="A351" s="103" t="s">
        <v>1594</v>
      </c>
      <c r="B351" s="1">
        <v>201214425</v>
      </c>
      <c r="C351" s="1" t="s">
        <v>694</v>
      </c>
      <c r="D351" s="1" t="s">
        <v>1595</v>
      </c>
      <c r="E351" s="1" t="s">
        <v>1596</v>
      </c>
      <c r="F351" s="1" t="s">
        <v>235</v>
      </c>
      <c r="G351" s="1" t="s">
        <v>277</v>
      </c>
      <c r="H351" s="1"/>
      <c r="I351" s="1"/>
      <c r="J351" s="1" t="s">
        <v>278</v>
      </c>
      <c r="K351" s="1">
        <v>2023</v>
      </c>
      <c r="L351" s="1">
        <v>202320</v>
      </c>
      <c r="M351" s="1">
        <v>202320</v>
      </c>
      <c r="N351" s="1" t="s">
        <v>618</v>
      </c>
      <c r="O351" s="1" t="s">
        <v>230</v>
      </c>
      <c r="P351" s="1" t="s">
        <v>1522</v>
      </c>
      <c r="Q351" s="1" t="s">
        <v>235</v>
      </c>
      <c r="R351" s="1" t="s">
        <v>277</v>
      </c>
      <c r="S351" s="1" t="s">
        <v>310</v>
      </c>
      <c r="T351" s="105" t="str">
        <f>_xlfn.XLOOKUP(Tabla1[[#This Row],[Universidad]],Conversiones!$B:$B,Conversiones!$C:$C)</f>
        <v>Toulouse Business School</v>
      </c>
      <c r="U351" s="105" t="str">
        <f>_xlfn.XLOOKUP(Tabla1[[#This Row],[Universidad KPIs]],Conversiones!$C:$C,Conversiones!$E:$E)</f>
        <v>Específico</v>
      </c>
      <c r="V351" s="1" t="s">
        <v>57</v>
      </c>
      <c r="W351" s="1" t="s">
        <v>281</v>
      </c>
      <c r="X351" s="87">
        <v>45146</v>
      </c>
      <c r="Y351" s="87">
        <v>45262</v>
      </c>
      <c r="Z351" s="1">
        <v>116</v>
      </c>
    </row>
    <row r="352" spans="1:26">
      <c r="A352" s="102" t="s">
        <v>1597</v>
      </c>
      <c r="B352">
        <v>201814304</v>
      </c>
      <c r="C352" t="s">
        <v>517</v>
      </c>
      <c r="D352" t="s">
        <v>1598</v>
      </c>
      <c r="E352" t="s">
        <v>1599</v>
      </c>
      <c r="F352" t="s">
        <v>233</v>
      </c>
      <c r="G352" t="s">
        <v>277</v>
      </c>
      <c r="H352" t="s">
        <v>491</v>
      </c>
      <c r="I352" t="s">
        <v>492</v>
      </c>
      <c r="J352" t="s">
        <v>278</v>
      </c>
      <c r="K352">
        <v>2023</v>
      </c>
      <c r="L352">
        <v>202320</v>
      </c>
      <c r="M352">
        <v>202320</v>
      </c>
      <c r="N352" t="s">
        <v>279</v>
      </c>
      <c r="O352" t="s">
        <v>231</v>
      </c>
      <c r="P352" t="s">
        <v>477</v>
      </c>
      <c r="Q352" t="s">
        <v>233</v>
      </c>
      <c r="R352" t="s">
        <v>277</v>
      </c>
      <c r="S352" t="s">
        <v>310</v>
      </c>
      <c r="T352" s="105" t="str">
        <f>_xlfn.XLOOKUP(Tabla1[[#This Row],[Universidad]],Conversiones!$B:$B,Conversiones!$C:$C)</f>
        <v>Toulouse Business School</v>
      </c>
      <c r="U352" s="105" t="str">
        <f>_xlfn.XLOOKUP(Tabla1[[#This Row],[Universidad KPIs]],Conversiones!$C:$C,Conversiones!$E:$E)</f>
        <v>Específico</v>
      </c>
      <c r="V352" t="s">
        <v>57</v>
      </c>
      <c r="W352" t="s">
        <v>281</v>
      </c>
      <c r="X352" s="2">
        <v>45146</v>
      </c>
      <c r="Y352" s="2">
        <v>45262</v>
      </c>
      <c r="Z352">
        <v>116</v>
      </c>
    </row>
    <row r="353" spans="1:26">
      <c r="A353" s="103" t="s">
        <v>1600</v>
      </c>
      <c r="B353" s="1">
        <v>201815494</v>
      </c>
      <c r="C353" s="1" t="s">
        <v>1601</v>
      </c>
      <c r="D353" s="1" t="s">
        <v>453</v>
      </c>
      <c r="E353" s="1" t="s">
        <v>1602</v>
      </c>
      <c r="F353" s="1" t="s">
        <v>233</v>
      </c>
      <c r="G353" s="1" t="s">
        <v>277</v>
      </c>
      <c r="H353" s="1" t="s">
        <v>543</v>
      </c>
      <c r="I353" s="1" t="s">
        <v>544</v>
      </c>
      <c r="J353" s="1" t="s">
        <v>278</v>
      </c>
      <c r="K353" s="1">
        <v>2023</v>
      </c>
      <c r="L353" s="1">
        <v>202320</v>
      </c>
      <c r="M353" s="1">
        <v>202320</v>
      </c>
      <c r="N353" s="1" t="s">
        <v>279</v>
      </c>
      <c r="O353" s="1" t="s">
        <v>231</v>
      </c>
      <c r="P353" s="1" t="s">
        <v>477</v>
      </c>
      <c r="Q353" s="1" t="s">
        <v>233</v>
      </c>
      <c r="R353" s="1" t="s">
        <v>277</v>
      </c>
      <c r="S353" s="1" t="s">
        <v>310</v>
      </c>
      <c r="T353" s="105" t="str">
        <f>_xlfn.XLOOKUP(Tabla1[[#This Row],[Universidad]],Conversiones!$B:$B,Conversiones!$C:$C)</f>
        <v>Toulouse Business School</v>
      </c>
      <c r="U353" s="105" t="str">
        <f>_xlfn.XLOOKUP(Tabla1[[#This Row],[Universidad KPIs]],Conversiones!$C:$C,Conversiones!$E:$E)</f>
        <v>Específico</v>
      </c>
      <c r="V353" s="1" t="s">
        <v>57</v>
      </c>
      <c r="W353" s="1" t="s">
        <v>281</v>
      </c>
      <c r="X353" s="87">
        <v>45146</v>
      </c>
      <c r="Y353" s="87">
        <v>45262</v>
      </c>
      <c r="Z353" s="1">
        <v>116</v>
      </c>
    </row>
    <row r="354" spans="1:26">
      <c r="A354" s="102" t="s">
        <v>1603</v>
      </c>
      <c r="B354">
        <v>201914332</v>
      </c>
      <c r="C354" t="s">
        <v>1604</v>
      </c>
      <c r="D354" t="s">
        <v>1605</v>
      </c>
      <c r="E354" t="s">
        <v>1606</v>
      </c>
      <c r="F354" t="s">
        <v>233</v>
      </c>
      <c r="G354" t="s">
        <v>277</v>
      </c>
      <c r="H354" t="s">
        <v>491</v>
      </c>
      <c r="I354" t="s">
        <v>492</v>
      </c>
      <c r="J354" t="s">
        <v>278</v>
      </c>
      <c r="K354">
        <v>2023</v>
      </c>
      <c r="L354">
        <v>202320</v>
      </c>
      <c r="M354">
        <v>202320</v>
      </c>
      <c r="N354" t="s">
        <v>279</v>
      </c>
      <c r="O354" t="s">
        <v>231</v>
      </c>
      <c r="P354" t="s">
        <v>477</v>
      </c>
      <c r="Q354" t="s">
        <v>233</v>
      </c>
      <c r="R354" t="s">
        <v>277</v>
      </c>
      <c r="S354" t="s">
        <v>310</v>
      </c>
      <c r="T354" s="105" t="str">
        <f>_xlfn.XLOOKUP(Tabla1[[#This Row],[Universidad]],Conversiones!$B:$B,Conversiones!$C:$C)</f>
        <v>Toulouse Business School</v>
      </c>
      <c r="U354" s="105" t="str">
        <f>_xlfn.XLOOKUP(Tabla1[[#This Row],[Universidad KPIs]],Conversiones!$C:$C,Conversiones!$E:$E)</f>
        <v>Específico</v>
      </c>
      <c r="V354" t="s">
        <v>57</v>
      </c>
      <c r="W354" t="s">
        <v>281</v>
      </c>
      <c r="X354" s="2">
        <v>45146</v>
      </c>
      <c r="Y354" s="2">
        <v>45262</v>
      </c>
      <c r="Z354">
        <v>116</v>
      </c>
    </row>
    <row r="355" spans="1:26">
      <c r="A355" s="103" t="s">
        <v>1180</v>
      </c>
      <c r="B355" s="1">
        <v>201914594</v>
      </c>
      <c r="C355" s="1" t="s">
        <v>1181</v>
      </c>
      <c r="D355" s="1" t="s">
        <v>1182</v>
      </c>
      <c r="E355" s="1" t="s">
        <v>1183</v>
      </c>
      <c r="F355" s="1" t="s">
        <v>233</v>
      </c>
      <c r="G355" s="1" t="s">
        <v>277</v>
      </c>
      <c r="H355" s="1"/>
      <c r="I355" s="1"/>
      <c r="J355" s="1" t="s">
        <v>278</v>
      </c>
      <c r="K355" s="1">
        <v>2023</v>
      </c>
      <c r="L355" s="1">
        <v>202320</v>
      </c>
      <c r="M355" s="1">
        <v>202320</v>
      </c>
      <c r="N355" s="1" t="s">
        <v>279</v>
      </c>
      <c r="O355" s="1" t="s">
        <v>231</v>
      </c>
      <c r="P355" s="1" t="s">
        <v>477</v>
      </c>
      <c r="Q355" s="1" t="s">
        <v>233</v>
      </c>
      <c r="R355" s="1" t="s">
        <v>277</v>
      </c>
      <c r="S355" s="1" t="s">
        <v>310</v>
      </c>
      <c r="T355" s="105" t="str">
        <f>_xlfn.XLOOKUP(Tabla1[[#This Row],[Universidad]],Conversiones!$B:$B,Conversiones!$C:$C)</f>
        <v>Toulouse Business School</v>
      </c>
      <c r="U355" s="105" t="str">
        <f>_xlfn.XLOOKUP(Tabla1[[#This Row],[Universidad KPIs]],Conversiones!$C:$C,Conversiones!$E:$E)</f>
        <v>Específico</v>
      </c>
      <c r="V355" s="1" t="s">
        <v>57</v>
      </c>
      <c r="W355" s="1" t="s">
        <v>281</v>
      </c>
      <c r="X355" s="87">
        <v>45146</v>
      </c>
      <c r="Y355" s="87">
        <v>45262</v>
      </c>
      <c r="Z355" s="1">
        <v>116</v>
      </c>
    </row>
    <row r="356" spans="1:26">
      <c r="A356" s="102" t="s">
        <v>1377</v>
      </c>
      <c r="B356">
        <v>201921122</v>
      </c>
      <c r="C356" t="s">
        <v>1378</v>
      </c>
      <c r="D356" t="s">
        <v>1379</v>
      </c>
      <c r="E356" t="s">
        <v>1380</v>
      </c>
      <c r="F356" t="s">
        <v>233</v>
      </c>
      <c r="G356" t="s">
        <v>277</v>
      </c>
      <c r="J356" t="s">
        <v>278</v>
      </c>
      <c r="K356">
        <v>2023</v>
      </c>
      <c r="L356">
        <v>202320</v>
      </c>
      <c r="M356">
        <v>202320</v>
      </c>
      <c r="N356" t="s">
        <v>279</v>
      </c>
      <c r="O356" t="s">
        <v>231</v>
      </c>
      <c r="P356" t="s">
        <v>477</v>
      </c>
      <c r="Q356" t="s">
        <v>233</v>
      </c>
      <c r="R356" t="s">
        <v>277</v>
      </c>
      <c r="S356" t="s">
        <v>310</v>
      </c>
      <c r="T356" s="105" t="str">
        <f>_xlfn.XLOOKUP(Tabla1[[#This Row],[Universidad]],Conversiones!$B:$B,Conversiones!$C:$C)</f>
        <v>Toulouse Business School</v>
      </c>
      <c r="U356" s="105" t="str">
        <f>_xlfn.XLOOKUP(Tabla1[[#This Row],[Universidad KPIs]],Conversiones!$C:$C,Conversiones!$E:$E)</f>
        <v>Específico</v>
      </c>
      <c r="V356" t="s">
        <v>57</v>
      </c>
      <c r="W356" t="s">
        <v>281</v>
      </c>
      <c r="X356" s="2">
        <v>45146</v>
      </c>
      <c r="Y356" s="2">
        <v>45262</v>
      </c>
      <c r="Z356">
        <v>116</v>
      </c>
    </row>
    <row r="357" spans="1:26">
      <c r="A357" s="103" t="s">
        <v>1607</v>
      </c>
      <c r="B357" s="1">
        <v>201922805</v>
      </c>
      <c r="C357" s="1" t="s">
        <v>1608</v>
      </c>
      <c r="D357" s="1" t="s">
        <v>1609</v>
      </c>
      <c r="E357" s="1" t="s">
        <v>1610</v>
      </c>
      <c r="F357" s="1" t="s">
        <v>233</v>
      </c>
      <c r="G357" s="1" t="s">
        <v>277</v>
      </c>
      <c r="H357" s="1"/>
      <c r="I357" s="1"/>
      <c r="J357" s="1" t="s">
        <v>278</v>
      </c>
      <c r="K357" s="1">
        <v>2023</v>
      </c>
      <c r="L357" s="1">
        <v>202320</v>
      </c>
      <c r="M357" s="1">
        <v>202320</v>
      </c>
      <c r="N357" s="1" t="s">
        <v>279</v>
      </c>
      <c r="O357" s="1" t="s">
        <v>231</v>
      </c>
      <c r="P357" s="1" t="s">
        <v>477</v>
      </c>
      <c r="Q357" s="1" t="s">
        <v>233</v>
      </c>
      <c r="R357" s="1" t="s">
        <v>277</v>
      </c>
      <c r="S357" s="1" t="s">
        <v>310</v>
      </c>
      <c r="T357" s="105" t="str">
        <f>_xlfn.XLOOKUP(Tabla1[[#This Row],[Universidad]],Conversiones!$B:$B,Conversiones!$C:$C)</f>
        <v>Toulouse Business School</v>
      </c>
      <c r="U357" s="105" t="str">
        <f>_xlfn.XLOOKUP(Tabla1[[#This Row],[Universidad KPIs]],Conversiones!$C:$C,Conversiones!$E:$E)</f>
        <v>Específico</v>
      </c>
      <c r="V357" s="1" t="s">
        <v>57</v>
      </c>
      <c r="W357" s="1" t="s">
        <v>281</v>
      </c>
      <c r="X357" s="87">
        <v>45146</v>
      </c>
      <c r="Y357" s="87">
        <v>45262</v>
      </c>
      <c r="Z357" s="1">
        <v>116</v>
      </c>
    </row>
    <row r="358" spans="1:26">
      <c r="A358" s="102" t="s">
        <v>1611</v>
      </c>
      <c r="B358">
        <v>201923718</v>
      </c>
      <c r="C358" t="s">
        <v>698</v>
      </c>
      <c r="D358" t="s">
        <v>1612</v>
      </c>
      <c r="E358" t="s">
        <v>1613</v>
      </c>
      <c r="F358" t="s">
        <v>233</v>
      </c>
      <c r="G358" t="s">
        <v>277</v>
      </c>
      <c r="J358" t="s">
        <v>278</v>
      </c>
      <c r="K358">
        <v>2023</v>
      </c>
      <c r="L358">
        <v>202320</v>
      </c>
      <c r="M358">
        <v>202320</v>
      </c>
      <c r="N358" t="s">
        <v>279</v>
      </c>
      <c r="O358" t="s">
        <v>231</v>
      </c>
      <c r="P358" t="s">
        <v>477</v>
      </c>
      <c r="Q358" t="s">
        <v>233</v>
      </c>
      <c r="R358" t="s">
        <v>277</v>
      </c>
      <c r="S358" t="s">
        <v>310</v>
      </c>
      <c r="T358" s="105" t="str">
        <f>_xlfn.XLOOKUP(Tabla1[[#This Row],[Universidad]],Conversiones!$B:$B,Conversiones!$C:$C)</f>
        <v>Toulouse Business School</v>
      </c>
      <c r="U358" s="105" t="str">
        <f>_xlfn.XLOOKUP(Tabla1[[#This Row],[Universidad KPIs]],Conversiones!$C:$C,Conversiones!$E:$E)</f>
        <v>Específico</v>
      </c>
      <c r="V358" t="s">
        <v>57</v>
      </c>
      <c r="W358" t="s">
        <v>281</v>
      </c>
      <c r="X358" s="2">
        <v>45146</v>
      </c>
      <c r="Y358" s="2">
        <v>45262</v>
      </c>
      <c r="Z358">
        <v>116</v>
      </c>
    </row>
    <row r="359" spans="1:26">
      <c r="A359" s="103" t="s">
        <v>1614</v>
      </c>
      <c r="B359" s="1">
        <v>202010713</v>
      </c>
      <c r="C359" s="1" t="s">
        <v>1316</v>
      </c>
      <c r="D359" s="1" t="s">
        <v>1615</v>
      </c>
      <c r="E359" s="1" t="s">
        <v>1616</v>
      </c>
      <c r="F359" s="1" t="s">
        <v>233</v>
      </c>
      <c r="G359" s="1" t="s">
        <v>277</v>
      </c>
      <c r="H359" s="1"/>
      <c r="I359" s="1"/>
      <c r="J359" s="1" t="s">
        <v>278</v>
      </c>
      <c r="K359" s="1">
        <v>2023</v>
      </c>
      <c r="L359" s="1">
        <v>202320</v>
      </c>
      <c r="M359" s="1">
        <v>202320</v>
      </c>
      <c r="N359" s="1" t="s">
        <v>279</v>
      </c>
      <c r="O359" s="1" t="s">
        <v>231</v>
      </c>
      <c r="P359" s="1" t="s">
        <v>477</v>
      </c>
      <c r="Q359" s="1" t="s">
        <v>233</v>
      </c>
      <c r="R359" s="1" t="s">
        <v>277</v>
      </c>
      <c r="S359" s="1" t="s">
        <v>310</v>
      </c>
      <c r="T359" s="105" t="str">
        <f>_xlfn.XLOOKUP(Tabla1[[#This Row],[Universidad]],Conversiones!$B:$B,Conversiones!$C:$C)</f>
        <v>Toulouse Business School</v>
      </c>
      <c r="U359" s="105" t="str">
        <f>_xlfn.XLOOKUP(Tabla1[[#This Row],[Universidad KPIs]],Conversiones!$C:$C,Conversiones!$E:$E)</f>
        <v>Específico</v>
      </c>
      <c r="V359" s="1" t="s">
        <v>57</v>
      </c>
      <c r="W359" s="1" t="s">
        <v>281</v>
      </c>
      <c r="X359" s="87">
        <v>45146</v>
      </c>
      <c r="Y359" s="87">
        <v>45262</v>
      </c>
      <c r="Z359" s="1">
        <v>116</v>
      </c>
    </row>
    <row r="360" spans="1:26">
      <c r="A360" s="102" t="s">
        <v>1617</v>
      </c>
      <c r="B360">
        <v>202011202</v>
      </c>
      <c r="C360" t="s">
        <v>1618</v>
      </c>
      <c r="D360" t="s">
        <v>1619</v>
      </c>
      <c r="E360" t="s">
        <v>1620</v>
      </c>
      <c r="F360" t="s">
        <v>233</v>
      </c>
      <c r="G360" t="s">
        <v>277</v>
      </c>
      <c r="J360" t="s">
        <v>278</v>
      </c>
      <c r="K360">
        <v>2023</v>
      </c>
      <c r="L360">
        <v>202320</v>
      </c>
      <c r="M360">
        <v>202320</v>
      </c>
      <c r="N360" t="s">
        <v>279</v>
      </c>
      <c r="O360" t="s">
        <v>231</v>
      </c>
      <c r="P360" t="s">
        <v>477</v>
      </c>
      <c r="Q360" t="s">
        <v>233</v>
      </c>
      <c r="R360" t="s">
        <v>277</v>
      </c>
      <c r="S360" t="s">
        <v>310</v>
      </c>
      <c r="T360" s="105" t="str">
        <f>_xlfn.XLOOKUP(Tabla1[[#This Row],[Universidad]],Conversiones!$B:$B,Conversiones!$C:$C)</f>
        <v>Toulouse Business School</v>
      </c>
      <c r="U360" s="105" t="str">
        <f>_xlfn.XLOOKUP(Tabla1[[#This Row],[Universidad KPIs]],Conversiones!$C:$C,Conversiones!$E:$E)</f>
        <v>Específico</v>
      </c>
      <c r="V360" t="s">
        <v>57</v>
      </c>
      <c r="W360" t="s">
        <v>281</v>
      </c>
      <c r="X360" s="2">
        <v>45146</v>
      </c>
      <c r="Y360" s="2">
        <v>45262</v>
      </c>
      <c r="Z360">
        <v>116</v>
      </c>
    </row>
    <row r="361" spans="1:26">
      <c r="A361" s="103" t="s">
        <v>1621</v>
      </c>
      <c r="B361" s="1">
        <v>202021093</v>
      </c>
      <c r="C361" s="1" t="s">
        <v>1515</v>
      </c>
      <c r="D361" s="1" t="s">
        <v>1622</v>
      </c>
      <c r="E361" s="1" t="s">
        <v>1623</v>
      </c>
      <c r="F361" s="1" t="s">
        <v>233</v>
      </c>
      <c r="G361" s="1" t="s">
        <v>277</v>
      </c>
      <c r="H361" s="1"/>
      <c r="I361" s="1"/>
      <c r="J361" s="1" t="s">
        <v>278</v>
      </c>
      <c r="K361" s="1">
        <v>2023</v>
      </c>
      <c r="L361" s="1">
        <v>202320</v>
      </c>
      <c r="M361" s="1">
        <v>202320</v>
      </c>
      <c r="N361" s="1" t="s">
        <v>279</v>
      </c>
      <c r="O361" s="1" t="s">
        <v>230</v>
      </c>
      <c r="P361" s="1" t="s">
        <v>280</v>
      </c>
      <c r="Q361" s="1" t="s">
        <v>233</v>
      </c>
      <c r="R361" s="1" t="s">
        <v>277</v>
      </c>
      <c r="S361" s="1" t="s">
        <v>310</v>
      </c>
      <c r="T361" s="105" t="str">
        <f>_xlfn.XLOOKUP(Tabla1[[#This Row],[Universidad]],Conversiones!$B:$B,Conversiones!$C:$C)</f>
        <v>Toulouse Business School</v>
      </c>
      <c r="U361" s="105" t="str">
        <f>_xlfn.XLOOKUP(Tabla1[[#This Row],[Universidad KPIs]],Conversiones!$C:$C,Conversiones!$E:$E)</f>
        <v>Específico</v>
      </c>
      <c r="V361" s="1" t="s">
        <v>57</v>
      </c>
      <c r="W361" s="1" t="s">
        <v>281</v>
      </c>
      <c r="X361" s="87">
        <v>45146</v>
      </c>
      <c r="Y361" s="87">
        <v>45262</v>
      </c>
      <c r="Z361" s="1">
        <v>116</v>
      </c>
    </row>
    <row r="362" spans="1:26">
      <c r="A362" s="102" t="s">
        <v>1624</v>
      </c>
      <c r="B362">
        <v>202022061</v>
      </c>
      <c r="C362" t="s">
        <v>1625</v>
      </c>
      <c r="D362" t="s">
        <v>1626</v>
      </c>
      <c r="E362" t="s">
        <v>1627</v>
      </c>
      <c r="F362" t="s">
        <v>233</v>
      </c>
      <c r="G362" t="s">
        <v>277</v>
      </c>
      <c r="J362" t="s">
        <v>278</v>
      </c>
      <c r="K362">
        <v>2023</v>
      </c>
      <c r="L362">
        <v>202320</v>
      </c>
      <c r="M362">
        <v>202320</v>
      </c>
      <c r="N362" t="s">
        <v>279</v>
      </c>
      <c r="O362" t="s">
        <v>230</v>
      </c>
      <c r="P362" t="s">
        <v>280</v>
      </c>
      <c r="Q362" t="s">
        <v>233</v>
      </c>
      <c r="R362" t="s">
        <v>277</v>
      </c>
      <c r="S362" t="s">
        <v>310</v>
      </c>
      <c r="T362" s="105" t="str">
        <f>_xlfn.XLOOKUP(Tabla1[[#This Row],[Universidad]],Conversiones!$B:$B,Conversiones!$C:$C)</f>
        <v>Toulouse Business School</v>
      </c>
      <c r="U362" s="105" t="str">
        <f>_xlfn.XLOOKUP(Tabla1[[#This Row],[Universidad KPIs]],Conversiones!$C:$C,Conversiones!$E:$E)</f>
        <v>Específico</v>
      </c>
      <c r="V362" t="s">
        <v>57</v>
      </c>
      <c r="W362" t="s">
        <v>281</v>
      </c>
      <c r="X362" s="2">
        <v>45146</v>
      </c>
      <c r="Y362" s="2">
        <v>45262</v>
      </c>
      <c r="Z362">
        <v>116</v>
      </c>
    </row>
    <row r="363" spans="1:26">
      <c r="A363" s="103" t="s">
        <v>1628</v>
      </c>
      <c r="B363" s="1">
        <v>202013218</v>
      </c>
      <c r="C363" s="1" t="s">
        <v>1158</v>
      </c>
      <c r="D363" s="1" t="s">
        <v>1629</v>
      </c>
      <c r="E363" s="1" t="s">
        <v>1630</v>
      </c>
      <c r="F363" s="1" t="s">
        <v>233</v>
      </c>
      <c r="G363" s="1" t="s">
        <v>277</v>
      </c>
      <c r="H363" s="1"/>
      <c r="I363" s="1"/>
      <c r="J363" s="1" t="s">
        <v>278</v>
      </c>
      <c r="K363" s="1">
        <v>2023</v>
      </c>
      <c r="L363" s="1">
        <v>202320</v>
      </c>
      <c r="M363" s="1">
        <v>202320</v>
      </c>
      <c r="N363" s="1" t="s">
        <v>279</v>
      </c>
      <c r="O363" s="1" t="s">
        <v>230</v>
      </c>
      <c r="P363" s="1" t="s">
        <v>280</v>
      </c>
      <c r="Q363" s="1" t="s">
        <v>233</v>
      </c>
      <c r="R363" s="1" t="s">
        <v>277</v>
      </c>
      <c r="S363" s="1" t="s">
        <v>372</v>
      </c>
      <c r="T363" s="105" t="str">
        <f>_xlfn.XLOOKUP(Tabla1[[#This Row],[Universidad]],Conversiones!$B:$B,Conversiones!$C:$C)</f>
        <v>A.B. Freeman School of Business, Tulane University</v>
      </c>
      <c r="U363" s="105" t="str">
        <f>_xlfn.XLOOKUP(Tabla1[[#This Row],[Universidad KPIs]],Conversiones!$C:$C,Conversiones!$E:$E)</f>
        <v>Específico</v>
      </c>
      <c r="V363" s="1" t="s">
        <v>51</v>
      </c>
      <c r="W363" s="1" t="s">
        <v>291</v>
      </c>
      <c r="X363" s="87">
        <v>45146</v>
      </c>
      <c r="Y363" s="87">
        <v>45262</v>
      </c>
      <c r="Z363" s="1">
        <v>116</v>
      </c>
    </row>
    <row r="364" spans="1:26">
      <c r="A364" s="102" t="s">
        <v>1631</v>
      </c>
      <c r="B364">
        <v>202020615</v>
      </c>
      <c r="C364" t="s">
        <v>1632</v>
      </c>
      <c r="D364" t="s">
        <v>1633</v>
      </c>
      <c r="E364" t="s">
        <v>1634</v>
      </c>
      <c r="F364" t="s">
        <v>233</v>
      </c>
      <c r="G364" t="s">
        <v>277</v>
      </c>
      <c r="J364" t="s">
        <v>278</v>
      </c>
      <c r="K364">
        <v>2023</v>
      </c>
      <c r="L364">
        <v>202320</v>
      </c>
      <c r="M364">
        <v>202320</v>
      </c>
      <c r="N364" t="s">
        <v>279</v>
      </c>
      <c r="O364" t="s">
        <v>231</v>
      </c>
      <c r="P364" t="s">
        <v>477</v>
      </c>
      <c r="Q364" t="s">
        <v>233</v>
      </c>
      <c r="R364" t="s">
        <v>277</v>
      </c>
      <c r="S364" t="s">
        <v>372</v>
      </c>
      <c r="T364" s="105" t="str">
        <f>_xlfn.XLOOKUP(Tabla1[[#This Row],[Universidad]],Conversiones!$B:$B,Conversiones!$C:$C)</f>
        <v>A.B. Freeman School of Business, Tulane University</v>
      </c>
      <c r="U364" s="105" t="str">
        <f>_xlfn.XLOOKUP(Tabla1[[#This Row],[Universidad KPIs]],Conversiones!$C:$C,Conversiones!$E:$E)</f>
        <v>Específico</v>
      </c>
      <c r="V364" t="s">
        <v>51</v>
      </c>
      <c r="W364" t="s">
        <v>291</v>
      </c>
      <c r="X364" s="2">
        <v>45146</v>
      </c>
      <c r="Y364" s="2">
        <v>45262</v>
      </c>
      <c r="Z364">
        <v>116</v>
      </c>
    </row>
    <row r="365" spans="1:26">
      <c r="A365" s="103" t="s">
        <v>1635</v>
      </c>
      <c r="B365" s="1">
        <v>202021067</v>
      </c>
      <c r="C365" s="1" t="s">
        <v>1636</v>
      </c>
      <c r="D365" s="1" t="s">
        <v>1637</v>
      </c>
      <c r="E365" s="1" t="s">
        <v>1638</v>
      </c>
      <c r="F365" s="1" t="s">
        <v>233</v>
      </c>
      <c r="G365" s="1" t="s">
        <v>277</v>
      </c>
      <c r="H365" s="1"/>
      <c r="I365" s="1"/>
      <c r="J365" s="1" t="s">
        <v>278</v>
      </c>
      <c r="K365" s="1">
        <v>2023</v>
      </c>
      <c r="L365" s="1">
        <v>202320</v>
      </c>
      <c r="M365" s="1">
        <v>202320</v>
      </c>
      <c r="N365" s="1" t="s">
        <v>279</v>
      </c>
      <c r="O365" s="1" t="s">
        <v>230</v>
      </c>
      <c r="P365" s="1" t="s">
        <v>280</v>
      </c>
      <c r="Q365" s="1" t="s">
        <v>233</v>
      </c>
      <c r="R365" s="1" t="s">
        <v>277</v>
      </c>
      <c r="S365" s="1" t="s">
        <v>372</v>
      </c>
      <c r="T365" s="105" t="str">
        <f>_xlfn.XLOOKUP(Tabla1[[#This Row],[Universidad]],Conversiones!$B:$B,Conversiones!$C:$C)</f>
        <v>A.B. Freeman School of Business, Tulane University</v>
      </c>
      <c r="U365" s="105" t="str">
        <f>_xlfn.XLOOKUP(Tabla1[[#This Row],[Universidad KPIs]],Conversiones!$C:$C,Conversiones!$E:$E)</f>
        <v>Específico</v>
      </c>
      <c r="V365" s="1" t="s">
        <v>51</v>
      </c>
      <c r="W365" s="1" t="s">
        <v>291</v>
      </c>
      <c r="X365" s="87">
        <v>45146</v>
      </c>
      <c r="Y365" s="87">
        <v>45262</v>
      </c>
      <c r="Z365" s="1">
        <v>116</v>
      </c>
    </row>
    <row r="366" spans="1:26">
      <c r="A366" s="102" t="s">
        <v>1639</v>
      </c>
      <c r="B366">
        <v>201821765</v>
      </c>
      <c r="C366" t="s">
        <v>705</v>
      </c>
      <c r="D366" t="s">
        <v>1640</v>
      </c>
      <c r="E366" t="s">
        <v>1641</v>
      </c>
      <c r="F366" t="s">
        <v>233</v>
      </c>
      <c r="G366" t="s">
        <v>277</v>
      </c>
      <c r="J366" t="s">
        <v>278</v>
      </c>
      <c r="K366">
        <v>2023</v>
      </c>
      <c r="L366">
        <v>202320</v>
      </c>
      <c r="M366">
        <v>202320</v>
      </c>
      <c r="N366" t="s">
        <v>279</v>
      </c>
      <c r="O366" t="s">
        <v>230</v>
      </c>
      <c r="P366" t="s">
        <v>280</v>
      </c>
      <c r="Q366" t="s">
        <v>233</v>
      </c>
      <c r="R366" t="s">
        <v>277</v>
      </c>
      <c r="S366" t="s">
        <v>108</v>
      </c>
      <c r="T366" s="105" t="str">
        <f>_xlfn.XLOOKUP(Tabla1[[#This Row],[Universidad]],Conversiones!$B:$B,Conversiones!$C:$C)</f>
        <v>Universidad de Chile</v>
      </c>
      <c r="U366" s="105" t="str">
        <f>_xlfn.XLOOKUP(Tabla1[[#This Row],[Universidad KPIs]],Conversiones!$C:$C,Conversiones!$E:$E)</f>
        <v>Específico</v>
      </c>
      <c r="V366" t="s">
        <v>109</v>
      </c>
      <c r="W366" t="s">
        <v>296</v>
      </c>
      <c r="X366" s="2">
        <v>45146</v>
      </c>
      <c r="Y366" s="2">
        <v>45262</v>
      </c>
      <c r="Z366">
        <v>116</v>
      </c>
    </row>
    <row r="367" spans="1:26">
      <c r="A367" s="103" t="s">
        <v>1642</v>
      </c>
      <c r="B367" s="1">
        <v>202012264</v>
      </c>
      <c r="C367" s="1" t="s">
        <v>1643</v>
      </c>
      <c r="D367" s="1" t="s">
        <v>898</v>
      </c>
      <c r="E367" s="1" t="s">
        <v>1644</v>
      </c>
      <c r="F367" s="1" t="s">
        <v>233</v>
      </c>
      <c r="G367" s="1" t="s">
        <v>277</v>
      </c>
      <c r="H367" s="1" t="s">
        <v>497</v>
      </c>
      <c r="I367" s="1" t="s">
        <v>498</v>
      </c>
      <c r="J367" s="1" t="s">
        <v>278</v>
      </c>
      <c r="K367" s="1">
        <v>2023</v>
      </c>
      <c r="L367" s="1">
        <v>202320</v>
      </c>
      <c r="M367" s="1">
        <v>202320</v>
      </c>
      <c r="N367" s="1" t="s">
        <v>279</v>
      </c>
      <c r="O367" s="1" t="s">
        <v>230</v>
      </c>
      <c r="P367" s="1" t="s">
        <v>280</v>
      </c>
      <c r="Q367" s="1" t="s">
        <v>233</v>
      </c>
      <c r="R367" s="1" t="s">
        <v>277</v>
      </c>
      <c r="S367" s="1" t="s">
        <v>169</v>
      </c>
      <c r="T367" s="105" t="str">
        <f>_xlfn.XLOOKUP(Tabla1[[#This Row],[Universidad]],Conversiones!$B:$B,Conversiones!$C:$C)</f>
        <v>Universidade do Porto</v>
      </c>
      <c r="U367" s="105" t="str">
        <f>_xlfn.XLOOKUP(Tabla1[[#This Row],[Universidad KPIs]],Conversiones!$C:$C,Conversiones!$E:$E)</f>
        <v>General</v>
      </c>
      <c r="V367" s="1" t="s">
        <v>61</v>
      </c>
      <c r="W367" s="1" t="s">
        <v>281</v>
      </c>
      <c r="X367" s="87">
        <v>45146</v>
      </c>
      <c r="Y367" s="87">
        <v>45262</v>
      </c>
      <c r="Z367" s="1">
        <v>116</v>
      </c>
    </row>
    <row r="368" spans="1:26">
      <c r="A368" s="102" t="s">
        <v>1645</v>
      </c>
      <c r="B368">
        <v>201419655</v>
      </c>
      <c r="C368" t="s">
        <v>1646</v>
      </c>
      <c r="D368" t="s">
        <v>1647</v>
      </c>
      <c r="E368" t="s">
        <v>1648</v>
      </c>
      <c r="F368" t="s">
        <v>237</v>
      </c>
      <c r="G368" t="s">
        <v>277</v>
      </c>
      <c r="J368" t="s">
        <v>278</v>
      </c>
      <c r="K368">
        <v>2023</v>
      </c>
      <c r="L368">
        <v>202320</v>
      </c>
      <c r="M368">
        <v>202320</v>
      </c>
      <c r="N368" t="s">
        <v>618</v>
      </c>
      <c r="O368" t="s">
        <v>230</v>
      </c>
      <c r="P368" t="s">
        <v>1522</v>
      </c>
      <c r="Q368" t="s">
        <v>237</v>
      </c>
      <c r="R368" t="s">
        <v>277</v>
      </c>
      <c r="S368" t="s">
        <v>455</v>
      </c>
      <c r="T368" s="105" t="str">
        <f>_xlfn.XLOOKUP(Tabla1[[#This Row],[Universidad]],Conversiones!$B:$B,Conversiones!$C:$C)</f>
        <v>Nova School of Business and Economics</v>
      </c>
      <c r="U368" s="105" t="str">
        <f>_xlfn.XLOOKUP(Tabla1[[#This Row],[Universidad KPIs]],Conversiones!$C:$C,Conversiones!$E:$E)</f>
        <v>Específico</v>
      </c>
      <c r="V368" t="s">
        <v>61</v>
      </c>
      <c r="W368" t="s">
        <v>281</v>
      </c>
      <c r="X368" s="2">
        <v>45146</v>
      </c>
      <c r="Y368" s="2">
        <v>45262</v>
      </c>
      <c r="Z368">
        <v>116</v>
      </c>
    </row>
    <row r="369" spans="1:26">
      <c r="A369" s="103" t="s">
        <v>1649</v>
      </c>
      <c r="B369" s="1">
        <v>202022341</v>
      </c>
      <c r="C369" s="1" t="s">
        <v>705</v>
      </c>
      <c r="D369" s="1" t="s">
        <v>1650</v>
      </c>
      <c r="E369" s="1" t="s">
        <v>1651</v>
      </c>
      <c r="F369" s="1" t="s">
        <v>233</v>
      </c>
      <c r="G369" s="1" t="s">
        <v>277</v>
      </c>
      <c r="H369" s="1"/>
      <c r="I369" s="1"/>
      <c r="J369" s="1" t="s">
        <v>278</v>
      </c>
      <c r="K369" s="1">
        <v>2023</v>
      </c>
      <c r="L369" s="1">
        <v>202320</v>
      </c>
      <c r="M369" s="1">
        <v>202320</v>
      </c>
      <c r="N369" s="1" t="s">
        <v>279</v>
      </c>
      <c r="O369" s="1" t="s">
        <v>230</v>
      </c>
      <c r="P369" s="1" t="s">
        <v>280</v>
      </c>
      <c r="Q369" s="1" t="s">
        <v>233</v>
      </c>
      <c r="R369" s="1" t="s">
        <v>277</v>
      </c>
      <c r="S369" s="1" t="s">
        <v>455</v>
      </c>
      <c r="T369" s="105" t="str">
        <f>_xlfn.XLOOKUP(Tabla1[[#This Row],[Universidad]],Conversiones!$B:$B,Conversiones!$C:$C)</f>
        <v>Nova School of Business and Economics</v>
      </c>
      <c r="U369" s="105" t="str">
        <f>_xlfn.XLOOKUP(Tabla1[[#This Row],[Universidad KPIs]],Conversiones!$C:$C,Conversiones!$E:$E)</f>
        <v>Específico</v>
      </c>
      <c r="V369" s="1" t="s">
        <v>61</v>
      </c>
      <c r="W369" s="1" t="s">
        <v>281</v>
      </c>
      <c r="X369" s="87">
        <v>45146</v>
      </c>
      <c r="Y369" s="87">
        <v>45262</v>
      </c>
      <c r="Z369" s="1">
        <v>116</v>
      </c>
    </row>
    <row r="370" spans="1:26">
      <c r="A370" s="102" t="s">
        <v>1652</v>
      </c>
      <c r="B370">
        <v>202022343</v>
      </c>
      <c r="C370" t="s">
        <v>1625</v>
      </c>
      <c r="D370" t="s">
        <v>1653</v>
      </c>
      <c r="E370" t="s">
        <v>1654</v>
      </c>
      <c r="F370" t="s">
        <v>233</v>
      </c>
      <c r="G370" t="s">
        <v>277</v>
      </c>
      <c r="J370" t="s">
        <v>278</v>
      </c>
      <c r="K370">
        <v>2023</v>
      </c>
      <c r="L370">
        <v>202320</v>
      </c>
      <c r="M370">
        <v>202320</v>
      </c>
      <c r="N370" t="s">
        <v>279</v>
      </c>
      <c r="O370" t="s">
        <v>230</v>
      </c>
      <c r="P370" t="s">
        <v>280</v>
      </c>
      <c r="Q370" t="s">
        <v>233</v>
      </c>
      <c r="R370" t="s">
        <v>277</v>
      </c>
      <c r="S370" t="s">
        <v>455</v>
      </c>
      <c r="T370" s="105" t="str">
        <f>_xlfn.XLOOKUP(Tabla1[[#This Row],[Universidad]],Conversiones!$B:$B,Conversiones!$C:$C)</f>
        <v>Nova School of Business and Economics</v>
      </c>
      <c r="U370" s="105" t="str">
        <f>_xlfn.XLOOKUP(Tabla1[[#This Row],[Universidad KPIs]],Conversiones!$C:$C,Conversiones!$E:$E)</f>
        <v>Específico</v>
      </c>
      <c r="V370" t="s">
        <v>61</v>
      </c>
      <c r="W370" t="s">
        <v>281</v>
      </c>
      <c r="X370" s="2">
        <v>45146</v>
      </c>
      <c r="Y370" s="2">
        <v>45262</v>
      </c>
      <c r="Z370">
        <v>116</v>
      </c>
    </row>
    <row r="371" spans="1:26">
      <c r="A371" s="103" t="s">
        <v>1655</v>
      </c>
      <c r="B371" s="1">
        <v>201822993</v>
      </c>
      <c r="C371" s="1" t="s">
        <v>1625</v>
      </c>
      <c r="D371" s="1" t="s">
        <v>1656</v>
      </c>
      <c r="E371" s="1" t="s">
        <v>1657</v>
      </c>
      <c r="F371" s="1" t="s">
        <v>543</v>
      </c>
      <c r="G371" s="1" t="s">
        <v>544</v>
      </c>
      <c r="H371" s="1" t="s">
        <v>233</v>
      </c>
      <c r="I371" s="1" t="s">
        <v>277</v>
      </c>
      <c r="J371" s="1" t="s">
        <v>278</v>
      </c>
      <c r="K371" s="1">
        <v>2023</v>
      </c>
      <c r="L371" s="1">
        <v>202320</v>
      </c>
      <c r="M371" s="1">
        <v>202320</v>
      </c>
      <c r="N371" s="1" t="s">
        <v>279</v>
      </c>
      <c r="O371" s="1" t="s">
        <v>230</v>
      </c>
      <c r="P371" s="1" t="s">
        <v>280</v>
      </c>
      <c r="Q371" s="1" t="s">
        <v>233</v>
      </c>
      <c r="R371" s="1" t="s">
        <v>277</v>
      </c>
      <c r="S371" s="1" t="s">
        <v>320</v>
      </c>
      <c r="T371" s="105" t="str">
        <f>_xlfn.XLOOKUP(Tabla1[[#This Row],[Universidad]],Conversiones!$B:$B,Conversiones!$C:$C)</f>
        <v>ESADE</v>
      </c>
      <c r="U371" s="105" t="str">
        <f>_xlfn.XLOOKUP(Tabla1[[#This Row],[Universidad KPIs]],Conversiones!$C:$C,Conversiones!$E:$E)</f>
        <v>Específico</v>
      </c>
      <c r="V371" s="1" t="s">
        <v>69</v>
      </c>
      <c r="W371" s="1" t="s">
        <v>281</v>
      </c>
      <c r="X371" s="87">
        <v>45146</v>
      </c>
      <c r="Y371" s="87">
        <v>45262</v>
      </c>
      <c r="Z371" s="1">
        <v>116</v>
      </c>
    </row>
    <row r="372" spans="1:26">
      <c r="A372" s="102" t="s">
        <v>1658</v>
      </c>
      <c r="B372">
        <v>202021652</v>
      </c>
      <c r="C372" t="s">
        <v>1458</v>
      </c>
      <c r="D372" t="s">
        <v>1659</v>
      </c>
      <c r="E372" t="s">
        <v>1660</v>
      </c>
      <c r="F372" t="s">
        <v>233</v>
      </c>
      <c r="G372" t="s">
        <v>277</v>
      </c>
      <c r="J372" t="s">
        <v>278</v>
      </c>
      <c r="K372">
        <v>2023</v>
      </c>
      <c r="L372">
        <v>202320</v>
      </c>
      <c r="M372">
        <v>202320</v>
      </c>
      <c r="N372" t="s">
        <v>279</v>
      </c>
      <c r="O372" t="s">
        <v>230</v>
      </c>
      <c r="P372" t="s">
        <v>280</v>
      </c>
      <c r="Q372" t="s">
        <v>233</v>
      </c>
      <c r="R372" t="s">
        <v>277</v>
      </c>
      <c r="S372" t="s">
        <v>320</v>
      </c>
      <c r="T372" s="105" t="str">
        <f>_xlfn.XLOOKUP(Tabla1[[#This Row],[Universidad]],Conversiones!$B:$B,Conversiones!$C:$C)</f>
        <v>ESADE</v>
      </c>
      <c r="U372" s="105" t="str">
        <f>_xlfn.XLOOKUP(Tabla1[[#This Row],[Universidad KPIs]],Conversiones!$C:$C,Conversiones!$E:$E)</f>
        <v>Específico</v>
      </c>
      <c r="V372" t="s">
        <v>69</v>
      </c>
      <c r="W372" t="s">
        <v>281</v>
      </c>
      <c r="X372" s="2">
        <v>45146</v>
      </c>
      <c r="Y372" s="2">
        <v>45262</v>
      </c>
      <c r="Z372">
        <v>116</v>
      </c>
    </row>
    <row r="373" spans="1:26">
      <c r="A373" s="103" t="s">
        <v>1661</v>
      </c>
      <c r="B373" s="1">
        <v>202021464</v>
      </c>
      <c r="C373" s="1" t="s">
        <v>1662</v>
      </c>
      <c r="D373" s="1" t="s">
        <v>1663</v>
      </c>
      <c r="E373" s="1" t="s">
        <v>1664</v>
      </c>
      <c r="F373" s="1" t="s">
        <v>233</v>
      </c>
      <c r="G373" s="1" t="s">
        <v>277</v>
      </c>
      <c r="H373" s="1"/>
      <c r="I373" s="1"/>
      <c r="J373" s="1" t="s">
        <v>278</v>
      </c>
      <c r="K373" s="1">
        <v>2023</v>
      </c>
      <c r="L373" s="1">
        <v>202320</v>
      </c>
      <c r="M373" s="1">
        <v>202320</v>
      </c>
      <c r="N373" s="1" t="s">
        <v>279</v>
      </c>
      <c r="O373" s="1" t="s">
        <v>230</v>
      </c>
      <c r="P373" s="1" t="s">
        <v>280</v>
      </c>
      <c r="Q373" s="1" t="s">
        <v>233</v>
      </c>
      <c r="R373" s="1" t="s">
        <v>277</v>
      </c>
      <c r="S373" s="1" t="s">
        <v>524</v>
      </c>
      <c r="T373" s="105" t="str">
        <f>_xlfn.XLOOKUP(Tabla1[[#This Row],[Universidad]],Conversiones!$B:$B,Conversiones!$C:$C)</f>
        <v>University of Saint Gallen</v>
      </c>
      <c r="U373" s="105" t="str">
        <f>_xlfn.XLOOKUP(Tabla1[[#This Row],[Universidad KPIs]],Conversiones!$C:$C,Conversiones!$E:$E)</f>
        <v>Específico</v>
      </c>
      <c r="V373" s="1" t="s">
        <v>81</v>
      </c>
      <c r="W373" s="1" t="s">
        <v>281</v>
      </c>
      <c r="X373" s="87">
        <v>45146</v>
      </c>
      <c r="Y373" s="87">
        <v>45262</v>
      </c>
      <c r="Z373" s="1">
        <v>116</v>
      </c>
    </row>
    <row r="374" spans="1:26">
      <c r="A374" s="102" t="s">
        <v>1665</v>
      </c>
      <c r="B374">
        <v>201424125</v>
      </c>
      <c r="C374" t="s">
        <v>1666</v>
      </c>
      <c r="D374" t="s">
        <v>1667</v>
      </c>
      <c r="E374" t="s">
        <v>1668</v>
      </c>
      <c r="F374" t="s">
        <v>239</v>
      </c>
      <c r="G374" t="s">
        <v>277</v>
      </c>
      <c r="J374" t="s">
        <v>278</v>
      </c>
      <c r="K374">
        <v>2023</v>
      </c>
      <c r="L374">
        <v>202320</v>
      </c>
      <c r="M374">
        <v>202320</v>
      </c>
      <c r="N374" t="s">
        <v>618</v>
      </c>
      <c r="O374" t="s">
        <v>230</v>
      </c>
      <c r="P374" t="s">
        <v>1522</v>
      </c>
      <c r="Q374" t="s">
        <v>239</v>
      </c>
      <c r="R374" t="s">
        <v>277</v>
      </c>
      <c r="S374" t="s">
        <v>177</v>
      </c>
      <c r="T374" s="105" t="str">
        <f>_xlfn.XLOOKUP(Tabla1[[#This Row],[Universidad]],Conversiones!$B:$B,Conversiones!$C:$C)</f>
        <v>Université de Genève</v>
      </c>
      <c r="U374" s="105" t="str">
        <f>_xlfn.XLOOKUP(Tabla1[[#This Row],[Universidad KPIs]],Conversiones!$C:$C,Conversiones!$E:$E)</f>
        <v>General</v>
      </c>
      <c r="V374" t="s">
        <v>81</v>
      </c>
      <c r="W374" t="s">
        <v>281</v>
      </c>
      <c r="X374" s="2">
        <v>45146</v>
      </c>
      <c r="Y374" s="2">
        <v>45262</v>
      </c>
      <c r="Z374">
        <v>116</v>
      </c>
    </row>
    <row r="375" spans="1:26">
      <c r="A375" s="103" t="s">
        <v>1669</v>
      </c>
      <c r="B375" s="1">
        <v>201921761</v>
      </c>
      <c r="C375" s="1" t="s">
        <v>1670</v>
      </c>
      <c r="D375" s="1" t="s">
        <v>1671</v>
      </c>
      <c r="E375" s="1" t="s">
        <v>1672</v>
      </c>
      <c r="F375" s="1" t="s">
        <v>233</v>
      </c>
      <c r="G375" s="1" t="s">
        <v>277</v>
      </c>
      <c r="H375" s="1"/>
      <c r="I375" s="1"/>
      <c r="J375" s="1" t="s">
        <v>278</v>
      </c>
      <c r="K375" s="1">
        <v>2023</v>
      </c>
      <c r="L375" s="1">
        <v>202320</v>
      </c>
      <c r="M375" s="1">
        <v>202320</v>
      </c>
      <c r="N375" s="1" t="s">
        <v>279</v>
      </c>
      <c r="O375" s="1" t="s">
        <v>230</v>
      </c>
      <c r="P375" s="1" t="s">
        <v>280</v>
      </c>
      <c r="Q375" s="1" t="s">
        <v>233</v>
      </c>
      <c r="R375" s="1" t="s">
        <v>277</v>
      </c>
      <c r="S375" s="1" t="s">
        <v>1400</v>
      </c>
      <c r="T375" s="105" t="str">
        <f>_xlfn.XLOOKUP(Tabla1[[#This Row],[Universidad]],Conversiones!$B:$B,Conversiones!$C:$C)</f>
        <v>EM Strasbourg</v>
      </c>
      <c r="U375" s="105" t="str">
        <f>_xlfn.XLOOKUP(Tabla1[[#This Row],[Universidad KPIs]],Conversiones!$C:$C,Conversiones!$E:$E)</f>
        <v>Específico</v>
      </c>
      <c r="V375" s="1" t="s">
        <v>57</v>
      </c>
      <c r="W375" s="1" t="s">
        <v>281</v>
      </c>
      <c r="X375" s="87">
        <v>45146</v>
      </c>
      <c r="Y375" s="87">
        <v>45262</v>
      </c>
      <c r="Z375" s="1">
        <v>116</v>
      </c>
    </row>
    <row r="376" spans="1:26">
      <c r="A376" s="102" t="s">
        <v>1673</v>
      </c>
      <c r="B376">
        <v>202022137</v>
      </c>
      <c r="C376" t="s">
        <v>1674</v>
      </c>
      <c r="D376" t="s">
        <v>1675</v>
      </c>
      <c r="E376" t="s">
        <v>1676</v>
      </c>
      <c r="F376" t="s">
        <v>233</v>
      </c>
      <c r="G376" t="s">
        <v>277</v>
      </c>
      <c r="H376" t="s">
        <v>1677</v>
      </c>
      <c r="I376" t="s">
        <v>1678</v>
      </c>
      <c r="J376" t="s">
        <v>278</v>
      </c>
      <c r="K376">
        <v>2023</v>
      </c>
      <c r="L376">
        <v>202320</v>
      </c>
      <c r="M376">
        <v>202320</v>
      </c>
      <c r="N376" t="s">
        <v>279</v>
      </c>
      <c r="O376" t="s">
        <v>230</v>
      </c>
      <c r="P376" t="s">
        <v>280</v>
      </c>
      <c r="Q376" t="s">
        <v>233</v>
      </c>
      <c r="R376" t="s">
        <v>277</v>
      </c>
      <c r="S376" t="s">
        <v>180</v>
      </c>
      <c r="T376" s="105" t="str">
        <f>_xlfn.XLOOKUP(Tabla1[[#This Row],[Universidad]],Conversiones!$B:$B,Conversiones!$C:$C)</f>
        <v>University of Bristol</v>
      </c>
      <c r="U376" s="105" t="str">
        <f>_xlfn.XLOOKUP(Tabla1[[#This Row],[Universidad KPIs]],Conversiones!$C:$C,Conversiones!$E:$E)</f>
        <v>General</v>
      </c>
      <c r="V376" t="s">
        <v>55</v>
      </c>
      <c r="W376" t="s">
        <v>281</v>
      </c>
      <c r="X376" s="2">
        <v>45146</v>
      </c>
      <c r="Y376" s="2">
        <v>45262</v>
      </c>
      <c r="Z376">
        <v>116</v>
      </c>
    </row>
    <row r="377" spans="1:26">
      <c r="A377" s="103" t="s">
        <v>1679</v>
      </c>
      <c r="B377" s="1">
        <v>202013442</v>
      </c>
      <c r="C377" s="1" t="s">
        <v>1680</v>
      </c>
      <c r="D377" s="1" t="s">
        <v>1681</v>
      </c>
      <c r="E377" s="1" t="s">
        <v>1682</v>
      </c>
      <c r="F377" s="1" t="s">
        <v>233</v>
      </c>
      <c r="G377" s="1" t="s">
        <v>277</v>
      </c>
      <c r="H377" s="1"/>
      <c r="I377" s="1"/>
      <c r="J377" s="1" t="s">
        <v>278</v>
      </c>
      <c r="K377" s="1">
        <v>2023</v>
      </c>
      <c r="L377" s="1">
        <v>202320</v>
      </c>
      <c r="M377" s="1">
        <v>202320</v>
      </c>
      <c r="N377" s="1" t="s">
        <v>279</v>
      </c>
      <c r="O377" s="1" t="s">
        <v>230</v>
      </c>
      <c r="P377" s="1" t="s">
        <v>280</v>
      </c>
      <c r="Q377" s="1" t="s">
        <v>233</v>
      </c>
      <c r="R377" s="1" t="s">
        <v>277</v>
      </c>
      <c r="S377" s="1" t="s">
        <v>115</v>
      </c>
      <c r="T377" s="105" t="str">
        <f>_xlfn.XLOOKUP(Tabla1[[#This Row],[Universidad]],Conversiones!$B:$B,Conversiones!$C:$C)</f>
        <v>University of Exeter</v>
      </c>
      <c r="U377" s="105" t="str">
        <f>_xlfn.XLOOKUP(Tabla1[[#This Row],[Universidad KPIs]],Conversiones!$C:$C,Conversiones!$E:$E)</f>
        <v>Específico</v>
      </c>
      <c r="V377" s="1" t="s">
        <v>55</v>
      </c>
      <c r="W377" s="1" t="s">
        <v>281</v>
      </c>
      <c r="X377" s="87">
        <v>45146</v>
      </c>
      <c r="Y377" s="87">
        <v>45262</v>
      </c>
      <c r="Z377" s="1">
        <v>116</v>
      </c>
    </row>
    <row r="378" spans="1:26">
      <c r="A378" s="102" t="s">
        <v>1683</v>
      </c>
      <c r="B378">
        <v>201923775</v>
      </c>
      <c r="C378" t="s">
        <v>1684</v>
      </c>
      <c r="D378" t="s">
        <v>1685</v>
      </c>
      <c r="E378" t="s">
        <v>1686</v>
      </c>
      <c r="F378" t="s">
        <v>233</v>
      </c>
      <c r="G378" t="s">
        <v>277</v>
      </c>
      <c r="J378" t="s">
        <v>278</v>
      </c>
      <c r="K378">
        <v>2023</v>
      </c>
      <c r="L378">
        <v>202320</v>
      </c>
      <c r="M378">
        <v>202320</v>
      </c>
      <c r="N378" t="s">
        <v>279</v>
      </c>
      <c r="O378" t="s">
        <v>230</v>
      </c>
      <c r="P378" t="s">
        <v>280</v>
      </c>
      <c r="Q378" t="s">
        <v>233</v>
      </c>
      <c r="R378" t="s">
        <v>277</v>
      </c>
      <c r="S378" t="s">
        <v>120</v>
      </c>
      <c r="T378" s="105" t="str">
        <f>_xlfn.XLOOKUP(Tabla1[[#This Row],[Universidad]],Conversiones!$B:$B,Conversiones!$C:$C)</f>
        <v>University of Melbourne</v>
      </c>
      <c r="U378" s="105" t="str">
        <f>_xlfn.XLOOKUP(Tabla1[[#This Row],[Universidad KPIs]],Conversiones!$C:$C,Conversiones!$E:$E)</f>
        <v>Específico</v>
      </c>
      <c r="V378" t="s">
        <v>106</v>
      </c>
      <c r="W378" t="s">
        <v>385</v>
      </c>
      <c r="X378" s="2">
        <v>45146</v>
      </c>
      <c r="Y378" s="2">
        <v>45262</v>
      </c>
      <c r="Z378">
        <v>116</v>
      </c>
    </row>
    <row r="379" spans="1:26">
      <c r="A379" s="103" t="s">
        <v>1687</v>
      </c>
      <c r="B379" s="1">
        <v>202020947</v>
      </c>
      <c r="C379" s="1" t="s">
        <v>1688</v>
      </c>
      <c r="D379" s="1" t="s">
        <v>1689</v>
      </c>
      <c r="E379" s="1" t="s">
        <v>1690</v>
      </c>
      <c r="F379" s="1" t="s">
        <v>233</v>
      </c>
      <c r="G379" s="1" t="s">
        <v>277</v>
      </c>
      <c r="H379" s="1"/>
      <c r="I379" s="1"/>
      <c r="J379" s="1" t="s">
        <v>278</v>
      </c>
      <c r="K379" s="1">
        <v>2023</v>
      </c>
      <c r="L379" s="1">
        <v>202320</v>
      </c>
      <c r="M379" s="1">
        <v>202320</v>
      </c>
      <c r="N379" s="1" t="s">
        <v>279</v>
      </c>
      <c r="O379" s="1" t="s">
        <v>230</v>
      </c>
      <c r="P379" s="1" t="s">
        <v>280</v>
      </c>
      <c r="Q379" s="1" t="s">
        <v>233</v>
      </c>
      <c r="R379" s="1" t="s">
        <v>277</v>
      </c>
      <c r="S379" s="1" t="s">
        <v>120</v>
      </c>
      <c r="T379" s="105" t="str">
        <f>_xlfn.XLOOKUP(Tabla1[[#This Row],[Universidad]],Conversiones!$B:$B,Conversiones!$C:$C)</f>
        <v>University of Melbourne</v>
      </c>
      <c r="U379" s="105" t="str">
        <f>_xlfn.XLOOKUP(Tabla1[[#This Row],[Universidad KPIs]],Conversiones!$C:$C,Conversiones!$E:$E)</f>
        <v>Específico</v>
      </c>
      <c r="V379" s="1" t="s">
        <v>106</v>
      </c>
      <c r="W379" s="1" t="s">
        <v>385</v>
      </c>
      <c r="X379" s="87">
        <v>45146</v>
      </c>
      <c r="Y379" s="87">
        <v>45262</v>
      </c>
      <c r="Z379" s="1">
        <v>116</v>
      </c>
    </row>
    <row r="380" spans="1:26">
      <c r="A380" s="102" t="s">
        <v>1691</v>
      </c>
      <c r="B380">
        <v>202114310</v>
      </c>
      <c r="C380" t="s">
        <v>1692</v>
      </c>
      <c r="D380" t="s">
        <v>1693</v>
      </c>
      <c r="E380" t="s">
        <v>1694</v>
      </c>
      <c r="F380" t="s">
        <v>237</v>
      </c>
      <c r="G380" t="s">
        <v>277</v>
      </c>
      <c r="J380" t="s">
        <v>278</v>
      </c>
      <c r="K380">
        <v>2023</v>
      </c>
      <c r="L380">
        <v>202320</v>
      </c>
      <c r="M380">
        <v>202320</v>
      </c>
      <c r="N380" t="s">
        <v>618</v>
      </c>
      <c r="O380" t="s">
        <v>230</v>
      </c>
      <c r="P380" t="s">
        <v>1152</v>
      </c>
      <c r="Q380" t="s">
        <v>237</v>
      </c>
      <c r="R380" t="s">
        <v>277</v>
      </c>
      <c r="S380" t="s">
        <v>207</v>
      </c>
      <c r="T380" s="105" t="str">
        <f>_xlfn.XLOOKUP(Tabla1[[#This Row],[Universidad]],Conversiones!$B:$B,Conversiones!$C:$C)</f>
        <v>University of the Witwatersrand</v>
      </c>
      <c r="U380" s="105" t="str">
        <f>_xlfn.XLOOKUP(Tabla1[[#This Row],[Universidad KPIs]],Conversiones!$C:$C,Conversiones!$E:$E)</f>
        <v>General</v>
      </c>
      <c r="V380" t="s">
        <v>208</v>
      </c>
      <c r="W380" t="s">
        <v>1695</v>
      </c>
      <c r="X380" s="2">
        <v>45146</v>
      </c>
      <c r="Y380" s="2">
        <v>45262</v>
      </c>
      <c r="Z380">
        <v>116</v>
      </c>
    </row>
    <row r="381" spans="1:26">
      <c r="A381" s="103" t="s">
        <v>1696</v>
      </c>
      <c r="B381" s="1">
        <v>202022689</v>
      </c>
      <c r="C381" s="1" t="s">
        <v>901</v>
      </c>
      <c r="D381" s="1" t="s">
        <v>1697</v>
      </c>
      <c r="E381" s="1" t="s">
        <v>1698</v>
      </c>
      <c r="F381" s="1" t="s">
        <v>233</v>
      </c>
      <c r="G381" s="1" t="s">
        <v>277</v>
      </c>
      <c r="H381" s="1"/>
      <c r="I381" s="1"/>
      <c r="J381" s="1" t="s">
        <v>278</v>
      </c>
      <c r="K381" s="1">
        <v>2023</v>
      </c>
      <c r="L381" s="1">
        <v>202320</v>
      </c>
      <c r="M381" s="1">
        <v>202320</v>
      </c>
      <c r="N381" s="1" t="s">
        <v>279</v>
      </c>
      <c r="O381" s="1" t="s">
        <v>230</v>
      </c>
      <c r="P381" s="1" t="s">
        <v>280</v>
      </c>
      <c r="Q381" s="1" t="s">
        <v>233</v>
      </c>
      <c r="R381" s="1" t="s">
        <v>277</v>
      </c>
      <c r="S381" s="1" t="s">
        <v>405</v>
      </c>
      <c r="T381" s="105" t="str">
        <f>_xlfn.XLOOKUP(Tabla1[[#This Row],[Universidad]],Conversiones!$B:$B,Conversiones!$C:$C)</f>
        <v>University of Ljubljana</v>
      </c>
      <c r="U381" s="105" t="str">
        <f>_xlfn.XLOOKUP(Tabla1[[#This Row],[Universidad KPIs]],Conversiones!$C:$C,Conversiones!$E:$E)</f>
        <v>Específico</v>
      </c>
      <c r="V381" s="1" t="s">
        <v>118</v>
      </c>
      <c r="W381" s="1" t="s">
        <v>281</v>
      </c>
      <c r="X381" s="87">
        <v>45146</v>
      </c>
      <c r="Y381" s="87">
        <v>45262</v>
      </c>
      <c r="Z381" s="1">
        <v>116</v>
      </c>
    </row>
    <row r="382" spans="1:26">
      <c r="A382" s="102" t="s">
        <v>1699</v>
      </c>
      <c r="B382">
        <v>202020359</v>
      </c>
      <c r="C382" t="s">
        <v>395</v>
      </c>
      <c r="D382" t="s">
        <v>1700</v>
      </c>
      <c r="E382" t="s">
        <v>1701</v>
      </c>
      <c r="F382" t="s">
        <v>233</v>
      </c>
      <c r="G382" t="s">
        <v>277</v>
      </c>
      <c r="H382" t="s">
        <v>543</v>
      </c>
      <c r="I382" t="s">
        <v>544</v>
      </c>
      <c r="J382" t="s">
        <v>278</v>
      </c>
      <c r="K382">
        <v>2024</v>
      </c>
      <c r="L382">
        <v>202410</v>
      </c>
      <c r="M382">
        <v>202410</v>
      </c>
      <c r="N382" t="s">
        <v>279</v>
      </c>
      <c r="O382" t="s">
        <v>230</v>
      </c>
      <c r="P382" t="s">
        <v>280</v>
      </c>
      <c r="Q382" t="s">
        <v>233</v>
      </c>
      <c r="R382" t="s">
        <v>277</v>
      </c>
      <c r="S382" t="s">
        <v>179</v>
      </c>
      <c r="T382" s="105" t="str">
        <f>_xlfn.XLOOKUP(Tabla1[[#This Row],[Universidad]],Conversiones!$B:$B,Conversiones!$C:$C)</f>
        <v>University College London</v>
      </c>
      <c r="U382" s="105" t="str">
        <f>_xlfn.XLOOKUP(Tabla1[[#This Row],[Universidad KPIs]],Conversiones!$C:$C,Conversiones!$E:$E)</f>
        <v>General</v>
      </c>
      <c r="V382" t="s">
        <v>55</v>
      </c>
      <c r="W382" t="s">
        <v>281</v>
      </c>
      <c r="X382" s="2">
        <v>45313</v>
      </c>
      <c r="Y382" s="2">
        <v>45437</v>
      </c>
      <c r="Z382">
        <v>124</v>
      </c>
    </row>
    <row r="383" spans="1:26">
      <c r="A383" s="103" t="s">
        <v>1702</v>
      </c>
      <c r="B383" s="1">
        <v>201821105</v>
      </c>
      <c r="C383" s="1" t="s">
        <v>1703</v>
      </c>
      <c r="D383" s="1" t="s">
        <v>1704</v>
      </c>
      <c r="E383" s="1" t="s">
        <v>1705</v>
      </c>
      <c r="F383" s="1" t="s">
        <v>648</v>
      </c>
      <c r="G383" s="1" t="s">
        <v>649</v>
      </c>
      <c r="H383" s="1" t="s">
        <v>233</v>
      </c>
      <c r="I383" s="1" t="s">
        <v>277</v>
      </c>
      <c r="J383" s="1" t="s">
        <v>278</v>
      </c>
      <c r="K383" s="1">
        <v>2024</v>
      </c>
      <c r="L383" s="1">
        <v>202410</v>
      </c>
      <c r="M383" s="1">
        <v>202410</v>
      </c>
      <c r="N383" s="1" t="s">
        <v>279</v>
      </c>
      <c r="O383" s="1" t="s">
        <v>230</v>
      </c>
      <c r="P383" s="1" t="s">
        <v>280</v>
      </c>
      <c r="Q383" s="1" t="s">
        <v>233</v>
      </c>
      <c r="R383" s="1" t="s">
        <v>277</v>
      </c>
      <c r="S383" s="1" t="s">
        <v>310</v>
      </c>
      <c r="T383" s="105" t="str">
        <f>_xlfn.XLOOKUP(Tabla1[[#This Row],[Universidad]],Conversiones!$B:$B,Conversiones!$C:$C)</f>
        <v>Toulouse Business School</v>
      </c>
      <c r="U383" s="105" t="str">
        <f>_xlfn.XLOOKUP(Tabla1[[#This Row],[Universidad KPIs]],Conversiones!$C:$C,Conversiones!$E:$E)</f>
        <v>Específico</v>
      </c>
      <c r="V383" s="1" t="s">
        <v>57</v>
      </c>
      <c r="W383" s="1" t="s">
        <v>281</v>
      </c>
      <c r="X383" s="87">
        <v>45313</v>
      </c>
      <c r="Y383" s="87">
        <v>45437</v>
      </c>
      <c r="Z383" s="1">
        <v>124</v>
      </c>
    </row>
    <row r="384" spans="1:26">
      <c r="A384" s="102" t="s">
        <v>1419</v>
      </c>
      <c r="B384">
        <v>202021561</v>
      </c>
      <c r="C384" t="s">
        <v>407</v>
      </c>
      <c r="D384" t="s">
        <v>1420</v>
      </c>
      <c r="E384" t="s">
        <v>1421</v>
      </c>
      <c r="F384" t="s">
        <v>491</v>
      </c>
      <c r="G384" t="s">
        <v>492</v>
      </c>
      <c r="H384" t="s">
        <v>233</v>
      </c>
      <c r="I384" t="s">
        <v>277</v>
      </c>
      <c r="J384" t="s">
        <v>278</v>
      </c>
      <c r="K384">
        <v>2024</v>
      </c>
      <c r="L384">
        <v>202410</v>
      </c>
      <c r="M384">
        <v>202410</v>
      </c>
      <c r="N384" t="s">
        <v>279</v>
      </c>
      <c r="O384" t="s">
        <v>230</v>
      </c>
      <c r="P384" t="s">
        <v>280</v>
      </c>
      <c r="Q384" t="s">
        <v>233</v>
      </c>
      <c r="R384" t="s">
        <v>277</v>
      </c>
      <c r="S384" t="s">
        <v>102</v>
      </c>
      <c r="T384" s="105" t="str">
        <f>_xlfn.XLOOKUP(Tabla1[[#This Row],[Universidad]],Conversiones!$B:$B,Conversiones!$C:$C)</f>
        <v>Politecnico di Milano</v>
      </c>
      <c r="U384" s="105" t="str">
        <f>_xlfn.XLOOKUP(Tabla1[[#This Row],[Universidad KPIs]],Conversiones!$C:$C,Conversiones!$E:$E)</f>
        <v>Específico</v>
      </c>
      <c r="V384" t="s">
        <v>103</v>
      </c>
      <c r="W384" t="s">
        <v>281</v>
      </c>
      <c r="X384" s="2">
        <v>45313</v>
      </c>
      <c r="Y384" s="2">
        <v>45437</v>
      </c>
      <c r="Z384">
        <v>124</v>
      </c>
    </row>
    <row r="385" spans="1:26">
      <c r="A385" s="103" t="s">
        <v>1706</v>
      </c>
      <c r="B385" s="1">
        <v>201912297</v>
      </c>
      <c r="C385" s="1" t="s">
        <v>1707</v>
      </c>
      <c r="D385" s="1" t="s">
        <v>1708</v>
      </c>
      <c r="E385" s="1" t="s">
        <v>1709</v>
      </c>
      <c r="F385" s="1" t="s">
        <v>233</v>
      </c>
      <c r="G385" s="1" t="s">
        <v>277</v>
      </c>
      <c r="H385" s="1" t="s">
        <v>648</v>
      </c>
      <c r="I385" s="1" t="s">
        <v>649</v>
      </c>
      <c r="J385" s="1" t="s">
        <v>278</v>
      </c>
      <c r="K385" s="1">
        <v>2024</v>
      </c>
      <c r="L385" s="1">
        <v>202410</v>
      </c>
      <c r="M385" s="1">
        <v>202410</v>
      </c>
      <c r="N385" s="1" t="s">
        <v>279</v>
      </c>
      <c r="O385" s="1" t="s">
        <v>230</v>
      </c>
      <c r="P385" s="1" t="s">
        <v>280</v>
      </c>
      <c r="Q385" s="1" t="s">
        <v>233</v>
      </c>
      <c r="R385" s="1" t="s">
        <v>277</v>
      </c>
      <c r="S385" s="1" t="s">
        <v>356</v>
      </c>
      <c r="T385" s="105" t="str">
        <f>_xlfn.XLOOKUP(Tabla1[[#This Row],[Universidad]],Conversiones!$B:$B,Conversiones!$C:$C)</f>
        <v>Università Commerciale Luigi Bocconi</v>
      </c>
      <c r="U385" s="105" t="str">
        <f>_xlfn.XLOOKUP(Tabla1[[#This Row],[Universidad KPIs]],Conversiones!$C:$C,Conversiones!$E:$E)</f>
        <v>Específico</v>
      </c>
      <c r="V385" s="1" t="s">
        <v>103</v>
      </c>
      <c r="W385" s="1" t="s">
        <v>281</v>
      </c>
      <c r="X385" s="87">
        <v>45313</v>
      </c>
      <c r="Y385" s="87">
        <v>45437</v>
      </c>
      <c r="Z385" s="1">
        <v>124</v>
      </c>
    </row>
    <row r="386" spans="1:26">
      <c r="A386" s="102" t="s">
        <v>1710</v>
      </c>
      <c r="B386">
        <v>202020728</v>
      </c>
      <c r="C386" t="s">
        <v>407</v>
      </c>
      <c r="D386" t="s">
        <v>1711</v>
      </c>
      <c r="E386" t="s">
        <v>1712</v>
      </c>
      <c r="F386" t="s">
        <v>233</v>
      </c>
      <c r="G386" t="s">
        <v>277</v>
      </c>
      <c r="J386" t="s">
        <v>278</v>
      </c>
      <c r="K386">
        <v>2024</v>
      </c>
      <c r="L386">
        <v>202410</v>
      </c>
      <c r="M386">
        <v>202410</v>
      </c>
      <c r="N386" t="s">
        <v>279</v>
      </c>
      <c r="O386" t="s">
        <v>230</v>
      </c>
      <c r="P386" t="s">
        <v>280</v>
      </c>
      <c r="Q386" t="s">
        <v>233</v>
      </c>
      <c r="R386" t="s">
        <v>277</v>
      </c>
      <c r="S386" t="s">
        <v>94</v>
      </c>
      <c r="T386" s="105" t="str">
        <f>_xlfn.XLOOKUP(Tabla1[[#This Row],[Universidad]],Conversiones!$B:$B,Conversiones!$C:$C)</f>
        <v>Maastricht University</v>
      </c>
      <c r="U386" s="105" t="str">
        <f>_xlfn.XLOOKUP(Tabla1[[#This Row],[Universidad KPIs]],Conversiones!$C:$C,Conversiones!$E:$E)</f>
        <v>Específico</v>
      </c>
      <c r="V386" t="s">
        <v>95</v>
      </c>
      <c r="W386" t="s">
        <v>281</v>
      </c>
      <c r="X386" s="2">
        <v>45313</v>
      </c>
      <c r="Y386" s="2">
        <v>45437</v>
      </c>
      <c r="Z386">
        <v>124</v>
      </c>
    </row>
    <row r="387" spans="1:26">
      <c r="A387" s="103" t="s">
        <v>1713</v>
      </c>
      <c r="B387" s="1">
        <v>202022150</v>
      </c>
      <c r="C387" s="1" t="s">
        <v>1714</v>
      </c>
      <c r="D387" s="1" t="s">
        <v>1715</v>
      </c>
      <c r="E387" s="1" t="s">
        <v>1716</v>
      </c>
      <c r="F387" s="1" t="s">
        <v>233</v>
      </c>
      <c r="G387" s="1" t="s">
        <v>277</v>
      </c>
      <c r="H387" s="1"/>
      <c r="I387" s="1"/>
      <c r="J387" s="1" t="s">
        <v>278</v>
      </c>
      <c r="K387" s="1">
        <v>2024</v>
      </c>
      <c r="L387" s="1">
        <v>202410</v>
      </c>
      <c r="M387" s="1">
        <v>202410</v>
      </c>
      <c r="N387" s="1" t="s">
        <v>279</v>
      </c>
      <c r="O387" s="1" t="s">
        <v>230</v>
      </c>
      <c r="P387" s="1" t="s">
        <v>280</v>
      </c>
      <c r="Q387" s="1" t="s">
        <v>233</v>
      </c>
      <c r="R387" s="1" t="s">
        <v>277</v>
      </c>
      <c r="S387" s="1" t="s">
        <v>286</v>
      </c>
      <c r="T387" s="105" t="str">
        <f>_xlfn.XLOOKUP(Tabla1[[#This Row],[Universidad]],Conversiones!$B:$B,Conversiones!$C:$C)</f>
        <v>ESC Rouen (NEOMA)</v>
      </c>
      <c r="U387" s="105" t="str">
        <f>_xlfn.XLOOKUP(Tabla1[[#This Row],[Universidad KPIs]],Conversiones!$C:$C,Conversiones!$E:$E)</f>
        <v>Específico</v>
      </c>
      <c r="V387" s="1" t="s">
        <v>57</v>
      </c>
      <c r="W387" s="1" t="s">
        <v>281</v>
      </c>
      <c r="X387" s="87">
        <v>45313</v>
      </c>
      <c r="Y387" s="87">
        <v>45437</v>
      </c>
      <c r="Z387" s="1">
        <v>124</v>
      </c>
    </row>
    <row r="388" spans="1:26">
      <c r="A388" s="102" t="s">
        <v>1717</v>
      </c>
      <c r="B388">
        <v>202021780</v>
      </c>
      <c r="C388" t="s">
        <v>1041</v>
      </c>
      <c r="D388" t="s">
        <v>1718</v>
      </c>
      <c r="E388" t="s">
        <v>1719</v>
      </c>
      <c r="F388" t="s">
        <v>233</v>
      </c>
      <c r="G388" t="s">
        <v>277</v>
      </c>
      <c r="J388" t="s">
        <v>278</v>
      </c>
      <c r="K388">
        <v>2024</v>
      </c>
      <c r="L388">
        <v>202410</v>
      </c>
      <c r="M388">
        <v>202410</v>
      </c>
      <c r="N388" t="s">
        <v>279</v>
      </c>
      <c r="O388" t="s">
        <v>230</v>
      </c>
      <c r="P388" t="s">
        <v>280</v>
      </c>
      <c r="Q388" t="s">
        <v>233</v>
      </c>
      <c r="R388" t="s">
        <v>277</v>
      </c>
      <c r="S388" t="s">
        <v>94</v>
      </c>
      <c r="T388" s="105" t="str">
        <f>_xlfn.XLOOKUP(Tabla1[[#This Row],[Universidad]],Conversiones!$B:$B,Conversiones!$C:$C)</f>
        <v>Maastricht University</v>
      </c>
      <c r="U388" s="105" t="str">
        <f>_xlfn.XLOOKUP(Tabla1[[#This Row],[Universidad KPIs]],Conversiones!$C:$C,Conversiones!$E:$E)</f>
        <v>Específico</v>
      </c>
      <c r="V388" t="s">
        <v>95</v>
      </c>
      <c r="W388" t="s">
        <v>281</v>
      </c>
      <c r="X388" s="2">
        <v>45313</v>
      </c>
      <c r="Y388" s="2">
        <v>45437</v>
      </c>
      <c r="Z388">
        <v>124</v>
      </c>
    </row>
    <row r="389" spans="1:26">
      <c r="A389" s="103" t="s">
        <v>1720</v>
      </c>
      <c r="B389" s="1">
        <v>202022698</v>
      </c>
      <c r="C389" s="1" t="s">
        <v>326</v>
      </c>
      <c r="D389" s="1" t="s">
        <v>1721</v>
      </c>
      <c r="E389" s="1" t="s">
        <v>1722</v>
      </c>
      <c r="F389" s="1" t="s">
        <v>233</v>
      </c>
      <c r="G389" s="1" t="s">
        <v>277</v>
      </c>
      <c r="H389" s="1" t="s">
        <v>491</v>
      </c>
      <c r="I389" s="1" t="s">
        <v>492</v>
      </c>
      <c r="J389" s="1" t="s">
        <v>278</v>
      </c>
      <c r="K389" s="1">
        <v>2024</v>
      </c>
      <c r="L389" s="1">
        <v>202410</v>
      </c>
      <c r="M389" s="1">
        <v>202410</v>
      </c>
      <c r="N389" s="1" t="s">
        <v>279</v>
      </c>
      <c r="O389" s="1" t="s">
        <v>230</v>
      </c>
      <c r="P389" s="1" t="s">
        <v>280</v>
      </c>
      <c r="Q389" s="1" t="s">
        <v>233</v>
      </c>
      <c r="R389" s="1" t="s">
        <v>277</v>
      </c>
      <c r="S389" s="1" t="s">
        <v>945</v>
      </c>
      <c r="T389" s="105" t="str">
        <f>_xlfn.XLOOKUP(Tabla1[[#This Row],[Universidad]],Conversiones!$B:$B,Conversiones!$C:$C)</f>
        <v>Universidad Jean Moulin Lyon 3</v>
      </c>
      <c r="U389" s="105" t="str">
        <f>_xlfn.XLOOKUP(Tabla1[[#This Row],[Universidad KPIs]],Conversiones!$C:$C,Conversiones!$E:$E)</f>
        <v>General</v>
      </c>
      <c r="V389" s="1" t="s">
        <v>57</v>
      </c>
      <c r="W389" s="1" t="s">
        <v>281</v>
      </c>
      <c r="X389" s="87">
        <v>45313</v>
      </c>
      <c r="Y389" s="87">
        <v>45437</v>
      </c>
      <c r="Z389" s="1">
        <v>124</v>
      </c>
    </row>
    <row r="390" spans="1:26">
      <c r="A390" s="102" t="s">
        <v>1723</v>
      </c>
      <c r="B390">
        <v>202021292</v>
      </c>
      <c r="C390" t="s">
        <v>326</v>
      </c>
      <c r="D390" t="s">
        <v>1724</v>
      </c>
      <c r="E390" t="s">
        <v>1725</v>
      </c>
      <c r="F390" t="s">
        <v>233</v>
      </c>
      <c r="G390" t="s">
        <v>277</v>
      </c>
      <c r="J390" t="s">
        <v>278</v>
      </c>
      <c r="K390">
        <v>2024</v>
      </c>
      <c r="L390">
        <v>202410</v>
      </c>
      <c r="M390">
        <v>202410</v>
      </c>
      <c r="N390" t="s">
        <v>279</v>
      </c>
      <c r="O390" t="s">
        <v>230</v>
      </c>
      <c r="P390" t="s">
        <v>280</v>
      </c>
      <c r="Q390" t="s">
        <v>233</v>
      </c>
      <c r="R390" t="s">
        <v>277</v>
      </c>
      <c r="S390" t="s">
        <v>66</v>
      </c>
      <c r="T390" s="105" t="str">
        <f>_xlfn.XLOOKUP(Tabla1[[#This Row],[Universidad]],Conversiones!$B:$B,Conversiones!$C:$C)</f>
        <v>EDHEC Business School</v>
      </c>
      <c r="U390" s="105" t="str">
        <f>_xlfn.XLOOKUP(Tabla1[[#This Row],[Universidad KPIs]],Conversiones!$C:$C,Conversiones!$E:$E)</f>
        <v>Específico</v>
      </c>
      <c r="V390" t="s">
        <v>57</v>
      </c>
      <c r="W390" t="s">
        <v>281</v>
      </c>
      <c r="X390" s="2">
        <v>45313</v>
      </c>
      <c r="Y390" s="2">
        <v>45437</v>
      </c>
      <c r="Z390">
        <v>124</v>
      </c>
    </row>
    <row r="391" spans="1:26">
      <c r="A391" s="103" t="s">
        <v>1726</v>
      </c>
      <c r="B391" s="1">
        <v>202025938</v>
      </c>
      <c r="C391" s="1" t="s">
        <v>1727</v>
      </c>
      <c r="D391" s="1" t="s">
        <v>1728</v>
      </c>
      <c r="E391" s="1" t="s">
        <v>1729</v>
      </c>
      <c r="F391" s="1" t="s">
        <v>233</v>
      </c>
      <c r="G391" s="1" t="s">
        <v>277</v>
      </c>
      <c r="H391" s="1"/>
      <c r="I391" s="1"/>
      <c r="J391" s="1" t="s">
        <v>278</v>
      </c>
      <c r="K391" s="1">
        <v>2024</v>
      </c>
      <c r="L391" s="1">
        <v>202410</v>
      </c>
      <c r="M391" s="1">
        <v>202410</v>
      </c>
      <c r="N391" s="1" t="s">
        <v>279</v>
      </c>
      <c r="O391" s="1" t="s">
        <v>230</v>
      </c>
      <c r="P391" s="1" t="s">
        <v>865</v>
      </c>
      <c r="Q391" s="1" t="s">
        <v>233</v>
      </c>
      <c r="R391" s="1" t="s">
        <v>277</v>
      </c>
      <c r="S391" s="1" t="s">
        <v>160</v>
      </c>
      <c r="T391" s="105" t="str">
        <f>_xlfn.XLOOKUP(Tabla1[[#This Row],[Universidad]],Conversiones!$B:$B,Conversiones!$C:$C)</f>
        <v>Universidad de Cantabria</v>
      </c>
      <c r="U391" s="105" t="str">
        <f>_xlfn.XLOOKUP(Tabla1[[#This Row],[Universidad KPIs]],Conversiones!$C:$C,Conversiones!$E:$E)</f>
        <v>General</v>
      </c>
      <c r="V391" s="1" t="s">
        <v>69</v>
      </c>
      <c r="W391" s="1" t="s">
        <v>281</v>
      </c>
      <c r="X391" s="87">
        <v>45313</v>
      </c>
      <c r="Y391" s="87">
        <v>45437</v>
      </c>
      <c r="Z391" s="1">
        <v>124</v>
      </c>
    </row>
    <row r="392" spans="1:26">
      <c r="A392" s="102" t="s">
        <v>1730</v>
      </c>
      <c r="B392">
        <v>201823843</v>
      </c>
      <c r="C392" t="s">
        <v>358</v>
      </c>
      <c r="D392" t="s">
        <v>1731</v>
      </c>
      <c r="E392" t="s">
        <v>1732</v>
      </c>
      <c r="F392" t="s">
        <v>233</v>
      </c>
      <c r="G392" t="s">
        <v>277</v>
      </c>
      <c r="J392" t="s">
        <v>278</v>
      </c>
      <c r="K392">
        <v>2024</v>
      </c>
      <c r="L392">
        <v>202410</v>
      </c>
      <c r="M392">
        <v>202410</v>
      </c>
      <c r="N392" t="s">
        <v>279</v>
      </c>
      <c r="O392" t="s">
        <v>230</v>
      </c>
      <c r="P392" t="s">
        <v>280</v>
      </c>
      <c r="Q392" t="s">
        <v>233</v>
      </c>
      <c r="R392" t="s">
        <v>277</v>
      </c>
      <c r="S392" t="s">
        <v>1400</v>
      </c>
      <c r="T392" s="105" t="str">
        <f>_xlfn.XLOOKUP(Tabla1[[#This Row],[Universidad]],Conversiones!$B:$B,Conversiones!$C:$C)</f>
        <v>EM Strasbourg</v>
      </c>
      <c r="U392" s="105" t="str">
        <f>_xlfn.XLOOKUP(Tabla1[[#This Row],[Universidad KPIs]],Conversiones!$C:$C,Conversiones!$E:$E)</f>
        <v>Específico</v>
      </c>
      <c r="V392" t="s">
        <v>57</v>
      </c>
      <c r="W392" t="s">
        <v>281</v>
      </c>
      <c r="X392" s="2">
        <v>45313</v>
      </c>
      <c r="Y392" s="2">
        <v>45437</v>
      </c>
      <c r="Z392">
        <v>124</v>
      </c>
    </row>
    <row r="393" spans="1:26">
      <c r="A393" s="103" t="s">
        <v>1733</v>
      </c>
      <c r="B393" s="1">
        <v>202111951</v>
      </c>
      <c r="C393" s="1" t="s">
        <v>358</v>
      </c>
      <c r="D393" s="1" t="s">
        <v>1734</v>
      </c>
      <c r="E393" s="1" t="s">
        <v>1735</v>
      </c>
      <c r="F393" s="1" t="s">
        <v>233</v>
      </c>
      <c r="G393" s="1" t="s">
        <v>277</v>
      </c>
      <c r="H393" s="1"/>
      <c r="I393" s="1"/>
      <c r="J393" s="1" t="s">
        <v>278</v>
      </c>
      <c r="K393" s="1">
        <v>2024</v>
      </c>
      <c r="L393" s="1">
        <v>202410</v>
      </c>
      <c r="M393" s="1">
        <v>202410</v>
      </c>
      <c r="N393" s="1" t="s">
        <v>279</v>
      </c>
      <c r="O393" s="1" t="s">
        <v>230</v>
      </c>
      <c r="P393" s="1" t="s">
        <v>280</v>
      </c>
      <c r="Q393" s="1" t="s">
        <v>233</v>
      </c>
      <c r="R393" s="1" t="s">
        <v>277</v>
      </c>
      <c r="S393" s="1" t="s">
        <v>1169</v>
      </c>
      <c r="T393" s="105" t="str">
        <f>_xlfn.XLOOKUP(Tabla1[[#This Row],[Universidad]],Conversiones!$B:$B,Conversiones!$C:$C)</f>
        <v>BI Norwegian Business School</v>
      </c>
      <c r="U393" s="105" t="str">
        <f>_xlfn.XLOOKUP(Tabla1[[#This Row],[Universidad KPIs]],Conversiones!$C:$C,Conversiones!$E:$E)</f>
        <v>Específico</v>
      </c>
      <c r="V393" s="1" t="s">
        <v>59</v>
      </c>
      <c r="W393" s="1" t="s">
        <v>281</v>
      </c>
      <c r="X393" s="87">
        <v>45313</v>
      </c>
      <c r="Y393" s="87">
        <v>45437</v>
      </c>
      <c r="Z393" s="1">
        <v>124</v>
      </c>
    </row>
    <row r="394" spans="1:26">
      <c r="A394" s="102" t="s">
        <v>1736</v>
      </c>
      <c r="B394">
        <v>201922858</v>
      </c>
      <c r="C394" t="s">
        <v>1737</v>
      </c>
      <c r="D394" t="s">
        <v>1738</v>
      </c>
      <c r="E394" t="s">
        <v>1739</v>
      </c>
      <c r="F394" t="s">
        <v>233</v>
      </c>
      <c r="G394" t="s">
        <v>277</v>
      </c>
      <c r="H394" t="s">
        <v>491</v>
      </c>
      <c r="I394" t="s">
        <v>492</v>
      </c>
      <c r="J394" t="s">
        <v>278</v>
      </c>
      <c r="K394">
        <v>2024</v>
      </c>
      <c r="L394">
        <v>202410</v>
      </c>
      <c r="M394">
        <v>202410</v>
      </c>
      <c r="N394" t="s">
        <v>279</v>
      </c>
      <c r="O394" t="s">
        <v>230</v>
      </c>
      <c r="P394" t="s">
        <v>280</v>
      </c>
      <c r="Q394" t="s">
        <v>233</v>
      </c>
      <c r="R394" t="s">
        <v>277</v>
      </c>
      <c r="S394" t="s">
        <v>1485</v>
      </c>
      <c r="T394" s="105" t="str">
        <f>_xlfn.XLOOKUP(Tabla1[[#This Row],[Universidad]],Conversiones!$B:$B,Conversiones!$C:$C)</f>
        <v>HEC Paris</v>
      </c>
      <c r="U394" s="105" t="str">
        <f>_xlfn.XLOOKUP(Tabla1[[#This Row],[Universidad KPIs]],Conversiones!$C:$C,Conversiones!$E:$E)</f>
        <v>Específico</v>
      </c>
      <c r="V394" t="s">
        <v>57</v>
      </c>
      <c r="W394" t="s">
        <v>281</v>
      </c>
      <c r="X394" s="2">
        <v>45313</v>
      </c>
      <c r="Y394" s="2">
        <v>45437</v>
      </c>
      <c r="Z394">
        <v>124</v>
      </c>
    </row>
    <row r="395" spans="1:26">
      <c r="A395" s="103" t="s">
        <v>1740</v>
      </c>
      <c r="B395" s="1">
        <v>202021528</v>
      </c>
      <c r="C395" s="1" t="s">
        <v>1741</v>
      </c>
      <c r="D395" s="1" t="s">
        <v>1742</v>
      </c>
      <c r="E395" s="1" t="s">
        <v>1743</v>
      </c>
      <c r="F395" s="1" t="s">
        <v>233</v>
      </c>
      <c r="G395" s="1" t="s">
        <v>277</v>
      </c>
      <c r="H395" s="1"/>
      <c r="I395" s="1"/>
      <c r="J395" s="1" t="s">
        <v>278</v>
      </c>
      <c r="K395" s="1">
        <v>2024</v>
      </c>
      <c r="L395" s="1">
        <v>202410</v>
      </c>
      <c r="M395" s="1">
        <v>202410</v>
      </c>
      <c r="N395" s="1" t="s">
        <v>279</v>
      </c>
      <c r="O395" s="1" t="s">
        <v>230</v>
      </c>
      <c r="P395" s="1" t="s">
        <v>280</v>
      </c>
      <c r="Q395" s="1" t="s">
        <v>233</v>
      </c>
      <c r="R395" s="1" t="s">
        <v>277</v>
      </c>
      <c r="S395" s="1" t="s">
        <v>159</v>
      </c>
      <c r="T395" s="105" t="str">
        <f>_xlfn.XLOOKUP(Tabla1[[#This Row],[Universidad]],Conversiones!$B:$B,Conversiones!$C:$C)</f>
        <v>Universidad de Alicante</v>
      </c>
      <c r="U395" s="105" t="str">
        <f>_xlfn.XLOOKUP(Tabla1[[#This Row],[Universidad KPIs]],Conversiones!$C:$C,Conversiones!$E:$E)</f>
        <v>General</v>
      </c>
      <c r="V395" s="1" t="s">
        <v>69</v>
      </c>
      <c r="W395" s="1" t="s">
        <v>281</v>
      </c>
      <c r="X395" s="87">
        <v>45313</v>
      </c>
      <c r="Y395" s="87">
        <v>45437</v>
      </c>
      <c r="Z395" s="1">
        <v>124</v>
      </c>
    </row>
    <row r="396" spans="1:26">
      <c r="A396" s="102" t="s">
        <v>1744</v>
      </c>
      <c r="B396">
        <v>201922045</v>
      </c>
      <c r="C396" t="s">
        <v>434</v>
      </c>
      <c r="D396" t="s">
        <v>1745</v>
      </c>
      <c r="E396" t="s">
        <v>1746</v>
      </c>
      <c r="F396" t="s">
        <v>233</v>
      </c>
      <c r="G396" t="s">
        <v>277</v>
      </c>
      <c r="H396" t="s">
        <v>491</v>
      </c>
      <c r="I396" t="s">
        <v>492</v>
      </c>
      <c r="J396" t="s">
        <v>278</v>
      </c>
      <c r="K396">
        <v>2024</v>
      </c>
      <c r="L396">
        <v>202410</v>
      </c>
      <c r="M396">
        <v>202410</v>
      </c>
      <c r="N396" t="s">
        <v>279</v>
      </c>
      <c r="O396" t="s">
        <v>230</v>
      </c>
      <c r="P396" t="s">
        <v>280</v>
      </c>
      <c r="Q396" t="s">
        <v>233</v>
      </c>
      <c r="R396" t="s">
        <v>277</v>
      </c>
      <c r="S396" t="s">
        <v>639</v>
      </c>
      <c r="T396" s="105" t="str">
        <f>_xlfn.XLOOKUP(Tabla1[[#This Row],[Universidad]],Conversiones!$B:$B,Conversiones!$C:$C)</f>
        <v>IE Instituto Empresa</v>
      </c>
      <c r="U396" s="105" t="str">
        <f>_xlfn.XLOOKUP(Tabla1[[#This Row],[Universidad KPIs]],Conversiones!$C:$C,Conversiones!$E:$E)</f>
        <v>Específico</v>
      </c>
      <c r="V396" t="s">
        <v>69</v>
      </c>
      <c r="W396" t="s">
        <v>281</v>
      </c>
      <c r="X396" s="2">
        <v>45313</v>
      </c>
      <c r="Y396" s="2">
        <v>45437</v>
      </c>
      <c r="Z396">
        <v>124</v>
      </c>
    </row>
    <row r="397" spans="1:26">
      <c r="A397" s="103" t="s">
        <v>1747</v>
      </c>
      <c r="B397" s="1">
        <v>202020653</v>
      </c>
      <c r="C397" s="1" t="s">
        <v>434</v>
      </c>
      <c r="D397" s="1" t="s">
        <v>1748</v>
      </c>
      <c r="E397" s="1" t="s">
        <v>1749</v>
      </c>
      <c r="F397" s="1" t="s">
        <v>233</v>
      </c>
      <c r="G397" s="1" t="s">
        <v>277</v>
      </c>
      <c r="H397" s="1"/>
      <c r="I397" s="1"/>
      <c r="J397" s="1" t="s">
        <v>278</v>
      </c>
      <c r="K397" s="1">
        <v>2024</v>
      </c>
      <c r="L397" s="1">
        <v>202410</v>
      </c>
      <c r="M397" s="1">
        <v>202410</v>
      </c>
      <c r="N397" s="1" t="s">
        <v>279</v>
      </c>
      <c r="O397" s="1" t="s">
        <v>230</v>
      </c>
      <c r="P397" s="1" t="s">
        <v>280</v>
      </c>
      <c r="Q397" s="1" t="s">
        <v>233</v>
      </c>
      <c r="R397" s="1" t="s">
        <v>277</v>
      </c>
      <c r="S397" s="1" t="s">
        <v>96</v>
      </c>
      <c r="T397" s="105" t="str">
        <f>_xlfn.XLOOKUP(Tabla1[[#This Row],[Universidad]],Conversiones!$B:$B,Conversiones!$C:$C)</f>
        <v>McGill University</v>
      </c>
      <c r="U397" s="105" t="str">
        <f>_xlfn.XLOOKUP(Tabla1[[#This Row],[Universidad KPIs]],Conversiones!$C:$C,Conversiones!$E:$E)</f>
        <v>Específico</v>
      </c>
      <c r="V397" s="1" t="s">
        <v>74</v>
      </c>
      <c r="W397" s="1" t="s">
        <v>291</v>
      </c>
      <c r="X397" s="87">
        <v>45313</v>
      </c>
      <c r="Y397" s="87">
        <v>45437</v>
      </c>
      <c r="Z397" s="1">
        <v>124</v>
      </c>
    </row>
    <row r="398" spans="1:26">
      <c r="A398" s="102" t="s">
        <v>1750</v>
      </c>
      <c r="B398">
        <v>201911731</v>
      </c>
      <c r="C398" t="s">
        <v>698</v>
      </c>
      <c r="D398" t="s">
        <v>1751</v>
      </c>
      <c r="E398" t="s">
        <v>1752</v>
      </c>
      <c r="F398" t="s">
        <v>497</v>
      </c>
      <c r="G398" t="s">
        <v>498</v>
      </c>
      <c r="H398" t="s">
        <v>233</v>
      </c>
      <c r="I398" t="s">
        <v>277</v>
      </c>
      <c r="J398" t="s">
        <v>278</v>
      </c>
      <c r="K398">
        <v>2024</v>
      </c>
      <c r="L398">
        <v>202410</v>
      </c>
      <c r="M398">
        <v>202410</v>
      </c>
      <c r="N398" t="s">
        <v>279</v>
      </c>
      <c r="O398" t="s">
        <v>230</v>
      </c>
      <c r="P398" t="s">
        <v>280</v>
      </c>
      <c r="Q398" t="s">
        <v>233</v>
      </c>
      <c r="R398" t="s">
        <v>277</v>
      </c>
      <c r="S398" t="s">
        <v>329</v>
      </c>
      <c r="T398" s="105" t="str">
        <f>_xlfn.XLOOKUP(Tabla1[[#This Row],[Universidad]],Conversiones!$B:$B,Conversiones!$C:$C)</f>
        <v>ESSEC</v>
      </c>
      <c r="U398" s="105" t="str">
        <f>_xlfn.XLOOKUP(Tabla1[[#This Row],[Universidad KPIs]],Conversiones!$C:$C,Conversiones!$E:$E)</f>
        <v>Específico</v>
      </c>
      <c r="V398" t="s">
        <v>57</v>
      </c>
      <c r="W398" t="s">
        <v>281</v>
      </c>
      <c r="X398" s="2">
        <v>45313</v>
      </c>
      <c r="Y398" s="2">
        <v>45437</v>
      </c>
      <c r="Z398">
        <v>124</v>
      </c>
    </row>
    <row r="399" spans="1:26">
      <c r="A399" s="103" t="s">
        <v>1753</v>
      </c>
      <c r="B399" s="1">
        <v>201913760</v>
      </c>
      <c r="C399" s="1" t="s">
        <v>690</v>
      </c>
      <c r="D399" s="1" t="s">
        <v>1754</v>
      </c>
      <c r="E399" s="1" t="s">
        <v>1755</v>
      </c>
      <c r="F399" s="1" t="s">
        <v>810</v>
      </c>
      <c r="G399" s="1" t="s">
        <v>811</v>
      </c>
      <c r="H399" s="1" t="s">
        <v>233</v>
      </c>
      <c r="I399" s="1" t="s">
        <v>277</v>
      </c>
      <c r="J399" s="1" t="s">
        <v>278</v>
      </c>
      <c r="K399" s="1">
        <v>2024</v>
      </c>
      <c r="L399" s="1">
        <v>202410</v>
      </c>
      <c r="M399" s="1">
        <v>202410</v>
      </c>
      <c r="N399" s="1" t="s">
        <v>279</v>
      </c>
      <c r="O399" s="1" t="s">
        <v>230</v>
      </c>
      <c r="P399" s="1" t="s">
        <v>280</v>
      </c>
      <c r="Q399" s="1" t="s">
        <v>233</v>
      </c>
      <c r="R399" s="1" t="s">
        <v>277</v>
      </c>
      <c r="S399" s="1" t="s">
        <v>94</v>
      </c>
      <c r="T399" s="105" t="str">
        <f>_xlfn.XLOOKUP(Tabla1[[#This Row],[Universidad]],Conversiones!$B:$B,Conversiones!$C:$C)</f>
        <v>Maastricht University</v>
      </c>
      <c r="U399" s="105" t="str">
        <f>_xlfn.XLOOKUP(Tabla1[[#This Row],[Universidad KPIs]],Conversiones!$C:$C,Conversiones!$E:$E)</f>
        <v>Específico</v>
      </c>
      <c r="V399" s="1" t="s">
        <v>95</v>
      </c>
      <c r="W399" s="1" t="s">
        <v>281</v>
      </c>
      <c r="X399" s="87">
        <v>45313</v>
      </c>
      <c r="Y399" s="87">
        <v>45437</v>
      </c>
      <c r="Z399" s="1">
        <v>124</v>
      </c>
    </row>
    <row r="400" spans="1:26">
      <c r="A400" s="102" t="s">
        <v>1756</v>
      </c>
      <c r="B400">
        <v>201923561</v>
      </c>
      <c r="C400" t="s">
        <v>690</v>
      </c>
      <c r="D400" t="s">
        <v>1757</v>
      </c>
      <c r="E400" t="s">
        <v>1758</v>
      </c>
      <c r="F400" t="s">
        <v>233</v>
      </c>
      <c r="G400" t="s">
        <v>277</v>
      </c>
      <c r="J400" t="s">
        <v>278</v>
      </c>
      <c r="K400">
        <v>2024</v>
      </c>
      <c r="L400">
        <v>202410</v>
      </c>
      <c r="M400">
        <v>202410</v>
      </c>
      <c r="N400" t="s">
        <v>279</v>
      </c>
      <c r="O400" t="s">
        <v>230</v>
      </c>
      <c r="P400" t="s">
        <v>280</v>
      </c>
      <c r="Q400" t="s">
        <v>233</v>
      </c>
      <c r="R400" t="s">
        <v>277</v>
      </c>
      <c r="S400" t="s">
        <v>419</v>
      </c>
      <c r="T400" s="105" t="str">
        <f>_xlfn.XLOOKUP(Tabla1[[#This Row],[Universidad]],Conversiones!$B:$B,Conversiones!$C:$C)</f>
        <v>ESCP</v>
      </c>
      <c r="U400" s="105" t="str">
        <f>_xlfn.XLOOKUP(Tabla1[[#This Row],[Universidad KPIs]],Conversiones!$C:$C,Conversiones!$E:$E)</f>
        <v>Específico</v>
      </c>
      <c r="V400" t="s">
        <v>57</v>
      </c>
      <c r="W400" t="s">
        <v>281</v>
      </c>
      <c r="X400" s="2">
        <v>45313</v>
      </c>
      <c r="Y400" s="2">
        <v>45437</v>
      </c>
      <c r="Z400">
        <v>124</v>
      </c>
    </row>
    <row r="401" spans="1:26">
      <c r="A401" s="103" t="s">
        <v>1759</v>
      </c>
      <c r="B401" s="1">
        <v>201920948</v>
      </c>
      <c r="C401" s="1" t="s">
        <v>1491</v>
      </c>
      <c r="D401" s="1" t="s">
        <v>1760</v>
      </c>
      <c r="E401" s="1" t="s">
        <v>1761</v>
      </c>
      <c r="F401" s="1" t="s">
        <v>233</v>
      </c>
      <c r="G401" s="1" t="s">
        <v>277</v>
      </c>
      <c r="H401" s="1"/>
      <c r="I401" s="1"/>
      <c r="J401" s="1" t="s">
        <v>278</v>
      </c>
      <c r="K401" s="1">
        <v>2024</v>
      </c>
      <c r="L401" s="1">
        <v>202410</v>
      </c>
      <c r="M401" s="1">
        <v>202410</v>
      </c>
      <c r="N401" s="1" t="s">
        <v>279</v>
      </c>
      <c r="O401" s="1" t="s">
        <v>230</v>
      </c>
      <c r="P401" s="1" t="s">
        <v>280</v>
      </c>
      <c r="Q401" s="1" t="s">
        <v>233</v>
      </c>
      <c r="R401" s="1" t="s">
        <v>277</v>
      </c>
      <c r="S401" s="1" t="s">
        <v>524</v>
      </c>
      <c r="T401" s="105" t="str">
        <f>_xlfn.XLOOKUP(Tabla1[[#This Row],[Universidad]],Conversiones!$B:$B,Conversiones!$C:$C)</f>
        <v>University of Saint Gallen</v>
      </c>
      <c r="U401" s="105" t="str">
        <f>_xlfn.XLOOKUP(Tabla1[[#This Row],[Universidad KPIs]],Conversiones!$C:$C,Conversiones!$E:$E)</f>
        <v>Específico</v>
      </c>
      <c r="V401" s="1" t="s">
        <v>81</v>
      </c>
      <c r="W401" s="1" t="s">
        <v>281</v>
      </c>
      <c r="X401" s="87">
        <v>45313</v>
      </c>
      <c r="Y401" s="87">
        <v>45437</v>
      </c>
      <c r="Z401" s="1">
        <v>124</v>
      </c>
    </row>
    <row r="402" spans="1:26">
      <c r="A402" s="102" t="s">
        <v>1762</v>
      </c>
      <c r="B402">
        <v>202014991</v>
      </c>
      <c r="C402" t="s">
        <v>1763</v>
      </c>
      <c r="D402" t="s">
        <v>1764</v>
      </c>
      <c r="E402" t="s">
        <v>1765</v>
      </c>
      <c r="F402" t="s">
        <v>233</v>
      </c>
      <c r="G402" t="s">
        <v>277</v>
      </c>
      <c r="J402" t="s">
        <v>278</v>
      </c>
      <c r="K402">
        <v>2024</v>
      </c>
      <c r="L402">
        <v>202410</v>
      </c>
      <c r="M402">
        <v>202410</v>
      </c>
      <c r="N402" t="s">
        <v>279</v>
      </c>
      <c r="O402" t="s">
        <v>230</v>
      </c>
      <c r="P402" t="s">
        <v>280</v>
      </c>
      <c r="Q402" t="s">
        <v>233</v>
      </c>
      <c r="R402" t="s">
        <v>277</v>
      </c>
      <c r="S402" t="s">
        <v>181</v>
      </c>
      <c r="T402" s="105" t="str">
        <f>_xlfn.XLOOKUP(Tabla1[[#This Row],[Universidad]],Conversiones!$B:$B,Conversiones!$C:$C)</f>
        <v>University of New South Wales</v>
      </c>
      <c r="U402" s="105" t="str">
        <f>_xlfn.XLOOKUP(Tabla1[[#This Row],[Universidad KPIs]],Conversiones!$C:$C,Conversiones!$E:$E)</f>
        <v>General</v>
      </c>
      <c r="V402" t="s">
        <v>106</v>
      </c>
      <c r="W402" t="s">
        <v>385</v>
      </c>
      <c r="X402" s="2">
        <v>45313</v>
      </c>
      <c r="Y402" s="2">
        <v>45437</v>
      </c>
      <c r="Z402">
        <v>124</v>
      </c>
    </row>
    <row r="403" spans="1:26">
      <c r="A403" s="103" t="s">
        <v>1766</v>
      </c>
      <c r="B403" s="1">
        <v>201914631</v>
      </c>
      <c r="C403" s="1" t="s">
        <v>1767</v>
      </c>
      <c r="D403" s="1" t="s">
        <v>1768</v>
      </c>
      <c r="E403" s="1" t="s">
        <v>1769</v>
      </c>
      <c r="F403" s="1" t="s">
        <v>233</v>
      </c>
      <c r="G403" s="1" t="s">
        <v>277</v>
      </c>
      <c r="H403" s="1" t="s">
        <v>537</v>
      </c>
      <c r="I403" s="1" t="s">
        <v>538</v>
      </c>
      <c r="J403" s="1" t="s">
        <v>278</v>
      </c>
      <c r="K403" s="1">
        <v>2024</v>
      </c>
      <c r="L403" s="1">
        <v>202410</v>
      </c>
      <c r="M403" s="1">
        <v>202410</v>
      </c>
      <c r="N403" s="1" t="s">
        <v>279</v>
      </c>
      <c r="O403" s="1" t="s">
        <v>230</v>
      </c>
      <c r="P403" s="1" t="s">
        <v>865</v>
      </c>
      <c r="Q403" s="1" t="s">
        <v>233</v>
      </c>
      <c r="R403" s="1" t="s">
        <v>277</v>
      </c>
      <c r="S403" s="1" t="s">
        <v>160</v>
      </c>
      <c r="T403" s="105" t="str">
        <f>_xlfn.XLOOKUP(Tabla1[[#This Row],[Universidad]],Conversiones!$B:$B,Conversiones!$C:$C)</f>
        <v>Universidad de Cantabria</v>
      </c>
      <c r="U403" s="105" t="str">
        <f>_xlfn.XLOOKUP(Tabla1[[#This Row],[Universidad KPIs]],Conversiones!$C:$C,Conversiones!$E:$E)</f>
        <v>General</v>
      </c>
      <c r="V403" s="1" t="s">
        <v>69</v>
      </c>
      <c r="W403" s="1" t="s">
        <v>281</v>
      </c>
      <c r="X403" s="87">
        <v>45313</v>
      </c>
      <c r="Y403" s="87">
        <v>45437</v>
      </c>
      <c r="Z403" s="1">
        <v>124</v>
      </c>
    </row>
    <row r="404" spans="1:26">
      <c r="A404" s="102" t="s">
        <v>1770</v>
      </c>
      <c r="B404">
        <v>202022191</v>
      </c>
      <c r="C404" t="s">
        <v>992</v>
      </c>
      <c r="D404" t="s">
        <v>1771</v>
      </c>
      <c r="E404" t="s">
        <v>1772</v>
      </c>
      <c r="F404" t="s">
        <v>491</v>
      </c>
      <c r="G404" t="s">
        <v>492</v>
      </c>
      <c r="H404" t="s">
        <v>233</v>
      </c>
      <c r="I404" t="s">
        <v>277</v>
      </c>
      <c r="J404" t="s">
        <v>278</v>
      </c>
      <c r="K404">
        <v>2024</v>
      </c>
      <c r="L404">
        <v>202410</v>
      </c>
      <c r="M404">
        <v>202410</v>
      </c>
      <c r="N404" t="s">
        <v>279</v>
      </c>
      <c r="O404" t="s">
        <v>230</v>
      </c>
      <c r="P404" t="s">
        <v>280</v>
      </c>
      <c r="Q404" t="s">
        <v>233</v>
      </c>
      <c r="R404" t="s">
        <v>277</v>
      </c>
      <c r="S404" t="s">
        <v>1485</v>
      </c>
      <c r="T404" s="105" t="str">
        <f>_xlfn.XLOOKUP(Tabla1[[#This Row],[Universidad]],Conversiones!$B:$B,Conversiones!$C:$C)</f>
        <v>HEC Paris</v>
      </c>
      <c r="U404" s="105" t="str">
        <f>_xlfn.XLOOKUP(Tabla1[[#This Row],[Universidad KPIs]],Conversiones!$C:$C,Conversiones!$E:$E)</f>
        <v>Específico</v>
      </c>
      <c r="V404" t="s">
        <v>57</v>
      </c>
      <c r="W404" t="s">
        <v>281</v>
      </c>
      <c r="X404" s="2">
        <v>45313</v>
      </c>
      <c r="Y404" s="2">
        <v>45437</v>
      </c>
      <c r="Z404">
        <v>124</v>
      </c>
    </row>
    <row r="405" spans="1:26">
      <c r="A405" s="103" t="s">
        <v>1773</v>
      </c>
      <c r="B405" s="1">
        <v>201820263</v>
      </c>
      <c r="C405" s="1" t="s">
        <v>499</v>
      </c>
      <c r="D405" s="1" t="s">
        <v>1774</v>
      </c>
      <c r="E405" s="1" t="s">
        <v>1775</v>
      </c>
      <c r="F405" s="1" t="s">
        <v>233</v>
      </c>
      <c r="G405" s="1" t="s">
        <v>277</v>
      </c>
      <c r="H405" s="1"/>
      <c r="I405" s="1"/>
      <c r="J405" s="1" t="s">
        <v>278</v>
      </c>
      <c r="K405" s="1">
        <v>2024</v>
      </c>
      <c r="L405" s="1">
        <v>202410</v>
      </c>
      <c r="M405" s="1">
        <v>202410</v>
      </c>
      <c r="N405" s="1" t="s">
        <v>279</v>
      </c>
      <c r="O405" s="1" t="s">
        <v>230</v>
      </c>
      <c r="P405" s="1" t="s">
        <v>280</v>
      </c>
      <c r="Q405" s="1" t="s">
        <v>233</v>
      </c>
      <c r="R405" s="1" t="s">
        <v>277</v>
      </c>
      <c r="S405" s="1" t="s">
        <v>338</v>
      </c>
      <c r="T405" s="105" t="str">
        <f>_xlfn.XLOOKUP(Tabla1[[#This Row],[Universidad]],Conversiones!$B:$B,Conversiones!$C:$C)</f>
        <v>University of Mannheim Business School</v>
      </c>
      <c r="U405" s="105" t="str">
        <f>_xlfn.XLOOKUP(Tabla1[[#This Row],[Universidad KPIs]],Conversiones!$C:$C,Conversiones!$E:$E)</f>
        <v>Específico</v>
      </c>
      <c r="V405" s="1" t="s">
        <v>76</v>
      </c>
      <c r="W405" s="1" t="s">
        <v>281</v>
      </c>
      <c r="X405" s="87">
        <v>45313</v>
      </c>
      <c r="Y405" s="87">
        <v>45437</v>
      </c>
      <c r="Z405" s="1">
        <v>124</v>
      </c>
    </row>
    <row r="406" spans="1:26">
      <c r="A406" s="102" t="s">
        <v>1776</v>
      </c>
      <c r="B406">
        <v>202121551</v>
      </c>
      <c r="C406" t="s">
        <v>499</v>
      </c>
      <c r="D406" t="s">
        <v>1777</v>
      </c>
      <c r="E406" t="s">
        <v>1778</v>
      </c>
      <c r="F406" t="s">
        <v>233</v>
      </c>
      <c r="G406" t="s">
        <v>277</v>
      </c>
      <c r="J406" t="s">
        <v>278</v>
      </c>
      <c r="K406">
        <v>2024</v>
      </c>
      <c r="L406">
        <v>202410</v>
      </c>
      <c r="M406">
        <v>202410</v>
      </c>
      <c r="N406" t="s">
        <v>279</v>
      </c>
      <c r="O406" t="s">
        <v>230</v>
      </c>
      <c r="P406" t="s">
        <v>280</v>
      </c>
      <c r="Q406" t="s">
        <v>233</v>
      </c>
      <c r="R406" t="s">
        <v>277</v>
      </c>
      <c r="S406" t="s">
        <v>54</v>
      </c>
      <c r="T406" s="105" t="str">
        <f>_xlfn.XLOOKUP(Tabla1[[#This Row],[Universidad]],Conversiones!$B:$B,Conversiones!$C:$C)</f>
        <v>Aston University</v>
      </c>
      <c r="U406" s="105" t="str">
        <f>_xlfn.XLOOKUP(Tabla1[[#This Row],[Universidad KPIs]],Conversiones!$C:$C,Conversiones!$E:$E)</f>
        <v>Específico</v>
      </c>
      <c r="V406" t="s">
        <v>55</v>
      </c>
      <c r="W406" t="s">
        <v>281</v>
      </c>
      <c r="X406" s="2">
        <v>45313</v>
      </c>
      <c r="Y406" s="2">
        <v>45437</v>
      </c>
      <c r="Z406">
        <v>124</v>
      </c>
    </row>
    <row r="407" spans="1:26">
      <c r="A407" s="103" t="s">
        <v>1779</v>
      </c>
      <c r="B407" s="1">
        <v>202013257</v>
      </c>
      <c r="C407" s="1" t="s">
        <v>977</v>
      </c>
      <c r="D407" s="1" t="s">
        <v>1780</v>
      </c>
      <c r="E407" s="1" t="s">
        <v>1781</v>
      </c>
      <c r="F407" s="1" t="s">
        <v>233</v>
      </c>
      <c r="G407" s="1" t="s">
        <v>277</v>
      </c>
      <c r="H407" s="1" t="s">
        <v>491</v>
      </c>
      <c r="I407" s="1" t="s">
        <v>492</v>
      </c>
      <c r="J407" s="1" t="s">
        <v>278</v>
      </c>
      <c r="K407" s="1">
        <v>2024</v>
      </c>
      <c r="L407" s="1">
        <v>202410</v>
      </c>
      <c r="M407" s="1">
        <v>202410</v>
      </c>
      <c r="N407" s="1" t="s">
        <v>279</v>
      </c>
      <c r="O407" s="1" t="s">
        <v>230</v>
      </c>
      <c r="P407" s="1" t="s">
        <v>280</v>
      </c>
      <c r="Q407" s="1" t="s">
        <v>233</v>
      </c>
      <c r="R407" s="1" t="s">
        <v>277</v>
      </c>
      <c r="S407" s="1" t="s">
        <v>94</v>
      </c>
      <c r="T407" s="105" t="str">
        <f>_xlfn.XLOOKUP(Tabla1[[#This Row],[Universidad]],Conversiones!$B:$B,Conversiones!$C:$C)</f>
        <v>Maastricht University</v>
      </c>
      <c r="U407" s="105" t="str">
        <f>_xlfn.XLOOKUP(Tabla1[[#This Row],[Universidad KPIs]],Conversiones!$C:$C,Conversiones!$E:$E)</f>
        <v>Específico</v>
      </c>
      <c r="V407" s="1" t="s">
        <v>95</v>
      </c>
      <c r="W407" s="1" t="s">
        <v>281</v>
      </c>
      <c r="X407" s="87">
        <v>45313</v>
      </c>
      <c r="Y407" s="87">
        <v>45437</v>
      </c>
      <c r="Z407" s="1">
        <v>124</v>
      </c>
    </row>
    <row r="408" spans="1:26">
      <c r="A408" s="102" t="s">
        <v>1782</v>
      </c>
      <c r="B408">
        <v>202124707</v>
      </c>
      <c r="C408" t="s">
        <v>1316</v>
      </c>
      <c r="D408" t="s">
        <v>1783</v>
      </c>
      <c r="E408" t="s">
        <v>1784</v>
      </c>
      <c r="F408" t="s">
        <v>233</v>
      </c>
      <c r="G408" t="s">
        <v>277</v>
      </c>
      <c r="J408" t="s">
        <v>278</v>
      </c>
      <c r="K408">
        <v>2024</v>
      </c>
      <c r="L408">
        <v>202410</v>
      </c>
      <c r="M408">
        <v>202410</v>
      </c>
      <c r="N408" t="s">
        <v>279</v>
      </c>
      <c r="O408" t="s">
        <v>230</v>
      </c>
      <c r="P408" t="s">
        <v>280</v>
      </c>
      <c r="Q408" t="s">
        <v>233</v>
      </c>
      <c r="R408" t="s">
        <v>277</v>
      </c>
      <c r="S408" t="s">
        <v>329</v>
      </c>
      <c r="T408" s="105" t="str">
        <f>_xlfn.XLOOKUP(Tabla1[[#This Row],[Universidad]],Conversiones!$B:$B,Conversiones!$C:$C)</f>
        <v>ESSEC</v>
      </c>
      <c r="U408" s="105" t="str">
        <f>_xlfn.XLOOKUP(Tabla1[[#This Row],[Universidad KPIs]],Conversiones!$C:$C,Conversiones!$E:$E)</f>
        <v>Específico</v>
      </c>
      <c r="V408" t="s">
        <v>57</v>
      </c>
      <c r="W408" t="s">
        <v>281</v>
      </c>
      <c r="X408" s="2">
        <v>45313</v>
      </c>
      <c r="Y408" s="2">
        <v>45437</v>
      </c>
      <c r="Z408">
        <v>124</v>
      </c>
    </row>
    <row r="409" spans="1:26">
      <c r="A409" s="103" t="s">
        <v>1785</v>
      </c>
      <c r="B409" s="1">
        <v>202011438</v>
      </c>
      <c r="C409" s="1" t="s">
        <v>901</v>
      </c>
      <c r="D409" s="1" t="s">
        <v>1786</v>
      </c>
      <c r="E409" s="1" t="s">
        <v>1787</v>
      </c>
      <c r="F409" s="1" t="s">
        <v>491</v>
      </c>
      <c r="G409" s="1" t="s">
        <v>492</v>
      </c>
      <c r="H409" s="1" t="s">
        <v>233</v>
      </c>
      <c r="I409" s="1" t="s">
        <v>277</v>
      </c>
      <c r="J409" s="1" t="s">
        <v>278</v>
      </c>
      <c r="K409" s="1">
        <v>2024</v>
      </c>
      <c r="L409" s="1">
        <v>202410</v>
      </c>
      <c r="M409" s="1">
        <v>202410</v>
      </c>
      <c r="N409" s="1" t="s">
        <v>279</v>
      </c>
      <c r="O409" s="1" t="s">
        <v>230</v>
      </c>
      <c r="P409" s="1" t="s">
        <v>280</v>
      </c>
      <c r="Q409" s="1" t="s">
        <v>233</v>
      </c>
      <c r="R409" s="1" t="s">
        <v>277</v>
      </c>
      <c r="S409" s="1" t="s">
        <v>356</v>
      </c>
      <c r="T409" s="105" t="str">
        <f>_xlfn.XLOOKUP(Tabla1[[#This Row],[Universidad]],Conversiones!$B:$B,Conversiones!$C:$C)</f>
        <v>Università Commerciale Luigi Bocconi</v>
      </c>
      <c r="U409" s="105" t="str">
        <f>_xlfn.XLOOKUP(Tabla1[[#This Row],[Universidad KPIs]],Conversiones!$C:$C,Conversiones!$E:$E)</f>
        <v>Específico</v>
      </c>
      <c r="V409" s="1" t="s">
        <v>103</v>
      </c>
      <c r="W409" s="1" t="s">
        <v>281</v>
      </c>
      <c r="X409" s="87">
        <v>45313</v>
      </c>
      <c r="Y409" s="87">
        <v>45437</v>
      </c>
      <c r="Z409" s="1">
        <v>124</v>
      </c>
    </row>
    <row r="410" spans="1:26">
      <c r="A410" s="102" t="s">
        <v>1788</v>
      </c>
      <c r="B410">
        <v>202021038</v>
      </c>
      <c r="C410" t="s">
        <v>763</v>
      </c>
      <c r="D410" t="s">
        <v>1789</v>
      </c>
      <c r="E410" t="s">
        <v>1790</v>
      </c>
      <c r="F410" t="s">
        <v>233</v>
      </c>
      <c r="G410" t="s">
        <v>277</v>
      </c>
      <c r="H410" t="s">
        <v>990</v>
      </c>
      <c r="I410" t="s">
        <v>538</v>
      </c>
      <c r="J410" t="s">
        <v>278</v>
      </c>
      <c r="K410">
        <v>2024</v>
      </c>
      <c r="L410">
        <v>202410</v>
      </c>
      <c r="M410">
        <v>202410</v>
      </c>
      <c r="N410" t="s">
        <v>279</v>
      </c>
      <c r="O410" t="s">
        <v>230</v>
      </c>
      <c r="P410" t="s">
        <v>280</v>
      </c>
      <c r="Q410" t="s">
        <v>233</v>
      </c>
      <c r="R410" t="s">
        <v>277</v>
      </c>
      <c r="S410" t="s">
        <v>419</v>
      </c>
      <c r="T410" s="105" t="str">
        <f>_xlfn.XLOOKUP(Tabla1[[#This Row],[Universidad]],Conversiones!$B:$B,Conversiones!$C:$C)</f>
        <v>ESCP</v>
      </c>
      <c r="U410" s="105" t="str">
        <f>_xlfn.XLOOKUP(Tabla1[[#This Row],[Universidad KPIs]],Conversiones!$C:$C,Conversiones!$E:$E)</f>
        <v>Específico</v>
      </c>
      <c r="V410" t="s">
        <v>57</v>
      </c>
      <c r="W410" t="s">
        <v>281</v>
      </c>
      <c r="X410" s="2">
        <v>45313</v>
      </c>
      <c r="Y410" s="2">
        <v>45437</v>
      </c>
      <c r="Z410">
        <v>124</v>
      </c>
    </row>
    <row r="411" spans="1:26">
      <c r="A411" s="103" t="s">
        <v>1791</v>
      </c>
      <c r="B411" s="1">
        <v>201814216</v>
      </c>
      <c r="C411" s="1" t="s">
        <v>1792</v>
      </c>
      <c r="D411" s="1" t="s">
        <v>1793</v>
      </c>
      <c r="E411" s="1" t="s">
        <v>1794</v>
      </c>
      <c r="F411" s="1" t="s">
        <v>233</v>
      </c>
      <c r="G411" s="1" t="s">
        <v>277</v>
      </c>
      <c r="H411" s="1"/>
      <c r="I411" s="1"/>
      <c r="J411" s="1" t="s">
        <v>278</v>
      </c>
      <c r="K411" s="1">
        <v>2024</v>
      </c>
      <c r="L411" s="1">
        <v>202410</v>
      </c>
      <c r="M411" s="1">
        <v>202410</v>
      </c>
      <c r="N411" s="1" t="s">
        <v>279</v>
      </c>
      <c r="O411" s="1" t="s">
        <v>230</v>
      </c>
      <c r="P411" s="1" t="s">
        <v>280</v>
      </c>
      <c r="Q411" s="1" t="s">
        <v>233</v>
      </c>
      <c r="R411" s="1" t="s">
        <v>277</v>
      </c>
      <c r="S411" s="1" t="s">
        <v>1400</v>
      </c>
      <c r="T411" s="105" t="str">
        <f>_xlfn.XLOOKUP(Tabla1[[#This Row],[Universidad]],Conversiones!$B:$B,Conversiones!$C:$C)</f>
        <v>EM Strasbourg</v>
      </c>
      <c r="U411" s="105" t="str">
        <f>_xlfn.XLOOKUP(Tabla1[[#This Row],[Universidad KPIs]],Conversiones!$C:$C,Conversiones!$E:$E)</f>
        <v>Específico</v>
      </c>
      <c r="V411" s="1" t="s">
        <v>57</v>
      </c>
      <c r="W411" s="1" t="s">
        <v>281</v>
      </c>
      <c r="X411" s="87">
        <v>45313</v>
      </c>
      <c r="Y411" s="87">
        <v>45437</v>
      </c>
      <c r="Z411" s="1">
        <v>124</v>
      </c>
    </row>
    <row r="412" spans="1:26">
      <c r="A412" s="102" t="s">
        <v>1795</v>
      </c>
      <c r="B412">
        <v>201912851</v>
      </c>
      <c r="C412" t="s">
        <v>897</v>
      </c>
      <c r="D412" t="s">
        <v>1796</v>
      </c>
      <c r="E412" t="s">
        <v>1797</v>
      </c>
      <c r="F412" t="s">
        <v>233</v>
      </c>
      <c r="G412" t="s">
        <v>277</v>
      </c>
      <c r="J412" t="s">
        <v>278</v>
      </c>
      <c r="K412">
        <v>2024</v>
      </c>
      <c r="L412">
        <v>202410</v>
      </c>
      <c r="M412">
        <v>202410</v>
      </c>
      <c r="N412" t="s">
        <v>279</v>
      </c>
      <c r="O412" t="s">
        <v>230</v>
      </c>
      <c r="P412" t="s">
        <v>865</v>
      </c>
      <c r="Q412" t="s">
        <v>233</v>
      </c>
      <c r="R412" t="s">
        <v>277</v>
      </c>
      <c r="S412" t="s">
        <v>812</v>
      </c>
      <c r="T412" s="105" t="str">
        <f>_xlfn.XLOOKUP(Tabla1[[#This Row],[Universidad]],Conversiones!$B:$B,Conversiones!$C:$C)</f>
        <v>ITESM-EGADE -Instituto tecnológico y de estudios superiores de Monterrey</v>
      </c>
      <c r="U412" s="105" t="str">
        <f>_xlfn.XLOOKUP(Tabla1[[#This Row],[Universidad KPIs]],Conversiones!$C:$C,Conversiones!$E:$E)</f>
        <v>Específico</v>
      </c>
      <c r="V412" t="s">
        <v>87</v>
      </c>
      <c r="W412" t="s">
        <v>291</v>
      </c>
      <c r="X412" s="2">
        <v>45313</v>
      </c>
      <c r="Y412" s="2">
        <v>45437</v>
      </c>
      <c r="Z412">
        <v>124</v>
      </c>
    </row>
    <row r="413" spans="1:26">
      <c r="A413" s="103" t="s">
        <v>1798</v>
      </c>
      <c r="B413" s="1">
        <v>202022097</v>
      </c>
      <c r="C413" s="1" t="s">
        <v>656</v>
      </c>
      <c r="D413" s="1" t="s">
        <v>1799</v>
      </c>
      <c r="E413" s="1" t="s">
        <v>1800</v>
      </c>
      <c r="F413" s="1" t="s">
        <v>233</v>
      </c>
      <c r="G413" s="1" t="s">
        <v>277</v>
      </c>
      <c r="H413" s="1"/>
      <c r="I413" s="1"/>
      <c r="J413" s="1" t="s">
        <v>278</v>
      </c>
      <c r="K413" s="1">
        <v>2024</v>
      </c>
      <c r="L413" s="1">
        <v>202410</v>
      </c>
      <c r="M413" s="1">
        <v>202410</v>
      </c>
      <c r="N413" s="1" t="s">
        <v>279</v>
      </c>
      <c r="O413" s="1" t="s">
        <v>230</v>
      </c>
      <c r="P413" s="1" t="s">
        <v>280</v>
      </c>
      <c r="Q413" s="1" t="s">
        <v>233</v>
      </c>
      <c r="R413" s="1" t="s">
        <v>277</v>
      </c>
      <c r="S413" s="1" t="s">
        <v>120</v>
      </c>
      <c r="T413" s="105" t="str">
        <f>_xlfn.XLOOKUP(Tabla1[[#This Row],[Universidad]],Conversiones!$B:$B,Conversiones!$C:$C)</f>
        <v>University of Melbourne</v>
      </c>
      <c r="U413" s="105" t="str">
        <f>_xlfn.XLOOKUP(Tabla1[[#This Row],[Universidad KPIs]],Conversiones!$C:$C,Conversiones!$E:$E)</f>
        <v>Específico</v>
      </c>
      <c r="V413" s="1" t="s">
        <v>106</v>
      </c>
      <c r="W413" s="1" t="s">
        <v>385</v>
      </c>
      <c r="X413" s="87">
        <v>45313</v>
      </c>
      <c r="Y413" s="87">
        <v>45437</v>
      </c>
      <c r="Z413" s="1">
        <v>124</v>
      </c>
    </row>
    <row r="414" spans="1:26">
      <c r="A414" s="102" t="s">
        <v>1801</v>
      </c>
      <c r="B414">
        <v>201912521</v>
      </c>
      <c r="C414" t="s">
        <v>1802</v>
      </c>
      <c r="D414" t="s">
        <v>1803</v>
      </c>
      <c r="E414" t="s">
        <v>1804</v>
      </c>
      <c r="F414" t="s">
        <v>233</v>
      </c>
      <c r="G414" t="s">
        <v>277</v>
      </c>
      <c r="H414" t="s">
        <v>810</v>
      </c>
      <c r="I414" t="s">
        <v>811</v>
      </c>
      <c r="J414" t="s">
        <v>278</v>
      </c>
      <c r="K414">
        <v>2024</v>
      </c>
      <c r="L414">
        <v>202410</v>
      </c>
      <c r="M414">
        <v>202410</v>
      </c>
      <c r="N414" t="s">
        <v>279</v>
      </c>
      <c r="O414" t="s">
        <v>230</v>
      </c>
      <c r="P414" t="s">
        <v>280</v>
      </c>
      <c r="Q414" t="s">
        <v>233</v>
      </c>
      <c r="R414" t="s">
        <v>277</v>
      </c>
      <c r="S414" t="s">
        <v>567</v>
      </c>
      <c r="T414" s="105" t="str">
        <f>_xlfn.XLOOKUP(Tabla1[[#This Row],[Universidad]],Conversiones!$B:$B,Conversiones!$C:$C)</f>
        <v>NUCB- Nagoya University of commerce and business</v>
      </c>
      <c r="U414" s="105" t="str">
        <f>_xlfn.XLOOKUP(Tabla1[[#This Row],[Universidad KPIs]],Conversiones!$C:$C,Conversiones!$E:$E)</f>
        <v>Específico</v>
      </c>
      <c r="V414" t="s">
        <v>101</v>
      </c>
      <c r="W414" t="s">
        <v>568</v>
      </c>
      <c r="X414" s="2">
        <v>45313</v>
      </c>
      <c r="Y414" s="2">
        <v>45437</v>
      </c>
      <c r="Z414">
        <v>124</v>
      </c>
    </row>
    <row r="415" spans="1:26">
      <c r="A415" s="103" t="s">
        <v>1805</v>
      </c>
      <c r="B415" s="1">
        <v>202115454</v>
      </c>
      <c r="C415" s="1" t="s">
        <v>1806</v>
      </c>
      <c r="D415" s="1" t="s">
        <v>1807</v>
      </c>
      <c r="E415" s="1" t="s">
        <v>1808</v>
      </c>
      <c r="F415" s="1" t="s">
        <v>233</v>
      </c>
      <c r="G415" s="1" t="s">
        <v>277</v>
      </c>
      <c r="H415" s="1"/>
      <c r="I415" s="1"/>
      <c r="J415" s="1" t="s">
        <v>278</v>
      </c>
      <c r="K415" s="1">
        <v>2024</v>
      </c>
      <c r="L415" s="1">
        <v>202410</v>
      </c>
      <c r="M415" s="1">
        <v>202410</v>
      </c>
      <c r="N415" s="1" t="s">
        <v>279</v>
      </c>
      <c r="O415" s="1" t="s">
        <v>230</v>
      </c>
      <c r="P415" s="1" t="s">
        <v>280</v>
      </c>
      <c r="Q415" s="1" t="s">
        <v>233</v>
      </c>
      <c r="R415" s="1" t="s">
        <v>277</v>
      </c>
      <c r="S415" s="1" t="s">
        <v>142</v>
      </c>
      <c r="T415" s="105" t="str">
        <f>_xlfn.XLOOKUP(Tabla1[[#This Row],[Universidad]],Conversiones!$B:$B,Conversiones!$C:$C)</f>
        <v>Amherst College</v>
      </c>
      <c r="U415" s="105" t="str">
        <f>_xlfn.XLOOKUP(Tabla1[[#This Row],[Universidad KPIs]],Conversiones!$C:$C,Conversiones!$E:$E)</f>
        <v>General</v>
      </c>
      <c r="V415" s="1" t="s">
        <v>51</v>
      </c>
      <c r="W415" s="1" t="s">
        <v>291</v>
      </c>
      <c r="X415" s="87">
        <v>45313</v>
      </c>
      <c r="Y415" s="87">
        <v>45437</v>
      </c>
      <c r="Z415" s="1">
        <v>124</v>
      </c>
    </row>
    <row r="416" spans="1:26">
      <c r="A416" s="102" t="s">
        <v>1809</v>
      </c>
      <c r="B416">
        <v>201710944</v>
      </c>
      <c r="C416" t="s">
        <v>1810</v>
      </c>
      <c r="D416" t="s">
        <v>1811</v>
      </c>
      <c r="E416" t="s">
        <v>1812</v>
      </c>
      <c r="F416" t="s">
        <v>233</v>
      </c>
      <c r="G416" t="s">
        <v>277</v>
      </c>
      <c r="J416" t="s">
        <v>278</v>
      </c>
      <c r="K416">
        <v>2024</v>
      </c>
      <c r="L416">
        <v>202410</v>
      </c>
      <c r="M416">
        <v>202410</v>
      </c>
      <c r="N416" t="s">
        <v>279</v>
      </c>
      <c r="O416" t="s">
        <v>230</v>
      </c>
      <c r="P416" t="s">
        <v>280</v>
      </c>
      <c r="Q416" t="s">
        <v>233</v>
      </c>
      <c r="R416" t="s">
        <v>277</v>
      </c>
      <c r="S416" t="s">
        <v>559</v>
      </c>
      <c r="T416" s="105" t="str">
        <f>_xlfn.XLOOKUP(Tabla1[[#This Row],[Universidad]],Conversiones!$B:$B,Conversiones!$C:$C)</f>
        <v>ICN Business School - Institut Commercial de Nancy</v>
      </c>
      <c r="U416" s="105" t="str">
        <f>_xlfn.XLOOKUP(Tabla1[[#This Row],[Universidad KPIs]],Conversiones!$C:$C,Conversiones!$E:$E)</f>
        <v>Específico</v>
      </c>
      <c r="V416" t="s">
        <v>57</v>
      </c>
      <c r="W416" t="s">
        <v>281</v>
      </c>
      <c r="X416" s="2">
        <v>45313</v>
      </c>
      <c r="Y416" s="2">
        <v>45437</v>
      </c>
      <c r="Z416">
        <v>124</v>
      </c>
    </row>
    <row r="417" spans="1:27">
      <c r="A417" s="103" t="s">
        <v>1813</v>
      </c>
      <c r="B417" s="1">
        <v>202013669</v>
      </c>
      <c r="C417" s="1" t="s">
        <v>288</v>
      </c>
      <c r="D417" s="1" t="s">
        <v>1814</v>
      </c>
      <c r="E417" s="1" t="s">
        <v>1815</v>
      </c>
      <c r="F417" s="1" t="s">
        <v>233</v>
      </c>
      <c r="G417" s="1" t="s">
        <v>277</v>
      </c>
      <c r="H417" s="1"/>
      <c r="I417" s="1"/>
      <c r="J417" s="1" t="s">
        <v>278</v>
      </c>
      <c r="K417" s="1">
        <v>2024</v>
      </c>
      <c r="L417" s="1">
        <v>202410</v>
      </c>
      <c r="M417" s="1">
        <v>202410</v>
      </c>
      <c r="N417" s="1" t="s">
        <v>279</v>
      </c>
      <c r="O417" s="1" t="s">
        <v>230</v>
      </c>
      <c r="P417" s="1" t="s">
        <v>280</v>
      </c>
      <c r="Q417" s="1" t="s">
        <v>233</v>
      </c>
      <c r="R417" s="1" t="s">
        <v>277</v>
      </c>
      <c r="S417" s="1" t="s">
        <v>96</v>
      </c>
      <c r="T417" s="105" t="str">
        <f>_xlfn.XLOOKUP(Tabla1[[#This Row],[Universidad]],Conversiones!$B:$B,Conversiones!$C:$C)</f>
        <v>McGill University</v>
      </c>
      <c r="U417" s="105" t="str">
        <f>_xlfn.XLOOKUP(Tabla1[[#This Row],[Universidad KPIs]],Conversiones!$C:$C,Conversiones!$E:$E)</f>
        <v>Específico</v>
      </c>
      <c r="V417" s="1" t="s">
        <v>74</v>
      </c>
      <c r="W417" s="1" t="s">
        <v>291</v>
      </c>
      <c r="X417" s="87">
        <v>45313</v>
      </c>
      <c r="Y417" s="87">
        <v>45437</v>
      </c>
      <c r="Z417" s="1">
        <v>124</v>
      </c>
    </row>
    <row r="418" spans="1:27">
      <c r="A418" s="102" t="s">
        <v>1816</v>
      </c>
      <c r="B418">
        <v>202211052</v>
      </c>
      <c r="C418" t="s">
        <v>909</v>
      </c>
      <c r="D418" t="s">
        <v>1817</v>
      </c>
      <c r="E418" t="s">
        <v>1818</v>
      </c>
      <c r="F418" t="s">
        <v>233</v>
      </c>
      <c r="G418" t="s">
        <v>277</v>
      </c>
      <c r="J418" t="s">
        <v>278</v>
      </c>
      <c r="K418">
        <v>2024</v>
      </c>
      <c r="L418">
        <v>202410</v>
      </c>
      <c r="M418">
        <v>202410</v>
      </c>
      <c r="N418" t="s">
        <v>279</v>
      </c>
      <c r="O418" t="s">
        <v>230</v>
      </c>
      <c r="P418" t="s">
        <v>280</v>
      </c>
      <c r="Q418" t="s">
        <v>233</v>
      </c>
      <c r="R418" t="s">
        <v>277</v>
      </c>
      <c r="S418" t="s">
        <v>77</v>
      </c>
      <c r="T418" s="105" t="str">
        <f>_xlfn.XLOOKUP(Tabla1[[#This Row],[Universidad]],Conversiones!$B:$B,Conversiones!$C:$C)</f>
        <v>Fundação Getulio Vargas</v>
      </c>
      <c r="U418" s="105" t="str">
        <f>_xlfn.XLOOKUP(Tabla1[[#This Row],[Universidad KPIs]],Conversiones!$C:$C,Conversiones!$E:$E)</f>
        <v>Específico</v>
      </c>
      <c r="V418" t="s">
        <v>78</v>
      </c>
      <c r="W418" t="s">
        <v>296</v>
      </c>
      <c r="X418" s="2">
        <v>45313</v>
      </c>
      <c r="Y418" s="2">
        <v>45437</v>
      </c>
      <c r="Z418">
        <v>124</v>
      </c>
    </row>
    <row r="419" spans="1:27">
      <c r="A419" s="103" t="s">
        <v>1819</v>
      </c>
      <c r="B419" s="1">
        <v>201821613</v>
      </c>
      <c r="C419" s="1" t="s">
        <v>1820</v>
      </c>
      <c r="D419" s="1" t="s">
        <v>1821</v>
      </c>
      <c r="E419" s="1" t="s">
        <v>1822</v>
      </c>
      <c r="F419" s="1" t="s">
        <v>1823</v>
      </c>
      <c r="G419" s="1" t="s">
        <v>1824</v>
      </c>
      <c r="H419" s="1" t="s">
        <v>233</v>
      </c>
      <c r="I419" s="1" t="s">
        <v>277</v>
      </c>
      <c r="J419" s="1" t="s">
        <v>278</v>
      </c>
      <c r="K419" s="1">
        <v>2024</v>
      </c>
      <c r="L419" s="1">
        <v>202410</v>
      </c>
      <c r="M419" s="1">
        <v>202410</v>
      </c>
      <c r="N419" s="1" t="s">
        <v>279</v>
      </c>
      <c r="O419" s="1" t="s">
        <v>230</v>
      </c>
      <c r="P419" s="1" t="s">
        <v>280</v>
      </c>
      <c r="Q419" s="1" t="s">
        <v>233</v>
      </c>
      <c r="R419" s="1" t="s">
        <v>277</v>
      </c>
      <c r="S419" s="1" t="s">
        <v>171</v>
      </c>
      <c r="T419" s="105" t="str">
        <f>_xlfn.XLOOKUP(Tabla1[[#This Row],[Universidad]],Conversiones!$B:$B,Conversiones!$C:$C)</f>
        <v>Università degli Studi di Bologna 'Alma Mater Studiorum'</v>
      </c>
      <c r="U419" s="105" t="str">
        <f>_xlfn.XLOOKUP(Tabla1[[#This Row],[Universidad KPIs]],Conversiones!$C:$C,Conversiones!$E:$E)</f>
        <v>General</v>
      </c>
      <c r="V419" s="1" t="s">
        <v>103</v>
      </c>
      <c r="W419" s="1" t="s">
        <v>281</v>
      </c>
      <c r="X419" s="87">
        <v>45313</v>
      </c>
      <c r="Y419" s="87">
        <v>45437</v>
      </c>
      <c r="Z419" s="1">
        <v>124</v>
      </c>
    </row>
    <row r="420" spans="1:27">
      <c r="A420" s="102" t="s">
        <v>1825</v>
      </c>
      <c r="B420">
        <v>202012594</v>
      </c>
      <c r="C420" t="s">
        <v>1166</v>
      </c>
      <c r="D420" t="s">
        <v>1826</v>
      </c>
      <c r="E420" t="s">
        <v>1827</v>
      </c>
      <c r="F420" t="s">
        <v>233</v>
      </c>
      <c r="G420" t="s">
        <v>277</v>
      </c>
      <c r="J420" t="s">
        <v>278</v>
      </c>
      <c r="K420">
        <v>2024</v>
      </c>
      <c r="L420">
        <v>202410</v>
      </c>
      <c r="M420">
        <v>202410</v>
      </c>
      <c r="N420" t="s">
        <v>279</v>
      </c>
      <c r="O420" t="s">
        <v>230</v>
      </c>
      <c r="P420" t="s">
        <v>280</v>
      </c>
      <c r="Q420" t="s">
        <v>233</v>
      </c>
      <c r="R420" t="s">
        <v>277</v>
      </c>
      <c r="S420" t="s">
        <v>180</v>
      </c>
      <c r="T420" s="105" t="str">
        <f>_xlfn.XLOOKUP(Tabla1[[#This Row],[Universidad]],Conversiones!$B:$B,Conversiones!$C:$C)</f>
        <v>University of Bristol</v>
      </c>
      <c r="U420" s="105" t="str">
        <f>_xlfn.XLOOKUP(Tabla1[[#This Row],[Universidad KPIs]],Conversiones!$C:$C,Conversiones!$E:$E)</f>
        <v>General</v>
      </c>
      <c r="V420" t="s">
        <v>55</v>
      </c>
      <c r="W420" t="s">
        <v>281</v>
      </c>
      <c r="X420" s="2">
        <v>45313</v>
      </c>
      <c r="Y420" s="2">
        <v>45437</v>
      </c>
      <c r="Z420">
        <v>124</v>
      </c>
    </row>
    <row r="421" spans="1:27">
      <c r="A421" s="103" t="s">
        <v>1828</v>
      </c>
      <c r="B421" s="1">
        <v>202014748</v>
      </c>
      <c r="C421" s="1" t="s">
        <v>1829</v>
      </c>
      <c r="D421" s="1" t="s">
        <v>1830</v>
      </c>
      <c r="E421" s="1" t="s">
        <v>1831</v>
      </c>
      <c r="F421" s="1" t="s">
        <v>233</v>
      </c>
      <c r="G421" s="1" t="s">
        <v>277</v>
      </c>
      <c r="H421" s="1"/>
      <c r="I421" s="1"/>
      <c r="J421" s="1" t="s">
        <v>278</v>
      </c>
      <c r="K421" s="1">
        <v>2024</v>
      </c>
      <c r="L421" s="1">
        <v>202410</v>
      </c>
      <c r="M421" s="1">
        <v>202410</v>
      </c>
      <c r="N421" s="1" t="s">
        <v>279</v>
      </c>
      <c r="O421" s="1" t="s">
        <v>230</v>
      </c>
      <c r="P421" s="1" t="s">
        <v>280</v>
      </c>
      <c r="Q421" s="1" t="s">
        <v>233</v>
      </c>
      <c r="R421" s="1" t="s">
        <v>277</v>
      </c>
      <c r="S421" s="1" t="s">
        <v>102</v>
      </c>
      <c r="T421" s="105" t="str">
        <f>_xlfn.XLOOKUP(Tabla1[[#This Row],[Universidad]],Conversiones!$B:$B,Conversiones!$C:$C)</f>
        <v>Politecnico di Milano</v>
      </c>
      <c r="U421" s="105" t="str">
        <f>_xlfn.XLOOKUP(Tabla1[[#This Row],[Universidad KPIs]],Conversiones!$C:$C,Conversiones!$E:$E)</f>
        <v>Específico</v>
      </c>
      <c r="V421" s="1" t="s">
        <v>103</v>
      </c>
      <c r="W421" s="1" t="s">
        <v>281</v>
      </c>
      <c r="X421" s="87">
        <v>45313</v>
      </c>
      <c r="Y421" s="87">
        <v>45437</v>
      </c>
      <c r="Z421" s="1">
        <v>124</v>
      </c>
    </row>
    <row r="422" spans="1:27">
      <c r="A422" s="102" t="s">
        <v>1832</v>
      </c>
      <c r="B422">
        <v>201712589</v>
      </c>
      <c r="C422" t="s">
        <v>517</v>
      </c>
      <c r="D422" t="s">
        <v>1833</v>
      </c>
      <c r="E422" t="s">
        <v>1834</v>
      </c>
      <c r="F422" t="s">
        <v>631</v>
      </c>
      <c r="G422" t="s">
        <v>538</v>
      </c>
      <c r="H422" t="s">
        <v>233</v>
      </c>
      <c r="I422" t="s">
        <v>277</v>
      </c>
      <c r="J422" t="s">
        <v>278</v>
      </c>
      <c r="K422">
        <v>2024</v>
      </c>
      <c r="L422">
        <v>202410</v>
      </c>
      <c r="M422">
        <v>202410</v>
      </c>
      <c r="N422" t="s">
        <v>279</v>
      </c>
      <c r="O422" t="s">
        <v>230</v>
      </c>
      <c r="P422" t="s">
        <v>280</v>
      </c>
      <c r="Q422" t="s">
        <v>233</v>
      </c>
      <c r="R422" t="s">
        <v>277</v>
      </c>
      <c r="S422" t="s">
        <v>169</v>
      </c>
      <c r="T422" s="105" t="str">
        <f>_xlfn.XLOOKUP(Tabla1[[#This Row],[Universidad]],Conversiones!$B:$B,Conversiones!$C:$C)</f>
        <v>Universidade do Porto</v>
      </c>
      <c r="U422" s="105" t="str">
        <f>_xlfn.XLOOKUP(Tabla1[[#This Row],[Universidad KPIs]],Conversiones!$C:$C,Conversiones!$E:$E)</f>
        <v>General</v>
      </c>
      <c r="V422" t="s">
        <v>61</v>
      </c>
      <c r="W422" t="s">
        <v>281</v>
      </c>
      <c r="X422" s="2">
        <v>45313</v>
      </c>
      <c r="Y422" s="2">
        <v>45437</v>
      </c>
      <c r="Z422">
        <v>124</v>
      </c>
    </row>
    <row r="423" spans="1:27">
      <c r="A423" s="103" t="s">
        <v>1835</v>
      </c>
      <c r="B423" s="1">
        <v>202022078</v>
      </c>
      <c r="C423" s="1" t="s">
        <v>1836</v>
      </c>
      <c r="D423" s="1" t="s">
        <v>1837</v>
      </c>
      <c r="E423" s="1" t="s">
        <v>1838</v>
      </c>
      <c r="F423" s="1" t="s">
        <v>233</v>
      </c>
      <c r="G423" s="1" t="s">
        <v>277</v>
      </c>
      <c r="H423" s="1" t="s">
        <v>810</v>
      </c>
      <c r="I423" s="1" t="s">
        <v>811</v>
      </c>
      <c r="J423" s="1" t="s">
        <v>278</v>
      </c>
      <c r="K423" s="1">
        <v>2024</v>
      </c>
      <c r="L423" s="1">
        <v>202410</v>
      </c>
      <c r="M423" s="1">
        <v>202410</v>
      </c>
      <c r="N423" s="1" t="s">
        <v>279</v>
      </c>
      <c r="O423" s="1" t="s">
        <v>230</v>
      </c>
      <c r="P423" s="1" t="s">
        <v>280</v>
      </c>
      <c r="Q423" s="1" t="s">
        <v>233</v>
      </c>
      <c r="R423" s="1" t="s">
        <v>277</v>
      </c>
      <c r="S423" s="1" t="s">
        <v>366</v>
      </c>
      <c r="T423" s="105" t="str">
        <f>_xlfn.XLOOKUP(Tabla1[[#This Row],[Universidad]],Conversiones!$B:$B,Conversiones!$C:$C)</f>
        <v>HEC Montréal</v>
      </c>
      <c r="U423" s="105" t="str">
        <f>_xlfn.XLOOKUP(Tabla1[[#This Row],[Universidad KPIs]],Conversiones!$C:$C,Conversiones!$E:$E)</f>
        <v>Específico</v>
      </c>
      <c r="V423" s="1" t="s">
        <v>74</v>
      </c>
      <c r="W423" s="1" t="s">
        <v>291</v>
      </c>
      <c r="X423" s="87">
        <v>45313</v>
      </c>
      <c r="Y423" s="87">
        <v>45437</v>
      </c>
      <c r="Z423" s="1">
        <v>124</v>
      </c>
    </row>
    <row r="424" spans="1:27">
      <c r="A424" s="102" t="s">
        <v>1839</v>
      </c>
      <c r="B424">
        <v>202011528</v>
      </c>
      <c r="C424" t="s">
        <v>1840</v>
      </c>
      <c r="D424" t="s">
        <v>1841</v>
      </c>
      <c r="E424" t="s">
        <v>1842</v>
      </c>
      <c r="F424" t="s">
        <v>233</v>
      </c>
      <c r="G424" t="s">
        <v>277</v>
      </c>
      <c r="J424" t="s">
        <v>278</v>
      </c>
      <c r="K424">
        <v>2024</v>
      </c>
      <c r="L424">
        <v>202410</v>
      </c>
      <c r="M424">
        <v>202410</v>
      </c>
      <c r="N424" t="s">
        <v>279</v>
      </c>
      <c r="O424" t="s">
        <v>230</v>
      </c>
      <c r="P424" t="s">
        <v>280</v>
      </c>
      <c r="Q424" t="s">
        <v>233</v>
      </c>
      <c r="R424" t="s">
        <v>277</v>
      </c>
      <c r="S424" t="s">
        <v>455</v>
      </c>
      <c r="T424" s="105" t="str">
        <f>_xlfn.XLOOKUP(Tabla1[[#This Row],[Universidad]],Conversiones!$B:$B,Conversiones!$C:$C)</f>
        <v>Nova School of Business and Economics</v>
      </c>
      <c r="U424" s="105" t="str">
        <f>_xlfn.XLOOKUP(Tabla1[[#This Row],[Universidad KPIs]],Conversiones!$C:$C,Conversiones!$E:$E)</f>
        <v>Específico</v>
      </c>
      <c r="V424" t="s">
        <v>61</v>
      </c>
      <c r="W424" t="s">
        <v>281</v>
      </c>
      <c r="X424" s="2">
        <v>45313</v>
      </c>
      <c r="Y424" s="2">
        <v>45437</v>
      </c>
      <c r="Z424">
        <v>124</v>
      </c>
    </row>
    <row r="425" spans="1:27">
      <c r="A425" s="103" t="s">
        <v>1843</v>
      </c>
      <c r="B425" s="1">
        <v>202122274</v>
      </c>
      <c r="C425" s="1" t="s">
        <v>335</v>
      </c>
      <c r="D425" s="1" t="s">
        <v>1844</v>
      </c>
      <c r="E425" s="1" t="s">
        <v>1845</v>
      </c>
      <c r="F425" s="1" t="s">
        <v>233</v>
      </c>
      <c r="G425" s="1" t="s">
        <v>277</v>
      </c>
      <c r="H425" s="1"/>
      <c r="I425" s="1"/>
      <c r="J425" s="1" t="s">
        <v>278</v>
      </c>
      <c r="K425" s="1">
        <v>2024</v>
      </c>
      <c r="L425" s="1">
        <v>202410</v>
      </c>
      <c r="M425" s="1">
        <v>202410</v>
      </c>
      <c r="N425" s="1" t="s">
        <v>279</v>
      </c>
      <c r="O425" s="1" t="s">
        <v>230</v>
      </c>
      <c r="P425" s="1" t="s">
        <v>280</v>
      </c>
      <c r="Q425" s="1" t="s">
        <v>233</v>
      </c>
      <c r="R425" s="1" t="s">
        <v>277</v>
      </c>
      <c r="S425" s="1" t="s">
        <v>320</v>
      </c>
      <c r="T425" s="105" t="str">
        <f>_xlfn.XLOOKUP(Tabla1[[#This Row],[Universidad]],Conversiones!$B:$B,Conversiones!$C:$C)</f>
        <v>ESADE</v>
      </c>
      <c r="U425" s="105" t="str">
        <f>_xlfn.XLOOKUP(Tabla1[[#This Row],[Universidad KPIs]],Conversiones!$C:$C,Conversiones!$E:$E)</f>
        <v>Específico</v>
      </c>
      <c r="V425" s="1" t="s">
        <v>69</v>
      </c>
      <c r="W425" s="1" t="s">
        <v>281</v>
      </c>
      <c r="X425" s="87">
        <v>45313</v>
      </c>
      <c r="Y425" s="87">
        <v>45437</v>
      </c>
      <c r="Z425" s="1">
        <v>124</v>
      </c>
    </row>
    <row r="426" spans="1:27">
      <c r="A426" s="102" t="s">
        <v>1846</v>
      </c>
      <c r="B426">
        <v>200322688</v>
      </c>
      <c r="C426" t="s">
        <v>1847</v>
      </c>
      <c r="D426" t="s">
        <v>1848</v>
      </c>
      <c r="E426" t="s">
        <v>1849</v>
      </c>
      <c r="F426" t="s">
        <v>241</v>
      </c>
      <c r="G426" t="s">
        <v>277</v>
      </c>
      <c r="J426" t="s">
        <v>566</v>
      </c>
      <c r="K426">
        <v>2024</v>
      </c>
      <c r="L426">
        <v>202410</v>
      </c>
      <c r="M426">
        <v>202410</v>
      </c>
      <c r="N426" t="s">
        <v>1850</v>
      </c>
      <c r="O426" t="s">
        <v>230</v>
      </c>
      <c r="P426" t="s">
        <v>1851</v>
      </c>
      <c r="Q426" t="s">
        <v>241</v>
      </c>
      <c r="R426" t="s">
        <v>277</v>
      </c>
      <c r="S426" t="s">
        <v>812</v>
      </c>
      <c r="T426" s="105" t="str">
        <f>_xlfn.XLOOKUP(Tabla1[[#This Row],[Universidad]],Conversiones!$B:$B,Conversiones!$C:$C)</f>
        <v>ITESM-EGADE -Instituto tecnológico y de estudios superiores de Monterrey</v>
      </c>
      <c r="U426" s="105" t="str">
        <f>_xlfn.XLOOKUP(Tabla1[[#This Row],[Universidad KPIs]],Conversiones!$C:$C,Conversiones!$E:$E)</f>
        <v>Específico</v>
      </c>
      <c r="V426" t="s">
        <v>87</v>
      </c>
      <c r="W426" t="s">
        <v>291</v>
      </c>
      <c r="X426" s="2">
        <v>45313</v>
      </c>
      <c r="Y426" s="2">
        <v>45437</v>
      </c>
      <c r="Z426">
        <v>124</v>
      </c>
    </row>
    <row r="427" spans="1:27">
      <c r="A427" s="103" t="s">
        <v>1852</v>
      </c>
      <c r="B427" s="1">
        <v>201819043</v>
      </c>
      <c r="C427" s="1" t="s">
        <v>1853</v>
      </c>
      <c r="D427" s="1" t="s">
        <v>1854</v>
      </c>
      <c r="E427" s="1" t="s">
        <v>1855</v>
      </c>
      <c r="F427" s="1" t="s">
        <v>233</v>
      </c>
      <c r="G427" s="1" t="s">
        <v>277</v>
      </c>
      <c r="H427" s="1"/>
      <c r="I427" s="1"/>
      <c r="J427" s="1" t="s">
        <v>566</v>
      </c>
      <c r="K427" s="1">
        <v>2024</v>
      </c>
      <c r="L427" s="1">
        <v>202410</v>
      </c>
      <c r="M427" s="1">
        <v>202410</v>
      </c>
      <c r="N427" s="1" t="s">
        <v>279</v>
      </c>
      <c r="O427" s="1" t="s">
        <v>230</v>
      </c>
      <c r="P427" s="1" t="s">
        <v>1851</v>
      </c>
      <c r="Q427" s="1" t="s">
        <v>233</v>
      </c>
      <c r="R427" s="1" t="s">
        <v>277</v>
      </c>
      <c r="S427" s="1" t="s">
        <v>812</v>
      </c>
      <c r="T427" s="105" t="str">
        <f>_xlfn.XLOOKUP(Tabla1[[#This Row],[Universidad]],Conversiones!$B:$B,Conversiones!$C:$C)</f>
        <v>ITESM-EGADE -Instituto tecnológico y de estudios superiores de Monterrey</v>
      </c>
      <c r="U427" s="105" t="str">
        <f>_xlfn.XLOOKUP(Tabla1[[#This Row],[Universidad KPIs]],Conversiones!$C:$C,Conversiones!$E:$E)</f>
        <v>Específico</v>
      </c>
      <c r="V427" s="1" t="s">
        <v>87</v>
      </c>
      <c r="W427" s="1" t="s">
        <v>291</v>
      </c>
      <c r="X427" s="87">
        <v>45313</v>
      </c>
      <c r="Y427" s="87">
        <v>45437</v>
      </c>
      <c r="Z427" s="1">
        <v>124</v>
      </c>
    </row>
    <row r="428" spans="1:27">
      <c r="A428" s="103" t="s">
        <v>1785</v>
      </c>
      <c r="B428" s="1">
        <v>202011438</v>
      </c>
      <c r="C428" s="1" t="s">
        <v>901</v>
      </c>
      <c r="D428" s="1" t="s">
        <v>1786</v>
      </c>
      <c r="E428" s="1" t="s">
        <v>1787</v>
      </c>
      <c r="F428" s="1" t="s">
        <v>233</v>
      </c>
      <c r="G428" s="1" t="s">
        <v>277</v>
      </c>
      <c r="H428" s="1"/>
      <c r="I428" s="1"/>
      <c r="J428" s="1" t="s">
        <v>278</v>
      </c>
      <c r="K428" s="1">
        <v>2024</v>
      </c>
      <c r="L428" s="1">
        <v>202419</v>
      </c>
      <c r="M428" s="1">
        <v>202419</v>
      </c>
      <c r="N428" s="1" t="s">
        <v>279</v>
      </c>
      <c r="O428" s="1" t="s">
        <v>584</v>
      </c>
      <c r="P428" s="1" t="s">
        <v>1856</v>
      </c>
      <c r="Q428" s="1" t="s">
        <v>233</v>
      </c>
      <c r="R428" s="1" t="s">
        <v>277</v>
      </c>
      <c r="S428" s="1" t="s">
        <v>197</v>
      </c>
      <c r="T428" s="105" t="str">
        <f>_xlfn.XLOOKUP(Tabla1[[#This Row],[Universidad]],Conversiones!$B:$B,Conversiones!$C:$C)</f>
        <v>Cornell University</v>
      </c>
      <c r="U428" s="105" t="str">
        <f>_xlfn.XLOOKUP(Tabla1[[#This Row],[Universidad KPIs]],Conversiones!$C:$C,Conversiones!$E:$E)</f>
        <v>General</v>
      </c>
      <c r="V428" s="1" t="s">
        <v>220</v>
      </c>
      <c r="W428" s="1" t="s">
        <v>291</v>
      </c>
      <c r="X428" s="87">
        <v>45447</v>
      </c>
      <c r="Y428" s="87">
        <v>45500</v>
      </c>
      <c r="Z428" s="1">
        <v>53</v>
      </c>
    </row>
    <row r="429" spans="1:27">
      <c r="A429" s="102" t="s">
        <v>1857</v>
      </c>
      <c r="B429">
        <v>202020929</v>
      </c>
      <c r="C429" t="s">
        <v>1858</v>
      </c>
      <c r="D429" t="s">
        <v>1859</v>
      </c>
      <c r="E429" t="s">
        <v>1860</v>
      </c>
      <c r="F429" t="s">
        <v>233</v>
      </c>
      <c r="G429" t="s">
        <v>277</v>
      </c>
      <c r="J429" t="s">
        <v>278</v>
      </c>
      <c r="K429">
        <v>2024</v>
      </c>
      <c r="L429">
        <v>202419</v>
      </c>
      <c r="M429">
        <v>202419</v>
      </c>
      <c r="N429" t="s">
        <v>279</v>
      </c>
      <c r="O429" t="s">
        <v>584</v>
      </c>
      <c r="P429" t="s">
        <v>1856</v>
      </c>
      <c r="Q429" t="s">
        <v>233</v>
      </c>
      <c r="R429" t="s">
        <v>277</v>
      </c>
      <c r="S429" t="s">
        <v>197</v>
      </c>
      <c r="T429" s="105" t="str">
        <f>_xlfn.XLOOKUP(Tabla1[[#This Row],[Universidad]],Conversiones!$B:$B,Conversiones!$C:$C)</f>
        <v>Cornell University</v>
      </c>
      <c r="U429" s="105" t="str">
        <f>_xlfn.XLOOKUP(Tabla1[[#This Row],[Universidad KPIs]],Conversiones!$C:$C,Conversiones!$E:$E)</f>
        <v>General</v>
      </c>
      <c r="V429" t="s">
        <v>220</v>
      </c>
      <c r="W429" t="s">
        <v>291</v>
      </c>
      <c r="X429" s="2">
        <v>45447</v>
      </c>
      <c r="Y429" s="2">
        <v>45500</v>
      </c>
      <c r="Z429">
        <v>53</v>
      </c>
      <c r="AA429" s="2"/>
    </row>
    <row r="430" spans="1:27">
      <c r="A430" s="103" t="s">
        <v>1861</v>
      </c>
      <c r="B430" s="1">
        <v>202120052</v>
      </c>
      <c r="C430" s="1" t="s">
        <v>1491</v>
      </c>
      <c r="D430" s="1" t="s">
        <v>1862</v>
      </c>
      <c r="E430" s="1" t="s">
        <v>1863</v>
      </c>
      <c r="F430" s="1" t="s">
        <v>233</v>
      </c>
      <c r="G430" s="1" t="s">
        <v>277</v>
      </c>
      <c r="H430" s="1"/>
      <c r="I430" s="1"/>
      <c r="J430" s="1" t="s">
        <v>278</v>
      </c>
      <c r="K430" s="1">
        <v>2024</v>
      </c>
      <c r="L430" s="1">
        <v>202420</v>
      </c>
      <c r="M430" s="1">
        <v>202420</v>
      </c>
      <c r="N430" s="1" t="s">
        <v>279</v>
      </c>
      <c r="O430" s="1" t="s">
        <v>230</v>
      </c>
      <c r="P430" s="1" t="s">
        <v>280</v>
      </c>
      <c r="Q430" s="1" t="s">
        <v>233</v>
      </c>
      <c r="R430" s="1" t="s">
        <v>277</v>
      </c>
      <c r="S430" s="1" t="s">
        <v>181</v>
      </c>
      <c r="T430" s="105" t="str">
        <f>_xlfn.XLOOKUP(Tabla1[[#This Row],[Universidad]],Conversiones!$B:$B,Conversiones!$C:$C)</f>
        <v>University of New South Wales</v>
      </c>
      <c r="U430" s="105" t="str">
        <f>_xlfn.XLOOKUP(Tabla1[[#This Row],[Universidad KPIs]],Conversiones!$C:$C,Conversiones!$E:$E)</f>
        <v>General</v>
      </c>
      <c r="V430" s="1" t="s">
        <v>106</v>
      </c>
      <c r="W430" s="1" t="s">
        <v>385</v>
      </c>
      <c r="X430" s="87">
        <v>45509</v>
      </c>
      <c r="Y430" s="87">
        <v>45626</v>
      </c>
      <c r="Z430" s="1">
        <v>117</v>
      </c>
      <c r="AA430" s="2"/>
    </row>
    <row r="431" spans="1:27">
      <c r="A431" s="102" t="s">
        <v>1864</v>
      </c>
      <c r="B431">
        <v>202123932</v>
      </c>
      <c r="C431" t="s">
        <v>540</v>
      </c>
      <c r="D431" t="s">
        <v>1865</v>
      </c>
      <c r="E431" t="s">
        <v>1866</v>
      </c>
      <c r="F431" t="s">
        <v>233</v>
      </c>
      <c r="G431" t="s">
        <v>277</v>
      </c>
      <c r="J431" t="s">
        <v>278</v>
      </c>
      <c r="K431">
        <v>2024</v>
      </c>
      <c r="L431">
        <v>202420</v>
      </c>
      <c r="M431">
        <v>202420</v>
      </c>
      <c r="N431" t="s">
        <v>279</v>
      </c>
      <c r="O431" t="s">
        <v>230</v>
      </c>
      <c r="P431" t="s">
        <v>280</v>
      </c>
      <c r="Q431" t="s">
        <v>233</v>
      </c>
      <c r="R431" t="s">
        <v>277</v>
      </c>
      <c r="S431" t="s">
        <v>115</v>
      </c>
      <c r="T431" s="105" t="str">
        <f>_xlfn.XLOOKUP(Tabla1[[#This Row],[Universidad]],Conversiones!$B:$B,Conversiones!$C:$C)</f>
        <v>University of Exeter</v>
      </c>
      <c r="U431" s="105" t="str">
        <f>_xlfn.XLOOKUP(Tabla1[[#This Row],[Universidad KPIs]],Conversiones!$C:$C,Conversiones!$E:$E)</f>
        <v>Específico</v>
      </c>
      <c r="V431" t="s">
        <v>55</v>
      </c>
      <c r="W431" t="s">
        <v>281</v>
      </c>
      <c r="X431" s="2">
        <v>45509</v>
      </c>
      <c r="Y431" s="2">
        <v>45626</v>
      </c>
      <c r="Z431">
        <v>117</v>
      </c>
      <c r="AA431" s="2"/>
    </row>
    <row r="432" spans="1:27">
      <c r="A432" s="103" t="s">
        <v>1867</v>
      </c>
      <c r="B432" s="1">
        <v>202022094</v>
      </c>
      <c r="C432" s="1" t="s">
        <v>1868</v>
      </c>
      <c r="D432" s="1" t="s">
        <v>1869</v>
      </c>
      <c r="E432" s="1" t="s">
        <v>1870</v>
      </c>
      <c r="F432" s="1" t="s">
        <v>233</v>
      </c>
      <c r="G432" s="1" t="s">
        <v>277</v>
      </c>
      <c r="H432" s="1"/>
      <c r="I432" s="1"/>
      <c r="J432" s="1" t="s">
        <v>278</v>
      </c>
      <c r="K432" s="1">
        <v>2024</v>
      </c>
      <c r="L432" s="1">
        <v>202420</v>
      </c>
      <c r="M432" s="1">
        <v>202420</v>
      </c>
      <c r="N432" s="1" t="s">
        <v>279</v>
      </c>
      <c r="O432" s="1" t="s">
        <v>230</v>
      </c>
      <c r="P432" s="1" t="s">
        <v>280</v>
      </c>
      <c r="Q432" s="1" t="s">
        <v>233</v>
      </c>
      <c r="R432" s="1" t="s">
        <v>277</v>
      </c>
      <c r="S432" s="1" t="s">
        <v>184</v>
      </c>
      <c r="T432" s="105" t="str">
        <f>_xlfn.XLOOKUP(Tabla1[[#This Row],[Universidad]],Conversiones!$B:$B,Conversiones!$C:$C)</f>
        <v>Université Libre de Bruxelles</v>
      </c>
      <c r="U432" s="105" t="str">
        <f>_xlfn.XLOOKUP(Tabla1[[#This Row],[Universidad KPIs]],Conversiones!$C:$C,Conversiones!$E:$E)</f>
        <v>General</v>
      </c>
      <c r="V432" s="1" t="s">
        <v>185</v>
      </c>
      <c r="W432" s="1" t="s">
        <v>281</v>
      </c>
      <c r="X432" s="87">
        <v>45509</v>
      </c>
      <c r="Y432" s="87">
        <v>45626</v>
      </c>
      <c r="Z432" s="1">
        <v>117</v>
      </c>
      <c r="AA432" s="2"/>
    </row>
    <row r="433" spans="1:27">
      <c r="A433" s="102" t="s">
        <v>1871</v>
      </c>
      <c r="B433">
        <v>202122361</v>
      </c>
      <c r="C433" t="s">
        <v>474</v>
      </c>
      <c r="D433" t="s">
        <v>1872</v>
      </c>
      <c r="E433" t="s">
        <v>1873</v>
      </c>
      <c r="F433" t="s">
        <v>233</v>
      </c>
      <c r="G433" t="s">
        <v>277</v>
      </c>
      <c r="J433" t="s">
        <v>278</v>
      </c>
      <c r="K433">
        <v>2024</v>
      </c>
      <c r="L433">
        <v>202420</v>
      </c>
      <c r="M433">
        <v>202420</v>
      </c>
      <c r="N433" t="s">
        <v>279</v>
      </c>
      <c r="O433" t="s">
        <v>230</v>
      </c>
      <c r="P433" t="s">
        <v>280</v>
      </c>
      <c r="Q433" t="s">
        <v>233</v>
      </c>
      <c r="R433" t="s">
        <v>277</v>
      </c>
      <c r="S433" t="s">
        <v>186</v>
      </c>
      <c r="T433" s="105" t="str">
        <f>_xlfn.XLOOKUP(Tabla1[[#This Row],[Universidad]],Conversiones!$B:$B,Conversiones!$C:$C)</f>
        <v>Universität zu Köln</v>
      </c>
      <c r="U433" s="105" t="str">
        <f>_xlfn.XLOOKUP(Tabla1[[#This Row],[Universidad KPIs]],Conversiones!$C:$C,Conversiones!$E:$E)</f>
        <v>General</v>
      </c>
      <c r="V433" t="s">
        <v>76</v>
      </c>
      <c r="W433" t="s">
        <v>281</v>
      </c>
      <c r="X433" s="2">
        <v>45509</v>
      </c>
      <c r="Y433" s="2">
        <v>45626</v>
      </c>
      <c r="Z433">
        <v>117</v>
      </c>
      <c r="AA433" s="2"/>
    </row>
    <row r="434" spans="1:27">
      <c r="A434" s="103" t="s">
        <v>1874</v>
      </c>
      <c r="B434" s="1">
        <v>202113000</v>
      </c>
      <c r="C434" s="1" t="s">
        <v>771</v>
      </c>
      <c r="D434" s="1" t="s">
        <v>1875</v>
      </c>
      <c r="E434" s="1" t="s">
        <v>1876</v>
      </c>
      <c r="F434" s="1" t="s">
        <v>233</v>
      </c>
      <c r="G434" s="1" t="s">
        <v>277</v>
      </c>
      <c r="H434" s="1"/>
      <c r="I434" s="1"/>
      <c r="J434" s="1" t="s">
        <v>278</v>
      </c>
      <c r="K434" s="1">
        <v>2024</v>
      </c>
      <c r="L434" s="1">
        <v>202420</v>
      </c>
      <c r="M434" s="1">
        <v>202420</v>
      </c>
      <c r="N434" s="1" t="s">
        <v>279</v>
      </c>
      <c r="O434" s="1" t="s">
        <v>230</v>
      </c>
      <c r="P434" s="1" t="s">
        <v>280</v>
      </c>
      <c r="Q434" s="1" t="s">
        <v>233</v>
      </c>
      <c r="R434" s="1" t="s">
        <v>277</v>
      </c>
      <c r="S434" s="1" t="s">
        <v>524</v>
      </c>
      <c r="T434" s="105" t="str">
        <f>_xlfn.XLOOKUP(Tabla1[[#This Row],[Universidad]],Conversiones!$B:$B,Conversiones!$C:$C)</f>
        <v>University of Saint Gallen</v>
      </c>
      <c r="U434" s="105" t="str">
        <f>_xlfn.XLOOKUP(Tabla1[[#This Row],[Universidad KPIs]],Conversiones!$C:$C,Conversiones!$E:$E)</f>
        <v>Específico</v>
      </c>
      <c r="V434" s="1" t="s">
        <v>81</v>
      </c>
      <c r="W434" s="1" t="s">
        <v>281</v>
      </c>
      <c r="X434" s="87">
        <v>45509</v>
      </c>
      <c r="Y434" s="87">
        <v>45626</v>
      </c>
      <c r="Z434" s="1">
        <v>117</v>
      </c>
      <c r="AA434" s="2"/>
    </row>
    <row r="435" spans="1:27">
      <c r="A435" s="102" t="s">
        <v>1877</v>
      </c>
      <c r="B435">
        <v>202220843</v>
      </c>
      <c r="C435" t="s">
        <v>1878</v>
      </c>
      <c r="D435" t="s">
        <v>1879</v>
      </c>
      <c r="E435" t="s">
        <v>1880</v>
      </c>
      <c r="F435" t="s">
        <v>233</v>
      </c>
      <c r="G435" t="s">
        <v>277</v>
      </c>
      <c r="J435" t="s">
        <v>278</v>
      </c>
      <c r="K435">
        <v>2024</v>
      </c>
      <c r="L435">
        <v>202420</v>
      </c>
      <c r="M435">
        <v>202420</v>
      </c>
      <c r="N435" t="s">
        <v>279</v>
      </c>
      <c r="O435" t="s">
        <v>230</v>
      </c>
      <c r="P435" t="s">
        <v>280</v>
      </c>
      <c r="Q435" t="s">
        <v>233</v>
      </c>
      <c r="R435" t="s">
        <v>277</v>
      </c>
      <c r="S435" t="s">
        <v>320</v>
      </c>
      <c r="T435" s="105" t="str">
        <f>_xlfn.XLOOKUP(Tabla1[[#This Row],[Universidad]],Conversiones!$B:$B,Conversiones!$C:$C)</f>
        <v>ESADE</v>
      </c>
      <c r="U435" s="105" t="str">
        <f>_xlfn.XLOOKUP(Tabla1[[#This Row],[Universidad KPIs]],Conversiones!$C:$C,Conversiones!$E:$E)</f>
        <v>Específico</v>
      </c>
      <c r="V435" t="s">
        <v>69</v>
      </c>
      <c r="W435" t="s">
        <v>281</v>
      </c>
      <c r="X435" s="2">
        <v>45509</v>
      </c>
      <c r="Y435" s="2">
        <v>45626</v>
      </c>
      <c r="Z435">
        <v>117</v>
      </c>
      <c r="AA435" s="2"/>
    </row>
    <row r="436" spans="1:27">
      <c r="A436" s="103" t="s">
        <v>1881</v>
      </c>
      <c r="B436" s="1">
        <v>202122291</v>
      </c>
      <c r="C436" s="1" t="s">
        <v>1882</v>
      </c>
      <c r="D436" s="1" t="s">
        <v>1883</v>
      </c>
      <c r="E436" s="1" t="s">
        <v>1884</v>
      </c>
      <c r="F436" s="1" t="s">
        <v>233</v>
      </c>
      <c r="G436" s="1" t="s">
        <v>277</v>
      </c>
      <c r="H436" s="1"/>
      <c r="I436" s="1"/>
      <c r="J436" s="1" t="s">
        <v>278</v>
      </c>
      <c r="K436" s="1">
        <v>2024</v>
      </c>
      <c r="L436" s="1">
        <v>202420</v>
      </c>
      <c r="M436" s="1">
        <v>202420</v>
      </c>
      <c r="N436" s="1" t="s">
        <v>279</v>
      </c>
      <c r="O436" s="1" t="s">
        <v>230</v>
      </c>
      <c r="P436" s="1" t="s">
        <v>865</v>
      </c>
      <c r="Q436" s="1" t="s">
        <v>233</v>
      </c>
      <c r="R436" s="1" t="s">
        <v>277</v>
      </c>
      <c r="S436" s="1" t="s">
        <v>174</v>
      </c>
      <c r="T436" s="105" t="str">
        <f>_xlfn.XLOOKUP(Tabla1[[#This Row],[Universidad]],Conversiones!$B:$B,Conversiones!$C:$C)</f>
        <v>Universitat Politècnica de Catalunya</v>
      </c>
      <c r="U436" s="105" t="str">
        <f>_xlfn.XLOOKUP(Tabla1[[#This Row],[Universidad KPIs]],Conversiones!$C:$C,Conversiones!$E:$E)</f>
        <v>General</v>
      </c>
      <c r="V436" s="1" t="s">
        <v>69</v>
      </c>
      <c r="W436" s="1" t="s">
        <v>281</v>
      </c>
      <c r="X436" s="87">
        <v>45509</v>
      </c>
      <c r="Y436" s="87">
        <v>45626</v>
      </c>
      <c r="Z436" s="1">
        <v>117</v>
      </c>
      <c r="AA436" s="2"/>
    </row>
    <row r="437" spans="1:27">
      <c r="A437" s="102" t="s">
        <v>1885</v>
      </c>
      <c r="B437">
        <v>202122947</v>
      </c>
      <c r="C437" t="s">
        <v>1886</v>
      </c>
      <c r="D437" t="s">
        <v>1887</v>
      </c>
      <c r="E437" t="s">
        <v>1888</v>
      </c>
      <c r="F437" t="s">
        <v>233</v>
      </c>
      <c r="G437" t="s">
        <v>277</v>
      </c>
      <c r="J437" t="s">
        <v>278</v>
      </c>
      <c r="K437">
        <v>2024</v>
      </c>
      <c r="L437">
        <v>202420</v>
      </c>
      <c r="M437">
        <v>202420</v>
      </c>
      <c r="N437" t="s">
        <v>279</v>
      </c>
      <c r="O437" t="s">
        <v>230</v>
      </c>
      <c r="P437" t="s">
        <v>865</v>
      </c>
      <c r="Q437" t="s">
        <v>233</v>
      </c>
      <c r="R437" t="s">
        <v>277</v>
      </c>
      <c r="S437" t="s">
        <v>174</v>
      </c>
      <c r="T437" s="105" t="str">
        <f>_xlfn.XLOOKUP(Tabla1[[#This Row],[Universidad]],Conversiones!$B:$B,Conversiones!$C:$C)</f>
        <v>Universitat Politècnica de Catalunya</v>
      </c>
      <c r="U437" s="105" t="str">
        <f>_xlfn.XLOOKUP(Tabla1[[#This Row],[Universidad KPIs]],Conversiones!$C:$C,Conversiones!$E:$E)</f>
        <v>General</v>
      </c>
      <c r="V437" t="s">
        <v>69</v>
      </c>
      <c r="W437" t="s">
        <v>281</v>
      </c>
      <c r="X437" s="2">
        <v>45509</v>
      </c>
      <c r="Y437" s="2">
        <v>45626</v>
      </c>
      <c r="Z437">
        <v>117</v>
      </c>
      <c r="AA437" s="2"/>
    </row>
    <row r="438" spans="1:27">
      <c r="A438" s="103" t="s">
        <v>1889</v>
      </c>
      <c r="B438" s="1">
        <v>202222294</v>
      </c>
      <c r="C438" s="1" t="s">
        <v>730</v>
      </c>
      <c r="D438" s="1" t="s">
        <v>1890</v>
      </c>
      <c r="E438" s="1" t="s">
        <v>1891</v>
      </c>
      <c r="F438" s="1" t="s">
        <v>233</v>
      </c>
      <c r="G438" s="1" t="s">
        <v>277</v>
      </c>
      <c r="H438" s="1"/>
      <c r="I438" s="1"/>
      <c r="J438" s="1" t="s">
        <v>278</v>
      </c>
      <c r="K438" s="1">
        <v>2024</v>
      </c>
      <c r="L438" s="1">
        <v>202420</v>
      </c>
      <c r="M438" s="1">
        <v>202420</v>
      </c>
      <c r="N438" s="1" t="s">
        <v>279</v>
      </c>
      <c r="O438" s="1" t="s">
        <v>230</v>
      </c>
      <c r="P438" s="1" t="s">
        <v>280</v>
      </c>
      <c r="Q438" s="1" t="s">
        <v>233</v>
      </c>
      <c r="R438" s="1" t="s">
        <v>277</v>
      </c>
      <c r="S438" s="1" t="s">
        <v>455</v>
      </c>
      <c r="T438" s="105" t="str">
        <f>_xlfn.XLOOKUP(Tabla1[[#This Row],[Universidad]],Conversiones!$B:$B,Conversiones!$C:$C)</f>
        <v>Nova School of Business and Economics</v>
      </c>
      <c r="U438" s="105" t="str">
        <f>_xlfn.XLOOKUP(Tabla1[[#This Row],[Universidad KPIs]],Conversiones!$C:$C,Conversiones!$E:$E)</f>
        <v>Específico</v>
      </c>
      <c r="V438" s="1" t="s">
        <v>61</v>
      </c>
      <c r="W438" s="1" t="s">
        <v>281</v>
      </c>
      <c r="X438" s="87">
        <v>45509</v>
      </c>
      <c r="Y438" s="87">
        <v>45626</v>
      </c>
      <c r="Z438" s="1">
        <v>117</v>
      </c>
      <c r="AA438" s="2"/>
    </row>
    <row r="439" spans="1:27">
      <c r="A439" s="102" t="s">
        <v>1892</v>
      </c>
      <c r="B439">
        <v>202215416</v>
      </c>
      <c r="C439" t="s">
        <v>1893</v>
      </c>
      <c r="D439" t="s">
        <v>1894</v>
      </c>
      <c r="E439" t="s">
        <v>1895</v>
      </c>
      <c r="F439" t="s">
        <v>233</v>
      </c>
      <c r="G439" t="s">
        <v>277</v>
      </c>
      <c r="J439" t="s">
        <v>278</v>
      </c>
      <c r="K439">
        <v>2024</v>
      </c>
      <c r="L439">
        <v>202420</v>
      </c>
      <c r="M439">
        <v>202420</v>
      </c>
      <c r="N439" t="s">
        <v>279</v>
      </c>
      <c r="O439" t="s">
        <v>230</v>
      </c>
      <c r="P439" t="s">
        <v>280</v>
      </c>
      <c r="Q439" t="s">
        <v>233</v>
      </c>
      <c r="R439" t="s">
        <v>277</v>
      </c>
      <c r="S439" t="s">
        <v>455</v>
      </c>
      <c r="T439" s="105" t="str">
        <f>_xlfn.XLOOKUP(Tabla1[[#This Row],[Universidad]],Conversiones!$B:$B,Conversiones!$C:$C)</f>
        <v>Nova School of Business and Economics</v>
      </c>
      <c r="U439" s="105" t="str">
        <f>_xlfn.XLOOKUP(Tabla1[[#This Row],[Universidad KPIs]],Conversiones!$C:$C,Conversiones!$E:$E)</f>
        <v>Específico</v>
      </c>
      <c r="V439" t="s">
        <v>61</v>
      </c>
      <c r="W439" t="s">
        <v>281</v>
      </c>
      <c r="X439" s="2">
        <v>45509</v>
      </c>
      <c r="Y439" s="2">
        <v>45626</v>
      </c>
      <c r="Z439">
        <v>117</v>
      </c>
      <c r="AA439" s="2"/>
    </row>
    <row r="440" spans="1:27">
      <c r="A440" s="103" t="s">
        <v>1896</v>
      </c>
      <c r="B440" s="1">
        <v>202112467</v>
      </c>
      <c r="C440" s="1" t="s">
        <v>1897</v>
      </c>
      <c r="D440" s="1" t="s">
        <v>1898</v>
      </c>
      <c r="E440" s="1" t="s">
        <v>1899</v>
      </c>
      <c r="F440" s="1" t="s">
        <v>233</v>
      </c>
      <c r="G440" s="1" t="s">
        <v>277</v>
      </c>
      <c r="H440" s="1"/>
      <c r="I440" s="1"/>
      <c r="J440" s="1" t="s">
        <v>278</v>
      </c>
      <c r="K440" s="1">
        <v>2024</v>
      </c>
      <c r="L440" s="1">
        <v>202420</v>
      </c>
      <c r="M440" s="1">
        <v>202420</v>
      </c>
      <c r="N440" s="1" t="s">
        <v>279</v>
      </c>
      <c r="O440" s="1" t="s">
        <v>230</v>
      </c>
      <c r="P440" s="1" t="s">
        <v>280</v>
      </c>
      <c r="Q440" s="1" t="s">
        <v>233</v>
      </c>
      <c r="R440" s="1" t="s">
        <v>277</v>
      </c>
      <c r="S440" s="1" t="s">
        <v>187</v>
      </c>
      <c r="T440" s="105" t="str">
        <f>_xlfn.XLOOKUP(Tabla1[[#This Row],[Universidad]],Conversiones!$B:$B,Conversiones!$C:$C)</f>
        <v>Universidade do Minho</v>
      </c>
      <c r="U440" s="105" t="str">
        <f>_xlfn.XLOOKUP(Tabla1[[#This Row],[Universidad KPIs]],Conversiones!$C:$C,Conversiones!$E:$E)</f>
        <v>General</v>
      </c>
      <c r="V440" s="1" t="s">
        <v>61</v>
      </c>
      <c r="W440" s="1" t="s">
        <v>281</v>
      </c>
      <c r="X440" s="87">
        <v>45509</v>
      </c>
      <c r="Y440" s="87">
        <v>45626</v>
      </c>
      <c r="Z440" s="1">
        <v>117</v>
      </c>
      <c r="AA440" s="2"/>
    </row>
    <row r="441" spans="1:27">
      <c r="A441" s="102" t="s">
        <v>1900</v>
      </c>
      <c r="B441">
        <v>202120175</v>
      </c>
      <c r="C441" t="s">
        <v>1901</v>
      </c>
      <c r="D441" t="s">
        <v>1902</v>
      </c>
      <c r="E441" t="s">
        <v>1903</v>
      </c>
      <c r="F441" t="s">
        <v>233</v>
      </c>
      <c r="G441" t="s">
        <v>277</v>
      </c>
      <c r="J441" t="s">
        <v>278</v>
      </c>
      <c r="K441">
        <v>2024</v>
      </c>
      <c r="L441">
        <v>202420</v>
      </c>
      <c r="M441">
        <v>202420</v>
      </c>
      <c r="N441" t="s">
        <v>279</v>
      </c>
      <c r="O441" t="s">
        <v>230</v>
      </c>
      <c r="P441" t="s">
        <v>280</v>
      </c>
      <c r="Q441" t="s">
        <v>233</v>
      </c>
      <c r="R441" t="s">
        <v>277</v>
      </c>
      <c r="S441" t="s">
        <v>305</v>
      </c>
      <c r="T441" s="105" t="str">
        <f>_xlfn.XLOOKUP(Tabla1[[#This Row],[Universidad]],Conversiones!$B:$B,Conversiones!$C:$C)</f>
        <v>Catolica Lisbon Business &amp; Economics. Universidade Católica Portuguesa</v>
      </c>
      <c r="U441" s="105" t="str">
        <f>_xlfn.XLOOKUP(Tabla1[[#This Row],[Universidad KPIs]],Conversiones!$C:$C,Conversiones!$E:$E)</f>
        <v>Específico</v>
      </c>
      <c r="V441" t="s">
        <v>61</v>
      </c>
      <c r="W441" t="s">
        <v>281</v>
      </c>
      <c r="X441" s="2">
        <v>45509</v>
      </c>
      <c r="Y441" s="2">
        <v>45626</v>
      </c>
      <c r="Z441">
        <v>117</v>
      </c>
      <c r="AA441" s="2"/>
    </row>
    <row r="442" spans="1:27">
      <c r="A442" s="103" t="s">
        <v>1904</v>
      </c>
      <c r="B442" s="1">
        <v>202021945</v>
      </c>
      <c r="C442" s="1" t="s">
        <v>782</v>
      </c>
      <c r="D442" s="1" t="s">
        <v>1905</v>
      </c>
      <c r="E442" s="1" t="s">
        <v>1906</v>
      </c>
      <c r="F442" s="1" t="s">
        <v>233</v>
      </c>
      <c r="G442" s="1" t="s">
        <v>277</v>
      </c>
      <c r="H442" s="1"/>
      <c r="I442" s="1"/>
      <c r="J442" s="1" t="s">
        <v>278</v>
      </c>
      <c r="K442" s="1">
        <v>2024</v>
      </c>
      <c r="L442" s="1">
        <v>202420</v>
      </c>
      <c r="M442" s="1">
        <v>202420</v>
      </c>
      <c r="N442" s="1" t="s">
        <v>279</v>
      </c>
      <c r="O442" s="1" t="s">
        <v>230</v>
      </c>
      <c r="P442" s="1" t="s">
        <v>280</v>
      </c>
      <c r="Q442" s="1" t="s">
        <v>233</v>
      </c>
      <c r="R442" s="1" t="s">
        <v>277</v>
      </c>
      <c r="S442" s="1" t="s">
        <v>305</v>
      </c>
      <c r="T442" s="105" t="str">
        <f>_xlfn.XLOOKUP(Tabla1[[#This Row],[Universidad]],Conversiones!$B:$B,Conversiones!$C:$C)</f>
        <v>Catolica Lisbon Business &amp; Economics. Universidade Católica Portuguesa</v>
      </c>
      <c r="U442" s="105" t="str">
        <f>_xlfn.XLOOKUP(Tabla1[[#This Row],[Universidad KPIs]],Conversiones!$C:$C,Conversiones!$E:$E)</f>
        <v>Específico</v>
      </c>
      <c r="V442" s="1" t="s">
        <v>61</v>
      </c>
      <c r="W442" s="1" t="s">
        <v>281</v>
      </c>
      <c r="X442" s="87">
        <v>45509</v>
      </c>
      <c r="Y442" s="87">
        <v>45626</v>
      </c>
      <c r="Z442" s="1">
        <v>117</v>
      </c>
      <c r="AA442" s="2"/>
    </row>
    <row r="443" spans="1:27">
      <c r="A443" s="102" t="s">
        <v>1907</v>
      </c>
      <c r="B443">
        <v>201912975</v>
      </c>
      <c r="C443" t="s">
        <v>1908</v>
      </c>
      <c r="D443" t="s">
        <v>1909</v>
      </c>
      <c r="E443" t="s">
        <v>1910</v>
      </c>
      <c r="F443" t="s">
        <v>233</v>
      </c>
      <c r="G443" t="s">
        <v>277</v>
      </c>
      <c r="H443" t="s">
        <v>497</v>
      </c>
      <c r="I443" t="s">
        <v>498</v>
      </c>
      <c r="J443" t="s">
        <v>278</v>
      </c>
      <c r="K443">
        <v>2024</v>
      </c>
      <c r="L443">
        <v>202420</v>
      </c>
      <c r="M443">
        <v>202420</v>
      </c>
      <c r="N443" t="s">
        <v>279</v>
      </c>
      <c r="O443" t="s">
        <v>230</v>
      </c>
      <c r="P443" t="s">
        <v>280</v>
      </c>
      <c r="Q443" t="s">
        <v>233</v>
      </c>
      <c r="R443" t="s">
        <v>277</v>
      </c>
      <c r="S443" t="s">
        <v>188</v>
      </c>
      <c r="T443" s="105" t="str">
        <f>_xlfn.XLOOKUP(Tabla1[[#This Row],[Universidad]],Conversiones!$B:$B,Conversiones!$C:$C)</f>
        <v>Universidad del País Vasco / Euskal Herriko Unibertsitatea</v>
      </c>
      <c r="U443" s="105" t="str">
        <f>_xlfn.XLOOKUP(Tabla1[[#This Row],[Universidad KPIs]],Conversiones!$C:$C,Conversiones!$E:$E)</f>
        <v>General</v>
      </c>
      <c r="V443" t="s">
        <v>69</v>
      </c>
      <c r="W443" t="s">
        <v>281</v>
      </c>
      <c r="X443" s="2">
        <v>45509</v>
      </c>
      <c r="Y443" s="2">
        <v>45626</v>
      </c>
      <c r="Z443">
        <v>117</v>
      </c>
      <c r="AA443" s="2"/>
    </row>
    <row r="444" spans="1:27">
      <c r="A444" s="103" t="s">
        <v>1911</v>
      </c>
      <c r="B444" s="1">
        <v>202027040</v>
      </c>
      <c r="C444" s="1" t="s">
        <v>1912</v>
      </c>
      <c r="D444" s="1" t="s">
        <v>1913</v>
      </c>
      <c r="E444" s="1" t="s">
        <v>1914</v>
      </c>
      <c r="F444" s="1" t="s">
        <v>235</v>
      </c>
      <c r="G444" s="1" t="s">
        <v>277</v>
      </c>
      <c r="H444" s="1"/>
      <c r="I444" s="1"/>
      <c r="J444" s="1" t="s">
        <v>278</v>
      </c>
      <c r="K444" s="1">
        <v>2024</v>
      </c>
      <c r="L444" s="1">
        <v>202420</v>
      </c>
      <c r="M444" s="1">
        <v>202420</v>
      </c>
      <c r="N444" t="s">
        <v>618</v>
      </c>
      <c r="O444" s="1" t="s">
        <v>230</v>
      </c>
      <c r="P444" s="1" t="s">
        <v>1522</v>
      </c>
      <c r="Q444" s="1" t="s">
        <v>235</v>
      </c>
      <c r="R444" s="1" t="s">
        <v>277</v>
      </c>
      <c r="S444" s="1" t="s">
        <v>188</v>
      </c>
      <c r="T444" s="105" t="str">
        <f>_xlfn.XLOOKUP(Tabla1[[#This Row],[Universidad]],Conversiones!$B:$B,Conversiones!$C:$C)</f>
        <v>Universidad del País Vasco / Euskal Herriko Unibertsitatea</v>
      </c>
      <c r="U444" s="105" t="str">
        <f>_xlfn.XLOOKUP(Tabla1[[#This Row],[Universidad KPIs]],Conversiones!$C:$C,Conversiones!$E:$E)</f>
        <v>General</v>
      </c>
      <c r="V444" s="1" t="s">
        <v>69</v>
      </c>
      <c r="W444" s="1" t="s">
        <v>281</v>
      </c>
      <c r="X444" s="87">
        <v>45509</v>
      </c>
      <c r="Y444" s="87">
        <v>45626</v>
      </c>
      <c r="Z444" s="1">
        <v>117</v>
      </c>
      <c r="AA444" s="2"/>
    </row>
    <row r="445" spans="1:27">
      <c r="A445" s="102" t="s">
        <v>1915</v>
      </c>
      <c r="B445">
        <v>202311669</v>
      </c>
      <c r="C445" t="s">
        <v>1916</v>
      </c>
      <c r="D445" t="s">
        <v>1917</v>
      </c>
      <c r="E445" t="s">
        <v>1918</v>
      </c>
      <c r="F445" t="s">
        <v>236</v>
      </c>
      <c r="G445" t="s">
        <v>277</v>
      </c>
      <c r="J445" t="s">
        <v>278</v>
      </c>
      <c r="K445">
        <v>2024</v>
      </c>
      <c r="L445">
        <v>202420</v>
      </c>
      <c r="M445">
        <v>202420</v>
      </c>
      <c r="N445" t="s">
        <v>618</v>
      </c>
      <c r="O445" t="s">
        <v>230</v>
      </c>
      <c r="P445" t="s">
        <v>1522</v>
      </c>
      <c r="Q445" t="s">
        <v>236</v>
      </c>
      <c r="R445" t="s">
        <v>277</v>
      </c>
      <c r="S445" t="s">
        <v>1337</v>
      </c>
      <c r="T445" s="105" t="str">
        <f>_xlfn.XLOOKUP(Tabla1[[#This Row],[Universidad]],Conversiones!$B:$B,Conversiones!$C:$C)</f>
        <v>Universidad del Pacífico</v>
      </c>
      <c r="U445" s="105" t="str">
        <f>_xlfn.XLOOKUP(Tabla1[[#This Row],[Universidad KPIs]],Conversiones!$C:$C,Conversiones!$E:$E)</f>
        <v>Específico</v>
      </c>
      <c r="V445" t="s">
        <v>112</v>
      </c>
      <c r="W445" t="s">
        <v>296</v>
      </c>
      <c r="X445" s="2">
        <v>45509</v>
      </c>
      <c r="Y445" s="2">
        <v>45626</v>
      </c>
      <c r="Z445">
        <v>117</v>
      </c>
      <c r="AA445" s="2"/>
    </row>
    <row r="446" spans="1:27">
      <c r="A446" s="103" t="s">
        <v>1919</v>
      </c>
      <c r="B446" s="1">
        <v>202121605</v>
      </c>
      <c r="C446" s="1" t="s">
        <v>1316</v>
      </c>
      <c r="D446" s="1" t="s">
        <v>1920</v>
      </c>
      <c r="E446" s="1" t="s">
        <v>1921</v>
      </c>
      <c r="F446" s="1" t="s">
        <v>233</v>
      </c>
      <c r="G446" s="1" t="s">
        <v>277</v>
      </c>
      <c r="H446" s="1"/>
      <c r="I446" s="1"/>
      <c r="J446" s="1" t="s">
        <v>278</v>
      </c>
      <c r="K446" s="1">
        <v>2024</v>
      </c>
      <c r="L446" s="1">
        <v>202420</v>
      </c>
      <c r="M446" s="1">
        <v>202420</v>
      </c>
      <c r="N446" s="1" t="s">
        <v>279</v>
      </c>
      <c r="O446" s="1" t="s">
        <v>230</v>
      </c>
      <c r="P446" s="1" t="s">
        <v>280</v>
      </c>
      <c r="Q446" s="1" t="s">
        <v>233</v>
      </c>
      <c r="R446" s="1" t="s">
        <v>277</v>
      </c>
      <c r="S446" s="1" t="s">
        <v>159</v>
      </c>
      <c r="T446" s="105" t="str">
        <f>_xlfn.XLOOKUP(Tabla1[[#This Row],[Universidad]],Conversiones!$B:$B,Conversiones!$C:$C)</f>
        <v>Universidad de Alicante</v>
      </c>
      <c r="U446" s="105" t="str">
        <f>_xlfn.XLOOKUP(Tabla1[[#This Row],[Universidad KPIs]],Conversiones!$C:$C,Conversiones!$E:$E)</f>
        <v>General</v>
      </c>
      <c r="V446" s="1" t="s">
        <v>69</v>
      </c>
      <c r="W446" s="1" t="s">
        <v>281</v>
      </c>
      <c r="X446" s="87">
        <v>45509</v>
      </c>
      <c r="Y446" s="87">
        <v>45626</v>
      </c>
      <c r="Z446" s="1">
        <v>117</v>
      </c>
      <c r="AA446" s="2"/>
    </row>
    <row r="447" spans="1:27">
      <c r="A447" s="103" t="s">
        <v>1922</v>
      </c>
      <c r="B447" s="1">
        <v>202021436</v>
      </c>
      <c r="C447" s="1" t="s">
        <v>506</v>
      </c>
      <c r="D447" s="1" t="s">
        <v>1923</v>
      </c>
      <c r="E447" s="1" t="s">
        <v>1924</v>
      </c>
      <c r="F447" s="1" t="s">
        <v>233</v>
      </c>
      <c r="G447" s="1" t="s">
        <v>277</v>
      </c>
      <c r="H447" s="1"/>
      <c r="I447" s="1"/>
      <c r="J447" s="1" t="s">
        <v>278</v>
      </c>
      <c r="K447" s="1">
        <v>2024</v>
      </c>
      <c r="L447" s="1">
        <v>202420</v>
      </c>
      <c r="M447" s="1">
        <v>202420</v>
      </c>
      <c r="N447" s="1" t="s">
        <v>279</v>
      </c>
      <c r="O447" s="1" t="s">
        <v>231</v>
      </c>
      <c r="P447" s="1" t="s">
        <v>477</v>
      </c>
      <c r="Q447" s="1" t="s">
        <v>233</v>
      </c>
      <c r="R447" s="1" t="s">
        <v>277</v>
      </c>
      <c r="S447" s="1" t="s">
        <v>372</v>
      </c>
      <c r="T447" s="105" t="str">
        <f>_xlfn.XLOOKUP(Tabla1[[#This Row],[Universidad]],Conversiones!$B:$B,Conversiones!$C:$C)</f>
        <v>A.B. Freeman School of Business, Tulane University</v>
      </c>
      <c r="U447" s="105" t="str">
        <f>_xlfn.XLOOKUP(Tabla1[[#This Row],[Universidad KPIs]],Conversiones!$C:$C,Conversiones!$E:$E)</f>
        <v>Específico</v>
      </c>
      <c r="V447" s="1" t="s">
        <v>51</v>
      </c>
      <c r="W447" s="1" t="s">
        <v>291</v>
      </c>
      <c r="X447" s="87">
        <v>45509</v>
      </c>
      <c r="Y447" s="87">
        <v>45626</v>
      </c>
      <c r="Z447" s="1">
        <v>117</v>
      </c>
      <c r="AA447" s="2"/>
    </row>
    <row r="448" spans="1:27">
      <c r="A448" s="102" t="s">
        <v>1925</v>
      </c>
      <c r="B448">
        <v>202112851</v>
      </c>
      <c r="C448" t="s">
        <v>465</v>
      </c>
      <c r="D448" t="s">
        <v>1926</v>
      </c>
      <c r="E448" t="s">
        <v>1927</v>
      </c>
      <c r="F448" t="s">
        <v>233</v>
      </c>
      <c r="G448" t="s">
        <v>277</v>
      </c>
      <c r="J448" t="s">
        <v>278</v>
      </c>
      <c r="K448">
        <v>2024</v>
      </c>
      <c r="L448">
        <v>202420</v>
      </c>
      <c r="M448">
        <v>202420</v>
      </c>
      <c r="N448" t="s">
        <v>279</v>
      </c>
      <c r="O448" t="s">
        <v>230</v>
      </c>
      <c r="P448" t="s">
        <v>280</v>
      </c>
      <c r="Q448" t="s">
        <v>233</v>
      </c>
      <c r="R448" t="s">
        <v>277</v>
      </c>
      <c r="S448" t="s">
        <v>372</v>
      </c>
      <c r="T448" s="105" t="str">
        <f>_xlfn.XLOOKUP(Tabla1[[#This Row],[Universidad]],Conversiones!$B:$B,Conversiones!$C:$C)</f>
        <v>A.B. Freeman School of Business, Tulane University</v>
      </c>
      <c r="U448" s="105" t="str">
        <f>_xlfn.XLOOKUP(Tabla1[[#This Row],[Universidad KPIs]],Conversiones!$C:$C,Conversiones!$E:$E)</f>
        <v>Específico</v>
      </c>
      <c r="V448" t="s">
        <v>51</v>
      </c>
      <c r="W448" t="s">
        <v>291</v>
      </c>
      <c r="X448" s="2">
        <v>45509</v>
      </c>
      <c r="Y448" s="2">
        <v>45626</v>
      </c>
      <c r="Z448">
        <v>117</v>
      </c>
      <c r="AA448" s="2"/>
    </row>
    <row r="449" spans="1:27">
      <c r="A449" s="103" t="s">
        <v>1928</v>
      </c>
      <c r="B449" s="1">
        <v>202121765</v>
      </c>
      <c r="C449" s="1" t="s">
        <v>1929</v>
      </c>
      <c r="D449" s="1" t="s">
        <v>1930</v>
      </c>
      <c r="E449" s="1" t="s">
        <v>1931</v>
      </c>
      <c r="F449" s="1" t="s">
        <v>491</v>
      </c>
      <c r="G449" s="1" t="s">
        <v>492</v>
      </c>
      <c r="H449" s="1" t="s">
        <v>233</v>
      </c>
      <c r="I449" s="1" t="s">
        <v>277</v>
      </c>
      <c r="J449" s="1" t="s">
        <v>278</v>
      </c>
      <c r="K449" s="1">
        <v>2024</v>
      </c>
      <c r="L449" s="1">
        <v>202420</v>
      </c>
      <c r="M449" s="1">
        <v>202420</v>
      </c>
      <c r="N449" s="1" t="s">
        <v>279</v>
      </c>
      <c r="O449" s="1" t="s">
        <v>230</v>
      </c>
      <c r="P449" s="1" t="s">
        <v>280</v>
      </c>
      <c r="Q449" s="1" t="s">
        <v>233</v>
      </c>
      <c r="R449" s="1" t="s">
        <v>277</v>
      </c>
      <c r="S449" s="1" t="s">
        <v>310</v>
      </c>
      <c r="T449" s="105" t="str">
        <f>_xlfn.XLOOKUP(Tabla1[[#This Row],[Universidad]],Conversiones!$B:$B,Conversiones!$C:$C)</f>
        <v>Toulouse Business School</v>
      </c>
      <c r="U449" s="105" t="str">
        <f>_xlfn.XLOOKUP(Tabla1[[#This Row],[Universidad KPIs]],Conversiones!$C:$C,Conversiones!$E:$E)</f>
        <v>Específico</v>
      </c>
      <c r="V449" s="1" t="s">
        <v>57</v>
      </c>
      <c r="W449" s="1" t="s">
        <v>281</v>
      </c>
      <c r="X449" s="87">
        <v>45509</v>
      </c>
      <c r="Y449" s="87">
        <v>45626</v>
      </c>
      <c r="Z449" s="1">
        <v>117</v>
      </c>
      <c r="AA449" s="2"/>
    </row>
    <row r="450" spans="1:27">
      <c r="A450" s="102" t="s">
        <v>1785</v>
      </c>
      <c r="B450">
        <v>202011438</v>
      </c>
      <c r="C450" t="s">
        <v>901</v>
      </c>
      <c r="D450" t="s">
        <v>1786</v>
      </c>
      <c r="E450" t="s">
        <v>1787</v>
      </c>
      <c r="F450" t="s">
        <v>233</v>
      </c>
      <c r="G450" t="s">
        <v>277</v>
      </c>
      <c r="J450" t="s">
        <v>278</v>
      </c>
      <c r="K450">
        <v>2024</v>
      </c>
      <c r="L450">
        <v>202420</v>
      </c>
      <c r="M450">
        <v>202420</v>
      </c>
      <c r="N450" t="s">
        <v>279</v>
      </c>
      <c r="O450" t="s">
        <v>231</v>
      </c>
      <c r="P450" t="s">
        <v>477</v>
      </c>
      <c r="Q450" t="s">
        <v>233</v>
      </c>
      <c r="R450" t="s">
        <v>277</v>
      </c>
      <c r="S450" t="s">
        <v>310</v>
      </c>
      <c r="T450" s="105" t="str">
        <f>_xlfn.XLOOKUP(Tabla1[[#This Row],[Universidad]],Conversiones!$B:$B,Conversiones!$C:$C)</f>
        <v>Toulouse Business School</v>
      </c>
      <c r="U450" s="105" t="str">
        <f>_xlfn.XLOOKUP(Tabla1[[#This Row],[Universidad KPIs]],Conversiones!$C:$C,Conversiones!$E:$E)</f>
        <v>Específico</v>
      </c>
      <c r="V450" t="s">
        <v>57</v>
      </c>
      <c r="W450" t="s">
        <v>281</v>
      </c>
      <c r="X450" s="2">
        <v>45509</v>
      </c>
      <c r="Y450" s="2">
        <v>45626</v>
      </c>
      <c r="Z450">
        <v>117</v>
      </c>
      <c r="AA450" s="2"/>
    </row>
    <row r="451" spans="1:27">
      <c r="A451" s="103" t="s">
        <v>1932</v>
      </c>
      <c r="B451" s="1">
        <v>201812978</v>
      </c>
      <c r="C451" s="1" t="s">
        <v>1933</v>
      </c>
      <c r="D451" s="1" t="s">
        <v>1934</v>
      </c>
      <c r="E451" s="1" t="s">
        <v>1935</v>
      </c>
      <c r="F451" s="1" t="s">
        <v>233</v>
      </c>
      <c r="G451" s="1" t="s">
        <v>277</v>
      </c>
      <c r="H451" s="1"/>
      <c r="I451" s="1"/>
      <c r="J451" s="1" t="s">
        <v>278</v>
      </c>
      <c r="K451" s="1">
        <v>2024</v>
      </c>
      <c r="L451" s="1">
        <v>202420</v>
      </c>
      <c r="M451" s="1">
        <v>202420</v>
      </c>
      <c r="N451" s="1" t="s">
        <v>279</v>
      </c>
      <c r="O451" s="1" t="s">
        <v>231</v>
      </c>
      <c r="P451" s="1" t="s">
        <v>477</v>
      </c>
      <c r="Q451" s="1" t="s">
        <v>233</v>
      </c>
      <c r="R451" s="1" t="s">
        <v>277</v>
      </c>
      <c r="S451" s="1" t="s">
        <v>310</v>
      </c>
      <c r="T451" s="105" t="str">
        <f>_xlfn.XLOOKUP(Tabla1[[#This Row],[Universidad]],Conversiones!$B:$B,Conversiones!$C:$C)</f>
        <v>Toulouse Business School</v>
      </c>
      <c r="U451" s="105" t="str">
        <f>_xlfn.XLOOKUP(Tabla1[[#This Row],[Universidad KPIs]],Conversiones!$C:$C,Conversiones!$E:$E)</f>
        <v>Específico</v>
      </c>
      <c r="V451" s="1" t="s">
        <v>57</v>
      </c>
      <c r="W451" s="1" t="s">
        <v>281</v>
      </c>
      <c r="X451" s="87">
        <v>45509</v>
      </c>
      <c r="Y451" s="87">
        <v>45626</v>
      </c>
      <c r="Z451" s="1">
        <v>117</v>
      </c>
      <c r="AA451" s="2"/>
    </row>
    <row r="452" spans="1:27">
      <c r="A452" s="102" t="s">
        <v>1936</v>
      </c>
      <c r="B452">
        <v>202122210</v>
      </c>
      <c r="C452" t="s">
        <v>1937</v>
      </c>
      <c r="D452" t="s">
        <v>1938</v>
      </c>
      <c r="E452" t="s">
        <v>1939</v>
      </c>
      <c r="F452" t="s">
        <v>233</v>
      </c>
      <c r="G452" t="s">
        <v>277</v>
      </c>
      <c r="H452" t="s">
        <v>491</v>
      </c>
      <c r="I452" t="s">
        <v>492</v>
      </c>
      <c r="J452" t="s">
        <v>278</v>
      </c>
      <c r="K452">
        <v>2024</v>
      </c>
      <c r="L452">
        <v>202420</v>
      </c>
      <c r="M452">
        <v>202420</v>
      </c>
      <c r="N452" t="s">
        <v>279</v>
      </c>
      <c r="O452" t="s">
        <v>230</v>
      </c>
      <c r="P452" t="s">
        <v>280</v>
      </c>
      <c r="Q452" t="s">
        <v>233</v>
      </c>
      <c r="R452" t="s">
        <v>277</v>
      </c>
      <c r="S452" t="s">
        <v>310</v>
      </c>
      <c r="T452" s="105" t="str">
        <f>_xlfn.XLOOKUP(Tabla1[[#This Row],[Universidad]],Conversiones!$B:$B,Conversiones!$C:$C)</f>
        <v>Toulouse Business School</v>
      </c>
      <c r="U452" s="105" t="str">
        <f>_xlfn.XLOOKUP(Tabla1[[#This Row],[Universidad KPIs]],Conversiones!$C:$C,Conversiones!$E:$E)</f>
        <v>Específico</v>
      </c>
      <c r="V452" t="s">
        <v>57</v>
      </c>
      <c r="W452" t="s">
        <v>281</v>
      </c>
      <c r="X452" s="2">
        <v>45509</v>
      </c>
      <c r="Y452" s="2">
        <v>45626</v>
      </c>
      <c r="Z452">
        <v>117</v>
      </c>
      <c r="AA452" s="2"/>
    </row>
    <row r="453" spans="1:27">
      <c r="A453" s="103" t="s">
        <v>1940</v>
      </c>
      <c r="B453" s="1">
        <v>202021255</v>
      </c>
      <c r="C453" s="1" t="s">
        <v>407</v>
      </c>
      <c r="D453" s="1" t="s">
        <v>1941</v>
      </c>
      <c r="E453" s="1" t="s">
        <v>1942</v>
      </c>
      <c r="F453" s="1" t="s">
        <v>233</v>
      </c>
      <c r="G453" s="1" t="s">
        <v>277</v>
      </c>
      <c r="H453" s="1"/>
      <c r="I453" s="1"/>
      <c r="J453" s="1" t="s">
        <v>278</v>
      </c>
      <c r="K453" s="1">
        <v>2024</v>
      </c>
      <c r="L453" s="1">
        <v>202420</v>
      </c>
      <c r="M453" s="1">
        <v>202420</v>
      </c>
      <c r="N453" s="1" t="s">
        <v>279</v>
      </c>
      <c r="O453" s="1" t="s">
        <v>231</v>
      </c>
      <c r="P453" s="1" t="s">
        <v>477</v>
      </c>
      <c r="Q453" s="1" t="s">
        <v>233</v>
      </c>
      <c r="R453" s="1" t="s">
        <v>277</v>
      </c>
      <c r="S453" s="1" t="s">
        <v>310</v>
      </c>
      <c r="T453" s="105" t="str">
        <f>_xlfn.XLOOKUP(Tabla1[[#This Row],[Universidad]],Conversiones!$B:$B,Conversiones!$C:$C)</f>
        <v>Toulouse Business School</v>
      </c>
      <c r="U453" s="105" t="str">
        <f>_xlfn.XLOOKUP(Tabla1[[#This Row],[Universidad KPIs]],Conversiones!$C:$C,Conversiones!$E:$E)</f>
        <v>Específico</v>
      </c>
      <c r="V453" s="1" t="s">
        <v>57</v>
      </c>
      <c r="W453" s="1" t="s">
        <v>281</v>
      </c>
      <c r="X453" s="87">
        <v>45509</v>
      </c>
      <c r="Y453" s="87">
        <v>45626</v>
      </c>
      <c r="Z453" s="1">
        <v>117</v>
      </c>
      <c r="AA453" s="2"/>
    </row>
    <row r="454" spans="1:27">
      <c r="A454" s="102" t="s">
        <v>1943</v>
      </c>
      <c r="B454">
        <v>202115471</v>
      </c>
      <c r="C454" t="s">
        <v>884</v>
      </c>
      <c r="D454" t="s">
        <v>1944</v>
      </c>
      <c r="E454" t="s">
        <v>1945</v>
      </c>
      <c r="F454" t="s">
        <v>233</v>
      </c>
      <c r="G454" t="s">
        <v>277</v>
      </c>
      <c r="J454" t="s">
        <v>278</v>
      </c>
      <c r="K454">
        <v>2024</v>
      </c>
      <c r="L454">
        <v>202420</v>
      </c>
      <c r="M454">
        <v>202420</v>
      </c>
      <c r="N454" t="s">
        <v>279</v>
      </c>
      <c r="O454" t="s">
        <v>231</v>
      </c>
      <c r="P454" t="s">
        <v>477</v>
      </c>
      <c r="Q454" t="s">
        <v>233</v>
      </c>
      <c r="R454" t="s">
        <v>277</v>
      </c>
      <c r="S454" t="s">
        <v>310</v>
      </c>
      <c r="T454" s="105" t="str">
        <f>_xlfn.XLOOKUP(Tabla1[[#This Row],[Universidad]],Conversiones!$B:$B,Conversiones!$C:$C)</f>
        <v>Toulouse Business School</v>
      </c>
      <c r="U454" s="105" t="str">
        <f>_xlfn.XLOOKUP(Tabla1[[#This Row],[Universidad KPIs]],Conversiones!$C:$C,Conversiones!$E:$E)</f>
        <v>Específico</v>
      </c>
      <c r="V454" t="s">
        <v>57</v>
      </c>
      <c r="W454" t="s">
        <v>281</v>
      </c>
      <c r="X454" s="2">
        <v>45509</v>
      </c>
      <c r="Y454" s="2">
        <v>45626</v>
      </c>
      <c r="Z454">
        <v>117</v>
      </c>
      <c r="AA454" s="2"/>
    </row>
    <row r="455" spans="1:27">
      <c r="A455" s="103" t="s">
        <v>1946</v>
      </c>
      <c r="B455" s="1">
        <v>201814957</v>
      </c>
      <c r="C455" s="1" t="s">
        <v>1059</v>
      </c>
      <c r="D455" s="1" t="s">
        <v>1947</v>
      </c>
      <c r="E455" s="1" t="s">
        <v>1948</v>
      </c>
      <c r="F455" s="1" t="s">
        <v>233</v>
      </c>
      <c r="G455" s="1" t="s">
        <v>277</v>
      </c>
      <c r="H455" s="1"/>
      <c r="I455" s="1"/>
      <c r="J455" s="1" t="s">
        <v>278</v>
      </c>
      <c r="K455" s="1">
        <v>2024</v>
      </c>
      <c r="L455" s="1">
        <v>202420</v>
      </c>
      <c r="M455" s="1">
        <v>202420</v>
      </c>
      <c r="N455" s="1" t="s">
        <v>279</v>
      </c>
      <c r="O455" s="1" t="s">
        <v>231</v>
      </c>
      <c r="P455" s="1" t="s">
        <v>477</v>
      </c>
      <c r="Q455" s="1" t="s">
        <v>233</v>
      </c>
      <c r="R455" s="1" t="s">
        <v>277</v>
      </c>
      <c r="S455" s="1" t="s">
        <v>310</v>
      </c>
      <c r="T455" s="105" t="str">
        <f>_xlfn.XLOOKUP(Tabla1[[#This Row],[Universidad]],Conversiones!$B:$B,Conversiones!$C:$C)</f>
        <v>Toulouse Business School</v>
      </c>
      <c r="U455" s="105" t="str">
        <f>_xlfn.XLOOKUP(Tabla1[[#This Row],[Universidad KPIs]],Conversiones!$C:$C,Conversiones!$E:$E)</f>
        <v>Específico</v>
      </c>
      <c r="V455" s="1" t="s">
        <v>57</v>
      </c>
      <c r="W455" s="1" t="s">
        <v>281</v>
      </c>
      <c r="X455" s="87">
        <v>45509</v>
      </c>
      <c r="Y455" s="87">
        <v>45626</v>
      </c>
      <c r="Z455" s="1">
        <v>117</v>
      </c>
      <c r="AA455" s="2"/>
    </row>
    <row r="456" spans="1:27">
      <c r="A456" s="102" t="s">
        <v>1949</v>
      </c>
      <c r="B456">
        <v>202022226</v>
      </c>
      <c r="C456" t="s">
        <v>751</v>
      </c>
      <c r="D456" t="s">
        <v>1950</v>
      </c>
      <c r="E456" t="s">
        <v>1951</v>
      </c>
      <c r="F456" t="s">
        <v>233</v>
      </c>
      <c r="G456" t="s">
        <v>277</v>
      </c>
      <c r="J456" t="s">
        <v>278</v>
      </c>
      <c r="K456">
        <v>2024</v>
      </c>
      <c r="L456">
        <v>202420</v>
      </c>
      <c r="M456">
        <v>202420</v>
      </c>
      <c r="N456" t="s">
        <v>279</v>
      </c>
      <c r="O456" t="s">
        <v>231</v>
      </c>
      <c r="P456" t="s">
        <v>477</v>
      </c>
      <c r="Q456" t="s">
        <v>233</v>
      </c>
      <c r="R456" t="s">
        <v>277</v>
      </c>
      <c r="S456" t="s">
        <v>310</v>
      </c>
      <c r="T456" s="105" t="str">
        <f>_xlfn.XLOOKUP(Tabla1[[#This Row],[Universidad]],Conversiones!$B:$B,Conversiones!$C:$C)</f>
        <v>Toulouse Business School</v>
      </c>
      <c r="U456" s="105" t="str">
        <f>_xlfn.XLOOKUP(Tabla1[[#This Row],[Universidad KPIs]],Conversiones!$C:$C,Conversiones!$E:$E)</f>
        <v>Específico</v>
      </c>
      <c r="V456" t="s">
        <v>57</v>
      </c>
      <c r="W456" t="s">
        <v>281</v>
      </c>
      <c r="X456" s="2">
        <v>45509</v>
      </c>
      <c r="Y456" s="2">
        <v>45626</v>
      </c>
      <c r="Z456">
        <v>117</v>
      </c>
      <c r="AA456" s="2"/>
    </row>
    <row r="457" spans="1:27">
      <c r="A457" s="103" t="s">
        <v>1952</v>
      </c>
      <c r="B457" s="1">
        <v>202021816</v>
      </c>
      <c r="C457" s="1" t="s">
        <v>884</v>
      </c>
      <c r="D457" s="1" t="s">
        <v>1953</v>
      </c>
      <c r="E457" s="1" t="s">
        <v>1954</v>
      </c>
      <c r="F457" s="1" t="s">
        <v>233</v>
      </c>
      <c r="G457" s="1" t="s">
        <v>277</v>
      </c>
      <c r="H457" s="1"/>
      <c r="I457" s="1"/>
      <c r="J457" s="1" t="s">
        <v>278</v>
      </c>
      <c r="K457" s="1">
        <v>2024</v>
      </c>
      <c r="L457" s="1">
        <v>202420</v>
      </c>
      <c r="M457" s="1">
        <v>202420</v>
      </c>
      <c r="N457" s="1" t="s">
        <v>279</v>
      </c>
      <c r="O457" s="1" t="s">
        <v>231</v>
      </c>
      <c r="P457" s="1" t="s">
        <v>477</v>
      </c>
      <c r="Q457" s="1" t="s">
        <v>233</v>
      </c>
      <c r="R457" s="1" t="s">
        <v>277</v>
      </c>
      <c r="S457" s="1" t="s">
        <v>769</v>
      </c>
      <c r="T457" s="105" t="str">
        <f>_xlfn.XLOOKUP(Tabla1[[#This Row],[Universidad]],Conversiones!$B:$B,Conversiones!$C:$C)</f>
        <v>Universidad de Tilburg</v>
      </c>
      <c r="U457" s="105" t="str">
        <f>_xlfn.XLOOKUP(Tabla1[[#This Row],[Universidad KPIs]],Conversiones!$C:$C,Conversiones!$E:$E)</f>
        <v>Específico</v>
      </c>
      <c r="V457" s="1" t="s">
        <v>95</v>
      </c>
      <c r="W457" s="1" t="s">
        <v>281</v>
      </c>
      <c r="X457" s="87">
        <v>45509</v>
      </c>
      <c r="Y457" s="87">
        <v>45626</v>
      </c>
      <c r="Z457" s="1">
        <v>117</v>
      </c>
      <c r="AA457" s="2"/>
    </row>
    <row r="458" spans="1:27">
      <c r="A458" s="102" t="s">
        <v>1955</v>
      </c>
      <c r="B458">
        <v>202225152</v>
      </c>
      <c r="C458" t="s">
        <v>1956</v>
      </c>
      <c r="D458" t="s">
        <v>1957</v>
      </c>
      <c r="E458" t="s">
        <v>1958</v>
      </c>
      <c r="F458" t="s">
        <v>236</v>
      </c>
      <c r="G458" t="s">
        <v>277</v>
      </c>
      <c r="J458" t="s">
        <v>278</v>
      </c>
      <c r="K458">
        <v>2024</v>
      </c>
      <c r="L458">
        <v>202420</v>
      </c>
      <c r="M458">
        <v>202420</v>
      </c>
      <c r="N458" t="s">
        <v>618</v>
      </c>
      <c r="O458" t="s">
        <v>230</v>
      </c>
      <c r="P458" t="s">
        <v>1522</v>
      </c>
      <c r="Q458" t="s">
        <v>236</v>
      </c>
      <c r="R458" t="s">
        <v>277</v>
      </c>
      <c r="S458" t="s">
        <v>94</v>
      </c>
      <c r="T458" s="105" t="str">
        <f>_xlfn.XLOOKUP(Tabla1[[#This Row],[Universidad]],Conversiones!$B:$B,Conversiones!$C:$C)</f>
        <v>Maastricht University</v>
      </c>
      <c r="U458" s="105" t="str">
        <f>_xlfn.XLOOKUP(Tabla1[[#This Row],[Universidad KPIs]],Conversiones!$C:$C,Conversiones!$E:$E)</f>
        <v>Específico</v>
      </c>
      <c r="V458" t="s">
        <v>95</v>
      </c>
      <c r="W458" t="s">
        <v>281</v>
      </c>
      <c r="X458" s="2">
        <v>45509</v>
      </c>
      <c r="Y458" s="2">
        <v>45626</v>
      </c>
      <c r="Z458">
        <v>117</v>
      </c>
      <c r="AA458" s="2"/>
    </row>
    <row r="459" spans="1:27">
      <c r="A459" s="103" t="s">
        <v>1959</v>
      </c>
      <c r="B459" s="1">
        <v>202122269</v>
      </c>
      <c r="C459" s="1" t="s">
        <v>1960</v>
      </c>
      <c r="D459" s="1" t="s">
        <v>1961</v>
      </c>
      <c r="E459" s="1" t="s">
        <v>1962</v>
      </c>
      <c r="F459" s="1" t="s">
        <v>233</v>
      </c>
      <c r="G459" s="1" t="s">
        <v>277</v>
      </c>
      <c r="H459" s="1" t="s">
        <v>491</v>
      </c>
      <c r="I459" s="1" t="s">
        <v>492</v>
      </c>
      <c r="J459" s="1" t="s">
        <v>278</v>
      </c>
      <c r="K459" s="1">
        <v>2024</v>
      </c>
      <c r="L459" s="1">
        <v>202420</v>
      </c>
      <c r="M459" s="1">
        <v>202420</v>
      </c>
      <c r="N459" s="1" t="s">
        <v>279</v>
      </c>
      <c r="O459" s="1" t="s">
        <v>230</v>
      </c>
      <c r="P459" s="1" t="s">
        <v>280</v>
      </c>
      <c r="Q459" s="1" t="s">
        <v>233</v>
      </c>
      <c r="R459" s="1" t="s">
        <v>277</v>
      </c>
      <c r="S459" s="1" t="s">
        <v>105</v>
      </c>
      <c r="T459" s="105" t="str">
        <f>_xlfn.XLOOKUP(Tabla1[[#This Row],[Universidad]],Conversiones!$B:$B,Conversiones!$C:$C)</f>
        <v>Queensland University of Technology</v>
      </c>
      <c r="U459" s="105" t="str">
        <f>_xlfn.XLOOKUP(Tabla1[[#This Row],[Universidad KPIs]],Conversiones!$C:$C,Conversiones!$E:$E)</f>
        <v>Específico</v>
      </c>
      <c r="V459" s="1" t="s">
        <v>106</v>
      </c>
      <c r="W459" s="1" t="s">
        <v>385</v>
      </c>
      <c r="X459" s="87">
        <v>45509</v>
      </c>
      <c r="Y459" s="87">
        <v>45626</v>
      </c>
      <c r="Z459" s="1">
        <v>117</v>
      </c>
      <c r="AA459" s="2"/>
    </row>
    <row r="460" spans="1:27">
      <c r="A460" s="102" t="s">
        <v>1963</v>
      </c>
      <c r="B460">
        <v>202022733</v>
      </c>
      <c r="C460" t="s">
        <v>977</v>
      </c>
      <c r="D460" t="s">
        <v>1964</v>
      </c>
      <c r="E460" t="s">
        <v>1965</v>
      </c>
      <c r="F460" t="s">
        <v>233</v>
      </c>
      <c r="G460" t="s">
        <v>277</v>
      </c>
      <c r="J460" t="s">
        <v>278</v>
      </c>
      <c r="K460">
        <v>2024</v>
      </c>
      <c r="L460">
        <v>202420</v>
      </c>
      <c r="M460">
        <v>202420</v>
      </c>
      <c r="N460" t="s">
        <v>279</v>
      </c>
      <c r="O460" t="s">
        <v>230</v>
      </c>
      <c r="P460" t="s">
        <v>280</v>
      </c>
      <c r="Q460" t="s">
        <v>233</v>
      </c>
      <c r="R460" t="s">
        <v>277</v>
      </c>
      <c r="S460" t="s">
        <v>105</v>
      </c>
      <c r="T460" s="105" t="str">
        <f>_xlfn.XLOOKUP(Tabla1[[#This Row],[Universidad]],Conversiones!$B:$B,Conversiones!$C:$C)</f>
        <v>Queensland University of Technology</v>
      </c>
      <c r="U460" s="105" t="str">
        <f>_xlfn.XLOOKUP(Tabla1[[#This Row],[Universidad KPIs]],Conversiones!$C:$C,Conversiones!$E:$E)</f>
        <v>Específico</v>
      </c>
      <c r="V460" t="s">
        <v>106</v>
      </c>
      <c r="W460" t="s">
        <v>385</v>
      </c>
      <c r="X460" s="2">
        <v>45509</v>
      </c>
      <c r="Y460" s="2">
        <v>45626</v>
      </c>
      <c r="Z460">
        <v>117</v>
      </c>
      <c r="AA460" s="2"/>
    </row>
    <row r="461" spans="1:27">
      <c r="A461" s="103" t="s">
        <v>1966</v>
      </c>
      <c r="B461" s="1">
        <v>202124104</v>
      </c>
      <c r="C461" s="1" t="s">
        <v>577</v>
      </c>
      <c r="D461" s="1" t="s">
        <v>1967</v>
      </c>
      <c r="E461" s="1" t="s">
        <v>1968</v>
      </c>
      <c r="F461" s="1" t="s">
        <v>233</v>
      </c>
      <c r="G461" s="1" t="s">
        <v>277</v>
      </c>
      <c r="H461" s="1" t="s">
        <v>491</v>
      </c>
      <c r="I461" s="1" t="s">
        <v>492</v>
      </c>
      <c r="J461" s="1" t="s">
        <v>278</v>
      </c>
      <c r="K461" s="1">
        <v>2024</v>
      </c>
      <c r="L461" s="1">
        <v>202420</v>
      </c>
      <c r="M461" s="1">
        <v>202420</v>
      </c>
      <c r="N461" s="1" t="s">
        <v>279</v>
      </c>
      <c r="O461" s="1" t="s">
        <v>230</v>
      </c>
      <c r="P461" s="1" t="s">
        <v>280</v>
      </c>
      <c r="Q461" s="1" t="s">
        <v>233</v>
      </c>
      <c r="R461" s="1" t="s">
        <v>277</v>
      </c>
      <c r="S461" s="1" t="s">
        <v>102</v>
      </c>
      <c r="T461" s="105" t="str">
        <f>_xlfn.XLOOKUP(Tabla1[[#This Row],[Universidad]],Conversiones!$B:$B,Conversiones!$C:$C)</f>
        <v>Politecnico di Milano</v>
      </c>
      <c r="U461" s="105" t="str">
        <f>_xlfn.XLOOKUP(Tabla1[[#This Row],[Universidad KPIs]],Conversiones!$C:$C,Conversiones!$E:$E)</f>
        <v>Específico</v>
      </c>
      <c r="V461" s="1" t="s">
        <v>103</v>
      </c>
      <c r="W461" s="1" t="s">
        <v>281</v>
      </c>
      <c r="X461" s="87">
        <v>45509</v>
      </c>
      <c r="Y461" s="87">
        <v>45626</v>
      </c>
      <c r="Z461" s="1">
        <v>117</v>
      </c>
      <c r="AA461" s="2"/>
    </row>
    <row r="462" spans="1:27">
      <c r="A462" s="102" t="s">
        <v>1969</v>
      </c>
      <c r="B462">
        <v>202021749</v>
      </c>
      <c r="C462" t="s">
        <v>1929</v>
      </c>
      <c r="D462" t="s">
        <v>1970</v>
      </c>
      <c r="E462" t="s">
        <v>1971</v>
      </c>
      <c r="F462" t="s">
        <v>233</v>
      </c>
      <c r="G462" t="s">
        <v>277</v>
      </c>
      <c r="H462" t="s">
        <v>491</v>
      </c>
      <c r="I462" t="s">
        <v>492</v>
      </c>
      <c r="J462" t="s">
        <v>278</v>
      </c>
      <c r="K462">
        <v>2024</v>
      </c>
      <c r="L462">
        <v>202420</v>
      </c>
      <c r="M462">
        <v>202420</v>
      </c>
      <c r="N462" t="s">
        <v>279</v>
      </c>
      <c r="O462" t="s">
        <v>230</v>
      </c>
      <c r="P462" t="s">
        <v>280</v>
      </c>
      <c r="Q462" t="s">
        <v>233</v>
      </c>
      <c r="R462" t="s">
        <v>277</v>
      </c>
      <c r="S462" t="s">
        <v>102</v>
      </c>
      <c r="T462" s="105" t="str">
        <f>_xlfn.XLOOKUP(Tabla1[[#This Row],[Universidad]],Conversiones!$B:$B,Conversiones!$C:$C)</f>
        <v>Politecnico di Milano</v>
      </c>
      <c r="U462" s="105" t="str">
        <f>_xlfn.XLOOKUP(Tabla1[[#This Row],[Universidad KPIs]],Conversiones!$C:$C,Conversiones!$E:$E)</f>
        <v>Específico</v>
      </c>
      <c r="V462" t="s">
        <v>103</v>
      </c>
      <c r="W462" t="s">
        <v>281</v>
      </c>
      <c r="X462" s="2">
        <v>45509</v>
      </c>
      <c r="Y462" s="2">
        <v>45626</v>
      </c>
      <c r="Z462">
        <v>117</v>
      </c>
      <c r="AA462" s="2"/>
    </row>
    <row r="463" spans="1:27">
      <c r="A463" s="103" t="s">
        <v>1972</v>
      </c>
      <c r="B463" s="1">
        <v>202213826</v>
      </c>
      <c r="C463" s="1" t="s">
        <v>759</v>
      </c>
      <c r="D463" s="1" t="s">
        <v>1973</v>
      </c>
      <c r="E463" s="1" t="s">
        <v>1974</v>
      </c>
      <c r="F463" s="1" t="s">
        <v>233</v>
      </c>
      <c r="G463" s="1" t="s">
        <v>277</v>
      </c>
      <c r="H463" s="1"/>
      <c r="I463" s="1"/>
      <c r="J463" s="1" t="s">
        <v>278</v>
      </c>
      <c r="K463" s="1">
        <v>2024</v>
      </c>
      <c r="L463" s="1">
        <v>202420</v>
      </c>
      <c r="M463" s="1">
        <v>202420</v>
      </c>
      <c r="N463" s="1" t="s">
        <v>279</v>
      </c>
      <c r="O463" s="1" t="s">
        <v>230</v>
      </c>
      <c r="P463" s="1" t="s">
        <v>280</v>
      </c>
      <c r="Q463" s="1" t="s">
        <v>233</v>
      </c>
      <c r="R463" s="1" t="s">
        <v>277</v>
      </c>
      <c r="S463" s="1" t="s">
        <v>286</v>
      </c>
      <c r="T463" s="105" t="str">
        <f>_xlfn.XLOOKUP(Tabla1[[#This Row],[Universidad]],Conversiones!$B:$B,Conversiones!$C:$C)</f>
        <v>ESC Rouen (NEOMA)</v>
      </c>
      <c r="U463" s="105" t="str">
        <f>_xlfn.XLOOKUP(Tabla1[[#This Row],[Universidad KPIs]],Conversiones!$C:$C,Conversiones!$E:$E)</f>
        <v>Específico</v>
      </c>
      <c r="V463" s="1" t="s">
        <v>57</v>
      </c>
      <c r="W463" s="1" t="s">
        <v>281</v>
      </c>
      <c r="X463" s="87">
        <v>45509</v>
      </c>
      <c r="Y463" s="87">
        <v>45626</v>
      </c>
      <c r="Z463" s="1">
        <v>117</v>
      </c>
      <c r="AA463" s="2"/>
    </row>
    <row r="464" spans="1:27">
      <c r="A464" s="102" t="s">
        <v>1975</v>
      </c>
      <c r="B464">
        <v>202122898</v>
      </c>
      <c r="C464" t="s">
        <v>1976</v>
      </c>
      <c r="D464" t="s">
        <v>1977</v>
      </c>
      <c r="E464" t="s">
        <v>1978</v>
      </c>
      <c r="F464" t="s">
        <v>233</v>
      </c>
      <c r="G464" t="s">
        <v>277</v>
      </c>
      <c r="J464" t="s">
        <v>278</v>
      </c>
      <c r="K464">
        <v>2024</v>
      </c>
      <c r="L464">
        <v>202420</v>
      </c>
      <c r="M464">
        <v>202420</v>
      </c>
      <c r="N464" t="s">
        <v>279</v>
      </c>
      <c r="O464" t="s">
        <v>230</v>
      </c>
      <c r="P464" t="s">
        <v>280</v>
      </c>
      <c r="Q464" t="s">
        <v>233</v>
      </c>
      <c r="R464" t="s">
        <v>277</v>
      </c>
      <c r="S464" t="s">
        <v>1548</v>
      </c>
      <c r="T464" s="105" t="str">
        <f>_xlfn.XLOOKUP(Tabla1[[#This Row],[Universidad]],Conversiones!$B:$B,Conversiones!$C:$C)</f>
        <v>NCCU- National Chengchi University</v>
      </c>
      <c r="U464" s="105" t="str">
        <f>_xlfn.XLOOKUP(Tabla1[[#This Row],[Universidad KPIs]],Conversiones!$C:$C,Conversiones!$E:$E)</f>
        <v>Específico</v>
      </c>
      <c r="V464" t="s">
        <v>98</v>
      </c>
      <c r="W464" t="s">
        <v>568</v>
      </c>
      <c r="X464" s="2">
        <v>45509</v>
      </c>
      <c r="Y464" s="2">
        <v>45626</v>
      </c>
      <c r="Z464">
        <v>117</v>
      </c>
      <c r="AA464" s="2"/>
    </row>
    <row r="465" spans="1:27">
      <c r="A465" s="103" t="s">
        <v>1979</v>
      </c>
      <c r="B465" s="1">
        <v>202022535</v>
      </c>
      <c r="C465" s="1" t="s">
        <v>1980</v>
      </c>
      <c r="D465" s="1" t="s">
        <v>1981</v>
      </c>
      <c r="E465" s="1" t="s">
        <v>1982</v>
      </c>
      <c r="F465" s="1" t="s">
        <v>233</v>
      </c>
      <c r="G465" s="1" t="s">
        <v>277</v>
      </c>
      <c r="H465" s="1"/>
      <c r="I465" s="1"/>
      <c r="J465" s="1" t="s">
        <v>278</v>
      </c>
      <c r="K465" s="1">
        <v>2024</v>
      </c>
      <c r="L465" s="1">
        <v>202420</v>
      </c>
      <c r="M465" s="1">
        <v>202420</v>
      </c>
      <c r="N465" s="1" t="s">
        <v>279</v>
      </c>
      <c r="O465" s="1" t="s">
        <v>230</v>
      </c>
      <c r="P465" s="1" t="s">
        <v>280</v>
      </c>
      <c r="Q465" s="1" t="s">
        <v>233</v>
      </c>
      <c r="R465" s="1" t="s">
        <v>277</v>
      </c>
      <c r="S465" s="1" t="s">
        <v>567</v>
      </c>
      <c r="T465" s="105" t="str">
        <f>_xlfn.XLOOKUP(Tabla1[[#This Row],[Universidad]],Conversiones!$B:$B,Conversiones!$C:$C)</f>
        <v>NUCB- Nagoya University of commerce and business</v>
      </c>
      <c r="U465" s="105" t="str">
        <f>_xlfn.XLOOKUP(Tabla1[[#This Row],[Universidad KPIs]],Conversiones!$C:$C,Conversiones!$E:$E)</f>
        <v>Específico</v>
      </c>
      <c r="V465" s="1" t="s">
        <v>101</v>
      </c>
      <c r="W465" s="1" t="s">
        <v>568</v>
      </c>
      <c r="X465" s="87">
        <v>45509</v>
      </c>
      <c r="Y465" s="87">
        <v>45626</v>
      </c>
      <c r="Z465" s="1">
        <v>117</v>
      </c>
      <c r="AA465" s="2"/>
    </row>
    <row r="466" spans="1:27">
      <c r="A466" s="102" t="s">
        <v>1983</v>
      </c>
      <c r="B466">
        <v>202213649</v>
      </c>
      <c r="C466" t="s">
        <v>744</v>
      </c>
      <c r="D466" t="s">
        <v>1984</v>
      </c>
      <c r="E466" t="s">
        <v>1985</v>
      </c>
      <c r="F466" t="s">
        <v>233</v>
      </c>
      <c r="G466" t="s">
        <v>277</v>
      </c>
      <c r="J466" t="s">
        <v>278</v>
      </c>
      <c r="K466">
        <v>2024</v>
      </c>
      <c r="L466">
        <v>202420</v>
      </c>
      <c r="M466">
        <v>202420</v>
      </c>
      <c r="N466" t="s">
        <v>279</v>
      </c>
      <c r="O466" t="s">
        <v>230</v>
      </c>
      <c r="P466" t="s">
        <v>280</v>
      </c>
      <c r="Q466" t="s">
        <v>233</v>
      </c>
      <c r="R466" t="s">
        <v>277</v>
      </c>
      <c r="S466" t="s">
        <v>96</v>
      </c>
      <c r="T466" s="105" t="str">
        <f>_xlfn.XLOOKUP(Tabla1[[#This Row],[Universidad]],Conversiones!$B:$B,Conversiones!$C:$C)</f>
        <v>McGill University</v>
      </c>
      <c r="U466" s="105" t="str">
        <f>_xlfn.XLOOKUP(Tabla1[[#This Row],[Universidad KPIs]],Conversiones!$C:$C,Conversiones!$E:$E)</f>
        <v>Específico</v>
      </c>
      <c r="V466" t="s">
        <v>74</v>
      </c>
      <c r="W466" t="s">
        <v>291</v>
      </c>
      <c r="X466" s="2">
        <v>45509</v>
      </c>
      <c r="Y466" s="2">
        <v>45626</v>
      </c>
      <c r="Z466">
        <v>117</v>
      </c>
      <c r="AA466" s="2"/>
    </row>
    <row r="467" spans="1:27">
      <c r="A467" s="103" t="s">
        <v>1986</v>
      </c>
      <c r="B467" s="1">
        <v>202111408</v>
      </c>
      <c r="C467" s="1" t="s">
        <v>465</v>
      </c>
      <c r="D467" s="1" t="s">
        <v>1987</v>
      </c>
      <c r="E467" s="1" t="s">
        <v>1988</v>
      </c>
      <c r="F467" s="1" t="s">
        <v>233</v>
      </c>
      <c r="G467" s="1" t="s">
        <v>277</v>
      </c>
      <c r="H467" s="1"/>
      <c r="I467" s="1"/>
      <c r="J467" s="1" t="s">
        <v>278</v>
      </c>
      <c r="K467" s="1">
        <v>2024</v>
      </c>
      <c r="L467" s="1">
        <v>202420</v>
      </c>
      <c r="M467" s="1">
        <v>202420</v>
      </c>
      <c r="N467" s="1" t="s">
        <v>279</v>
      </c>
      <c r="O467" s="1" t="s">
        <v>230</v>
      </c>
      <c r="P467" s="1" t="s">
        <v>280</v>
      </c>
      <c r="Q467" s="1" t="s">
        <v>233</v>
      </c>
      <c r="R467" s="1" t="s">
        <v>277</v>
      </c>
      <c r="S467" s="1" t="s">
        <v>96</v>
      </c>
      <c r="T467" s="105" t="str">
        <f>_xlfn.XLOOKUP(Tabla1[[#This Row],[Universidad]],Conversiones!$B:$B,Conversiones!$C:$C)</f>
        <v>McGill University</v>
      </c>
      <c r="U467" s="105" t="str">
        <f>_xlfn.XLOOKUP(Tabla1[[#This Row],[Universidad KPIs]],Conversiones!$C:$C,Conversiones!$E:$E)</f>
        <v>Específico</v>
      </c>
      <c r="V467" s="1" t="s">
        <v>74</v>
      </c>
      <c r="W467" s="1" t="s">
        <v>291</v>
      </c>
      <c r="X467" s="87">
        <v>45509</v>
      </c>
      <c r="Y467" s="87">
        <v>45626</v>
      </c>
      <c r="Z467" s="1">
        <v>117</v>
      </c>
      <c r="AA467" s="2"/>
    </row>
    <row r="468" spans="1:27">
      <c r="A468" s="102" t="s">
        <v>1989</v>
      </c>
      <c r="B468">
        <v>202121759</v>
      </c>
      <c r="C468" t="s">
        <v>274</v>
      </c>
      <c r="D468" t="s">
        <v>1990</v>
      </c>
      <c r="E468" t="s">
        <v>1991</v>
      </c>
      <c r="F468" t="s">
        <v>233</v>
      </c>
      <c r="G468" t="s">
        <v>277</v>
      </c>
      <c r="J468" t="s">
        <v>278</v>
      </c>
      <c r="K468">
        <v>2024</v>
      </c>
      <c r="L468">
        <v>202420</v>
      </c>
      <c r="M468">
        <v>202420</v>
      </c>
      <c r="N468" t="s">
        <v>279</v>
      </c>
      <c r="O468" t="s">
        <v>230</v>
      </c>
      <c r="P468" t="s">
        <v>280</v>
      </c>
      <c r="Q468" t="s">
        <v>233</v>
      </c>
      <c r="R468" t="s">
        <v>277</v>
      </c>
      <c r="S468" t="s">
        <v>94</v>
      </c>
      <c r="T468" s="105" t="str">
        <f>_xlfn.XLOOKUP(Tabla1[[#This Row],[Universidad]],Conversiones!$B:$B,Conversiones!$C:$C)</f>
        <v>Maastricht University</v>
      </c>
      <c r="U468" s="105" t="str">
        <f>_xlfn.XLOOKUP(Tabla1[[#This Row],[Universidad KPIs]],Conversiones!$C:$C,Conversiones!$E:$E)</f>
        <v>Específico</v>
      </c>
      <c r="V468" t="s">
        <v>95</v>
      </c>
      <c r="W468" t="s">
        <v>281</v>
      </c>
      <c r="X468" s="2">
        <v>45509</v>
      </c>
      <c r="Y468" s="2">
        <v>45626</v>
      </c>
      <c r="Z468">
        <v>117</v>
      </c>
      <c r="AA468" s="2"/>
    </row>
    <row r="469" spans="1:27">
      <c r="A469" s="103" t="s">
        <v>1992</v>
      </c>
      <c r="B469" s="1">
        <v>202121790</v>
      </c>
      <c r="C469" s="1" t="s">
        <v>326</v>
      </c>
      <c r="D469" s="1" t="s">
        <v>1993</v>
      </c>
      <c r="E469" s="1" t="s">
        <v>1994</v>
      </c>
      <c r="F469" s="1" t="s">
        <v>233</v>
      </c>
      <c r="G469" s="1" t="s">
        <v>277</v>
      </c>
      <c r="H469" s="1"/>
      <c r="I469" s="1"/>
      <c r="J469" s="1" t="s">
        <v>278</v>
      </c>
      <c r="K469" s="1">
        <v>2024</v>
      </c>
      <c r="L469" s="1">
        <v>202420</v>
      </c>
      <c r="M469" s="1">
        <v>202420</v>
      </c>
      <c r="N469" s="1" t="s">
        <v>279</v>
      </c>
      <c r="O469" s="1" t="s">
        <v>230</v>
      </c>
      <c r="P469" s="1" t="s">
        <v>280</v>
      </c>
      <c r="Q469" s="1" t="s">
        <v>233</v>
      </c>
      <c r="R469" s="1" t="s">
        <v>277</v>
      </c>
      <c r="S469" s="1" t="s">
        <v>94</v>
      </c>
      <c r="T469" s="105" t="str">
        <f>_xlfn.XLOOKUP(Tabla1[[#This Row],[Universidad]],Conversiones!$B:$B,Conversiones!$C:$C)</f>
        <v>Maastricht University</v>
      </c>
      <c r="U469" s="105" t="str">
        <f>_xlfn.XLOOKUP(Tabla1[[#This Row],[Universidad KPIs]],Conversiones!$C:$C,Conversiones!$E:$E)</f>
        <v>Específico</v>
      </c>
      <c r="V469" s="1" t="s">
        <v>95</v>
      </c>
      <c r="W469" s="1" t="s">
        <v>281</v>
      </c>
      <c r="X469" s="87">
        <v>45509</v>
      </c>
      <c r="Y469" s="87">
        <v>45626</v>
      </c>
      <c r="Z469" s="1">
        <v>117</v>
      </c>
      <c r="AA469" s="2"/>
    </row>
    <row r="470" spans="1:27">
      <c r="A470" s="102" t="s">
        <v>1995</v>
      </c>
      <c r="B470">
        <v>202120423</v>
      </c>
      <c r="C470" t="s">
        <v>690</v>
      </c>
      <c r="D470" t="s">
        <v>1996</v>
      </c>
      <c r="E470" t="s">
        <v>1997</v>
      </c>
      <c r="F470" t="s">
        <v>233</v>
      </c>
      <c r="G470" t="s">
        <v>277</v>
      </c>
      <c r="J470" t="s">
        <v>278</v>
      </c>
      <c r="K470">
        <v>2024</v>
      </c>
      <c r="L470">
        <v>202420</v>
      </c>
      <c r="M470">
        <v>202420</v>
      </c>
      <c r="N470" t="s">
        <v>279</v>
      </c>
      <c r="O470" t="s">
        <v>230</v>
      </c>
      <c r="P470" t="s">
        <v>280</v>
      </c>
      <c r="Q470" t="s">
        <v>233</v>
      </c>
      <c r="R470" t="s">
        <v>277</v>
      </c>
      <c r="S470" t="s">
        <v>94</v>
      </c>
      <c r="T470" s="105" t="str">
        <f>_xlfn.XLOOKUP(Tabla1[[#This Row],[Universidad]],Conversiones!$B:$B,Conversiones!$C:$C)</f>
        <v>Maastricht University</v>
      </c>
      <c r="U470" s="105" t="str">
        <f>_xlfn.XLOOKUP(Tabla1[[#This Row],[Universidad KPIs]],Conversiones!$C:$C,Conversiones!$E:$E)</f>
        <v>Específico</v>
      </c>
      <c r="V470" t="s">
        <v>95</v>
      </c>
      <c r="W470" t="s">
        <v>281</v>
      </c>
      <c r="X470" s="2">
        <v>45509</v>
      </c>
      <c r="Y470" s="2">
        <v>45626</v>
      </c>
      <c r="Z470">
        <v>117</v>
      </c>
      <c r="AA470" s="2"/>
    </row>
    <row r="471" spans="1:27">
      <c r="A471" s="103" t="s">
        <v>1998</v>
      </c>
      <c r="B471" s="1">
        <v>202022038</v>
      </c>
      <c r="C471" s="1" t="s">
        <v>416</v>
      </c>
      <c r="D471" s="1" t="s">
        <v>1999</v>
      </c>
      <c r="E471" s="1" t="s">
        <v>2000</v>
      </c>
      <c r="F471" s="1" t="s">
        <v>233</v>
      </c>
      <c r="G471" s="1" t="s">
        <v>277</v>
      </c>
      <c r="H471" s="1"/>
      <c r="I471" s="1"/>
      <c r="J471" s="1" t="s">
        <v>278</v>
      </c>
      <c r="K471" s="1">
        <v>2024</v>
      </c>
      <c r="L471" s="1">
        <v>202420</v>
      </c>
      <c r="M471" s="1">
        <v>202420</v>
      </c>
      <c r="N471" s="1" t="s">
        <v>279</v>
      </c>
      <c r="O471" s="1" t="s">
        <v>230</v>
      </c>
      <c r="P471" s="1" t="s">
        <v>280</v>
      </c>
      <c r="Q471" s="1" t="s">
        <v>233</v>
      </c>
      <c r="R471" s="1" t="s">
        <v>277</v>
      </c>
      <c r="S471" s="1" t="s">
        <v>94</v>
      </c>
      <c r="T471" s="105" t="str">
        <f>_xlfn.XLOOKUP(Tabla1[[#This Row],[Universidad]],Conversiones!$B:$B,Conversiones!$C:$C)</f>
        <v>Maastricht University</v>
      </c>
      <c r="U471" s="105" t="str">
        <f>_xlfn.XLOOKUP(Tabla1[[#This Row],[Universidad KPIs]],Conversiones!$C:$C,Conversiones!$E:$E)</f>
        <v>Específico</v>
      </c>
      <c r="V471" s="1" t="s">
        <v>95</v>
      </c>
      <c r="W471" s="1" t="s">
        <v>281</v>
      </c>
      <c r="X471" s="87">
        <v>45509</v>
      </c>
      <c r="Y471" s="87">
        <v>45626</v>
      </c>
      <c r="Z471" s="1">
        <v>117</v>
      </c>
      <c r="AA471" s="2"/>
    </row>
    <row r="472" spans="1:27">
      <c r="A472" s="102" t="s">
        <v>2001</v>
      </c>
      <c r="B472">
        <v>202112969</v>
      </c>
      <c r="C472" t="s">
        <v>759</v>
      </c>
      <c r="D472" t="s">
        <v>2002</v>
      </c>
      <c r="E472" t="s">
        <v>2003</v>
      </c>
      <c r="F472" t="s">
        <v>233</v>
      </c>
      <c r="G472" t="s">
        <v>277</v>
      </c>
      <c r="H472" t="s">
        <v>648</v>
      </c>
      <c r="I472" t="s">
        <v>649</v>
      </c>
      <c r="J472" t="s">
        <v>278</v>
      </c>
      <c r="K472">
        <v>2024</v>
      </c>
      <c r="L472">
        <v>202420</v>
      </c>
      <c r="M472">
        <v>202420</v>
      </c>
      <c r="N472" t="s">
        <v>279</v>
      </c>
      <c r="O472" t="s">
        <v>230</v>
      </c>
      <c r="P472" t="s">
        <v>280</v>
      </c>
      <c r="Q472" t="s">
        <v>233</v>
      </c>
      <c r="R472" t="s">
        <v>277</v>
      </c>
      <c r="S472" t="s">
        <v>94</v>
      </c>
      <c r="T472" s="105" t="str">
        <f>_xlfn.XLOOKUP(Tabla1[[#This Row],[Universidad]],Conversiones!$B:$B,Conversiones!$C:$C)</f>
        <v>Maastricht University</v>
      </c>
      <c r="U472" s="105" t="str">
        <f>_xlfn.XLOOKUP(Tabla1[[#This Row],[Universidad KPIs]],Conversiones!$C:$C,Conversiones!$E:$E)</f>
        <v>Específico</v>
      </c>
      <c r="V472" t="s">
        <v>95</v>
      </c>
      <c r="W472" t="s">
        <v>281</v>
      </c>
      <c r="X472" s="2">
        <v>45509</v>
      </c>
      <c r="Y472" s="2">
        <v>45626</v>
      </c>
      <c r="Z472">
        <v>117</v>
      </c>
      <c r="AA472" s="2"/>
    </row>
    <row r="473" spans="1:27">
      <c r="A473" s="103" t="s">
        <v>2004</v>
      </c>
      <c r="B473" s="1">
        <v>202123376</v>
      </c>
      <c r="C473" s="1" t="s">
        <v>897</v>
      </c>
      <c r="D473" s="1" t="s">
        <v>2005</v>
      </c>
      <c r="E473" s="1" t="s">
        <v>2006</v>
      </c>
      <c r="F473" s="1" t="s">
        <v>233</v>
      </c>
      <c r="G473" s="1" t="s">
        <v>277</v>
      </c>
      <c r="H473" s="1"/>
      <c r="I473" s="1"/>
      <c r="J473" s="1" t="s">
        <v>278</v>
      </c>
      <c r="K473" s="1">
        <v>2024</v>
      </c>
      <c r="L473" s="1">
        <v>202420</v>
      </c>
      <c r="M473" s="1">
        <v>202420</v>
      </c>
      <c r="N473" s="1" t="s">
        <v>279</v>
      </c>
      <c r="O473" s="1" t="s">
        <v>230</v>
      </c>
      <c r="P473" s="1" t="s">
        <v>280</v>
      </c>
      <c r="Q473" s="1" t="s">
        <v>233</v>
      </c>
      <c r="R473" s="1" t="s">
        <v>277</v>
      </c>
      <c r="S473" s="1" t="s">
        <v>351</v>
      </c>
      <c r="T473" s="105" t="str">
        <f>_xlfn.XLOOKUP(Tabla1[[#This Row],[Universidad]],Conversiones!$B:$B,Conversiones!$C:$C)</f>
        <v>KLU Kühne Logistics University</v>
      </c>
      <c r="U473" s="105" t="str">
        <f>_xlfn.XLOOKUP(Tabla1[[#This Row],[Universidad KPIs]],Conversiones!$C:$C,Conversiones!$E:$E)</f>
        <v>Específico</v>
      </c>
      <c r="V473" s="1" t="s">
        <v>76</v>
      </c>
      <c r="W473" s="1" t="s">
        <v>281</v>
      </c>
      <c r="X473" s="87">
        <v>45509</v>
      </c>
      <c r="Y473" s="87">
        <v>45626</v>
      </c>
      <c r="Z473" s="1">
        <v>117</v>
      </c>
      <c r="AA473" s="2"/>
    </row>
    <row r="474" spans="1:27">
      <c r="A474" s="102" t="s">
        <v>2007</v>
      </c>
      <c r="B474">
        <v>202123226</v>
      </c>
      <c r="C474" t="s">
        <v>744</v>
      </c>
      <c r="D474" t="s">
        <v>2008</v>
      </c>
      <c r="E474" t="s">
        <v>2009</v>
      </c>
      <c r="F474" t="s">
        <v>491</v>
      </c>
      <c r="G474" t="s">
        <v>492</v>
      </c>
      <c r="H474" t="s">
        <v>233</v>
      </c>
      <c r="I474" t="s">
        <v>277</v>
      </c>
      <c r="J474" t="s">
        <v>278</v>
      </c>
      <c r="K474">
        <v>2024</v>
      </c>
      <c r="L474">
        <v>202420</v>
      </c>
      <c r="M474">
        <v>202420</v>
      </c>
      <c r="N474" t="s">
        <v>279</v>
      </c>
      <c r="O474" t="s">
        <v>230</v>
      </c>
      <c r="P474" t="s">
        <v>280</v>
      </c>
      <c r="Q474" t="s">
        <v>233</v>
      </c>
      <c r="R474" t="s">
        <v>277</v>
      </c>
      <c r="S474" t="s">
        <v>639</v>
      </c>
      <c r="T474" s="105" t="str">
        <f>_xlfn.XLOOKUP(Tabla1[[#This Row],[Universidad]],Conversiones!$B:$B,Conversiones!$C:$C)</f>
        <v>IE Instituto Empresa</v>
      </c>
      <c r="U474" s="105" t="str">
        <f>_xlfn.XLOOKUP(Tabla1[[#This Row],[Universidad KPIs]],Conversiones!$C:$C,Conversiones!$E:$E)</f>
        <v>Específico</v>
      </c>
      <c r="V474" t="s">
        <v>69</v>
      </c>
      <c r="W474" t="s">
        <v>281</v>
      </c>
      <c r="X474" s="2">
        <v>45509</v>
      </c>
      <c r="Y474" s="2">
        <v>45626</v>
      </c>
      <c r="Z474">
        <v>117</v>
      </c>
      <c r="AA474" s="2"/>
    </row>
    <row r="475" spans="1:27">
      <c r="A475" s="103" t="s">
        <v>2010</v>
      </c>
      <c r="B475" s="1">
        <v>202112773</v>
      </c>
      <c r="C475" s="1" t="s">
        <v>2011</v>
      </c>
      <c r="D475" s="1" t="s">
        <v>2012</v>
      </c>
      <c r="E475" s="1" t="s">
        <v>2013</v>
      </c>
      <c r="F475" s="1" t="s">
        <v>233</v>
      </c>
      <c r="G475" s="1" t="s">
        <v>277</v>
      </c>
      <c r="H475" s="1" t="s">
        <v>491</v>
      </c>
      <c r="I475" s="1" t="s">
        <v>492</v>
      </c>
      <c r="J475" s="1" t="s">
        <v>278</v>
      </c>
      <c r="K475" s="1">
        <v>2024</v>
      </c>
      <c r="L475" s="1">
        <v>202420</v>
      </c>
      <c r="M475" s="1">
        <v>202420</v>
      </c>
      <c r="N475" s="1" t="s">
        <v>279</v>
      </c>
      <c r="O475" s="1" t="s">
        <v>230</v>
      </c>
      <c r="P475" s="1" t="s">
        <v>280</v>
      </c>
      <c r="Q475" s="1" t="s">
        <v>233</v>
      </c>
      <c r="R475" s="1" t="s">
        <v>277</v>
      </c>
      <c r="S475" s="1" t="s">
        <v>1485</v>
      </c>
      <c r="T475" s="105" t="str">
        <f>_xlfn.XLOOKUP(Tabla1[[#This Row],[Universidad]],Conversiones!$B:$B,Conversiones!$C:$C)</f>
        <v>HEC Paris</v>
      </c>
      <c r="U475" s="105" t="str">
        <f>_xlfn.XLOOKUP(Tabla1[[#This Row],[Universidad KPIs]],Conversiones!$C:$C,Conversiones!$E:$E)</f>
        <v>Específico</v>
      </c>
      <c r="V475" s="1" t="s">
        <v>57</v>
      </c>
      <c r="W475" s="1" t="s">
        <v>281</v>
      </c>
      <c r="X475" s="87">
        <v>45509</v>
      </c>
      <c r="Y475" s="87">
        <v>45626</v>
      </c>
      <c r="Z475" s="1">
        <v>117</v>
      </c>
      <c r="AA475" s="2"/>
    </row>
    <row r="476" spans="1:27">
      <c r="A476" s="102" t="s">
        <v>2014</v>
      </c>
      <c r="B476">
        <v>202013413</v>
      </c>
      <c r="C476" t="s">
        <v>2015</v>
      </c>
      <c r="D476" t="s">
        <v>2016</v>
      </c>
      <c r="E476" t="s">
        <v>2017</v>
      </c>
      <c r="F476" t="s">
        <v>491</v>
      </c>
      <c r="G476" t="s">
        <v>492</v>
      </c>
      <c r="H476" t="s">
        <v>233</v>
      </c>
      <c r="I476" t="s">
        <v>277</v>
      </c>
      <c r="J476" t="s">
        <v>278</v>
      </c>
      <c r="K476">
        <v>2024</v>
      </c>
      <c r="L476">
        <v>202420</v>
      </c>
      <c r="M476">
        <v>202420</v>
      </c>
      <c r="N476" t="s">
        <v>279</v>
      </c>
      <c r="O476" t="s">
        <v>230</v>
      </c>
      <c r="P476" t="s">
        <v>280</v>
      </c>
      <c r="Q476" t="s">
        <v>233</v>
      </c>
      <c r="R476" t="s">
        <v>277</v>
      </c>
      <c r="S476" t="s">
        <v>1485</v>
      </c>
      <c r="T476" s="105" t="str">
        <f>_xlfn.XLOOKUP(Tabla1[[#This Row],[Universidad]],Conversiones!$B:$B,Conversiones!$C:$C)</f>
        <v>HEC Paris</v>
      </c>
      <c r="U476" s="105" t="str">
        <f>_xlfn.XLOOKUP(Tabla1[[#This Row],[Universidad KPIs]],Conversiones!$C:$C,Conversiones!$E:$E)</f>
        <v>Específico</v>
      </c>
      <c r="V476" t="s">
        <v>57</v>
      </c>
      <c r="W476" t="s">
        <v>281</v>
      </c>
      <c r="X476" s="2">
        <v>45509</v>
      </c>
      <c r="Y476" s="2">
        <v>45626</v>
      </c>
      <c r="Z476">
        <v>117</v>
      </c>
      <c r="AA476" s="2"/>
    </row>
    <row r="477" spans="1:27">
      <c r="A477" s="103" t="s">
        <v>2018</v>
      </c>
      <c r="B477" s="1">
        <v>202210803</v>
      </c>
      <c r="C477" s="1" t="s">
        <v>407</v>
      </c>
      <c r="D477" s="1" t="s">
        <v>2019</v>
      </c>
      <c r="E477" s="1" t="s">
        <v>2020</v>
      </c>
      <c r="F477" s="1" t="s">
        <v>233</v>
      </c>
      <c r="G477" s="1" t="s">
        <v>277</v>
      </c>
      <c r="H477" s="1" t="s">
        <v>497</v>
      </c>
      <c r="I477" s="1" t="s">
        <v>498</v>
      </c>
      <c r="J477" s="1" t="s">
        <v>278</v>
      </c>
      <c r="K477" s="1">
        <v>2024</v>
      </c>
      <c r="L477" s="1">
        <v>202420</v>
      </c>
      <c r="M477" s="1">
        <v>202420</v>
      </c>
      <c r="N477" s="1" t="s">
        <v>279</v>
      </c>
      <c r="O477" s="1" t="s">
        <v>230</v>
      </c>
      <c r="P477" s="1" t="s">
        <v>280</v>
      </c>
      <c r="Q477" s="1" t="s">
        <v>233</v>
      </c>
      <c r="R477" s="1" t="s">
        <v>277</v>
      </c>
      <c r="S477" s="1" t="s">
        <v>441</v>
      </c>
      <c r="T477" s="105" t="str">
        <f>_xlfn.XLOOKUP(Tabla1[[#This Row],[Universidad]],Conversiones!$B:$B,Conversiones!$C:$C)</f>
        <v xml:space="preserve">CBS- Copenhagen Business School  </v>
      </c>
      <c r="U477" s="105" t="str">
        <f>_xlfn.XLOOKUP(Tabla1[[#This Row],[Universidad KPIs]],Conversiones!$C:$C,Conversiones!$E:$E)</f>
        <v>Específico</v>
      </c>
      <c r="V477" s="1" t="s">
        <v>63</v>
      </c>
      <c r="W477" s="1" t="s">
        <v>281</v>
      </c>
      <c r="X477" s="87">
        <v>45509</v>
      </c>
      <c r="Y477" s="87">
        <v>45626</v>
      </c>
      <c r="Z477" s="1">
        <v>117</v>
      </c>
      <c r="AA477" s="2"/>
    </row>
    <row r="478" spans="1:27">
      <c r="A478" s="102" t="s">
        <v>2021</v>
      </c>
      <c r="B478">
        <v>202121998</v>
      </c>
      <c r="C478" t="s">
        <v>506</v>
      </c>
      <c r="D478" t="s">
        <v>2022</v>
      </c>
      <c r="E478" t="s">
        <v>2023</v>
      </c>
      <c r="F478" t="s">
        <v>233</v>
      </c>
      <c r="G478" t="s">
        <v>277</v>
      </c>
      <c r="J478" t="s">
        <v>278</v>
      </c>
      <c r="K478">
        <v>2024</v>
      </c>
      <c r="L478">
        <v>202420</v>
      </c>
      <c r="M478">
        <v>202420</v>
      </c>
      <c r="N478" t="s">
        <v>279</v>
      </c>
      <c r="O478" t="s">
        <v>230</v>
      </c>
      <c r="P478" t="s">
        <v>280</v>
      </c>
      <c r="Q478" t="s">
        <v>233</v>
      </c>
      <c r="R478" t="s">
        <v>277</v>
      </c>
      <c r="S478" t="s">
        <v>77</v>
      </c>
      <c r="T478" s="105" t="str">
        <f>_xlfn.XLOOKUP(Tabla1[[#This Row],[Universidad]],Conversiones!$B:$B,Conversiones!$C:$C)</f>
        <v>Fundação Getulio Vargas</v>
      </c>
      <c r="U478" s="105" t="str">
        <f>_xlfn.XLOOKUP(Tabla1[[#This Row],[Universidad KPIs]],Conversiones!$C:$C,Conversiones!$E:$E)</f>
        <v>Específico</v>
      </c>
      <c r="V478" t="s">
        <v>78</v>
      </c>
      <c r="W478" t="s">
        <v>296</v>
      </c>
      <c r="X478" s="2">
        <v>45509</v>
      </c>
      <c r="Y478" s="2">
        <v>45626</v>
      </c>
      <c r="Z478">
        <v>117</v>
      </c>
      <c r="AA478" s="2"/>
    </row>
    <row r="479" spans="1:27">
      <c r="A479" s="103" t="s">
        <v>2024</v>
      </c>
      <c r="B479" s="1">
        <v>202112021</v>
      </c>
      <c r="C479" s="1" t="s">
        <v>694</v>
      </c>
      <c r="D479" s="1" t="s">
        <v>2025</v>
      </c>
      <c r="E479" s="1" t="s">
        <v>2026</v>
      </c>
      <c r="F479" s="1" t="s">
        <v>233</v>
      </c>
      <c r="G479" s="1" t="s">
        <v>277</v>
      </c>
      <c r="H479" s="1"/>
      <c r="I479" s="1"/>
      <c r="J479" s="1" t="s">
        <v>278</v>
      </c>
      <c r="K479" s="1">
        <v>2024</v>
      </c>
      <c r="L479" s="1">
        <v>202420</v>
      </c>
      <c r="M479" s="1">
        <v>202420</v>
      </c>
      <c r="N479" s="1" t="s">
        <v>279</v>
      </c>
      <c r="O479" s="1" t="s">
        <v>230</v>
      </c>
      <c r="P479" s="1" t="s">
        <v>280</v>
      </c>
      <c r="Q479" s="1" t="s">
        <v>233</v>
      </c>
      <c r="R479" s="1" t="s">
        <v>277</v>
      </c>
      <c r="S479" s="1" t="s">
        <v>419</v>
      </c>
      <c r="T479" s="105" t="str">
        <f>_xlfn.XLOOKUP(Tabla1[[#This Row],[Universidad]],Conversiones!$B:$B,Conversiones!$C:$C)</f>
        <v>ESCP</v>
      </c>
      <c r="U479" s="105" t="str">
        <f>_xlfn.XLOOKUP(Tabla1[[#This Row],[Universidad KPIs]],Conversiones!$C:$C,Conversiones!$E:$E)</f>
        <v>Específico</v>
      </c>
      <c r="V479" s="1" t="s">
        <v>57</v>
      </c>
      <c r="W479" s="1" t="s">
        <v>281</v>
      </c>
      <c r="X479" s="87">
        <v>45509</v>
      </c>
      <c r="Y479" s="87">
        <v>45626</v>
      </c>
      <c r="Z479" s="1">
        <v>117</v>
      </c>
      <c r="AA479" s="2"/>
    </row>
    <row r="480" spans="1:27">
      <c r="A480" s="102" t="s">
        <v>2027</v>
      </c>
      <c r="B480">
        <v>201817232</v>
      </c>
      <c r="C480" t="s">
        <v>499</v>
      </c>
      <c r="D480" t="s">
        <v>2028</v>
      </c>
      <c r="E480" t="s">
        <v>2029</v>
      </c>
      <c r="F480" t="s">
        <v>491</v>
      </c>
      <c r="G480" t="s">
        <v>492</v>
      </c>
      <c r="H480" t="s">
        <v>233</v>
      </c>
      <c r="I480" t="s">
        <v>277</v>
      </c>
      <c r="J480" t="s">
        <v>278</v>
      </c>
      <c r="K480">
        <v>2024</v>
      </c>
      <c r="L480">
        <v>202420</v>
      </c>
      <c r="M480">
        <v>202420</v>
      </c>
      <c r="N480" t="s">
        <v>279</v>
      </c>
      <c r="O480" t="s">
        <v>230</v>
      </c>
      <c r="P480" t="s">
        <v>280</v>
      </c>
      <c r="Q480" t="s">
        <v>233</v>
      </c>
      <c r="R480" t="s">
        <v>277</v>
      </c>
      <c r="S480" t="s">
        <v>66</v>
      </c>
      <c r="T480" s="105" t="str">
        <f>_xlfn.XLOOKUP(Tabla1[[#This Row],[Universidad]],Conversiones!$B:$B,Conversiones!$C:$C)</f>
        <v>EDHEC Business School</v>
      </c>
      <c r="U480" s="105" t="str">
        <f>_xlfn.XLOOKUP(Tabla1[[#This Row],[Universidad KPIs]],Conversiones!$C:$C,Conversiones!$E:$E)</f>
        <v>Específico</v>
      </c>
      <c r="V480" t="s">
        <v>57</v>
      </c>
      <c r="W480" t="s">
        <v>281</v>
      </c>
      <c r="X480" s="2">
        <v>45509</v>
      </c>
      <c r="Y480" s="2">
        <v>45626</v>
      </c>
      <c r="Z480">
        <v>117</v>
      </c>
      <c r="AA480" s="2"/>
    </row>
    <row r="481" spans="1:27">
      <c r="A481" s="103" t="s">
        <v>2030</v>
      </c>
      <c r="B481" s="1">
        <v>202120275</v>
      </c>
      <c r="C481" s="1" t="s">
        <v>1933</v>
      </c>
      <c r="D481" s="1" t="s">
        <v>2031</v>
      </c>
      <c r="E481" s="1" t="s">
        <v>2032</v>
      </c>
      <c r="F481" s="1" t="s">
        <v>233</v>
      </c>
      <c r="G481" s="1" t="s">
        <v>277</v>
      </c>
      <c r="H481" s="1"/>
      <c r="I481" s="1"/>
      <c r="J481" s="1" t="s">
        <v>278</v>
      </c>
      <c r="K481" s="1">
        <v>2024</v>
      </c>
      <c r="L481" s="1">
        <v>202420</v>
      </c>
      <c r="M481" s="1">
        <v>202420</v>
      </c>
      <c r="N481" s="1" t="s">
        <v>279</v>
      </c>
      <c r="O481" s="1" t="s">
        <v>230</v>
      </c>
      <c r="P481" s="1" t="s">
        <v>280</v>
      </c>
      <c r="Q481" s="1" t="s">
        <v>233</v>
      </c>
      <c r="R481" s="1" t="s">
        <v>277</v>
      </c>
      <c r="S481" s="1" t="s">
        <v>366</v>
      </c>
      <c r="T481" s="105" t="str">
        <f>_xlfn.XLOOKUP(Tabla1[[#This Row],[Universidad]],Conversiones!$B:$B,Conversiones!$C:$C)</f>
        <v>HEC Montréal</v>
      </c>
      <c r="U481" s="105" t="str">
        <f>_xlfn.XLOOKUP(Tabla1[[#This Row],[Universidad KPIs]],Conversiones!$C:$C,Conversiones!$E:$E)</f>
        <v>Específico</v>
      </c>
      <c r="V481" s="1" t="s">
        <v>74</v>
      </c>
      <c r="W481" s="1" t="s">
        <v>291</v>
      </c>
      <c r="X481" s="87">
        <v>45509</v>
      </c>
      <c r="Y481" s="87">
        <v>45626</v>
      </c>
      <c r="Z481" s="1">
        <v>117</v>
      </c>
      <c r="AA481" s="2"/>
    </row>
    <row r="482" spans="1:27">
      <c r="A482" s="102" t="s">
        <v>2033</v>
      </c>
      <c r="B482">
        <v>202112734</v>
      </c>
      <c r="C482" t="s">
        <v>577</v>
      </c>
      <c r="D482" t="s">
        <v>2034</v>
      </c>
      <c r="E482" t="s">
        <v>2035</v>
      </c>
      <c r="F482" t="s">
        <v>233</v>
      </c>
      <c r="G482" t="s">
        <v>277</v>
      </c>
      <c r="J482" t="s">
        <v>278</v>
      </c>
      <c r="K482">
        <v>2024</v>
      </c>
      <c r="L482">
        <v>202420</v>
      </c>
      <c r="M482">
        <v>202420</v>
      </c>
      <c r="N482" t="s">
        <v>279</v>
      </c>
      <c r="O482" t="s">
        <v>230</v>
      </c>
      <c r="P482" t="s">
        <v>280</v>
      </c>
      <c r="Q482" t="s">
        <v>233</v>
      </c>
      <c r="R482" t="s">
        <v>277</v>
      </c>
      <c r="S482" t="s">
        <v>1169</v>
      </c>
      <c r="T482" s="105" t="str">
        <f>_xlfn.XLOOKUP(Tabla1[[#This Row],[Universidad]],Conversiones!$B:$B,Conversiones!$C:$C)</f>
        <v>BI Norwegian Business School</v>
      </c>
      <c r="U482" s="105" t="str">
        <f>_xlfn.XLOOKUP(Tabla1[[#This Row],[Universidad KPIs]],Conversiones!$C:$C,Conversiones!$E:$E)</f>
        <v>Específico</v>
      </c>
      <c r="V482" t="s">
        <v>59</v>
      </c>
      <c r="W482" t="s">
        <v>281</v>
      </c>
      <c r="X482" s="2">
        <v>45509</v>
      </c>
      <c r="Y482" s="2">
        <v>45626</v>
      </c>
      <c r="Z482">
        <v>117</v>
      </c>
      <c r="AA482" s="2"/>
    </row>
    <row r="483" spans="1:27">
      <c r="A483" s="103" t="s">
        <v>2036</v>
      </c>
      <c r="B483" s="1">
        <v>202120386</v>
      </c>
      <c r="C483" s="1" t="s">
        <v>2037</v>
      </c>
      <c r="D483" s="1" t="s">
        <v>2038</v>
      </c>
      <c r="E483" s="1" t="s">
        <v>2039</v>
      </c>
      <c r="F483" s="1" t="s">
        <v>233</v>
      </c>
      <c r="G483" s="1" t="s">
        <v>277</v>
      </c>
      <c r="H483" s="1"/>
      <c r="I483" s="1"/>
      <c r="J483" s="1" t="s">
        <v>278</v>
      </c>
      <c r="K483" s="1">
        <v>2024</v>
      </c>
      <c r="L483" s="1">
        <v>202420</v>
      </c>
      <c r="M483" s="1">
        <v>202420</v>
      </c>
      <c r="N483" s="1" t="s">
        <v>279</v>
      </c>
      <c r="O483" s="1" t="s">
        <v>230</v>
      </c>
      <c r="P483" s="1" t="s">
        <v>280</v>
      </c>
      <c r="Q483" s="1" t="s">
        <v>233</v>
      </c>
      <c r="R483" s="1" t="s">
        <v>277</v>
      </c>
      <c r="S483" s="1" t="s">
        <v>381</v>
      </c>
      <c r="T483" s="105" t="str">
        <f>_xlfn.XLOOKUP(Tabla1[[#This Row],[Universidad]],Conversiones!$B:$B,Conversiones!$C:$C)</f>
        <v>Audencia. École de Management</v>
      </c>
      <c r="U483" s="105" t="str">
        <f>_xlfn.XLOOKUP(Tabla1[[#This Row],[Universidad KPIs]],Conversiones!$C:$C,Conversiones!$E:$E)</f>
        <v>Específico</v>
      </c>
      <c r="V483" s="1" t="s">
        <v>57</v>
      </c>
      <c r="W483" s="1" t="s">
        <v>281</v>
      </c>
      <c r="X483" s="87">
        <v>45509</v>
      </c>
      <c r="Y483" s="87">
        <v>45626</v>
      </c>
      <c r="Z483" s="1">
        <v>117</v>
      </c>
      <c r="AA483" s="2"/>
    </row>
    <row r="484" spans="1:27">
      <c r="A484" s="102" t="s">
        <v>2040</v>
      </c>
      <c r="B484">
        <v>202123486</v>
      </c>
      <c r="C484" t="s">
        <v>465</v>
      </c>
      <c r="D484" t="s">
        <v>2041</v>
      </c>
      <c r="E484" t="s">
        <v>2042</v>
      </c>
      <c r="F484" t="s">
        <v>233</v>
      </c>
      <c r="G484" t="s">
        <v>277</v>
      </c>
      <c r="J484" t="s">
        <v>278</v>
      </c>
      <c r="K484">
        <v>2024</v>
      </c>
      <c r="L484">
        <v>202420</v>
      </c>
      <c r="M484">
        <v>202420</v>
      </c>
      <c r="N484" t="s">
        <v>279</v>
      </c>
      <c r="O484" t="s">
        <v>230</v>
      </c>
      <c r="P484" t="s">
        <v>280</v>
      </c>
      <c r="Q484" t="s">
        <v>233</v>
      </c>
      <c r="R484" t="s">
        <v>277</v>
      </c>
      <c r="S484" t="s">
        <v>54</v>
      </c>
      <c r="T484" s="105" t="str">
        <f>_xlfn.XLOOKUP(Tabla1[[#This Row],[Universidad]],Conversiones!$B:$B,Conversiones!$C:$C)</f>
        <v>Aston University</v>
      </c>
      <c r="U484" s="105" t="str">
        <f>_xlfn.XLOOKUP(Tabla1[[#This Row],[Universidad KPIs]],Conversiones!$C:$C,Conversiones!$E:$E)</f>
        <v>Específico</v>
      </c>
      <c r="V484" t="s">
        <v>55</v>
      </c>
      <c r="W484" t="s">
        <v>281</v>
      </c>
      <c r="X484" s="2">
        <v>45509</v>
      </c>
      <c r="Y484" s="2">
        <v>45626</v>
      </c>
      <c r="Z484">
        <v>117</v>
      </c>
      <c r="AA484" s="2"/>
    </row>
    <row r="485" spans="1:27">
      <c r="A485" s="103" t="s">
        <v>2043</v>
      </c>
      <c r="B485" s="1">
        <v>202028272</v>
      </c>
      <c r="C485" s="1" t="s">
        <v>358</v>
      </c>
      <c r="D485" s="1" t="s">
        <v>2044</v>
      </c>
      <c r="E485" s="1" t="s">
        <v>2045</v>
      </c>
      <c r="F485" s="1" t="s">
        <v>233</v>
      </c>
      <c r="G485" s="1" t="s">
        <v>277</v>
      </c>
      <c r="H485" s="1"/>
      <c r="I485" s="1"/>
      <c r="J485" s="1" t="s">
        <v>278</v>
      </c>
      <c r="K485" s="1">
        <v>2024</v>
      </c>
      <c r="L485" s="1">
        <v>202420</v>
      </c>
      <c r="M485" s="1">
        <v>202420</v>
      </c>
      <c r="N485" s="1" t="s">
        <v>279</v>
      </c>
      <c r="O485" s="1" t="s">
        <v>230</v>
      </c>
      <c r="P485" s="1" t="s">
        <v>280</v>
      </c>
      <c r="Q485" s="1" t="s">
        <v>233</v>
      </c>
      <c r="R485" s="1" t="s">
        <v>277</v>
      </c>
      <c r="S485" s="1" t="s">
        <v>189</v>
      </c>
      <c r="T485" s="105" t="str">
        <f>_xlfn.XLOOKUP(Tabla1[[#This Row],[Universidad]],Conversiones!$B:$B,Conversiones!$C:$C)</f>
        <v>Aix-Marseille Université</v>
      </c>
      <c r="U485" s="105" t="str">
        <f>_xlfn.XLOOKUP(Tabla1[[#This Row],[Universidad KPIs]],Conversiones!$C:$C,Conversiones!$E:$E)</f>
        <v>General</v>
      </c>
      <c r="V485" s="1" t="s">
        <v>57</v>
      </c>
      <c r="W485" s="1" t="s">
        <v>281</v>
      </c>
      <c r="X485" s="87">
        <v>45509</v>
      </c>
      <c r="Y485" s="87">
        <v>45626</v>
      </c>
      <c r="Z485" s="1">
        <v>117</v>
      </c>
      <c r="AA485" s="2"/>
    </row>
    <row r="486" spans="1:27">
      <c r="A486" s="102" t="s">
        <v>2046</v>
      </c>
      <c r="B486">
        <v>200410849</v>
      </c>
      <c r="C486" t="s">
        <v>2047</v>
      </c>
      <c r="D486" t="s">
        <v>2048</v>
      </c>
      <c r="E486" t="s">
        <v>2049</v>
      </c>
      <c r="F486" t="s">
        <v>241</v>
      </c>
      <c r="G486" t="s">
        <v>277</v>
      </c>
      <c r="J486" t="s">
        <v>278</v>
      </c>
      <c r="K486">
        <v>2025</v>
      </c>
      <c r="L486">
        <v>202519</v>
      </c>
      <c r="M486">
        <v>202510</v>
      </c>
      <c r="N486" t="s">
        <v>1850</v>
      </c>
      <c r="O486" t="s">
        <v>584</v>
      </c>
      <c r="P486" t="s">
        <v>1856</v>
      </c>
      <c r="Q486" t="s">
        <v>241</v>
      </c>
      <c r="R486" t="s">
        <v>277</v>
      </c>
      <c r="S486" t="s">
        <v>214</v>
      </c>
      <c r="T486" s="105" t="str">
        <f>_xlfn.XLOOKUP(Tabla1[[#This Row],[Universidad]],Conversiones!$B:$B,Conversiones!$C:$C)</f>
        <v>George Washington University</v>
      </c>
      <c r="U486" s="105" t="str">
        <f>_xlfn.XLOOKUP(Tabla1[[#This Row],[Universidad KPIs]],Conversiones!$C:$C,Conversiones!$E:$E)</f>
        <v>General</v>
      </c>
      <c r="V486" t="s">
        <v>215</v>
      </c>
      <c r="W486" t="s">
        <v>291</v>
      </c>
      <c r="X486" s="2">
        <v>45689</v>
      </c>
      <c r="Y486" s="2">
        <v>45809</v>
      </c>
      <c r="Z486">
        <v>120</v>
      </c>
    </row>
    <row r="487" spans="1:27">
      <c r="A487" s="102" t="s">
        <v>2050</v>
      </c>
      <c r="B487">
        <v>200810638</v>
      </c>
      <c r="C487" t="s">
        <v>2051</v>
      </c>
      <c r="D487" t="s">
        <v>2052</v>
      </c>
      <c r="E487" t="s">
        <v>2053</v>
      </c>
      <c r="F487" t="s">
        <v>241</v>
      </c>
      <c r="G487" t="s">
        <v>277</v>
      </c>
      <c r="J487" t="s">
        <v>278</v>
      </c>
      <c r="K487">
        <v>2025</v>
      </c>
      <c r="L487">
        <v>202519</v>
      </c>
      <c r="M487">
        <v>202510</v>
      </c>
      <c r="N487" t="s">
        <v>1850</v>
      </c>
      <c r="O487" t="s">
        <v>584</v>
      </c>
      <c r="P487" t="s">
        <v>1856</v>
      </c>
      <c r="Q487" t="s">
        <v>241</v>
      </c>
      <c r="R487" t="s">
        <v>277</v>
      </c>
      <c r="S487" t="s">
        <v>2054</v>
      </c>
      <c r="T487" s="105" t="str">
        <f>_xlfn.XLOOKUP(Tabla1[[#This Row],[Universidad]],Conversiones!$B:$B,Conversiones!$C:$C)</f>
        <v>Universidad Estatal de California</v>
      </c>
      <c r="U487" s="105" t="str">
        <f>_xlfn.XLOOKUP(Tabla1[[#This Row],[Universidad KPIs]],Conversiones!$C:$C,Conversiones!$E:$E)</f>
        <v>General</v>
      </c>
      <c r="V487" t="s">
        <v>215</v>
      </c>
      <c r="W487" t="s">
        <v>291</v>
      </c>
      <c r="X487" s="2">
        <v>45708</v>
      </c>
      <c r="Y487" s="2">
        <v>45797</v>
      </c>
      <c r="Z487">
        <v>120</v>
      </c>
    </row>
    <row r="488" spans="1:27">
      <c r="A488" s="102" t="s">
        <v>2055</v>
      </c>
      <c r="B488">
        <v>201823596</v>
      </c>
      <c r="C488" t="s">
        <v>2056</v>
      </c>
      <c r="D488" t="s">
        <v>2057</v>
      </c>
      <c r="E488" t="s">
        <v>2058</v>
      </c>
      <c r="F488" t="s">
        <v>241</v>
      </c>
      <c r="G488" t="s">
        <v>277</v>
      </c>
      <c r="J488" t="s">
        <v>278</v>
      </c>
      <c r="K488">
        <v>2025</v>
      </c>
      <c r="L488">
        <v>202519</v>
      </c>
      <c r="M488">
        <v>202510</v>
      </c>
      <c r="N488" t="s">
        <v>1850</v>
      </c>
      <c r="O488" t="s">
        <v>584</v>
      </c>
      <c r="P488" t="s">
        <v>1856</v>
      </c>
      <c r="Q488" t="s">
        <v>241</v>
      </c>
      <c r="R488" t="s">
        <v>277</v>
      </c>
      <c r="S488" t="s">
        <v>2059</v>
      </c>
      <c r="T488" s="105" t="str">
        <f>_xlfn.XLOOKUP(Tabla1[[#This Row],[Universidad]],Conversiones!$B:$B,Conversiones!$C:$C)</f>
        <v>ITESM-EGADE -Instituto tecnológico y de estudios superiores de Monterrey</v>
      </c>
      <c r="U488" s="105" t="str">
        <f>_xlfn.XLOOKUP(Tabla1[[#This Row],[Universidad KPIs]],Conversiones!$C:$C,Conversiones!$E:$E)</f>
        <v>Específico</v>
      </c>
      <c r="V488" t="s">
        <v>218</v>
      </c>
      <c r="W488" t="s">
        <v>291</v>
      </c>
      <c r="X488" s="2">
        <v>45703</v>
      </c>
      <c r="Y488" s="2">
        <v>45792</v>
      </c>
      <c r="Z488">
        <v>120</v>
      </c>
    </row>
    <row r="489" spans="1:27">
      <c r="A489" s="102" t="s">
        <v>2060</v>
      </c>
      <c r="B489">
        <v>202027752</v>
      </c>
      <c r="C489" t="s">
        <v>2061</v>
      </c>
      <c r="D489" t="s">
        <v>2062</v>
      </c>
      <c r="E489" t="s">
        <v>2063</v>
      </c>
      <c r="F489" t="s">
        <v>241</v>
      </c>
      <c r="G489" t="s">
        <v>277</v>
      </c>
      <c r="J489" t="s">
        <v>278</v>
      </c>
      <c r="K489">
        <v>2024</v>
      </c>
      <c r="L489">
        <v>202419</v>
      </c>
      <c r="M489">
        <v>202410</v>
      </c>
      <c r="N489" t="s">
        <v>1850</v>
      </c>
      <c r="O489" t="s">
        <v>584</v>
      </c>
      <c r="P489" t="s">
        <v>1856</v>
      </c>
      <c r="Q489" t="s">
        <v>241</v>
      </c>
      <c r="R489" t="s">
        <v>277</v>
      </c>
      <c r="S489" t="s">
        <v>2064</v>
      </c>
      <c r="T489" s="105" t="str">
        <f>_xlfn.XLOOKUP(Tabla1[[#This Row],[Universidad]],Conversiones!$B:$B,Conversiones!$C:$C)</f>
        <v>ITESM-EGADE -Instituto tecnológico y de estudios superiores de Monterrey</v>
      </c>
      <c r="U489" s="105" t="str">
        <f>_xlfn.XLOOKUP(Tabla1[[#This Row],[Universidad KPIs]],Conversiones!$C:$C,Conversiones!$E:$E)</f>
        <v>Específico</v>
      </c>
      <c r="V489" t="s">
        <v>218</v>
      </c>
      <c r="W489" t="s">
        <v>291</v>
      </c>
      <c r="X489" s="2">
        <v>45519</v>
      </c>
      <c r="Y489" s="2">
        <v>45641</v>
      </c>
      <c r="Z489">
        <v>120</v>
      </c>
    </row>
    <row r="490" spans="1:27">
      <c r="A490" s="102" t="s">
        <v>2065</v>
      </c>
      <c r="B490">
        <v>201920294</v>
      </c>
      <c r="C490" t="s">
        <v>2066</v>
      </c>
      <c r="D490" t="s">
        <v>2067</v>
      </c>
      <c r="E490" t="s">
        <v>2068</v>
      </c>
      <c r="F490" t="s">
        <v>241</v>
      </c>
      <c r="G490" t="s">
        <v>277</v>
      </c>
      <c r="J490" t="s">
        <v>278</v>
      </c>
      <c r="K490">
        <v>2023</v>
      </c>
      <c r="L490">
        <v>202329</v>
      </c>
      <c r="M490">
        <v>202320</v>
      </c>
      <c r="N490" t="s">
        <v>1850</v>
      </c>
      <c r="O490" t="s">
        <v>584</v>
      </c>
      <c r="P490" t="s">
        <v>1856</v>
      </c>
      <c r="Q490" t="s">
        <v>241</v>
      </c>
      <c r="R490" t="s">
        <v>277</v>
      </c>
      <c r="S490" t="s">
        <v>2069</v>
      </c>
      <c r="T490" s="105" t="str">
        <f>_xlfn.XLOOKUP(Tabla1[[#This Row],[Universidad]],Conversiones!$B:$B,Conversiones!$C:$C)</f>
        <v>ITESM-EGADE -Instituto tecnológico y de estudios superiores de Monterrey</v>
      </c>
      <c r="U490" s="105" t="str">
        <f>_xlfn.XLOOKUP(Tabla1[[#This Row],[Universidad KPIs]],Conversiones!$C:$C,Conversiones!$E:$E)</f>
        <v>Específico</v>
      </c>
      <c r="V490" t="s">
        <v>218</v>
      </c>
      <c r="W490" t="s">
        <v>291</v>
      </c>
      <c r="X490" s="2">
        <v>45103</v>
      </c>
      <c r="Y490" s="2">
        <v>45225</v>
      </c>
      <c r="Z490">
        <v>120</v>
      </c>
    </row>
    <row r="491" spans="1:27">
      <c r="A491" s="102" t="s">
        <v>2070</v>
      </c>
      <c r="B491">
        <v>202027733</v>
      </c>
      <c r="C491" t="s">
        <v>2071</v>
      </c>
      <c r="D491" t="s">
        <v>2072</v>
      </c>
      <c r="E491" t="s">
        <v>2073</v>
      </c>
      <c r="F491" t="s">
        <v>241</v>
      </c>
      <c r="G491" t="s">
        <v>277</v>
      </c>
      <c r="J491" t="s">
        <v>278</v>
      </c>
      <c r="K491">
        <v>2023</v>
      </c>
      <c r="L491">
        <v>202329</v>
      </c>
      <c r="M491">
        <v>202320</v>
      </c>
      <c r="N491" t="s">
        <v>1850</v>
      </c>
      <c r="O491" t="s">
        <v>584</v>
      </c>
      <c r="P491" t="s">
        <v>1856</v>
      </c>
      <c r="Q491" t="s">
        <v>241</v>
      </c>
      <c r="R491" t="s">
        <v>277</v>
      </c>
      <c r="S491" t="s">
        <v>227</v>
      </c>
      <c r="T491" s="105" t="str">
        <f>_xlfn.XLOOKUP(Tabla1[[#This Row],[Universidad]],Conversiones!$B:$B,Conversiones!$C:$C)</f>
        <v>Université de Limoges, Francia</v>
      </c>
      <c r="U491" s="105" t="str">
        <f>_xlfn.XLOOKUP(Tabla1[[#This Row],[Universidad KPIs]],Conversiones!$C:$C,Conversiones!$E:$E)</f>
        <v>General</v>
      </c>
      <c r="V491" t="s">
        <v>228</v>
      </c>
      <c r="W491" t="s">
        <v>281</v>
      </c>
      <c r="X491" s="2">
        <v>45184</v>
      </c>
      <c r="Y491" s="2">
        <v>45275</v>
      </c>
      <c r="Z491">
        <v>120</v>
      </c>
    </row>
    <row r="492" spans="1:27">
      <c r="A492" s="102" t="s">
        <v>2074</v>
      </c>
      <c r="B492">
        <v>201819002</v>
      </c>
      <c r="C492" t="s">
        <v>2075</v>
      </c>
      <c r="D492" t="s">
        <v>2076</v>
      </c>
      <c r="E492" t="s">
        <v>2077</v>
      </c>
      <c r="F492" t="s">
        <v>241</v>
      </c>
      <c r="G492" t="s">
        <v>277</v>
      </c>
      <c r="J492" t="s">
        <v>278</v>
      </c>
      <c r="K492">
        <v>2023</v>
      </c>
      <c r="L492">
        <v>202329</v>
      </c>
      <c r="M492">
        <v>202320</v>
      </c>
      <c r="N492" t="s">
        <v>1850</v>
      </c>
      <c r="O492" t="s">
        <v>584</v>
      </c>
      <c r="P492" t="s">
        <v>1856</v>
      </c>
      <c r="Q492" t="s">
        <v>241</v>
      </c>
      <c r="R492" t="s">
        <v>277</v>
      </c>
      <c r="S492" t="s">
        <v>2078</v>
      </c>
      <c r="T492" s="105" t="str">
        <f>_xlfn.XLOOKUP(Tabla1[[#This Row],[Universidad]],Conversiones!$B:$B,Conversiones!$C:$C)</f>
        <v>Universidad Nacional Autonoma de México (UNAM)</v>
      </c>
      <c r="U492" s="105" t="str">
        <f>_xlfn.XLOOKUP(Tabla1[[#This Row],[Universidad KPIs]],Conversiones!$C:$C,Conversiones!$E:$E)</f>
        <v>General</v>
      </c>
      <c r="V492" t="s">
        <v>218</v>
      </c>
      <c r="W492" t="s">
        <v>291</v>
      </c>
      <c r="X492" s="2">
        <v>45146</v>
      </c>
      <c r="Y492" s="2">
        <v>45275</v>
      </c>
      <c r="Z492">
        <v>120</v>
      </c>
    </row>
    <row r="493" spans="1:27">
      <c r="A493" s="102" t="s">
        <v>2079</v>
      </c>
      <c r="B493">
        <v>200610928</v>
      </c>
      <c r="C493" t="s">
        <v>2080</v>
      </c>
      <c r="D493" t="s">
        <v>2081</v>
      </c>
      <c r="E493" t="s">
        <v>2082</v>
      </c>
      <c r="F493" t="s">
        <v>241</v>
      </c>
      <c r="G493" t="s">
        <v>277</v>
      </c>
      <c r="J493" t="s">
        <v>278</v>
      </c>
      <c r="K493">
        <v>2023</v>
      </c>
      <c r="L493">
        <v>202319</v>
      </c>
      <c r="M493">
        <v>202310</v>
      </c>
      <c r="N493" t="s">
        <v>1850</v>
      </c>
      <c r="O493" t="s">
        <v>584</v>
      </c>
      <c r="P493" t="s">
        <v>1856</v>
      </c>
      <c r="Q493" t="s">
        <v>241</v>
      </c>
      <c r="R493" t="s">
        <v>277</v>
      </c>
      <c r="S493" t="s">
        <v>219</v>
      </c>
      <c r="T493" s="105" t="str">
        <f>_xlfn.XLOOKUP(Tabla1[[#This Row],[Universidad]],Conversiones!$B:$B,Conversiones!$C:$C)</f>
        <v>The Artificial Intelligence Finance Institute’s New York (AIFI)</v>
      </c>
      <c r="U493" s="105" t="str">
        <f>_xlfn.XLOOKUP(Tabla1[[#This Row],[Universidad KPIs]],Conversiones!$C:$C,Conversiones!$E:$E)</f>
        <v>General</v>
      </c>
      <c r="V493" t="s">
        <v>220</v>
      </c>
      <c r="W493" t="s">
        <v>291</v>
      </c>
      <c r="X493" s="2">
        <v>45017</v>
      </c>
      <c r="Y493" s="2">
        <v>45047</v>
      </c>
      <c r="Z493">
        <v>60</v>
      </c>
    </row>
    <row r="494" spans="1:27">
      <c r="A494" s="102" t="s">
        <v>2083</v>
      </c>
      <c r="B494">
        <v>201610770</v>
      </c>
      <c r="C494" t="s">
        <v>2084</v>
      </c>
      <c r="D494" t="s">
        <v>2085</v>
      </c>
      <c r="E494" t="s">
        <v>2086</v>
      </c>
      <c r="F494" t="s">
        <v>241</v>
      </c>
      <c r="G494" t="s">
        <v>277</v>
      </c>
      <c r="J494" t="s">
        <v>278</v>
      </c>
      <c r="K494">
        <v>2023</v>
      </c>
      <c r="L494">
        <v>202319</v>
      </c>
      <c r="M494">
        <v>202310</v>
      </c>
      <c r="N494" t="s">
        <v>1850</v>
      </c>
      <c r="O494" t="s">
        <v>584</v>
      </c>
      <c r="P494" t="s">
        <v>1856</v>
      </c>
      <c r="Q494" t="s">
        <v>241</v>
      </c>
      <c r="R494" t="s">
        <v>277</v>
      </c>
      <c r="S494" t="s">
        <v>223</v>
      </c>
      <c r="T494" s="105" t="str">
        <f>_xlfn.XLOOKUP(Tabla1[[#This Row],[Universidad]],Conversiones!$B:$B,Conversiones!$C:$C)</f>
        <v>Universidad de Sao Pablo</v>
      </c>
      <c r="U494" s="105" t="str">
        <f>_xlfn.XLOOKUP(Tabla1[[#This Row],[Universidad KPIs]],Conversiones!$C:$C,Conversiones!$E:$E)</f>
        <v>General</v>
      </c>
      <c r="V494" t="s">
        <v>224</v>
      </c>
      <c r="W494" t="s">
        <v>296</v>
      </c>
      <c r="X494" s="2">
        <v>44927</v>
      </c>
      <c r="Y494" s="2">
        <v>45047</v>
      </c>
      <c r="Z494">
        <v>120</v>
      </c>
    </row>
    <row r="495" spans="1:27">
      <c r="A495" s="102" t="s">
        <v>2087</v>
      </c>
      <c r="B495">
        <v>201823595</v>
      </c>
      <c r="C495" t="s">
        <v>2088</v>
      </c>
      <c r="D495" t="s">
        <v>2089</v>
      </c>
      <c r="E495" t="s">
        <v>2090</v>
      </c>
      <c r="F495" t="s">
        <v>241</v>
      </c>
      <c r="G495" t="s">
        <v>277</v>
      </c>
      <c r="J495" t="s">
        <v>278</v>
      </c>
      <c r="K495">
        <v>2023</v>
      </c>
      <c r="L495">
        <v>202319</v>
      </c>
      <c r="M495">
        <v>202310</v>
      </c>
      <c r="N495" t="s">
        <v>1850</v>
      </c>
      <c r="O495" t="s">
        <v>584</v>
      </c>
      <c r="P495" t="s">
        <v>1856</v>
      </c>
      <c r="Q495" t="s">
        <v>241</v>
      </c>
      <c r="R495" t="s">
        <v>277</v>
      </c>
      <c r="S495" t="s">
        <v>2064</v>
      </c>
      <c r="T495" s="105" t="str">
        <f>_xlfn.XLOOKUP(Tabla1[[#This Row],[Universidad]],Conversiones!$B:$B,Conversiones!$C:$C)</f>
        <v>ITESM-EGADE -Instituto tecnológico y de estudios superiores de Monterrey</v>
      </c>
      <c r="U495" s="105" t="str">
        <f>_xlfn.XLOOKUP(Tabla1[[#This Row],[Universidad KPIs]],Conversiones!$C:$C,Conversiones!$E:$E)</f>
        <v>Específico</v>
      </c>
      <c r="V495" t="s">
        <v>218</v>
      </c>
      <c r="W495" t="s">
        <v>291</v>
      </c>
      <c r="X495" s="2">
        <v>44927</v>
      </c>
      <c r="Y495" s="2">
        <v>45047</v>
      </c>
      <c r="Z495">
        <v>120</v>
      </c>
    </row>
    <row r="496" spans="1:27">
      <c r="A496" s="102" t="s">
        <v>2091</v>
      </c>
      <c r="B496">
        <v>200310542</v>
      </c>
      <c r="C496" t="s">
        <v>2092</v>
      </c>
      <c r="D496" t="s">
        <v>2093</v>
      </c>
      <c r="E496" t="s">
        <v>2094</v>
      </c>
      <c r="F496" t="s">
        <v>241</v>
      </c>
      <c r="G496" t="s">
        <v>277</v>
      </c>
      <c r="J496" t="s">
        <v>278</v>
      </c>
      <c r="K496">
        <v>2023</v>
      </c>
      <c r="L496">
        <v>202319</v>
      </c>
      <c r="M496">
        <v>202310</v>
      </c>
      <c r="N496" t="s">
        <v>1850</v>
      </c>
      <c r="O496" t="s">
        <v>584</v>
      </c>
      <c r="P496" t="s">
        <v>1856</v>
      </c>
      <c r="Q496" t="s">
        <v>241</v>
      </c>
      <c r="R496" t="s">
        <v>277</v>
      </c>
      <c r="S496" t="s">
        <v>221</v>
      </c>
      <c r="T496" s="105" t="str">
        <f>_xlfn.XLOOKUP(Tabla1[[#This Row],[Universidad]],Conversiones!$B:$B,Conversiones!$C:$C)</f>
        <v>Universidad Ca Foscari de Venecia</v>
      </c>
      <c r="U496" s="105" t="str">
        <f>_xlfn.XLOOKUP(Tabla1[[#This Row],[Universidad KPIs]],Conversiones!$C:$C,Conversiones!$E:$E)</f>
        <v>General</v>
      </c>
      <c r="V496" t="s">
        <v>222</v>
      </c>
      <c r="W496" t="s">
        <v>281</v>
      </c>
      <c r="X496" s="2">
        <v>44927</v>
      </c>
      <c r="Y496" s="2">
        <v>45047</v>
      </c>
      <c r="Z496">
        <v>120</v>
      </c>
    </row>
    <row r="497" spans="1:32">
      <c r="A497" s="102" t="s">
        <v>2095</v>
      </c>
      <c r="B497">
        <v>201624714</v>
      </c>
      <c r="C497" t="s">
        <v>2096</v>
      </c>
      <c r="D497" t="s">
        <v>2097</v>
      </c>
      <c r="E497" t="s">
        <v>2098</v>
      </c>
      <c r="F497" t="s">
        <v>241</v>
      </c>
      <c r="G497" t="s">
        <v>277</v>
      </c>
      <c r="J497" t="s">
        <v>278</v>
      </c>
      <c r="K497">
        <v>2023</v>
      </c>
      <c r="L497">
        <v>202319</v>
      </c>
      <c r="M497">
        <v>202310</v>
      </c>
      <c r="N497" t="s">
        <v>1850</v>
      </c>
      <c r="O497" t="s">
        <v>584</v>
      </c>
      <c r="P497" t="s">
        <v>1856</v>
      </c>
      <c r="Q497" t="s">
        <v>241</v>
      </c>
      <c r="R497" t="s">
        <v>277</v>
      </c>
      <c r="S497" t="s">
        <v>2099</v>
      </c>
      <c r="T497" s="105" t="str">
        <f>_xlfn.XLOOKUP(Tabla1[[#This Row],[Universidad]],Conversiones!$B:$B,Conversiones!$C:$C)</f>
        <v>HEC Montréal</v>
      </c>
      <c r="U497" s="105" t="str">
        <f>_xlfn.XLOOKUP(Tabla1[[#This Row],[Universidad KPIs]],Conversiones!$C:$C,Conversiones!$E:$E)</f>
        <v>Específico</v>
      </c>
      <c r="V497" t="s">
        <v>216</v>
      </c>
      <c r="W497" t="s">
        <v>291</v>
      </c>
      <c r="X497" s="2">
        <v>44927</v>
      </c>
      <c r="Y497" s="2">
        <v>45047</v>
      </c>
      <c r="Z497">
        <v>120</v>
      </c>
    </row>
    <row r="498" spans="1:32">
      <c r="A498" s="103" t="s">
        <v>2100</v>
      </c>
      <c r="B498" s="1">
        <v>202221931</v>
      </c>
      <c r="C498" s="1" t="s">
        <v>1511</v>
      </c>
      <c r="D498" s="1" t="s">
        <v>2101</v>
      </c>
      <c r="E498" s="1" t="s">
        <v>2102</v>
      </c>
      <c r="F498" s="1" t="s">
        <v>233</v>
      </c>
      <c r="G498" s="1" t="s">
        <v>277</v>
      </c>
      <c r="H498" s="1"/>
      <c r="I498" s="1"/>
      <c r="J498" s="1" t="s">
        <v>278</v>
      </c>
      <c r="K498" s="1">
        <v>2025</v>
      </c>
      <c r="L498" s="1">
        <v>202510</v>
      </c>
      <c r="M498" s="1">
        <v>202510</v>
      </c>
      <c r="N498" s="1" t="s">
        <v>279</v>
      </c>
      <c r="O498" s="1" t="s">
        <v>2103</v>
      </c>
      <c r="P498" s="1" t="s">
        <v>280</v>
      </c>
      <c r="Q498" s="1" t="s">
        <v>233</v>
      </c>
      <c r="R498" s="1" t="s">
        <v>277</v>
      </c>
      <c r="S498" s="1" t="s">
        <v>52</v>
      </c>
      <c r="T498" s="105" t="str">
        <f>_xlfn.XLOOKUP(Tabla1[[#This Row],[Universidad]],Conversiones!$B:$B,Conversiones!$C:$C)</f>
        <v>Aalto University</v>
      </c>
      <c r="U498" s="105" t="str">
        <f>_xlfn.XLOOKUP(Tabla1[[#This Row],[Universidad KPIs]],Conversiones!$C:$C,Conversiones!$E:$E)</f>
        <v>Específico</v>
      </c>
      <c r="V498" s="1" t="s">
        <v>53</v>
      </c>
      <c r="W498" s="1" t="s">
        <v>281</v>
      </c>
      <c r="X498" s="87">
        <v>45678</v>
      </c>
      <c r="Y498" s="87">
        <v>45801</v>
      </c>
      <c r="Z498" s="1">
        <v>123</v>
      </c>
    </row>
    <row r="499" spans="1:32">
      <c r="A499" s="102" t="s">
        <v>2104</v>
      </c>
      <c r="B499">
        <v>202020793</v>
      </c>
      <c r="C499" t="s">
        <v>2105</v>
      </c>
      <c r="D499" t="s">
        <v>2106</v>
      </c>
      <c r="E499" t="s">
        <v>2107</v>
      </c>
      <c r="F499" t="s">
        <v>233</v>
      </c>
      <c r="G499" t="s">
        <v>277</v>
      </c>
      <c r="J499" t="s">
        <v>278</v>
      </c>
      <c r="K499">
        <v>2025</v>
      </c>
      <c r="L499">
        <v>202510</v>
      </c>
      <c r="M499">
        <v>202510</v>
      </c>
      <c r="N499" t="s">
        <v>279</v>
      </c>
      <c r="O499" t="s">
        <v>2103</v>
      </c>
      <c r="P499" t="s">
        <v>280</v>
      </c>
      <c r="Q499" t="s">
        <v>233</v>
      </c>
      <c r="R499" t="s">
        <v>277</v>
      </c>
      <c r="S499" t="s">
        <v>189</v>
      </c>
      <c r="T499" s="105" t="str">
        <f>_xlfn.XLOOKUP(Tabla1[[#This Row],[Universidad]],Conversiones!$B:$B,Conversiones!$C:$C)</f>
        <v>Aix-Marseille Université</v>
      </c>
      <c r="U499" s="105" t="str">
        <f>_xlfn.XLOOKUP(Tabla1[[#This Row],[Universidad KPIs]],Conversiones!$C:$C,Conversiones!$E:$E)</f>
        <v>General</v>
      </c>
      <c r="V499" t="s">
        <v>57</v>
      </c>
      <c r="W499" t="s">
        <v>281</v>
      </c>
      <c r="X499" s="2">
        <v>45678</v>
      </c>
      <c r="Y499" s="2">
        <v>45801</v>
      </c>
      <c r="Z499">
        <v>123</v>
      </c>
      <c r="AA499" s="2"/>
    </row>
    <row r="500" spans="1:32">
      <c r="A500" s="103" t="s">
        <v>2108</v>
      </c>
      <c r="B500" s="1">
        <v>202221236</v>
      </c>
      <c r="C500" s="1" t="s">
        <v>1252</v>
      </c>
      <c r="D500" s="1" t="s">
        <v>2109</v>
      </c>
      <c r="E500" s="1" t="s">
        <v>2110</v>
      </c>
      <c r="F500" s="1" t="s">
        <v>233</v>
      </c>
      <c r="G500" s="1" t="s">
        <v>277</v>
      </c>
      <c r="H500" s="1"/>
      <c r="I500" s="1"/>
      <c r="J500" s="1" t="s">
        <v>278</v>
      </c>
      <c r="K500" s="1">
        <v>2025</v>
      </c>
      <c r="L500" s="1">
        <v>202510</v>
      </c>
      <c r="M500" s="1">
        <v>202510</v>
      </c>
      <c r="N500" s="1" t="s">
        <v>279</v>
      </c>
      <c r="O500" s="1" t="s">
        <v>2103</v>
      </c>
      <c r="P500" s="1" t="s">
        <v>280</v>
      </c>
      <c r="Q500" s="1" t="s">
        <v>233</v>
      </c>
      <c r="R500" s="1" t="s">
        <v>277</v>
      </c>
      <c r="S500" s="1" t="s">
        <v>142</v>
      </c>
      <c r="T500" s="105" t="str">
        <f>_xlfn.XLOOKUP(Tabla1[[#This Row],[Universidad]],Conversiones!$B:$B,Conversiones!$C:$C)</f>
        <v>Amherst College</v>
      </c>
      <c r="U500" s="105" t="str">
        <f>_xlfn.XLOOKUP(Tabla1[[#This Row],[Universidad KPIs]],Conversiones!$C:$C,Conversiones!$E:$E)</f>
        <v>General</v>
      </c>
      <c r="V500" s="1" t="s">
        <v>51</v>
      </c>
      <c r="W500" s="1" t="s">
        <v>291</v>
      </c>
      <c r="X500" s="87">
        <v>45678</v>
      </c>
      <c r="Y500" s="87">
        <v>45801</v>
      </c>
      <c r="Z500" s="1">
        <v>123</v>
      </c>
      <c r="AA500" s="2"/>
    </row>
    <row r="501" spans="1:32">
      <c r="A501" s="102" t="s">
        <v>2111</v>
      </c>
      <c r="B501">
        <v>202221002</v>
      </c>
      <c r="C501" t="s">
        <v>452</v>
      </c>
      <c r="D501" t="s">
        <v>2112</v>
      </c>
      <c r="E501" t="s">
        <v>2113</v>
      </c>
      <c r="F501" t="s">
        <v>233</v>
      </c>
      <c r="G501" t="s">
        <v>277</v>
      </c>
      <c r="J501" t="s">
        <v>278</v>
      </c>
      <c r="K501">
        <v>2025</v>
      </c>
      <c r="L501">
        <v>202510</v>
      </c>
      <c r="M501">
        <v>202510</v>
      </c>
      <c r="N501" t="s">
        <v>279</v>
      </c>
      <c r="O501" t="s">
        <v>2103</v>
      </c>
      <c r="P501" t="s">
        <v>280</v>
      </c>
      <c r="Q501" t="s">
        <v>233</v>
      </c>
      <c r="R501" t="s">
        <v>277</v>
      </c>
      <c r="S501" t="s">
        <v>54</v>
      </c>
      <c r="T501" s="105" t="str">
        <f>_xlfn.XLOOKUP(Tabla1[[#This Row],[Universidad]],Conversiones!$B:$B,Conversiones!$C:$C)</f>
        <v>Aston University</v>
      </c>
      <c r="U501" s="105" t="str">
        <f>_xlfn.XLOOKUP(Tabla1[[#This Row],[Universidad KPIs]],Conversiones!$C:$C,Conversiones!$E:$E)</f>
        <v>Específico</v>
      </c>
      <c r="V501" t="s">
        <v>55</v>
      </c>
      <c r="W501" t="s">
        <v>281</v>
      </c>
      <c r="X501" s="2">
        <v>45678</v>
      </c>
      <c r="Y501" s="2">
        <v>45801</v>
      </c>
      <c r="Z501">
        <v>123</v>
      </c>
      <c r="AA501" s="2"/>
      <c r="AF501" s="199"/>
    </row>
    <row r="502" spans="1:32">
      <c r="A502" s="103" t="s">
        <v>2114</v>
      </c>
      <c r="B502" s="1">
        <v>202014891</v>
      </c>
      <c r="C502" s="1" t="s">
        <v>2115</v>
      </c>
      <c r="D502" s="1" t="s">
        <v>2116</v>
      </c>
      <c r="E502" s="1" t="s">
        <v>2117</v>
      </c>
      <c r="F502" s="1" t="s">
        <v>233</v>
      </c>
      <c r="G502" s="1" t="s">
        <v>277</v>
      </c>
      <c r="H502" s="1"/>
      <c r="I502" s="1"/>
      <c r="J502" s="1" t="s">
        <v>278</v>
      </c>
      <c r="K502" s="1">
        <v>2025</v>
      </c>
      <c r="L502" s="1">
        <v>202510</v>
      </c>
      <c r="M502" s="1">
        <v>202510</v>
      </c>
      <c r="N502" s="1" t="s">
        <v>279</v>
      </c>
      <c r="O502" s="1" t="s">
        <v>2103</v>
      </c>
      <c r="P502" s="1" t="s">
        <v>280</v>
      </c>
      <c r="Q502" s="1" t="s">
        <v>233</v>
      </c>
      <c r="R502" s="1" t="s">
        <v>277</v>
      </c>
      <c r="S502" s="1" t="s">
        <v>381</v>
      </c>
      <c r="T502" s="105" t="str">
        <f>_xlfn.XLOOKUP(Tabla1[[#This Row],[Universidad]],Conversiones!$B:$B,Conversiones!$C:$C)</f>
        <v>Audencia. École de Management</v>
      </c>
      <c r="U502" s="105" t="str">
        <f>_xlfn.XLOOKUP(Tabla1[[#This Row],[Universidad KPIs]],Conversiones!$C:$C,Conversiones!$E:$E)</f>
        <v>Específico</v>
      </c>
      <c r="V502" s="1" t="s">
        <v>57</v>
      </c>
      <c r="W502" s="1" t="s">
        <v>281</v>
      </c>
      <c r="X502" s="87">
        <v>45678</v>
      </c>
      <c r="Y502" s="87">
        <v>45801</v>
      </c>
      <c r="Z502" s="1">
        <v>123</v>
      </c>
      <c r="AA502" s="2"/>
    </row>
    <row r="503" spans="1:32">
      <c r="A503" s="102" t="s">
        <v>2118</v>
      </c>
      <c r="B503">
        <v>202112690</v>
      </c>
      <c r="C503" t="s">
        <v>1252</v>
      </c>
      <c r="D503" t="s">
        <v>721</v>
      </c>
      <c r="E503" t="s">
        <v>2119</v>
      </c>
      <c r="F503" t="s">
        <v>233</v>
      </c>
      <c r="G503" t="s">
        <v>277</v>
      </c>
      <c r="H503" t="s">
        <v>491</v>
      </c>
      <c r="I503" t="s">
        <v>492</v>
      </c>
      <c r="J503" t="s">
        <v>278</v>
      </c>
      <c r="K503">
        <v>2025</v>
      </c>
      <c r="L503">
        <v>202510</v>
      </c>
      <c r="M503">
        <v>202510</v>
      </c>
      <c r="N503" t="s">
        <v>279</v>
      </c>
      <c r="O503" t="s">
        <v>2103</v>
      </c>
      <c r="P503" t="s">
        <v>280</v>
      </c>
      <c r="Q503" t="s">
        <v>233</v>
      </c>
      <c r="R503" t="s">
        <v>277</v>
      </c>
      <c r="S503" t="s">
        <v>64</v>
      </c>
      <c r="T503" s="105" t="str">
        <f>_xlfn.XLOOKUP(Tabla1[[#This Row],[Universidad]],Conversiones!$B:$B,Conversiones!$C:$C)</f>
        <v>City University of Hong Kong</v>
      </c>
      <c r="U503" s="105" t="str">
        <f>_xlfn.XLOOKUP(Tabla1[[#This Row],[Universidad KPIs]],Conversiones!$C:$C,Conversiones!$E:$E)</f>
        <v>Específico</v>
      </c>
      <c r="V503" t="s">
        <v>65</v>
      </c>
      <c r="W503" t="s">
        <v>568</v>
      </c>
      <c r="X503" s="2">
        <v>45678</v>
      </c>
      <c r="Y503" s="2">
        <v>45801</v>
      </c>
      <c r="Z503">
        <v>123</v>
      </c>
      <c r="AA503" s="2"/>
      <c r="AF503" s="199"/>
    </row>
    <row r="504" spans="1:32">
      <c r="A504" s="103" t="s">
        <v>2120</v>
      </c>
      <c r="B504" s="1">
        <v>202212404</v>
      </c>
      <c r="C504" s="1" t="s">
        <v>358</v>
      </c>
      <c r="D504" s="1" t="s">
        <v>2121</v>
      </c>
      <c r="E504" s="1" t="s">
        <v>2122</v>
      </c>
      <c r="F504" s="1" t="s">
        <v>233</v>
      </c>
      <c r="G504" s="1" t="s">
        <v>277</v>
      </c>
      <c r="H504" s="1"/>
      <c r="I504" s="1"/>
      <c r="J504" s="1" t="s">
        <v>278</v>
      </c>
      <c r="K504" s="1">
        <v>2025</v>
      </c>
      <c r="L504" s="1">
        <v>202510</v>
      </c>
      <c r="M504" s="1">
        <v>202510</v>
      </c>
      <c r="N504" s="1" t="s">
        <v>279</v>
      </c>
      <c r="O504" s="1" t="s">
        <v>2103</v>
      </c>
      <c r="P504" s="1" t="s">
        <v>280</v>
      </c>
      <c r="Q504" s="1" t="s">
        <v>233</v>
      </c>
      <c r="R504" s="1" t="s">
        <v>277</v>
      </c>
      <c r="S504" s="1" t="s">
        <v>366</v>
      </c>
      <c r="T504" s="105" t="str">
        <f>_xlfn.XLOOKUP(Tabla1[[#This Row],[Universidad]],Conversiones!$B:$B,Conversiones!$C:$C)</f>
        <v>HEC Montréal</v>
      </c>
      <c r="U504" s="105" t="str">
        <f>_xlfn.XLOOKUP(Tabla1[[#This Row],[Universidad KPIs]],Conversiones!$C:$C,Conversiones!$E:$E)</f>
        <v>Específico</v>
      </c>
      <c r="V504" s="1" t="s">
        <v>74</v>
      </c>
      <c r="W504" s="1" t="s">
        <v>291</v>
      </c>
      <c r="X504" s="87">
        <v>45678</v>
      </c>
      <c r="Y504" s="87">
        <v>45801</v>
      </c>
      <c r="Z504" s="1">
        <v>123</v>
      </c>
      <c r="AA504" s="2"/>
    </row>
    <row r="505" spans="1:32">
      <c r="A505" s="102" t="s">
        <v>2123</v>
      </c>
      <c r="B505">
        <v>202323181</v>
      </c>
      <c r="C505" t="s">
        <v>2124</v>
      </c>
      <c r="D505" t="s">
        <v>2125</v>
      </c>
      <c r="E505" t="s">
        <v>2126</v>
      </c>
      <c r="F505" t="s">
        <v>233</v>
      </c>
      <c r="G505" t="s">
        <v>277</v>
      </c>
      <c r="J505" t="s">
        <v>278</v>
      </c>
      <c r="K505">
        <v>2025</v>
      </c>
      <c r="L505">
        <v>202510</v>
      </c>
      <c r="M505">
        <v>202510</v>
      </c>
      <c r="N505" t="s">
        <v>279</v>
      </c>
      <c r="O505" t="s">
        <v>2103</v>
      </c>
      <c r="P505" t="s">
        <v>280</v>
      </c>
      <c r="Q505" t="s">
        <v>233</v>
      </c>
      <c r="R505" t="s">
        <v>277</v>
      </c>
      <c r="S505" t="s">
        <v>66</v>
      </c>
      <c r="T505" s="105" t="str">
        <f>_xlfn.XLOOKUP(Tabla1[[#This Row],[Universidad]],Conversiones!$B:$B,Conversiones!$C:$C)</f>
        <v>EDHEC Business School</v>
      </c>
      <c r="U505" s="105" t="str">
        <f>_xlfn.XLOOKUP(Tabla1[[#This Row],[Universidad KPIs]],Conversiones!$C:$C,Conversiones!$E:$E)</f>
        <v>Específico</v>
      </c>
      <c r="V505" t="s">
        <v>57</v>
      </c>
      <c r="W505" t="s">
        <v>281</v>
      </c>
      <c r="X505" s="2">
        <v>45678</v>
      </c>
      <c r="Y505" s="2">
        <v>45801</v>
      </c>
      <c r="Z505">
        <v>123</v>
      </c>
      <c r="AA505" s="2"/>
    </row>
    <row r="506" spans="1:32">
      <c r="A506" s="103" t="s">
        <v>2127</v>
      </c>
      <c r="B506" s="1">
        <v>202122653</v>
      </c>
      <c r="C506" s="1" t="s">
        <v>980</v>
      </c>
      <c r="D506" s="1" t="s">
        <v>2128</v>
      </c>
      <c r="E506" s="1" t="s">
        <v>2129</v>
      </c>
      <c r="F506" s="1" t="s">
        <v>233</v>
      </c>
      <c r="G506" s="1" t="s">
        <v>277</v>
      </c>
      <c r="H506" s="1" t="s">
        <v>491</v>
      </c>
      <c r="I506" s="1" t="s">
        <v>492</v>
      </c>
      <c r="J506" s="1" t="s">
        <v>278</v>
      </c>
      <c r="K506" s="1">
        <v>2025</v>
      </c>
      <c r="L506" s="1">
        <v>202510</v>
      </c>
      <c r="M506" s="1">
        <v>202510</v>
      </c>
      <c r="N506" s="1" t="s">
        <v>279</v>
      </c>
      <c r="O506" s="1" t="s">
        <v>2103</v>
      </c>
      <c r="P506" s="1" t="s">
        <v>280</v>
      </c>
      <c r="Q506" s="1" t="s">
        <v>233</v>
      </c>
      <c r="R506" s="1" t="s">
        <v>277</v>
      </c>
      <c r="S506" s="1" t="s">
        <v>419</v>
      </c>
      <c r="T506" s="105" t="str">
        <f>_xlfn.XLOOKUP(Tabla1[[#This Row],[Universidad]],Conversiones!$B:$B,Conversiones!$C:$C)</f>
        <v>ESCP</v>
      </c>
      <c r="U506" s="105" t="str">
        <f>_xlfn.XLOOKUP(Tabla1[[#This Row],[Universidad KPIs]],Conversiones!$C:$C,Conversiones!$E:$E)</f>
        <v>Específico</v>
      </c>
      <c r="V506" s="1" t="s">
        <v>57</v>
      </c>
      <c r="W506" s="1" t="s">
        <v>281</v>
      </c>
      <c r="X506" s="87">
        <v>45678</v>
      </c>
      <c r="Y506" s="87">
        <v>45801</v>
      </c>
      <c r="Z506" s="1">
        <v>123</v>
      </c>
      <c r="AA506" s="2"/>
    </row>
    <row r="507" spans="1:32">
      <c r="A507" s="102" t="s">
        <v>2130</v>
      </c>
      <c r="B507">
        <v>202215392</v>
      </c>
      <c r="C507" t="s">
        <v>274</v>
      </c>
      <c r="D507" t="s">
        <v>2131</v>
      </c>
      <c r="E507" t="s">
        <v>2132</v>
      </c>
      <c r="F507" t="s">
        <v>233</v>
      </c>
      <c r="G507" t="s">
        <v>277</v>
      </c>
      <c r="J507" t="s">
        <v>278</v>
      </c>
      <c r="K507">
        <v>2025</v>
      </c>
      <c r="L507">
        <v>202510</v>
      </c>
      <c r="M507">
        <v>202510</v>
      </c>
      <c r="N507" t="s">
        <v>279</v>
      </c>
      <c r="O507" t="s">
        <v>2103</v>
      </c>
      <c r="P507" t="s">
        <v>280</v>
      </c>
      <c r="Q507" t="s">
        <v>233</v>
      </c>
      <c r="R507" t="s">
        <v>277</v>
      </c>
      <c r="S507" t="s">
        <v>329</v>
      </c>
      <c r="T507" s="105" t="str">
        <f>_xlfn.XLOOKUP(Tabla1[[#This Row],[Universidad]],Conversiones!$B:$B,Conversiones!$C:$C)</f>
        <v>ESSEC</v>
      </c>
      <c r="U507" s="105" t="str">
        <f>_xlfn.XLOOKUP(Tabla1[[#This Row],[Universidad KPIs]],Conversiones!$C:$C,Conversiones!$E:$E)</f>
        <v>Específico</v>
      </c>
      <c r="V507" t="s">
        <v>57</v>
      </c>
      <c r="W507" t="s">
        <v>281</v>
      </c>
      <c r="X507" s="2">
        <v>45678</v>
      </c>
      <c r="Y507" s="2">
        <v>45801</v>
      </c>
      <c r="Z507">
        <v>123</v>
      </c>
      <c r="AA507" s="2"/>
    </row>
    <row r="508" spans="1:32">
      <c r="A508" s="103" t="s">
        <v>2133</v>
      </c>
      <c r="B508" s="1">
        <v>202221481</v>
      </c>
      <c r="C508" s="1" t="s">
        <v>814</v>
      </c>
      <c r="D508" s="1" t="s">
        <v>2134</v>
      </c>
      <c r="E508" s="1" t="s">
        <v>2135</v>
      </c>
      <c r="F508" s="1" t="s">
        <v>233</v>
      </c>
      <c r="G508" s="1" t="s">
        <v>277</v>
      </c>
      <c r="H508" s="1"/>
      <c r="I508" s="1"/>
      <c r="J508" s="1" t="s">
        <v>278</v>
      </c>
      <c r="K508" s="1">
        <v>2025</v>
      </c>
      <c r="L508" s="1">
        <v>202510</v>
      </c>
      <c r="M508" s="1">
        <v>202510</v>
      </c>
      <c r="N508" s="1" t="s">
        <v>279</v>
      </c>
      <c r="O508" s="1" t="s">
        <v>2103</v>
      </c>
      <c r="P508" s="1" t="s">
        <v>280</v>
      </c>
      <c r="Q508" s="1" t="s">
        <v>233</v>
      </c>
      <c r="R508" s="1" t="s">
        <v>277</v>
      </c>
      <c r="S508" s="1" t="s">
        <v>329</v>
      </c>
      <c r="T508" s="105" t="str">
        <f>_xlfn.XLOOKUP(Tabla1[[#This Row],[Universidad]],Conversiones!$B:$B,Conversiones!$C:$C)</f>
        <v>ESSEC</v>
      </c>
      <c r="U508" s="105" t="str">
        <f>_xlfn.XLOOKUP(Tabla1[[#This Row],[Universidad KPIs]],Conversiones!$C:$C,Conversiones!$E:$E)</f>
        <v>Específico</v>
      </c>
      <c r="V508" s="1" t="s">
        <v>57</v>
      </c>
      <c r="W508" s="1" t="s">
        <v>281</v>
      </c>
      <c r="X508" s="87">
        <v>45678</v>
      </c>
      <c r="Y508" s="87">
        <v>45801</v>
      </c>
      <c r="Z508" s="1">
        <v>123</v>
      </c>
      <c r="AA508" s="2"/>
    </row>
    <row r="509" spans="1:32">
      <c r="A509" s="102" t="s">
        <v>2136</v>
      </c>
      <c r="B509">
        <v>202220432</v>
      </c>
      <c r="C509" t="s">
        <v>656</v>
      </c>
      <c r="D509" t="s">
        <v>2137</v>
      </c>
      <c r="E509" t="s">
        <v>2138</v>
      </c>
      <c r="F509" t="s">
        <v>233</v>
      </c>
      <c r="G509" t="s">
        <v>277</v>
      </c>
      <c r="J509" t="s">
        <v>278</v>
      </c>
      <c r="K509">
        <v>2025</v>
      </c>
      <c r="L509">
        <v>202510</v>
      </c>
      <c r="M509">
        <v>202510</v>
      </c>
      <c r="N509" t="s">
        <v>279</v>
      </c>
      <c r="O509" t="s">
        <v>2103</v>
      </c>
      <c r="P509" t="s">
        <v>280</v>
      </c>
      <c r="Q509" t="s">
        <v>233</v>
      </c>
      <c r="R509" t="s">
        <v>277</v>
      </c>
      <c r="S509" t="s">
        <v>329</v>
      </c>
      <c r="T509" s="105" t="str">
        <f>_xlfn.XLOOKUP(Tabla1[[#This Row],[Universidad]],Conversiones!$B:$B,Conversiones!$C:$C)</f>
        <v>ESSEC</v>
      </c>
      <c r="U509" s="105" t="str">
        <f>_xlfn.XLOOKUP(Tabla1[[#This Row],[Universidad KPIs]],Conversiones!$C:$C,Conversiones!$E:$E)</f>
        <v>Específico</v>
      </c>
      <c r="V509" t="s">
        <v>57</v>
      </c>
      <c r="W509" t="s">
        <v>281</v>
      </c>
      <c r="X509" s="2">
        <v>45678</v>
      </c>
      <c r="Y509" s="2">
        <v>45801</v>
      </c>
      <c r="Z509">
        <v>123</v>
      </c>
      <c r="AA509" s="2"/>
    </row>
    <row r="510" spans="1:32">
      <c r="A510" s="103" t="s">
        <v>2139</v>
      </c>
      <c r="B510" s="1">
        <v>202111486</v>
      </c>
      <c r="C510" s="1" t="s">
        <v>434</v>
      </c>
      <c r="D510" s="1" t="s">
        <v>2140</v>
      </c>
      <c r="E510" s="1" t="s">
        <v>2141</v>
      </c>
      <c r="F510" s="1" t="s">
        <v>233</v>
      </c>
      <c r="G510" s="1" t="s">
        <v>277</v>
      </c>
      <c r="H510" s="1"/>
      <c r="I510" s="1"/>
      <c r="J510" s="1" t="s">
        <v>278</v>
      </c>
      <c r="K510" s="1">
        <v>2025</v>
      </c>
      <c r="L510" s="1">
        <v>202510</v>
      </c>
      <c r="M510" s="1">
        <v>202510</v>
      </c>
      <c r="N510" s="1" t="s">
        <v>279</v>
      </c>
      <c r="O510" s="1" t="s">
        <v>2103</v>
      </c>
      <c r="P510" s="1" t="s">
        <v>280</v>
      </c>
      <c r="Q510" s="1" t="s">
        <v>233</v>
      </c>
      <c r="R510" s="1" t="s">
        <v>277</v>
      </c>
      <c r="S510" s="1" t="s">
        <v>650</v>
      </c>
      <c r="T510" s="105" t="str">
        <f>_xlfn.XLOOKUP(Tabla1[[#This Row],[Universidad]],Conversiones!$B:$B,Conversiones!$C:$C)</f>
        <v>Grenoble. École de Management</v>
      </c>
      <c r="U510" s="105" t="str">
        <f>_xlfn.XLOOKUP(Tabla1[[#This Row],[Universidad KPIs]],Conversiones!$C:$C,Conversiones!$E:$E)</f>
        <v>Específico</v>
      </c>
      <c r="V510" s="1" t="s">
        <v>57</v>
      </c>
      <c r="W510" s="1" t="s">
        <v>281</v>
      </c>
      <c r="X510" s="87">
        <v>45678</v>
      </c>
      <c r="Y510" s="87">
        <v>45801</v>
      </c>
      <c r="Z510" s="1">
        <v>123</v>
      </c>
      <c r="AA510" s="2"/>
    </row>
    <row r="511" spans="1:32">
      <c r="A511" s="102" t="s">
        <v>2142</v>
      </c>
      <c r="B511">
        <v>202014948</v>
      </c>
      <c r="C511" t="s">
        <v>452</v>
      </c>
      <c r="D511" t="s">
        <v>2143</v>
      </c>
      <c r="E511" t="s">
        <v>2144</v>
      </c>
      <c r="F511" t="s">
        <v>233</v>
      </c>
      <c r="G511" t="s">
        <v>277</v>
      </c>
      <c r="J511" t="s">
        <v>278</v>
      </c>
      <c r="K511">
        <v>2025</v>
      </c>
      <c r="L511">
        <v>202510</v>
      </c>
      <c r="M511">
        <v>202510</v>
      </c>
      <c r="N511" t="s">
        <v>279</v>
      </c>
      <c r="O511" t="s">
        <v>2103</v>
      </c>
      <c r="P511" t="s">
        <v>280</v>
      </c>
      <c r="Q511" t="s">
        <v>233</v>
      </c>
      <c r="R511" t="s">
        <v>277</v>
      </c>
      <c r="S511" t="s">
        <v>441</v>
      </c>
      <c r="T511" s="105" t="str">
        <f>_xlfn.XLOOKUP(Tabla1[[#This Row],[Universidad]],Conversiones!$B:$B,Conversiones!$C:$C)</f>
        <v xml:space="preserve">CBS- Copenhagen Business School  </v>
      </c>
      <c r="U511" s="105" t="str">
        <f>_xlfn.XLOOKUP(Tabla1[[#This Row],[Universidad KPIs]],Conversiones!$C:$C,Conversiones!$E:$E)</f>
        <v>Específico</v>
      </c>
      <c r="V511" t="s">
        <v>63</v>
      </c>
      <c r="W511" t="s">
        <v>281</v>
      </c>
      <c r="X511" s="2">
        <v>45678</v>
      </c>
      <c r="Y511" s="2">
        <v>45801</v>
      </c>
      <c r="Z511">
        <v>123</v>
      </c>
      <c r="AA511" s="2"/>
    </row>
    <row r="512" spans="1:32">
      <c r="A512" s="103" t="s">
        <v>2145</v>
      </c>
      <c r="B512" s="1">
        <v>202211152</v>
      </c>
      <c r="C512" s="1" t="s">
        <v>782</v>
      </c>
      <c r="D512" s="1" t="s">
        <v>2146</v>
      </c>
      <c r="E512" s="1" t="s">
        <v>2147</v>
      </c>
      <c r="F512" s="1" t="s">
        <v>233</v>
      </c>
      <c r="G512" s="1" t="s">
        <v>277</v>
      </c>
      <c r="H512" s="1"/>
      <c r="I512" s="1"/>
      <c r="J512" s="1" t="s">
        <v>278</v>
      </c>
      <c r="K512" s="1">
        <v>2025</v>
      </c>
      <c r="L512" s="1">
        <v>202510</v>
      </c>
      <c r="M512" s="1">
        <v>202510</v>
      </c>
      <c r="N512" s="1" t="s">
        <v>279</v>
      </c>
      <c r="O512" s="1" t="s">
        <v>2103</v>
      </c>
      <c r="P512" s="1" t="s">
        <v>280</v>
      </c>
      <c r="Q512" s="1" t="s">
        <v>233</v>
      </c>
      <c r="R512" s="1" t="s">
        <v>277</v>
      </c>
      <c r="S512" s="1" t="s">
        <v>441</v>
      </c>
      <c r="T512" s="105" t="str">
        <f>_xlfn.XLOOKUP(Tabla1[[#This Row],[Universidad]],Conversiones!$B:$B,Conversiones!$C:$C)</f>
        <v xml:space="preserve">CBS- Copenhagen Business School  </v>
      </c>
      <c r="U512" s="105" t="str">
        <f>_xlfn.XLOOKUP(Tabla1[[#This Row],[Universidad KPIs]],Conversiones!$C:$C,Conversiones!$E:$E)</f>
        <v>Específico</v>
      </c>
      <c r="V512" s="1" t="s">
        <v>63</v>
      </c>
      <c r="W512" s="1" t="s">
        <v>281</v>
      </c>
      <c r="X512" s="87">
        <v>45678</v>
      </c>
      <c r="Y512" s="87">
        <v>45801</v>
      </c>
      <c r="Z512" s="1">
        <v>123</v>
      </c>
      <c r="AA512" s="2"/>
    </row>
    <row r="513" spans="1:27">
      <c r="A513" s="102" t="s">
        <v>1614</v>
      </c>
      <c r="B513">
        <v>202010713</v>
      </c>
      <c r="C513" t="s">
        <v>1316</v>
      </c>
      <c r="D513" t="s">
        <v>1615</v>
      </c>
      <c r="E513" t="s">
        <v>1616</v>
      </c>
      <c r="F513" t="s">
        <v>233</v>
      </c>
      <c r="G513" t="s">
        <v>277</v>
      </c>
      <c r="J513" t="s">
        <v>278</v>
      </c>
      <c r="K513">
        <v>2025</v>
      </c>
      <c r="L513">
        <v>202510</v>
      </c>
      <c r="M513">
        <v>202510</v>
      </c>
      <c r="N513" t="s">
        <v>279</v>
      </c>
      <c r="O513" t="s">
        <v>2103</v>
      </c>
      <c r="P513" t="s">
        <v>280</v>
      </c>
      <c r="Q513" t="s">
        <v>233</v>
      </c>
      <c r="R513" t="s">
        <v>277</v>
      </c>
      <c r="S513" t="s">
        <v>1485</v>
      </c>
      <c r="T513" s="105" t="str">
        <f>_xlfn.XLOOKUP(Tabla1[[#This Row],[Universidad]],Conversiones!$B:$B,Conversiones!$C:$C)</f>
        <v>HEC Paris</v>
      </c>
      <c r="U513" s="105" t="str">
        <f>_xlfn.XLOOKUP(Tabla1[[#This Row],[Universidad KPIs]],Conversiones!$C:$C,Conversiones!$E:$E)</f>
        <v>Específico</v>
      </c>
      <c r="V513" t="s">
        <v>57</v>
      </c>
      <c r="W513" t="s">
        <v>281</v>
      </c>
      <c r="X513" s="2">
        <v>45678</v>
      </c>
      <c r="Y513" s="2">
        <v>45801</v>
      </c>
      <c r="Z513">
        <v>123</v>
      </c>
      <c r="AA513" s="2"/>
    </row>
    <row r="514" spans="1:27">
      <c r="A514" s="103" t="s">
        <v>2148</v>
      </c>
      <c r="B514" s="1">
        <v>202220233</v>
      </c>
      <c r="C514" s="1" t="s">
        <v>457</v>
      </c>
      <c r="D514" s="1" t="s">
        <v>2149</v>
      </c>
      <c r="E514" s="1" t="s">
        <v>2150</v>
      </c>
      <c r="F514" s="1" t="s">
        <v>233</v>
      </c>
      <c r="G514" s="1" t="s">
        <v>277</v>
      </c>
      <c r="H514" s="1"/>
      <c r="I514" s="1"/>
      <c r="J514" s="1" t="s">
        <v>278</v>
      </c>
      <c r="K514" s="1">
        <v>2025</v>
      </c>
      <c r="L514" s="1">
        <v>202510</v>
      </c>
      <c r="M514" s="1">
        <v>202510</v>
      </c>
      <c r="N514" s="1" t="s">
        <v>279</v>
      </c>
      <c r="O514" s="1" t="s">
        <v>2103</v>
      </c>
      <c r="P514" s="1" t="s">
        <v>280</v>
      </c>
      <c r="Q514" s="1" t="s">
        <v>233</v>
      </c>
      <c r="R514" s="1" t="s">
        <v>277</v>
      </c>
      <c r="S514" s="1" t="s">
        <v>1485</v>
      </c>
      <c r="T514" s="105" t="str">
        <f>_xlfn.XLOOKUP(Tabla1[[#This Row],[Universidad]],Conversiones!$B:$B,Conversiones!$C:$C)</f>
        <v>HEC Paris</v>
      </c>
      <c r="U514" s="105" t="str">
        <f>_xlfn.XLOOKUP(Tabla1[[#This Row],[Universidad KPIs]],Conversiones!$C:$C,Conversiones!$E:$E)</f>
        <v>Específico</v>
      </c>
      <c r="V514" s="1" t="s">
        <v>57</v>
      </c>
      <c r="W514" s="1" t="s">
        <v>281</v>
      </c>
      <c r="X514" s="87">
        <v>45678</v>
      </c>
      <c r="Y514" s="87">
        <v>45801</v>
      </c>
      <c r="Z514" s="1">
        <v>123</v>
      </c>
      <c r="AA514" s="2"/>
    </row>
    <row r="515" spans="1:27">
      <c r="A515" s="102" t="s">
        <v>2151</v>
      </c>
      <c r="B515">
        <v>202122753</v>
      </c>
      <c r="C515" t="s">
        <v>434</v>
      </c>
      <c r="D515" t="s">
        <v>2152</v>
      </c>
      <c r="E515" t="s">
        <v>2153</v>
      </c>
      <c r="F515" t="s">
        <v>233</v>
      </c>
      <c r="G515" t="s">
        <v>277</v>
      </c>
      <c r="J515" t="s">
        <v>278</v>
      </c>
      <c r="K515">
        <v>2025</v>
      </c>
      <c r="L515">
        <v>202510</v>
      </c>
      <c r="M515">
        <v>202510</v>
      </c>
      <c r="N515" t="s">
        <v>279</v>
      </c>
      <c r="O515" t="s">
        <v>2103</v>
      </c>
      <c r="P515" t="s">
        <v>280</v>
      </c>
      <c r="Q515" t="s">
        <v>233</v>
      </c>
      <c r="R515" t="s">
        <v>277</v>
      </c>
      <c r="S515" t="s">
        <v>559</v>
      </c>
      <c r="T515" s="105" t="str">
        <f>_xlfn.XLOOKUP(Tabla1[[#This Row],[Universidad]],Conversiones!$B:$B,Conversiones!$C:$C)</f>
        <v>ICN Business School - Institut Commercial de Nancy</v>
      </c>
      <c r="U515" s="105" t="str">
        <f>_xlfn.XLOOKUP(Tabla1[[#This Row],[Universidad KPIs]],Conversiones!$C:$C,Conversiones!$E:$E)</f>
        <v>Específico</v>
      </c>
      <c r="V515" t="s">
        <v>57</v>
      </c>
      <c r="W515" t="s">
        <v>281</v>
      </c>
      <c r="X515" s="2">
        <v>45678</v>
      </c>
      <c r="Y515" s="2">
        <v>45801</v>
      </c>
      <c r="Z515">
        <v>123</v>
      </c>
      <c r="AA515" s="2"/>
    </row>
    <row r="516" spans="1:27">
      <c r="A516" s="103" t="s">
        <v>2154</v>
      </c>
      <c r="B516" s="1">
        <v>202121707</v>
      </c>
      <c r="C516" s="1" t="s">
        <v>2155</v>
      </c>
      <c r="D516" s="1" t="s">
        <v>2156</v>
      </c>
      <c r="E516" s="1" t="s">
        <v>2157</v>
      </c>
      <c r="F516" s="1" t="s">
        <v>233</v>
      </c>
      <c r="G516" s="1" t="s">
        <v>277</v>
      </c>
      <c r="H516" s="1"/>
      <c r="I516" s="1"/>
      <c r="J516" s="1" t="s">
        <v>278</v>
      </c>
      <c r="K516" s="1">
        <v>2025</v>
      </c>
      <c r="L516" s="1">
        <v>202510</v>
      </c>
      <c r="M516" s="1">
        <v>202510</v>
      </c>
      <c r="N516" s="1" t="s">
        <v>279</v>
      </c>
      <c r="O516" s="1" t="s">
        <v>2103</v>
      </c>
      <c r="P516" s="1" t="s">
        <v>280</v>
      </c>
      <c r="Q516" s="1" t="s">
        <v>233</v>
      </c>
      <c r="R516" s="1" t="s">
        <v>277</v>
      </c>
      <c r="S516" s="1" t="s">
        <v>639</v>
      </c>
      <c r="T516" s="105" t="str">
        <f>_xlfn.XLOOKUP(Tabla1[[#This Row],[Universidad]],Conversiones!$B:$B,Conversiones!$C:$C)</f>
        <v>IE Instituto Empresa</v>
      </c>
      <c r="U516" s="105" t="str">
        <f>_xlfn.XLOOKUP(Tabla1[[#This Row],[Universidad KPIs]],Conversiones!$C:$C,Conversiones!$E:$E)</f>
        <v>Específico</v>
      </c>
      <c r="V516" s="1" t="s">
        <v>69</v>
      </c>
      <c r="W516" s="1" t="s">
        <v>281</v>
      </c>
      <c r="X516" s="87">
        <v>45678</v>
      </c>
      <c r="Y516" s="87">
        <v>45801</v>
      </c>
      <c r="Z516" s="1">
        <v>123</v>
      </c>
      <c r="AA516" s="2"/>
    </row>
    <row r="517" spans="1:27">
      <c r="A517" s="102" t="s">
        <v>2158</v>
      </c>
      <c r="B517">
        <v>202123788</v>
      </c>
      <c r="C517" t="s">
        <v>465</v>
      </c>
      <c r="D517" t="s">
        <v>2159</v>
      </c>
      <c r="E517" t="s">
        <v>2160</v>
      </c>
      <c r="F517" t="s">
        <v>233</v>
      </c>
      <c r="G517" t="s">
        <v>277</v>
      </c>
      <c r="J517" t="s">
        <v>278</v>
      </c>
      <c r="K517">
        <v>2025</v>
      </c>
      <c r="L517">
        <v>202510</v>
      </c>
      <c r="M517">
        <v>202510</v>
      </c>
      <c r="N517" t="s">
        <v>279</v>
      </c>
      <c r="O517" t="s">
        <v>2103</v>
      </c>
      <c r="P517" t="s">
        <v>280</v>
      </c>
      <c r="Q517" t="s">
        <v>233</v>
      </c>
      <c r="R517" t="s">
        <v>277</v>
      </c>
      <c r="S517" t="s">
        <v>163</v>
      </c>
      <c r="T517" s="105" t="str">
        <f>_xlfn.XLOOKUP(Tabla1[[#This Row],[Universidad]],Conversiones!$B:$B,Conversiones!$C:$C)</f>
        <v>Kanagawa University</v>
      </c>
      <c r="U517" s="105" t="str">
        <f>_xlfn.XLOOKUP(Tabla1[[#This Row],[Universidad KPIs]],Conversiones!$C:$C,Conversiones!$E:$E)</f>
        <v>General</v>
      </c>
      <c r="V517" t="s">
        <v>101</v>
      </c>
      <c r="W517" t="s">
        <v>568</v>
      </c>
      <c r="X517" s="2">
        <v>45678</v>
      </c>
      <c r="Y517" s="2">
        <v>45801</v>
      </c>
      <c r="Z517">
        <v>123</v>
      </c>
      <c r="AA517" s="2"/>
    </row>
    <row r="518" spans="1:27">
      <c r="A518" s="103" t="s">
        <v>2161</v>
      </c>
      <c r="B518" s="1">
        <v>202221586</v>
      </c>
      <c r="C518" s="1" t="s">
        <v>1960</v>
      </c>
      <c r="D518" s="1" t="s">
        <v>2162</v>
      </c>
      <c r="E518" s="1" t="s">
        <v>2163</v>
      </c>
      <c r="F518" s="1" t="s">
        <v>233</v>
      </c>
      <c r="G518" s="1" t="s">
        <v>277</v>
      </c>
      <c r="H518" s="1"/>
      <c r="I518" s="1"/>
      <c r="J518" s="1" t="s">
        <v>278</v>
      </c>
      <c r="K518" s="1">
        <v>2025</v>
      </c>
      <c r="L518" s="1">
        <v>202510</v>
      </c>
      <c r="M518" s="1">
        <v>202510</v>
      </c>
      <c r="N518" s="1" t="s">
        <v>279</v>
      </c>
      <c r="O518" s="1" t="s">
        <v>2103</v>
      </c>
      <c r="P518" s="1" t="s">
        <v>280</v>
      </c>
      <c r="Q518" s="1" t="s">
        <v>233</v>
      </c>
      <c r="R518" s="1" t="s">
        <v>277</v>
      </c>
      <c r="S518" s="1" t="s">
        <v>94</v>
      </c>
      <c r="T518" s="105" t="str">
        <f>_xlfn.XLOOKUP(Tabla1[[#This Row],[Universidad]],Conversiones!$B:$B,Conversiones!$C:$C)</f>
        <v>Maastricht University</v>
      </c>
      <c r="U518" s="105" t="str">
        <f>_xlfn.XLOOKUP(Tabla1[[#This Row],[Universidad KPIs]],Conversiones!$C:$C,Conversiones!$E:$E)</f>
        <v>Específico</v>
      </c>
      <c r="V518" s="1" t="s">
        <v>95</v>
      </c>
      <c r="W518" s="1" t="s">
        <v>281</v>
      </c>
      <c r="X518" s="87">
        <v>45678</v>
      </c>
      <c r="Y518" s="87">
        <v>45801</v>
      </c>
      <c r="Z518" s="1">
        <v>123</v>
      </c>
      <c r="AA518" s="2"/>
    </row>
    <row r="519" spans="1:27">
      <c r="A519" s="102" t="s">
        <v>2164</v>
      </c>
      <c r="B519">
        <v>202122504</v>
      </c>
      <c r="C519" t="s">
        <v>2165</v>
      </c>
      <c r="D519" t="s">
        <v>2166</v>
      </c>
      <c r="E519" t="s">
        <v>2167</v>
      </c>
      <c r="F519" t="s">
        <v>233</v>
      </c>
      <c r="G519" t="s">
        <v>277</v>
      </c>
      <c r="J519" t="s">
        <v>278</v>
      </c>
      <c r="K519">
        <v>2025</v>
      </c>
      <c r="L519">
        <v>202510</v>
      </c>
      <c r="M519">
        <v>202510</v>
      </c>
      <c r="N519" t="s">
        <v>279</v>
      </c>
      <c r="O519" t="s">
        <v>2103</v>
      </c>
      <c r="P519" t="s">
        <v>280</v>
      </c>
      <c r="Q519" t="s">
        <v>233</v>
      </c>
      <c r="R519" t="s">
        <v>277</v>
      </c>
      <c r="S519" t="s">
        <v>94</v>
      </c>
      <c r="T519" s="105" t="str">
        <f>_xlfn.XLOOKUP(Tabla1[[#This Row],[Universidad]],Conversiones!$B:$B,Conversiones!$C:$C)</f>
        <v>Maastricht University</v>
      </c>
      <c r="U519" s="105" t="str">
        <f>_xlfn.XLOOKUP(Tabla1[[#This Row],[Universidad KPIs]],Conversiones!$C:$C,Conversiones!$E:$E)</f>
        <v>Específico</v>
      </c>
      <c r="V519" t="s">
        <v>95</v>
      </c>
      <c r="W519" t="s">
        <v>281</v>
      </c>
      <c r="X519" s="2">
        <v>45678</v>
      </c>
      <c r="Y519" s="2">
        <v>45801</v>
      </c>
      <c r="Z519">
        <v>123</v>
      </c>
      <c r="AA519" s="2"/>
    </row>
    <row r="520" spans="1:27">
      <c r="A520" s="103" t="s">
        <v>2168</v>
      </c>
      <c r="B520" s="1">
        <v>202123120</v>
      </c>
      <c r="C520" s="1" t="s">
        <v>2169</v>
      </c>
      <c r="D520" s="1" t="s">
        <v>2170</v>
      </c>
      <c r="E520" s="1" t="s">
        <v>2171</v>
      </c>
      <c r="F520" s="1" t="s">
        <v>233</v>
      </c>
      <c r="G520" s="1" t="s">
        <v>277</v>
      </c>
      <c r="H520" s="1"/>
      <c r="I520" s="1"/>
      <c r="J520" s="1" t="s">
        <v>278</v>
      </c>
      <c r="K520" s="1">
        <v>2025</v>
      </c>
      <c r="L520" s="1">
        <v>202510</v>
      </c>
      <c r="M520" s="1">
        <v>202510</v>
      </c>
      <c r="N520" s="1" t="s">
        <v>279</v>
      </c>
      <c r="O520" s="1" t="s">
        <v>2103</v>
      </c>
      <c r="P520" s="1" t="s">
        <v>280</v>
      </c>
      <c r="Q520" s="1" t="s">
        <v>233</v>
      </c>
      <c r="R520" s="1" t="s">
        <v>277</v>
      </c>
      <c r="S520" s="1" t="s">
        <v>94</v>
      </c>
      <c r="T520" s="105" t="str">
        <f>_xlfn.XLOOKUP(Tabla1[[#This Row],[Universidad]],Conversiones!$B:$B,Conversiones!$C:$C)</f>
        <v>Maastricht University</v>
      </c>
      <c r="U520" s="105" t="str">
        <f>_xlfn.XLOOKUP(Tabla1[[#This Row],[Universidad KPIs]],Conversiones!$C:$C,Conversiones!$E:$E)</f>
        <v>Específico</v>
      </c>
      <c r="V520" s="1" t="s">
        <v>95</v>
      </c>
      <c r="W520" s="1" t="s">
        <v>281</v>
      </c>
      <c r="X520" s="87">
        <v>45678</v>
      </c>
      <c r="Y520" s="87">
        <v>45801</v>
      </c>
      <c r="Z520" s="1">
        <v>123</v>
      </c>
      <c r="AA520" s="2"/>
    </row>
    <row r="521" spans="1:27">
      <c r="A521" s="102" t="s">
        <v>2172</v>
      </c>
      <c r="B521">
        <v>202221473</v>
      </c>
      <c r="C521" t="s">
        <v>2173</v>
      </c>
      <c r="D521" t="s">
        <v>2174</v>
      </c>
      <c r="E521" t="s">
        <v>2175</v>
      </c>
      <c r="F521" t="s">
        <v>233</v>
      </c>
      <c r="G521" t="s">
        <v>277</v>
      </c>
      <c r="J521" t="s">
        <v>278</v>
      </c>
      <c r="K521">
        <v>2025</v>
      </c>
      <c r="L521">
        <v>202510</v>
      </c>
      <c r="M521">
        <v>202510</v>
      </c>
      <c r="N521" t="s">
        <v>279</v>
      </c>
      <c r="O521" t="s">
        <v>2103</v>
      </c>
      <c r="P521" t="s">
        <v>280</v>
      </c>
      <c r="Q521" t="s">
        <v>233</v>
      </c>
      <c r="R521" t="s">
        <v>277</v>
      </c>
      <c r="S521" t="s">
        <v>94</v>
      </c>
      <c r="T521" s="105" t="str">
        <f>_xlfn.XLOOKUP(Tabla1[[#This Row],[Universidad]],Conversiones!$B:$B,Conversiones!$C:$C)</f>
        <v>Maastricht University</v>
      </c>
      <c r="U521" s="105" t="str">
        <f>_xlfn.XLOOKUP(Tabla1[[#This Row],[Universidad KPIs]],Conversiones!$C:$C,Conversiones!$E:$E)</f>
        <v>Específico</v>
      </c>
      <c r="V521" t="s">
        <v>95</v>
      </c>
      <c r="W521" t="s">
        <v>281</v>
      </c>
      <c r="X521" s="2">
        <v>45678</v>
      </c>
      <c r="Y521" s="2">
        <v>45801</v>
      </c>
      <c r="Z521">
        <v>123</v>
      </c>
      <c r="AA521" s="2"/>
    </row>
    <row r="522" spans="1:27">
      <c r="A522" s="103" t="s">
        <v>2176</v>
      </c>
      <c r="B522" s="1">
        <v>202121653</v>
      </c>
      <c r="C522" s="1" t="s">
        <v>1316</v>
      </c>
      <c r="D522" s="1" t="s">
        <v>2177</v>
      </c>
      <c r="E522" s="1" t="s">
        <v>2178</v>
      </c>
      <c r="F522" s="1" t="s">
        <v>233</v>
      </c>
      <c r="G522" s="1" t="s">
        <v>277</v>
      </c>
      <c r="H522" s="1"/>
      <c r="I522" s="1"/>
      <c r="J522" s="1" t="s">
        <v>278</v>
      </c>
      <c r="K522" s="1">
        <v>2025</v>
      </c>
      <c r="L522" s="1">
        <v>202510</v>
      </c>
      <c r="M522" s="1">
        <v>202510</v>
      </c>
      <c r="N522" s="1" t="s">
        <v>279</v>
      </c>
      <c r="O522" s="1" t="s">
        <v>2103</v>
      </c>
      <c r="P522" s="1" t="s">
        <v>280</v>
      </c>
      <c r="Q522" s="1" t="s">
        <v>233</v>
      </c>
      <c r="R522" s="1" t="s">
        <v>277</v>
      </c>
      <c r="S522" s="1" t="s">
        <v>94</v>
      </c>
      <c r="T522" s="105" t="str">
        <f>_xlfn.XLOOKUP(Tabla1[[#This Row],[Universidad]],Conversiones!$B:$B,Conversiones!$C:$C)</f>
        <v>Maastricht University</v>
      </c>
      <c r="U522" s="105" t="str">
        <f>_xlfn.XLOOKUP(Tabla1[[#This Row],[Universidad KPIs]],Conversiones!$C:$C,Conversiones!$E:$E)</f>
        <v>Específico</v>
      </c>
      <c r="V522" s="1" t="s">
        <v>95</v>
      </c>
      <c r="W522" s="1" t="s">
        <v>281</v>
      </c>
      <c r="X522" s="87">
        <v>45678</v>
      </c>
      <c r="Y522" s="87">
        <v>45801</v>
      </c>
      <c r="Z522" s="1">
        <v>123</v>
      </c>
      <c r="AA522" s="2"/>
    </row>
    <row r="523" spans="1:27">
      <c r="A523" s="102" t="s">
        <v>2179</v>
      </c>
      <c r="B523">
        <v>202123280</v>
      </c>
      <c r="C523" t="s">
        <v>1868</v>
      </c>
      <c r="D523" t="s">
        <v>2180</v>
      </c>
      <c r="E523" t="s">
        <v>2181</v>
      </c>
      <c r="F523" t="s">
        <v>233</v>
      </c>
      <c r="G523" t="s">
        <v>277</v>
      </c>
      <c r="J523" t="s">
        <v>278</v>
      </c>
      <c r="K523">
        <v>2025</v>
      </c>
      <c r="L523">
        <v>202510</v>
      </c>
      <c r="M523">
        <v>202510</v>
      </c>
      <c r="N523" t="s">
        <v>279</v>
      </c>
      <c r="O523" t="s">
        <v>2103</v>
      </c>
      <c r="P523" t="s">
        <v>280</v>
      </c>
      <c r="Q523" t="s">
        <v>233</v>
      </c>
      <c r="R523" t="s">
        <v>277</v>
      </c>
      <c r="S523" t="s">
        <v>94</v>
      </c>
      <c r="T523" s="105" t="str">
        <f>_xlfn.XLOOKUP(Tabla1[[#This Row],[Universidad]],Conversiones!$B:$B,Conversiones!$C:$C)</f>
        <v>Maastricht University</v>
      </c>
      <c r="U523" s="105" t="str">
        <f>_xlfn.XLOOKUP(Tabla1[[#This Row],[Universidad KPIs]],Conversiones!$C:$C,Conversiones!$E:$E)</f>
        <v>Específico</v>
      </c>
      <c r="V523" t="s">
        <v>95</v>
      </c>
      <c r="W523" t="s">
        <v>281</v>
      </c>
      <c r="X523" s="2">
        <v>45678</v>
      </c>
      <c r="Y523" s="2">
        <v>45801</v>
      </c>
      <c r="Z523">
        <v>123</v>
      </c>
      <c r="AA523" s="2"/>
    </row>
    <row r="524" spans="1:27">
      <c r="A524" s="103" t="s">
        <v>2182</v>
      </c>
      <c r="B524" s="1">
        <v>202223398</v>
      </c>
      <c r="C524" s="1" t="s">
        <v>434</v>
      </c>
      <c r="D524" s="1" t="s">
        <v>2183</v>
      </c>
      <c r="E524" s="1" t="s">
        <v>2184</v>
      </c>
      <c r="F524" s="1" t="s">
        <v>233</v>
      </c>
      <c r="G524" s="1" t="s">
        <v>277</v>
      </c>
      <c r="H524" s="1"/>
      <c r="I524" s="1"/>
      <c r="J524" s="1" t="s">
        <v>278</v>
      </c>
      <c r="K524" s="1">
        <v>2025</v>
      </c>
      <c r="L524" s="1">
        <v>202510</v>
      </c>
      <c r="M524" s="1">
        <v>202510</v>
      </c>
      <c r="N524" s="1" t="s">
        <v>279</v>
      </c>
      <c r="O524" s="1" t="s">
        <v>2103</v>
      </c>
      <c r="P524" s="1" t="s">
        <v>280</v>
      </c>
      <c r="Q524" s="1" t="s">
        <v>233</v>
      </c>
      <c r="R524" s="1" t="s">
        <v>277</v>
      </c>
      <c r="S524" s="1" t="s">
        <v>94</v>
      </c>
      <c r="T524" s="105" t="str">
        <f>_xlfn.XLOOKUP(Tabla1[[#This Row],[Universidad]],Conversiones!$B:$B,Conversiones!$C:$C)</f>
        <v>Maastricht University</v>
      </c>
      <c r="U524" s="105" t="str">
        <f>_xlfn.XLOOKUP(Tabla1[[#This Row],[Universidad KPIs]],Conversiones!$C:$C,Conversiones!$E:$E)</f>
        <v>Específico</v>
      </c>
      <c r="V524" s="1" t="s">
        <v>95</v>
      </c>
      <c r="W524" s="1" t="s">
        <v>281</v>
      </c>
      <c r="X524" s="87">
        <v>45678</v>
      </c>
      <c r="Y524" s="87">
        <v>45801</v>
      </c>
      <c r="Z524" s="1">
        <v>123</v>
      </c>
      <c r="AA524" s="2"/>
    </row>
    <row r="525" spans="1:27">
      <c r="A525" s="102" t="s">
        <v>2185</v>
      </c>
      <c r="B525">
        <v>202210532</v>
      </c>
      <c r="C525" t="s">
        <v>2186</v>
      </c>
      <c r="D525" t="s">
        <v>2187</v>
      </c>
      <c r="E525" t="s">
        <v>2188</v>
      </c>
      <c r="F525" t="s">
        <v>233</v>
      </c>
      <c r="G525" t="s">
        <v>277</v>
      </c>
      <c r="J525" t="s">
        <v>278</v>
      </c>
      <c r="K525">
        <v>2025</v>
      </c>
      <c r="L525">
        <v>202510</v>
      </c>
      <c r="M525">
        <v>202510</v>
      </c>
      <c r="N525" t="s">
        <v>279</v>
      </c>
      <c r="O525" t="s">
        <v>2103</v>
      </c>
      <c r="P525" t="s">
        <v>280</v>
      </c>
      <c r="Q525" t="s">
        <v>233</v>
      </c>
      <c r="R525" t="s">
        <v>277</v>
      </c>
      <c r="S525" t="s">
        <v>286</v>
      </c>
      <c r="T525" s="105" t="str">
        <f>_xlfn.XLOOKUP(Tabla1[[#This Row],[Universidad]],Conversiones!$B:$B,Conversiones!$C:$C)</f>
        <v>ESC Rouen (NEOMA)</v>
      </c>
      <c r="U525" s="105" t="str">
        <f>_xlfn.XLOOKUP(Tabla1[[#This Row],[Universidad KPIs]],Conversiones!$C:$C,Conversiones!$E:$E)</f>
        <v>Específico</v>
      </c>
      <c r="V525" t="s">
        <v>57</v>
      </c>
      <c r="W525" t="s">
        <v>281</v>
      </c>
      <c r="X525" s="2">
        <v>45678</v>
      </c>
      <c r="Y525" s="2">
        <v>45801</v>
      </c>
      <c r="Z525">
        <v>123</v>
      </c>
      <c r="AA525" s="2"/>
    </row>
    <row r="526" spans="1:27">
      <c r="A526" s="103" t="s">
        <v>2189</v>
      </c>
      <c r="B526" s="1">
        <v>202112101</v>
      </c>
      <c r="C526" s="1" t="s">
        <v>759</v>
      </c>
      <c r="D526" s="1" t="s">
        <v>2190</v>
      </c>
      <c r="E526" s="1" t="s">
        <v>2191</v>
      </c>
      <c r="F526" s="1" t="s">
        <v>233</v>
      </c>
      <c r="G526" s="1" t="s">
        <v>277</v>
      </c>
      <c r="H526" s="1"/>
      <c r="I526" s="1"/>
      <c r="J526" s="1" t="s">
        <v>278</v>
      </c>
      <c r="K526" s="1">
        <v>2025</v>
      </c>
      <c r="L526" s="1">
        <v>202510</v>
      </c>
      <c r="M526" s="1">
        <v>202510</v>
      </c>
      <c r="N526" s="1" t="s">
        <v>279</v>
      </c>
      <c r="O526" s="1" t="s">
        <v>2103</v>
      </c>
      <c r="P526" s="1" t="s">
        <v>280</v>
      </c>
      <c r="Q526" s="1" t="s">
        <v>233</v>
      </c>
      <c r="R526" s="1" t="s">
        <v>277</v>
      </c>
      <c r="S526" s="1" t="s">
        <v>286</v>
      </c>
      <c r="T526" s="105" t="str">
        <f>_xlfn.XLOOKUP(Tabla1[[#This Row],[Universidad]],Conversiones!$B:$B,Conversiones!$C:$C)</f>
        <v>ESC Rouen (NEOMA)</v>
      </c>
      <c r="U526" s="105" t="str">
        <f>_xlfn.XLOOKUP(Tabla1[[#This Row],[Universidad KPIs]],Conversiones!$C:$C,Conversiones!$E:$E)</f>
        <v>Específico</v>
      </c>
      <c r="V526" s="1" t="s">
        <v>57</v>
      </c>
      <c r="W526" s="1" t="s">
        <v>281</v>
      </c>
      <c r="X526" s="87">
        <v>45678</v>
      </c>
      <c r="Y526" s="87">
        <v>45801</v>
      </c>
      <c r="Z526" s="1">
        <v>123</v>
      </c>
      <c r="AA526" s="2"/>
    </row>
    <row r="527" spans="1:27">
      <c r="A527" s="102" t="s">
        <v>2192</v>
      </c>
      <c r="B527">
        <v>202123854</v>
      </c>
      <c r="C527" t="s">
        <v>782</v>
      </c>
      <c r="D527" t="s">
        <v>2193</v>
      </c>
      <c r="E527" t="s">
        <v>2194</v>
      </c>
      <c r="F527" t="s">
        <v>233</v>
      </c>
      <c r="G527" t="s">
        <v>277</v>
      </c>
      <c r="J527" t="s">
        <v>278</v>
      </c>
      <c r="K527">
        <v>2025</v>
      </c>
      <c r="L527">
        <v>202510</v>
      </c>
      <c r="M527">
        <v>202510</v>
      </c>
      <c r="N527" t="s">
        <v>279</v>
      </c>
      <c r="O527" t="s">
        <v>2103</v>
      </c>
      <c r="P527" t="s">
        <v>280</v>
      </c>
      <c r="Q527" t="s">
        <v>233</v>
      </c>
      <c r="R527" t="s">
        <v>277</v>
      </c>
      <c r="S527" t="s">
        <v>164</v>
      </c>
      <c r="T527" s="105" t="str">
        <f>_xlfn.XLOOKUP(Tabla1[[#This Row],[Universidad]],Conversiones!$B:$B,Conversiones!$C:$C)</f>
        <v>Newcastle University</v>
      </c>
      <c r="U527" s="105" t="str">
        <f>_xlfn.XLOOKUP(Tabla1[[#This Row],[Universidad KPIs]],Conversiones!$C:$C,Conversiones!$E:$E)</f>
        <v>General</v>
      </c>
      <c r="V527" t="s">
        <v>55</v>
      </c>
      <c r="W527" t="s">
        <v>281</v>
      </c>
      <c r="X527" s="2">
        <v>45678</v>
      </c>
      <c r="Y527" s="2">
        <v>45801</v>
      </c>
      <c r="Z527">
        <v>123</v>
      </c>
      <c r="AA527" s="2"/>
    </row>
    <row r="528" spans="1:27">
      <c r="A528" s="103" t="s">
        <v>2195</v>
      </c>
      <c r="B528" s="1">
        <v>202121970</v>
      </c>
      <c r="C528" s="1" t="s">
        <v>2196</v>
      </c>
      <c r="D528" s="1" t="s">
        <v>2197</v>
      </c>
      <c r="E528" s="1" t="s">
        <v>2198</v>
      </c>
      <c r="F528" s="1" t="s">
        <v>233</v>
      </c>
      <c r="G528" s="1" t="s">
        <v>277</v>
      </c>
      <c r="H528" s="1"/>
      <c r="I528" s="1"/>
      <c r="J528" s="1" t="s">
        <v>278</v>
      </c>
      <c r="K528" s="1">
        <v>2025</v>
      </c>
      <c r="L528" s="1">
        <v>202510</v>
      </c>
      <c r="M528" s="1">
        <v>202510</v>
      </c>
      <c r="N528" s="1" t="s">
        <v>279</v>
      </c>
      <c r="O528" s="1" t="s">
        <v>2103</v>
      </c>
      <c r="P528" s="1" t="s">
        <v>280</v>
      </c>
      <c r="Q528" s="1" t="s">
        <v>233</v>
      </c>
      <c r="R528" s="1" t="s">
        <v>277</v>
      </c>
      <c r="S528" s="1" t="s">
        <v>164</v>
      </c>
      <c r="T528" s="105" t="str">
        <f>_xlfn.XLOOKUP(Tabla1[[#This Row],[Universidad]],Conversiones!$B:$B,Conversiones!$C:$C)</f>
        <v>Newcastle University</v>
      </c>
      <c r="U528" s="105" t="str">
        <f>_xlfn.XLOOKUP(Tabla1[[#This Row],[Universidad KPIs]],Conversiones!$C:$C,Conversiones!$E:$E)</f>
        <v>General</v>
      </c>
      <c r="V528" s="1" t="s">
        <v>55</v>
      </c>
      <c r="W528" s="1" t="s">
        <v>281</v>
      </c>
      <c r="X528" s="87">
        <v>45678</v>
      </c>
      <c r="Y528" s="87">
        <v>45801</v>
      </c>
      <c r="Z528" s="1">
        <v>123</v>
      </c>
      <c r="AA528" s="2"/>
    </row>
    <row r="529" spans="1:27">
      <c r="A529" s="102" t="s">
        <v>2199</v>
      </c>
      <c r="B529">
        <v>202111671</v>
      </c>
      <c r="C529" t="s">
        <v>534</v>
      </c>
      <c r="D529" t="s">
        <v>2200</v>
      </c>
      <c r="E529" t="s">
        <v>2201</v>
      </c>
      <c r="F529" t="s">
        <v>233</v>
      </c>
      <c r="G529" t="s">
        <v>277</v>
      </c>
      <c r="J529" t="s">
        <v>278</v>
      </c>
      <c r="K529">
        <v>2025</v>
      </c>
      <c r="L529">
        <v>202510</v>
      </c>
      <c r="M529">
        <v>202510</v>
      </c>
      <c r="N529" t="s">
        <v>279</v>
      </c>
      <c r="O529" t="s">
        <v>2103</v>
      </c>
      <c r="P529" t="s">
        <v>280</v>
      </c>
      <c r="Q529" t="s">
        <v>233</v>
      </c>
      <c r="R529" t="s">
        <v>277</v>
      </c>
      <c r="S529" t="s">
        <v>148</v>
      </c>
      <c r="T529" s="105" t="str">
        <f>_xlfn.XLOOKUP(Tabla1[[#This Row],[Universidad]],Conversiones!$B:$B,Conversiones!$C:$C)</f>
        <v>Northumbria University, Newcastle</v>
      </c>
      <c r="U529" s="105" t="str">
        <f>_xlfn.XLOOKUP(Tabla1[[#This Row],[Universidad KPIs]],Conversiones!$C:$C,Conversiones!$E:$E)</f>
        <v>General</v>
      </c>
      <c r="V529" t="s">
        <v>55</v>
      </c>
      <c r="W529" t="s">
        <v>281</v>
      </c>
      <c r="X529" s="2">
        <v>45678</v>
      </c>
      <c r="Y529" s="2">
        <v>45801</v>
      </c>
      <c r="Z529">
        <v>123</v>
      </c>
      <c r="AA529" s="2"/>
    </row>
    <row r="530" spans="1:27">
      <c r="A530" s="103" t="s">
        <v>2202</v>
      </c>
      <c r="B530" s="1">
        <v>202122978</v>
      </c>
      <c r="C530" s="1" t="s">
        <v>734</v>
      </c>
      <c r="D530" s="1" t="s">
        <v>2203</v>
      </c>
      <c r="E530" s="1" t="s">
        <v>2204</v>
      </c>
      <c r="F530" s="1" t="s">
        <v>233</v>
      </c>
      <c r="G530" s="1" t="s">
        <v>277</v>
      </c>
      <c r="H530" s="1" t="s">
        <v>233</v>
      </c>
      <c r="I530" s="1" t="s">
        <v>277</v>
      </c>
      <c r="J530" s="1" t="s">
        <v>278</v>
      </c>
      <c r="K530" s="1">
        <v>2025</v>
      </c>
      <c r="L530" s="1">
        <v>202510</v>
      </c>
      <c r="M530" s="1">
        <v>202510</v>
      </c>
      <c r="N530" s="1" t="s">
        <v>279</v>
      </c>
      <c r="O530" s="1" t="s">
        <v>2103</v>
      </c>
      <c r="P530" s="1" t="s">
        <v>280</v>
      </c>
      <c r="Q530" s="1" t="s">
        <v>233</v>
      </c>
      <c r="R530" s="1" t="s">
        <v>277</v>
      </c>
      <c r="S530" s="1" t="s">
        <v>105</v>
      </c>
      <c r="T530" s="105" t="str">
        <f>_xlfn.XLOOKUP(Tabla1[[#This Row],[Universidad]],Conversiones!$B:$B,Conversiones!$C:$C)</f>
        <v>Queensland University of Technology</v>
      </c>
      <c r="U530" s="105" t="str">
        <f>_xlfn.XLOOKUP(Tabla1[[#This Row],[Universidad KPIs]],Conversiones!$C:$C,Conversiones!$E:$E)</f>
        <v>Específico</v>
      </c>
      <c r="V530" s="1" t="s">
        <v>106</v>
      </c>
      <c r="W530" s="1" t="s">
        <v>385</v>
      </c>
      <c r="X530" s="87">
        <v>45678</v>
      </c>
      <c r="Y530" s="87">
        <v>45801</v>
      </c>
      <c r="Z530" s="1">
        <v>123</v>
      </c>
      <c r="AA530" s="2"/>
    </row>
    <row r="531" spans="1:27">
      <c r="A531" s="102" t="s">
        <v>2205</v>
      </c>
      <c r="B531">
        <v>202122946</v>
      </c>
      <c r="C531" t="s">
        <v>395</v>
      </c>
      <c r="D531" t="s">
        <v>2206</v>
      </c>
      <c r="E531" t="s">
        <v>2207</v>
      </c>
      <c r="F531" t="s">
        <v>233</v>
      </c>
      <c r="G531" t="s">
        <v>277</v>
      </c>
      <c r="J531" t="s">
        <v>278</v>
      </c>
      <c r="K531">
        <v>2025</v>
      </c>
      <c r="L531">
        <v>202510</v>
      </c>
      <c r="M531">
        <v>202510</v>
      </c>
      <c r="N531" t="s">
        <v>279</v>
      </c>
      <c r="O531" t="s">
        <v>2103</v>
      </c>
      <c r="P531" t="s">
        <v>280</v>
      </c>
      <c r="Q531" t="s">
        <v>233</v>
      </c>
      <c r="R531" t="s">
        <v>277</v>
      </c>
      <c r="S531" t="s">
        <v>105</v>
      </c>
      <c r="T531" s="105" t="str">
        <f>_xlfn.XLOOKUP(Tabla1[[#This Row],[Universidad]],Conversiones!$B:$B,Conversiones!$C:$C)</f>
        <v>Queensland University of Technology</v>
      </c>
      <c r="U531" s="105" t="str">
        <f>_xlfn.XLOOKUP(Tabla1[[#This Row],[Universidad KPIs]],Conversiones!$C:$C,Conversiones!$E:$E)</f>
        <v>Específico</v>
      </c>
      <c r="V531" t="s">
        <v>106</v>
      </c>
      <c r="W531" t="s">
        <v>385</v>
      </c>
      <c r="X531" s="2">
        <v>45678</v>
      </c>
      <c r="Y531" s="2">
        <v>45801</v>
      </c>
      <c r="Z531">
        <v>123</v>
      </c>
      <c r="AA531" s="2"/>
    </row>
    <row r="532" spans="1:27">
      <c r="A532" s="103" t="s">
        <v>2208</v>
      </c>
      <c r="B532" s="1">
        <v>202123543</v>
      </c>
      <c r="C532" s="1" t="s">
        <v>1252</v>
      </c>
      <c r="D532" s="1" t="s">
        <v>2209</v>
      </c>
      <c r="E532" s="1" t="s">
        <v>2210</v>
      </c>
      <c r="F532" s="1" t="s">
        <v>233</v>
      </c>
      <c r="G532" s="1" t="s">
        <v>277</v>
      </c>
      <c r="H532" s="1"/>
      <c r="I532" s="1"/>
      <c r="J532" s="1" t="s">
        <v>278</v>
      </c>
      <c r="K532" s="1">
        <v>2025</v>
      </c>
      <c r="L532" s="1">
        <v>202510</v>
      </c>
      <c r="M532" s="1">
        <v>202510</v>
      </c>
      <c r="N532" s="1" t="s">
        <v>279</v>
      </c>
      <c r="O532" s="1" t="s">
        <v>2103</v>
      </c>
      <c r="P532" s="1" t="s">
        <v>280</v>
      </c>
      <c r="Q532" s="1" t="s">
        <v>233</v>
      </c>
      <c r="R532" s="1" t="s">
        <v>277</v>
      </c>
      <c r="S532" s="1" t="s">
        <v>165</v>
      </c>
      <c r="T532" s="105" t="str">
        <f>_xlfn.XLOOKUP(Tabla1[[#This Row],[Universidad]],Conversiones!$B:$B,Conversiones!$C:$C)</f>
        <v>Swinburne University of Technology</v>
      </c>
      <c r="U532" s="105" t="str">
        <f>_xlfn.XLOOKUP(Tabla1[[#This Row],[Universidad KPIs]],Conversiones!$C:$C,Conversiones!$E:$E)</f>
        <v>General</v>
      </c>
      <c r="V532" s="1" t="s">
        <v>106</v>
      </c>
      <c r="W532" s="1" t="s">
        <v>385</v>
      </c>
      <c r="X532" s="87">
        <v>45678</v>
      </c>
      <c r="Y532" s="87">
        <v>45801</v>
      </c>
      <c r="Z532" s="1">
        <v>123</v>
      </c>
      <c r="AA532" s="2"/>
    </row>
    <row r="533" spans="1:27">
      <c r="A533" s="102" t="s">
        <v>2211</v>
      </c>
      <c r="B533">
        <v>202122516</v>
      </c>
      <c r="C533" t="s">
        <v>506</v>
      </c>
      <c r="D533" t="s">
        <v>2212</v>
      </c>
      <c r="E533" t="s">
        <v>2213</v>
      </c>
      <c r="F533" t="s">
        <v>233</v>
      </c>
      <c r="G533" t="s">
        <v>277</v>
      </c>
      <c r="H533" t="s">
        <v>537</v>
      </c>
      <c r="I533" t="s">
        <v>538</v>
      </c>
      <c r="J533" t="s">
        <v>278</v>
      </c>
      <c r="K533">
        <v>2025</v>
      </c>
      <c r="L533">
        <v>202510</v>
      </c>
      <c r="M533">
        <v>202510</v>
      </c>
      <c r="N533" t="s">
        <v>279</v>
      </c>
      <c r="O533" t="s">
        <v>2103</v>
      </c>
      <c r="P533" t="s">
        <v>280</v>
      </c>
      <c r="Q533" t="s">
        <v>233</v>
      </c>
      <c r="R533" t="s">
        <v>277</v>
      </c>
      <c r="S533" t="s">
        <v>769</v>
      </c>
      <c r="T533" s="105" t="str">
        <f>_xlfn.XLOOKUP(Tabla1[[#This Row],[Universidad]],Conversiones!$B:$B,Conversiones!$C:$C)</f>
        <v>Universidad de Tilburg</v>
      </c>
      <c r="U533" s="105" t="str">
        <f>_xlfn.XLOOKUP(Tabla1[[#This Row],[Universidad KPIs]],Conversiones!$C:$C,Conversiones!$E:$E)</f>
        <v>Específico</v>
      </c>
      <c r="V533" t="s">
        <v>95</v>
      </c>
      <c r="W533" t="s">
        <v>281</v>
      </c>
      <c r="X533" s="2">
        <v>45678</v>
      </c>
      <c r="Y533" s="2">
        <v>45801</v>
      </c>
      <c r="Z533">
        <v>123</v>
      </c>
      <c r="AA533" s="2"/>
    </row>
    <row r="534" spans="1:27">
      <c r="A534" s="102" t="s">
        <v>2214</v>
      </c>
      <c r="B534">
        <v>202122506</v>
      </c>
      <c r="C534" t="s">
        <v>2165</v>
      </c>
      <c r="D534" t="s">
        <v>2215</v>
      </c>
      <c r="E534" t="s">
        <v>2216</v>
      </c>
      <c r="F534" t="s">
        <v>233</v>
      </c>
      <c r="G534" t="s">
        <v>277</v>
      </c>
      <c r="H534" t="s">
        <v>1114</v>
      </c>
      <c r="I534" t="s">
        <v>1026</v>
      </c>
      <c r="J534" t="s">
        <v>278</v>
      </c>
      <c r="K534">
        <v>2025</v>
      </c>
      <c r="L534">
        <v>202510</v>
      </c>
      <c r="M534">
        <v>202510</v>
      </c>
      <c r="N534" t="s">
        <v>279</v>
      </c>
      <c r="O534" t="s">
        <v>2103</v>
      </c>
      <c r="P534" t="s">
        <v>280</v>
      </c>
      <c r="Q534" t="s">
        <v>233</v>
      </c>
      <c r="R534" t="s">
        <v>277</v>
      </c>
      <c r="S534" t="s">
        <v>310</v>
      </c>
      <c r="T534" s="105" t="str">
        <f>_xlfn.XLOOKUP(Tabla1[[#This Row],[Universidad]],Conversiones!$B:$B,Conversiones!$C:$C)</f>
        <v>Toulouse Business School</v>
      </c>
      <c r="U534" s="105" t="str">
        <f>_xlfn.XLOOKUP(Tabla1[[#This Row],[Universidad KPIs]],Conversiones!$C:$C,Conversiones!$E:$E)</f>
        <v>Específico</v>
      </c>
      <c r="V534" t="s">
        <v>57</v>
      </c>
      <c r="W534" t="s">
        <v>281</v>
      </c>
      <c r="X534" s="2">
        <v>45678</v>
      </c>
      <c r="Y534" s="2">
        <v>45801</v>
      </c>
      <c r="Z534">
        <v>123</v>
      </c>
      <c r="AA534" s="2"/>
    </row>
    <row r="535" spans="1:27">
      <c r="A535" s="103" t="s">
        <v>2217</v>
      </c>
      <c r="B535" s="1">
        <v>202220246</v>
      </c>
      <c r="C535" s="1" t="s">
        <v>577</v>
      </c>
      <c r="D535" s="1" t="s">
        <v>2218</v>
      </c>
      <c r="E535" s="1" t="s">
        <v>2219</v>
      </c>
      <c r="F535" s="1" t="s">
        <v>233</v>
      </c>
      <c r="G535" s="1" t="s">
        <v>277</v>
      </c>
      <c r="H535" s="1"/>
      <c r="I535" s="1"/>
      <c r="J535" s="1" t="s">
        <v>278</v>
      </c>
      <c r="K535" s="1">
        <v>2025</v>
      </c>
      <c r="L535" s="1">
        <v>202510</v>
      </c>
      <c r="M535" s="1">
        <v>202510</v>
      </c>
      <c r="N535" s="1" t="s">
        <v>279</v>
      </c>
      <c r="O535" s="1" t="s">
        <v>2103</v>
      </c>
      <c r="P535" s="1" t="s">
        <v>280</v>
      </c>
      <c r="Q535" s="1" t="s">
        <v>233</v>
      </c>
      <c r="R535" s="1" t="s">
        <v>277</v>
      </c>
      <c r="S535" s="1" t="s">
        <v>310</v>
      </c>
      <c r="T535" s="105" t="str">
        <f>_xlfn.XLOOKUP(Tabla1[[#This Row],[Universidad]],Conversiones!$B:$B,Conversiones!$C:$C)</f>
        <v>Toulouse Business School</v>
      </c>
      <c r="U535" s="105" t="str">
        <f>_xlfn.XLOOKUP(Tabla1[[#This Row],[Universidad KPIs]],Conversiones!$C:$C,Conversiones!$E:$E)</f>
        <v>Específico</v>
      </c>
      <c r="V535" s="1" t="s">
        <v>57</v>
      </c>
      <c r="W535" s="1" t="s">
        <v>281</v>
      </c>
      <c r="X535" s="87">
        <v>45678</v>
      </c>
      <c r="Y535" s="87">
        <v>45801</v>
      </c>
      <c r="Z535" s="1">
        <v>123</v>
      </c>
      <c r="AA535" s="2"/>
    </row>
    <row r="536" spans="1:27">
      <c r="A536" s="102" t="s">
        <v>2220</v>
      </c>
      <c r="B536">
        <v>202121699</v>
      </c>
      <c r="C536" t="s">
        <v>897</v>
      </c>
      <c r="D536" t="s">
        <v>2221</v>
      </c>
      <c r="E536" t="s">
        <v>2222</v>
      </c>
      <c r="F536" t="s">
        <v>233</v>
      </c>
      <c r="G536" t="s">
        <v>277</v>
      </c>
      <c r="J536" t="s">
        <v>278</v>
      </c>
      <c r="K536">
        <v>2025</v>
      </c>
      <c r="L536">
        <v>202510</v>
      </c>
      <c r="M536">
        <v>202510</v>
      </c>
      <c r="N536" t="s">
        <v>279</v>
      </c>
      <c r="O536" t="s">
        <v>2103</v>
      </c>
      <c r="P536" t="s">
        <v>280</v>
      </c>
      <c r="Q536" t="s">
        <v>233</v>
      </c>
      <c r="R536" t="s">
        <v>277</v>
      </c>
      <c r="S536" t="s">
        <v>372</v>
      </c>
      <c r="T536" s="105" t="str">
        <f>_xlfn.XLOOKUP(Tabla1[[#This Row],[Universidad]],Conversiones!$B:$B,Conversiones!$C:$C)</f>
        <v>A.B. Freeman School of Business, Tulane University</v>
      </c>
      <c r="U536" s="105" t="str">
        <f>_xlfn.XLOOKUP(Tabla1[[#This Row],[Universidad KPIs]],Conversiones!$C:$C,Conversiones!$E:$E)</f>
        <v>Específico</v>
      </c>
      <c r="V536" t="s">
        <v>51</v>
      </c>
      <c r="W536" t="s">
        <v>291</v>
      </c>
      <c r="X536" s="2">
        <v>45678</v>
      </c>
      <c r="Y536" s="2">
        <v>45801</v>
      </c>
      <c r="Z536">
        <v>123</v>
      </c>
      <c r="AA536" s="2"/>
    </row>
    <row r="537" spans="1:27">
      <c r="A537" s="102" t="s">
        <v>2223</v>
      </c>
      <c r="B537">
        <v>202123345</v>
      </c>
      <c r="C537" t="s">
        <v>667</v>
      </c>
      <c r="D537" t="s">
        <v>2224</v>
      </c>
      <c r="E537" t="s">
        <v>2225</v>
      </c>
      <c r="F537" t="s">
        <v>233</v>
      </c>
      <c r="G537" t="s">
        <v>277</v>
      </c>
      <c r="J537" t="s">
        <v>278</v>
      </c>
      <c r="K537">
        <v>2025</v>
      </c>
      <c r="L537">
        <v>202510</v>
      </c>
      <c r="M537">
        <v>202510</v>
      </c>
      <c r="N537" t="s">
        <v>279</v>
      </c>
      <c r="O537" t="s">
        <v>2103</v>
      </c>
      <c r="P537" t="s">
        <v>865</v>
      </c>
      <c r="Q537" t="s">
        <v>233</v>
      </c>
      <c r="R537" t="s">
        <v>277</v>
      </c>
      <c r="S537" t="s">
        <v>160</v>
      </c>
      <c r="T537" s="105" t="str">
        <f>_xlfn.XLOOKUP(Tabla1[[#This Row],[Universidad]],Conversiones!$B:$B,Conversiones!$C:$C)</f>
        <v>Universidad de Cantabria</v>
      </c>
      <c r="U537" s="105" t="str">
        <f>_xlfn.XLOOKUP(Tabla1[[#This Row],[Universidad KPIs]],Conversiones!$C:$C,Conversiones!$E:$E)</f>
        <v>General</v>
      </c>
      <c r="V537" t="s">
        <v>69</v>
      </c>
      <c r="W537" t="s">
        <v>281</v>
      </c>
      <c r="X537" s="2">
        <v>45678</v>
      </c>
      <c r="Y537" s="2">
        <v>45801</v>
      </c>
      <c r="Z537">
        <v>123</v>
      </c>
      <c r="AA537" s="2"/>
    </row>
    <row r="538" spans="1:27">
      <c r="A538" s="103" t="s">
        <v>2226</v>
      </c>
      <c r="B538" s="1">
        <v>202111692</v>
      </c>
      <c r="C538" s="1" t="s">
        <v>1741</v>
      </c>
      <c r="D538" s="1" t="s">
        <v>2227</v>
      </c>
      <c r="E538" s="1" t="s">
        <v>2228</v>
      </c>
      <c r="F538" s="1" t="s">
        <v>233</v>
      </c>
      <c r="G538" s="1" t="s">
        <v>277</v>
      </c>
      <c r="H538" s="1" t="s">
        <v>233</v>
      </c>
      <c r="I538" s="1" t="s">
        <v>277</v>
      </c>
      <c r="J538" s="1" t="s">
        <v>278</v>
      </c>
      <c r="K538" s="1">
        <v>2025</v>
      </c>
      <c r="L538" s="1">
        <v>202510</v>
      </c>
      <c r="M538" s="1">
        <v>202510</v>
      </c>
      <c r="N538" s="1" t="s">
        <v>279</v>
      </c>
      <c r="O538" s="1" t="s">
        <v>2103</v>
      </c>
      <c r="P538" s="1" t="s">
        <v>280</v>
      </c>
      <c r="Q538" s="1" t="s">
        <v>233</v>
      </c>
      <c r="R538" s="1" t="s">
        <v>277</v>
      </c>
      <c r="S538" s="1" t="s">
        <v>122</v>
      </c>
      <c r="T538" s="105" t="str">
        <f>_xlfn.XLOOKUP(Tabla1[[#This Row],[Universidad]],Conversiones!$B:$B,Conversiones!$C:$C)</f>
        <v>Universidad de San Andrés</v>
      </c>
      <c r="U538" s="105" t="str">
        <f>_xlfn.XLOOKUP(Tabla1[[#This Row],[Universidad KPIs]],Conversiones!$C:$C,Conversiones!$E:$E)</f>
        <v>Específico</v>
      </c>
      <c r="V538" s="1" t="s">
        <v>123</v>
      </c>
      <c r="W538" s="1" t="s">
        <v>296</v>
      </c>
      <c r="X538" s="87">
        <v>45678</v>
      </c>
      <c r="Y538" s="87">
        <v>45801</v>
      </c>
      <c r="Z538" s="1">
        <v>123</v>
      </c>
      <c r="AA538" s="2"/>
    </row>
    <row r="539" spans="1:27">
      <c r="A539" s="102" t="s">
        <v>2229</v>
      </c>
      <c r="B539">
        <v>201618004</v>
      </c>
      <c r="C539" t="s">
        <v>2230</v>
      </c>
      <c r="D539" t="s">
        <v>2231</v>
      </c>
      <c r="E539" t="s">
        <v>2232</v>
      </c>
      <c r="F539" t="s">
        <v>2233</v>
      </c>
      <c r="G539" t="s">
        <v>277</v>
      </c>
      <c r="J539" t="s">
        <v>278</v>
      </c>
      <c r="K539">
        <v>2025</v>
      </c>
      <c r="L539">
        <v>202510</v>
      </c>
      <c r="M539">
        <v>202510</v>
      </c>
      <c r="N539" t="s">
        <v>618</v>
      </c>
      <c r="O539" t="s">
        <v>2103</v>
      </c>
      <c r="P539" t="s">
        <v>1522</v>
      </c>
      <c r="Q539" t="s">
        <v>240</v>
      </c>
      <c r="R539" t="s">
        <v>277</v>
      </c>
      <c r="S539" t="s">
        <v>2234</v>
      </c>
      <c r="T539" s="105" t="str">
        <f>_xlfn.XLOOKUP(Tabla1[[#This Row],[Universidad]],Conversiones!$B:$B,Conversiones!$C:$C)</f>
        <v>Universidad Nacional Autonoma de México (UNAM)</v>
      </c>
      <c r="U539" s="105" t="str">
        <f>_xlfn.XLOOKUP(Tabla1[[#This Row],[Universidad KPIs]],Conversiones!$C:$C,Conversiones!$E:$E)</f>
        <v>General</v>
      </c>
      <c r="V539" t="s">
        <v>87</v>
      </c>
      <c r="W539" t="s">
        <v>291</v>
      </c>
      <c r="X539" s="2">
        <v>45678</v>
      </c>
      <c r="Y539" s="2">
        <v>45801</v>
      </c>
      <c r="Z539">
        <v>123</v>
      </c>
      <c r="AA539" s="2"/>
    </row>
    <row r="540" spans="1:27">
      <c r="A540" s="103" t="s">
        <v>2235</v>
      </c>
      <c r="B540" s="1">
        <v>202123602</v>
      </c>
      <c r="C540" s="1" t="s">
        <v>577</v>
      </c>
      <c r="D540" s="1" t="s">
        <v>2236</v>
      </c>
      <c r="E540" s="1" t="s">
        <v>2237</v>
      </c>
      <c r="F540" s="1" t="s">
        <v>233</v>
      </c>
      <c r="G540" s="1" t="s">
        <v>277</v>
      </c>
      <c r="H540" s="1" t="s">
        <v>543</v>
      </c>
      <c r="I540" s="1" t="s">
        <v>544</v>
      </c>
      <c r="J540" s="1" t="s">
        <v>278</v>
      </c>
      <c r="K540" s="1">
        <v>2025</v>
      </c>
      <c r="L540" s="1">
        <v>202510</v>
      </c>
      <c r="M540" s="1">
        <v>202510</v>
      </c>
      <c r="N540" s="1" t="s">
        <v>279</v>
      </c>
      <c r="O540" s="1" t="s">
        <v>2103</v>
      </c>
      <c r="P540" s="1" t="s">
        <v>280</v>
      </c>
      <c r="Q540" s="1" t="s">
        <v>233</v>
      </c>
      <c r="R540" s="1" t="s">
        <v>277</v>
      </c>
      <c r="S540" s="1" t="s">
        <v>305</v>
      </c>
      <c r="T540" s="105" t="str">
        <f>_xlfn.XLOOKUP(Tabla1[[#This Row],[Universidad]],Conversiones!$B:$B,Conversiones!$C:$C)</f>
        <v>Catolica Lisbon Business &amp; Economics. Universidade Católica Portuguesa</v>
      </c>
      <c r="U540" s="105" t="str">
        <f>_xlfn.XLOOKUP(Tabla1[[#This Row],[Universidad KPIs]],Conversiones!$C:$C,Conversiones!$E:$E)</f>
        <v>Específico</v>
      </c>
      <c r="V540" s="1" t="s">
        <v>61</v>
      </c>
      <c r="W540" s="1" t="s">
        <v>281</v>
      </c>
      <c r="X540" s="87">
        <v>45678</v>
      </c>
      <c r="Y540" s="87">
        <v>45801</v>
      </c>
      <c r="Z540" s="1">
        <v>123</v>
      </c>
      <c r="AA540" s="2"/>
    </row>
    <row r="541" spans="1:27">
      <c r="A541" s="102" t="s">
        <v>2238</v>
      </c>
      <c r="B541">
        <v>202220885</v>
      </c>
      <c r="C541" t="s">
        <v>540</v>
      </c>
      <c r="D541" t="s">
        <v>2239</v>
      </c>
      <c r="E541" t="s">
        <v>2240</v>
      </c>
      <c r="F541" t="s">
        <v>233</v>
      </c>
      <c r="G541" t="s">
        <v>277</v>
      </c>
      <c r="J541" t="s">
        <v>278</v>
      </c>
      <c r="K541">
        <v>2025</v>
      </c>
      <c r="L541">
        <v>202510</v>
      </c>
      <c r="M541">
        <v>202510</v>
      </c>
      <c r="N541" t="s">
        <v>279</v>
      </c>
      <c r="O541" t="s">
        <v>2103</v>
      </c>
      <c r="P541" t="s">
        <v>280</v>
      </c>
      <c r="Q541" t="s">
        <v>233</v>
      </c>
      <c r="R541" t="s">
        <v>277</v>
      </c>
      <c r="S541" t="s">
        <v>305</v>
      </c>
      <c r="T541" s="105" t="str">
        <f>_xlfn.XLOOKUP(Tabla1[[#This Row],[Universidad]],Conversiones!$B:$B,Conversiones!$C:$C)</f>
        <v>Catolica Lisbon Business &amp; Economics. Universidade Católica Portuguesa</v>
      </c>
      <c r="U541" s="105" t="str">
        <f>_xlfn.XLOOKUP(Tabla1[[#This Row],[Universidad KPIs]],Conversiones!$C:$C,Conversiones!$E:$E)</f>
        <v>Específico</v>
      </c>
      <c r="V541" t="s">
        <v>61</v>
      </c>
      <c r="W541" t="s">
        <v>281</v>
      </c>
      <c r="X541" s="2">
        <v>45678</v>
      </c>
      <c r="Y541" s="2">
        <v>45801</v>
      </c>
      <c r="Z541">
        <v>123</v>
      </c>
      <c r="AA541" s="2"/>
    </row>
    <row r="542" spans="1:27">
      <c r="A542" s="103" t="s">
        <v>2241</v>
      </c>
      <c r="B542" s="1">
        <v>202221614</v>
      </c>
      <c r="C542" s="1" t="s">
        <v>2242</v>
      </c>
      <c r="D542" s="1" t="s">
        <v>2243</v>
      </c>
      <c r="E542" s="1" t="s">
        <v>2244</v>
      </c>
      <c r="F542" s="1" t="s">
        <v>233</v>
      </c>
      <c r="G542" s="1" t="s">
        <v>277</v>
      </c>
      <c r="H542" s="1"/>
      <c r="I542" s="1"/>
      <c r="J542" s="1" t="s">
        <v>278</v>
      </c>
      <c r="K542" s="1">
        <v>2025</v>
      </c>
      <c r="L542" s="1">
        <v>202510</v>
      </c>
      <c r="M542" s="1">
        <v>202510</v>
      </c>
      <c r="N542" s="1" t="s">
        <v>279</v>
      </c>
      <c r="O542" s="1" t="s">
        <v>2103</v>
      </c>
      <c r="P542" s="1" t="s">
        <v>280</v>
      </c>
      <c r="Q542" s="1" t="s">
        <v>233</v>
      </c>
      <c r="R542" s="1" t="s">
        <v>277</v>
      </c>
      <c r="S542" s="1" t="s">
        <v>455</v>
      </c>
      <c r="T542" s="105" t="str">
        <f>_xlfn.XLOOKUP(Tabla1[[#This Row],[Universidad]],Conversiones!$B:$B,Conversiones!$C:$C)</f>
        <v>Nova School of Business and Economics</v>
      </c>
      <c r="U542" s="105" t="str">
        <f>_xlfn.XLOOKUP(Tabla1[[#This Row],[Universidad KPIs]],Conversiones!$C:$C,Conversiones!$E:$E)</f>
        <v>Específico</v>
      </c>
      <c r="V542" s="1" t="s">
        <v>61</v>
      </c>
      <c r="W542" s="1" t="s">
        <v>281</v>
      </c>
      <c r="X542" s="87">
        <v>45678</v>
      </c>
      <c r="Y542" s="87">
        <v>45801</v>
      </c>
      <c r="Z542" s="1">
        <v>123</v>
      </c>
      <c r="AA542" s="2"/>
    </row>
    <row r="543" spans="1:27">
      <c r="A543" s="102" t="s">
        <v>2245</v>
      </c>
      <c r="B543">
        <v>202221507</v>
      </c>
      <c r="C543" t="s">
        <v>928</v>
      </c>
      <c r="D543" t="s">
        <v>2246</v>
      </c>
      <c r="E543" t="s">
        <v>2247</v>
      </c>
      <c r="F543" t="s">
        <v>233</v>
      </c>
      <c r="G543" t="s">
        <v>277</v>
      </c>
      <c r="J543" t="s">
        <v>278</v>
      </c>
      <c r="K543">
        <v>2025</v>
      </c>
      <c r="L543">
        <v>202510</v>
      </c>
      <c r="M543">
        <v>202510</v>
      </c>
      <c r="N543" t="s">
        <v>279</v>
      </c>
      <c r="O543" t="s">
        <v>2103</v>
      </c>
      <c r="P543" t="s">
        <v>280</v>
      </c>
      <c r="Q543" t="s">
        <v>233</v>
      </c>
      <c r="R543" t="s">
        <v>277</v>
      </c>
      <c r="S543" t="s">
        <v>356</v>
      </c>
      <c r="T543" s="105" t="str">
        <f>_xlfn.XLOOKUP(Tabla1[[#This Row],[Universidad]],Conversiones!$B:$B,Conversiones!$C:$C)</f>
        <v>Università Commerciale Luigi Bocconi</v>
      </c>
      <c r="U543" s="105" t="str">
        <f>_xlfn.XLOOKUP(Tabla1[[#This Row],[Universidad KPIs]],Conversiones!$C:$C,Conversiones!$E:$E)</f>
        <v>Específico</v>
      </c>
      <c r="V543" t="s">
        <v>103</v>
      </c>
      <c r="W543" t="s">
        <v>281</v>
      </c>
      <c r="X543" s="2">
        <v>45678</v>
      </c>
      <c r="Y543" s="2">
        <v>45801</v>
      </c>
      <c r="Z543">
        <v>123</v>
      </c>
      <c r="AA543" s="2"/>
    </row>
    <row r="544" spans="1:27">
      <c r="A544" s="103" t="s">
        <v>2248</v>
      </c>
      <c r="B544" s="1">
        <v>202123640</v>
      </c>
      <c r="C544" s="1" t="s">
        <v>395</v>
      </c>
      <c r="D544" s="1" t="s">
        <v>1060</v>
      </c>
      <c r="E544" s="1" t="s">
        <v>2249</v>
      </c>
      <c r="F544" s="1" t="s">
        <v>233</v>
      </c>
      <c r="G544" s="1" t="s">
        <v>277</v>
      </c>
      <c r="H544" s="1"/>
      <c r="I544" s="1"/>
      <c r="J544" s="1" t="s">
        <v>278</v>
      </c>
      <c r="K544" s="1">
        <v>2025</v>
      </c>
      <c r="L544" s="1">
        <v>202510</v>
      </c>
      <c r="M544" s="1">
        <v>202510</v>
      </c>
      <c r="N544" s="1" t="s">
        <v>279</v>
      </c>
      <c r="O544" s="1" t="s">
        <v>2103</v>
      </c>
      <c r="P544" s="1" t="s">
        <v>280</v>
      </c>
      <c r="Q544" s="1" t="s">
        <v>233</v>
      </c>
      <c r="R544" s="1" t="s">
        <v>277</v>
      </c>
      <c r="S544" s="1" t="s">
        <v>338</v>
      </c>
      <c r="T544" s="105" t="str">
        <f>_xlfn.XLOOKUP(Tabla1[[#This Row],[Universidad]],Conversiones!$B:$B,Conversiones!$C:$C)</f>
        <v>University of Mannheim Business School</v>
      </c>
      <c r="U544" s="105" t="str">
        <f>_xlfn.XLOOKUP(Tabla1[[#This Row],[Universidad KPIs]],Conversiones!$C:$C,Conversiones!$E:$E)</f>
        <v>Específico</v>
      </c>
      <c r="V544" s="1" t="s">
        <v>76</v>
      </c>
      <c r="W544" s="1" t="s">
        <v>281</v>
      </c>
      <c r="X544" s="87">
        <v>45678</v>
      </c>
      <c r="Y544" s="87">
        <v>45801</v>
      </c>
      <c r="Z544" s="1">
        <v>123</v>
      </c>
      <c r="AA544" s="2"/>
    </row>
    <row r="545" spans="1:27">
      <c r="A545" s="102" t="s">
        <v>2250</v>
      </c>
      <c r="B545">
        <v>202122716</v>
      </c>
      <c r="C545" t="s">
        <v>358</v>
      </c>
      <c r="D545" t="s">
        <v>2251</v>
      </c>
      <c r="E545" t="s">
        <v>2252</v>
      </c>
      <c r="F545" t="s">
        <v>233</v>
      </c>
      <c r="G545" t="s">
        <v>277</v>
      </c>
      <c r="J545" t="s">
        <v>278</v>
      </c>
      <c r="K545">
        <v>2025</v>
      </c>
      <c r="L545">
        <v>202510</v>
      </c>
      <c r="M545">
        <v>202510</v>
      </c>
      <c r="N545" t="s">
        <v>279</v>
      </c>
      <c r="O545" t="s">
        <v>2103</v>
      </c>
      <c r="P545" t="s">
        <v>280</v>
      </c>
      <c r="Q545" t="s">
        <v>233</v>
      </c>
      <c r="R545" t="s">
        <v>277</v>
      </c>
      <c r="S545" t="s">
        <v>338</v>
      </c>
      <c r="T545" s="105" t="str">
        <f>_xlfn.XLOOKUP(Tabla1[[#This Row],[Universidad]],Conversiones!$B:$B,Conversiones!$C:$C)</f>
        <v>University of Mannheim Business School</v>
      </c>
      <c r="U545" s="105" t="str">
        <f>_xlfn.XLOOKUP(Tabla1[[#This Row],[Universidad KPIs]],Conversiones!$C:$C,Conversiones!$E:$E)</f>
        <v>Específico</v>
      </c>
      <c r="V545" t="s">
        <v>76</v>
      </c>
      <c r="W545" t="s">
        <v>281</v>
      </c>
      <c r="X545" s="2">
        <v>45678</v>
      </c>
      <c r="Y545" s="2">
        <v>45801</v>
      </c>
      <c r="Z545">
        <v>123</v>
      </c>
      <c r="AA545" s="2"/>
    </row>
    <row r="546" spans="1:27">
      <c r="A546" s="103" t="s">
        <v>2253</v>
      </c>
      <c r="B546" s="1">
        <v>202122326</v>
      </c>
      <c r="C546" s="1" t="s">
        <v>2254</v>
      </c>
      <c r="D546" s="1" t="s">
        <v>2255</v>
      </c>
      <c r="E546" s="1" t="s">
        <v>2256</v>
      </c>
      <c r="F546" s="1" t="s">
        <v>233</v>
      </c>
      <c r="G546" s="1" t="s">
        <v>277</v>
      </c>
      <c r="H546" s="1" t="s">
        <v>1114</v>
      </c>
      <c r="I546" s="1" t="s">
        <v>1026</v>
      </c>
      <c r="J546" s="1" t="s">
        <v>278</v>
      </c>
      <c r="K546" s="1">
        <v>2025</v>
      </c>
      <c r="L546" s="1">
        <v>202510</v>
      </c>
      <c r="M546" s="1">
        <v>202510</v>
      </c>
      <c r="N546" s="1" t="s">
        <v>279</v>
      </c>
      <c r="O546" s="1" t="s">
        <v>2103</v>
      </c>
      <c r="P546" s="1" t="s">
        <v>865</v>
      </c>
      <c r="Q546" s="1" t="s">
        <v>233</v>
      </c>
      <c r="R546" s="1" t="s">
        <v>277</v>
      </c>
      <c r="S546" s="1" t="s">
        <v>174</v>
      </c>
      <c r="T546" s="105" t="str">
        <f>_xlfn.XLOOKUP(Tabla1[[#This Row],[Universidad]],Conversiones!$B:$B,Conversiones!$C:$C)</f>
        <v>Universitat Politècnica de Catalunya</v>
      </c>
      <c r="U546" s="105" t="str">
        <f>_xlfn.XLOOKUP(Tabla1[[#This Row],[Universidad KPIs]],Conversiones!$C:$C,Conversiones!$E:$E)</f>
        <v>General</v>
      </c>
      <c r="V546" s="1" t="s">
        <v>69</v>
      </c>
      <c r="W546" s="1" t="s">
        <v>281</v>
      </c>
      <c r="X546" s="87">
        <v>45678</v>
      </c>
      <c r="Y546" s="87">
        <v>45801</v>
      </c>
      <c r="Z546" s="1">
        <v>123</v>
      </c>
      <c r="AA546" s="2"/>
    </row>
    <row r="547" spans="1:27">
      <c r="A547" s="102" t="s">
        <v>2257</v>
      </c>
      <c r="B547">
        <v>202222144</v>
      </c>
      <c r="C547" t="s">
        <v>2258</v>
      </c>
      <c r="D547" t="s">
        <v>2259</v>
      </c>
      <c r="E547" t="s">
        <v>2260</v>
      </c>
      <c r="F547" t="s">
        <v>233</v>
      </c>
      <c r="G547" t="s">
        <v>277</v>
      </c>
      <c r="J547" t="s">
        <v>278</v>
      </c>
      <c r="K547">
        <v>2025</v>
      </c>
      <c r="L547">
        <v>202510</v>
      </c>
      <c r="M547">
        <v>202510</v>
      </c>
      <c r="N547" t="s">
        <v>279</v>
      </c>
      <c r="O547" t="s">
        <v>2103</v>
      </c>
      <c r="P547" t="s">
        <v>865</v>
      </c>
      <c r="Q547" t="s">
        <v>233</v>
      </c>
      <c r="R547" t="s">
        <v>277</v>
      </c>
      <c r="S547" t="s">
        <v>174</v>
      </c>
      <c r="T547" s="105" t="str">
        <f>_xlfn.XLOOKUP(Tabla1[[#This Row],[Universidad]],Conversiones!$B:$B,Conversiones!$C:$C)</f>
        <v>Universitat Politècnica de Catalunya</v>
      </c>
      <c r="U547" s="105" t="str">
        <f>_xlfn.XLOOKUP(Tabla1[[#This Row],[Universidad KPIs]],Conversiones!$C:$C,Conversiones!$E:$E)</f>
        <v>General</v>
      </c>
      <c r="V547" t="s">
        <v>69</v>
      </c>
      <c r="W547" t="s">
        <v>281</v>
      </c>
      <c r="X547" s="2">
        <v>45678</v>
      </c>
      <c r="Y547" s="2">
        <v>45801</v>
      </c>
      <c r="Z547">
        <v>123</v>
      </c>
      <c r="AA547" s="2"/>
    </row>
    <row r="548" spans="1:27">
      <c r="A548" s="103" t="s">
        <v>2261</v>
      </c>
      <c r="B548" s="1">
        <v>202222240</v>
      </c>
      <c r="C548" s="1" t="s">
        <v>2262</v>
      </c>
      <c r="D548" s="1" t="s">
        <v>2263</v>
      </c>
      <c r="E548" s="1" t="s">
        <v>2264</v>
      </c>
      <c r="F548" s="1" t="s">
        <v>233</v>
      </c>
      <c r="G548" s="1" t="s">
        <v>277</v>
      </c>
      <c r="H548" s="1"/>
      <c r="I548" s="1"/>
      <c r="J548" s="1" t="s">
        <v>278</v>
      </c>
      <c r="K548" s="1">
        <v>2025</v>
      </c>
      <c r="L548" s="1">
        <v>202510</v>
      </c>
      <c r="M548" s="1">
        <v>202510</v>
      </c>
      <c r="N548" s="1" t="s">
        <v>279</v>
      </c>
      <c r="O548" s="1" t="s">
        <v>2103</v>
      </c>
      <c r="P548" s="1" t="s">
        <v>280</v>
      </c>
      <c r="Q548" s="1" t="s">
        <v>233</v>
      </c>
      <c r="R548" s="1" t="s">
        <v>277</v>
      </c>
      <c r="S548" s="1" t="s">
        <v>320</v>
      </c>
      <c r="T548" s="105" t="str">
        <f>_xlfn.XLOOKUP(Tabla1[[#This Row],[Universidad]],Conversiones!$B:$B,Conversiones!$C:$C)</f>
        <v>ESADE</v>
      </c>
      <c r="U548" s="105" t="str">
        <f>_xlfn.XLOOKUP(Tabla1[[#This Row],[Universidad KPIs]],Conversiones!$C:$C,Conversiones!$E:$E)</f>
        <v>Específico</v>
      </c>
      <c r="V548" s="1" t="s">
        <v>69</v>
      </c>
      <c r="W548" s="1" t="s">
        <v>281</v>
      </c>
      <c r="X548" s="87">
        <v>45678</v>
      </c>
      <c r="Y548" s="87">
        <v>45801</v>
      </c>
      <c r="Z548" s="1">
        <v>123</v>
      </c>
      <c r="AA548" s="2"/>
    </row>
    <row r="549" spans="1:27">
      <c r="A549" s="102" t="s">
        <v>2265</v>
      </c>
      <c r="B549">
        <v>202211428</v>
      </c>
      <c r="C549" t="s">
        <v>814</v>
      </c>
      <c r="D549" t="s">
        <v>2266</v>
      </c>
      <c r="E549" t="s">
        <v>2267</v>
      </c>
      <c r="F549" t="s">
        <v>233</v>
      </c>
      <c r="G549" t="s">
        <v>277</v>
      </c>
      <c r="J549" t="s">
        <v>278</v>
      </c>
      <c r="K549">
        <v>2025</v>
      </c>
      <c r="L549">
        <v>202510</v>
      </c>
      <c r="M549">
        <v>202510</v>
      </c>
      <c r="N549" t="s">
        <v>279</v>
      </c>
      <c r="O549" t="s">
        <v>2103</v>
      </c>
      <c r="P549" t="s">
        <v>280</v>
      </c>
      <c r="Q549" t="s">
        <v>233</v>
      </c>
      <c r="R549" t="s">
        <v>277</v>
      </c>
      <c r="S549" t="s">
        <v>320</v>
      </c>
      <c r="T549" s="105" t="str">
        <f>_xlfn.XLOOKUP(Tabla1[[#This Row],[Universidad]],Conversiones!$B:$B,Conversiones!$C:$C)</f>
        <v>ESADE</v>
      </c>
      <c r="U549" s="105" t="str">
        <f>_xlfn.XLOOKUP(Tabla1[[#This Row],[Universidad KPIs]],Conversiones!$C:$C,Conversiones!$E:$E)</f>
        <v>Específico</v>
      </c>
      <c r="V549" t="s">
        <v>69</v>
      </c>
      <c r="W549" t="s">
        <v>281</v>
      </c>
      <c r="X549" s="2">
        <v>45678</v>
      </c>
      <c r="Y549" s="2">
        <v>45801</v>
      </c>
      <c r="Z549">
        <v>123</v>
      </c>
      <c r="AA549" s="2"/>
    </row>
    <row r="550" spans="1:27">
      <c r="A550" s="103" t="s">
        <v>2268</v>
      </c>
      <c r="B550" s="1">
        <v>202121975</v>
      </c>
      <c r="C550" s="1" t="s">
        <v>2269</v>
      </c>
      <c r="D550" s="1" t="s">
        <v>2270</v>
      </c>
      <c r="E550" s="1" t="s">
        <v>2271</v>
      </c>
      <c r="F550" s="1" t="s">
        <v>233</v>
      </c>
      <c r="G550" s="1" t="s">
        <v>277</v>
      </c>
      <c r="H550" s="1"/>
      <c r="I550" s="1"/>
      <c r="J550" s="1" t="s">
        <v>278</v>
      </c>
      <c r="K550" s="1">
        <v>2025</v>
      </c>
      <c r="L550" s="1">
        <v>202510</v>
      </c>
      <c r="M550" s="1">
        <v>202510</v>
      </c>
      <c r="N550" s="1" t="s">
        <v>279</v>
      </c>
      <c r="O550" s="1" t="s">
        <v>2103</v>
      </c>
      <c r="P550" s="1" t="s">
        <v>280</v>
      </c>
      <c r="Q550" s="1" t="s">
        <v>233</v>
      </c>
      <c r="R550" s="1" t="s">
        <v>277</v>
      </c>
      <c r="S550" s="1" t="s">
        <v>524</v>
      </c>
      <c r="T550" s="105" t="str">
        <f>_xlfn.XLOOKUP(Tabla1[[#This Row],[Universidad]],Conversiones!$B:$B,Conversiones!$C:$C)</f>
        <v>University of Saint Gallen</v>
      </c>
      <c r="U550" s="105" t="str">
        <f>_xlfn.XLOOKUP(Tabla1[[#This Row],[Universidad KPIs]],Conversiones!$C:$C,Conversiones!$E:$E)</f>
        <v>Específico</v>
      </c>
      <c r="V550" s="1" t="s">
        <v>81</v>
      </c>
      <c r="W550" s="1" t="s">
        <v>281</v>
      </c>
      <c r="X550" s="87">
        <v>45678</v>
      </c>
      <c r="Y550" s="87">
        <v>45801</v>
      </c>
      <c r="Z550" s="1">
        <v>123</v>
      </c>
      <c r="AA550" s="2"/>
    </row>
    <row r="551" spans="1:27">
      <c r="A551" s="102" t="s">
        <v>2272</v>
      </c>
      <c r="B551">
        <v>202021618</v>
      </c>
      <c r="C551" t="s">
        <v>326</v>
      </c>
      <c r="D551" t="s">
        <v>2273</v>
      </c>
      <c r="E551" t="s">
        <v>2274</v>
      </c>
      <c r="F551" t="s">
        <v>233</v>
      </c>
      <c r="G551" t="s">
        <v>277</v>
      </c>
      <c r="H551" t="s">
        <v>1025</v>
      </c>
      <c r="I551" t="s">
        <v>1026</v>
      </c>
      <c r="J551" t="s">
        <v>278</v>
      </c>
      <c r="K551">
        <v>2025</v>
      </c>
      <c r="L551">
        <v>202510</v>
      </c>
      <c r="M551">
        <v>202510</v>
      </c>
      <c r="N551" t="s">
        <v>279</v>
      </c>
      <c r="O551" t="s">
        <v>2103</v>
      </c>
      <c r="P551" t="s">
        <v>280</v>
      </c>
      <c r="Q551" t="s">
        <v>233</v>
      </c>
      <c r="R551" t="s">
        <v>277</v>
      </c>
      <c r="S551" t="s">
        <v>186</v>
      </c>
      <c r="T551" s="105" t="str">
        <f>_xlfn.XLOOKUP(Tabla1[[#This Row],[Universidad]],Conversiones!$B:$B,Conversiones!$C:$C)</f>
        <v>Universität zu Köln</v>
      </c>
      <c r="U551" s="105" t="str">
        <f>_xlfn.XLOOKUP(Tabla1[[#This Row],[Universidad KPIs]],Conversiones!$C:$C,Conversiones!$E:$E)</f>
        <v>General</v>
      </c>
      <c r="V551" t="s">
        <v>76</v>
      </c>
      <c r="W551" t="s">
        <v>281</v>
      </c>
      <c r="X551" s="2">
        <v>45678</v>
      </c>
      <c r="Y551" s="2">
        <v>45801</v>
      </c>
      <c r="Z551">
        <v>123</v>
      </c>
      <c r="AA551" s="2"/>
    </row>
    <row r="552" spans="1:27">
      <c r="A552" s="103" t="s">
        <v>2275</v>
      </c>
      <c r="B552" s="1">
        <v>202122581</v>
      </c>
      <c r="C552" s="1" t="s">
        <v>288</v>
      </c>
      <c r="D552" s="1" t="s">
        <v>2276</v>
      </c>
      <c r="E552" s="1" t="s">
        <v>2277</v>
      </c>
      <c r="F552" s="1" t="s">
        <v>233</v>
      </c>
      <c r="G552" s="1" t="s">
        <v>277</v>
      </c>
      <c r="H552" s="1" t="s">
        <v>543</v>
      </c>
      <c r="I552" s="1" t="s">
        <v>544</v>
      </c>
      <c r="J552" s="1" t="s">
        <v>278</v>
      </c>
      <c r="K552" s="1">
        <v>2025</v>
      </c>
      <c r="L552" s="1">
        <v>202510</v>
      </c>
      <c r="M552" s="1">
        <v>202510</v>
      </c>
      <c r="N552" s="1" t="s">
        <v>279</v>
      </c>
      <c r="O552" s="1" t="s">
        <v>2103</v>
      </c>
      <c r="P552" s="1" t="s">
        <v>280</v>
      </c>
      <c r="Q552" s="1" t="s">
        <v>233</v>
      </c>
      <c r="R552" s="1" t="s">
        <v>277</v>
      </c>
      <c r="S552" s="1" t="s">
        <v>176</v>
      </c>
      <c r="T552" s="105" t="str">
        <f>_xlfn.XLOOKUP(Tabla1[[#This Row],[Universidad]],Conversiones!$B:$B,Conversiones!$C:$C)</f>
        <v>Université de Bordeaux</v>
      </c>
      <c r="U552" s="105" t="str">
        <f>_xlfn.XLOOKUP(Tabla1[[#This Row],[Universidad KPIs]],Conversiones!$C:$C,Conversiones!$E:$E)</f>
        <v>General</v>
      </c>
      <c r="V552" s="1" t="s">
        <v>57</v>
      </c>
      <c r="W552" s="1" t="s">
        <v>281</v>
      </c>
      <c r="X552" s="87">
        <v>45678</v>
      </c>
      <c r="Y552" s="87">
        <v>45801</v>
      </c>
      <c r="Z552" s="1">
        <v>123</v>
      </c>
      <c r="AA552" s="2"/>
    </row>
    <row r="553" spans="1:27">
      <c r="A553" s="102" t="s">
        <v>2278</v>
      </c>
      <c r="B553">
        <v>202020778</v>
      </c>
      <c r="C553" t="s">
        <v>814</v>
      </c>
      <c r="D553" t="s">
        <v>2279</v>
      </c>
      <c r="E553" t="s">
        <v>2280</v>
      </c>
      <c r="F553" t="s">
        <v>233</v>
      </c>
      <c r="G553" t="s">
        <v>277</v>
      </c>
      <c r="H553" t="s">
        <v>233</v>
      </c>
      <c r="I553" t="s">
        <v>277</v>
      </c>
      <c r="J553" t="s">
        <v>278</v>
      </c>
      <c r="K553">
        <v>2025</v>
      </c>
      <c r="L553">
        <v>202510</v>
      </c>
      <c r="M553">
        <v>202510</v>
      </c>
      <c r="N553" t="s">
        <v>279</v>
      </c>
      <c r="O553" t="s">
        <v>2103</v>
      </c>
      <c r="P553" t="s">
        <v>280</v>
      </c>
      <c r="Q553" t="s">
        <v>233</v>
      </c>
      <c r="R553" t="s">
        <v>277</v>
      </c>
      <c r="S553" t="s">
        <v>315</v>
      </c>
      <c r="T553" s="105" t="str">
        <f>_xlfn.XLOOKUP(Tabla1[[#This Row],[Universidad]],Conversiones!$B:$B,Conversiones!$C:$C)</f>
        <v>HEC Lausanne</v>
      </c>
      <c r="U553" s="105" t="str">
        <f>_xlfn.XLOOKUP(Tabla1[[#This Row],[Universidad KPIs]],Conversiones!$C:$C,Conversiones!$E:$E)</f>
        <v>Específico</v>
      </c>
      <c r="V553" t="s">
        <v>81</v>
      </c>
      <c r="W553" t="s">
        <v>281</v>
      </c>
      <c r="X553" s="2">
        <v>45678</v>
      </c>
      <c r="Y553" s="2">
        <v>45801</v>
      </c>
      <c r="Z553">
        <v>123</v>
      </c>
      <c r="AA553" s="2"/>
    </row>
    <row r="554" spans="1:27">
      <c r="A554" s="103" t="s">
        <v>2281</v>
      </c>
      <c r="B554" s="1">
        <v>202222594</v>
      </c>
      <c r="C554" s="1" t="s">
        <v>2282</v>
      </c>
      <c r="D554" s="1" t="s">
        <v>2283</v>
      </c>
      <c r="E554" s="1" t="s">
        <v>2284</v>
      </c>
      <c r="F554" s="1" t="s">
        <v>233</v>
      </c>
      <c r="G554" s="1" t="s">
        <v>277</v>
      </c>
      <c r="H554" s="1" t="s">
        <v>1114</v>
      </c>
      <c r="I554" s="1" t="s">
        <v>1026</v>
      </c>
      <c r="J554" s="1" t="s">
        <v>278</v>
      </c>
      <c r="K554" s="1">
        <v>2025</v>
      </c>
      <c r="L554" s="1">
        <v>202510</v>
      </c>
      <c r="M554" s="1">
        <v>202510</v>
      </c>
      <c r="N554" s="1" t="s">
        <v>279</v>
      </c>
      <c r="O554" s="1" t="s">
        <v>2103</v>
      </c>
      <c r="P554" s="1" t="s">
        <v>280</v>
      </c>
      <c r="Q554" s="1" t="s">
        <v>233</v>
      </c>
      <c r="R554" s="1" t="s">
        <v>277</v>
      </c>
      <c r="S554" s="1" t="s">
        <v>315</v>
      </c>
      <c r="T554" s="105" t="str">
        <f>_xlfn.XLOOKUP(Tabla1[[#This Row],[Universidad]],Conversiones!$B:$B,Conversiones!$C:$C)</f>
        <v>HEC Lausanne</v>
      </c>
      <c r="U554" s="105" t="str">
        <f>_xlfn.XLOOKUP(Tabla1[[#This Row],[Universidad KPIs]],Conversiones!$C:$C,Conversiones!$E:$E)</f>
        <v>Específico</v>
      </c>
      <c r="V554" s="1" t="s">
        <v>81</v>
      </c>
      <c r="W554" s="1" t="s">
        <v>281</v>
      </c>
      <c r="X554" s="87">
        <v>45678</v>
      </c>
      <c r="Y554" s="87">
        <v>45801</v>
      </c>
      <c r="Z554" s="1">
        <v>123</v>
      </c>
      <c r="AA554" s="2"/>
    </row>
    <row r="555" spans="1:27">
      <c r="A555" s="102" t="s">
        <v>2285</v>
      </c>
      <c r="B555">
        <v>202110233</v>
      </c>
      <c r="C555" t="s">
        <v>2286</v>
      </c>
      <c r="D555" t="s">
        <v>2287</v>
      </c>
      <c r="E555" t="s">
        <v>2288</v>
      </c>
      <c r="F555" t="s">
        <v>233</v>
      </c>
      <c r="G555" t="s">
        <v>277</v>
      </c>
      <c r="H555" t="s">
        <v>233</v>
      </c>
      <c r="I555" t="s">
        <v>277</v>
      </c>
      <c r="J555" t="s">
        <v>278</v>
      </c>
      <c r="K555">
        <v>2025</v>
      </c>
      <c r="L555">
        <v>202510</v>
      </c>
      <c r="M555">
        <v>202510</v>
      </c>
      <c r="N555" t="s">
        <v>279</v>
      </c>
      <c r="O555" t="s">
        <v>2103</v>
      </c>
      <c r="P555" t="s">
        <v>280</v>
      </c>
      <c r="Q555" t="s">
        <v>233</v>
      </c>
      <c r="R555" t="s">
        <v>277</v>
      </c>
      <c r="S555" t="s">
        <v>1400</v>
      </c>
      <c r="T555" s="105" t="str">
        <f>_xlfn.XLOOKUP(Tabla1[[#This Row],[Universidad]],Conversiones!$B:$B,Conversiones!$C:$C)</f>
        <v>EM Strasbourg</v>
      </c>
      <c r="U555" s="105" t="str">
        <f>_xlfn.XLOOKUP(Tabla1[[#This Row],[Universidad KPIs]],Conversiones!$C:$C,Conversiones!$E:$E)</f>
        <v>Específico</v>
      </c>
      <c r="V555" t="s">
        <v>57</v>
      </c>
      <c r="W555" t="s">
        <v>281</v>
      </c>
      <c r="X555" s="2">
        <v>45678</v>
      </c>
      <c r="Y555" s="2">
        <v>45801</v>
      </c>
      <c r="Z555">
        <v>123</v>
      </c>
      <c r="AA555" s="2"/>
    </row>
    <row r="556" spans="1:27">
      <c r="A556" s="103" t="s">
        <v>2289</v>
      </c>
      <c r="B556" s="1">
        <v>202221534</v>
      </c>
      <c r="C556" s="1" t="s">
        <v>288</v>
      </c>
      <c r="D556" s="1" t="s">
        <v>2290</v>
      </c>
      <c r="E556" s="1" t="s">
        <v>2291</v>
      </c>
      <c r="F556" s="1" t="s">
        <v>233</v>
      </c>
      <c r="G556" s="1" t="s">
        <v>277</v>
      </c>
      <c r="H556" s="1" t="s">
        <v>1114</v>
      </c>
      <c r="I556" s="1" t="s">
        <v>1026</v>
      </c>
      <c r="J556" s="1" t="s">
        <v>278</v>
      </c>
      <c r="K556" s="1">
        <v>2025</v>
      </c>
      <c r="L556" s="1">
        <v>202510</v>
      </c>
      <c r="M556" s="1">
        <v>202510</v>
      </c>
      <c r="N556" s="1" t="s">
        <v>279</v>
      </c>
      <c r="O556" s="1" t="s">
        <v>2103</v>
      </c>
      <c r="P556" s="1" t="s">
        <v>280</v>
      </c>
      <c r="Q556" s="1" t="s">
        <v>233</v>
      </c>
      <c r="R556" s="1" t="s">
        <v>277</v>
      </c>
      <c r="S556" s="1" t="s">
        <v>184</v>
      </c>
      <c r="T556" s="105" t="str">
        <f>_xlfn.XLOOKUP(Tabla1[[#This Row],[Universidad]],Conversiones!$B:$B,Conversiones!$C:$C)</f>
        <v>Université Libre de Bruxelles</v>
      </c>
      <c r="U556" s="105" t="str">
        <f>_xlfn.XLOOKUP(Tabla1[[#This Row],[Universidad KPIs]],Conversiones!$C:$C,Conversiones!$E:$E)</f>
        <v>General</v>
      </c>
      <c r="V556" s="1" t="s">
        <v>185</v>
      </c>
      <c r="W556" s="1" t="s">
        <v>281</v>
      </c>
      <c r="X556" s="87">
        <v>45678</v>
      </c>
      <c r="Y556" s="87">
        <v>45801</v>
      </c>
      <c r="Z556" s="1">
        <v>123</v>
      </c>
      <c r="AA556" s="2"/>
    </row>
    <row r="557" spans="1:27">
      <c r="A557" s="102" t="s">
        <v>2292</v>
      </c>
      <c r="B557">
        <v>202122552</v>
      </c>
      <c r="C557" t="s">
        <v>274</v>
      </c>
      <c r="D557" t="s">
        <v>2293</v>
      </c>
      <c r="E557" t="s">
        <v>2294</v>
      </c>
      <c r="F557" t="s">
        <v>233</v>
      </c>
      <c r="G557" t="s">
        <v>277</v>
      </c>
      <c r="H557" t="s">
        <v>233</v>
      </c>
      <c r="I557" t="s">
        <v>277</v>
      </c>
      <c r="J557" t="s">
        <v>278</v>
      </c>
      <c r="K557">
        <v>2025</v>
      </c>
      <c r="L557">
        <v>202510</v>
      </c>
      <c r="M557">
        <v>202510</v>
      </c>
      <c r="N557" t="s">
        <v>279</v>
      </c>
      <c r="O557" t="s">
        <v>2103</v>
      </c>
      <c r="P557" t="s">
        <v>280</v>
      </c>
      <c r="Q557" t="s">
        <v>233</v>
      </c>
      <c r="R557" t="s">
        <v>277</v>
      </c>
      <c r="S557" t="s">
        <v>2295</v>
      </c>
      <c r="T557" s="105" t="str">
        <f>_xlfn.XLOOKUP(Tabla1[[#This Row],[Universidad]],Conversiones!$B:$B,Conversiones!$C:$C)</f>
        <v>Université Paris-Dauphine</v>
      </c>
      <c r="U557" s="105" t="str">
        <f>_xlfn.XLOOKUP(Tabla1[[#This Row],[Universidad KPIs]],Conversiones!$C:$C,Conversiones!$E:$E)</f>
        <v>General</v>
      </c>
      <c r="V557" t="s">
        <v>57</v>
      </c>
      <c r="W557" t="s">
        <v>281</v>
      </c>
      <c r="X557" s="2">
        <v>45678</v>
      </c>
      <c r="Y557" s="2">
        <v>45801</v>
      </c>
      <c r="Z557">
        <v>123</v>
      </c>
      <c r="AA557" s="2"/>
    </row>
    <row r="558" spans="1:27">
      <c r="A558" s="103" t="s">
        <v>2296</v>
      </c>
      <c r="B558" s="1">
        <v>202221309</v>
      </c>
      <c r="C558" s="1" t="s">
        <v>298</v>
      </c>
      <c r="D558" s="1" t="s">
        <v>2297</v>
      </c>
      <c r="E558" s="1" t="s">
        <v>2298</v>
      </c>
      <c r="F558" s="1" t="s">
        <v>233</v>
      </c>
      <c r="G558" s="1" t="s">
        <v>277</v>
      </c>
      <c r="H558" s="1"/>
      <c r="I558" s="1"/>
      <c r="J558" s="1" t="s">
        <v>278</v>
      </c>
      <c r="K558" s="1">
        <v>2025</v>
      </c>
      <c r="L558" s="1">
        <v>202510</v>
      </c>
      <c r="M558" s="1">
        <v>202510</v>
      </c>
      <c r="N558" s="1" t="s">
        <v>279</v>
      </c>
      <c r="O558" s="1" t="s">
        <v>2103</v>
      </c>
      <c r="P558" s="1" t="s">
        <v>280</v>
      </c>
      <c r="Q558" s="1" t="s">
        <v>233</v>
      </c>
      <c r="R558" s="1" t="s">
        <v>277</v>
      </c>
      <c r="S558" s="1" t="s">
        <v>115</v>
      </c>
      <c r="T558" s="105" t="str">
        <f>_xlfn.XLOOKUP(Tabla1[[#This Row],[Universidad]],Conversiones!$B:$B,Conversiones!$C:$C)</f>
        <v>University of Exeter</v>
      </c>
      <c r="U558" s="105" t="str">
        <f>_xlfn.XLOOKUP(Tabla1[[#This Row],[Universidad KPIs]],Conversiones!$C:$C,Conversiones!$E:$E)</f>
        <v>Específico</v>
      </c>
      <c r="V558" s="1" t="s">
        <v>55</v>
      </c>
      <c r="W558" s="1" t="s">
        <v>281</v>
      </c>
      <c r="X558" s="87">
        <v>45678</v>
      </c>
      <c r="Y558" s="87">
        <v>45801</v>
      </c>
      <c r="Z558" s="1">
        <v>123</v>
      </c>
      <c r="AA558" s="2"/>
    </row>
    <row r="559" spans="1:27">
      <c r="A559" s="102" t="s">
        <v>2299</v>
      </c>
      <c r="B559">
        <v>202123694</v>
      </c>
      <c r="C559" t="s">
        <v>2300</v>
      </c>
      <c r="D559" t="s">
        <v>2301</v>
      </c>
      <c r="E559" t="s">
        <v>2302</v>
      </c>
      <c r="F559" t="s">
        <v>233</v>
      </c>
      <c r="G559" t="s">
        <v>277</v>
      </c>
      <c r="J559" t="s">
        <v>278</v>
      </c>
      <c r="K559">
        <v>2025</v>
      </c>
      <c r="L559">
        <v>202510</v>
      </c>
      <c r="M559">
        <v>202510</v>
      </c>
      <c r="N559" t="s">
        <v>279</v>
      </c>
      <c r="O559" t="s">
        <v>2103</v>
      </c>
      <c r="P559" t="s">
        <v>280</v>
      </c>
      <c r="Q559" t="s">
        <v>233</v>
      </c>
      <c r="R559" t="s">
        <v>277</v>
      </c>
      <c r="S559" t="s">
        <v>181</v>
      </c>
      <c r="T559" s="105" t="str">
        <f>_xlfn.XLOOKUP(Tabla1[[#This Row],[Universidad]],Conversiones!$B:$B,Conversiones!$C:$C)</f>
        <v>University of New South Wales</v>
      </c>
      <c r="U559" s="105" t="str">
        <f>_xlfn.XLOOKUP(Tabla1[[#This Row],[Universidad KPIs]],Conversiones!$C:$C,Conversiones!$E:$E)</f>
        <v>General</v>
      </c>
      <c r="V559" t="s">
        <v>106</v>
      </c>
      <c r="W559" t="s">
        <v>385</v>
      </c>
      <c r="X559" s="2">
        <v>45678</v>
      </c>
      <c r="Y559" s="2">
        <v>45801</v>
      </c>
      <c r="Z559">
        <v>123</v>
      </c>
      <c r="AA559" s="2"/>
    </row>
    <row r="560" spans="1:27">
      <c r="A560" s="103" t="s">
        <v>2303</v>
      </c>
      <c r="B560" s="1">
        <v>202220368</v>
      </c>
      <c r="C560" s="1" t="s">
        <v>2304</v>
      </c>
      <c r="D560" s="1" t="s">
        <v>2305</v>
      </c>
      <c r="E560" s="1" t="s">
        <v>2306</v>
      </c>
      <c r="F560" s="1" t="s">
        <v>233</v>
      </c>
      <c r="G560" s="1" t="s">
        <v>277</v>
      </c>
      <c r="H560" s="1"/>
      <c r="I560" s="1"/>
      <c r="J560" s="1" t="s">
        <v>278</v>
      </c>
      <c r="K560" s="1">
        <v>2025</v>
      </c>
      <c r="L560" s="1">
        <v>202510</v>
      </c>
      <c r="M560" s="1">
        <v>202510</v>
      </c>
      <c r="N560" s="1" t="s">
        <v>279</v>
      </c>
      <c r="O560" s="1" t="s">
        <v>2103</v>
      </c>
      <c r="P560" s="1" t="s">
        <v>280</v>
      </c>
      <c r="Q560" s="1" t="s">
        <v>233</v>
      </c>
      <c r="R560" s="1" t="s">
        <v>277</v>
      </c>
      <c r="S560" s="1" t="s">
        <v>124</v>
      </c>
      <c r="T560" s="105" t="str">
        <f>_xlfn.XLOOKUP(Tabla1[[#This Row],[Universidad]],Conversiones!$B:$B,Conversiones!$C:$C)</f>
        <v>University of San Diego</v>
      </c>
      <c r="U560" s="105" t="str">
        <f>_xlfn.XLOOKUP(Tabla1[[#This Row],[Universidad KPIs]],Conversiones!$C:$C,Conversiones!$E:$E)</f>
        <v>Específico</v>
      </c>
      <c r="V560" s="1" t="s">
        <v>51</v>
      </c>
      <c r="W560" s="1" t="s">
        <v>291</v>
      </c>
      <c r="X560" s="87">
        <v>45678</v>
      </c>
      <c r="Y560" s="87">
        <v>45801</v>
      </c>
      <c r="Z560" s="1">
        <v>123</v>
      </c>
      <c r="AA560" s="2"/>
    </row>
    <row r="561" spans="1:27">
      <c r="A561" s="102" t="s">
        <v>2307</v>
      </c>
      <c r="B561">
        <v>202021289</v>
      </c>
      <c r="C561" t="s">
        <v>751</v>
      </c>
      <c r="D561" t="s">
        <v>2308</v>
      </c>
      <c r="E561" t="s">
        <v>2309</v>
      </c>
      <c r="F561" t="s">
        <v>233</v>
      </c>
      <c r="G561" t="s">
        <v>277</v>
      </c>
      <c r="J561" t="s">
        <v>278</v>
      </c>
      <c r="K561">
        <v>2025</v>
      </c>
      <c r="L561">
        <v>202510</v>
      </c>
      <c r="M561">
        <v>202510</v>
      </c>
      <c r="N561" t="s">
        <v>279</v>
      </c>
      <c r="O561" t="s">
        <v>2103</v>
      </c>
      <c r="P561" t="s">
        <v>280</v>
      </c>
      <c r="Q561" t="s">
        <v>233</v>
      </c>
      <c r="R561" t="s">
        <v>277</v>
      </c>
      <c r="S561" t="s">
        <v>405</v>
      </c>
      <c r="T561" s="105" t="str">
        <f>_xlfn.XLOOKUP(Tabla1[[#This Row],[Universidad]],Conversiones!$B:$B,Conversiones!$C:$C)</f>
        <v>University of Ljubljana</v>
      </c>
      <c r="U561" s="105" t="str">
        <f>_xlfn.XLOOKUP(Tabla1[[#This Row],[Universidad KPIs]],Conversiones!$C:$C,Conversiones!$E:$E)</f>
        <v>Específico</v>
      </c>
      <c r="V561" t="s">
        <v>118</v>
      </c>
      <c r="W561" t="s">
        <v>281</v>
      </c>
      <c r="X561" s="2">
        <v>45678</v>
      </c>
      <c r="Y561" s="2">
        <v>45801</v>
      </c>
      <c r="Z561">
        <v>123</v>
      </c>
      <c r="AA561" s="2"/>
    </row>
    <row r="562" spans="1:27">
      <c r="AA562" s="2"/>
    </row>
  </sheetData>
  <phoneticPr fontId="3" type="noConversion"/>
  <hyperlinks>
    <hyperlink ref="A161" r:id="rId1" xr:uid="{ED6D0290-140D-4FDE-9458-2E2DBD6D1C65}"/>
  </hyperlinks>
  <pageMargins left="0.7" right="0.7" top="0.75" bottom="0.75" header="0.3" footer="0.3"/>
  <ignoredErrors>
    <ignoredError sqref="U3:U43 U2" calculatedColumn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A95F-79E3-4584-9B3E-73549987E8F5}">
  <dimension ref="A1:AD401"/>
  <sheetViews>
    <sheetView showGridLines="0" tabSelected="1" topLeftCell="Q1" workbookViewId="0">
      <selection activeCell="AC357" sqref="AC357"/>
    </sheetView>
  </sheetViews>
  <sheetFormatPr defaultColWidth="11.42578125" defaultRowHeight="15"/>
  <cols>
    <col min="2" max="2" width="11" customWidth="1"/>
    <col min="6" max="6" width="41.7109375" customWidth="1"/>
    <col min="7" max="7" width="18.42578125" bestFit="1" customWidth="1"/>
    <col min="8" max="8" width="18.42578125" customWidth="1"/>
    <col min="10" max="10" width="13.42578125" customWidth="1"/>
    <col min="11" max="11" width="16.5703125" customWidth="1"/>
    <col min="12" max="12" width="18.5703125" customWidth="1"/>
    <col min="13" max="13" width="18.85546875" customWidth="1"/>
    <col min="14" max="14" width="15.42578125" customWidth="1"/>
    <col min="15" max="15" width="20.140625" customWidth="1"/>
    <col min="16" max="16" width="14.42578125" customWidth="1"/>
    <col min="29" max="29" width="20.85546875" customWidth="1"/>
    <col min="30" max="30" width="23.85546875" bestFit="1" customWidth="1"/>
  </cols>
  <sheetData>
    <row r="1" spans="1:30" ht="15.75" thickBot="1">
      <c r="A1" s="7" t="s">
        <v>21</v>
      </c>
      <c r="B1" s="7" t="s">
        <v>23</v>
      </c>
      <c r="C1" s="7" t="s">
        <v>9</v>
      </c>
      <c r="D1" s="7" t="s">
        <v>11</v>
      </c>
      <c r="E1" s="7" t="s">
        <v>13</v>
      </c>
      <c r="F1" s="7" t="s">
        <v>25</v>
      </c>
      <c r="G1" s="7" t="s">
        <v>46</v>
      </c>
      <c r="H1" s="7" t="s">
        <v>268</v>
      </c>
      <c r="I1" s="7" t="s">
        <v>27</v>
      </c>
      <c r="J1" s="7" t="s">
        <v>269</v>
      </c>
      <c r="K1" s="7" t="s">
        <v>15</v>
      </c>
      <c r="L1" s="7" t="s">
        <v>17</v>
      </c>
      <c r="M1" s="7" t="s">
        <v>30</v>
      </c>
      <c r="N1" s="7" t="s">
        <v>2310</v>
      </c>
      <c r="O1" s="7" t="s">
        <v>2311</v>
      </c>
      <c r="P1" s="7" t="s">
        <v>2312</v>
      </c>
      <c r="Q1" s="7" t="s">
        <v>2313</v>
      </c>
      <c r="R1" s="7" t="s">
        <v>2314</v>
      </c>
      <c r="S1" s="7" t="s">
        <v>2315</v>
      </c>
      <c r="T1" s="7" t="s">
        <v>2316</v>
      </c>
      <c r="U1" s="7" t="s">
        <v>2317</v>
      </c>
      <c r="V1" s="7" t="s">
        <v>2318</v>
      </c>
      <c r="W1" s="7" t="s">
        <v>2319</v>
      </c>
      <c r="X1" s="7" t="s">
        <v>2320</v>
      </c>
      <c r="Y1" s="7" t="s">
        <v>2321</v>
      </c>
      <c r="Z1" s="7" t="s">
        <v>2322</v>
      </c>
      <c r="AA1" s="7" t="s">
        <v>2323</v>
      </c>
      <c r="AB1" s="7" t="s">
        <v>2324</v>
      </c>
      <c r="AC1" s="49" t="s">
        <v>33</v>
      </c>
      <c r="AD1" s="49" t="s">
        <v>36</v>
      </c>
    </row>
    <row r="2" spans="1:30" hidden="1">
      <c r="A2" s="1">
        <v>2020</v>
      </c>
      <c r="B2" s="1">
        <v>202010</v>
      </c>
      <c r="C2" s="1">
        <v>202015781</v>
      </c>
      <c r="D2" s="1" t="s">
        <v>2325</v>
      </c>
      <c r="E2" s="1" t="s">
        <v>2326</v>
      </c>
      <c r="F2" s="1" t="s">
        <v>54</v>
      </c>
      <c r="G2" s="85" t="str">
        <f>_xlfn.XLOOKUP(Tabla2[[#This Row],[Universidad]],Conversiones!$B:$B,Conversiones!$C:$C)</f>
        <v>Aston University</v>
      </c>
      <c r="H2" s="85" t="str">
        <f>_xlfn.XLOOKUP(Tabla2[[#This Row],[Universidad KPIs]],Conversiones!$C:$C,Conversiones!$E:$E)</f>
        <v>Específico</v>
      </c>
      <c r="I2" s="1" t="s">
        <v>55</v>
      </c>
      <c r="J2" s="1" t="s">
        <v>281</v>
      </c>
      <c r="K2" s="1" t="s">
        <v>2327</v>
      </c>
      <c r="L2" s="1" t="s">
        <v>2328</v>
      </c>
      <c r="M2" s="1" t="s">
        <v>230</v>
      </c>
      <c r="N2" s="1" t="s">
        <v>2329</v>
      </c>
      <c r="O2" s="86" t="s">
        <v>2330</v>
      </c>
      <c r="P2" s="1">
        <v>1</v>
      </c>
      <c r="Q2" s="1" t="s">
        <v>2331</v>
      </c>
      <c r="R2" s="1" t="s">
        <v>2332</v>
      </c>
      <c r="S2" s="1" t="s">
        <v>2333</v>
      </c>
      <c r="T2" s="1"/>
      <c r="U2" s="1"/>
      <c r="V2" s="1"/>
      <c r="W2" s="1"/>
      <c r="X2" s="1"/>
      <c r="Y2" s="1"/>
      <c r="Z2" s="1"/>
      <c r="AA2" s="1"/>
      <c r="AB2" s="1"/>
      <c r="AC2" s="88" t="s">
        <v>233</v>
      </c>
      <c r="AD2" s="88" t="s">
        <v>254</v>
      </c>
    </row>
    <row r="3" spans="1:30" hidden="1">
      <c r="A3" s="1">
        <v>2020</v>
      </c>
      <c r="B3" s="1">
        <v>202010</v>
      </c>
      <c r="C3" s="1">
        <v>202015782</v>
      </c>
      <c r="D3" s="1" t="s">
        <v>2334</v>
      </c>
      <c r="E3" s="1" t="s">
        <v>2335</v>
      </c>
      <c r="F3" s="1" t="s">
        <v>381</v>
      </c>
      <c r="G3" s="85" t="str">
        <f>_xlfn.XLOOKUP(Tabla2[[#This Row],[Universidad]],Conversiones!$B:$B,Conversiones!$C:$C)</f>
        <v>Audencia. École de Management</v>
      </c>
      <c r="H3" s="85" t="str">
        <f>_xlfn.XLOOKUP(Tabla2[[#This Row],[Universidad KPIs]],Conversiones!$C:$C,Conversiones!$E:$E)</f>
        <v>Específico</v>
      </c>
      <c r="I3" s="1" t="s">
        <v>57</v>
      </c>
      <c r="J3" s="1" t="s">
        <v>281</v>
      </c>
      <c r="K3" s="1" t="s">
        <v>2336</v>
      </c>
      <c r="L3" s="1" t="s">
        <v>2337</v>
      </c>
      <c r="M3" s="1" t="s">
        <v>230</v>
      </c>
      <c r="N3" s="1" t="s">
        <v>2329</v>
      </c>
      <c r="O3" s="86" t="s">
        <v>2330</v>
      </c>
      <c r="P3" s="1">
        <v>1</v>
      </c>
      <c r="Q3" s="1" t="s">
        <v>2338</v>
      </c>
      <c r="R3" s="1" t="s">
        <v>2339</v>
      </c>
      <c r="S3" s="1" t="s">
        <v>2340</v>
      </c>
      <c r="T3" s="1" t="s">
        <v>2341</v>
      </c>
      <c r="U3" s="1" t="s">
        <v>2333</v>
      </c>
      <c r="V3" s="1"/>
      <c r="W3" s="1"/>
      <c r="X3" s="1"/>
      <c r="Y3" s="1"/>
      <c r="Z3" s="1"/>
      <c r="AA3" s="1"/>
      <c r="AB3" s="1"/>
      <c r="AC3" s="88" t="s">
        <v>233</v>
      </c>
      <c r="AD3" s="88" t="s">
        <v>254</v>
      </c>
    </row>
    <row r="4" spans="1:30" hidden="1">
      <c r="A4" s="1">
        <v>2020</v>
      </c>
      <c r="B4" s="1">
        <v>202010</v>
      </c>
      <c r="C4" s="1">
        <v>202015783</v>
      </c>
      <c r="D4" s="1" t="s">
        <v>2342</v>
      </c>
      <c r="E4" s="1" t="s">
        <v>2343</v>
      </c>
      <c r="F4" s="1" t="s">
        <v>381</v>
      </c>
      <c r="G4" s="85" t="str">
        <f>_xlfn.XLOOKUP(Tabla2[[#This Row],[Universidad]],Conversiones!$B:$B,Conversiones!$C:$C)</f>
        <v>Audencia. École de Management</v>
      </c>
      <c r="H4" s="85" t="str">
        <f>_xlfn.XLOOKUP(Tabla2[[#This Row],[Universidad KPIs]],Conversiones!$C:$C,Conversiones!$E:$E)</f>
        <v>Específico</v>
      </c>
      <c r="I4" s="1" t="s">
        <v>57</v>
      </c>
      <c r="J4" s="1" t="s">
        <v>281</v>
      </c>
      <c r="K4" s="1" t="s">
        <v>2344</v>
      </c>
      <c r="L4" s="1" t="s">
        <v>2345</v>
      </c>
      <c r="M4" s="1" t="s">
        <v>230</v>
      </c>
      <c r="N4" s="1" t="s">
        <v>2329</v>
      </c>
      <c r="O4" s="86" t="s">
        <v>2330</v>
      </c>
      <c r="P4" s="1">
        <v>1</v>
      </c>
      <c r="Q4" s="1" t="s">
        <v>2346</v>
      </c>
      <c r="R4" s="1" t="s">
        <v>2338</v>
      </c>
      <c r="S4" s="1" t="s">
        <v>2339</v>
      </c>
      <c r="T4" s="1" t="s">
        <v>2340</v>
      </c>
      <c r="U4" s="1" t="s">
        <v>2341</v>
      </c>
      <c r="V4" s="1" t="s">
        <v>2333</v>
      </c>
      <c r="W4" s="1"/>
      <c r="X4" s="1"/>
      <c r="Y4" s="1"/>
      <c r="Z4" s="1"/>
      <c r="AA4" s="1"/>
      <c r="AB4" s="1"/>
      <c r="AC4" s="88" t="s">
        <v>233</v>
      </c>
      <c r="AD4" s="88" t="s">
        <v>254</v>
      </c>
    </row>
    <row r="5" spans="1:30" hidden="1">
      <c r="A5" s="1">
        <v>2020</v>
      </c>
      <c r="B5" s="1">
        <v>202010</v>
      </c>
      <c r="C5" s="1">
        <v>202015790</v>
      </c>
      <c r="D5" s="1" t="s">
        <v>2347</v>
      </c>
      <c r="E5" s="1" t="s">
        <v>2348</v>
      </c>
      <c r="F5" s="1" t="s">
        <v>66</v>
      </c>
      <c r="G5" s="85" t="str">
        <f>_xlfn.XLOOKUP(Tabla2[[#This Row],[Universidad]],Conversiones!$B:$B,Conversiones!$C:$C)</f>
        <v>EDHEC Business School</v>
      </c>
      <c r="H5" s="85" t="str">
        <f>_xlfn.XLOOKUP(Tabla2[[#This Row],[Universidad KPIs]],Conversiones!$C:$C,Conversiones!$E:$E)</f>
        <v>Específico</v>
      </c>
      <c r="I5" s="1" t="s">
        <v>57</v>
      </c>
      <c r="J5" s="1" t="s">
        <v>281</v>
      </c>
      <c r="K5" s="1" t="s">
        <v>2349</v>
      </c>
      <c r="L5" s="1" t="s">
        <v>2350</v>
      </c>
      <c r="M5" s="1" t="s">
        <v>230</v>
      </c>
      <c r="N5" s="1" t="s">
        <v>2329</v>
      </c>
      <c r="O5" s="86" t="s">
        <v>2330</v>
      </c>
      <c r="P5" s="1">
        <v>1</v>
      </c>
      <c r="Q5" s="1" t="s">
        <v>2351</v>
      </c>
      <c r="R5" s="1" t="s">
        <v>2331</v>
      </c>
      <c r="S5" s="1" t="s">
        <v>2352</v>
      </c>
      <c r="T5" s="1" t="s">
        <v>2332</v>
      </c>
      <c r="U5" s="1" t="s">
        <v>2353</v>
      </c>
      <c r="V5" s="1"/>
      <c r="W5" s="1"/>
      <c r="X5" s="1"/>
      <c r="Y5" s="1"/>
      <c r="Z5" s="1"/>
      <c r="AA5" s="1"/>
      <c r="AB5" s="1"/>
      <c r="AC5" s="88" t="s">
        <v>233</v>
      </c>
      <c r="AD5" s="88" t="s">
        <v>254</v>
      </c>
    </row>
    <row r="6" spans="1:30" hidden="1">
      <c r="A6" s="1">
        <v>2020</v>
      </c>
      <c r="B6" s="1">
        <v>202010</v>
      </c>
      <c r="C6" s="1">
        <v>202015794</v>
      </c>
      <c r="D6" s="1" t="s">
        <v>2354</v>
      </c>
      <c r="E6" s="1" t="s">
        <v>2355</v>
      </c>
      <c r="F6" s="1" t="s">
        <v>329</v>
      </c>
      <c r="G6" s="85" t="str">
        <f>_xlfn.XLOOKUP(Tabla2[[#This Row],[Universidad]],Conversiones!$B:$B,Conversiones!$C:$C)</f>
        <v>ESSEC</v>
      </c>
      <c r="H6" s="85" t="str">
        <f>_xlfn.XLOOKUP(Tabla2[[#This Row],[Universidad KPIs]],Conversiones!$C:$C,Conversiones!$E:$E)</f>
        <v>Específico</v>
      </c>
      <c r="I6" s="1" t="s">
        <v>57</v>
      </c>
      <c r="J6" s="1" t="s">
        <v>281</v>
      </c>
      <c r="K6" s="1" t="s">
        <v>2356</v>
      </c>
      <c r="L6" s="1" t="s">
        <v>2357</v>
      </c>
      <c r="M6" s="1" t="s">
        <v>230</v>
      </c>
      <c r="N6" s="1" t="s">
        <v>2329</v>
      </c>
      <c r="O6" s="86" t="s">
        <v>2330</v>
      </c>
      <c r="P6" s="1">
        <v>1</v>
      </c>
      <c r="Q6" s="1" t="s">
        <v>2358</v>
      </c>
      <c r="R6" s="1" t="s">
        <v>2359</v>
      </c>
      <c r="S6" s="1" t="s">
        <v>2331</v>
      </c>
      <c r="T6" s="1" t="s">
        <v>2360</v>
      </c>
      <c r="U6" s="1"/>
      <c r="V6" s="1"/>
      <c r="W6" s="1"/>
      <c r="X6" s="1"/>
      <c r="Y6" s="1"/>
      <c r="Z6" s="1"/>
      <c r="AA6" s="1"/>
      <c r="AB6" s="1"/>
      <c r="AC6" s="88" t="s">
        <v>233</v>
      </c>
      <c r="AD6" s="88" t="s">
        <v>254</v>
      </c>
    </row>
    <row r="7" spans="1:30" hidden="1">
      <c r="A7" s="1">
        <v>2020</v>
      </c>
      <c r="B7" s="1">
        <v>202010</v>
      </c>
      <c r="C7" s="1">
        <v>202015795</v>
      </c>
      <c r="D7" s="1" t="s">
        <v>2361</v>
      </c>
      <c r="E7" s="1" t="s">
        <v>2362</v>
      </c>
      <c r="F7" s="1" t="s">
        <v>329</v>
      </c>
      <c r="G7" s="85" t="str">
        <f>_xlfn.XLOOKUP(Tabla2[[#This Row],[Universidad]],Conversiones!$B:$B,Conversiones!$C:$C)</f>
        <v>ESSEC</v>
      </c>
      <c r="H7" s="85" t="str">
        <f>_xlfn.XLOOKUP(Tabla2[[#This Row],[Universidad KPIs]],Conversiones!$C:$C,Conversiones!$E:$E)</f>
        <v>Específico</v>
      </c>
      <c r="I7" s="1" t="s">
        <v>57</v>
      </c>
      <c r="J7" s="1" t="s">
        <v>281</v>
      </c>
      <c r="K7" s="1" t="s">
        <v>2363</v>
      </c>
      <c r="L7" s="1" t="s">
        <v>2364</v>
      </c>
      <c r="M7" s="1" t="s">
        <v>230</v>
      </c>
      <c r="N7" s="1" t="s">
        <v>2365</v>
      </c>
      <c r="O7" s="86" t="s">
        <v>2366</v>
      </c>
      <c r="P7" s="1">
        <v>1</v>
      </c>
      <c r="Q7" s="1" t="s">
        <v>2367</v>
      </c>
      <c r="R7" s="1" t="s">
        <v>2368</v>
      </c>
      <c r="S7" s="1" t="s">
        <v>2369</v>
      </c>
      <c r="T7" s="1" t="s">
        <v>2370</v>
      </c>
      <c r="U7" s="1" t="s">
        <v>2371</v>
      </c>
      <c r="V7" s="1"/>
      <c r="W7" s="1"/>
      <c r="X7" s="1"/>
      <c r="Y7" s="1"/>
      <c r="Z7" s="1"/>
      <c r="AA7" s="1"/>
      <c r="AB7" s="1"/>
      <c r="AC7" s="88" t="s">
        <v>248</v>
      </c>
      <c r="AD7" s="88" t="s">
        <v>247</v>
      </c>
    </row>
    <row r="8" spans="1:30" hidden="1">
      <c r="A8" s="1">
        <v>2020</v>
      </c>
      <c r="B8" s="1">
        <v>202010</v>
      </c>
      <c r="C8" s="1">
        <v>202015796</v>
      </c>
      <c r="D8" s="1" t="s">
        <v>2372</v>
      </c>
      <c r="E8" s="1" t="s">
        <v>2373</v>
      </c>
      <c r="F8" s="1" t="s">
        <v>329</v>
      </c>
      <c r="G8" s="85" t="str">
        <f>_xlfn.XLOOKUP(Tabla2[[#This Row],[Universidad]],Conversiones!$B:$B,Conversiones!$C:$C)</f>
        <v>ESSEC</v>
      </c>
      <c r="H8" s="85" t="str">
        <f>_xlfn.XLOOKUP(Tabla2[[#This Row],[Universidad KPIs]],Conversiones!$C:$C,Conversiones!$E:$E)</f>
        <v>Específico</v>
      </c>
      <c r="I8" s="1" t="s">
        <v>57</v>
      </c>
      <c r="J8" s="1" t="s">
        <v>281</v>
      </c>
      <c r="K8" s="1" t="s">
        <v>2374</v>
      </c>
      <c r="L8" s="1" t="s">
        <v>2375</v>
      </c>
      <c r="M8" s="1" t="s">
        <v>230</v>
      </c>
      <c r="N8" s="1" t="s">
        <v>2365</v>
      </c>
      <c r="O8" s="86" t="s">
        <v>2366</v>
      </c>
      <c r="P8" s="1">
        <v>1</v>
      </c>
      <c r="Q8" s="1" t="s">
        <v>2376</v>
      </c>
      <c r="R8" s="1" t="s">
        <v>2377</v>
      </c>
      <c r="S8" s="1" t="s">
        <v>2378</v>
      </c>
      <c r="T8" s="1" t="s">
        <v>2369</v>
      </c>
      <c r="U8" s="1" t="s">
        <v>2379</v>
      </c>
      <c r="V8" s="1"/>
      <c r="W8" s="1"/>
      <c r="X8" s="1"/>
      <c r="Y8" s="1"/>
      <c r="Z8" s="1"/>
      <c r="AA8" s="1"/>
      <c r="AB8" s="1"/>
      <c r="AC8" s="88" t="s">
        <v>239</v>
      </c>
      <c r="AD8" s="88" t="s">
        <v>247</v>
      </c>
    </row>
    <row r="9" spans="1:30" hidden="1">
      <c r="A9" s="1">
        <v>2020</v>
      </c>
      <c r="B9" s="1">
        <v>202010</v>
      </c>
      <c r="C9" s="1">
        <v>202015797</v>
      </c>
      <c r="D9" s="1" t="s">
        <v>2380</v>
      </c>
      <c r="E9" s="1" t="s">
        <v>2381</v>
      </c>
      <c r="F9" s="1" t="s">
        <v>329</v>
      </c>
      <c r="G9" s="85" t="str">
        <f>_xlfn.XLOOKUP(Tabla2[[#This Row],[Universidad]],Conversiones!$B:$B,Conversiones!$C:$C)</f>
        <v>ESSEC</v>
      </c>
      <c r="H9" s="85" t="str">
        <f>_xlfn.XLOOKUP(Tabla2[[#This Row],[Universidad KPIs]],Conversiones!$C:$C,Conversiones!$E:$E)</f>
        <v>Específico</v>
      </c>
      <c r="I9" s="1" t="s">
        <v>57</v>
      </c>
      <c r="J9" s="1" t="s">
        <v>281</v>
      </c>
      <c r="K9" s="1" t="s">
        <v>2382</v>
      </c>
      <c r="L9" s="1" t="s">
        <v>2383</v>
      </c>
      <c r="M9" s="1" t="s">
        <v>230</v>
      </c>
      <c r="N9" s="1" t="s">
        <v>2365</v>
      </c>
      <c r="O9" s="86" t="s">
        <v>2366</v>
      </c>
      <c r="P9" s="1">
        <v>1</v>
      </c>
      <c r="Q9" s="1" t="s">
        <v>2384</v>
      </c>
      <c r="R9" s="1" t="s">
        <v>2369</v>
      </c>
      <c r="S9" s="1" t="s">
        <v>2385</v>
      </c>
      <c r="T9" s="1" t="s">
        <v>2386</v>
      </c>
      <c r="U9" s="1" t="s">
        <v>2387</v>
      </c>
      <c r="V9" s="1" t="s">
        <v>2388</v>
      </c>
      <c r="W9" s="1"/>
      <c r="X9" s="1"/>
      <c r="Y9" s="1"/>
      <c r="Z9" s="1"/>
      <c r="AA9" s="1"/>
      <c r="AB9" s="1"/>
      <c r="AC9" s="88" t="s">
        <v>248</v>
      </c>
      <c r="AD9" s="88" t="s">
        <v>247</v>
      </c>
    </row>
    <row r="10" spans="1:30" hidden="1">
      <c r="A10" s="1">
        <v>2020</v>
      </c>
      <c r="B10" s="1">
        <v>202010</v>
      </c>
      <c r="C10" s="1">
        <v>202015798</v>
      </c>
      <c r="D10" s="1" t="s">
        <v>2389</v>
      </c>
      <c r="E10" s="1" t="s">
        <v>2390</v>
      </c>
      <c r="F10" s="1" t="s">
        <v>145</v>
      </c>
      <c r="G10" s="85" t="str">
        <f>_xlfn.XLOOKUP(Tabla2[[#This Row],[Universidad]],Conversiones!$B:$B,Conversiones!$C:$C)</f>
        <v>FHNW Fachhochschule Nordwestschweiz</v>
      </c>
      <c r="H10" s="85" t="str">
        <f>_xlfn.XLOOKUP(Tabla2[[#This Row],[Universidad KPIs]],Conversiones!$C:$C,Conversiones!$E:$E)</f>
        <v>General</v>
      </c>
      <c r="I10" s="1" t="s">
        <v>81</v>
      </c>
      <c r="J10" s="1" t="s">
        <v>281</v>
      </c>
      <c r="K10" s="1" t="s">
        <v>2391</v>
      </c>
      <c r="L10" s="1" t="s">
        <v>2392</v>
      </c>
      <c r="M10" s="1" t="s">
        <v>230</v>
      </c>
      <c r="N10" s="1" t="s">
        <v>2329</v>
      </c>
      <c r="O10" s="86" t="s">
        <v>2330</v>
      </c>
      <c r="P10" s="1">
        <v>1</v>
      </c>
      <c r="Q10" s="1" t="s">
        <v>2393</v>
      </c>
      <c r="R10" s="1" t="s">
        <v>2394</v>
      </c>
      <c r="S10" s="1" t="s">
        <v>2340</v>
      </c>
      <c r="T10" s="1" t="s">
        <v>2331</v>
      </c>
      <c r="U10" s="1"/>
      <c r="V10" s="1"/>
      <c r="W10" s="1"/>
      <c r="X10" s="1"/>
      <c r="Y10" s="1"/>
      <c r="Z10" s="1"/>
      <c r="AA10" s="1"/>
      <c r="AB10" s="1"/>
      <c r="AC10" s="88" t="s">
        <v>233</v>
      </c>
      <c r="AD10" s="88" t="s">
        <v>254</v>
      </c>
    </row>
    <row r="11" spans="1:30" hidden="1">
      <c r="A11" s="1">
        <v>2020</v>
      </c>
      <c r="B11" s="1">
        <v>202010</v>
      </c>
      <c r="C11" s="1">
        <v>202015894</v>
      </c>
      <c r="D11" s="1" t="s">
        <v>2395</v>
      </c>
      <c r="E11" s="1" t="s">
        <v>2396</v>
      </c>
      <c r="F11" s="1" t="s">
        <v>145</v>
      </c>
      <c r="G11" s="85" t="str">
        <f>_xlfn.XLOOKUP(Tabla2[[#This Row],[Universidad]],Conversiones!$B:$B,Conversiones!$C:$C)</f>
        <v>FHNW Fachhochschule Nordwestschweiz</v>
      </c>
      <c r="H11" s="85" t="str">
        <f>_xlfn.XLOOKUP(Tabla2[[#This Row],[Universidad KPIs]],Conversiones!$C:$C,Conversiones!$E:$E)</f>
        <v>General</v>
      </c>
      <c r="I11" s="1" t="s">
        <v>81</v>
      </c>
      <c r="J11" s="1" t="s">
        <v>281</v>
      </c>
      <c r="K11" s="1" t="s">
        <v>2397</v>
      </c>
      <c r="L11" s="1" t="s">
        <v>2398</v>
      </c>
      <c r="M11" s="1" t="s">
        <v>245</v>
      </c>
      <c r="N11" s="1" t="s">
        <v>245</v>
      </c>
      <c r="O11" s="86" t="s">
        <v>2399</v>
      </c>
      <c r="P11" s="1">
        <v>1</v>
      </c>
      <c r="Q11" s="1" t="s">
        <v>2338</v>
      </c>
      <c r="R11" s="1" t="s">
        <v>2400</v>
      </c>
      <c r="S11" s="1" t="s">
        <v>2401</v>
      </c>
      <c r="T11" s="1"/>
      <c r="U11" s="1"/>
      <c r="V11" s="1"/>
      <c r="W11" s="1"/>
      <c r="X11" s="1"/>
      <c r="Y11" s="1"/>
      <c r="Z11" s="1"/>
      <c r="AA11" s="1"/>
      <c r="AB11" s="1"/>
      <c r="AC11" s="88" t="s">
        <v>233</v>
      </c>
      <c r="AD11" s="88" t="s">
        <v>254</v>
      </c>
    </row>
    <row r="12" spans="1:30" hidden="1">
      <c r="A12" s="1">
        <v>2020</v>
      </c>
      <c r="B12" s="1">
        <v>202010</v>
      </c>
      <c r="C12" s="1">
        <v>202015799</v>
      </c>
      <c r="D12" s="1" t="s">
        <v>2402</v>
      </c>
      <c r="E12" s="1" t="s">
        <v>2403</v>
      </c>
      <c r="F12" s="1" t="s">
        <v>393</v>
      </c>
      <c r="G12" s="85" t="str">
        <f>_xlfn.XLOOKUP(Tabla2[[#This Row],[Universidad]],Conversiones!$B:$B,Conversiones!$C:$C)</f>
        <v>Frankfurt School of Finance and Management</v>
      </c>
      <c r="H12" s="85" t="str">
        <f>_xlfn.XLOOKUP(Tabla2[[#This Row],[Universidad KPIs]],Conversiones!$C:$C,Conversiones!$E:$E)</f>
        <v>Específico</v>
      </c>
      <c r="I12" s="1" t="s">
        <v>76</v>
      </c>
      <c r="J12" s="1" t="s">
        <v>281</v>
      </c>
      <c r="K12" s="1" t="s">
        <v>2404</v>
      </c>
      <c r="L12" s="1" t="s">
        <v>2405</v>
      </c>
      <c r="M12" s="1" t="s">
        <v>230</v>
      </c>
      <c r="N12" s="1" t="s">
        <v>2365</v>
      </c>
      <c r="O12" s="86" t="s">
        <v>2366</v>
      </c>
      <c r="P12" s="1">
        <v>1</v>
      </c>
      <c r="Q12" s="1" t="s">
        <v>2384</v>
      </c>
      <c r="R12" s="1" t="s">
        <v>2406</v>
      </c>
      <c r="S12" s="1" t="s">
        <v>2407</v>
      </c>
      <c r="T12" s="1"/>
      <c r="U12" s="1"/>
      <c r="V12" s="1"/>
      <c r="W12" s="1"/>
      <c r="X12" s="1"/>
      <c r="Y12" s="1"/>
      <c r="Z12" s="1"/>
      <c r="AA12" s="1"/>
      <c r="AB12" s="1"/>
      <c r="AC12" s="88" t="s">
        <v>248</v>
      </c>
      <c r="AD12" s="88" t="s">
        <v>247</v>
      </c>
    </row>
    <row r="13" spans="1:30" hidden="1">
      <c r="A13" s="1">
        <v>2020</v>
      </c>
      <c r="B13" s="1">
        <v>202010</v>
      </c>
      <c r="C13" s="1">
        <v>202015805</v>
      </c>
      <c r="D13" s="1" t="s">
        <v>2408</v>
      </c>
      <c r="E13" s="1" t="s">
        <v>2409</v>
      </c>
      <c r="F13" s="1" t="s">
        <v>559</v>
      </c>
      <c r="G13" s="85" t="str">
        <f>_xlfn.XLOOKUP(Tabla2[[#This Row],[Universidad]],Conversiones!$B:$B,Conversiones!$C:$C)</f>
        <v>ICN Business School - Institut Commercial de Nancy</v>
      </c>
      <c r="H13" s="85" t="str">
        <f>_xlfn.XLOOKUP(Tabla2[[#This Row],[Universidad KPIs]],Conversiones!$C:$C,Conversiones!$E:$E)</f>
        <v>Específico</v>
      </c>
      <c r="I13" s="1" t="s">
        <v>57</v>
      </c>
      <c r="J13" s="1" t="s">
        <v>281</v>
      </c>
      <c r="K13" s="1" t="s">
        <v>2410</v>
      </c>
      <c r="L13" s="1" t="s">
        <v>2411</v>
      </c>
      <c r="M13" s="1" t="s">
        <v>230</v>
      </c>
      <c r="N13" s="1" t="s">
        <v>2329</v>
      </c>
      <c r="O13" s="86" t="s">
        <v>2330</v>
      </c>
      <c r="P13" s="1">
        <v>1</v>
      </c>
      <c r="Q13" s="1" t="s">
        <v>2412</v>
      </c>
      <c r="R13" s="1" t="s">
        <v>2393</v>
      </c>
      <c r="S13" s="1" t="s">
        <v>2413</v>
      </c>
      <c r="T13" s="1" t="s">
        <v>2332</v>
      </c>
      <c r="U13" s="1"/>
      <c r="V13" s="1"/>
      <c r="W13" s="1"/>
      <c r="X13" s="1"/>
      <c r="Y13" s="1"/>
      <c r="Z13" s="1"/>
      <c r="AA13" s="1"/>
      <c r="AB13" s="1"/>
      <c r="AC13" s="88" t="s">
        <v>233</v>
      </c>
      <c r="AD13" s="88" t="s">
        <v>254</v>
      </c>
    </row>
    <row r="14" spans="1:30" hidden="1">
      <c r="A14" s="1">
        <v>2020</v>
      </c>
      <c r="B14" s="1">
        <v>202010</v>
      </c>
      <c r="C14" s="1">
        <v>202015823</v>
      </c>
      <c r="D14" s="1" t="s">
        <v>2414</v>
      </c>
      <c r="E14" s="1" t="s">
        <v>2415</v>
      </c>
      <c r="F14" s="1" t="s">
        <v>94</v>
      </c>
      <c r="G14" s="85" t="str">
        <f>_xlfn.XLOOKUP(Tabla2[[#This Row],[Universidad]],Conversiones!$B:$B,Conversiones!$C:$C)</f>
        <v>Maastricht University</v>
      </c>
      <c r="H14" s="85" t="str">
        <f>_xlfn.XLOOKUP(Tabla2[[#This Row],[Universidad KPIs]],Conversiones!$C:$C,Conversiones!$E:$E)</f>
        <v>Específico</v>
      </c>
      <c r="I14" s="1" t="s">
        <v>95</v>
      </c>
      <c r="J14" s="1" t="s">
        <v>281</v>
      </c>
      <c r="K14" s="1" t="s">
        <v>2416</v>
      </c>
      <c r="L14" s="1" t="s">
        <v>2417</v>
      </c>
      <c r="M14" s="1" t="s">
        <v>230</v>
      </c>
      <c r="N14" s="1" t="s">
        <v>2329</v>
      </c>
      <c r="O14" s="86" t="s">
        <v>2330</v>
      </c>
      <c r="P14" s="1">
        <v>1</v>
      </c>
      <c r="Q14" s="1" t="s">
        <v>2359</v>
      </c>
      <c r="R14" s="1" t="s">
        <v>2418</v>
      </c>
      <c r="S14" s="1" t="s">
        <v>2331</v>
      </c>
      <c r="T14" s="1" t="s">
        <v>2419</v>
      </c>
      <c r="U14" s="1" t="s">
        <v>2353</v>
      </c>
      <c r="V14" s="1"/>
      <c r="W14" s="1"/>
      <c r="X14" s="1"/>
      <c r="Y14" s="1"/>
      <c r="Z14" s="1"/>
      <c r="AA14" s="1"/>
      <c r="AB14" s="1"/>
      <c r="AC14" s="88" t="s">
        <v>233</v>
      </c>
      <c r="AD14" s="88" t="s">
        <v>254</v>
      </c>
    </row>
    <row r="15" spans="1:30" hidden="1">
      <c r="A15" s="1">
        <v>2020</v>
      </c>
      <c r="B15" s="1">
        <v>202010</v>
      </c>
      <c r="C15" s="1">
        <v>202015825</v>
      </c>
      <c r="D15" s="1" t="s">
        <v>2420</v>
      </c>
      <c r="E15" s="1" t="s">
        <v>2421</v>
      </c>
      <c r="F15" s="1" t="s">
        <v>94</v>
      </c>
      <c r="G15" s="85" t="str">
        <f>_xlfn.XLOOKUP(Tabla2[[#This Row],[Universidad]],Conversiones!$B:$B,Conversiones!$C:$C)</f>
        <v>Maastricht University</v>
      </c>
      <c r="H15" s="85" t="str">
        <f>_xlfn.XLOOKUP(Tabla2[[#This Row],[Universidad KPIs]],Conversiones!$C:$C,Conversiones!$E:$E)</f>
        <v>Específico</v>
      </c>
      <c r="I15" s="1" t="s">
        <v>95</v>
      </c>
      <c r="J15" s="1" t="s">
        <v>281</v>
      </c>
      <c r="K15" s="1" t="s">
        <v>2422</v>
      </c>
      <c r="L15" s="1" t="s">
        <v>2423</v>
      </c>
      <c r="M15" s="1" t="s">
        <v>230</v>
      </c>
      <c r="N15" s="1" t="s">
        <v>2329</v>
      </c>
      <c r="O15" s="86" t="s">
        <v>2330</v>
      </c>
      <c r="P15" s="1">
        <v>1</v>
      </c>
      <c r="Q15" s="1" t="s">
        <v>2359</v>
      </c>
      <c r="R15" s="1" t="s">
        <v>2338</v>
      </c>
      <c r="S15" s="1" t="s">
        <v>2331</v>
      </c>
      <c r="T15" s="1" t="s">
        <v>2424</v>
      </c>
      <c r="U15" s="1" t="s">
        <v>2401</v>
      </c>
      <c r="V15" s="1" t="s">
        <v>2425</v>
      </c>
      <c r="W15" s="1"/>
      <c r="X15" s="1"/>
      <c r="Y15" s="1"/>
      <c r="Z15" s="1"/>
      <c r="AA15" s="1"/>
      <c r="AB15" s="1"/>
      <c r="AC15" s="88" t="s">
        <v>233</v>
      </c>
      <c r="AD15" s="88" t="s">
        <v>254</v>
      </c>
    </row>
    <row r="16" spans="1:30" hidden="1">
      <c r="A16" s="1">
        <v>2020</v>
      </c>
      <c r="B16" s="1">
        <v>202010</v>
      </c>
      <c r="C16" s="1">
        <v>202015826</v>
      </c>
      <c r="D16" s="1" t="s">
        <v>2426</v>
      </c>
      <c r="E16" s="1" t="s">
        <v>2427</v>
      </c>
      <c r="F16" s="1" t="s">
        <v>94</v>
      </c>
      <c r="G16" s="85" t="str">
        <f>_xlfn.XLOOKUP(Tabla2[[#This Row],[Universidad]],Conversiones!$B:$B,Conversiones!$C:$C)</f>
        <v>Maastricht University</v>
      </c>
      <c r="H16" s="85" t="str">
        <f>_xlfn.XLOOKUP(Tabla2[[#This Row],[Universidad KPIs]],Conversiones!$C:$C,Conversiones!$E:$E)</f>
        <v>Específico</v>
      </c>
      <c r="I16" s="1" t="s">
        <v>95</v>
      </c>
      <c r="J16" s="1" t="s">
        <v>281</v>
      </c>
      <c r="K16" s="1" t="s">
        <v>2428</v>
      </c>
      <c r="L16" s="1" t="s">
        <v>2429</v>
      </c>
      <c r="M16" s="1" t="s">
        <v>230</v>
      </c>
      <c r="N16" s="1" t="s">
        <v>2329</v>
      </c>
      <c r="O16" s="86" t="s">
        <v>2330</v>
      </c>
      <c r="P16" s="1">
        <v>1</v>
      </c>
      <c r="Q16" s="1" t="s">
        <v>2430</v>
      </c>
      <c r="R16" s="1" t="s">
        <v>2418</v>
      </c>
      <c r="S16" s="1" t="s">
        <v>2338</v>
      </c>
      <c r="T16" s="1" t="s">
        <v>2431</v>
      </c>
      <c r="U16" s="1" t="s">
        <v>2419</v>
      </c>
      <c r="V16" s="1" t="s">
        <v>2353</v>
      </c>
      <c r="W16" s="1" t="s">
        <v>2425</v>
      </c>
      <c r="X16" s="1"/>
      <c r="Y16" s="1"/>
      <c r="Z16" s="1"/>
      <c r="AA16" s="1"/>
      <c r="AB16" s="1"/>
      <c r="AC16" s="88" t="s">
        <v>233</v>
      </c>
      <c r="AD16" s="88" t="s">
        <v>254</v>
      </c>
    </row>
    <row r="17" spans="1:30" hidden="1">
      <c r="A17" s="1">
        <v>2020</v>
      </c>
      <c r="B17" s="1">
        <v>202010</v>
      </c>
      <c r="C17" s="1">
        <v>202015827</v>
      </c>
      <c r="D17" s="1" t="s">
        <v>2432</v>
      </c>
      <c r="E17" s="1" t="s">
        <v>2433</v>
      </c>
      <c r="F17" s="1" t="s">
        <v>94</v>
      </c>
      <c r="G17" s="85" t="str">
        <f>_xlfn.XLOOKUP(Tabla2[[#This Row],[Universidad]],Conversiones!$B:$B,Conversiones!$C:$C)</f>
        <v>Maastricht University</v>
      </c>
      <c r="H17" s="85" t="str">
        <f>_xlfn.XLOOKUP(Tabla2[[#This Row],[Universidad KPIs]],Conversiones!$C:$C,Conversiones!$E:$E)</f>
        <v>Específico</v>
      </c>
      <c r="I17" s="1" t="s">
        <v>95</v>
      </c>
      <c r="J17" s="1" t="s">
        <v>281</v>
      </c>
      <c r="K17" s="1" t="s">
        <v>2434</v>
      </c>
      <c r="L17" s="1" t="s">
        <v>2435</v>
      </c>
      <c r="M17" s="1" t="s">
        <v>230</v>
      </c>
      <c r="N17" s="1" t="s">
        <v>2329</v>
      </c>
      <c r="O17" s="86" t="s">
        <v>2330</v>
      </c>
      <c r="P17" s="1">
        <v>1</v>
      </c>
      <c r="Q17" s="1" t="s">
        <v>2436</v>
      </c>
      <c r="R17" s="1" t="s">
        <v>2359</v>
      </c>
      <c r="S17" s="1" t="s">
        <v>2331</v>
      </c>
      <c r="T17" s="1" t="s">
        <v>2437</v>
      </c>
      <c r="U17" s="1" t="s">
        <v>2401</v>
      </c>
      <c r="V17" s="1" t="s">
        <v>2438</v>
      </c>
      <c r="W17" s="1"/>
      <c r="X17" s="1"/>
      <c r="Y17" s="1"/>
      <c r="Z17" s="1"/>
      <c r="AA17" s="1"/>
      <c r="AB17" s="1"/>
      <c r="AC17" s="88" t="s">
        <v>233</v>
      </c>
      <c r="AD17" s="88" t="s">
        <v>254</v>
      </c>
    </row>
    <row r="18" spans="1:30" hidden="1">
      <c r="A18" s="1">
        <v>2020</v>
      </c>
      <c r="B18" s="1">
        <v>202010</v>
      </c>
      <c r="C18" s="1">
        <v>202015830</v>
      </c>
      <c r="D18" s="1" t="s">
        <v>2439</v>
      </c>
      <c r="E18" s="1" t="s">
        <v>2440</v>
      </c>
      <c r="F18" s="1" t="s">
        <v>96</v>
      </c>
      <c r="G18" s="85" t="str">
        <f>_xlfn.XLOOKUP(Tabla2[[#This Row],[Universidad]],Conversiones!$B:$B,Conversiones!$C:$C)</f>
        <v>McGill University</v>
      </c>
      <c r="H18" s="85" t="str">
        <f>_xlfn.XLOOKUP(Tabla2[[#This Row],[Universidad KPIs]],Conversiones!$C:$C,Conversiones!$E:$E)</f>
        <v>Específico</v>
      </c>
      <c r="I18" s="1" t="s">
        <v>74</v>
      </c>
      <c r="J18" s="1" t="s">
        <v>291</v>
      </c>
      <c r="K18" s="1" t="s">
        <v>2441</v>
      </c>
      <c r="L18" s="1" t="s">
        <v>2442</v>
      </c>
      <c r="M18" s="1" t="s">
        <v>230</v>
      </c>
      <c r="N18" s="1" t="s">
        <v>2329</v>
      </c>
      <c r="O18" s="86" t="s">
        <v>2330</v>
      </c>
      <c r="P18" s="1">
        <v>1</v>
      </c>
      <c r="Q18" s="1" t="s">
        <v>2443</v>
      </c>
      <c r="R18" s="1" t="s">
        <v>2394</v>
      </c>
      <c r="S18" s="1" t="s">
        <v>2400</v>
      </c>
      <c r="T18" s="1" t="s">
        <v>2401</v>
      </c>
      <c r="U18" s="1" t="s">
        <v>2419</v>
      </c>
      <c r="V18" s="1"/>
      <c r="W18" s="1"/>
      <c r="X18" s="1"/>
      <c r="Y18" s="1"/>
      <c r="Z18" s="1"/>
      <c r="AA18" s="1"/>
      <c r="AB18" s="1"/>
      <c r="AC18" s="88" t="s">
        <v>233</v>
      </c>
      <c r="AD18" s="88" t="s">
        <v>254</v>
      </c>
    </row>
    <row r="19" spans="1:30" hidden="1">
      <c r="A19" s="1">
        <v>2020</v>
      </c>
      <c r="B19" s="1">
        <v>202010</v>
      </c>
      <c r="C19" s="1">
        <v>202015833</v>
      </c>
      <c r="D19" s="1" t="s">
        <v>2444</v>
      </c>
      <c r="E19" s="1" t="s">
        <v>2445</v>
      </c>
      <c r="F19" s="1" t="s">
        <v>96</v>
      </c>
      <c r="G19" s="85" t="str">
        <f>_xlfn.XLOOKUP(Tabla2[[#This Row],[Universidad]],Conversiones!$B:$B,Conversiones!$C:$C)</f>
        <v>McGill University</v>
      </c>
      <c r="H19" s="85" t="str">
        <f>_xlfn.XLOOKUP(Tabla2[[#This Row],[Universidad KPIs]],Conversiones!$C:$C,Conversiones!$E:$E)</f>
        <v>Específico</v>
      </c>
      <c r="I19" s="1" t="s">
        <v>74</v>
      </c>
      <c r="J19" s="1" t="s">
        <v>291</v>
      </c>
      <c r="K19" s="1" t="s">
        <v>2446</v>
      </c>
      <c r="L19" s="1" t="s">
        <v>2447</v>
      </c>
      <c r="M19" s="1" t="s">
        <v>230</v>
      </c>
      <c r="N19" s="1" t="s">
        <v>2329</v>
      </c>
      <c r="O19" s="86" t="s">
        <v>2330</v>
      </c>
      <c r="P19" s="1">
        <v>1</v>
      </c>
      <c r="Q19" s="1" t="s">
        <v>2448</v>
      </c>
      <c r="R19" s="1" t="s">
        <v>2351</v>
      </c>
      <c r="S19" s="1" t="s">
        <v>2338</v>
      </c>
      <c r="T19" s="1" t="s">
        <v>2449</v>
      </c>
      <c r="U19" s="1" t="s">
        <v>2353</v>
      </c>
      <c r="V19" s="1"/>
      <c r="W19" s="1"/>
      <c r="X19" s="1"/>
      <c r="Y19" s="1"/>
      <c r="Z19" s="1"/>
      <c r="AA19" s="1"/>
      <c r="AB19" s="1"/>
      <c r="AC19" s="88" t="s">
        <v>233</v>
      </c>
      <c r="AD19" s="88" t="s">
        <v>254</v>
      </c>
    </row>
    <row r="20" spans="1:30" hidden="1">
      <c r="A20" s="1">
        <v>2020</v>
      </c>
      <c r="B20" s="1">
        <v>202010</v>
      </c>
      <c r="C20" s="1">
        <v>202015841</v>
      </c>
      <c r="D20" s="1" t="s">
        <v>2450</v>
      </c>
      <c r="E20" s="1" t="s">
        <v>2451</v>
      </c>
      <c r="F20" s="1" t="s">
        <v>286</v>
      </c>
      <c r="G20" s="85" t="str">
        <f>_xlfn.XLOOKUP(Tabla2[[#This Row],[Universidad]],Conversiones!$B:$B,Conversiones!$C:$C)</f>
        <v>ESC Rouen (NEOMA)</v>
      </c>
      <c r="H20" s="85" t="str">
        <f>_xlfn.XLOOKUP(Tabla2[[#This Row],[Universidad KPIs]],Conversiones!$C:$C,Conversiones!$E:$E)</f>
        <v>Específico</v>
      </c>
      <c r="I20" s="1" t="s">
        <v>57</v>
      </c>
      <c r="J20" s="1" t="s">
        <v>281</v>
      </c>
      <c r="K20" s="1" t="s">
        <v>2452</v>
      </c>
      <c r="L20" s="1" t="s">
        <v>2453</v>
      </c>
      <c r="M20" s="1" t="s">
        <v>230</v>
      </c>
      <c r="N20" s="1" t="s">
        <v>2365</v>
      </c>
      <c r="O20" s="86" t="s">
        <v>2366</v>
      </c>
      <c r="P20" s="1">
        <v>1</v>
      </c>
      <c r="Q20" s="1" t="s">
        <v>2338</v>
      </c>
      <c r="R20" s="1" t="s">
        <v>2340</v>
      </c>
      <c r="S20" s="1" t="s">
        <v>2332</v>
      </c>
      <c r="T20" s="1" t="s">
        <v>2454</v>
      </c>
      <c r="U20" s="1"/>
      <c r="V20" s="1"/>
      <c r="W20" s="1"/>
      <c r="X20" s="1"/>
      <c r="Y20" s="1"/>
      <c r="Z20" s="1"/>
      <c r="AA20" s="1"/>
      <c r="AB20" s="1"/>
      <c r="AC20" s="88" t="s">
        <v>248</v>
      </c>
      <c r="AD20" s="88" t="s">
        <v>247</v>
      </c>
    </row>
    <row r="21" spans="1:30" hidden="1">
      <c r="A21" s="1">
        <v>2020</v>
      </c>
      <c r="B21" s="1">
        <v>202010</v>
      </c>
      <c r="C21" s="1">
        <v>202015843</v>
      </c>
      <c r="D21" s="1" t="s">
        <v>2455</v>
      </c>
      <c r="E21" s="1" t="s">
        <v>2456</v>
      </c>
      <c r="F21" s="1" t="s">
        <v>286</v>
      </c>
      <c r="G21" s="85" t="str">
        <f>_xlfn.XLOOKUP(Tabla2[[#This Row],[Universidad]],Conversiones!$B:$B,Conversiones!$C:$C)</f>
        <v>ESC Rouen (NEOMA)</v>
      </c>
      <c r="H21" s="85" t="str">
        <f>_xlfn.XLOOKUP(Tabla2[[#This Row],[Universidad KPIs]],Conversiones!$C:$C,Conversiones!$E:$E)</f>
        <v>Específico</v>
      </c>
      <c r="I21" s="1" t="s">
        <v>57</v>
      </c>
      <c r="J21" s="1" t="s">
        <v>281</v>
      </c>
      <c r="K21" s="1" t="s">
        <v>2457</v>
      </c>
      <c r="L21" s="1" t="s">
        <v>2458</v>
      </c>
      <c r="M21" s="1" t="s">
        <v>230</v>
      </c>
      <c r="N21" s="1" t="s">
        <v>2365</v>
      </c>
      <c r="O21" s="86" t="s">
        <v>2366</v>
      </c>
      <c r="P21" s="1">
        <v>1</v>
      </c>
      <c r="Q21" s="1" t="s">
        <v>2368</v>
      </c>
      <c r="R21" s="1" t="s">
        <v>2459</v>
      </c>
      <c r="S21" s="1" t="s">
        <v>2386</v>
      </c>
      <c r="T21" s="1" t="s">
        <v>2370</v>
      </c>
      <c r="U21" s="1"/>
      <c r="V21" s="1"/>
      <c r="W21" s="1"/>
      <c r="X21" s="1"/>
      <c r="Y21" s="1"/>
      <c r="Z21" s="1"/>
      <c r="AA21" s="1"/>
      <c r="AB21" s="1"/>
      <c r="AC21" s="88" t="s">
        <v>248</v>
      </c>
      <c r="AD21" s="88" t="s">
        <v>247</v>
      </c>
    </row>
    <row r="22" spans="1:30" hidden="1">
      <c r="A22" s="1">
        <v>2020</v>
      </c>
      <c r="B22" s="1">
        <v>202010</v>
      </c>
      <c r="C22" s="1">
        <v>201924469</v>
      </c>
      <c r="D22" s="1" t="s">
        <v>2460</v>
      </c>
      <c r="E22" s="1" t="s">
        <v>2461</v>
      </c>
      <c r="F22" s="1" t="s">
        <v>148</v>
      </c>
      <c r="G22" s="85" t="str">
        <f>_xlfn.XLOOKUP(Tabla2[[#This Row],[Universidad]],Conversiones!$B:$B,Conversiones!$C:$C)</f>
        <v>Northumbria University, Newcastle</v>
      </c>
      <c r="H22" s="85" t="str">
        <f>_xlfn.XLOOKUP(Tabla2[[#This Row],[Universidad KPIs]],Conversiones!$C:$C,Conversiones!$E:$E)</f>
        <v>General</v>
      </c>
      <c r="I22" s="1" t="s">
        <v>55</v>
      </c>
      <c r="J22" s="1" t="s">
        <v>281</v>
      </c>
      <c r="K22" s="1" t="s">
        <v>2462</v>
      </c>
      <c r="L22" s="1" t="s">
        <v>2463</v>
      </c>
      <c r="M22" s="1" t="s">
        <v>230</v>
      </c>
      <c r="N22" s="1" t="s">
        <v>2329</v>
      </c>
      <c r="O22" s="86" t="s">
        <v>2330</v>
      </c>
      <c r="P22" s="1">
        <v>1</v>
      </c>
      <c r="Q22" s="1" t="s">
        <v>2464</v>
      </c>
      <c r="R22" s="1" t="s">
        <v>2338</v>
      </c>
      <c r="S22" s="1" t="s">
        <v>2465</v>
      </c>
      <c r="T22" s="1" t="s">
        <v>2394</v>
      </c>
      <c r="U22" s="1" t="s">
        <v>2466</v>
      </c>
      <c r="V22" s="1"/>
      <c r="W22" s="1"/>
      <c r="X22" s="1"/>
      <c r="Y22" s="1"/>
      <c r="Z22" s="1"/>
      <c r="AA22" s="1"/>
      <c r="AB22" s="1"/>
      <c r="AC22" s="88" t="s">
        <v>233</v>
      </c>
      <c r="AD22" s="88" t="s">
        <v>254</v>
      </c>
    </row>
    <row r="23" spans="1:30" hidden="1">
      <c r="A23" s="1">
        <v>2020</v>
      </c>
      <c r="B23" s="1">
        <v>202010</v>
      </c>
      <c r="C23" s="1">
        <v>202015853</v>
      </c>
      <c r="D23" s="1" t="s">
        <v>2467</v>
      </c>
      <c r="E23" s="1" t="s">
        <v>2468</v>
      </c>
      <c r="F23" s="1" t="s">
        <v>983</v>
      </c>
      <c r="G23" s="85" t="str">
        <f>_xlfn.XLOOKUP(Tabla2[[#This Row],[Universidad]],Conversiones!$B:$B,Conversiones!$C:$C)</f>
        <v>Queens University School of Business</v>
      </c>
      <c r="H23" s="85" t="str">
        <f>_xlfn.XLOOKUP(Tabla2[[#This Row],[Universidad KPIs]],Conversiones!$C:$C,Conversiones!$E:$E)</f>
        <v>Específico</v>
      </c>
      <c r="I23" s="1" t="s">
        <v>74</v>
      </c>
      <c r="J23" s="1" t="s">
        <v>291</v>
      </c>
      <c r="K23" s="1" t="s">
        <v>2469</v>
      </c>
      <c r="L23" s="1" t="s">
        <v>2470</v>
      </c>
      <c r="M23" s="1" t="s">
        <v>230</v>
      </c>
      <c r="N23" s="1" t="s">
        <v>2329</v>
      </c>
      <c r="O23" s="86" t="s">
        <v>2330</v>
      </c>
      <c r="P23" s="1">
        <v>1</v>
      </c>
      <c r="Q23" s="1" t="s">
        <v>2471</v>
      </c>
      <c r="R23" s="1" t="s">
        <v>2338</v>
      </c>
      <c r="S23" s="1" t="s">
        <v>2394</v>
      </c>
      <c r="T23" s="1" t="s">
        <v>2472</v>
      </c>
      <c r="U23" s="1" t="s">
        <v>2473</v>
      </c>
      <c r="V23" s="1"/>
      <c r="W23" s="1"/>
      <c r="X23" s="1"/>
      <c r="Y23" s="1"/>
      <c r="Z23" s="1"/>
      <c r="AA23" s="1"/>
      <c r="AB23" s="1"/>
      <c r="AC23" s="88" t="s">
        <v>233</v>
      </c>
      <c r="AD23" s="88" t="s">
        <v>254</v>
      </c>
    </row>
    <row r="24" spans="1:30" hidden="1">
      <c r="A24" s="1">
        <v>2020</v>
      </c>
      <c r="B24" s="1">
        <v>202010</v>
      </c>
      <c r="C24" s="1">
        <v>202015855</v>
      </c>
      <c r="D24" s="1" t="s">
        <v>2474</v>
      </c>
      <c r="E24" s="1" t="s">
        <v>2475</v>
      </c>
      <c r="F24" s="1" t="s">
        <v>155</v>
      </c>
      <c r="G24" s="85" t="str">
        <f>_xlfn.XLOOKUP(Tabla2[[#This Row],[Universidad]],Conversiones!$B:$B,Conversiones!$C:$C)</f>
        <v>Technische Universität München (TUM)</v>
      </c>
      <c r="H24" s="85" t="str">
        <f>_xlfn.XLOOKUP(Tabla2[[#This Row],[Universidad KPIs]],Conversiones!$C:$C,Conversiones!$E:$E)</f>
        <v>General</v>
      </c>
      <c r="I24" s="1" t="s">
        <v>76</v>
      </c>
      <c r="J24" s="1" t="s">
        <v>281</v>
      </c>
      <c r="K24" s="1" t="s">
        <v>2476</v>
      </c>
      <c r="L24" s="1" t="s">
        <v>2477</v>
      </c>
      <c r="M24" s="1" t="s">
        <v>230</v>
      </c>
      <c r="N24" s="1" t="s">
        <v>2329</v>
      </c>
      <c r="O24" s="86" t="s">
        <v>2330</v>
      </c>
      <c r="P24" s="1">
        <v>1</v>
      </c>
      <c r="Q24" s="1" t="s">
        <v>2338</v>
      </c>
      <c r="R24" s="1" t="s">
        <v>2438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88" t="s">
        <v>233</v>
      </c>
      <c r="AD24" s="88" t="s">
        <v>254</v>
      </c>
    </row>
    <row r="25" spans="1:30" hidden="1">
      <c r="A25" s="1">
        <v>2020</v>
      </c>
      <c r="B25" s="1">
        <v>202010</v>
      </c>
      <c r="C25" s="1">
        <v>202015856</v>
      </c>
      <c r="D25" s="1" t="s">
        <v>2478</v>
      </c>
      <c r="E25" s="1" t="s">
        <v>2479</v>
      </c>
      <c r="F25" s="1" t="s">
        <v>155</v>
      </c>
      <c r="G25" s="85" t="str">
        <f>_xlfn.XLOOKUP(Tabla2[[#This Row],[Universidad]],Conversiones!$B:$B,Conversiones!$C:$C)</f>
        <v>Technische Universität München (TUM)</v>
      </c>
      <c r="H25" s="85" t="str">
        <f>_xlfn.XLOOKUP(Tabla2[[#This Row],[Universidad KPIs]],Conversiones!$C:$C,Conversiones!$E:$E)</f>
        <v>General</v>
      </c>
      <c r="I25" s="1" t="s">
        <v>76</v>
      </c>
      <c r="J25" s="1" t="s">
        <v>281</v>
      </c>
      <c r="K25" s="1" t="s">
        <v>2480</v>
      </c>
      <c r="L25" s="1" t="s">
        <v>2481</v>
      </c>
      <c r="M25" s="1" t="s">
        <v>230</v>
      </c>
      <c r="N25" s="1" t="s">
        <v>2329</v>
      </c>
      <c r="O25" s="86" t="s">
        <v>2330</v>
      </c>
      <c r="P25" s="1">
        <v>1</v>
      </c>
      <c r="Q25" s="1" t="s">
        <v>2443</v>
      </c>
      <c r="R25" s="1" t="s">
        <v>2394</v>
      </c>
      <c r="S25" s="1" t="s">
        <v>2482</v>
      </c>
      <c r="T25" s="1" t="s">
        <v>2400</v>
      </c>
      <c r="U25" s="1" t="s">
        <v>2360</v>
      </c>
      <c r="V25" s="1"/>
      <c r="W25" s="1"/>
      <c r="X25" s="1"/>
      <c r="Y25" s="1"/>
      <c r="Z25" s="1"/>
      <c r="AA25" s="1"/>
      <c r="AB25" s="1"/>
      <c r="AC25" s="88" t="s">
        <v>233</v>
      </c>
      <c r="AD25" s="88" t="s">
        <v>254</v>
      </c>
    </row>
    <row r="26" spans="1:30" hidden="1">
      <c r="A26" s="1">
        <v>2020</v>
      </c>
      <c r="B26" s="1">
        <v>202010</v>
      </c>
      <c r="C26" s="1">
        <v>202015859</v>
      </c>
      <c r="D26" s="1" t="s">
        <v>2483</v>
      </c>
      <c r="E26" s="1" t="s">
        <v>2484</v>
      </c>
      <c r="F26" s="1" t="s">
        <v>310</v>
      </c>
      <c r="G26" s="85" t="str">
        <f>_xlfn.XLOOKUP(Tabla2[[#This Row],[Universidad]],Conversiones!$B:$B,Conversiones!$C:$C)</f>
        <v>Toulouse Business School</v>
      </c>
      <c r="H26" s="85" t="str">
        <f>_xlfn.XLOOKUP(Tabla2[[#This Row],[Universidad KPIs]],Conversiones!$C:$C,Conversiones!$E:$E)</f>
        <v>Específico</v>
      </c>
      <c r="I26" s="1" t="s">
        <v>57</v>
      </c>
      <c r="J26" s="1" t="s">
        <v>281</v>
      </c>
      <c r="K26" s="1" t="s">
        <v>2485</v>
      </c>
      <c r="L26" s="1" t="s">
        <v>2486</v>
      </c>
      <c r="M26" s="1" t="s">
        <v>230</v>
      </c>
      <c r="N26" s="1" t="s">
        <v>2329</v>
      </c>
      <c r="O26" s="86" t="s">
        <v>2330</v>
      </c>
      <c r="P26" s="1">
        <v>1</v>
      </c>
      <c r="Q26" s="1" t="s">
        <v>2351</v>
      </c>
      <c r="R26" s="1" t="s">
        <v>2338</v>
      </c>
      <c r="S26" s="1" t="s">
        <v>2394</v>
      </c>
      <c r="T26" s="1" t="s">
        <v>2331</v>
      </c>
      <c r="U26" s="1" t="s">
        <v>2487</v>
      </c>
      <c r="V26" s="1"/>
      <c r="W26" s="1"/>
      <c r="X26" s="1"/>
      <c r="Y26" s="1"/>
      <c r="Z26" s="1"/>
      <c r="AA26" s="1"/>
      <c r="AB26" s="1"/>
      <c r="AC26" s="88" t="s">
        <v>233</v>
      </c>
      <c r="AD26" s="88" t="s">
        <v>254</v>
      </c>
    </row>
    <row r="27" spans="1:30" hidden="1">
      <c r="A27" s="1">
        <v>2020</v>
      </c>
      <c r="B27" s="1">
        <v>202010</v>
      </c>
      <c r="C27" s="1">
        <v>202015861</v>
      </c>
      <c r="D27" s="1" t="s">
        <v>2488</v>
      </c>
      <c r="E27" s="1" t="s">
        <v>2489</v>
      </c>
      <c r="F27" s="1" t="s">
        <v>310</v>
      </c>
      <c r="G27" s="85" t="str">
        <f>_xlfn.XLOOKUP(Tabla2[[#This Row],[Universidad]],Conversiones!$B:$B,Conversiones!$C:$C)</f>
        <v>Toulouse Business School</v>
      </c>
      <c r="H27" s="85" t="str">
        <f>_xlfn.XLOOKUP(Tabla2[[#This Row],[Universidad KPIs]],Conversiones!$C:$C,Conversiones!$E:$E)</f>
        <v>Específico</v>
      </c>
      <c r="I27" s="1" t="s">
        <v>57</v>
      </c>
      <c r="J27" s="1" t="s">
        <v>281</v>
      </c>
      <c r="K27" s="1" t="s">
        <v>2490</v>
      </c>
      <c r="L27" s="1" t="s">
        <v>2491</v>
      </c>
      <c r="M27" s="1" t="s">
        <v>230</v>
      </c>
      <c r="N27" s="1" t="s">
        <v>2329</v>
      </c>
      <c r="O27" s="86" t="s">
        <v>2330</v>
      </c>
      <c r="P27" s="1">
        <v>1</v>
      </c>
      <c r="Q27" s="1" t="s">
        <v>2340</v>
      </c>
      <c r="R27" s="1" t="s">
        <v>2492</v>
      </c>
      <c r="S27" s="1" t="s">
        <v>2360</v>
      </c>
      <c r="T27" s="1" t="s">
        <v>2493</v>
      </c>
      <c r="U27" s="1" t="s">
        <v>2494</v>
      </c>
      <c r="V27" s="1" t="s">
        <v>2495</v>
      </c>
      <c r="W27" s="1"/>
      <c r="X27" s="1"/>
      <c r="Y27" s="1"/>
      <c r="Z27" s="1"/>
      <c r="AA27" s="1"/>
      <c r="AB27" s="1"/>
      <c r="AC27" s="88" t="s">
        <v>233</v>
      </c>
      <c r="AD27" s="88" t="s">
        <v>254</v>
      </c>
    </row>
    <row r="28" spans="1:30" hidden="1">
      <c r="A28" s="1">
        <v>2020</v>
      </c>
      <c r="B28" s="1">
        <v>202010</v>
      </c>
      <c r="C28" s="1">
        <v>202015900</v>
      </c>
      <c r="D28" s="1" t="s">
        <v>2496</v>
      </c>
      <c r="E28" s="1" t="s">
        <v>2497</v>
      </c>
      <c r="F28" s="1" t="s">
        <v>310</v>
      </c>
      <c r="G28" s="85" t="str">
        <f>_xlfn.XLOOKUP(Tabla2[[#This Row],[Universidad]],Conversiones!$B:$B,Conversiones!$C:$C)</f>
        <v>Toulouse Business School</v>
      </c>
      <c r="H28" s="85" t="str">
        <f>_xlfn.XLOOKUP(Tabla2[[#This Row],[Universidad KPIs]],Conversiones!$C:$C,Conversiones!$E:$E)</f>
        <v>Específico</v>
      </c>
      <c r="I28" s="1" t="s">
        <v>57</v>
      </c>
      <c r="J28" s="1" t="s">
        <v>281</v>
      </c>
      <c r="K28" s="1" t="s">
        <v>2498</v>
      </c>
      <c r="L28" s="1" t="s">
        <v>2499</v>
      </c>
      <c r="M28" s="1" t="s">
        <v>230</v>
      </c>
      <c r="N28" s="1" t="s">
        <v>2329</v>
      </c>
      <c r="O28" s="86" t="s">
        <v>2330</v>
      </c>
      <c r="P28" s="1">
        <v>1</v>
      </c>
      <c r="Q28" s="1" t="s">
        <v>2331</v>
      </c>
      <c r="R28" s="1" t="s">
        <v>2352</v>
      </c>
      <c r="S28" s="1" t="s">
        <v>2500</v>
      </c>
      <c r="T28" s="1" t="s">
        <v>2501</v>
      </c>
      <c r="U28" s="1" t="s">
        <v>2487</v>
      </c>
      <c r="V28" s="1"/>
      <c r="W28" s="1"/>
      <c r="X28" s="1"/>
      <c r="Y28" s="1"/>
      <c r="Z28" s="1"/>
      <c r="AA28" s="1"/>
      <c r="AB28" s="1"/>
      <c r="AC28" s="88" t="s">
        <v>233</v>
      </c>
      <c r="AD28" s="88" t="s">
        <v>254</v>
      </c>
    </row>
    <row r="29" spans="1:30" hidden="1">
      <c r="A29" s="1">
        <v>2020</v>
      </c>
      <c r="B29" s="1">
        <v>202010</v>
      </c>
      <c r="C29" s="1">
        <v>202015864</v>
      </c>
      <c r="D29" s="1" t="s">
        <v>2502</v>
      </c>
      <c r="E29" s="1" t="s">
        <v>2503</v>
      </c>
      <c r="F29" s="1" t="s">
        <v>372</v>
      </c>
      <c r="G29" s="85" t="str">
        <f>_xlfn.XLOOKUP(Tabla2[[#This Row],[Universidad]],Conversiones!$B:$B,Conversiones!$C:$C)</f>
        <v>A.B. Freeman School of Business, Tulane University</v>
      </c>
      <c r="H29" s="85" t="str">
        <f>_xlfn.XLOOKUP(Tabla2[[#This Row],[Universidad KPIs]],Conversiones!$C:$C,Conversiones!$E:$E)</f>
        <v>Específico</v>
      </c>
      <c r="I29" s="1" t="s">
        <v>51</v>
      </c>
      <c r="J29" s="1" t="s">
        <v>291</v>
      </c>
      <c r="K29" s="1" t="s">
        <v>2504</v>
      </c>
      <c r="L29" s="1" t="s">
        <v>2505</v>
      </c>
      <c r="M29" s="1" t="s">
        <v>230</v>
      </c>
      <c r="N29" s="1" t="s">
        <v>2329</v>
      </c>
      <c r="O29" s="86" t="s">
        <v>2330</v>
      </c>
      <c r="P29" s="1">
        <v>1</v>
      </c>
      <c r="Q29" s="1" t="s">
        <v>2506</v>
      </c>
      <c r="R29" s="1" t="s">
        <v>2358</v>
      </c>
      <c r="S29" s="1" t="s">
        <v>2332</v>
      </c>
      <c r="T29" s="1" t="s">
        <v>2360</v>
      </c>
      <c r="U29" s="1"/>
      <c r="V29" s="1"/>
      <c r="W29" s="1"/>
      <c r="X29" s="1"/>
      <c r="Y29" s="1"/>
      <c r="Z29" s="1"/>
      <c r="AA29" s="1"/>
      <c r="AB29" s="1"/>
      <c r="AC29" s="88" t="s">
        <v>233</v>
      </c>
      <c r="AD29" s="88" t="s">
        <v>254</v>
      </c>
    </row>
    <row r="30" spans="1:30" hidden="1">
      <c r="A30" s="1">
        <v>2020</v>
      </c>
      <c r="B30" s="1">
        <v>202010</v>
      </c>
      <c r="C30" s="1">
        <v>202015865</v>
      </c>
      <c r="D30" s="1" t="s">
        <v>2507</v>
      </c>
      <c r="E30" s="1" t="s">
        <v>2508</v>
      </c>
      <c r="F30" s="1" t="s">
        <v>372</v>
      </c>
      <c r="G30" s="85" t="str">
        <f>_xlfn.XLOOKUP(Tabla2[[#This Row],[Universidad]],Conversiones!$B:$B,Conversiones!$C:$C)</f>
        <v>A.B. Freeman School of Business, Tulane University</v>
      </c>
      <c r="H30" s="85" t="str">
        <f>_xlfn.XLOOKUP(Tabla2[[#This Row],[Universidad KPIs]],Conversiones!$C:$C,Conversiones!$E:$E)</f>
        <v>Específico</v>
      </c>
      <c r="I30" s="1" t="s">
        <v>51</v>
      </c>
      <c r="J30" s="1" t="s">
        <v>291</v>
      </c>
      <c r="K30" s="1" t="s">
        <v>2509</v>
      </c>
      <c r="L30" s="1" t="s">
        <v>2510</v>
      </c>
      <c r="M30" s="1" t="s">
        <v>230</v>
      </c>
      <c r="N30" s="1" t="s">
        <v>2329</v>
      </c>
      <c r="O30" s="86" t="s">
        <v>2330</v>
      </c>
      <c r="P30" s="1">
        <v>1</v>
      </c>
      <c r="Q30" s="1" t="s">
        <v>2511</v>
      </c>
      <c r="R30" s="1" t="s">
        <v>2472</v>
      </c>
      <c r="S30" s="1" t="s">
        <v>2360</v>
      </c>
      <c r="T30" s="1" t="s">
        <v>2438</v>
      </c>
      <c r="U30" s="1"/>
      <c r="V30" s="1"/>
      <c r="W30" s="1"/>
      <c r="X30" s="1"/>
      <c r="Y30" s="1"/>
      <c r="Z30" s="1"/>
      <c r="AA30" s="1"/>
      <c r="AB30" s="1"/>
      <c r="AC30" s="88" t="s">
        <v>233</v>
      </c>
      <c r="AD30" s="88" t="s">
        <v>254</v>
      </c>
    </row>
    <row r="31" spans="1:30" hidden="1">
      <c r="A31" s="1">
        <v>2020</v>
      </c>
      <c r="B31" s="1">
        <v>202010</v>
      </c>
      <c r="C31" s="1">
        <v>202015888</v>
      </c>
      <c r="D31" s="1" t="s">
        <v>2512</v>
      </c>
      <c r="E31" s="1" t="s">
        <v>2513</v>
      </c>
      <c r="F31" s="1" t="s">
        <v>122</v>
      </c>
      <c r="G31" s="85" t="str">
        <f>_xlfn.XLOOKUP(Tabla2[[#This Row],[Universidad]],Conversiones!$B:$B,Conversiones!$C:$C)</f>
        <v>Universidad de San Andrés</v>
      </c>
      <c r="H31" s="85" t="str">
        <f>_xlfn.XLOOKUP(Tabla2[[#This Row],[Universidad KPIs]],Conversiones!$C:$C,Conversiones!$E:$E)</f>
        <v>Específico</v>
      </c>
      <c r="I31" s="1" t="s">
        <v>123</v>
      </c>
      <c r="J31" s="1" t="s">
        <v>296</v>
      </c>
      <c r="K31" s="1" t="s">
        <v>2514</v>
      </c>
      <c r="L31" s="1" t="s">
        <v>2515</v>
      </c>
      <c r="M31" s="1" t="s">
        <v>230</v>
      </c>
      <c r="N31" s="1" t="s">
        <v>2365</v>
      </c>
      <c r="O31" s="86" t="s">
        <v>2366</v>
      </c>
      <c r="P31" s="1">
        <v>1</v>
      </c>
      <c r="Q31" s="1" t="s">
        <v>2516</v>
      </c>
      <c r="R31" s="1" t="s">
        <v>2517</v>
      </c>
      <c r="S31" s="1" t="s">
        <v>2387</v>
      </c>
      <c r="T31" s="1"/>
      <c r="U31" s="1"/>
      <c r="V31" s="1"/>
      <c r="W31" s="1"/>
      <c r="X31" s="1"/>
      <c r="Y31" s="1"/>
      <c r="Z31" s="1"/>
      <c r="AA31" s="1"/>
      <c r="AB31" s="1"/>
      <c r="AC31" s="88" t="s">
        <v>250</v>
      </c>
      <c r="AD31" s="88" t="s">
        <v>247</v>
      </c>
    </row>
    <row r="32" spans="1:30" hidden="1">
      <c r="A32" s="1">
        <v>2020</v>
      </c>
      <c r="B32" s="1">
        <v>202010</v>
      </c>
      <c r="C32" s="1">
        <v>202015890</v>
      </c>
      <c r="D32" s="1" t="s">
        <v>2518</v>
      </c>
      <c r="E32" s="1" t="s">
        <v>2519</v>
      </c>
      <c r="F32" s="1" t="s">
        <v>122</v>
      </c>
      <c r="G32" s="85" t="str">
        <f>_xlfn.XLOOKUP(Tabla2[[#This Row],[Universidad]],Conversiones!$B:$B,Conversiones!$C:$C)</f>
        <v>Universidad de San Andrés</v>
      </c>
      <c r="H32" s="85" t="str">
        <f>_xlfn.XLOOKUP(Tabla2[[#This Row],[Universidad KPIs]],Conversiones!$C:$C,Conversiones!$E:$E)</f>
        <v>Específico</v>
      </c>
      <c r="I32" s="1" t="s">
        <v>123</v>
      </c>
      <c r="J32" s="1" t="s">
        <v>296</v>
      </c>
      <c r="K32" s="1" t="s">
        <v>2520</v>
      </c>
      <c r="L32" s="1" t="s">
        <v>2521</v>
      </c>
      <c r="M32" s="1" t="s">
        <v>230</v>
      </c>
      <c r="N32" s="1" t="s">
        <v>2365</v>
      </c>
      <c r="O32" s="86" t="s">
        <v>2366</v>
      </c>
      <c r="P32" s="1">
        <v>1</v>
      </c>
      <c r="Q32" s="1" t="s">
        <v>2459</v>
      </c>
      <c r="R32" s="1" t="s">
        <v>2522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88" t="s">
        <v>248</v>
      </c>
      <c r="AD32" s="88" t="s">
        <v>247</v>
      </c>
    </row>
    <row r="33" spans="1:30" hidden="1">
      <c r="A33" s="1">
        <v>2020</v>
      </c>
      <c r="B33" s="1">
        <v>202010</v>
      </c>
      <c r="C33" s="1">
        <v>202015892</v>
      </c>
      <c r="D33" s="1" t="s">
        <v>2523</v>
      </c>
      <c r="E33" s="1" t="s">
        <v>2524</v>
      </c>
      <c r="F33" s="1" t="s">
        <v>162</v>
      </c>
      <c r="G33" s="85" t="str">
        <f>_xlfn.XLOOKUP(Tabla2[[#This Row],[Universidad]],Conversiones!$B:$B,Conversiones!$C:$C)</f>
        <v>Universidad de Tarapacá</v>
      </c>
      <c r="H33" s="85" t="str">
        <f>_xlfn.XLOOKUP(Tabla2[[#This Row],[Universidad KPIs]],Conversiones!$C:$C,Conversiones!$E:$E)</f>
        <v>General</v>
      </c>
      <c r="I33" s="1" t="s">
        <v>109</v>
      </c>
      <c r="J33" s="1" t="s">
        <v>296</v>
      </c>
      <c r="K33" s="1" t="s">
        <v>2525</v>
      </c>
      <c r="L33" s="1" t="s">
        <v>2526</v>
      </c>
      <c r="M33" s="1" t="s">
        <v>230</v>
      </c>
      <c r="N33" s="1" t="s">
        <v>2329</v>
      </c>
      <c r="O33" s="86" t="s">
        <v>2330</v>
      </c>
      <c r="P33" s="1">
        <v>1</v>
      </c>
      <c r="Q33" s="1" t="s">
        <v>2430</v>
      </c>
      <c r="R33" s="1" t="s">
        <v>2527</v>
      </c>
      <c r="S33" s="1" t="s">
        <v>2528</v>
      </c>
      <c r="T33" s="1" t="s">
        <v>2400</v>
      </c>
      <c r="U33" s="1" t="s">
        <v>2487</v>
      </c>
      <c r="V33" s="1"/>
      <c r="W33" s="1"/>
      <c r="X33" s="1"/>
      <c r="Y33" s="1"/>
      <c r="Z33" s="1"/>
      <c r="AA33" s="1"/>
      <c r="AB33" s="1"/>
      <c r="AC33" s="88" t="s">
        <v>233</v>
      </c>
      <c r="AD33" s="88" t="s">
        <v>254</v>
      </c>
    </row>
    <row r="34" spans="1:30" hidden="1">
      <c r="A34" s="1">
        <v>2020</v>
      </c>
      <c r="B34" s="1">
        <v>202010</v>
      </c>
      <c r="C34" s="1">
        <v>202015866</v>
      </c>
      <c r="D34" s="1" t="s">
        <v>2529</v>
      </c>
      <c r="E34" s="1" t="s">
        <v>2530</v>
      </c>
      <c r="F34" s="1" t="s">
        <v>338</v>
      </c>
      <c r="G34" s="85" t="str">
        <f>_xlfn.XLOOKUP(Tabla2[[#This Row],[Universidad]],Conversiones!$B:$B,Conversiones!$C:$C)</f>
        <v>University of Mannheim Business School</v>
      </c>
      <c r="H34" s="85" t="str">
        <f>_xlfn.XLOOKUP(Tabla2[[#This Row],[Universidad KPIs]],Conversiones!$C:$C,Conversiones!$E:$E)</f>
        <v>Específico</v>
      </c>
      <c r="I34" s="1" t="s">
        <v>76</v>
      </c>
      <c r="J34" s="1" t="s">
        <v>281</v>
      </c>
      <c r="K34" s="1" t="s">
        <v>2531</v>
      </c>
      <c r="L34" s="1" t="s">
        <v>2532</v>
      </c>
      <c r="M34" s="1" t="s">
        <v>230</v>
      </c>
      <c r="N34" s="1" t="s">
        <v>2365</v>
      </c>
      <c r="O34" s="86" t="s">
        <v>2366</v>
      </c>
      <c r="P34" s="1">
        <v>1</v>
      </c>
      <c r="Q34" s="1" t="s">
        <v>2394</v>
      </c>
      <c r="R34" s="1" t="s">
        <v>2533</v>
      </c>
      <c r="S34" s="1" t="s">
        <v>2534</v>
      </c>
      <c r="T34" s="1" t="s">
        <v>2535</v>
      </c>
      <c r="U34" s="1" t="s">
        <v>2407</v>
      </c>
      <c r="V34" s="1" t="s">
        <v>2388</v>
      </c>
      <c r="W34" s="1"/>
      <c r="X34" s="1"/>
      <c r="Y34" s="1"/>
      <c r="Z34" s="1"/>
      <c r="AA34" s="1"/>
      <c r="AB34" s="1"/>
      <c r="AC34" s="88" t="s">
        <v>248</v>
      </c>
      <c r="AD34" s="88" t="s">
        <v>247</v>
      </c>
    </row>
    <row r="35" spans="1:30" hidden="1">
      <c r="A35" s="1">
        <v>2020</v>
      </c>
      <c r="B35" s="1">
        <v>202010</v>
      </c>
      <c r="C35" s="1">
        <v>202015860</v>
      </c>
      <c r="D35" s="1" t="s">
        <v>2536</v>
      </c>
      <c r="E35" s="1" t="s">
        <v>2537</v>
      </c>
      <c r="F35" s="1" t="s">
        <v>2538</v>
      </c>
      <c r="G35" s="85" t="str">
        <f>_xlfn.XLOOKUP(Tabla2[[#This Row],[Universidad]],Conversiones!$B:$B,Conversiones!$C:$C)</f>
        <v>Universitat Politecnica de Valencia</v>
      </c>
      <c r="H35" s="85" t="str">
        <f>_xlfn.XLOOKUP(Tabla2[[#This Row],[Universidad KPIs]],Conversiones!$C:$C,Conversiones!$E:$E)</f>
        <v>General</v>
      </c>
      <c r="I35" s="1" t="s">
        <v>69</v>
      </c>
      <c r="J35" s="1" t="s">
        <v>281</v>
      </c>
      <c r="K35" s="1" t="s">
        <v>2539</v>
      </c>
      <c r="L35" s="1" t="s">
        <v>2540</v>
      </c>
      <c r="M35" s="1" t="s">
        <v>230</v>
      </c>
      <c r="N35" s="1" t="s">
        <v>2329</v>
      </c>
      <c r="O35" s="86" t="s">
        <v>2330</v>
      </c>
      <c r="P35" s="1">
        <v>1</v>
      </c>
      <c r="Q35" s="1" t="s">
        <v>2541</v>
      </c>
      <c r="R35" s="1" t="s">
        <v>2359</v>
      </c>
      <c r="S35" s="1" t="s">
        <v>2338</v>
      </c>
      <c r="T35" s="1" t="s">
        <v>2542</v>
      </c>
      <c r="U35" s="1" t="s">
        <v>2360</v>
      </c>
      <c r="V35" s="1"/>
      <c r="W35" s="1"/>
      <c r="X35" s="1"/>
      <c r="Y35" s="1"/>
      <c r="Z35" s="1"/>
      <c r="AA35" s="1"/>
      <c r="AB35" s="1"/>
      <c r="AC35" s="88" t="s">
        <v>233</v>
      </c>
      <c r="AD35" s="88" t="s">
        <v>254</v>
      </c>
    </row>
    <row r="36" spans="1:30" hidden="1">
      <c r="A36" s="1">
        <v>2020</v>
      </c>
      <c r="B36" s="1">
        <v>202010</v>
      </c>
      <c r="C36" s="1">
        <v>202015844</v>
      </c>
      <c r="D36" s="1" t="s">
        <v>2543</v>
      </c>
      <c r="E36" s="1" t="s">
        <v>2544</v>
      </c>
      <c r="F36" s="1" t="s">
        <v>524</v>
      </c>
      <c r="G36" s="85" t="str">
        <f>_xlfn.XLOOKUP(Tabla2[[#This Row],[Universidad]],Conversiones!$B:$B,Conversiones!$C:$C)</f>
        <v>University of Saint Gallen</v>
      </c>
      <c r="H36" s="85" t="str">
        <f>_xlfn.XLOOKUP(Tabla2[[#This Row],[Universidad KPIs]],Conversiones!$C:$C,Conversiones!$E:$E)</f>
        <v>Específico</v>
      </c>
      <c r="I36" s="1" t="s">
        <v>81</v>
      </c>
      <c r="J36" s="1" t="s">
        <v>281</v>
      </c>
      <c r="K36" s="1" t="s">
        <v>2545</v>
      </c>
      <c r="L36" s="1" t="s">
        <v>2546</v>
      </c>
      <c r="M36" s="1" t="s">
        <v>230</v>
      </c>
      <c r="N36" s="1" t="s">
        <v>2365</v>
      </c>
      <c r="O36" s="86" t="s">
        <v>2366</v>
      </c>
      <c r="P36" s="1">
        <v>1</v>
      </c>
      <c r="Q36" s="1" t="s">
        <v>2547</v>
      </c>
      <c r="R36" s="1" t="s">
        <v>2443</v>
      </c>
      <c r="S36" s="1" t="s">
        <v>2418</v>
      </c>
      <c r="T36" s="1" t="s">
        <v>2413</v>
      </c>
      <c r="U36" s="1" t="s">
        <v>2548</v>
      </c>
      <c r="V36" s="1" t="s">
        <v>2549</v>
      </c>
      <c r="W36" s="1" t="s">
        <v>2407</v>
      </c>
      <c r="X36" s="1"/>
      <c r="Y36" s="1"/>
      <c r="Z36" s="1"/>
      <c r="AA36" s="1"/>
      <c r="AB36" s="1"/>
      <c r="AC36" s="88" t="s">
        <v>248</v>
      </c>
      <c r="AD36" s="88" t="s">
        <v>247</v>
      </c>
    </row>
    <row r="37" spans="1:30" hidden="1">
      <c r="A37" s="1">
        <v>2020</v>
      </c>
      <c r="B37" s="1">
        <v>202010</v>
      </c>
      <c r="C37" s="1">
        <v>201924503</v>
      </c>
      <c r="D37" s="1" t="s">
        <v>2550</v>
      </c>
      <c r="E37" s="1" t="s">
        <v>2551</v>
      </c>
      <c r="F37" s="1" t="s">
        <v>1400</v>
      </c>
      <c r="G37" s="85" t="str">
        <f>_xlfn.XLOOKUP(Tabla2[[#This Row],[Universidad]],Conversiones!$B:$B,Conversiones!$C:$C)</f>
        <v>EM Strasbourg</v>
      </c>
      <c r="H37" s="85" t="str">
        <f>_xlfn.XLOOKUP(Tabla2[[#This Row],[Universidad KPIs]],Conversiones!$C:$C,Conversiones!$E:$E)</f>
        <v>Específico</v>
      </c>
      <c r="I37" s="1" t="s">
        <v>57</v>
      </c>
      <c r="J37" s="1" t="s">
        <v>281</v>
      </c>
      <c r="K37" s="1" t="s">
        <v>2552</v>
      </c>
      <c r="L37" s="1" t="s">
        <v>2553</v>
      </c>
      <c r="M37" s="1" t="s">
        <v>230</v>
      </c>
      <c r="N37" s="1" t="s">
        <v>2329</v>
      </c>
      <c r="O37" s="86" t="s">
        <v>2330</v>
      </c>
      <c r="P37" s="1">
        <v>1</v>
      </c>
      <c r="Q37" s="1" t="s">
        <v>2554</v>
      </c>
      <c r="R37" s="1" t="s">
        <v>2430</v>
      </c>
      <c r="S37" s="1" t="s">
        <v>2443</v>
      </c>
      <c r="T37" s="1" t="s">
        <v>2555</v>
      </c>
      <c r="U37" s="1" t="s">
        <v>2472</v>
      </c>
      <c r="V37" s="1" t="s">
        <v>2556</v>
      </c>
      <c r="W37" s="1" t="s">
        <v>2431</v>
      </c>
      <c r="X37" s="1"/>
      <c r="Y37" s="1"/>
      <c r="Z37" s="1"/>
      <c r="AA37" s="1"/>
      <c r="AB37" s="1"/>
      <c r="AC37" s="88" t="s">
        <v>233</v>
      </c>
      <c r="AD37" s="88" t="s">
        <v>254</v>
      </c>
    </row>
    <row r="38" spans="1:30" hidden="1">
      <c r="A38" s="1">
        <v>2020</v>
      </c>
      <c r="B38" s="1">
        <v>202010</v>
      </c>
      <c r="C38" s="1">
        <v>201924500</v>
      </c>
      <c r="D38" s="1" t="s">
        <v>2557</v>
      </c>
      <c r="E38" s="1" t="s">
        <v>2558</v>
      </c>
      <c r="F38" s="1" t="s">
        <v>945</v>
      </c>
      <c r="G38" s="85" t="str">
        <f>_xlfn.XLOOKUP(Tabla2[[#This Row],[Universidad]],Conversiones!$B:$B,Conversiones!$C:$C)</f>
        <v>Universidad Jean Moulin Lyon 3</v>
      </c>
      <c r="H38" s="85" t="str">
        <f>_xlfn.XLOOKUP(Tabla2[[#This Row],[Universidad KPIs]],Conversiones!$C:$C,Conversiones!$E:$E)</f>
        <v>General</v>
      </c>
      <c r="I38" s="1" t="s">
        <v>57</v>
      </c>
      <c r="J38" s="1" t="s">
        <v>281</v>
      </c>
      <c r="K38" s="1" t="s">
        <v>2559</v>
      </c>
      <c r="L38" s="1" t="s">
        <v>2560</v>
      </c>
      <c r="M38" s="1" t="s">
        <v>230</v>
      </c>
      <c r="N38" s="1" t="s">
        <v>2329</v>
      </c>
      <c r="O38" s="86" t="s">
        <v>2330</v>
      </c>
      <c r="P38" s="1">
        <v>1</v>
      </c>
      <c r="Q38" s="1" t="s">
        <v>2561</v>
      </c>
      <c r="R38" s="1" t="s">
        <v>2338</v>
      </c>
      <c r="S38" s="1" t="s">
        <v>2339</v>
      </c>
      <c r="T38" s="1" t="s">
        <v>2352</v>
      </c>
      <c r="U38" s="1" t="s">
        <v>2332</v>
      </c>
      <c r="V38" s="1" t="s">
        <v>2454</v>
      </c>
      <c r="W38" s="1"/>
      <c r="X38" s="1"/>
      <c r="Y38" s="1"/>
      <c r="Z38" s="1"/>
      <c r="AA38" s="1"/>
      <c r="AB38" s="1"/>
      <c r="AC38" s="88" t="s">
        <v>233</v>
      </c>
      <c r="AD38" s="88" t="s">
        <v>254</v>
      </c>
    </row>
    <row r="39" spans="1:30" hidden="1">
      <c r="A39" s="1">
        <v>2020</v>
      </c>
      <c r="B39" s="1">
        <v>202010</v>
      </c>
      <c r="C39" s="1">
        <v>201924499</v>
      </c>
      <c r="D39" s="1" t="s">
        <v>2562</v>
      </c>
      <c r="E39" s="1" t="s">
        <v>2563</v>
      </c>
      <c r="F39" s="1" t="s">
        <v>945</v>
      </c>
      <c r="G39" s="85" t="str">
        <f>_xlfn.XLOOKUP(Tabla2[[#This Row],[Universidad]],Conversiones!$B:$B,Conversiones!$C:$C)</f>
        <v>Universidad Jean Moulin Lyon 3</v>
      </c>
      <c r="H39" s="85" t="str">
        <f>_xlfn.XLOOKUP(Tabla2[[#This Row],[Universidad KPIs]],Conversiones!$C:$C,Conversiones!$E:$E)</f>
        <v>General</v>
      </c>
      <c r="I39" s="1" t="s">
        <v>57</v>
      </c>
      <c r="J39" s="1" t="s">
        <v>281</v>
      </c>
      <c r="K39" s="1" t="s">
        <v>2564</v>
      </c>
      <c r="L39" s="1" t="s">
        <v>2565</v>
      </c>
      <c r="M39" s="1" t="s">
        <v>230</v>
      </c>
      <c r="N39" s="1" t="s">
        <v>2329</v>
      </c>
      <c r="O39" s="86" t="s">
        <v>2330</v>
      </c>
      <c r="P39" s="1">
        <v>1</v>
      </c>
      <c r="Q39" s="1" t="s">
        <v>2506</v>
      </c>
      <c r="R39" s="1" t="s">
        <v>2338</v>
      </c>
      <c r="S39" s="1" t="s">
        <v>2566</v>
      </c>
      <c r="T39" s="1"/>
      <c r="U39" s="1"/>
      <c r="V39" s="1"/>
      <c r="W39" s="1"/>
      <c r="X39" s="1"/>
      <c r="Y39" s="1"/>
      <c r="Z39" s="1"/>
      <c r="AA39" s="1"/>
      <c r="AB39" s="1"/>
      <c r="AC39" s="88" t="s">
        <v>233</v>
      </c>
      <c r="AD39" s="88" t="s">
        <v>254</v>
      </c>
    </row>
    <row r="40" spans="1:30" hidden="1">
      <c r="A40" s="1">
        <v>2020</v>
      </c>
      <c r="B40" s="1">
        <v>202010</v>
      </c>
      <c r="C40" s="1">
        <v>201924501</v>
      </c>
      <c r="D40" s="1" t="s">
        <v>2567</v>
      </c>
      <c r="E40" s="1" t="s">
        <v>2568</v>
      </c>
      <c r="F40" s="1" t="s">
        <v>945</v>
      </c>
      <c r="G40" s="85" t="str">
        <f>_xlfn.XLOOKUP(Tabla2[[#This Row],[Universidad]],Conversiones!$B:$B,Conversiones!$C:$C)</f>
        <v>Universidad Jean Moulin Lyon 3</v>
      </c>
      <c r="H40" s="85" t="str">
        <f>_xlfn.XLOOKUP(Tabla2[[#This Row],[Universidad KPIs]],Conversiones!$C:$C,Conversiones!$E:$E)</f>
        <v>General</v>
      </c>
      <c r="I40" s="1" t="s">
        <v>57</v>
      </c>
      <c r="J40" s="1" t="s">
        <v>281</v>
      </c>
      <c r="K40" s="1" t="s">
        <v>2569</v>
      </c>
      <c r="L40" s="1" t="s">
        <v>2570</v>
      </c>
      <c r="M40" s="1" t="s">
        <v>230</v>
      </c>
      <c r="N40" s="1" t="s">
        <v>2329</v>
      </c>
      <c r="O40" s="86" t="s">
        <v>2330</v>
      </c>
      <c r="P40" s="1">
        <v>1</v>
      </c>
      <c r="Q40" s="1" t="s">
        <v>2517</v>
      </c>
      <c r="R40" s="1" t="s">
        <v>2571</v>
      </c>
      <c r="S40" s="1" t="s">
        <v>2572</v>
      </c>
      <c r="T40" s="1" t="s">
        <v>2573</v>
      </c>
      <c r="U40" s="1"/>
      <c r="V40" s="1"/>
      <c r="W40" s="1"/>
      <c r="X40" s="1"/>
      <c r="Y40" s="1"/>
      <c r="Z40" s="1"/>
      <c r="AA40" s="1"/>
      <c r="AB40" s="1"/>
      <c r="AC40" s="88" t="s">
        <v>233</v>
      </c>
      <c r="AD40" s="88" t="s">
        <v>254</v>
      </c>
    </row>
    <row r="41" spans="1:30" hidden="1">
      <c r="A41" s="1">
        <v>2020</v>
      </c>
      <c r="B41" s="1">
        <v>202010</v>
      </c>
      <c r="C41" s="1">
        <v>202015832</v>
      </c>
      <c r="D41" s="1" t="s">
        <v>2574</v>
      </c>
      <c r="E41" s="1" t="s">
        <v>2575</v>
      </c>
      <c r="F41" s="1" t="s">
        <v>2295</v>
      </c>
      <c r="G41" s="85" t="str">
        <f>_xlfn.XLOOKUP(Tabla2[[#This Row],[Universidad]],Conversiones!$B:$B,Conversiones!$C:$C)</f>
        <v>Université Paris-Dauphine</v>
      </c>
      <c r="H41" s="85" t="str">
        <f>_xlfn.XLOOKUP(Tabla2[[#This Row],[Universidad KPIs]],Conversiones!$C:$C,Conversiones!$E:$E)</f>
        <v>General</v>
      </c>
      <c r="I41" s="1" t="s">
        <v>57</v>
      </c>
      <c r="J41" s="1" t="s">
        <v>281</v>
      </c>
      <c r="K41" s="1" t="s">
        <v>2576</v>
      </c>
      <c r="L41" s="1" t="s">
        <v>2577</v>
      </c>
      <c r="M41" s="1" t="s">
        <v>230</v>
      </c>
      <c r="N41" s="1" t="s">
        <v>2329</v>
      </c>
      <c r="O41" s="86" t="s">
        <v>2330</v>
      </c>
      <c r="P41" s="1">
        <v>1</v>
      </c>
      <c r="Q41" s="1" t="s">
        <v>2339</v>
      </c>
      <c r="R41" s="1" t="s">
        <v>2331</v>
      </c>
      <c r="S41" s="1" t="s">
        <v>2527</v>
      </c>
      <c r="T41" s="1" t="s">
        <v>2438</v>
      </c>
      <c r="U41" s="1"/>
      <c r="V41" s="1"/>
      <c r="W41" s="1"/>
      <c r="X41" s="1"/>
      <c r="Y41" s="1"/>
      <c r="Z41" s="1"/>
      <c r="AA41" s="1"/>
      <c r="AB41" s="1"/>
      <c r="AC41" s="88" t="s">
        <v>233</v>
      </c>
      <c r="AD41" s="88" t="s">
        <v>254</v>
      </c>
    </row>
    <row r="42" spans="1:30" hidden="1">
      <c r="A42" s="1">
        <v>2020</v>
      </c>
      <c r="B42" s="1">
        <v>202010</v>
      </c>
      <c r="C42" s="1">
        <v>201924477</v>
      </c>
      <c r="D42" s="1" t="s">
        <v>2578</v>
      </c>
      <c r="E42" s="1" t="s">
        <v>2579</v>
      </c>
      <c r="F42" s="1" t="s">
        <v>183</v>
      </c>
      <c r="G42" s="85" t="str">
        <f>_xlfn.XLOOKUP(Tabla2[[#This Row],[Universidad]],Conversiones!$B:$B,Conversiones!$C:$C)</f>
        <v>University of Sussex</v>
      </c>
      <c r="H42" s="85" t="str">
        <f>_xlfn.XLOOKUP(Tabla2[[#This Row],[Universidad KPIs]],Conversiones!$C:$C,Conversiones!$E:$E)</f>
        <v>General</v>
      </c>
      <c r="I42" s="1" t="s">
        <v>55</v>
      </c>
      <c r="J42" s="1" t="s">
        <v>281</v>
      </c>
      <c r="K42" s="1" t="s">
        <v>2580</v>
      </c>
      <c r="L42" s="1" t="s">
        <v>2581</v>
      </c>
      <c r="M42" s="1" t="s">
        <v>230</v>
      </c>
      <c r="N42" s="1" t="s">
        <v>2329</v>
      </c>
      <c r="O42" s="86" t="s">
        <v>2330</v>
      </c>
      <c r="P42" s="1">
        <v>1</v>
      </c>
      <c r="Q42" s="1" t="s">
        <v>2359</v>
      </c>
      <c r="R42" s="1" t="s">
        <v>2413</v>
      </c>
      <c r="S42" s="1" t="s">
        <v>2401</v>
      </c>
      <c r="T42" s="1" t="s">
        <v>2438</v>
      </c>
      <c r="U42" s="1" t="s">
        <v>2582</v>
      </c>
      <c r="V42" s="1" t="s">
        <v>2583</v>
      </c>
      <c r="W42" s="1"/>
      <c r="X42" s="1"/>
      <c r="Y42" s="1"/>
      <c r="Z42" s="1"/>
      <c r="AA42" s="1"/>
      <c r="AB42" s="1"/>
      <c r="AC42" s="88" t="s">
        <v>233</v>
      </c>
      <c r="AD42" s="88" t="s">
        <v>254</v>
      </c>
    </row>
    <row r="43" spans="1:30" hidden="1">
      <c r="A43" s="1">
        <v>2020</v>
      </c>
      <c r="B43" s="1">
        <v>202010</v>
      </c>
      <c r="C43" s="1">
        <v>202015923</v>
      </c>
      <c r="D43" s="1" t="s">
        <v>2584</v>
      </c>
      <c r="E43" s="1" t="s">
        <v>2585</v>
      </c>
      <c r="F43" s="1" t="s">
        <v>310</v>
      </c>
      <c r="G43" s="85" t="str">
        <f>_xlfn.XLOOKUP(Tabla2[[#This Row],[Universidad]],Conversiones!$B:$B,Conversiones!$C:$C)</f>
        <v>Toulouse Business School</v>
      </c>
      <c r="H43" s="85" t="str">
        <f>_xlfn.XLOOKUP(Tabla2[[#This Row],[Universidad KPIs]],Conversiones!$C:$C,Conversiones!$E:$E)</f>
        <v>Específico</v>
      </c>
      <c r="I43" s="1" t="s">
        <v>57</v>
      </c>
      <c r="J43" s="1" t="s">
        <v>281</v>
      </c>
      <c r="K43" s="1" t="s">
        <v>2586</v>
      </c>
      <c r="L43" s="1" t="s">
        <v>2587</v>
      </c>
      <c r="M43" s="1" t="s">
        <v>231</v>
      </c>
      <c r="N43" s="1" t="s">
        <v>2329</v>
      </c>
      <c r="O43" s="86"/>
      <c r="P43" s="1">
        <v>1</v>
      </c>
      <c r="Q43" s="1" t="s">
        <v>2588</v>
      </c>
      <c r="R43" s="1" t="s">
        <v>2338</v>
      </c>
      <c r="S43" s="1" t="s">
        <v>2589</v>
      </c>
      <c r="T43" s="1" t="s">
        <v>2590</v>
      </c>
      <c r="U43" s="1" t="s">
        <v>2591</v>
      </c>
      <c r="V43" s="1" t="s">
        <v>2566</v>
      </c>
      <c r="W43" s="1" t="s">
        <v>2592</v>
      </c>
      <c r="X43" s="1" t="s">
        <v>2436</v>
      </c>
      <c r="Y43" s="1" t="s">
        <v>2431</v>
      </c>
      <c r="Z43" s="1" t="s">
        <v>2593</v>
      </c>
      <c r="AA43" s="1"/>
      <c r="AB43" s="1"/>
      <c r="AC43" s="88" t="s">
        <v>233</v>
      </c>
      <c r="AD43" s="88" t="s">
        <v>254</v>
      </c>
    </row>
    <row r="44" spans="1:30" hidden="1">
      <c r="A44" s="1">
        <v>2020</v>
      </c>
      <c r="B44" s="1">
        <v>202010</v>
      </c>
      <c r="C44" s="1">
        <v>202015971</v>
      </c>
      <c r="D44" s="1" t="s">
        <v>2594</v>
      </c>
      <c r="E44" s="1" t="s">
        <v>2595</v>
      </c>
      <c r="F44" s="1" t="s">
        <v>310</v>
      </c>
      <c r="G44" s="85" t="str">
        <f>_xlfn.XLOOKUP(Tabla2[[#This Row],[Universidad]],Conversiones!$B:$B,Conversiones!$C:$C)</f>
        <v>Toulouse Business School</v>
      </c>
      <c r="H44" s="85" t="str">
        <f>_xlfn.XLOOKUP(Tabla2[[#This Row],[Universidad KPIs]],Conversiones!$C:$C,Conversiones!$E:$E)</f>
        <v>Específico</v>
      </c>
      <c r="I44" s="1" t="s">
        <v>57</v>
      </c>
      <c r="J44" s="1" t="s">
        <v>281</v>
      </c>
      <c r="K44" s="1" t="s">
        <v>2596</v>
      </c>
      <c r="L44" s="1" t="s">
        <v>2597</v>
      </c>
      <c r="M44" s="1" t="s">
        <v>231</v>
      </c>
      <c r="N44" s="1" t="s">
        <v>2329</v>
      </c>
      <c r="O44" s="86"/>
      <c r="P44" s="1">
        <v>1</v>
      </c>
      <c r="Q44" s="1" t="s">
        <v>2590</v>
      </c>
      <c r="R44" s="1" t="s">
        <v>2588</v>
      </c>
      <c r="S44" s="1" t="s">
        <v>2598</v>
      </c>
      <c r="T44" s="1" t="s">
        <v>2593</v>
      </c>
      <c r="U44" s="1" t="s">
        <v>2431</v>
      </c>
      <c r="V44" s="1" t="s">
        <v>2599</v>
      </c>
      <c r="W44" s="1" t="s">
        <v>2353</v>
      </c>
      <c r="X44" s="1" t="s">
        <v>2591</v>
      </c>
      <c r="Y44" s="1" t="s">
        <v>2566</v>
      </c>
      <c r="Z44" s="1"/>
      <c r="AA44" s="1"/>
      <c r="AB44" s="1"/>
      <c r="AC44" s="88" t="s">
        <v>233</v>
      </c>
      <c r="AD44" s="88" t="s">
        <v>254</v>
      </c>
    </row>
    <row r="45" spans="1:30" hidden="1">
      <c r="A45" s="1">
        <v>2021</v>
      </c>
      <c r="B45" s="1">
        <v>202110</v>
      </c>
      <c r="C45" s="1">
        <v>202116307</v>
      </c>
      <c r="D45" s="1" t="s">
        <v>2600</v>
      </c>
      <c r="E45" s="1" t="s">
        <v>2601</v>
      </c>
      <c r="F45" s="1" t="s">
        <v>52</v>
      </c>
      <c r="G45" s="85" t="str">
        <f>_xlfn.XLOOKUP(Tabla2[[#This Row],[Universidad]],Conversiones!$B:$B,Conversiones!$C:$C)</f>
        <v>Aalto University</v>
      </c>
      <c r="H45" s="85" t="str">
        <f>_xlfn.XLOOKUP(Tabla2[[#This Row],[Universidad KPIs]],Conversiones!$C:$C,Conversiones!$E:$E)</f>
        <v>Específico</v>
      </c>
      <c r="I45" s="1" t="s">
        <v>53</v>
      </c>
      <c r="J45" s="1" t="s">
        <v>281</v>
      </c>
      <c r="K45" s="1" t="s">
        <v>2602</v>
      </c>
      <c r="L45" s="1" t="s">
        <v>2603</v>
      </c>
      <c r="M45" s="1" t="s">
        <v>230</v>
      </c>
      <c r="N45" s="1" t="s">
        <v>2329</v>
      </c>
      <c r="O45" s="86" t="s">
        <v>2330</v>
      </c>
      <c r="P45" s="1">
        <v>1</v>
      </c>
      <c r="Q45" s="1" t="s">
        <v>2359</v>
      </c>
      <c r="R45" s="1" t="s">
        <v>2338</v>
      </c>
      <c r="S45" s="1" t="s">
        <v>2331</v>
      </c>
      <c r="T45" s="1" t="s">
        <v>2438</v>
      </c>
      <c r="U45" s="1" t="s">
        <v>2437</v>
      </c>
      <c r="V45" s="1"/>
      <c r="W45" s="1"/>
      <c r="X45" s="1"/>
      <c r="Y45" s="1"/>
      <c r="Z45" s="1"/>
      <c r="AA45" s="1"/>
      <c r="AB45" s="1"/>
      <c r="AC45" s="88" t="s">
        <v>233</v>
      </c>
      <c r="AD45" s="88" t="s">
        <v>254</v>
      </c>
    </row>
    <row r="46" spans="1:30" hidden="1">
      <c r="A46" s="1">
        <v>2021</v>
      </c>
      <c r="B46" s="1">
        <v>202110</v>
      </c>
      <c r="C46" s="1">
        <v>202116309</v>
      </c>
      <c r="D46" s="1" t="s">
        <v>2604</v>
      </c>
      <c r="E46" s="1" t="s">
        <v>2605</v>
      </c>
      <c r="F46" s="1" t="s">
        <v>381</v>
      </c>
      <c r="G46" s="85" t="str">
        <f>_xlfn.XLOOKUP(Tabla2[[#This Row],[Universidad]],Conversiones!$B:$B,Conversiones!$C:$C)</f>
        <v>Audencia. École de Management</v>
      </c>
      <c r="H46" s="85" t="str">
        <f>_xlfn.XLOOKUP(Tabla2[[#This Row],[Universidad KPIs]],Conversiones!$C:$C,Conversiones!$E:$E)</f>
        <v>Específico</v>
      </c>
      <c r="I46" s="1" t="s">
        <v>57</v>
      </c>
      <c r="J46" s="1" t="s">
        <v>281</v>
      </c>
      <c r="K46" s="1" t="s">
        <v>2606</v>
      </c>
      <c r="L46" s="1" t="s">
        <v>2607</v>
      </c>
      <c r="M46" s="1" t="s">
        <v>230</v>
      </c>
      <c r="N46" s="1" t="s">
        <v>2329</v>
      </c>
      <c r="O46" s="86" t="s">
        <v>2330</v>
      </c>
      <c r="P46" s="1">
        <v>1</v>
      </c>
      <c r="Q46" s="1" t="s">
        <v>2608</v>
      </c>
      <c r="R46" s="1" t="s">
        <v>2331</v>
      </c>
      <c r="S46" s="1" t="s">
        <v>2332</v>
      </c>
      <c r="T46" s="1" t="s">
        <v>2609</v>
      </c>
      <c r="U46" s="1" t="s">
        <v>2333</v>
      </c>
      <c r="V46" s="1"/>
      <c r="W46" s="1"/>
      <c r="X46" s="1"/>
      <c r="Y46" s="1"/>
      <c r="Z46" s="1"/>
      <c r="AA46" s="1"/>
      <c r="AB46" s="1"/>
      <c r="AC46" s="88" t="s">
        <v>233</v>
      </c>
      <c r="AD46" s="88" t="s">
        <v>254</v>
      </c>
    </row>
    <row r="47" spans="1:30" hidden="1">
      <c r="A47" s="1">
        <v>2021</v>
      </c>
      <c r="B47" s="1">
        <v>202110</v>
      </c>
      <c r="C47" s="1">
        <v>202116316</v>
      </c>
      <c r="D47" s="1" t="s">
        <v>2610</v>
      </c>
      <c r="E47" s="1" t="s">
        <v>2611</v>
      </c>
      <c r="F47" s="1" t="s">
        <v>144</v>
      </c>
      <c r="G47" s="85" t="str">
        <f>_xlfn.XLOOKUP(Tabla2[[#This Row],[Universidad]],Conversiones!$B:$B,Conversiones!$C:$C)</f>
        <v>CY Cergy Paris Université</v>
      </c>
      <c r="H47" s="85" t="str">
        <f>_xlfn.XLOOKUP(Tabla2[[#This Row],[Universidad KPIs]],Conversiones!$C:$C,Conversiones!$E:$E)</f>
        <v>General</v>
      </c>
      <c r="I47" s="1" t="s">
        <v>57</v>
      </c>
      <c r="J47" s="1" t="s">
        <v>281</v>
      </c>
      <c r="K47" s="1" t="s">
        <v>2612</v>
      </c>
      <c r="L47" s="1" t="s">
        <v>2613</v>
      </c>
      <c r="M47" s="1" t="s">
        <v>230</v>
      </c>
      <c r="N47" s="1" t="s">
        <v>2329</v>
      </c>
      <c r="O47" s="86" t="s">
        <v>2330</v>
      </c>
      <c r="P47" s="1">
        <v>1</v>
      </c>
      <c r="Q47" s="1" t="s">
        <v>2331</v>
      </c>
      <c r="R47" s="1" t="s">
        <v>2482</v>
      </c>
      <c r="S47" s="1" t="s">
        <v>2614</v>
      </c>
      <c r="T47" s="1" t="s">
        <v>2360</v>
      </c>
      <c r="U47" s="1" t="s">
        <v>2615</v>
      </c>
      <c r="V47" s="1"/>
      <c r="W47" s="1"/>
      <c r="X47" s="1"/>
      <c r="Y47" s="1"/>
      <c r="Z47" s="1"/>
      <c r="AA47" s="1"/>
      <c r="AB47" s="1"/>
      <c r="AC47" s="88" t="s">
        <v>233</v>
      </c>
      <c r="AD47" s="88" t="s">
        <v>254</v>
      </c>
    </row>
    <row r="48" spans="1:30" hidden="1">
      <c r="A48" s="1">
        <v>2021</v>
      </c>
      <c r="B48" s="1">
        <v>202110</v>
      </c>
      <c r="C48" s="1">
        <v>202116310</v>
      </c>
      <c r="D48" s="1" t="s">
        <v>2616</v>
      </c>
      <c r="E48" s="1" t="s">
        <v>2617</v>
      </c>
      <c r="F48" s="1" t="s">
        <v>419</v>
      </c>
      <c r="G48" s="85" t="str">
        <f>_xlfn.XLOOKUP(Tabla2[[#This Row],[Universidad]],Conversiones!$B:$B,Conversiones!$C:$C)</f>
        <v>ESCP</v>
      </c>
      <c r="H48" s="85" t="str">
        <f>_xlfn.XLOOKUP(Tabla2[[#This Row],[Universidad KPIs]],Conversiones!$C:$C,Conversiones!$E:$E)</f>
        <v>Específico</v>
      </c>
      <c r="I48" s="1" t="s">
        <v>57</v>
      </c>
      <c r="J48" s="1" t="s">
        <v>281</v>
      </c>
      <c r="K48" s="1" t="s">
        <v>2618</v>
      </c>
      <c r="L48" s="1" t="s">
        <v>2619</v>
      </c>
      <c r="M48" s="1" t="s">
        <v>230</v>
      </c>
      <c r="N48" s="1" t="s">
        <v>2329</v>
      </c>
      <c r="O48" s="86" t="s">
        <v>2330</v>
      </c>
      <c r="P48" s="1">
        <v>1</v>
      </c>
      <c r="Q48" s="1" t="s">
        <v>2338</v>
      </c>
      <c r="R48" s="1" t="s">
        <v>2472</v>
      </c>
      <c r="S48" s="1" t="s">
        <v>2360</v>
      </c>
      <c r="T48" s="1" t="s">
        <v>2620</v>
      </c>
      <c r="U48" s="1" t="s">
        <v>2621</v>
      </c>
      <c r="V48" s="1"/>
      <c r="W48" s="1"/>
      <c r="X48" s="1"/>
      <c r="Y48" s="1"/>
      <c r="Z48" s="1"/>
      <c r="AA48" s="1"/>
      <c r="AB48" s="1"/>
      <c r="AC48" s="88" t="s">
        <v>238</v>
      </c>
      <c r="AD48" s="88" t="s">
        <v>247</v>
      </c>
    </row>
    <row r="49" spans="1:30" hidden="1">
      <c r="A49" s="1">
        <v>2021</v>
      </c>
      <c r="B49" s="1">
        <v>202110</v>
      </c>
      <c r="C49" s="1">
        <v>202116313</v>
      </c>
      <c r="D49" s="1" t="s">
        <v>2622</v>
      </c>
      <c r="E49" s="1" t="s">
        <v>2623</v>
      </c>
      <c r="F49" s="1" t="s">
        <v>145</v>
      </c>
      <c r="G49" s="85" t="str">
        <f>_xlfn.XLOOKUP(Tabla2[[#This Row],[Universidad]],Conversiones!$B:$B,Conversiones!$C:$C)</f>
        <v>FHNW Fachhochschule Nordwestschweiz</v>
      </c>
      <c r="H49" s="85" t="str">
        <f>_xlfn.XLOOKUP(Tabla2[[#This Row],[Universidad KPIs]],Conversiones!$C:$C,Conversiones!$E:$E)</f>
        <v>General</v>
      </c>
      <c r="I49" s="1" t="s">
        <v>81</v>
      </c>
      <c r="J49" s="1" t="s">
        <v>281</v>
      </c>
      <c r="K49" s="1" t="s">
        <v>2624</v>
      </c>
      <c r="L49" s="1" t="s">
        <v>2625</v>
      </c>
      <c r="M49" s="1" t="s">
        <v>230</v>
      </c>
      <c r="N49" s="1" t="s">
        <v>2329</v>
      </c>
      <c r="O49" s="86" t="s">
        <v>2330</v>
      </c>
      <c r="P49" s="1">
        <v>1</v>
      </c>
      <c r="Q49" s="1" t="s">
        <v>2338</v>
      </c>
      <c r="R49" s="1" t="s">
        <v>2437</v>
      </c>
      <c r="S49" s="1" t="s">
        <v>2401</v>
      </c>
      <c r="T49" s="1" t="s">
        <v>2626</v>
      </c>
      <c r="U49" s="1"/>
      <c r="V49" s="1"/>
      <c r="W49" s="1"/>
      <c r="X49" s="1"/>
      <c r="Y49" s="1"/>
      <c r="Z49" s="1"/>
      <c r="AA49" s="1"/>
      <c r="AB49" s="1"/>
      <c r="AC49" s="88" t="s">
        <v>233</v>
      </c>
      <c r="AD49" s="88" t="s">
        <v>254</v>
      </c>
    </row>
    <row r="50" spans="1:30" hidden="1">
      <c r="A50" s="1">
        <v>2021</v>
      </c>
      <c r="B50" s="1">
        <v>202110</v>
      </c>
      <c r="C50" s="1">
        <v>202116325</v>
      </c>
      <c r="D50" s="1" t="s">
        <v>2627</v>
      </c>
      <c r="E50" s="1" t="s">
        <v>2628</v>
      </c>
      <c r="F50" s="1" t="s">
        <v>650</v>
      </c>
      <c r="G50" s="85" t="str">
        <f>_xlfn.XLOOKUP(Tabla2[[#This Row],[Universidad]],Conversiones!$B:$B,Conversiones!$C:$C)</f>
        <v>Grenoble. École de Management</v>
      </c>
      <c r="H50" s="85" t="str">
        <f>_xlfn.XLOOKUP(Tabla2[[#This Row],[Universidad KPIs]],Conversiones!$C:$C,Conversiones!$E:$E)</f>
        <v>Específico</v>
      </c>
      <c r="I50" s="1" t="s">
        <v>57</v>
      </c>
      <c r="J50" s="1" t="s">
        <v>281</v>
      </c>
      <c r="K50" s="1" t="s">
        <v>2629</v>
      </c>
      <c r="L50" s="1" t="s">
        <v>2630</v>
      </c>
      <c r="M50" s="1" t="s">
        <v>230</v>
      </c>
      <c r="N50" s="1" t="s">
        <v>2365</v>
      </c>
      <c r="O50" s="86" t="s">
        <v>2366</v>
      </c>
      <c r="P50" s="1">
        <v>1</v>
      </c>
      <c r="Q50" s="1" t="s">
        <v>2631</v>
      </c>
      <c r="R50" s="1" t="s">
        <v>2632</v>
      </c>
      <c r="S50" s="1" t="s">
        <v>2339</v>
      </c>
      <c r="T50" s="1" t="s">
        <v>2360</v>
      </c>
      <c r="U50" s="1" t="s">
        <v>2626</v>
      </c>
      <c r="V50" s="1"/>
      <c r="W50" s="1"/>
      <c r="X50" s="1"/>
      <c r="Y50" s="1"/>
      <c r="Z50" s="1"/>
      <c r="AA50" s="1"/>
      <c r="AB50" s="1"/>
      <c r="AC50" s="88" t="s">
        <v>250</v>
      </c>
      <c r="AD50" s="88" t="s">
        <v>247</v>
      </c>
    </row>
    <row r="51" spans="1:30" hidden="1">
      <c r="A51" s="1">
        <v>2021</v>
      </c>
      <c r="B51" s="1">
        <v>202110</v>
      </c>
      <c r="C51" s="1">
        <v>202116304</v>
      </c>
      <c r="D51" s="1" t="s">
        <v>862</v>
      </c>
      <c r="E51" s="1" t="s">
        <v>2633</v>
      </c>
      <c r="F51" s="1" t="s">
        <v>94</v>
      </c>
      <c r="G51" s="85" t="str">
        <f>_xlfn.XLOOKUP(Tabla2[[#This Row],[Universidad]],Conversiones!$B:$B,Conversiones!$C:$C)</f>
        <v>Maastricht University</v>
      </c>
      <c r="H51" s="85" t="str">
        <f>_xlfn.XLOOKUP(Tabla2[[#This Row],[Universidad KPIs]],Conversiones!$C:$C,Conversiones!$E:$E)</f>
        <v>Específico</v>
      </c>
      <c r="I51" s="1" t="s">
        <v>95</v>
      </c>
      <c r="J51" s="1" t="s">
        <v>281</v>
      </c>
      <c r="K51" s="1" t="s">
        <v>2634</v>
      </c>
      <c r="L51" s="1" t="s">
        <v>2635</v>
      </c>
      <c r="M51" s="1" t="s">
        <v>230</v>
      </c>
      <c r="N51" s="1" t="s">
        <v>2329</v>
      </c>
      <c r="O51" s="86" t="s">
        <v>2330</v>
      </c>
      <c r="P51" s="1">
        <v>1</v>
      </c>
      <c r="Q51" s="1" t="s">
        <v>2359</v>
      </c>
      <c r="R51" s="1" t="s">
        <v>2338</v>
      </c>
      <c r="S51" s="1" t="s">
        <v>2331</v>
      </c>
      <c r="T51" s="1" t="s">
        <v>2438</v>
      </c>
      <c r="U51" s="1" t="s">
        <v>2437</v>
      </c>
      <c r="V51" s="1" t="s">
        <v>2419</v>
      </c>
      <c r="W51" s="1"/>
      <c r="X51" s="1"/>
      <c r="Y51" s="1"/>
      <c r="Z51" s="1"/>
      <c r="AA51" s="1"/>
      <c r="AB51" s="1"/>
      <c r="AC51" s="88" t="s">
        <v>233</v>
      </c>
      <c r="AD51" s="88" t="s">
        <v>254</v>
      </c>
    </row>
    <row r="52" spans="1:30" hidden="1">
      <c r="A52" s="1">
        <v>2021</v>
      </c>
      <c r="B52" s="1">
        <v>202110</v>
      </c>
      <c r="C52" s="1">
        <v>202116302</v>
      </c>
      <c r="D52" s="1" t="s">
        <v>2636</v>
      </c>
      <c r="E52" s="1" t="s">
        <v>2637</v>
      </c>
      <c r="F52" s="1" t="s">
        <v>286</v>
      </c>
      <c r="G52" s="85" t="str">
        <f>_xlfn.XLOOKUP(Tabla2[[#This Row],[Universidad]],Conversiones!$B:$B,Conversiones!$C:$C)</f>
        <v>ESC Rouen (NEOMA)</v>
      </c>
      <c r="H52" s="85" t="str">
        <f>_xlfn.XLOOKUP(Tabla2[[#This Row],[Universidad KPIs]],Conversiones!$C:$C,Conversiones!$E:$E)</f>
        <v>Específico</v>
      </c>
      <c r="I52" s="1" t="s">
        <v>57</v>
      </c>
      <c r="J52" s="1" t="s">
        <v>281</v>
      </c>
      <c r="K52" s="1" t="s">
        <v>2638</v>
      </c>
      <c r="L52" s="1" t="s">
        <v>2639</v>
      </c>
      <c r="M52" s="1" t="s">
        <v>230</v>
      </c>
      <c r="N52" s="1" t="s">
        <v>2329</v>
      </c>
      <c r="O52" s="86" t="s">
        <v>2330</v>
      </c>
      <c r="P52" s="1">
        <v>1</v>
      </c>
      <c r="Q52" s="1" t="s">
        <v>2436</v>
      </c>
      <c r="R52" s="1" t="s">
        <v>2640</v>
      </c>
      <c r="S52" s="1" t="s">
        <v>2566</v>
      </c>
      <c r="T52" s="1" t="s">
        <v>2641</v>
      </c>
      <c r="U52" s="1"/>
      <c r="V52" s="1"/>
      <c r="W52" s="1"/>
      <c r="X52" s="1"/>
      <c r="Y52" s="1"/>
      <c r="Z52" s="1"/>
      <c r="AA52" s="1"/>
      <c r="AB52" s="1"/>
      <c r="AC52" s="88" t="s">
        <v>250</v>
      </c>
      <c r="AD52" s="88" t="s">
        <v>247</v>
      </c>
    </row>
    <row r="53" spans="1:30" hidden="1">
      <c r="A53" s="1">
        <v>2021</v>
      </c>
      <c r="B53" s="1">
        <v>202110</v>
      </c>
      <c r="C53" s="1">
        <v>202116318</v>
      </c>
      <c r="D53" s="1" t="s">
        <v>2642</v>
      </c>
      <c r="E53" s="1" t="s">
        <v>2643</v>
      </c>
      <c r="F53" s="1" t="s">
        <v>310</v>
      </c>
      <c r="G53" s="85" t="str">
        <f>_xlfn.XLOOKUP(Tabla2[[#This Row],[Universidad]],Conversiones!$B:$B,Conversiones!$C:$C)</f>
        <v>Toulouse Business School</v>
      </c>
      <c r="H53" s="85" t="str">
        <f>_xlfn.XLOOKUP(Tabla2[[#This Row],[Universidad KPIs]],Conversiones!$C:$C,Conversiones!$E:$E)</f>
        <v>Específico</v>
      </c>
      <c r="I53" s="1" t="s">
        <v>57</v>
      </c>
      <c r="J53" s="1" t="s">
        <v>281</v>
      </c>
      <c r="K53" s="1" t="s">
        <v>2644</v>
      </c>
      <c r="L53" s="1" t="s">
        <v>2645</v>
      </c>
      <c r="M53" s="1" t="s">
        <v>230</v>
      </c>
      <c r="N53" s="1" t="s">
        <v>2329</v>
      </c>
      <c r="O53" s="86" t="s">
        <v>2330</v>
      </c>
      <c r="P53" s="1">
        <v>1</v>
      </c>
      <c r="Q53" s="1" t="s">
        <v>2631</v>
      </c>
      <c r="R53" s="1" t="s">
        <v>2358</v>
      </c>
      <c r="S53" s="1" t="s">
        <v>2338</v>
      </c>
      <c r="T53" s="1" t="s">
        <v>2438</v>
      </c>
      <c r="U53" s="1" t="s">
        <v>2487</v>
      </c>
      <c r="V53" s="1"/>
      <c r="W53" s="1"/>
      <c r="X53" s="1"/>
      <c r="Y53" s="1"/>
      <c r="Z53" s="1"/>
      <c r="AA53" s="1"/>
      <c r="AB53" s="1"/>
      <c r="AC53" s="88" t="s">
        <v>233</v>
      </c>
      <c r="AD53" s="88" t="s">
        <v>254</v>
      </c>
    </row>
    <row r="54" spans="1:30" hidden="1">
      <c r="A54" s="1">
        <v>2021</v>
      </c>
      <c r="B54" s="1">
        <v>202110</v>
      </c>
      <c r="C54" s="1">
        <v>202116323</v>
      </c>
      <c r="D54" s="1" t="s">
        <v>2646</v>
      </c>
      <c r="E54" s="1" t="s">
        <v>2647</v>
      </c>
      <c r="F54" s="1" t="s">
        <v>310</v>
      </c>
      <c r="G54" s="85" t="str">
        <f>_xlfn.XLOOKUP(Tabla2[[#This Row],[Universidad]],Conversiones!$B:$B,Conversiones!$C:$C)</f>
        <v>Toulouse Business School</v>
      </c>
      <c r="H54" s="85" t="str">
        <f>_xlfn.XLOOKUP(Tabla2[[#This Row],[Universidad KPIs]],Conversiones!$C:$C,Conversiones!$E:$E)</f>
        <v>Específico</v>
      </c>
      <c r="I54" s="1" t="s">
        <v>57</v>
      </c>
      <c r="J54" s="1" t="s">
        <v>281</v>
      </c>
      <c r="K54" s="1" t="s">
        <v>2648</v>
      </c>
      <c r="L54" s="1" t="s">
        <v>2649</v>
      </c>
      <c r="M54" s="1" t="s">
        <v>230</v>
      </c>
      <c r="N54" s="1" t="s">
        <v>2329</v>
      </c>
      <c r="O54" s="86" t="s">
        <v>2330</v>
      </c>
      <c r="P54" s="1">
        <v>1</v>
      </c>
      <c r="Q54" s="1" t="s">
        <v>2631</v>
      </c>
      <c r="R54" s="1" t="s">
        <v>2436</v>
      </c>
      <c r="S54" s="1" t="s">
        <v>2331</v>
      </c>
      <c r="T54" s="1" t="s">
        <v>2527</v>
      </c>
      <c r="U54" s="1" t="s">
        <v>2332</v>
      </c>
      <c r="V54" s="1"/>
      <c r="W54" s="1"/>
      <c r="X54" s="1"/>
      <c r="Y54" s="1"/>
      <c r="Z54" s="1"/>
      <c r="AA54" s="1"/>
      <c r="AB54" s="1"/>
      <c r="AC54" s="88" t="s">
        <v>233</v>
      </c>
      <c r="AD54" s="88" t="s">
        <v>254</v>
      </c>
    </row>
    <row r="55" spans="1:30" hidden="1">
      <c r="A55" s="1">
        <v>2021</v>
      </c>
      <c r="B55" s="1">
        <v>202110</v>
      </c>
      <c r="C55" s="1">
        <v>202116297</v>
      </c>
      <c r="D55" s="1" t="s">
        <v>395</v>
      </c>
      <c r="E55" s="1" t="s">
        <v>2650</v>
      </c>
      <c r="F55" s="1" t="s">
        <v>122</v>
      </c>
      <c r="G55" s="85" t="str">
        <f>_xlfn.XLOOKUP(Tabla2[[#This Row],[Universidad]],Conversiones!$B:$B,Conversiones!$C:$C)</f>
        <v>Universidad de San Andrés</v>
      </c>
      <c r="H55" s="85" t="str">
        <f>_xlfn.XLOOKUP(Tabla2[[#This Row],[Universidad KPIs]],Conversiones!$C:$C,Conversiones!$E:$E)</f>
        <v>Específico</v>
      </c>
      <c r="I55" s="1" t="s">
        <v>123</v>
      </c>
      <c r="J55" s="1" t="s">
        <v>296</v>
      </c>
      <c r="K55" s="1" t="s">
        <v>2651</v>
      </c>
      <c r="L55" s="1" t="s">
        <v>2652</v>
      </c>
      <c r="M55" s="1" t="s">
        <v>230</v>
      </c>
      <c r="N55" s="1" t="s">
        <v>2365</v>
      </c>
      <c r="O55" s="86" t="s">
        <v>2366</v>
      </c>
      <c r="P55" s="1">
        <v>1</v>
      </c>
      <c r="Q55" s="1" t="s">
        <v>2653</v>
      </c>
      <c r="R55" s="1" t="s">
        <v>2654</v>
      </c>
      <c r="S55" s="1" t="s">
        <v>2387</v>
      </c>
      <c r="T55" s="1" t="s">
        <v>2407</v>
      </c>
      <c r="U55" s="1"/>
      <c r="V55" s="1"/>
      <c r="W55" s="1"/>
      <c r="X55" s="1"/>
      <c r="Y55" s="1"/>
      <c r="Z55" s="1"/>
      <c r="AA55" s="1"/>
      <c r="AB55" s="1"/>
      <c r="AC55" s="88" t="s">
        <v>248</v>
      </c>
      <c r="AD55" s="88" t="s">
        <v>247</v>
      </c>
    </row>
    <row r="56" spans="1:30" hidden="1">
      <c r="A56" s="1">
        <v>2021</v>
      </c>
      <c r="B56" s="1">
        <v>202110</v>
      </c>
      <c r="C56" s="1">
        <v>202116301</v>
      </c>
      <c r="D56" s="1" t="s">
        <v>2655</v>
      </c>
      <c r="E56" s="1" t="s">
        <v>2656</v>
      </c>
      <c r="F56" s="1" t="s">
        <v>168</v>
      </c>
      <c r="G56" s="85" t="str">
        <f>_xlfn.XLOOKUP(Tabla2[[#This Row],[Universidad]],Conversiones!$B:$B,Conversiones!$C:$C)</f>
        <v>Universidad Peruana de Ciencias Aplicadas</v>
      </c>
      <c r="H56" s="85" t="str">
        <f>_xlfn.XLOOKUP(Tabla2[[#This Row],[Universidad KPIs]],Conversiones!$C:$C,Conversiones!$E:$E)</f>
        <v>General</v>
      </c>
      <c r="I56" s="1" t="s">
        <v>112</v>
      </c>
      <c r="J56" s="1" t="s">
        <v>296</v>
      </c>
      <c r="K56" s="1" t="s">
        <v>2657</v>
      </c>
      <c r="L56" s="1" t="s">
        <v>2658</v>
      </c>
      <c r="M56" s="1" t="s">
        <v>230</v>
      </c>
      <c r="N56" s="1" t="s">
        <v>2329</v>
      </c>
      <c r="O56" s="86" t="s">
        <v>2330</v>
      </c>
      <c r="P56" s="1">
        <v>1</v>
      </c>
      <c r="Q56" s="1" t="s">
        <v>2340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88" t="s">
        <v>233</v>
      </c>
      <c r="AD56" s="88" t="s">
        <v>254</v>
      </c>
    </row>
    <row r="57" spans="1:30" hidden="1">
      <c r="A57" s="1">
        <v>2021</v>
      </c>
      <c r="B57" s="1">
        <v>202110</v>
      </c>
      <c r="C57" s="1">
        <v>202116317</v>
      </c>
      <c r="D57" s="1" t="s">
        <v>2659</v>
      </c>
      <c r="E57" s="1" t="s">
        <v>2660</v>
      </c>
      <c r="F57" s="1" t="s">
        <v>320</v>
      </c>
      <c r="G57" s="85" t="str">
        <f>_xlfn.XLOOKUP(Tabla2[[#This Row],[Universidad]],Conversiones!$B:$B,Conversiones!$C:$C)</f>
        <v>ESADE</v>
      </c>
      <c r="H57" s="85" t="str">
        <f>_xlfn.XLOOKUP(Tabla2[[#This Row],[Universidad KPIs]],Conversiones!$C:$C,Conversiones!$E:$E)</f>
        <v>Específico</v>
      </c>
      <c r="I57" s="1" t="s">
        <v>69</v>
      </c>
      <c r="J57" s="1" t="s">
        <v>281</v>
      </c>
      <c r="K57" s="1" t="s">
        <v>2661</v>
      </c>
      <c r="L57" s="1" t="s">
        <v>2662</v>
      </c>
      <c r="M57" s="1" t="s">
        <v>230</v>
      </c>
      <c r="N57" s="1" t="s">
        <v>2329</v>
      </c>
      <c r="O57" s="86" t="s">
        <v>2330</v>
      </c>
      <c r="P57" s="1">
        <v>1</v>
      </c>
      <c r="Q57" s="1" t="s">
        <v>2351</v>
      </c>
      <c r="R57" s="1" t="s">
        <v>2608</v>
      </c>
      <c r="S57" s="1" t="s">
        <v>2663</v>
      </c>
      <c r="T57" s="1" t="s">
        <v>2333</v>
      </c>
      <c r="U57" s="1"/>
      <c r="V57" s="1"/>
      <c r="W57" s="1"/>
      <c r="X57" s="1"/>
      <c r="Y57" s="1"/>
      <c r="Z57" s="1"/>
      <c r="AA57" s="1"/>
      <c r="AB57" s="1"/>
      <c r="AC57" s="88" t="s">
        <v>233</v>
      </c>
      <c r="AD57" s="88" t="s">
        <v>254</v>
      </c>
    </row>
    <row r="58" spans="1:30" hidden="1">
      <c r="A58" s="1">
        <v>2021</v>
      </c>
      <c r="B58" s="1">
        <v>202120</v>
      </c>
      <c r="C58" s="1">
        <v>202124840</v>
      </c>
      <c r="D58" s="1" t="s">
        <v>2664</v>
      </c>
      <c r="E58" s="1" t="s">
        <v>2665</v>
      </c>
      <c r="F58" s="1" t="s">
        <v>381</v>
      </c>
      <c r="G58" s="85" t="str">
        <f>_xlfn.XLOOKUP(Tabla2[[#This Row],[Universidad]],Conversiones!$B:$B,Conversiones!$C:$C)</f>
        <v>Audencia. École de Management</v>
      </c>
      <c r="H58" s="85" t="str">
        <f>_xlfn.XLOOKUP(Tabla2[[#This Row],[Universidad KPIs]],Conversiones!$C:$C,Conversiones!$E:$E)</f>
        <v>Específico</v>
      </c>
      <c r="I58" s="1" t="s">
        <v>57</v>
      </c>
      <c r="J58" s="1" t="s">
        <v>281</v>
      </c>
      <c r="K58" s="1" t="s">
        <v>2666</v>
      </c>
      <c r="L58" s="1" t="s">
        <v>2667</v>
      </c>
      <c r="M58" s="1" t="s">
        <v>230</v>
      </c>
      <c r="N58" s="1" t="s">
        <v>2329</v>
      </c>
      <c r="O58" s="86" t="s">
        <v>2330</v>
      </c>
      <c r="P58" s="1">
        <v>1</v>
      </c>
      <c r="Q58" s="1" t="s">
        <v>2340</v>
      </c>
      <c r="R58" s="1" t="s">
        <v>2437</v>
      </c>
      <c r="S58" s="1" t="s">
        <v>2338</v>
      </c>
      <c r="T58" s="1" t="s">
        <v>2332</v>
      </c>
      <c r="U58" s="1" t="s">
        <v>2333</v>
      </c>
      <c r="V58" s="1"/>
      <c r="W58" s="1"/>
      <c r="X58" s="1"/>
      <c r="Y58" s="1"/>
      <c r="Z58" s="1"/>
      <c r="AA58" s="1"/>
      <c r="AB58" s="1"/>
      <c r="AC58" s="88" t="s">
        <v>238</v>
      </c>
      <c r="AD58" s="88" t="s">
        <v>247</v>
      </c>
    </row>
    <row r="59" spans="1:30" hidden="1">
      <c r="A59" s="1">
        <v>2021</v>
      </c>
      <c r="B59" s="1">
        <v>202120</v>
      </c>
      <c r="C59" s="1">
        <v>202124921</v>
      </c>
      <c r="D59" s="1" t="s">
        <v>2165</v>
      </c>
      <c r="E59" s="1" t="s">
        <v>2668</v>
      </c>
      <c r="F59" s="1" t="s">
        <v>144</v>
      </c>
      <c r="G59" s="85" t="str">
        <f>_xlfn.XLOOKUP(Tabla2[[#This Row],[Universidad]],Conversiones!$B:$B,Conversiones!$C:$C)</f>
        <v>CY Cergy Paris Université</v>
      </c>
      <c r="H59" s="85" t="str">
        <f>_xlfn.XLOOKUP(Tabla2[[#This Row],[Universidad KPIs]],Conversiones!$C:$C,Conversiones!$E:$E)</f>
        <v>General</v>
      </c>
      <c r="I59" s="1" t="s">
        <v>57</v>
      </c>
      <c r="J59" s="1" t="s">
        <v>281</v>
      </c>
      <c r="K59" s="1" t="s">
        <v>2669</v>
      </c>
      <c r="L59" s="1" t="s">
        <v>2670</v>
      </c>
      <c r="M59" s="1" t="s">
        <v>230</v>
      </c>
      <c r="N59" s="1" t="s">
        <v>2329</v>
      </c>
      <c r="O59" s="86" t="s">
        <v>2330</v>
      </c>
      <c r="P59" s="1">
        <v>1</v>
      </c>
      <c r="Q59" s="1" t="s">
        <v>2671</v>
      </c>
      <c r="R59" s="1" t="s">
        <v>2331</v>
      </c>
      <c r="S59" s="1" t="s">
        <v>2672</v>
      </c>
      <c r="T59" s="1" t="s">
        <v>2501</v>
      </c>
      <c r="U59" s="1" t="s">
        <v>2673</v>
      </c>
      <c r="V59" s="1"/>
      <c r="W59" s="1"/>
      <c r="X59" s="1"/>
      <c r="Y59" s="1"/>
      <c r="Z59" s="1"/>
      <c r="AA59" s="1"/>
      <c r="AB59" s="1"/>
      <c r="AC59" s="88" t="s">
        <v>233</v>
      </c>
      <c r="AD59" s="88" t="s">
        <v>254</v>
      </c>
    </row>
    <row r="60" spans="1:30" hidden="1">
      <c r="A60" s="1">
        <v>2021</v>
      </c>
      <c r="B60" s="1">
        <v>202120</v>
      </c>
      <c r="C60" s="1">
        <v>202124878</v>
      </c>
      <c r="D60" s="1" t="s">
        <v>2674</v>
      </c>
      <c r="E60" s="1" t="s">
        <v>2675</v>
      </c>
      <c r="F60" s="1" t="s">
        <v>329</v>
      </c>
      <c r="G60" s="85" t="str">
        <f>_xlfn.XLOOKUP(Tabla2[[#This Row],[Universidad]],Conversiones!$B:$B,Conversiones!$C:$C)</f>
        <v>ESSEC</v>
      </c>
      <c r="H60" s="85" t="str">
        <f>_xlfn.XLOOKUP(Tabla2[[#This Row],[Universidad KPIs]],Conversiones!$C:$C,Conversiones!$E:$E)</f>
        <v>Específico</v>
      </c>
      <c r="I60" s="1" t="s">
        <v>57</v>
      </c>
      <c r="J60" s="1" t="s">
        <v>281</v>
      </c>
      <c r="K60" s="1" t="s">
        <v>2676</v>
      </c>
      <c r="L60" s="1" t="s">
        <v>2677</v>
      </c>
      <c r="M60" s="1" t="s">
        <v>230</v>
      </c>
      <c r="N60" s="1" t="s">
        <v>2329</v>
      </c>
      <c r="O60" s="86" t="s">
        <v>2330</v>
      </c>
      <c r="P60" s="1">
        <v>1</v>
      </c>
      <c r="Q60" s="1" t="s">
        <v>2436</v>
      </c>
      <c r="R60" s="1" t="s">
        <v>2663</v>
      </c>
      <c r="S60" s="1" t="s">
        <v>2678</v>
      </c>
      <c r="T60" s="1" t="s">
        <v>2331</v>
      </c>
      <c r="U60" s="1"/>
      <c r="V60" s="1"/>
      <c r="W60" s="1"/>
      <c r="X60" s="1"/>
      <c r="Y60" s="1"/>
      <c r="Z60" s="1"/>
      <c r="AA60" s="1"/>
      <c r="AB60" s="1"/>
      <c r="AC60" s="88" t="s">
        <v>233</v>
      </c>
      <c r="AD60" s="88" t="s">
        <v>254</v>
      </c>
    </row>
    <row r="61" spans="1:30" hidden="1">
      <c r="A61" s="1">
        <v>2021</v>
      </c>
      <c r="B61" s="1">
        <v>202120</v>
      </c>
      <c r="C61" s="1">
        <v>202124838</v>
      </c>
      <c r="D61" s="1" t="s">
        <v>2679</v>
      </c>
      <c r="E61" s="1" t="s">
        <v>2680</v>
      </c>
      <c r="F61" s="1" t="s">
        <v>329</v>
      </c>
      <c r="G61" s="85" t="str">
        <f>_xlfn.XLOOKUP(Tabla2[[#This Row],[Universidad]],Conversiones!$B:$B,Conversiones!$C:$C)</f>
        <v>ESSEC</v>
      </c>
      <c r="H61" s="85" t="str">
        <f>_xlfn.XLOOKUP(Tabla2[[#This Row],[Universidad KPIs]],Conversiones!$C:$C,Conversiones!$E:$E)</f>
        <v>Específico</v>
      </c>
      <c r="I61" s="1" t="s">
        <v>57</v>
      </c>
      <c r="J61" s="1" t="s">
        <v>281</v>
      </c>
      <c r="K61" s="1" t="s">
        <v>2681</v>
      </c>
      <c r="L61" s="1" t="s">
        <v>2682</v>
      </c>
      <c r="M61" s="1" t="s">
        <v>230</v>
      </c>
      <c r="N61" s="1" t="s">
        <v>2365</v>
      </c>
      <c r="O61" s="86" t="s">
        <v>2366</v>
      </c>
      <c r="P61" s="1">
        <v>1</v>
      </c>
      <c r="Q61" s="1" t="s">
        <v>2683</v>
      </c>
      <c r="R61" s="1" t="s">
        <v>2684</v>
      </c>
      <c r="S61" s="1" t="s">
        <v>2685</v>
      </c>
      <c r="T61" s="1"/>
      <c r="U61" s="1"/>
      <c r="V61" s="1"/>
      <c r="W61" s="1"/>
      <c r="X61" s="1"/>
      <c r="Y61" s="1"/>
      <c r="Z61" s="1"/>
      <c r="AA61" s="1"/>
      <c r="AB61" s="1"/>
      <c r="AC61" s="88" t="s">
        <v>239</v>
      </c>
      <c r="AD61" s="88" t="s">
        <v>247</v>
      </c>
    </row>
    <row r="62" spans="1:30" hidden="1">
      <c r="A62" s="1">
        <v>2021</v>
      </c>
      <c r="B62" s="1">
        <v>202120</v>
      </c>
      <c r="C62" s="1">
        <v>202124845</v>
      </c>
      <c r="D62" s="1" t="s">
        <v>2686</v>
      </c>
      <c r="E62" s="1" t="s">
        <v>2687</v>
      </c>
      <c r="F62" s="1" t="s">
        <v>329</v>
      </c>
      <c r="G62" s="85" t="str">
        <f>_xlfn.XLOOKUP(Tabla2[[#This Row],[Universidad]],Conversiones!$B:$B,Conversiones!$C:$C)</f>
        <v>ESSEC</v>
      </c>
      <c r="H62" s="85" t="str">
        <f>_xlfn.XLOOKUP(Tabla2[[#This Row],[Universidad KPIs]],Conversiones!$C:$C,Conversiones!$E:$E)</f>
        <v>Específico</v>
      </c>
      <c r="I62" s="1" t="s">
        <v>57</v>
      </c>
      <c r="J62" s="1" t="s">
        <v>281</v>
      </c>
      <c r="K62" s="1" t="s">
        <v>2688</v>
      </c>
      <c r="L62" s="1" t="s">
        <v>2689</v>
      </c>
      <c r="M62" s="1" t="s">
        <v>230</v>
      </c>
      <c r="N62" s="1" t="s">
        <v>2365</v>
      </c>
      <c r="O62" s="86" t="s">
        <v>2366</v>
      </c>
      <c r="P62" s="1">
        <v>1</v>
      </c>
      <c r="Q62" s="1" t="s">
        <v>2690</v>
      </c>
      <c r="R62" s="1" t="s">
        <v>2685</v>
      </c>
      <c r="S62" s="1" t="s">
        <v>2691</v>
      </c>
      <c r="T62" s="1"/>
      <c r="U62" s="1"/>
      <c r="V62" s="1"/>
      <c r="W62" s="1"/>
      <c r="X62" s="1"/>
      <c r="Y62" s="1"/>
      <c r="Z62" s="1"/>
      <c r="AA62" s="1"/>
      <c r="AB62" s="1"/>
      <c r="AC62" s="88" t="s">
        <v>239</v>
      </c>
      <c r="AD62" s="88" t="s">
        <v>247</v>
      </c>
    </row>
    <row r="63" spans="1:30" hidden="1">
      <c r="A63" s="1">
        <v>2021</v>
      </c>
      <c r="B63" s="1">
        <v>202120</v>
      </c>
      <c r="C63" s="1">
        <v>202124938</v>
      </c>
      <c r="D63" s="1" t="s">
        <v>2692</v>
      </c>
      <c r="E63" s="1" t="s">
        <v>2693</v>
      </c>
      <c r="F63" s="1" t="s">
        <v>329</v>
      </c>
      <c r="G63" s="85" t="str">
        <f>_xlfn.XLOOKUP(Tabla2[[#This Row],[Universidad]],Conversiones!$B:$B,Conversiones!$C:$C)</f>
        <v>ESSEC</v>
      </c>
      <c r="H63" s="85" t="str">
        <f>_xlfn.XLOOKUP(Tabla2[[#This Row],[Universidad KPIs]],Conversiones!$C:$C,Conversiones!$E:$E)</f>
        <v>Específico</v>
      </c>
      <c r="I63" s="1" t="s">
        <v>57</v>
      </c>
      <c r="J63" s="1" t="s">
        <v>281</v>
      </c>
      <c r="K63" s="1" t="s">
        <v>2694</v>
      </c>
      <c r="L63" s="1" t="s">
        <v>2695</v>
      </c>
      <c r="M63" s="1" t="s">
        <v>230</v>
      </c>
      <c r="N63" s="1" t="s">
        <v>2329</v>
      </c>
      <c r="O63" s="86" t="s">
        <v>2330</v>
      </c>
      <c r="P63" s="1">
        <v>1</v>
      </c>
      <c r="Q63" s="1" t="s">
        <v>2631</v>
      </c>
      <c r="R63" s="1" t="s">
        <v>2632</v>
      </c>
      <c r="S63" s="1" t="s">
        <v>2353</v>
      </c>
      <c r="T63" s="1" t="s">
        <v>2332</v>
      </c>
      <c r="U63" s="1"/>
      <c r="V63" s="1"/>
      <c r="W63" s="1"/>
      <c r="X63" s="1"/>
      <c r="Y63" s="1"/>
      <c r="Z63" s="1"/>
      <c r="AA63" s="1"/>
      <c r="AB63" s="1"/>
      <c r="AC63" s="88" t="s">
        <v>233</v>
      </c>
      <c r="AD63" s="88" t="s">
        <v>254</v>
      </c>
    </row>
    <row r="64" spans="1:30" hidden="1">
      <c r="A64" s="1">
        <v>2021</v>
      </c>
      <c r="B64" s="1">
        <v>202120</v>
      </c>
      <c r="C64" s="1">
        <v>202124854</v>
      </c>
      <c r="D64" s="1" t="s">
        <v>2696</v>
      </c>
      <c r="E64" s="1" t="s">
        <v>2697</v>
      </c>
      <c r="F64" s="1" t="s">
        <v>329</v>
      </c>
      <c r="G64" s="85" t="str">
        <f>_xlfn.XLOOKUP(Tabla2[[#This Row],[Universidad]],Conversiones!$B:$B,Conversiones!$C:$C)</f>
        <v>ESSEC</v>
      </c>
      <c r="H64" s="85" t="str">
        <f>_xlfn.XLOOKUP(Tabla2[[#This Row],[Universidad KPIs]],Conversiones!$C:$C,Conversiones!$E:$E)</f>
        <v>Específico</v>
      </c>
      <c r="I64" s="1" t="s">
        <v>57</v>
      </c>
      <c r="J64" s="1" t="s">
        <v>281</v>
      </c>
      <c r="K64" s="1" t="s">
        <v>2698</v>
      </c>
      <c r="L64" s="1" t="s">
        <v>2699</v>
      </c>
      <c r="M64" s="1" t="s">
        <v>230</v>
      </c>
      <c r="N64" s="1" t="s">
        <v>2365</v>
      </c>
      <c r="O64" s="86" t="s">
        <v>2366</v>
      </c>
      <c r="P64" s="1">
        <v>1</v>
      </c>
      <c r="Q64" s="1" t="s">
        <v>2700</v>
      </c>
      <c r="R64" s="1" t="s">
        <v>2701</v>
      </c>
      <c r="S64" s="1" t="s">
        <v>2702</v>
      </c>
      <c r="T64" s="1" t="s">
        <v>2703</v>
      </c>
      <c r="U64" s="1" t="s">
        <v>2626</v>
      </c>
      <c r="V64" s="1"/>
      <c r="W64" s="1"/>
      <c r="X64" s="1"/>
      <c r="Y64" s="1"/>
      <c r="Z64" s="1"/>
      <c r="AA64" s="1"/>
      <c r="AB64" s="1"/>
      <c r="AC64" s="88" t="s">
        <v>248</v>
      </c>
      <c r="AD64" s="88" t="s">
        <v>247</v>
      </c>
    </row>
    <row r="65" spans="1:30" hidden="1">
      <c r="A65" s="1">
        <v>2021</v>
      </c>
      <c r="B65" s="1">
        <v>202120</v>
      </c>
      <c r="C65" s="1">
        <v>202124837</v>
      </c>
      <c r="D65" s="1" t="s">
        <v>2704</v>
      </c>
      <c r="E65" s="1" t="s">
        <v>2705</v>
      </c>
      <c r="F65" s="1" t="s">
        <v>650</v>
      </c>
      <c r="G65" s="85" t="str">
        <f>_xlfn.XLOOKUP(Tabla2[[#This Row],[Universidad]],Conversiones!$B:$B,Conversiones!$C:$C)</f>
        <v>Grenoble. École de Management</v>
      </c>
      <c r="H65" s="85" t="str">
        <f>_xlfn.XLOOKUP(Tabla2[[#This Row],[Universidad KPIs]],Conversiones!$C:$C,Conversiones!$E:$E)</f>
        <v>Específico</v>
      </c>
      <c r="I65" s="1" t="s">
        <v>57</v>
      </c>
      <c r="J65" s="1" t="s">
        <v>281</v>
      </c>
      <c r="K65" s="1" t="s">
        <v>2706</v>
      </c>
      <c r="L65" s="1" t="s">
        <v>2707</v>
      </c>
      <c r="M65" s="1" t="s">
        <v>230</v>
      </c>
      <c r="N65" s="1" t="s">
        <v>2329</v>
      </c>
      <c r="O65" s="86" t="s">
        <v>2330</v>
      </c>
      <c r="P65" s="1">
        <v>1</v>
      </c>
      <c r="Q65" s="1" t="s">
        <v>2436</v>
      </c>
      <c r="R65" s="1" t="s">
        <v>2678</v>
      </c>
      <c r="S65" s="1" t="s">
        <v>2608</v>
      </c>
      <c r="T65" s="1" t="s">
        <v>2331</v>
      </c>
      <c r="U65" s="1"/>
      <c r="V65" s="1"/>
      <c r="W65" s="1"/>
      <c r="X65" s="1"/>
      <c r="Y65" s="1"/>
      <c r="Z65" s="1"/>
      <c r="AA65" s="1"/>
      <c r="AB65" s="1"/>
      <c r="AC65" s="88" t="s">
        <v>250</v>
      </c>
      <c r="AD65" s="88" t="s">
        <v>247</v>
      </c>
    </row>
    <row r="66" spans="1:30" hidden="1">
      <c r="A66" s="1">
        <v>2021</v>
      </c>
      <c r="B66" s="1">
        <v>202120</v>
      </c>
      <c r="C66" s="1">
        <v>202124912</v>
      </c>
      <c r="D66" s="1" t="s">
        <v>2708</v>
      </c>
      <c r="E66" s="1" t="s">
        <v>2709</v>
      </c>
      <c r="F66" s="1" t="s">
        <v>441</v>
      </c>
      <c r="G66" s="85" t="str">
        <f>_xlfn.XLOOKUP(Tabla2[[#This Row],[Universidad]],Conversiones!$B:$B,Conversiones!$C:$C)</f>
        <v xml:space="preserve">CBS- Copenhagen Business School  </v>
      </c>
      <c r="H66" s="85" t="str">
        <f>_xlfn.XLOOKUP(Tabla2[[#This Row],[Universidad KPIs]],Conversiones!$C:$C,Conversiones!$E:$E)</f>
        <v>Específico</v>
      </c>
      <c r="I66" s="1" t="s">
        <v>63</v>
      </c>
      <c r="J66" s="1" t="s">
        <v>281</v>
      </c>
      <c r="K66" s="1" t="s">
        <v>2710</v>
      </c>
      <c r="L66" s="1" t="s">
        <v>2711</v>
      </c>
      <c r="M66" s="1" t="s">
        <v>230</v>
      </c>
      <c r="N66" s="1" t="s">
        <v>2329</v>
      </c>
      <c r="O66" s="86" t="s">
        <v>2330</v>
      </c>
      <c r="P66" s="1">
        <v>1</v>
      </c>
      <c r="Q66" s="1" t="s">
        <v>2506</v>
      </c>
      <c r="R66" s="1" t="s">
        <v>2438</v>
      </c>
      <c r="S66" s="1" t="s">
        <v>2332</v>
      </c>
      <c r="T66" s="1" t="s">
        <v>2712</v>
      </c>
      <c r="U66" s="1" t="s">
        <v>2333</v>
      </c>
      <c r="V66" s="1"/>
      <c r="W66" s="1"/>
      <c r="X66" s="1"/>
      <c r="Y66" s="1"/>
      <c r="Z66" s="1"/>
      <c r="AA66" s="1"/>
      <c r="AB66" s="1"/>
      <c r="AC66" s="88" t="s">
        <v>233</v>
      </c>
      <c r="AD66" s="88" t="s">
        <v>254</v>
      </c>
    </row>
    <row r="67" spans="1:30" hidden="1">
      <c r="A67" s="1">
        <v>2021</v>
      </c>
      <c r="B67" s="1">
        <v>202120</v>
      </c>
      <c r="C67" s="1">
        <v>202124918</v>
      </c>
      <c r="D67" s="1" t="s">
        <v>2713</v>
      </c>
      <c r="E67" s="1" t="s">
        <v>2714</v>
      </c>
      <c r="F67" s="1" t="s">
        <v>639</v>
      </c>
      <c r="G67" s="85" t="str">
        <f>_xlfn.XLOOKUP(Tabla2[[#This Row],[Universidad]],Conversiones!$B:$B,Conversiones!$C:$C)</f>
        <v>IE Instituto Empresa</v>
      </c>
      <c r="H67" s="85" t="str">
        <f>_xlfn.XLOOKUP(Tabla2[[#This Row],[Universidad KPIs]],Conversiones!$C:$C,Conversiones!$E:$E)</f>
        <v>Específico</v>
      </c>
      <c r="I67" s="1" t="s">
        <v>69</v>
      </c>
      <c r="J67" s="1" t="s">
        <v>281</v>
      </c>
      <c r="K67" s="1" t="s">
        <v>2715</v>
      </c>
      <c r="L67" s="1" t="s">
        <v>2716</v>
      </c>
      <c r="M67" s="1" t="s">
        <v>230</v>
      </c>
      <c r="N67" s="1" t="s">
        <v>2329</v>
      </c>
      <c r="O67" s="86" t="s">
        <v>2330</v>
      </c>
      <c r="P67" s="1">
        <v>1</v>
      </c>
      <c r="Q67" s="1" t="s">
        <v>2358</v>
      </c>
      <c r="R67" s="1" t="s">
        <v>2632</v>
      </c>
      <c r="S67" s="1" t="s">
        <v>2353</v>
      </c>
      <c r="T67" s="1" t="s">
        <v>2332</v>
      </c>
      <c r="U67" s="1"/>
      <c r="V67" s="1"/>
      <c r="W67" s="1"/>
      <c r="X67" s="1"/>
      <c r="Y67" s="1"/>
      <c r="Z67" s="1"/>
      <c r="AA67" s="1"/>
      <c r="AB67" s="1"/>
      <c r="AC67" s="88" t="s">
        <v>233</v>
      </c>
      <c r="AD67" s="88" t="s">
        <v>254</v>
      </c>
    </row>
    <row r="68" spans="1:30" hidden="1">
      <c r="A68" s="1">
        <v>2021</v>
      </c>
      <c r="B68" s="1">
        <v>202120</v>
      </c>
      <c r="C68" s="1">
        <v>202124885</v>
      </c>
      <c r="D68" s="1" t="s">
        <v>2717</v>
      </c>
      <c r="E68" s="1" t="s">
        <v>2718</v>
      </c>
      <c r="F68" s="1" t="s">
        <v>94</v>
      </c>
      <c r="G68" s="85" t="str">
        <f>_xlfn.XLOOKUP(Tabla2[[#This Row],[Universidad]],Conversiones!$B:$B,Conversiones!$C:$C)</f>
        <v>Maastricht University</v>
      </c>
      <c r="H68" s="85" t="str">
        <f>_xlfn.XLOOKUP(Tabla2[[#This Row],[Universidad KPIs]],Conversiones!$C:$C,Conversiones!$E:$E)</f>
        <v>Específico</v>
      </c>
      <c r="I68" s="1" t="s">
        <v>95</v>
      </c>
      <c r="J68" s="1" t="s">
        <v>281</v>
      </c>
      <c r="K68" s="1" t="s">
        <v>2719</v>
      </c>
      <c r="L68" s="1" t="s">
        <v>2720</v>
      </c>
      <c r="M68" s="1" t="s">
        <v>230</v>
      </c>
      <c r="N68" s="1" t="s">
        <v>2329</v>
      </c>
      <c r="O68" s="86" t="s">
        <v>2330</v>
      </c>
      <c r="P68" s="1">
        <v>1</v>
      </c>
      <c r="Q68" s="1" t="s">
        <v>2443</v>
      </c>
      <c r="R68" s="1" t="s">
        <v>2632</v>
      </c>
      <c r="S68" s="1" t="s">
        <v>2721</v>
      </c>
      <c r="T68" s="1" t="s">
        <v>2472</v>
      </c>
      <c r="U68" s="1" t="s">
        <v>2331</v>
      </c>
      <c r="V68" s="1" t="s">
        <v>2419</v>
      </c>
      <c r="W68" s="1"/>
      <c r="X68" s="1"/>
      <c r="Y68" s="1"/>
      <c r="Z68" s="1"/>
      <c r="AA68" s="1"/>
      <c r="AB68" s="1"/>
      <c r="AC68" s="88" t="s">
        <v>233</v>
      </c>
      <c r="AD68" s="88" t="s">
        <v>254</v>
      </c>
    </row>
    <row r="69" spans="1:30" hidden="1">
      <c r="A69" s="1">
        <v>2021</v>
      </c>
      <c r="B69" s="1">
        <v>202120</v>
      </c>
      <c r="C69" s="1">
        <v>202124828</v>
      </c>
      <c r="D69" s="1" t="s">
        <v>2722</v>
      </c>
      <c r="E69" s="1" t="s">
        <v>2723</v>
      </c>
      <c r="F69" s="1" t="s">
        <v>286</v>
      </c>
      <c r="G69" s="85" t="str">
        <f>_xlfn.XLOOKUP(Tabla2[[#This Row],[Universidad]],Conversiones!$B:$B,Conversiones!$C:$C)</f>
        <v>ESC Rouen (NEOMA)</v>
      </c>
      <c r="H69" s="85" t="str">
        <f>_xlfn.XLOOKUP(Tabla2[[#This Row],[Universidad KPIs]],Conversiones!$C:$C,Conversiones!$E:$E)</f>
        <v>Específico</v>
      </c>
      <c r="I69" s="1" t="s">
        <v>57</v>
      </c>
      <c r="J69" s="1" t="s">
        <v>281</v>
      </c>
      <c r="K69" s="1" t="s">
        <v>2724</v>
      </c>
      <c r="L69" s="1" t="s">
        <v>2725</v>
      </c>
      <c r="M69" s="1" t="s">
        <v>230</v>
      </c>
      <c r="N69" s="1" t="s">
        <v>2365</v>
      </c>
      <c r="O69" s="86" t="s">
        <v>2366</v>
      </c>
      <c r="P69" s="1">
        <v>1</v>
      </c>
      <c r="Q69" s="1" t="s">
        <v>2516</v>
      </c>
      <c r="R69" s="1" t="s">
        <v>2726</v>
      </c>
      <c r="S69" s="1" t="s">
        <v>2703</v>
      </c>
      <c r="T69" s="1" t="s">
        <v>2727</v>
      </c>
      <c r="U69" s="1" t="s">
        <v>2728</v>
      </c>
      <c r="V69" s="1"/>
      <c r="W69" s="1"/>
      <c r="X69" s="1"/>
      <c r="Y69" s="1"/>
      <c r="Z69" s="1"/>
      <c r="AA69" s="1"/>
      <c r="AB69" s="1"/>
      <c r="AC69" s="88" t="s">
        <v>238</v>
      </c>
      <c r="AD69" s="88" t="s">
        <v>247</v>
      </c>
    </row>
    <row r="70" spans="1:30" hidden="1">
      <c r="A70" s="1">
        <v>2021</v>
      </c>
      <c r="B70" s="1">
        <v>202120</v>
      </c>
      <c r="C70" s="1">
        <v>202124841</v>
      </c>
      <c r="D70" s="1" t="s">
        <v>2729</v>
      </c>
      <c r="E70" s="1" t="s">
        <v>2730</v>
      </c>
      <c r="F70" s="1" t="s">
        <v>286</v>
      </c>
      <c r="G70" s="85" t="str">
        <f>_xlfn.XLOOKUP(Tabla2[[#This Row],[Universidad]],Conversiones!$B:$B,Conversiones!$C:$C)</f>
        <v>ESC Rouen (NEOMA)</v>
      </c>
      <c r="H70" s="85" t="str">
        <f>_xlfn.XLOOKUP(Tabla2[[#This Row],[Universidad KPIs]],Conversiones!$C:$C,Conversiones!$E:$E)</f>
        <v>Específico</v>
      </c>
      <c r="I70" s="1" t="s">
        <v>57</v>
      </c>
      <c r="J70" s="1" t="s">
        <v>281</v>
      </c>
      <c r="K70" s="1" t="s">
        <v>2731</v>
      </c>
      <c r="L70" s="1" t="s">
        <v>2732</v>
      </c>
      <c r="M70" s="1" t="s">
        <v>230</v>
      </c>
      <c r="N70" s="1" t="s">
        <v>2329</v>
      </c>
      <c r="O70" s="86" t="s">
        <v>2330</v>
      </c>
      <c r="P70" s="1">
        <v>1</v>
      </c>
      <c r="Q70" s="1" t="s">
        <v>2506</v>
      </c>
      <c r="R70" s="1" t="s">
        <v>2340</v>
      </c>
      <c r="S70" s="1" t="s">
        <v>2338</v>
      </c>
      <c r="T70" s="1" t="s">
        <v>2733</v>
      </c>
      <c r="U70" s="1"/>
      <c r="V70" s="1"/>
      <c r="W70" s="1"/>
      <c r="X70" s="1"/>
      <c r="Y70" s="1"/>
      <c r="Z70" s="1"/>
      <c r="AA70" s="1"/>
      <c r="AB70" s="1"/>
      <c r="AC70" s="88" t="s">
        <v>248</v>
      </c>
      <c r="AD70" s="88" t="s">
        <v>247</v>
      </c>
    </row>
    <row r="71" spans="1:30" hidden="1">
      <c r="A71" s="1">
        <v>2021</v>
      </c>
      <c r="B71" s="1">
        <v>202120</v>
      </c>
      <c r="C71" s="1">
        <v>202124847</v>
      </c>
      <c r="D71" s="1" t="s">
        <v>2734</v>
      </c>
      <c r="E71" s="1" t="s">
        <v>2735</v>
      </c>
      <c r="F71" s="1" t="s">
        <v>286</v>
      </c>
      <c r="G71" s="85" t="str">
        <f>_xlfn.XLOOKUP(Tabla2[[#This Row],[Universidad]],Conversiones!$B:$B,Conversiones!$C:$C)</f>
        <v>ESC Rouen (NEOMA)</v>
      </c>
      <c r="H71" s="85" t="str">
        <f>_xlfn.XLOOKUP(Tabla2[[#This Row],[Universidad KPIs]],Conversiones!$C:$C,Conversiones!$E:$E)</f>
        <v>Específico</v>
      </c>
      <c r="I71" s="1" t="s">
        <v>57</v>
      </c>
      <c r="J71" s="1" t="s">
        <v>281</v>
      </c>
      <c r="K71" s="1" t="s">
        <v>2736</v>
      </c>
      <c r="L71" s="1" t="s">
        <v>2737</v>
      </c>
      <c r="M71" s="1" t="s">
        <v>230</v>
      </c>
      <c r="N71" s="1" t="s">
        <v>2365</v>
      </c>
      <c r="O71" s="86" t="s">
        <v>2366</v>
      </c>
      <c r="P71" s="1">
        <v>1</v>
      </c>
      <c r="Q71" s="1" t="s">
        <v>2738</v>
      </c>
      <c r="R71" s="1" t="s">
        <v>2739</v>
      </c>
      <c r="S71" s="1" t="s">
        <v>2740</v>
      </c>
      <c r="T71" s="1" t="s">
        <v>2741</v>
      </c>
      <c r="U71" s="1"/>
      <c r="V71" s="1"/>
      <c r="W71" s="1"/>
      <c r="X71" s="1"/>
      <c r="Y71" s="1"/>
      <c r="Z71" s="1"/>
      <c r="AA71" s="1"/>
      <c r="AB71" s="1"/>
      <c r="AC71" s="88" t="s">
        <v>239</v>
      </c>
      <c r="AD71" s="88" t="s">
        <v>247</v>
      </c>
    </row>
    <row r="72" spans="1:30" hidden="1">
      <c r="A72" s="1">
        <v>2021</v>
      </c>
      <c r="B72" s="1">
        <v>202120</v>
      </c>
      <c r="C72" s="1">
        <v>202124831</v>
      </c>
      <c r="D72" s="1" t="s">
        <v>2742</v>
      </c>
      <c r="E72" s="1" t="s">
        <v>2743</v>
      </c>
      <c r="F72" s="1" t="s">
        <v>102</v>
      </c>
      <c r="G72" s="85" t="str">
        <f>_xlfn.XLOOKUP(Tabla2[[#This Row],[Universidad]],Conversiones!$B:$B,Conversiones!$C:$C)</f>
        <v>Politecnico di Milano</v>
      </c>
      <c r="H72" s="85" t="str">
        <f>_xlfn.XLOOKUP(Tabla2[[#This Row],[Universidad KPIs]],Conversiones!$C:$C,Conversiones!$E:$E)</f>
        <v>Específico</v>
      </c>
      <c r="I72" s="1" t="s">
        <v>103</v>
      </c>
      <c r="J72" s="1" t="s">
        <v>281</v>
      </c>
      <c r="K72" s="1" t="s">
        <v>2744</v>
      </c>
      <c r="L72" s="1" t="s">
        <v>2745</v>
      </c>
      <c r="M72" s="1" t="s">
        <v>230</v>
      </c>
      <c r="N72" s="1" t="s">
        <v>2365</v>
      </c>
      <c r="O72" s="86" t="s">
        <v>2366</v>
      </c>
      <c r="P72" s="1">
        <v>1</v>
      </c>
      <c r="Q72" s="1" t="s">
        <v>2746</v>
      </c>
      <c r="R72" s="1" t="s">
        <v>2338</v>
      </c>
      <c r="S72" s="1" t="s">
        <v>2747</v>
      </c>
      <c r="T72" s="1" t="s">
        <v>2748</v>
      </c>
      <c r="U72" s="1" t="s">
        <v>2626</v>
      </c>
      <c r="V72" s="1"/>
      <c r="W72" s="1"/>
      <c r="X72" s="1"/>
      <c r="Y72" s="1"/>
      <c r="Z72" s="1"/>
      <c r="AA72" s="1"/>
      <c r="AB72" s="1"/>
      <c r="AC72" s="88" t="s">
        <v>238</v>
      </c>
      <c r="AD72" s="88" t="s">
        <v>247</v>
      </c>
    </row>
    <row r="73" spans="1:30" hidden="1">
      <c r="A73" s="1">
        <v>2021</v>
      </c>
      <c r="B73" s="1">
        <v>202120</v>
      </c>
      <c r="C73" s="1">
        <v>202124892</v>
      </c>
      <c r="D73" s="1" t="s">
        <v>2749</v>
      </c>
      <c r="E73" s="1" t="s">
        <v>2750</v>
      </c>
      <c r="F73" s="1" t="s">
        <v>102</v>
      </c>
      <c r="G73" s="85" t="str">
        <f>_xlfn.XLOOKUP(Tabla2[[#This Row],[Universidad]],Conversiones!$B:$B,Conversiones!$C:$C)</f>
        <v>Politecnico di Milano</v>
      </c>
      <c r="H73" s="85" t="str">
        <f>_xlfn.XLOOKUP(Tabla2[[#This Row],[Universidad KPIs]],Conversiones!$C:$C,Conversiones!$E:$E)</f>
        <v>Específico</v>
      </c>
      <c r="I73" s="1" t="s">
        <v>103</v>
      </c>
      <c r="J73" s="1" t="s">
        <v>281</v>
      </c>
      <c r="K73" s="1" t="s">
        <v>2751</v>
      </c>
      <c r="L73" s="1" t="s">
        <v>2752</v>
      </c>
      <c r="M73" s="1" t="s">
        <v>230</v>
      </c>
      <c r="N73" s="1" t="s">
        <v>2329</v>
      </c>
      <c r="O73" s="86" t="s">
        <v>2330</v>
      </c>
      <c r="P73" s="1">
        <v>1</v>
      </c>
      <c r="Q73" s="1" t="s">
        <v>2753</v>
      </c>
      <c r="R73" s="1" t="s">
        <v>2754</v>
      </c>
      <c r="S73" s="1" t="s">
        <v>2338</v>
      </c>
      <c r="T73" s="1" t="s">
        <v>2438</v>
      </c>
      <c r="U73" s="1" t="s">
        <v>2755</v>
      </c>
      <c r="V73" s="1" t="s">
        <v>2756</v>
      </c>
      <c r="W73" s="1"/>
      <c r="X73" s="1"/>
      <c r="Y73" s="1"/>
      <c r="Z73" s="1"/>
      <c r="AA73" s="1"/>
      <c r="AB73" s="1"/>
      <c r="AC73" s="88" t="s">
        <v>233</v>
      </c>
      <c r="AD73" s="88" t="s">
        <v>254</v>
      </c>
    </row>
    <row r="74" spans="1:30" hidden="1">
      <c r="A74" s="1">
        <v>2021</v>
      </c>
      <c r="B74" s="1">
        <v>202120</v>
      </c>
      <c r="C74" s="1">
        <v>202124833</v>
      </c>
      <c r="D74" s="1" t="s">
        <v>2757</v>
      </c>
      <c r="E74" s="1" t="s">
        <v>2758</v>
      </c>
      <c r="F74" s="1" t="s">
        <v>102</v>
      </c>
      <c r="G74" s="85" t="str">
        <f>_xlfn.XLOOKUP(Tabla2[[#This Row],[Universidad]],Conversiones!$B:$B,Conversiones!$C:$C)</f>
        <v>Politecnico di Milano</v>
      </c>
      <c r="H74" s="85" t="str">
        <f>_xlfn.XLOOKUP(Tabla2[[#This Row],[Universidad KPIs]],Conversiones!$C:$C,Conversiones!$E:$E)</f>
        <v>Específico</v>
      </c>
      <c r="I74" s="1" t="s">
        <v>103</v>
      </c>
      <c r="J74" s="1" t="s">
        <v>281</v>
      </c>
      <c r="K74" s="1" t="s">
        <v>2759</v>
      </c>
      <c r="L74" s="1" t="s">
        <v>2760</v>
      </c>
      <c r="M74" s="1" t="s">
        <v>230</v>
      </c>
      <c r="N74" s="1" t="s">
        <v>2365</v>
      </c>
      <c r="O74" s="86" t="s">
        <v>2366</v>
      </c>
      <c r="P74" s="1">
        <v>1</v>
      </c>
      <c r="Q74" s="1" t="s">
        <v>2761</v>
      </c>
      <c r="R74" s="1" t="s">
        <v>2762</v>
      </c>
      <c r="S74" s="1" t="s">
        <v>2763</v>
      </c>
      <c r="T74" s="1" t="s">
        <v>2764</v>
      </c>
      <c r="U74" s="1"/>
      <c r="V74" s="1"/>
      <c r="W74" s="1"/>
      <c r="X74" s="1"/>
      <c r="Y74" s="1"/>
      <c r="Z74" s="1"/>
      <c r="AA74" s="1"/>
      <c r="AB74" s="1"/>
      <c r="AC74" s="88" t="s">
        <v>238</v>
      </c>
      <c r="AD74" s="88" t="s">
        <v>247</v>
      </c>
    </row>
    <row r="75" spans="1:30" hidden="1">
      <c r="A75" s="1">
        <v>2021</v>
      </c>
      <c r="B75" s="1">
        <v>202120</v>
      </c>
      <c r="C75" s="1">
        <v>202124891</v>
      </c>
      <c r="D75" s="1" t="s">
        <v>2165</v>
      </c>
      <c r="E75" s="1" t="s">
        <v>2765</v>
      </c>
      <c r="F75" s="1" t="s">
        <v>338</v>
      </c>
      <c r="G75" s="85" t="str">
        <f>_xlfn.XLOOKUP(Tabla2[[#This Row],[Universidad]],Conversiones!$B:$B,Conversiones!$C:$C)</f>
        <v>University of Mannheim Business School</v>
      </c>
      <c r="H75" s="85" t="str">
        <f>_xlfn.XLOOKUP(Tabla2[[#This Row],[Universidad KPIs]],Conversiones!$C:$C,Conversiones!$E:$E)</f>
        <v>Específico</v>
      </c>
      <c r="I75" s="1" t="s">
        <v>76</v>
      </c>
      <c r="J75" s="1" t="s">
        <v>281</v>
      </c>
      <c r="K75" s="1" t="s">
        <v>2766</v>
      </c>
      <c r="L75" s="1" t="s">
        <v>2767</v>
      </c>
      <c r="M75" s="1" t="s">
        <v>230</v>
      </c>
      <c r="N75" s="1" t="s">
        <v>2329</v>
      </c>
      <c r="O75" s="86" t="s">
        <v>2330</v>
      </c>
      <c r="P75" s="1">
        <v>1</v>
      </c>
      <c r="Q75" s="1" t="s">
        <v>2632</v>
      </c>
      <c r="R75" s="1" t="s">
        <v>2436</v>
      </c>
      <c r="S75" s="1" t="s">
        <v>2340</v>
      </c>
      <c r="T75" s="1" t="s">
        <v>2338</v>
      </c>
      <c r="U75" s="1" t="s">
        <v>2360</v>
      </c>
      <c r="V75" s="1"/>
      <c r="W75" s="1"/>
      <c r="X75" s="1"/>
      <c r="Y75" s="1"/>
      <c r="Z75" s="1"/>
      <c r="AA75" s="1"/>
      <c r="AB75" s="1"/>
      <c r="AC75" s="88" t="s">
        <v>233</v>
      </c>
      <c r="AD75" s="88" t="s">
        <v>254</v>
      </c>
    </row>
    <row r="76" spans="1:30" hidden="1">
      <c r="A76" s="1">
        <v>2021</v>
      </c>
      <c r="B76" s="1">
        <v>202120</v>
      </c>
      <c r="C76" s="1">
        <v>202124896</v>
      </c>
      <c r="D76" s="1" t="s">
        <v>465</v>
      </c>
      <c r="E76" s="1" t="s">
        <v>2768</v>
      </c>
      <c r="F76" s="1" t="s">
        <v>338</v>
      </c>
      <c r="G76" s="85" t="str">
        <f>_xlfn.XLOOKUP(Tabla2[[#This Row],[Universidad]],Conversiones!$B:$B,Conversiones!$C:$C)</f>
        <v>University of Mannheim Business School</v>
      </c>
      <c r="H76" s="85" t="str">
        <f>_xlfn.XLOOKUP(Tabla2[[#This Row],[Universidad KPIs]],Conversiones!$C:$C,Conversiones!$E:$E)</f>
        <v>Específico</v>
      </c>
      <c r="I76" s="1" t="s">
        <v>76</v>
      </c>
      <c r="J76" s="1" t="s">
        <v>281</v>
      </c>
      <c r="K76" s="1" t="s">
        <v>2769</v>
      </c>
      <c r="L76" s="1" t="s">
        <v>2770</v>
      </c>
      <c r="M76" s="1" t="s">
        <v>230</v>
      </c>
      <c r="N76" s="1" t="s">
        <v>2329</v>
      </c>
      <c r="O76" s="86" t="s">
        <v>2330</v>
      </c>
      <c r="P76" s="1">
        <v>1</v>
      </c>
      <c r="Q76" s="1" t="s">
        <v>2671</v>
      </c>
      <c r="R76" s="1" t="s">
        <v>2632</v>
      </c>
      <c r="S76" s="1" t="s">
        <v>2438</v>
      </c>
      <c r="T76" s="1" t="s">
        <v>2771</v>
      </c>
      <c r="U76" s="1" t="s">
        <v>2360</v>
      </c>
      <c r="V76" s="1"/>
      <c r="W76" s="1"/>
      <c r="X76" s="1"/>
      <c r="Y76" s="1"/>
      <c r="Z76" s="1"/>
      <c r="AA76" s="1"/>
      <c r="AB76" s="1"/>
      <c r="AC76" s="88" t="s">
        <v>233</v>
      </c>
      <c r="AD76" s="88" t="s">
        <v>254</v>
      </c>
    </row>
    <row r="77" spans="1:30" hidden="1">
      <c r="A77" s="1">
        <v>2021</v>
      </c>
      <c r="B77" s="1">
        <v>202120</v>
      </c>
      <c r="C77" s="1">
        <v>202124940</v>
      </c>
      <c r="D77" s="1" t="s">
        <v>2772</v>
      </c>
      <c r="E77" s="1" t="s">
        <v>2773</v>
      </c>
      <c r="F77" s="1" t="s">
        <v>338</v>
      </c>
      <c r="G77" s="85" t="str">
        <f>_xlfn.XLOOKUP(Tabla2[[#This Row],[Universidad]],Conversiones!$B:$B,Conversiones!$C:$C)</f>
        <v>University of Mannheim Business School</v>
      </c>
      <c r="H77" s="85" t="str">
        <f>_xlfn.XLOOKUP(Tabla2[[#This Row],[Universidad KPIs]],Conversiones!$C:$C,Conversiones!$E:$E)</f>
        <v>Específico</v>
      </c>
      <c r="I77" s="1" t="s">
        <v>76</v>
      </c>
      <c r="J77" s="1" t="s">
        <v>281</v>
      </c>
      <c r="K77" s="1" t="s">
        <v>2774</v>
      </c>
      <c r="L77" s="1" t="s">
        <v>2775</v>
      </c>
      <c r="M77" s="1" t="s">
        <v>230</v>
      </c>
      <c r="N77" s="1" t="s">
        <v>2329</v>
      </c>
      <c r="O77" s="86" t="s">
        <v>2330</v>
      </c>
      <c r="P77" s="1">
        <v>1</v>
      </c>
      <c r="Q77" s="1" t="s">
        <v>2340</v>
      </c>
      <c r="R77" s="1" t="s">
        <v>2776</v>
      </c>
      <c r="S77" s="1" t="s">
        <v>2338</v>
      </c>
      <c r="T77" s="1" t="s">
        <v>2360</v>
      </c>
      <c r="U77" s="1" t="s">
        <v>2777</v>
      </c>
      <c r="V77" s="1"/>
      <c r="W77" s="1"/>
      <c r="X77" s="1"/>
      <c r="Y77" s="1"/>
      <c r="Z77" s="1"/>
      <c r="AA77" s="1"/>
      <c r="AB77" s="1"/>
      <c r="AC77" s="88" t="s">
        <v>233</v>
      </c>
      <c r="AD77" s="88" t="s">
        <v>254</v>
      </c>
    </row>
    <row r="78" spans="1:30" hidden="1">
      <c r="A78" s="1">
        <v>2021</v>
      </c>
      <c r="B78" s="1">
        <v>202120</v>
      </c>
      <c r="C78" s="1">
        <v>202124853</v>
      </c>
      <c r="D78" s="1" t="s">
        <v>2778</v>
      </c>
      <c r="E78" s="1" t="s">
        <v>2779</v>
      </c>
      <c r="F78" s="1" t="s">
        <v>338</v>
      </c>
      <c r="G78" s="85" t="str">
        <f>_xlfn.XLOOKUP(Tabla2[[#This Row],[Universidad]],Conversiones!$B:$B,Conversiones!$C:$C)</f>
        <v>University of Mannheim Business School</v>
      </c>
      <c r="H78" s="85" t="str">
        <f>_xlfn.XLOOKUP(Tabla2[[#This Row],[Universidad KPIs]],Conversiones!$C:$C,Conversiones!$E:$E)</f>
        <v>Específico</v>
      </c>
      <c r="I78" s="1" t="s">
        <v>76</v>
      </c>
      <c r="J78" s="1" t="s">
        <v>281</v>
      </c>
      <c r="K78" s="1" t="s">
        <v>2780</v>
      </c>
      <c r="L78" s="1" t="s">
        <v>2781</v>
      </c>
      <c r="M78" s="1" t="s">
        <v>230</v>
      </c>
      <c r="N78" s="1" t="s">
        <v>2329</v>
      </c>
      <c r="O78" s="86" t="s">
        <v>2330</v>
      </c>
      <c r="P78" s="1">
        <v>1</v>
      </c>
      <c r="Q78" s="1" t="s">
        <v>2425</v>
      </c>
      <c r="R78" s="1" t="s">
        <v>2338</v>
      </c>
      <c r="S78" s="1" t="s">
        <v>2626</v>
      </c>
      <c r="T78" s="1"/>
      <c r="U78" s="1"/>
      <c r="V78" s="1"/>
      <c r="W78" s="1"/>
      <c r="X78" s="1"/>
      <c r="Y78" s="1"/>
      <c r="Z78" s="1"/>
      <c r="AA78" s="1"/>
      <c r="AB78" s="1"/>
      <c r="AC78" s="88" t="s">
        <v>248</v>
      </c>
      <c r="AD78" s="88" t="s">
        <v>247</v>
      </c>
    </row>
    <row r="79" spans="1:30" hidden="1">
      <c r="A79" s="1">
        <v>2021</v>
      </c>
      <c r="B79" s="1">
        <v>202120</v>
      </c>
      <c r="C79" s="1">
        <v>202124842</v>
      </c>
      <c r="D79" s="1" t="s">
        <v>2782</v>
      </c>
      <c r="E79" s="1" t="s">
        <v>2783</v>
      </c>
      <c r="F79" s="1" t="s">
        <v>524</v>
      </c>
      <c r="G79" s="85" t="str">
        <f>_xlfn.XLOOKUP(Tabla2[[#This Row],[Universidad]],Conversiones!$B:$B,Conversiones!$C:$C)</f>
        <v>University of Saint Gallen</v>
      </c>
      <c r="H79" s="85" t="str">
        <f>_xlfn.XLOOKUP(Tabla2[[#This Row],[Universidad KPIs]],Conversiones!$C:$C,Conversiones!$E:$E)</f>
        <v>Específico</v>
      </c>
      <c r="I79" s="1" t="s">
        <v>81</v>
      </c>
      <c r="J79" s="1" t="s">
        <v>281</v>
      </c>
      <c r="K79" s="1" t="s">
        <v>2784</v>
      </c>
      <c r="L79" s="1" t="s">
        <v>2785</v>
      </c>
      <c r="M79" s="1" t="s">
        <v>230</v>
      </c>
      <c r="N79" s="1" t="s">
        <v>2365</v>
      </c>
      <c r="O79" s="86" t="s">
        <v>2366</v>
      </c>
      <c r="P79" s="1">
        <v>1</v>
      </c>
      <c r="Q79" s="1" t="s">
        <v>2786</v>
      </c>
      <c r="R79" s="1" t="s">
        <v>2787</v>
      </c>
      <c r="S79" s="1" t="s">
        <v>2739</v>
      </c>
      <c r="T79" s="1" t="s">
        <v>2788</v>
      </c>
      <c r="U79" s="1" t="s">
        <v>2789</v>
      </c>
      <c r="V79" s="1" t="s">
        <v>2790</v>
      </c>
      <c r="W79" s="1"/>
      <c r="X79" s="1"/>
      <c r="Y79" s="1"/>
      <c r="Z79" s="1"/>
      <c r="AA79" s="1"/>
      <c r="AB79" s="1"/>
      <c r="AC79" s="88" t="s">
        <v>238</v>
      </c>
      <c r="AD79" s="88" t="s">
        <v>247</v>
      </c>
    </row>
    <row r="80" spans="1:30" hidden="1">
      <c r="A80" s="1">
        <v>2021</v>
      </c>
      <c r="B80" s="1">
        <v>202120</v>
      </c>
      <c r="C80" s="1">
        <v>202124887</v>
      </c>
      <c r="D80" s="1" t="s">
        <v>2791</v>
      </c>
      <c r="E80" s="1" t="s">
        <v>2792</v>
      </c>
      <c r="F80" s="1" t="s">
        <v>1400</v>
      </c>
      <c r="G80" s="85" t="str">
        <f>_xlfn.XLOOKUP(Tabla2[[#This Row],[Universidad]],Conversiones!$B:$B,Conversiones!$C:$C)</f>
        <v>EM Strasbourg</v>
      </c>
      <c r="H80" s="85" t="str">
        <f>_xlfn.XLOOKUP(Tabla2[[#This Row],[Universidad KPIs]],Conversiones!$C:$C,Conversiones!$E:$E)</f>
        <v>Específico</v>
      </c>
      <c r="I80" s="1" t="s">
        <v>57</v>
      </c>
      <c r="J80" s="1" t="s">
        <v>281</v>
      </c>
      <c r="K80" s="1" t="s">
        <v>2793</v>
      </c>
      <c r="L80" s="1" t="s">
        <v>2794</v>
      </c>
      <c r="M80" s="1" t="s">
        <v>230</v>
      </c>
      <c r="N80" s="1" t="s">
        <v>2329</v>
      </c>
      <c r="O80" s="86" t="s">
        <v>2330</v>
      </c>
      <c r="P80" s="1">
        <v>1</v>
      </c>
      <c r="Q80" s="1" t="s">
        <v>2786</v>
      </c>
      <c r="R80" s="1" t="s">
        <v>2795</v>
      </c>
      <c r="S80" s="1" t="s">
        <v>2608</v>
      </c>
      <c r="T80" s="1" t="s">
        <v>2360</v>
      </c>
      <c r="U80" s="1" t="s">
        <v>2333</v>
      </c>
      <c r="V80" s="1"/>
      <c r="W80" s="1"/>
      <c r="X80" s="1"/>
      <c r="Y80" s="1"/>
      <c r="Z80" s="1"/>
      <c r="AA80" s="1"/>
      <c r="AB80" s="1"/>
      <c r="AC80" s="88" t="s">
        <v>233</v>
      </c>
      <c r="AD80" s="88" t="s">
        <v>254</v>
      </c>
    </row>
    <row r="81" spans="1:30" hidden="1">
      <c r="A81" s="1">
        <v>2021</v>
      </c>
      <c r="B81" s="1">
        <v>202120</v>
      </c>
      <c r="C81" s="1">
        <v>202121452</v>
      </c>
      <c r="D81" s="1" t="s">
        <v>2796</v>
      </c>
      <c r="E81" s="1" t="s">
        <v>2797</v>
      </c>
      <c r="F81" s="1" t="s">
        <v>116</v>
      </c>
      <c r="G81" s="85" t="str">
        <f>_xlfn.XLOOKUP(Tabla2[[#This Row],[Universidad]],Conversiones!$B:$B,Conversiones!$C:$C)</f>
        <v>University of Glasgow</v>
      </c>
      <c r="H81" s="85" t="str">
        <f>_xlfn.XLOOKUP(Tabla2[[#This Row],[Universidad KPIs]],Conversiones!$C:$C,Conversiones!$E:$E)</f>
        <v>Específico</v>
      </c>
      <c r="I81" s="1" t="s">
        <v>55</v>
      </c>
      <c r="J81" s="1" t="s">
        <v>281</v>
      </c>
      <c r="K81" s="1"/>
      <c r="L81" s="1" t="s">
        <v>2798</v>
      </c>
      <c r="M81" s="1" t="s">
        <v>230</v>
      </c>
      <c r="N81" s="1" t="s">
        <v>2365</v>
      </c>
      <c r="O81" s="86" t="s">
        <v>2366</v>
      </c>
      <c r="P81" s="1">
        <v>1</v>
      </c>
      <c r="Q81" s="1" t="s">
        <v>2739</v>
      </c>
      <c r="R81" s="1" t="s">
        <v>2799</v>
      </c>
      <c r="S81" s="1" t="s">
        <v>2764</v>
      </c>
      <c r="T81" s="1" t="s">
        <v>2800</v>
      </c>
      <c r="U81" s="1"/>
      <c r="V81" s="1"/>
      <c r="W81" s="1"/>
      <c r="X81" s="1"/>
      <c r="Y81" s="1"/>
      <c r="Z81" s="1"/>
      <c r="AA81" s="1"/>
      <c r="AB81" s="1"/>
      <c r="AC81" s="88" t="s">
        <v>237</v>
      </c>
      <c r="AD81" s="88" t="s">
        <v>247</v>
      </c>
    </row>
    <row r="82" spans="1:30" hidden="1">
      <c r="A82" s="1">
        <v>2021</v>
      </c>
      <c r="B82" s="1">
        <v>202120</v>
      </c>
      <c r="C82" s="1">
        <v>202121450</v>
      </c>
      <c r="D82" s="1" t="s">
        <v>2801</v>
      </c>
      <c r="E82" s="1" t="s">
        <v>2802</v>
      </c>
      <c r="F82" s="1" t="s">
        <v>116</v>
      </c>
      <c r="G82" s="85" t="str">
        <f>_xlfn.XLOOKUP(Tabla2[[#This Row],[Universidad]],Conversiones!$B:$B,Conversiones!$C:$C)</f>
        <v>University of Glasgow</v>
      </c>
      <c r="H82" s="85" t="str">
        <f>_xlfn.XLOOKUP(Tabla2[[#This Row],[Universidad KPIs]],Conversiones!$C:$C,Conversiones!$E:$E)</f>
        <v>Específico</v>
      </c>
      <c r="I82" s="1" t="s">
        <v>55</v>
      </c>
      <c r="J82" s="1" t="s">
        <v>281</v>
      </c>
      <c r="K82" s="1"/>
      <c r="L82" s="1" t="s">
        <v>2803</v>
      </c>
      <c r="M82" s="1" t="s">
        <v>230</v>
      </c>
      <c r="N82" s="1" t="s">
        <v>2365</v>
      </c>
      <c r="O82" s="86" t="s">
        <v>2366</v>
      </c>
      <c r="P82" s="1">
        <v>1</v>
      </c>
      <c r="Q82" s="1" t="s">
        <v>2739</v>
      </c>
      <c r="R82" s="1" t="s">
        <v>2799</v>
      </c>
      <c r="S82" s="1" t="s">
        <v>2764</v>
      </c>
      <c r="T82" s="1" t="s">
        <v>2800</v>
      </c>
      <c r="U82" s="1"/>
      <c r="V82" s="1"/>
      <c r="W82" s="1"/>
      <c r="X82" s="1"/>
      <c r="Y82" s="1"/>
      <c r="Z82" s="1"/>
      <c r="AA82" s="1"/>
      <c r="AB82" s="1"/>
      <c r="AC82" s="88" t="s">
        <v>237</v>
      </c>
      <c r="AD82" s="88" t="s">
        <v>247</v>
      </c>
    </row>
    <row r="83" spans="1:30" hidden="1">
      <c r="A83" s="1">
        <v>2021</v>
      </c>
      <c r="B83" s="1">
        <v>202120</v>
      </c>
      <c r="C83" s="1">
        <v>202121451</v>
      </c>
      <c r="D83" s="1" t="s">
        <v>2804</v>
      </c>
      <c r="E83" s="1" t="s">
        <v>2805</v>
      </c>
      <c r="F83" s="1" t="s">
        <v>116</v>
      </c>
      <c r="G83" s="85" t="str">
        <f>_xlfn.XLOOKUP(Tabla2[[#This Row],[Universidad]],Conversiones!$B:$B,Conversiones!$C:$C)</f>
        <v>University of Glasgow</v>
      </c>
      <c r="H83" s="85" t="str">
        <f>_xlfn.XLOOKUP(Tabla2[[#This Row],[Universidad KPIs]],Conversiones!$C:$C,Conversiones!$E:$E)</f>
        <v>Específico</v>
      </c>
      <c r="I83" s="1" t="s">
        <v>55</v>
      </c>
      <c r="J83" s="1" t="s">
        <v>281</v>
      </c>
      <c r="K83" s="1"/>
      <c r="L83" s="1" t="s">
        <v>2806</v>
      </c>
      <c r="M83" s="1" t="s">
        <v>230</v>
      </c>
      <c r="N83" s="1" t="s">
        <v>2365</v>
      </c>
      <c r="O83" s="86" t="s">
        <v>2366</v>
      </c>
      <c r="P83" s="1">
        <v>1</v>
      </c>
      <c r="Q83" s="1" t="s">
        <v>2746</v>
      </c>
      <c r="R83" s="1" t="s">
        <v>2799</v>
      </c>
      <c r="S83" s="1" t="s">
        <v>2764</v>
      </c>
      <c r="T83" s="1" t="s">
        <v>2800</v>
      </c>
      <c r="U83" s="1"/>
      <c r="V83" s="1"/>
      <c r="W83" s="1"/>
      <c r="X83" s="1"/>
      <c r="Y83" s="1"/>
      <c r="Z83" s="1"/>
      <c r="AA83" s="1"/>
      <c r="AB83" s="1"/>
      <c r="AC83" s="88" t="s">
        <v>237</v>
      </c>
      <c r="AD83" s="88" t="s">
        <v>247</v>
      </c>
    </row>
    <row r="84" spans="1:30" hidden="1">
      <c r="A84" s="1">
        <v>2021</v>
      </c>
      <c r="B84" s="1">
        <v>202120</v>
      </c>
      <c r="C84" s="1">
        <v>202121448</v>
      </c>
      <c r="D84" s="1" t="s">
        <v>2807</v>
      </c>
      <c r="E84" s="1" t="s">
        <v>2808</v>
      </c>
      <c r="F84" s="1" t="s">
        <v>116</v>
      </c>
      <c r="G84" s="85" t="str">
        <f>_xlfn.XLOOKUP(Tabla2[[#This Row],[Universidad]],Conversiones!$B:$B,Conversiones!$C:$C)</f>
        <v>University of Glasgow</v>
      </c>
      <c r="H84" s="85" t="str">
        <f>_xlfn.XLOOKUP(Tabla2[[#This Row],[Universidad KPIs]],Conversiones!$C:$C,Conversiones!$E:$E)</f>
        <v>Específico</v>
      </c>
      <c r="I84" s="1" t="s">
        <v>55</v>
      </c>
      <c r="J84" s="1" t="s">
        <v>281</v>
      </c>
      <c r="K84" s="1"/>
      <c r="L84" s="1" t="s">
        <v>2809</v>
      </c>
      <c r="M84" s="1" t="s">
        <v>230</v>
      </c>
      <c r="N84" s="1" t="s">
        <v>2365</v>
      </c>
      <c r="O84" s="86" t="s">
        <v>2366</v>
      </c>
      <c r="P84" s="1">
        <v>1</v>
      </c>
      <c r="Q84" s="1" t="s">
        <v>2739</v>
      </c>
      <c r="R84" s="1" t="s">
        <v>2746</v>
      </c>
      <c r="S84" s="1" t="s">
        <v>2799</v>
      </c>
      <c r="T84" s="1" t="s">
        <v>2800</v>
      </c>
      <c r="U84" s="1"/>
      <c r="V84" s="1"/>
      <c r="W84" s="1"/>
      <c r="X84" s="1"/>
      <c r="Y84" s="1"/>
      <c r="Z84" s="1"/>
      <c r="AA84" s="1"/>
      <c r="AB84" s="1"/>
      <c r="AC84" s="88" t="s">
        <v>237</v>
      </c>
      <c r="AD84" s="88" t="s">
        <v>247</v>
      </c>
    </row>
    <row r="85" spans="1:30" hidden="1">
      <c r="A85" s="1">
        <v>2021</v>
      </c>
      <c r="B85" s="1">
        <v>202120</v>
      </c>
      <c r="C85" s="1">
        <v>202121431</v>
      </c>
      <c r="D85" s="1" t="s">
        <v>2810</v>
      </c>
      <c r="E85" s="1" t="s">
        <v>2811</v>
      </c>
      <c r="F85" s="1" t="s">
        <v>116</v>
      </c>
      <c r="G85" s="85" t="str">
        <f>_xlfn.XLOOKUP(Tabla2[[#This Row],[Universidad]],Conversiones!$B:$B,Conversiones!$C:$C)</f>
        <v>University of Glasgow</v>
      </c>
      <c r="H85" s="85" t="str">
        <f>_xlfn.XLOOKUP(Tabla2[[#This Row],[Universidad KPIs]],Conversiones!$C:$C,Conversiones!$E:$E)</f>
        <v>Específico</v>
      </c>
      <c r="I85" s="1" t="s">
        <v>55</v>
      </c>
      <c r="J85" s="1" t="s">
        <v>281</v>
      </c>
      <c r="K85" s="1"/>
      <c r="L85" s="1" t="s">
        <v>2812</v>
      </c>
      <c r="M85" s="1" t="s">
        <v>230</v>
      </c>
      <c r="N85" s="1" t="s">
        <v>2365</v>
      </c>
      <c r="O85" s="86" t="s">
        <v>2366</v>
      </c>
      <c r="P85" s="1">
        <v>1</v>
      </c>
      <c r="Q85" s="1" t="s">
        <v>2739</v>
      </c>
      <c r="R85" s="1" t="s">
        <v>2799</v>
      </c>
      <c r="S85" s="1" t="s">
        <v>2764</v>
      </c>
      <c r="T85" s="1" t="s">
        <v>2800</v>
      </c>
      <c r="U85" s="1"/>
      <c r="V85" s="1"/>
      <c r="W85" s="1"/>
      <c r="X85" s="1"/>
      <c r="Y85" s="1"/>
      <c r="Z85" s="1"/>
      <c r="AA85" s="1"/>
      <c r="AB85" s="1"/>
      <c r="AC85" s="88" t="s">
        <v>237</v>
      </c>
      <c r="AD85" s="88" t="s">
        <v>247</v>
      </c>
    </row>
    <row r="86" spans="1:30" hidden="1">
      <c r="A86" s="1">
        <v>2021</v>
      </c>
      <c r="B86" s="1">
        <v>202120</v>
      </c>
      <c r="C86" s="1">
        <v>202121449</v>
      </c>
      <c r="D86" s="1" t="s">
        <v>2813</v>
      </c>
      <c r="E86" s="1" t="s">
        <v>2814</v>
      </c>
      <c r="F86" s="1" t="s">
        <v>116</v>
      </c>
      <c r="G86" s="85" t="str">
        <f>_xlfn.XLOOKUP(Tabla2[[#This Row],[Universidad]],Conversiones!$B:$B,Conversiones!$C:$C)</f>
        <v>University of Glasgow</v>
      </c>
      <c r="H86" s="85" t="str">
        <f>_xlfn.XLOOKUP(Tabla2[[#This Row],[Universidad KPIs]],Conversiones!$C:$C,Conversiones!$E:$E)</f>
        <v>Específico</v>
      </c>
      <c r="I86" s="1" t="s">
        <v>55</v>
      </c>
      <c r="J86" s="1" t="s">
        <v>281</v>
      </c>
      <c r="K86" s="1"/>
      <c r="L86" s="1" t="s">
        <v>2815</v>
      </c>
      <c r="M86" s="1" t="s">
        <v>230</v>
      </c>
      <c r="N86" s="1" t="s">
        <v>2365</v>
      </c>
      <c r="O86" s="86" t="s">
        <v>2366</v>
      </c>
      <c r="P86" s="1">
        <v>1</v>
      </c>
      <c r="Q86" s="1" t="s">
        <v>2739</v>
      </c>
      <c r="R86" s="1" t="s">
        <v>2799</v>
      </c>
      <c r="S86" s="1" t="s">
        <v>2764</v>
      </c>
      <c r="T86" s="1" t="s">
        <v>2800</v>
      </c>
      <c r="U86" s="1"/>
      <c r="V86" s="1"/>
      <c r="W86" s="1"/>
      <c r="X86" s="1"/>
      <c r="Y86" s="1"/>
      <c r="Z86" s="1"/>
      <c r="AA86" s="1"/>
      <c r="AB86" s="1"/>
      <c r="AC86" s="88" t="s">
        <v>237</v>
      </c>
      <c r="AD86" s="88" t="s">
        <v>247</v>
      </c>
    </row>
    <row r="87" spans="1:30" hidden="1">
      <c r="A87" s="1">
        <v>2021</v>
      </c>
      <c r="B87" s="1">
        <v>202110</v>
      </c>
      <c r="C87" s="1">
        <v>202116340</v>
      </c>
      <c r="D87" s="1" t="s">
        <v>2816</v>
      </c>
      <c r="E87" s="1" t="s">
        <v>2817</v>
      </c>
      <c r="F87" s="1" t="s">
        <v>310</v>
      </c>
      <c r="G87" s="85" t="str">
        <f>_xlfn.XLOOKUP(Tabla2[[#This Row],[Universidad]],Conversiones!$B:$B,Conversiones!$C:$C)</f>
        <v>Toulouse Business School</v>
      </c>
      <c r="H87" s="85" t="str">
        <f>_xlfn.XLOOKUP(Tabla2[[#This Row],[Universidad KPIs]],Conversiones!$C:$C,Conversiones!$E:$E)</f>
        <v>Específico</v>
      </c>
      <c r="I87" s="1" t="s">
        <v>57</v>
      </c>
      <c r="J87" s="1" t="s">
        <v>281</v>
      </c>
      <c r="K87" s="1" t="s">
        <v>2818</v>
      </c>
      <c r="L87" s="1" t="e">
        <v>#N/A</v>
      </c>
      <c r="M87" s="1" t="s">
        <v>231</v>
      </c>
      <c r="N87" s="1" t="s">
        <v>2329</v>
      </c>
      <c r="O87" s="86"/>
      <c r="P87" s="1">
        <v>1</v>
      </c>
      <c r="Q87" s="1" t="s">
        <v>2566</v>
      </c>
      <c r="R87" s="1" t="s">
        <v>2338</v>
      </c>
      <c r="S87" s="1" t="s">
        <v>2419</v>
      </c>
      <c r="T87" s="1" t="s">
        <v>2352</v>
      </c>
      <c r="U87" s="1" t="s">
        <v>2506</v>
      </c>
      <c r="V87" s="1" t="s">
        <v>2819</v>
      </c>
      <c r="W87" s="1" t="s">
        <v>2820</v>
      </c>
      <c r="X87" s="1"/>
      <c r="Y87" s="1"/>
      <c r="Z87" s="1"/>
      <c r="AA87" s="1"/>
      <c r="AB87" s="1"/>
      <c r="AC87" s="88" t="s">
        <v>233</v>
      </c>
      <c r="AD87" s="88" t="s">
        <v>254</v>
      </c>
    </row>
    <row r="88" spans="1:30" hidden="1">
      <c r="A88" s="1">
        <v>2022</v>
      </c>
      <c r="B88" s="1">
        <v>202210</v>
      </c>
      <c r="C88" s="1">
        <v>202216143</v>
      </c>
      <c r="D88" s="1" t="s">
        <v>2821</v>
      </c>
      <c r="E88" s="1" t="s">
        <v>2822</v>
      </c>
      <c r="F88" s="1" t="s">
        <v>2823</v>
      </c>
      <c r="G88" s="85" t="str">
        <f>_xlfn.XLOOKUP(Tabla2[[#This Row],[Universidad]],Conversiones!$B:$B,Conversiones!$C:$C)</f>
        <v>Aalborg University</v>
      </c>
      <c r="H88" s="85" t="str">
        <f>_xlfn.XLOOKUP(Tabla2[[#This Row],[Universidad KPIs]],Conversiones!$C:$C,Conversiones!$E:$E)</f>
        <v>General</v>
      </c>
      <c r="I88" s="1" t="s">
        <v>63</v>
      </c>
      <c r="J88" s="1" t="s">
        <v>281</v>
      </c>
      <c r="K88" s="1" t="s">
        <v>2824</v>
      </c>
      <c r="L88" s="1" t="s">
        <v>2825</v>
      </c>
      <c r="M88" s="1" t="s">
        <v>230</v>
      </c>
      <c r="N88" s="1" t="s">
        <v>2365</v>
      </c>
      <c r="O88" s="86" t="s">
        <v>2366</v>
      </c>
      <c r="P88" s="1">
        <v>1</v>
      </c>
      <c r="Q88" s="1" t="s">
        <v>2359</v>
      </c>
      <c r="R88" s="1" t="s">
        <v>2826</v>
      </c>
      <c r="S88" s="1" t="s">
        <v>2370</v>
      </c>
      <c r="T88" s="1" t="s">
        <v>2413</v>
      </c>
      <c r="U88" s="1" t="s">
        <v>2331</v>
      </c>
      <c r="V88" s="1" t="s">
        <v>2494</v>
      </c>
      <c r="W88" s="1" t="s">
        <v>2407</v>
      </c>
      <c r="X88" s="1"/>
      <c r="Y88" s="1"/>
      <c r="Z88" s="1"/>
      <c r="AA88" s="1"/>
      <c r="AB88" s="1"/>
      <c r="AC88" s="88" t="s">
        <v>248</v>
      </c>
      <c r="AD88" s="88" t="s">
        <v>247</v>
      </c>
    </row>
    <row r="89" spans="1:30" hidden="1">
      <c r="A89" s="1">
        <v>2022</v>
      </c>
      <c r="B89" s="1">
        <v>202210</v>
      </c>
      <c r="C89" s="1">
        <v>202216145</v>
      </c>
      <c r="D89" s="1" t="s">
        <v>2827</v>
      </c>
      <c r="E89" s="1" t="s">
        <v>2828</v>
      </c>
      <c r="F89" s="1" t="s">
        <v>381</v>
      </c>
      <c r="G89" s="85" t="str">
        <f>_xlfn.XLOOKUP(Tabla2[[#This Row],[Universidad]],Conversiones!$B:$B,Conversiones!$C:$C)</f>
        <v>Audencia. École de Management</v>
      </c>
      <c r="H89" s="85" t="str">
        <f>_xlfn.XLOOKUP(Tabla2[[#This Row],[Universidad KPIs]],Conversiones!$C:$C,Conversiones!$E:$E)</f>
        <v>Específico</v>
      </c>
      <c r="I89" s="1" t="s">
        <v>57</v>
      </c>
      <c r="J89" s="1" t="s">
        <v>281</v>
      </c>
      <c r="K89" s="1" t="s">
        <v>2829</v>
      </c>
      <c r="L89" s="1" t="s">
        <v>2830</v>
      </c>
      <c r="M89" s="1" t="s">
        <v>230</v>
      </c>
      <c r="N89" s="1" t="s">
        <v>2329</v>
      </c>
      <c r="O89" s="86" t="s">
        <v>2330</v>
      </c>
      <c r="P89" s="1">
        <v>1</v>
      </c>
      <c r="Q89" s="1" t="s">
        <v>2352</v>
      </c>
      <c r="R89" s="1" t="s">
        <v>2340</v>
      </c>
      <c r="S89" s="1" t="s">
        <v>2438</v>
      </c>
      <c r="T89" s="1" t="s">
        <v>2511</v>
      </c>
      <c r="U89" s="1" t="s">
        <v>2419</v>
      </c>
      <c r="V89" s="1" t="s">
        <v>2640</v>
      </c>
      <c r="W89" s="1"/>
      <c r="X89" s="1"/>
      <c r="Y89" s="1"/>
      <c r="Z89" s="1"/>
      <c r="AA89" s="1"/>
      <c r="AB89" s="1"/>
      <c r="AC89" s="88" t="s">
        <v>233</v>
      </c>
      <c r="AD89" s="88" t="s">
        <v>254</v>
      </c>
    </row>
    <row r="90" spans="1:30" hidden="1">
      <c r="A90" s="1">
        <v>2022</v>
      </c>
      <c r="B90" s="1">
        <v>202210</v>
      </c>
      <c r="C90" s="1">
        <v>202216148</v>
      </c>
      <c r="D90" s="1" t="s">
        <v>2831</v>
      </c>
      <c r="E90" s="1" t="s">
        <v>2832</v>
      </c>
      <c r="F90" s="1" t="s">
        <v>381</v>
      </c>
      <c r="G90" s="85" t="str">
        <f>_xlfn.XLOOKUP(Tabla2[[#This Row],[Universidad]],Conversiones!$B:$B,Conversiones!$C:$C)</f>
        <v>Audencia. École de Management</v>
      </c>
      <c r="H90" s="85" t="str">
        <f>_xlfn.XLOOKUP(Tabla2[[#This Row],[Universidad KPIs]],Conversiones!$C:$C,Conversiones!$E:$E)</f>
        <v>Específico</v>
      </c>
      <c r="I90" s="1" t="s">
        <v>57</v>
      </c>
      <c r="J90" s="1" t="s">
        <v>281</v>
      </c>
      <c r="K90" s="1" t="s">
        <v>2833</v>
      </c>
      <c r="L90" s="1" t="s">
        <v>2834</v>
      </c>
      <c r="M90" s="1" t="s">
        <v>230</v>
      </c>
      <c r="N90" s="1" t="s">
        <v>2329</v>
      </c>
      <c r="O90" s="86" t="s">
        <v>2330</v>
      </c>
      <c r="P90" s="1">
        <v>1</v>
      </c>
      <c r="Q90" s="1" t="s">
        <v>2352</v>
      </c>
      <c r="R90" s="1" t="s">
        <v>2663</v>
      </c>
      <c r="S90" s="1" t="s">
        <v>2438</v>
      </c>
      <c r="T90" s="1" t="s">
        <v>2332</v>
      </c>
      <c r="U90" s="1" t="s">
        <v>2360</v>
      </c>
      <c r="V90" s="1"/>
      <c r="W90" s="1"/>
      <c r="X90" s="1"/>
      <c r="Y90" s="1"/>
      <c r="Z90" s="1"/>
      <c r="AA90" s="1"/>
      <c r="AB90" s="1"/>
      <c r="AC90" s="88" t="s">
        <v>233</v>
      </c>
      <c r="AD90" s="88" t="s">
        <v>254</v>
      </c>
    </row>
    <row r="91" spans="1:30" hidden="1">
      <c r="A91" s="1">
        <v>2022</v>
      </c>
      <c r="B91" s="1">
        <v>202210</v>
      </c>
      <c r="C91" s="1">
        <v>202216146</v>
      </c>
      <c r="D91" s="1" t="s">
        <v>358</v>
      </c>
      <c r="E91" s="1" t="s">
        <v>2835</v>
      </c>
      <c r="F91" s="1" t="s">
        <v>419</v>
      </c>
      <c r="G91" s="85" t="str">
        <f>_xlfn.XLOOKUP(Tabla2[[#This Row],[Universidad]],Conversiones!$B:$B,Conversiones!$C:$C)</f>
        <v>ESCP</v>
      </c>
      <c r="H91" s="85" t="str">
        <f>_xlfn.XLOOKUP(Tabla2[[#This Row],[Universidad KPIs]],Conversiones!$C:$C,Conversiones!$E:$E)</f>
        <v>Específico</v>
      </c>
      <c r="I91" s="1" t="s">
        <v>57</v>
      </c>
      <c r="J91" s="1" t="s">
        <v>281</v>
      </c>
      <c r="K91" s="1" t="s">
        <v>2836</v>
      </c>
      <c r="L91" s="1" t="s">
        <v>2837</v>
      </c>
      <c r="M91" s="1" t="s">
        <v>230</v>
      </c>
      <c r="N91" s="1" t="s">
        <v>2365</v>
      </c>
      <c r="O91" s="86" t="s">
        <v>2366</v>
      </c>
      <c r="P91" s="1">
        <v>1</v>
      </c>
      <c r="Q91" s="1" t="s">
        <v>2547</v>
      </c>
      <c r="R91" s="1" t="s">
        <v>2726</v>
      </c>
      <c r="S91" s="1" t="s">
        <v>2384</v>
      </c>
      <c r="T91" s="1" t="s">
        <v>2703</v>
      </c>
      <c r="U91" s="1" t="s">
        <v>2838</v>
      </c>
      <c r="V91" s="1"/>
      <c r="W91" s="1"/>
      <c r="X91" s="1"/>
      <c r="Y91" s="1"/>
      <c r="Z91" s="1"/>
      <c r="AA91" s="1"/>
      <c r="AB91" s="1"/>
      <c r="AC91" s="88" t="s">
        <v>248</v>
      </c>
      <c r="AD91" s="88" t="s">
        <v>247</v>
      </c>
    </row>
    <row r="92" spans="1:30" hidden="1">
      <c r="A92" s="1">
        <v>2022</v>
      </c>
      <c r="B92" s="1">
        <v>202210</v>
      </c>
      <c r="C92" s="1">
        <v>202216198</v>
      </c>
      <c r="D92" s="1" t="s">
        <v>2839</v>
      </c>
      <c r="E92" s="1" t="s">
        <v>2840</v>
      </c>
      <c r="F92" s="1" t="s">
        <v>559</v>
      </c>
      <c r="G92" s="85" t="str">
        <f>_xlfn.XLOOKUP(Tabla2[[#This Row],[Universidad]],Conversiones!$B:$B,Conversiones!$C:$C)</f>
        <v>ICN Business School - Institut Commercial de Nancy</v>
      </c>
      <c r="H92" s="85" t="str">
        <f>_xlfn.XLOOKUP(Tabla2[[#This Row],[Universidad KPIs]],Conversiones!$C:$C,Conversiones!$E:$E)</f>
        <v>Específico</v>
      </c>
      <c r="I92" s="1" t="s">
        <v>57</v>
      </c>
      <c r="J92" s="1" t="s">
        <v>281</v>
      </c>
      <c r="K92" s="1" t="s">
        <v>2841</v>
      </c>
      <c r="L92" s="1" t="s">
        <v>2842</v>
      </c>
      <c r="M92" s="1" t="s">
        <v>230</v>
      </c>
      <c r="N92" s="1" t="s">
        <v>2329</v>
      </c>
      <c r="O92" s="86" t="s">
        <v>2330</v>
      </c>
      <c r="P92" s="1">
        <v>1</v>
      </c>
      <c r="Q92" s="1" t="s">
        <v>2436</v>
      </c>
      <c r="R92" s="1" t="s">
        <v>2400</v>
      </c>
      <c r="S92" s="1" t="s">
        <v>2331</v>
      </c>
      <c r="T92" s="1" t="s">
        <v>2482</v>
      </c>
      <c r="U92" s="1"/>
      <c r="V92" s="1"/>
      <c r="W92" s="1"/>
      <c r="X92" s="1"/>
      <c r="Y92" s="1"/>
      <c r="Z92" s="1"/>
      <c r="AA92" s="1"/>
      <c r="AB92" s="1"/>
      <c r="AC92" s="88" t="s">
        <v>233</v>
      </c>
      <c r="AD92" s="88" t="s">
        <v>254</v>
      </c>
    </row>
    <row r="93" spans="1:30" hidden="1">
      <c r="A93" s="1">
        <v>2022</v>
      </c>
      <c r="B93" s="1">
        <v>202210</v>
      </c>
      <c r="C93" s="1">
        <v>202216166</v>
      </c>
      <c r="D93" s="1" t="s">
        <v>2843</v>
      </c>
      <c r="E93" s="1" t="s">
        <v>2844</v>
      </c>
      <c r="F93" s="1" t="s">
        <v>639</v>
      </c>
      <c r="G93" s="85" t="str">
        <f>_xlfn.XLOOKUP(Tabla2[[#This Row],[Universidad]],Conversiones!$B:$B,Conversiones!$C:$C)</f>
        <v>IE Instituto Empresa</v>
      </c>
      <c r="H93" s="85" t="str">
        <f>_xlfn.XLOOKUP(Tabla2[[#This Row],[Universidad KPIs]],Conversiones!$C:$C,Conversiones!$E:$E)</f>
        <v>Específico</v>
      </c>
      <c r="I93" s="1" t="s">
        <v>69</v>
      </c>
      <c r="J93" s="1" t="s">
        <v>281</v>
      </c>
      <c r="K93" s="1" t="s">
        <v>2845</v>
      </c>
      <c r="L93" s="1" t="s">
        <v>2846</v>
      </c>
      <c r="M93" s="1" t="s">
        <v>230</v>
      </c>
      <c r="N93" s="1" t="s">
        <v>2329</v>
      </c>
      <c r="O93" s="86" t="s">
        <v>2330</v>
      </c>
      <c r="P93" s="1">
        <v>1</v>
      </c>
      <c r="Q93" s="1" t="s">
        <v>2353</v>
      </c>
      <c r="R93" s="1" t="s">
        <v>2437</v>
      </c>
      <c r="S93" s="1" t="s">
        <v>2847</v>
      </c>
      <c r="T93" s="1" t="s">
        <v>2848</v>
      </c>
      <c r="U93" s="1" t="s">
        <v>2849</v>
      </c>
      <c r="V93" s="1"/>
      <c r="W93" s="1"/>
      <c r="X93" s="1"/>
      <c r="Y93" s="1"/>
      <c r="Z93" s="1"/>
      <c r="AA93" s="1"/>
      <c r="AB93" s="1"/>
      <c r="AC93" s="88" t="s">
        <v>233</v>
      </c>
      <c r="AD93" s="88" t="s">
        <v>254</v>
      </c>
    </row>
    <row r="94" spans="1:30" hidden="1">
      <c r="A94" s="1">
        <v>2022</v>
      </c>
      <c r="B94" s="1">
        <v>202210</v>
      </c>
      <c r="C94" s="1">
        <v>202216225</v>
      </c>
      <c r="D94" s="1" t="s">
        <v>2850</v>
      </c>
      <c r="E94" s="1" t="s">
        <v>2851</v>
      </c>
      <c r="F94" s="1" t="s">
        <v>639</v>
      </c>
      <c r="G94" s="85" t="str">
        <f>_xlfn.XLOOKUP(Tabla2[[#This Row],[Universidad]],Conversiones!$B:$B,Conversiones!$C:$C)</f>
        <v>IE Instituto Empresa</v>
      </c>
      <c r="H94" s="85" t="str">
        <f>_xlfn.XLOOKUP(Tabla2[[#This Row],[Universidad KPIs]],Conversiones!$C:$C,Conversiones!$E:$E)</f>
        <v>Específico</v>
      </c>
      <c r="I94" s="1" t="s">
        <v>69</v>
      </c>
      <c r="J94" s="1" t="s">
        <v>281</v>
      </c>
      <c r="K94" s="1" t="s">
        <v>2852</v>
      </c>
      <c r="L94" s="1" t="s">
        <v>2853</v>
      </c>
      <c r="M94" s="1" t="s">
        <v>230</v>
      </c>
      <c r="N94" s="1" t="s">
        <v>2329</v>
      </c>
      <c r="O94" s="86" t="s">
        <v>2330</v>
      </c>
      <c r="P94" s="1">
        <v>1</v>
      </c>
      <c r="Q94" s="1" t="s">
        <v>2353</v>
      </c>
      <c r="R94" s="1" t="s">
        <v>2437</v>
      </c>
      <c r="S94" s="1" t="s">
        <v>2847</v>
      </c>
      <c r="T94" s="1" t="s">
        <v>2848</v>
      </c>
      <c r="U94" s="1" t="s">
        <v>2849</v>
      </c>
      <c r="V94" s="1"/>
      <c r="W94" s="1"/>
      <c r="X94" s="1"/>
      <c r="Y94" s="1"/>
      <c r="Z94" s="1"/>
      <c r="AA94" s="1"/>
      <c r="AB94" s="1"/>
      <c r="AC94" s="88" t="s">
        <v>233</v>
      </c>
      <c r="AD94" s="88" t="s">
        <v>254</v>
      </c>
    </row>
    <row r="95" spans="1:30" hidden="1">
      <c r="A95" s="1">
        <v>2022</v>
      </c>
      <c r="B95" s="1">
        <v>202210</v>
      </c>
      <c r="C95" s="1">
        <v>202216215</v>
      </c>
      <c r="D95" s="1" t="s">
        <v>2854</v>
      </c>
      <c r="E95" s="1" t="s">
        <v>2855</v>
      </c>
      <c r="F95" s="1" t="s">
        <v>146</v>
      </c>
      <c r="G95" s="85" t="str">
        <f>_xlfn.XLOOKUP(Tabla2[[#This Row],[Universidad]],Conversiones!$B:$B,Conversiones!$C:$C)</f>
        <v>Institut d’Etudes Politiques de Paris</v>
      </c>
      <c r="H95" s="85" t="str">
        <f>_xlfn.XLOOKUP(Tabla2[[#This Row],[Universidad KPIs]],Conversiones!$C:$C,Conversiones!$E:$E)</f>
        <v>General</v>
      </c>
      <c r="I95" s="1" t="s">
        <v>57</v>
      </c>
      <c r="J95" s="1" t="s">
        <v>281</v>
      </c>
      <c r="K95" s="1" t="s">
        <v>2856</v>
      </c>
      <c r="L95" s="1" t="s">
        <v>2857</v>
      </c>
      <c r="M95" s="1" t="s">
        <v>230</v>
      </c>
      <c r="N95" s="1" t="s">
        <v>2329</v>
      </c>
      <c r="O95" s="86" t="s">
        <v>2330</v>
      </c>
      <c r="P95" s="1">
        <v>1</v>
      </c>
      <c r="Q95" s="1" t="s">
        <v>2858</v>
      </c>
      <c r="R95" s="1" t="s">
        <v>2608</v>
      </c>
      <c r="S95" s="1" t="s">
        <v>2859</v>
      </c>
      <c r="T95" s="1" t="s">
        <v>2860</v>
      </c>
      <c r="U95" s="1" t="s">
        <v>2333</v>
      </c>
      <c r="V95" s="1" t="s">
        <v>2861</v>
      </c>
      <c r="W95" s="1"/>
      <c r="X95" s="1"/>
      <c r="Y95" s="1"/>
      <c r="Z95" s="1"/>
      <c r="AA95" s="1"/>
      <c r="AB95" s="1"/>
      <c r="AC95" s="88" t="s">
        <v>233</v>
      </c>
      <c r="AD95" s="88" t="s">
        <v>254</v>
      </c>
    </row>
    <row r="96" spans="1:30" hidden="1">
      <c r="A96" s="1">
        <v>2022</v>
      </c>
      <c r="B96" s="1">
        <v>202210</v>
      </c>
      <c r="C96" s="1">
        <v>202216201</v>
      </c>
      <c r="D96" s="1" t="s">
        <v>2862</v>
      </c>
      <c r="E96" s="1" t="s">
        <v>2863</v>
      </c>
      <c r="F96" s="1" t="s">
        <v>351</v>
      </c>
      <c r="G96" s="85" t="str">
        <f>_xlfn.XLOOKUP(Tabla2[[#This Row],[Universidad]],Conversiones!$B:$B,Conversiones!$C:$C)</f>
        <v>KLU Kühne Logistics University</v>
      </c>
      <c r="H96" s="85" t="str">
        <f>_xlfn.XLOOKUP(Tabla2[[#This Row],[Universidad KPIs]],Conversiones!$C:$C,Conversiones!$E:$E)</f>
        <v>Específico</v>
      </c>
      <c r="I96" s="1" t="s">
        <v>76</v>
      </c>
      <c r="J96" s="1" t="s">
        <v>281</v>
      </c>
      <c r="K96" s="1" t="s">
        <v>2864</v>
      </c>
      <c r="L96" s="1" t="s">
        <v>2865</v>
      </c>
      <c r="M96" s="1" t="s">
        <v>230</v>
      </c>
      <c r="N96" s="1" t="s">
        <v>2329</v>
      </c>
      <c r="O96" s="86" t="s">
        <v>2330</v>
      </c>
      <c r="P96" s="1">
        <v>1</v>
      </c>
      <c r="Q96" s="1" t="s">
        <v>2359</v>
      </c>
      <c r="R96" s="1" t="s">
        <v>2413</v>
      </c>
      <c r="S96" s="1" t="s">
        <v>2438</v>
      </c>
      <c r="T96" s="1" t="s">
        <v>2333</v>
      </c>
      <c r="U96" s="1"/>
      <c r="V96" s="1"/>
      <c r="W96" s="1"/>
      <c r="X96" s="1"/>
      <c r="Y96" s="1"/>
      <c r="Z96" s="1"/>
      <c r="AA96" s="1"/>
      <c r="AB96" s="1"/>
      <c r="AC96" s="88" t="s">
        <v>233</v>
      </c>
      <c r="AD96" s="88" t="s">
        <v>254</v>
      </c>
    </row>
    <row r="97" spans="1:30" hidden="1">
      <c r="A97" s="1">
        <v>2022</v>
      </c>
      <c r="B97" s="1">
        <v>202210</v>
      </c>
      <c r="C97" s="1">
        <v>202216172</v>
      </c>
      <c r="D97" s="1" t="s">
        <v>2866</v>
      </c>
      <c r="E97" s="1" t="s">
        <v>2867</v>
      </c>
      <c r="F97" s="1" t="s">
        <v>94</v>
      </c>
      <c r="G97" s="85" t="str">
        <f>_xlfn.XLOOKUP(Tabla2[[#This Row],[Universidad]],Conversiones!$B:$B,Conversiones!$C:$C)</f>
        <v>Maastricht University</v>
      </c>
      <c r="H97" s="85" t="str">
        <f>_xlfn.XLOOKUP(Tabla2[[#This Row],[Universidad KPIs]],Conversiones!$C:$C,Conversiones!$E:$E)</f>
        <v>Específico</v>
      </c>
      <c r="I97" s="1" t="s">
        <v>95</v>
      </c>
      <c r="J97" s="1" t="s">
        <v>281</v>
      </c>
      <c r="K97" s="1" t="s">
        <v>2868</v>
      </c>
      <c r="L97" s="1" t="s">
        <v>2869</v>
      </c>
      <c r="M97" s="1" t="s">
        <v>230</v>
      </c>
      <c r="N97" s="1" t="s">
        <v>2329</v>
      </c>
      <c r="O97" s="86" t="s">
        <v>2330</v>
      </c>
      <c r="P97" s="1">
        <v>1</v>
      </c>
      <c r="Q97" s="1" t="s">
        <v>2359</v>
      </c>
      <c r="R97" s="1" t="s">
        <v>2352</v>
      </c>
      <c r="S97" s="1" t="s">
        <v>2353</v>
      </c>
      <c r="T97" s="1" t="s">
        <v>2438</v>
      </c>
      <c r="U97" s="1" t="s">
        <v>2401</v>
      </c>
      <c r="V97" s="1" t="s">
        <v>2870</v>
      </c>
      <c r="W97" s="1"/>
      <c r="X97" s="1"/>
      <c r="Y97" s="1"/>
      <c r="Z97" s="1"/>
      <c r="AA97" s="1"/>
      <c r="AB97" s="1"/>
      <c r="AC97" s="88" t="s">
        <v>233</v>
      </c>
      <c r="AD97" s="88" t="s">
        <v>254</v>
      </c>
    </row>
    <row r="98" spans="1:30" hidden="1">
      <c r="A98" s="1">
        <v>2022</v>
      </c>
      <c r="B98" s="1">
        <v>202210</v>
      </c>
      <c r="C98" s="1">
        <v>202216188</v>
      </c>
      <c r="D98" s="1" t="s">
        <v>2871</v>
      </c>
      <c r="E98" s="1" t="s">
        <v>2872</v>
      </c>
      <c r="F98" s="1" t="s">
        <v>94</v>
      </c>
      <c r="G98" s="85" t="str">
        <f>_xlfn.XLOOKUP(Tabla2[[#This Row],[Universidad]],Conversiones!$B:$B,Conversiones!$C:$C)</f>
        <v>Maastricht University</v>
      </c>
      <c r="H98" s="85" t="str">
        <f>_xlfn.XLOOKUP(Tabla2[[#This Row],[Universidad KPIs]],Conversiones!$C:$C,Conversiones!$E:$E)</f>
        <v>Específico</v>
      </c>
      <c r="I98" s="1" t="s">
        <v>95</v>
      </c>
      <c r="J98" s="1" t="s">
        <v>281</v>
      </c>
      <c r="K98" s="1" t="s">
        <v>2873</v>
      </c>
      <c r="L98" s="1" t="s">
        <v>2874</v>
      </c>
      <c r="M98" s="1" t="s">
        <v>230</v>
      </c>
      <c r="N98" s="1" t="s">
        <v>2329</v>
      </c>
      <c r="O98" s="86" t="s">
        <v>2330</v>
      </c>
      <c r="P98" s="1">
        <v>1</v>
      </c>
      <c r="Q98" s="1" t="s">
        <v>2359</v>
      </c>
      <c r="R98" s="1" t="s">
        <v>2875</v>
      </c>
      <c r="S98" s="1" t="s">
        <v>2876</v>
      </c>
      <c r="T98" s="1" t="s">
        <v>2438</v>
      </c>
      <c r="U98" s="1" t="s">
        <v>2333</v>
      </c>
      <c r="V98" s="1" t="s">
        <v>2419</v>
      </c>
      <c r="W98" s="1"/>
      <c r="X98" s="1"/>
      <c r="Y98" s="1"/>
      <c r="Z98" s="1"/>
      <c r="AA98" s="1"/>
      <c r="AB98" s="1"/>
      <c r="AC98" s="88" t="s">
        <v>233</v>
      </c>
      <c r="AD98" s="88" t="s">
        <v>254</v>
      </c>
    </row>
    <row r="99" spans="1:30" hidden="1">
      <c r="A99" s="1">
        <v>2022</v>
      </c>
      <c r="B99" s="1">
        <v>202210</v>
      </c>
      <c r="C99" s="1">
        <v>202216190</v>
      </c>
      <c r="D99" s="1" t="s">
        <v>2877</v>
      </c>
      <c r="E99" s="1" t="s">
        <v>2878</v>
      </c>
      <c r="F99" s="1" t="s">
        <v>94</v>
      </c>
      <c r="G99" s="85" t="str">
        <f>_xlfn.XLOOKUP(Tabla2[[#This Row],[Universidad]],Conversiones!$B:$B,Conversiones!$C:$C)</f>
        <v>Maastricht University</v>
      </c>
      <c r="H99" s="85" t="str">
        <f>_xlfn.XLOOKUP(Tabla2[[#This Row],[Universidad KPIs]],Conversiones!$C:$C,Conversiones!$E:$E)</f>
        <v>Específico</v>
      </c>
      <c r="I99" s="1" t="s">
        <v>95</v>
      </c>
      <c r="J99" s="1" t="s">
        <v>281</v>
      </c>
      <c r="K99" s="1" t="s">
        <v>2879</v>
      </c>
      <c r="L99" s="1" t="s">
        <v>2880</v>
      </c>
      <c r="M99" s="1" t="s">
        <v>230</v>
      </c>
      <c r="N99" s="1" t="s">
        <v>2329</v>
      </c>
      <c r="O99" s="86" t="s">
        <v>2330</v>
      </c>
      <c r="P99" s="1">
        <v>1</v>
      </c>
      <c r="Q99" s="1" t="s">
        <v>2359</v>
      </c>
      <c r="R99" s="1" t="s">
        <v>2331</v>
      </c>
      <c r="S99" s="1" t="s">
        <v>2438</v>
      </c>
      <c r="T99" s="1" t="s">
        <v>2401</v>
      </c>
      <c r="U99" s="1" t="s">
        <v>2870</v>
      </c>
      <c r="V99" s="1" t="s">
        <v>2419</v>
      </c>
      <c r="W99" s="1"/>
      <c r="X99" s="1"/>
      <c r="Y99" s="1"/>
      <c r="Z99" s="1"/>
      <c r="AA99" s="1"/>
      <c r="AB99" s="1"/>
      <c r="AC99" s="88" t="s">
        <v>233</v>
      </c>
      <c r="AD99" s="88" t="s">
        <v>254</v>
      </c>
    </row>
    <row r="100" spans="1:30" hidden="1">
      <c r="A100" s="1">
        <v>2022</v>
      </c>
      <c r="B100" s="1">
        <v>202210</v>
      </c>
      <c r="C100" s="1">
        <v>202216196</v>
      </c>
      <c r="D100" s="1" t="s">
        <v>2881</v>
      </c>
      <c r="E100" s="1" t="s">
        <v>2882</v>
      </c>
      <c r="F100" s="1" t="s">
        <v>96</v>
      </c>
      <c r="G100" s="85" t="str">
        <f>_xlfn.XLOOKUP(Tabla2[[#This Row],[Universidad]],Conversiones!$B:$B,Conversiones!$C:$C)</f>
        <v>McGill University</v>
      </c>
      <c r="H100" s="85" t="str">
        <f>_xlfn.XLOOKUP(Tabla2[[#This Row],[Universidad KPIs]],Conversiones!$C:$C,Conversiones!$E:$E)</f>
        <v>Específico</v>
      </c>
      <c r="I100" s="1" t="s">
        <v>74</v>
      </c>
      <c r="J100" s="1" t="s">
        <v>291</v>
      </c>
      <c r="K100" s="1" t="s">
        <v>2883</v>
      </c>
      <c r="L100" s="1" t="s">
        <v>2884</v>
      </c>
      <c r="M100" s="1" t="s">
        <v>230</v>
      </c>
      <c r="N100" s="1" t="s">
        <v>2329</v>
      </c>
      <c r="O100" s="86" t="s">
        <v>2330</v>
      </c>
      <c r="P100" s="1">
        <v>1</v>
      </c>
      <c r="Q100" s="1" t="s">
        <v>2367</v>
      </c>
      <c r="R100" s="1" t="s">
        <v>2663</v>
      </c>
      <c r="S100" s="1" t="s">
        <v>2859</v>
      </c>
      <c r="T100" s="1" t="s">
        <v>2885</v>
      </c>
      <c r="U100" s="1"/>
      <c r="V100" s="1"/>
      <c r="W100" s="1"/>
      <c r="X100" s="1"/>
      <c r="Y100" s="1"/>
      <c r="Z100" s="1"/>
      <c r="AA100" s="1"/>
      <c r="AB100" s="1"/>
      <c r="AC100" s="88" t="s">
        <v>233</v>
      </c>
      <c r="AD100" s="88" t="s">
        <v>254</v>
      </c>
    </row>
    <row r="101" spans="1:30" hidden="1">
      <c r="A101" s="1">
        <v>2022</v>
      </c>
      <c r="B101" s="1">
        <v>202210</v>
      </c>
      <c r="C101" s="1">
        <v>202216222</v>
      </c>
      <c r="D101" s="1" t="s">
        <v>2886</v>
      </c>
      <c r="E101" s="1" t="s">
        <v>2887</v>
      </c>
      <c r="F101" s="1" t="s">
        <v>96</v>
      </c>
      <c r="G101" s="85" t="str">
        <f>_xlfn.XLOOKUP(Tabla2[[#This Row],[Universidad]],Conversiones!$B:$B,Conversiones!$C:$C)</f>
        <v>McGill University</v>
      </c>
      <c r="H101" s="85" t="str">
        <f>_xlfn.XLOOKUP(Tabla2[[#This Row],[Universidad KPIs]],Conversiones!$C:$C,Conversiones!$E:$E)</f>
        <v>Específico</v>
      </c>
      <c r="I101" s="1" t="s">
        <v>74</v>
      </c>
      <c r="J101" s="1" t="s">
        <v>291</v>
      </c>
      <c r="K101" s="1" t="s">
        <v>2888</v>
      </c>
      <c r="L101" s="1" t="s">
        <v>2889</v>
      </c>
      <c r="M101" s="1" t="s">
        <v>230</v>
      </c>
      <c r="N101" s="1" t="s">
        <v>2329</v>
      </c>
      <c r="O101" s="86" t="s">
        <v>2330</v>
      </c>
      <c r="P101" s="1">
        <v>1</v>
      </c>
      <c r="Q101" s="1" t="s">
        <v>2367</v>
      </c>
      <c r="R101" s="1" t="s">
        <v>2890</v>
      </c>
      <c r="S101" s="1" t="s">
        <v>2472</v>
      </c>
      <c r="T101" s="1" t="s">
        <v>2891</v>
      </c>
      <c r="U101" s="1"/>
      <c r="V101" s="1"/>
      <c r="W101" s="1"/>
      <c r="X101" s="1"/>
      <c r="Y101" s="1"/>
      <c r="Z101" s="1"/>
      <c r="AA101" s="1"/>
      <c r="AB101" s="1"/>
      <c r="AC101" s="88" t="s">
        <v>233</v>
      </c>
      <c r="AD101" s="88" t="s">
        <v>254</v>
      </c>
    </row>
    <row r="102" spans="1:30" hidden="1">
      <c r="A102" s="1">
        <v>2022</v>
      </c>
      <c r="B102" s="1">
        <v>202210</v>
      </c>
      <c r="C102" s="1">
        <v>202216137</v>
      </c>
      <c r="D102" s="1" t="s">
        <v>2892</v>
      </c>
      <c r="E102" s="1" t="s">
        <v>2893</v>
      </c>
      <c r="F102" s="1" t="s">
        <v>286</v>
      </c>
      <c r="G102" s="85" t="str">
        <f>_xlfn.XLOOKUP(Tabla2[[#This Row],[Universidad]],Conversiones!$B:$B,Conversiones!$C:$C)</f>
        <v>ESC Rouen (NEOMA)</v>
      </c>
      <c r="H102" s="85" t="str">
        <f>_xlfn.XLOOKUP(Tabla2[[#This Row],[Universidad KPIs]],Conversiones!$C:$C,Conversiones!$E:$E)</f>
        <v>Específico</v>
      </c>
      <c r="I102" s="1" t="s">
        <v>57</v>
      </c>
      <c r="J102" s="1" t="s">
        <v>281</v>
      </c>
      <c r="K102" s="1" t="s">
        <v>2894</v>
      </c>
      <c r="L102" s="1" t="s">
        <v>2895</v>
      </c>
      <c r="M102" s="1" t="s">
        <v>230</v>
      </c>
      <c r="N102" s="1" t="s">
        <v>2329</v>
      </c>
      <c r="O102" s="86" t="s">
        <v>2330</v>
      </c>
      <c r="P102" s="1">
        <v>1</v>
      </c>
      <c r="Q102" s="1" t="s">
        <v>2663</v>
      </c>
      <c r="R102" s="1" t="s">
        <v>2340</v>
      </c>
      <c r="S102" s="1" t="s">
        <v>2338</v>
      </c>
      <c r="T102" s="1" t="s">
        <v>2891</v>
      </c>
      <c r="U102" s="1"/>
      <c r="V102" s="1"/>
      <c r="W102" s="1"/>
      <c r="X102" s="1"/>
      <c r="Y102" s="1"/>
      <c r="Z102" s="1"/>
      <c r="AA102" s="1"/>
      <c r="AB102" s="1"/>
      <c r="AC102" s="88" t="s">
        <v>250</v>
      </c>
      <c r="AD102" s="88" t="s">
        <v>247</v>
      </c>
    </row>
    <row r="103" spans="1:30" hidden="1">
      <c r="A103" s="1">
        <v>2022</v>
      </c>
      <c r="B103" s="1">
        <v>202210</v>
      </c>
      <c r="C103" s="1">
        <v>202216139</v>
      </c>
      <c r="D103" s="1" t="s">
        <v>2896</v>
      </c>
      <c r="E103" s="1" t="s">
        <v>2897</v>
      </c>
      <c r="F103" s="1" t="s">
        <v>286</v>
      </c>
      <c r="G103" s="85" t="str">
        <f>_xlfn.XLOOKUP(Tabla2[[#This Row],[Universidad]],Conversiones!$B:$B,Conversiones!$C:$C)</f>
        <v>ESC Rouen (NEOMA)</v>
      </c>
      <c r="H103" s="85" t="str">
        <f>_xlfn.XLOOKUP(Tabla2[[#This Row],[Universidad KPIs]],Conversiones!$C:$C,Conversiones!$E:$E)</f>
        <v>Específico</v>
      </c>
      <c r="I103" s="1" t="s">
        <v>57</v>
      </c>
      <c r="J103" s="1" t="s">
        <v>281</v>
      </c>
      <c r="K103" s="1" t="s">
        <v>2898</v>
      </c>
      <c r="L103" s="1" t="s">
        <v>2899</v>
      </c>
      <c r="M103" s="1" t="s">
        <v>230</v>
      </c>
      <c r="N103" s="1" t="s">
        <v>2365</v>
      </c>
      <c r="O103" s="86" t="s">
        <v>2366</v>
      </c>
      <c r="P103" s="1">
        <v>1</v>
      </c>
      <c r="Q103" s="1" t="s">
        <v>2726</v>
      </c>
      <c r="R103" s="1" t="s">
        <v>2394</v>
      </c>
      <c r="S103" s="1" t="s">
        <v>2900</v>
      </c>
      <c r="T103" s="1" t="s">
        <v>2901</v>
      </c>
      <c r="U103" s="1" t="s">
        <v>2386</v>
      </c>
      <c r="V103" s="1"/>
      <c r="W103" s="1"/>
      <c r="X103" s="1"/>
      <c r="Y103" s="1"/>
      <c r="Z103" s="1"/>
      <c r="AA103" s="1"/>
      <c r="AB103" s="1"/>
      <c r="AC103" s="88" t="s">
        <v>238</v>
      </c>
      <c r="AD103" s="88" t="s">
        <v>247</v>
      </c>
    </row>
    <row r="104" spans="1:30" hidden="1">
      <c r="A104" s="1">
        <v>2022</v>
      </c>
      <c r="B104" s="1">
        <v>202210</v>
      </c>
      <c r="C104" s="1">
        <v>202216147</v>
      </c>
      <c r="D104" s="1" t="s">
        <v>2902</v>
      </c>
      <c r="E104" s="1" t="s">
        <v>2903</v>
      </c>
      <c r="F104" s="1" t="s">
        <v>155</v>
      </c>
      <c r="G104" s="85" t="str">
        <f>_xlfn.XLOOKUP(Tabla2[[#This Row],[Universidad]],Conversiones!$B:$B,Conversiones!$C:$C)</f>
        <v>Technische Universität München (TUM)</v>
      </c>
      <c r="H104" s="85" t="str">
        <f>_xlfn.XLOOKUP(Tabla2[[#This Row],[Universidad KPIs]],Conversiones!$C:$C,Conversiones!$E:$E)</f>
        <v>General</v>
      </c>
      <c r="I104" s="1" t="s">
        <v>76</v>
      </c>
      <c r="J104" s="1" t="s">
        <v>281</v>
      </c>
      <c r="K104" s="1" t="s">
        <v>2904</v>
      </c>
      <c r="L104" s="1" t="s">
        <v>2905</v>
      </c>
      <c r="M104" s="1" t="s">
        <v>230</v>
      </c>
      <c r="N104" s="1" t="s">
        <v>2365</v>
      </c>
      <c r="O104" s="86" t="s">
        <v>2366</v>
      </c>
      <c r="P104" s="1">
        <v>1</v>
      </c>
      <c r="Q104" s="1" t="s">
        <v>2370</v>
      </c>
      <c r="R104" s="1" t="s">
        <v>2891</v>
      </c>
      <c r="S104" s="1" t="s">
        <v>2517</v>
      </c>
      <c r="T104" s="1" t="s">
        <v>2906</v>
      </c>
      <c r="U104" s="1" t="s">
        <v>2495</v>
      </c>
      <c r="V104" s="1"/>
      <c r="W104" s="1"/>
      <c r="X104" s="1"/>
      <c r="Y104" s="1"/>
      <c r="Z104" s="1"/>
      <c r="AA104" s="1"/>
      <c r="AB104" s="1"/>
      <c r="AC104" s="88" t="s">
        <v>248</v>
      </c>
      <c r="AD104" s="88" t="s">
        <v>247</v>
      </c>
    </row>
    <row r="105" spans="1:30" hidden="1">
      <c r="A105" s="1">
        <v>2022</v>
      </c>
      <c r="B105" s="1">
        <v>202210</v>
      </c>
      <c r="C105" s="1">
        <v>202216149</v>
      </c>
      <c r="D105" s="1" t="s">
        <v>2907</v>
      </c>
      <c r="E105" s="1" t="s">
        <v>2908</v>
      </c>
      <c r="F105" s="1" t="s">
        <v>155</v>
      </c>
      <c r="G105" s="85" t="str">
        <f>_xlfn.XLOOKUP(Tabla2[[#This Row],[Universidad]],Conversiones!$B:$B,Conversiones!$C:$C)</f>
        <v>Technische Universität München (TUM)</v>
      </c>
      <c r="H105" s="85" t="str">
        <f>_xlfn.XLOOKUP(Tabla2[[#This Row],[Universidad KPIs]],Conversiones!$C:$C,Conversiones!$E:$E)</f>
        <v>General</v>
      </c>
      <c r="I105" s="1" t="s">
        <v>76</v>
      </c>
      <c r="J105" s="1" t="s">
        <v>281</v>
      </c>
      <c r="K105" s="1" t="s">
        <v>2909</v>
      </c>
      <c r="L105" s="1" t="s">
        <v>2910</v>
      </c>
      <c r="M105" s="1" t="s">
        <v>230</v>
      </c>
      <c r="N105" s="1" t="s">
        <v>2365</v>
      </c>
      <c r="O105" s="86" t="s">
        <v>2366</v>
      </c>
      <c r="P105" s="1">
        <v>1</v>
      </c>
      <c r="Q105" s="1" t="s">
        <v>2340</v>
      </c>
      <c r="R105" s="1" t="s">
        <v>2394</v>
      </c>
      <c r="S105" s="1" t="s">
        <v>2517</v>
      </c>
      <c r="T105" s="1" t="s">
        <v>2885</v>
      </c>
      <c r="U105" s="1" t="s">
        <v>2911</v>
      </c>
      <c r="V105" s="1" t="s">
        <v>2912</v>
      </c>
      <c r="W105" s="1" t="s">
        <v>2913</v>
      </c>
      <c r="X105" s="1"/>
      <c r="Y105" s="1"/>
      <c r="Z105" s="1"/>
      <c r="AA105" s="1"/>
      <c r="AB105" s="1"/>
      <c r="AC105" s="88" t="s">
        <v>250</v>
      </c>
      <c r="AD105" s="88" t="s">
        <v>247</v>
      </c>
    </row>
    <row r="106" spans="1:30" hidden="1">
      <c r="A106" s="1">
        <v>2022</v>
      </c>
      <c r="B106" s="1">
        <v>202210</v>
      </c>
      <c r="C106" s="1">
        <v>202216160</v>
      </c>
      <c r="D106" s="1" t="s">
        <v>2914</v>
      </c>
      <c r="E106" s="1" t="s">
        <v>2915</v>
      </c>
      <c r="F106" s="1" t="s">
        <v>310</v>
      </c>
      <c r="G106" s="85" t="str">
        <f>_xlfn.XLOOKUP(Tabla2[[#This Row],[Universidad]],Conversiones!$B:$B,Conversiones!$C:$C)</f>
        <v>Toulouse Business School</v>
      </c>
      <c r="H106" s="85" t="str">
        <f>_xlfn.XLOOKUP(Tabla2[[#This Row],[Universidad KPIs]],Conversiones!$C:$C,Conversiones!$E:$E)</f>
        <v>Específico</v>
      </c>
      <c r="I106" s="1" t="s">
        <v>57</v>
      </c>
      <c r="J106" s="1" t="s">
        <v>281</v>
      </c>
      <c r="K106" s="1" t="s">
        <v>2916</v>
      </c>
      <c r="L106" s="1" t="s">
        <v>2917</v>
      </c>
      <c r="M106" s="1" t="s">
        <v>230</v>
      </c>
      <c r="N106" s="1" t="s">
        <v>2329</v>
      </c>
      <c r="O106" s="86" t="s">
        <v>2330</v>
      </c>
      <c r="P106" s="1">
        <v>1</v>
      </c>
      <c r="Q106" s="1" t="s">
        <v>2918</v>
      </c>
      <c r="R106" s="1" t="s">
        <v>2360</v>
      </c>
      <c r="S106" s="1" t="s">
        <v>2919</v>
      </c>
      <c r="T106" s="1" t="s">
        <v>2920</v>
      </c>
      <c r="U106" s="1" t="s">
        <v>2566</v>
      </c>
      <c r="V106" s="1"/>
      <c r="W106" s="1"/>
      <c r="X106" s="1"/>
      <c r="Y106" s="1"/>
      <c r="Z106" s="1"/>
      <c r="AA106" s="1"/>
      <c r="AB106" s="1"/>
      <c r="AC106" s="88" t="s">
        <v>233</v>
      </c>
      <c r="AD106" s="88" t="s">
        <v>254</v>
      </c>
    </row>
    <row r="107" spans="1:30" hidden="1">
      <c r="A107" s="1">
        <v>2022</v>
      </c>
      <c r="B107" s="1">
        <v>202210</v>
      </c>
      <c r="C107" s="1">
        <v>202216169</v>
      </c>
      <c r="D107" s="1" t="s">
        <v>2921</v>
      </c>
      <c r="E107" s="1" t="s">
        <v>2922</v>
      </c>
      <c r="F107" s="1" t="s">
        <v>310</v>
      </c>
      <c r="G107" s="85" t="str">
        <f>_xlfn.XLOOKUP(Tabla2[[#This Row],[Universidad]],Conversiones!$B:$B,Conversiones!$C:$C)</f>
        <v>Toulouse Business School</v>
      </c>
      <c r="H107" s="85" t="str">
        <f>_xlfn.XLOOKUP(Tabla2[[#This Row],[Universidad KPIs]],Conversiones!$C:$C,Conversiones!$E:$E)</f>
        <v>Específico</v>
      </c>
      <c r="I107" s="1" t="s">
        <v>57</v>
      </c>
      <c r="J107" s="1" t="s">
        <v>281</v>
      </c>
      <c r="K107" s="1" t="s">
        <v>2923</v>
      </c>
      <c r="L107" s="1" t="s">
        <v>2924</v>
      </c>
      <c r="M107" s="1" t="s">
        <v>230</v>
      </c>
      <c r="N107" s="1" t="s">
        <v>2329</v>
      </c>
      <c r="O107" s="86" t="s">
        <v>2330</v>
      </c>
      <c r="P107" s="1">
        <v>1</v>
      </c>
      <c r="Q107" s="1" t="s">
        <v>2352</v>
      </c>
      <c r="R107" s="1" t="s">
        <v>2353</v>
      </c>
      <c r="S107" s="1" t="s">
        <v>2438</v>
      </c>
      <c r="T107" s="1" t="s">
        <v>2919</v>
      </c>
      <c r="U107" s="1" t="s">
        <v>2920</v>
      </c>
      <c r="V107" s="1"/>
      <c r="W107" s="1"/>
      <c r="X107" s="1"/>
      <c r="Y107" s="1"/>
      <c r="Z107" s="1"/>
      <c r="AA107" s="1"/>
      <c r="AB107" s="1"/>
      <c r="AC107" s="88" t="s">
        <v>233</v>
      </c>
      <c r="AD107" s="88" t="s">
        <v>254</v>
      </c>
    </row>
    <row r="108" spans="1:30" hidden="1">
      <c r="A108" s="1">
        <v>2022</v>
      </c>
      <c r="B108" s="1">
        <v>202210</v>
      </c>
      <c r="C108" s="1">
        <v>202216171</v>
      </c>
      <c r="D108" s="1" t="s">
        <v>2925</v>
      </c>
      <c r="E108" s="1" t="s">
        <v>2926</v>
      </c>
      <c r="F108" s="1" t="s">
        <v>310</v>
      </c>
      <c r="G108" s="85" t="str">
        <f>_xlfn.XLOOKUP(Tabla2[[#This Row],[Universidad]],Conversiones!$B:$B,Conversiones!$C:$C)</f>
        <v>Toulouse Business School</v>
      </c>
      <c r="H108" s="85" t="str">
        <f>_xlfn.XLOOKUP(Tabla2[[#This Row],[Universidad KPIs]],Conversiones!$C:$C,Conversiones!$E:$E)</f>
        <v>Específico</v>
      </c>
      <c r="I108" s="1" t="s">
        <v>57</v>
      </c>
      <c r="J108" s="1" t="s">
        <v>281</v>
      </c>
      <c r="K108" s="1" t="s">
        <v>2927</v>
      </c>
      <c r="L108" s="1" t="s">
        <v>2928</v>
      </c>
      <c r="M108" s="1" t="s">
        <v>230</v>
      </c>
      <c r="N108" s="1" t="s">
        <v>2329</v>
      </c>
      <c r="O108" s="86" t="s">
        <v>2330</v>
      </c>
      <c r="P108" s="1">
        <v>1</v>
      </c>
      <c r="Q108" s="1" t="s">
        <v>2352</v>
      </c>
      <c r="R108" s="1" t="s">
        <v>2487</v>
      </c>
      <c r="S108" s="1" t="s">
        <v>2918</v>
      </c>
      <c r="T108" s="1" t="s">
        <v>2338</v>
      </c>
      <c r="U108" s="1" t="s">
        <v>2919</v>
      </c>
      <c r="V108" s="1"/>
      <c r="W108" s="1"/>
      <c r="X108" s="1"/>
      <c r="Y108" s="1"/>
      <c r="Z108" s="1"/>
      <c r="AA108" s="1"/>
      <c r="AB108" s="1"/>
      <c r="AC108" s="88" t="s">
        <v>233</v>
      </c>
      <c r="AD108" s="88" t="s">
        <v>254</v>
      </c>
    </row>
    <row r="109" spans="1:30" hidden="1">
      <c r="A109" s="1">
        <v>2022</v>
      </c>
      <c r="B109" s="1">
        <v>202210</v>
      </c>
      <c r="C109" s="1">
        <v>202216204</v>
      </c>
      <c r="D109" s="1" t="s">
        <v>2929</v>
      </c>
      <c r="E109" s="1" t="s">
        <v>2930</v>
      </c>
      <c r="F109" s="1" t="s">
        <v>310</v>
      </c>
      <c r="G109" s="85" t="str">
        <f>_xlfn.XLOOKUP(Tabla2[[#This Row],[Universidad]],Conversiones!$B:$B,Conversiones!$C:$C)</f>
        <v>Toulouse Business School</v>
      </c>
      <c r="H109" s="85" t="str">
        <f>_xlfn.XLOOKUP(Tabla2[[#This Row],[Universidad KPIs]],Conversiones!$C:$C,Conversiones!$E:$E)</f>
        <v>Específico</v>
      </c>
      <c r="I109" s="1" t="s">
        <v>57</v>
      </c>
      <c r="J109" s="1" t="s">
        <v>281</v>
      </c>
      <c r="K109" s="1" t="s">
        <v>2931</v>
      </c>
      <c r="L109" s="1" t="s">
        <v>2932</v>
      </c>
      <c r="M109" s="1" t="s">
        <v>230</v>
      </c>
      <c r="N109" s="1" t="s">
        <v>2329</v>
      </c>
      <c r="O109" s="86" t="s">
        <v>2330</v>
      </c>
      <c r="P109" s="1">
        <v>1</v>
      </c>
      <c r="Q109" s="1" t="s">
        <v>2663</v>
      </c>
      <c r="R109" s="1" t="s">
        <v>2400</v>
      </c>
      <c r="S109" s="1" t="s">
        <v>2338</v>
      </c>
      <c r="T109" s="1" t="s">
        <v>2394</v>
      </c>
      <c r="U109" s="1" t="s">
        <v>2339</v>
      </c>
      <c r="V109" s="1"/>
      <c r="W109" s="1"/>
      <c r="X109" s="1"/>
      <c r="Y109" s="1"/>
      <c r="Z109" s="1"/>
      <c r="AA109" s="1"/>
      <c r="AB109" s="1"/>
      <c r="AC109" s="88" t="s">
        <v>233</v>
      </c>
      <c r="AD109" s="88" t="s">
        <v>254</v>
      </c>
    </row>
    <row r="110" spans="1:30" hidden="1">
      <c r="A110" s="1">
        <v>2022</v>
      </c>
      <c r="B110" s="1">
        <v>202210</v>
      </c>
      <c r="C110" s="1">
        <v>202216205</v>
      </c>
      <c r="D110" s="1" t="s">
        <v>2933</v>
      </c>
      <c r="E110" s="1" t="s">
        <v>2934</v>
      </c>
      <c r="F110" s="1" t="s">
        <v>372</v>
      </c>
      <c r="G110" s="85" t="str">
        <f>_xlfn.XLOOKUP(Tabla2[[#This Row],[Universidad]],Conversiones!$B:$B,Conversiones!$C:$C)</f>
        <v>A.B. Freeman School of Business, Tulane University</v>
      </c>
      <c r="H110" s="85" t="str">
        <f>_xlfn.XLOOKUP(Tabla2[[#This Row],[Universidad KPIs]],Conversiones!$C:$C,Conversiones!$E:$E)</f>
        <v>Específico</v>
      </c>
      <c r="I110" s="1" t="s">
        <v>51</v>
      </c>
      <c r="J110" s="1" t="s">
        <v>291</v>
      </c>
      <c r="K110" s="1" t="s">
        <v>2935</v>
      </c>
      <c r="L110" s="1" t="s">
        <v>2936</v>
      </c>
      <c r="M110" s="1" t="s">
        <v>230</v>
      </c>
      <c r="N110" s="1" t="s">
        <v>2329</v>
      </c>
      <c r="O110" s="86" t="s">
        <v>2330</v>
      </c>
      <c r="P110" s="1">
        <v>1</v>
      </c>
      <c r="Q110" s="1" t="s">
        <v>2472</v>
      </c>
      <c r="R110" s="1" t="s">
        <v>2394</v>
      </c>
      <c r="S110" s="1" t="s">
        <v>2360</v>
      </c>
      <c r="T110" s="1" t="s">
        <v>2401</v>
      </c>
      <c r="U110" s="1"/>
      <c r="V110" s="1"/>
      <c r="W110" s="1"/>
      <c r="X110" s="1"/>
      <c r="Y110" s="1"/>
      <c r="Z110" s="1"/>
      <c r="AA110" s="1"/>
      <c r="AB110" s="1"/>
      <c r="AC110" s="88" t="s">
        <v>233</v>
      </c>
      <c r="AD110" s="88" t="s">
        <v>254</v>
      </c>
    </row>
    <row r="111" spans="1:30" hidden="1">
      <c r="A111" s="1">
        <v>2022</v>
      </c>
      <c r="B111" s="1">
        <v>202210</v>
      </c>
      <c r="C111" s="1">
        <v>202216226</v>
      </c>
      <c r="D111" s="1" t="s">
        <v>2937</v>
      </c>
      <c r="E111" s="1" t="s">
        <v>2938</v>
      </c>
      <c r="F111" s="1" t="s">
        <v>372</v>
      </c>
      <c r="G111" s="85" t="str">
        <f>_xlfn.XLOOKUP(Tabla2[[#This Row],[Universidad]],Conversiones!$B:$B,Conversiones!$C:$C)</f>
        <v>A.B. Freeman School of Business, Tulane University</v>
      </c>
      <c r="H111" s="85" t="str">
        <f>_xlfn.XLOOKUP(Tabla2[[#This Row],[Universidad KPIs]],Conversiones!$C:$C,Conversiones!$E:$E)</f>
        <v>Específico</v>
      </c>
      <c r="I111" s="1" t="s">
        <v>51</v>
      </c>
      <c r="J111" s="1" t="s">
        <v>291</v>
      </c>
      <c r="K111" s="1" t="s">
        <v>2939</v>
      </c>
      <c r="L111" s="1" t="s">
        <v>2940</v>
      </c>
      <c r="M111" s="1" t="s">
        <v>230</v>
      </c>
      <c r="N111" s="1" t="s">
        <v>2329</v>
      </c>
      <c r="O111" s="86" t="s">
        <v>2330</v>
      </c>
      <c r="P111" s="1">
        <v>1</v>
      </c>
      <c r="Q111" s="1" t="s">
        <v>2609</v>
      </c>
      <c r="R111" s="1" t="s">
        <v>2472</v>
      </c>
      <c r="S111" s="1" t="s">
        <v>2339</v>
      </c>
      <c r="T111" s="1" t="s">
        <v>2360</v>
      </c>
      <c r="U111" s="1"/>
      <c r="V111" s="1"/>
      <c r="W111" s="1"/>
      <c r="X111" s="1"/>
      <c r="Y111" s="1"/>
      <c r="Z111" s="1"/>
      <c r="AA111" s="1"/>
      <c r="AB111" s="1"/>
      <c r="AC111" s="88" t="s">
        <v>233</v>
      </c>
      <c r="AD111" s="88" t="s">
        <v>254</v>
      </c>
    </row>
    <row r="112" spans="1:30" hidden="1">
      <c r="A112" s="1">
        <v>2022</v>
      </c>
      <c r="B112" s="1">
        <v>202210</v>
      </c>
      <c r="C112" s="1">
        <v>202216228</v>
      </c>
      <c r="D112" s="1" t="s">
        <v>2941</v>
      </c>
      <c r="E112" s="1" t="s">
        <v>2942</v>
      </c>
      <c r="F112" s="1" t="s">
        <v>372</v>
      </c>
      <c r="G112" s="85" t="str">
        <f>_xlfn.XLOOKUP(Tabla2[[#This Row],[Universidad]],Conversiones!$B:$B,Conversiones!$C:$C)</f>
        <v>A.B. Freeman School of Business, Tulane University</v>
      </c>
      <c r="H112" s="85" t="str">
        <f>_xlfn.XLOOKUP(Tabla2[[#This Row],[Universidad KPIs]],Conversiones!$C:$C,Conversiones!$E:$E)</f>
        <v>Específico</v>
      </c>
      <c r="I112" s="1" t="s">
        <v>51</v>
      </c>
      <c r="J112" s="1" t="s">
        <v>291</v>
      </c>
      <c r="K112" s="1" t="s">
        <v>2943</v>
      </c>
      <c r="L112" s="1" t="s">
        <v>2944</v>
      </c>
      <c r="M112" s="1" t="s">
        <v>230</v>
      </c>
      <c r="N112" s="1" t="s">
        <v>2329</v>
      </c>
      <c r="O112" s="86" t="s">
        <v>2330</v>
      </c>
      <c r="P112" s="1">
        <v>1</v>
      </c>
      <c r="Q112" s="1" t="s">
        <v>2890</v>
      </c>
      <c r="R112" s="1" t="s">
        <v>2609</v>
      </c>
      <c r="S112" s="1" t="s">
        <v>2918</v>
      </c>
      <c r="T112" s="1" t="s">
        <v>2472</v>
      </c>
      <c r="U112" s="1"/>
      <c r="V112" s="1"/>
      <c r="W112" s="1"/>
      <c r="X112" s="1"/>
      <c r="Y112" s="1"/>
      <c r="Z112" s="1"/>
      <c r="AA112" s="1"/>
      <c r="AB112" s="1"/>
      <c r="AC112" s="88" t="s">
        <v>233</v>
      </c>
      <c r="AD112" s="88" t="s">
        <v>254</v>
      </c>
    </row>
    <row r="113" spans="1:30" hidden="1">
      <c r="A113" s="1">
        <v>2022</v>
      </c>
      <c r="B113" s="1">
        <v>202210</v>
      </c>
      <c r="C113" s="1">
        <v>202216163</v>
      </c>
      <c r="D113" s="1" t="s">
        <v>2945</v>
      </c>
      <c r="E113" s="1" t="s">
        <v>2946</v>
      </c>
      <c r="F113" s="1" t="s">
        <v>2947</v>
      </c>
      <c r="G113" s="85" t="str">
        <f>_xlfn.XLOOKUP(Tabla2[[#This Row],[Universidad]],Conversiones!$B:$B,Conversiones!$C:$C)</f>
        <v>Universidad Católica Boliviana "San Pablo"</v>
      </c>
      <c r="H113" s="85" t="str">
        <f>_xlfn.XLOOKUP(Tabla2[[#This Row],[Universidad KPIs]],Conversiones!$C:$C,Conversiones!$E:$E)</f>
        <v>General</v>
      </c>
      <c r="I113" s="1" t="s">
        <v>158</v>
      </c>
      <c r="J113" s="1" t="s">
        <v>296</v>
      </c>
      <c r="K113" s="1" t="s">
        <v>2948</v>
      </c>
      <c r="L113" s="1" t="s">
        <v>2949</v>
      </c>
      <c r="M113" s="1" t="s">
        <v>230</v>
      </c>
      <c r="N113" s="1" t="s">
        <v>2329</v>
      </c>
      <c r="O113" s="86" t="s">
        <v>2330</v>
      </c>
      <c r="P113" s="1">
        <v>1</v>
      </c>
      <c r="Q113" s="1" t="s">
        <v>2950</v>
      </c>
      <c r="R113" s="1" t="s">
        <v>2901</v>
      </c>
      <c r="S113" s="1" t="s">
        <v>2951</v>
      </c>
      <c r="T113" s="1" t="s">
        <v>2952</v>
      </c>
      <c r="U113" s="1" t="s">
        <v>2953</v>
      </c>
      <c r="V113" s="1" t="s">
        <v>2756</v>
      </c>
      <c r="W113" s="1" t="s">
        <v>2556</v>
      </c>
      <c r="X113" s="1"/>
      <c r="Y113" s="1"/>
      <c r="Z113" s="1"/>
      <c r="AA113" s="1"/>
      <c r="AB113" s="1"/>
      <c r="AC113" s="88" t="s">
        <v>233</v>
      </c>
      <c r="AD113" s="88" t="s">
        <v>254</v>
      </c>
    </row>
    <row r="114" spans="1:30" hidden="1">
      <c r="A114" s="1">
        <v>2022</v>
      </c>
      <c r="B114" s="1">
        <v>202210</v>
      </c>
      <c r="C114" s="1">
        <v>202213258</v>
      </c>
      <c r="D114" s="1" t="s">
        <v>2954</v>
      </c>
      <c r="E114" s="1" t="s">
        <v>2955</v>
      </c>
      <c r="F114" s="1" t="s">
        <v>2234</v>
      </c>
      <c r="G114" s="85" t="str">
        <f>_xlfn.XLOOKUP(Tabla2[[#This Row],[Universidad]],Conversiones!$B:$B,Conversiones!$C:$C)</f>
        <v>Universidad Nacional Autonoma de México (UNAM)</v>
      </c>
      <c r="H114" s="85" t="str">
        <f>_xlfn.XLOOKUP(Tabla2[[#This Row],[Universidad KPIs]],Conversiones!$C:$C,Conversiones!$E:$E)</f>
        <v>General</v>
      </c>
      <c r="I114" s="1" t="s">
        <v>87</v>
      </c>
      <c r="J114" s="1" t="s">
        <v>291</v>
      </c>
      <c r="K114" s="1" t="s">
        <v>2956</v>
      </c>
      <c r="L114" s="1" t="s">
        <v>2957</v>
      </c>
      <c r="M114" s="1" t="s">
        <v>230</v>
      </c>
      <c r="N114" s="1" t="s">
        <v>2329</v>
      </c>
      <c r="O114" s="86" t="s">
        <v>2330</v>
      </c>
      <c r="P114" s="1">
        <v>1</v>
      </c>
      <c r="Q114" s="1" t="s">
        <v>2958</v>
      </c>
      <c r="R114" s="1" t="s">
        <v>2436</v>
      </c>
      <c r="S114" s="1" t="s">
        <v>2400</v>
      </c>
      <c r="T114" s="1" t="s">
        <v>2959</v>
      </c>
      <c r="U114" s="1"/>
      <c r="V114" s="1"/>
      <c r="W114" s="1"/>
      <c r="X114" s="1"/>
      <c r="Y114" s="1"/>
      <c r="Z114" s="1"/>
      <c r="AA114" s="1"/>
      <c r="AB114" s="1"/>
      <c r="AC114" s="88" t="s">
        <v>233</v>
      </c>
      <c r="AD114" s="88" t="s">
        <v>254</v>
      </c>
    </row>
    <row r="115" spans="1:30" hidden="1">
      <c r="A115" s="1">
        <v>2022</v>
      </c>
      <c r="B115" s="1">
        <v>202210</v>
      </c>
      <c r="C115" s="1">
        <v>202216150</v>
      </c>
      <c r="D115" s="1" t="s">
        <v>2300</v>
      </c>
      <c r="E115" s="1" t="s">
        <v>2960</v>
      </c>
      <c r="F115" s="1" t="s">
        <v>205</v>
      </c>
      <c r="G115" s="85" t="str">
        <f>_xlfn.XLOOKUP(Tabla2[[#This Row],[Universidad]],Conversiones!$B:$B,Conversiones!$C:$C)</f>
        <v>Università Ca' Foscari Venezia</v>
      </c>
      <c r="H115" s="85" t="str">
        <f>_xlfn.XLOOKUP(Tabla2[[#This Row],[Universidad KPIs]],Conversiones!$C:$C,Conversiones!$E:$E)</f>
        <v>General</v>
      </c>
      <c r="I115" s="1" t="s">
        <v>103</v>
      </c>
      <c r="J115" s="1" t="s">
        <v>281</v>
      </c>
      <c r="K115" s="1" t="s">
        <v>2961</v>
      </c>
      <c r="L115" s="1" t="s">
        <v>2962</v>
      </c>
      <c r="M115" s="1" t="s">
        <v>230</v>
      </c>
      <c r="N115" s="1" t="s">
        <v>2365</v>
      </c>
      <c r="O115" s="86" t="s">
        <v>2366</v>
      </c>
      <c r="P115" s="1">
        <v>1</v>
      </c>
      <c r="Q115" s="1" t="s">
        <v>2963</v>
      </c>
      <c r="R115" s="1" t="s">
        <v>2964</v>
      </c>
      <c r="S115" s="1" t="s">
        <v>2394</v>
      </c>
      <c r="T115" s="1" t="s">
        <v>2965</v>
      </c>
      <c r="U115" s="1" t="s">
        <v>2966</v>
      </c>
      <c r="V115" s="1"/>
      <c r="W115" s="1"/>
      <c r="X115" s="1"/>
      <c r="Y115" s="1"/>
      <c r="Z115" s="1"/>
      <c r="AA115" s="1"/>
      <c r="AB115" s="1"/>
      <c r="AC115" s="88" t="s">
        <v>250</v>
      </c>
      <c r="AD115" s="88" t="s">
        <v>247</v>
      </c>
    </row>
    <row r="116" spans="1:30" hidden="1">
      <c r="A116" s="1">
        <v>2022</v>
      </c>
      <c r="B116" s="1">
        <v>202210</v>
      </c>
      <c r="C116" s="1">
        <v>202124887</v>
      </c>
      <c r="D116" s="1" t="s">
        <v>2791</v>
      </c>
      <c r="E116" s="1" t="s">
        <v>2792</v>
      </c>
      <c r="F116" s="1" t="s">
        <v>1400</v>
      </c>
      <c r="G116" s="85" t="str">
        <f>_xlfn.XLOOKUP(Tabla2[[#This Row],[Universidad]],Conversiones!$B:$B,Conversiones!$C:$C)</f>
        <v>EM Strasbourg</v>
      </c>
      <c r="H116" s="85" t="str">
        <f>_xlfn.XLOOKUP(Tabla2[[#This Row],[Universidad KPIs]],Conversiones!$C:$C,Conversiones!$E:$E)</f>
        <v>Específico</v>
      </c>
      <c r="I116" s="1" t="s">
        <v>57</v>
      </c>
      <c r="J116" s="1" t="s">
        <v>281</v>
      </c>
      <c r="K116" s="1" t="s">
        <v>2793</v>
      </c>
      <c r="L116" s="1" t="s">
        <v>2794</v>
      </c>
      <c r="M116" s="1" t="s">
        <v>230</v>
      </c>
      <c r="N116" s="1" t="s">
        <v>2329</v>
      </c>
      <c r="O116" s="86" t="s">
        <v>2330</v>
      </c>
      <c r="P116" s="1">
        <v>1</v>
      </c>
      <c r="Q116" s="1" t="s">
        <v>2967</v>
      </c>
      <c r="R116" s="1" t="s">
        <v>2331</v>
      </c>
      <c r="S116" s="1" t="s">
        <v>2438</v>
      </c>
      <c r="T116" s="1" t="s">
        <v>2968</v>
      </c>
      <c r="U116" s="1" t="s">
        <v>2969</v>
      </c>
      <c r="V116" s="1"/>
      <c r="W116" s="1"/>
      <c r="X116" s="1"/>
      <c r="Y116" s="1"/>
      <c r="Z116" s="1"/>
      <c r="AA116" s="1"/>
      <c r="AB116" s="1"/>
      <c r="AC116" s="88" t="s">
        <v>233</v>
      </c>
      <c r="AD116" s="88" t="s">
        <v>254</v>
      </c>
    </row>
    <row r="117" spans="1:30" hidden="1">
      <c r="A117" s="1">
        <v>2022</v>
      </c>
      <c r="B117" s="1">
        <v>202220</v>
      </c>
      <c r="C117" s="1">
        <v>202224936</v>
      </c>
      <c r="D117" s="1" t="s">
        <v>2970</v>
      </c>
      <c r="E117" s="1" t="s">
        <v>2971</v>
      </c>
      <c r="F117" s="1" t="s">
        <v>381</v>
      </c>
      <c r="G117" s="85" t="str">
        <f>_xlfn.XLOOKUP(Tabla2[[#This Row],[Universidad]],Conversiones!$B:$B,Conversiones!$C:$C)</f>
        <v>Audencia. École de Management</v>
      </c>
      <c r="H117" s="85" t="str">
        <f>_xlfn.XLOOKUP(Tabla2[[#This Row],[Universidad KPIs]],Conversiones!$C:$C,Conversiones!$E:$E)</f>
        <v>Específico</v>
      </c>
      <c r="I117" s="1" t="s">
        <v>57</v>
      </c>
      <c r="J117" s="1" t="s">
        <v>281</v>
      </c>
      <c r="K117" s="1" t="s">
        <v>2972</v>
      </c>
      <c r="L117" s="1" t="s">
        <v>2973</v>
      </c>
      <c r="M117" s="1" t="s">
        <v>230</v>
      </c>
      <c r="N117" s="1" t="s">
        <v>2365</v>
      </c>
      <c r="O117" s="86" t="s">
        <v>2366</v>
      </c>
      <c r="P117" s="1">
        <v>1</v>
      </c>
      <c r="Q117" s="1" t="s">
        <v>2683</v>
      </c>
      <c r="R117" s="1" t="s">
        <v>2684</v>
      </c>
      <c r="S117" s="1" t="s">
        <v>2685</v>
      </c>
      <c r="T117" s="1" t="s">
        <v>2974</v>
      </c>
      <c r="U117" s="1" t="s">
        <v>2975</v>
      </c>
      <c r="V117" s="1"/>
      <c r="W117" s="1"/>
      <c r="X117" s="1"/>
      <c r="Y117" s="1"/>
      <c r="Z117" s="1"/>
      <c r="AA117" s="1"/>
      <c r="AB117" s="1"/>
      <c r="AC117" s="88" t="s">
        <v>239</v>
      </c>
      <c r="AD117" s="88" t="s">
        <v>247</v>
      </c>
    </row>
    <row r="118" spans="1:30" hidden="1">
      <c r="A118" s="1">
        <v>2022</v>
      </c>
      <c r="B118" s="1">
        <v>202220</v>
      </c>
      <c r="C118" s="1">
        <v>202225088</v>
      </c>
      <c r="D118" s="1" t="s">
        <v>2976</v>
      </c>
      <c r="E118" s="1" t="s">
        <v>2977</v>
      </c>
      <c r="F118" s="1" t="s">
        <v>381</v>
      </c>
      <c r="G118" s="85" t="str">
        <f>_xlfn.XLOOKUP(Tabla2[[#This Row],[Universidad]],Conversiones!$B:$B,Conversiones!$C:$C)</f>
        <v>Audencia. École de Management</v>
      </c>
      <c r="H118" s="85" t="str">
        <f>_xlfn.XLOOKUP(Tabla2[[#This Row],[Universidad KPIs]],Conversiones!$C:$C,Conversiones!$E:$E)</f>
        <v>Específico</v>
      </c>
      <c r="I118" s="1" t="s">
        <v>57</v>
      </c>
      <c r="J118" s="1" t="s">
        <v>281</v>
      </c>
      <c r="K118" s="1" t="s">
        <v>2978</v>
      </c>
      <c r="L118" s="1" t="s">
        <v>2979</v>
      </c>
      <c r="M118" s="1" t="s">
        <v>230</v>
      </c>
      <c r="N118" s="1" t="s">
        <v>2329</v>
      </c>
      <c r="O118" s="86" t="s">
        <v>2330</v>
      </c>
      <c r="P118" s="1">
        <v>1</v>
      </c>
      <c r="Q118" s="1" t="s">
        <v>2763</v>
      </c>
      <c r="R118" s="1" t="s">
        <v>2678</v>
      </c>
      <c r="S118" s="1" t="s">
        <v>2400</v>
      </c>
      <c r="T118" s="1" t="s">
        <v>2901</v>
      </c>
      <c r="U118" s="1" t="s">
        <v>2438</v>
      </c>
      <c r="V118" s="1"/>
      <c r="W118" s="1"/>
      <c r="X118" s="1"/>
      <c r="Y118" s="1"/>
      <c r="Z118" s="1"/>
      <c r="AA118" s="1"/>
      <c r="AB118" s="1"/>
      <c r="AC118" s="88" t="s">
        <v>233</v>
      </c>
      <c r="AD118" s="88" t="s">
        <v>254</v>
      </c>
    </row>
    <row r="119" spans="1:30" hidden="1">
      <c r="A119" s="1">
        <v>2022</v>
      </c>
      <c r="B119" s="1">
        <v>202220</v>
      </c>
      <c r="C119" s="1">
        <v>202225104</v>
      </c>
      <c r="D119" s="1" t="s">
        <v>2980</v>
      </c>
      <c r="E119" s="1" t="s">
        <v>2981</v>
      </c>
      <c r="F119" s="1" t="s">
        <v>366</v>
      </c>
      <c r="G119" s="85" t="str">
        <f>_xlfn.XLOOKUP(Tabla2[[#This Row],[Universidad]],Conversiones!$B:$B,Conversiones!$C:$C)</f>
        <v>HEC Montréal</v>
      </c>
      <c r="H119" s="85" t="str">
        <f>_xlfn.XLOOKUP(Tabla2[[#This Row],[Universidad KPIs]],Conversiones!$C:$C,Conversiones!$E:$E)</f>
        <v>Específico</v>
      </c>
      <c r="I119" s="1" t="s">
        <v>74</v>
      </c>
      <c r="J119" s="1" t="s">
        <v>291</v>
      </c>
      <c r="K119" s="1" t="s">
        <v>2982</v>
      </c>
      <c r="L119" s="1" t="s">
        <v>2983</v>
      </c>
      <c r="M119" s="1" t="s">
        <v>230</v>
      </c>
      <c r="N119" s="1" t="s">
        <v>2329</v>
      </c>
      <c r="O119" s="86" t="s">
        <v>2330</v>
      </c>
      <c r="P119" s="1">
        <v>1</v>
      </c>
      <c r="Q119" s="1" t="s">
        <v>2359</v>
      </c>
      <c r="R119" s="1" t="s">
        <v>2338</v>
      </c>
      <c r="S119" s="1" t="s">
        <v>2339</v>
      </c>
      <c r="T119" s="1" t="s">
        <v>2438</v>
      </c>
      <c r="U119" s="1" t="s">
        <v>2920</v>
      </c>
      <c r="V119" s="1"/>
      <c r="W119" s="1"/>
      <c r="X119" s="1"/>
      <c r="Y119" s="1"/>
      <c r="Z119" s="1"/>
      <c r="AA119" s="1"/>
      <c r="AB119" s="1"/>
      <c r="AC119" s="88" t="s">
        <v>233</v>
      </c>
      <c r="AD119" s="88" t="s">
        <v>254</v>
      </c>
    </row>
    <row r="120" spans="1:30" hidden="1">
      <c r="A120" s="1">
        <v>2022</v>
      </c>
      <c r="B120" s="1">
        <v>202220</v>
      </c>
      <c r="C120" s="1">
        <v>202224951</v>
      </c>
      <c r="D120" s="1" t="s">
        <v>2984</v>
      </c>
      <c r="E120" s="1" t="s">
        <v>2985</v>
      </c>
      <c r="F120" s="1" t="s">
        <v>419</v>
      </c>
      <c r="G120" s="85" t="str">
        <f>_xlfn.XLOOKUP(Tabla2[[#This Row],[Universidad]],Conversiones!$B:$B,Conversiones!$C:$C)</f>
        <v>ESCP</v>
      </c>
      <c r="H120" s="85" t="str">
        <f>_xlfn.XLOOKUP(Tabla2[[#This Row],[Universidad KPIs]],Conversiones!$C:$C,Conversiones!$E:$E)</f>
        <v>Específico</v>
      </c>
      <c r="I120" s="1" t="s">
        <v>57</v>
      </c>
      <c r="J120" s="1" t="s">
        <v>281</v>
      </c>
      <c r="K120" s="1" t="s">
        <v>2986</v>
      </c>
      <c r="L120" s="1" t="s">
        <v>2987</v>
      </c>
      <c r="M120" s="1" t="s">
        <v>230</v>
      </c>
      <c r="N120" s="1" t="s">
        <v>2365</v>
      </c>
      <c r="O120" s="86" t="s">
        <v>2366</v>
      </c>
      <c r="P120" s="1">
        <v>1</v>
      </c>
      <c r="Q120" s="1" t="s">
        <v>2738</v>
      </c>
      <c r="R120" s="1" t="s">
        <v>2739</v>
      </c>
      <c r="S120" s="1" t="s">
        <v>2988</v>
      </c>
      <c r="T120" s="1" t="s">
        <v>2989</v>
      </c>
      <c r="U120" s="1" t="s">
        <v>2703</v>
      </c>
      <c r="V120" s="1"/>
      <c r="W120" s="1"/>
      <c r="X120" s="1"/>
      <c r="Y120" s="1"/>
      <c r="Z120" s="1"/>
      <c r="AA120" s="1"/>
      <c r="AB120" s="1"/>
      <c r="AC120" s="88" t="s">
        <v>238</v>
      </c>
      <c r="AD120" s="88" t="s">
        <v>247</v>
      </c>
    </row>
    <row r="121" spans="1:30" hidden="1">
      <c r="A121" s="1">
        <v>2022</v>
      </c>
      <c r="B121" s="1">
        <v>202220</v>
      </c>
      <c r="C121" s="1">
        <v>202225101</v>
      </c>
      <c r="D121" s="1" t="s">
        <v>2990</v>
      </c>
      <c r="E121" s="1" t="s">
        <v>2991</v>
      </c>
      <c r="F121" s="1" t="s">
        <v>419</v>
      </c>
      <c r="G121" s="85" t="str">
        <f>_xlfn.XLOOKUP(Tabla2[[#This Row],[Universidad]],Conversiones!$B:$B,Conversiones!$C:$C)</f>
        <v>ESCP</v>
      </c>
      <c r="H121" s="85" t="str">
        <f>_xlfn.XLOOKUP(Tabla2[[#This Row],[Universidad KPIs]],Conversiones!$C:$C,Conversiones!$E:$E)</f>
        <v>Específico</v>
      </c>
      <c r="I121" s="1" t="s">
        <v>57</v>
      </c>
      <c r="J121" s="1" t="s">
        <v>281</v>
      </c>
      <c r="K121" s="1" t="s">
        <v>2992</v>
      </c>
      <c r="L121" s="1" t="s">
        <v>2993</v>
      </c>
      <c r="M121" s="1" t="s">
        <v>230</v>
      </c>
      <c r="N121" s="1" t="s">
        <v>2329</v>
      </c>
      <c r="O121" s="86" t="s">
        <v>2330</v>
      </c>
      <c r="P121" s="1">
        <v>1</v>
      </c>
      <c r="Q121" s="1" t="s">
        <v>2994</v>
      </c>
      <c r="R121" s="1" t="s">
        <v>2685</v>
      </c>
      <c r="S121" s="1" t="s">
        <v>2995</v>
      </c>
      <c r="T121" s="1" t="s">
        <v>2996</v>
      </c>
      <c r="U121" s="1"/>
      <c r="V121" s="1"/>
      <c r="W121" s="1"/>
      <c r="X121" s="1"/>
      <c r="Y121" s="1"/>
      <c r="Z121" s="1"/>
      <c r="AA121" s="1"/>
      <c r="AB121" s="1"/>
      <c r="AC121" s="88" t="s">
        <v>237</v>
      </c>
      <c r="AD121" s="88" t="s">
        <v>247</v>
      </c>
    </row>
    <row r="122" spans="1:30" hidden="1">
      <c r="A122" s="1">
        <v>2022</v>
      </c>
      <c r="B122" s="1">
        <v>202220</v>
      </c>
      <c r="C122" s="1">
        <v>202224937</v>
      </c>
      <c r="D122" s="1" t="s">
        <v>2997</v>
      </c>
      <c r="E122" s="1" t="s">
        <v>2998</v>
      </c>
      <c r="F122" s="1" t="s">
        <v>329</v>
      </c>
      <c r="G122" s="85" t="str">
        <f>_xlfn.XLOOKUP(Tabla2[[#This Row],[Universidad]],Conversiones!$B:$B,Conversiones!$C:$C)</f>
        <v>ESSEC</v>
      </c>
      <c r="H122" s="85" t="str">
        <f>_xlfn.XLOOKUP(Tabla2[[#This Row],[Universidad KPIs]],Conversiones!$C:$C,Conversiones!$E:$E)</f>
        <v>Específico</v>
      </c>
      <c r="I122" s="1" t="s">
        <v>57</v>
      </c>
      <c r="J122" s="1" t="s">
        <v>281</v>
      </c>
      <c r="K122" s="1" t="s">
        <v>2999</v>
      </c>
      <c r="L122" s="1" t="s">
        <v>3000</v>
      </c>
      <c r="M122" s="1" t="s">
        <v>230</v>
      </c>
      <c r="N122" s="1" t="s">
        <v>2365</v>
      </c>
      <c r="O122" s="86" t="s">
        <v>2366</v>
      </c>
      <c r="P122" s="1">
        <v>1</v>
      </c>
      <c r="Q122" s="1" t="s">
        <v>2994</v>
      </c>
      <c r="R122" s="1" t="s">
        <v>2685</v>
      </c>
      <c r="S122" s="1" t="s">
        <v>2691</v>
      </c>
      <c r="T122" s="1"/>
      <c r="U122" s="1"/>
      <c r="V122" s="1"/>
      <c r="W122" s="1"/>
      <c r="X122" s="1"/>
      <c r="Y122" s="1"/>
      <c r="Z122" s="1"/>
      <c r="AA122" s="1"/>
      <c r="AB122" s="1"/>
      <c r="AC122" s="88" t="s">
        <v>238</v>
      </c>
      <c r="AD122" s="88" t="s">
        <v>247</v>
      </c>
    </row>
    <row r="123" spans="1:30" hidden="1">
      <c r="A123" s="1">
        <v>2022</v>
      </c>
      <c r="B123" s="1">
        <v>202220</v>
      </c>
      <c r="C123" s="1">
        <v>202225031</v>
      </c>
      <c r="D123" s="1" t="s">
        <v>3001</v>
      </c>
      <c r="E123" s="1" t="s">
        <v>3002</v>
      </c>
      <c r="F123" s="1" t="s">
        <v>329</v>
      </c>
      <c r="G123" s="85" t="str">
        <f>_xlfn.XLOOKUP(Tabla2[[#This Row],[Universidad]],Conversiones!$B:$B,Conversiones!$C:$C)</f>
        <v>ESSEC</v>
      </c>
      <c r="H123" s="85" t="str">
        <f>_xlfn.XLOOKUP(Tabla2[[#This Row],[Universidad KPIs]],Conversiones!$C:$C,Conversiones!$E:$E)</f>
        <v>Específico</v>
      </c>
      <c r="I123" s="1" t="s">
        <v>57</v>
      </c>
      <c r="J123" s="1" t="s">
        <v>281</v>
      </c>
      <c r="K123" s="1" t="s">
        <v>3003</v>
      </c>
      <c r="L123" s="1" t="s">
        <v>3004</v>
      </c>
      <c r="M123" s="1" t="s">
        <v>230</v>
      </c>
      <c r="N123" s="1" t="s">
        <v>2329</v>
      </c>
      <c r="O123" s="86" t="s">
        <v>2330</v>
      </c>
      <c r="P123" s="1">
        <v>1</v>
      </c>
      <c r="Q123" s="1" t="s">
        <v>2762</v>
      </c>
      <c r="R123" s="1" t="s">
        <v>2632</v>
      </c>
      <c r="S123" s="1" t="s">
        <v>3005</v>
      </c>
      <c r="T123" s="1" t="s">
        <v>2413</v>
      </c>
      <c r="U123" s="1" t="s">
        <v>2438</v>
      </c>
      <c r="V123" s="1"/>
      <c r="W123" s="1"/>
      <c r="X123" s="1"/>
      <c r="Y123" s="1"/>
      <c r="Z123" s="1"/>
      <c r="AA123" s="1"/>
      <c r="AB123" s="1"/>
      <c r="AC123" s="88" t="s">
        <v>233</v>
      </c>
      <c r="AD123" s="88" t="s">
        <v>254</v>
      </c>
    </row>
    <row r="124" spans="1:30" hidden="1">
      <c r="A124" s="1">
        <v>2022</v>
      </c>
      <c r="B124" s="1">
        <v>202220</v>
      </c>
      <c r="C124" s="1">
        <v>202225008</v>
      </c>
      <c r="D124" s="1" t="s">
        <v>3006</v>
      </c>
      <c r="E124" s="1" t="s">
        <v>3007</v>
      </c>
      <c r="F124" s="1" t="s">
        <v>650</v>
      </c>
      <c r="G124" s="85" t="str">
        <f>_xlfn.XLOOKUP(Tabla2[[#This Row],[Universidad]],Conversiones!$B:$B,Conversiones!$C:$C)</f>
        <v>Grenoble. École de Management</v>
      </c>
      <c r="H124" s="85" t="str">
        <f>_xlfn.XLOOKUP(Tabla2[[#This Row],[Universidad KPIs]],Conversiones!$C:$C,Conversiones!$E:$E)</f>
        <v>Específico</v>
      </c>
      <c r="I124" s="1" t="s">
        <v>57</v>
      </c>
      <c r="J124" s="1" t="s">
        <v>281</v>
      </c>
      <c r="K124" s="1" t="s">
        <v>3008</v>
      </c>
      <c r="L124" s="1" t="s">
        <v>3009</v>
      </c>
      <c r="M124" s="1" t="s">
        <v>230</v>
      </c>
      <c r="N124" s="1" t="s">
        <v>2329</v>
      </c>
      <c r="O124" s="86" t="s">
        <v>2330</v>
      </c>
      <c r="P124" s="1">
        <v>1</v>
      </c>
      <c r="Q124" s="1" t="s">
        <v>2352</v>
      </c>
      <c r="R124" s="1" t="s">
        <v>2400</v>
      </c>
      <c r="S124" s="1" t="s">
        <v>2338</v>
      </c>
      <c r="T124" s="1" t="s">
        <v>2331</v>
      </c>
      <c r="U124" s="1"/>
      <c r="V124" s="1"/>
      <c r="W124" s="1"/>
      <c r="X124" s="1"/>
      <c r="Y124" s="1"/>
      <c r="Z124" s="1"/>
      <c r="AA124" s="1"/>
      <c r="AB124" s="1"/>
      <c r="AC124" s="88" t="s">
        <v>237</v>
      </c>
      <c r="AD124" s="88" t="s">
        <v>247</v>
      </c>
    </row>
    <row r="125" spans="1:30" hidden="1">
      <c r="A125" s="1">
        <v>2022</v>
      </c>
      <c r="B125" s="1">
        <v>202220</v>
      </c>
      <c r="C125" s="1">
        <v>202225051</v>
      </c>
      <c r="D125" s="1" t="s">
        <v>3010</v>
      </c>
      <c r="E125" s="1" t="s">
        <v>3011</v>
      </c>
      <c r="F125" s="1" t="s">
        <v>441</v>
      </c>
      <c r="G125" s="85" t="str">
        <f>_xlfn.XLOOKUP(Tabla2[[#This Row],[Universidad]],Conversiones!$B:$B,Conversiones!$C:$C)</f>
        <v xml:space="preserve">CBS- Copenhagen Business School  </v>
      </c>
      <c r="H125" s="85" t="str">
        <f>_xlfn.XLOOKUP(Tabla2[[#This Row],[Universidad KPIs]],Conversiones!$C:$C,Conversiones!$E:$E)</f>
        <v>Específico</v>
      </c>
      <c r="I125" s="1" t="s">
        <v>63</v>
      </c>
      <c r="J125" s="1" t="s">
        <v>281</v>
      </c>
      <c r="K125" s="1" t="s">
        <v>3012</v>
      </c>
      <c r="L125" s="1" t="s">
        <v>3013</v>
      </c>
      <c r="M125" s="1" t="s">
        <v>230</v>
      </c>
      <c r="N125" s="1" t="s">
        <v>2329</v>
      </c>
      <c r="O125" s="86" t="s">
        <v>2330</v>
      </c>
      <c r="P125" s="1">
        <v>1</v>
      </c>
      <c r="Q125" s="1" t="s">
        <v>3014</v>
      </c>
      <c r="R125" s="1" t="s">
        <v>3015</v>
      </c>
      <c r="S125" s="1" t="s">
        <v>2331</v>
      </c>
      <c r="T125" s="1" t="s">
        <v>2360</v>
      </c>
      <c r="U125" s="1" t="s">
        <v>2556</v>
      </c>
      <c r="V125" s="1"/>
      <c r="W125" s="1"/>
      <c r="X125" s="1"/>
      <c r="Y125" s="1"/>
      <c r="Z125" s="1"/>
      <c r="AA125" s="1"/>
      <c r="AB125" s="1"/>
      <c r="AC125" s="88" t="s">
        <v>233</v>
      </c>
      <c r="AD125" s="88" t="s">
        <v>254</v>
      </c>
    </row>
    <row r="126" spans="1:30" hidden="1">
      <c r="A126" s="1">
        <v>2022</v>
      </c>
      <c r="B126" s="1">
        <v>202220</v>
      </c>
      <c r="C126" s="1">
        <v>202225065</v>
      </c>
      <c r="D126" s="1" t="s">
        <v>3016</v>
      </c>
      <c r="E126" s="1" t="s">
        <v>3017</v>
      </c>
      <c r="F126" s="1" t="s">
        <v>441</v>
      </c>
      <c r="G126" s="85" t="str">
        <f>_xlfn.XLOOKUP(Tabla2[[#This Row],[Universidad]],Conversiones!$B:$B,Conversiones!$C:$C)</f>
        <v xml:space="preserve">CBS- Copenhagen Business School  </v>
      </c>
      <c r="H126" s="85" t="str">
        <f>_xlfn.XLOOKUP(Tabla2[[#This Row],[Universidad KPIs]],Conversiones!$C:$C,Conversiones!$E:$E)</f>
        <v>Específico</v>
      </c>
      <c r="I126" s="1" t="s">
        <v>63</v>
      </c>
      <c r="J126" s="1" t="s">
        <v>281</v>
      </c>
      <c r="K126" s="1" t="s">
        <v>3018</v>
      </c>
      <c r="L126" s="1" t="s">
        <v>3019</v>
      </c>
      <c r="M126" s="1" t="s">
        <v>230</v>
      </c>
      <c r="N126" s="1" t="s">
        <v>2329</v>
      </c>
      <c r="O126" s="86" t="s">
        <v>2330</v>
      </c>
      <c r="P126" s="1">
        <v>1</v>
      </c>
      <c r="Q126" s="1" t="s">
        <v>2632</v>
      </c>
      <c r="R126" s="1" t="s">
        <v>2331</v>
      </c>
      <c r="S126" s="1" t="s">
        <v>2333</v>
      </c>
      <c r="T126" s="1" t="s">
        <v>2556</v>
      </c>
      <c r="U126" s="1"/>
      <c r="V126" s="1"/>
      <c r="W126" s="1"/>
      <c r="X126" s="1"/>
      <c r="Y126" s="1"/>
      <c r="Z126" s="1"/>
      <c r="AA126" s="1"/>
      <c r="AB126" s="1"/>
      <c r="AC126" s="88" t="s">
        <v>233</v>
      </c>
      <c r="AD126" s="88" t="s">
        <v>254</v>
      </c>
    </row>
    <row r="127" spans="1:30" hidden="1">
      <c r="A127" s="1">
        <v>2022</v>
      </c>
      <c r="B127" s="1">
        <v>202220</v>
      </c>
      <c r="C127" s="1">
        <v>202225082</v>
      </c>
      <c r="D127" s="1" t="s">
        <v>3020</v>
      </c>
      <c r="E127" s="1" t="s">
        <v>3021</v>
      </c>
      <c r="F127" s="1" t="s">
        <v>441</v>
      </c>
      <c r="G127" s="85" t="str">
        <f>_xlfn.XLOOKUP(Tabla2[[#This Row],[Universidad]],Conversiones!$B:$B,Conversiones!$C:$C)</f>
        <v xml:space="preserve">CBS- Copenhagen Business School  </v>
      </c>
      <c r="H127" s="85" t="str">
        <f>_xlfn.XLOOKUP(Tabla2[[#This Row],[Universidad KPIs]],Conversiones!$C:$C,Conversiones!$E:$E)</f>
        <v>Específico</v>
      </c>
      <c r="I127" s="1" t="s">
        <v>63</v>
      </c>
      <c r="J127" s="1" t="s">
        <v>281</v>
      </c>
      <c r="K127" s="1" t="s">
        <v>3022</v>
      </c>
      <c r="L127" s="1" t="s">
        <v>3023</v>
      </c>
      <c r="M127" s="1" t="s">
        <v>230</v>
      </c>
      <c r="N127" s="1" t="s">
        <v>2329</v>
      </c>
      <c r="O127" s="86" t="s">
        <v>2330</v>
      </c>
      <c r="P127" s="1">
        <v>1</v>
      </c>
      <c r="Q127" s="1" t="s">
        <v>2631</v>
      </c>
      <c r="R127" s="1" t="s">
        <v>2394</v>
      </c>
      <c r="S127" s="1" t="s">
        <v>2331</v>
      </c>
      <c r="T127" s="1" t="s">
        <v>2438</v>
      </c>
      <c r="U127" s="1" t="s">
        <v>2360</v>
      </c>
      <c r="V127" s="1"/>
      <c r="W127" s="1"/>
      <c r="X127" s="1"/>
      <c r="Y127" s="1"/>
      <c r="Z127" s="1"/>
      <c r="AA127" s="1"/>
      <c r="AB127" s="1"/>
      <c r="AC127" s="88" t="s">
        <v>233</v>
      </c>
      <c r="AD127" s="88" t="s">
        <v>254</v>
      </c>
    </row>
    <row r="128" spans="1:30" hidden="1">
      <c r="A128" s="1">
        <v>2022</v>
      </c>
      <c r="B128" s="1">
        <v>202220</v>
      </c>
      <c r="C128" s="1">
        <v>202225079</v>
      </c>
      <c r="D128" s="1" t="s">
        <v>3024</v>
      </c>
      <c r="E128" s="1" t="s">
        <v>3025</v>
      </c>
      <c r="F128" s="1" t="s">
        <v>559</v>
      </c>
      <c r="G128" s="85" t="str">
        <f>_xlfn.XLOOKUP(Tabla2[[#This Row],[Universidad]],Conversiones!$B:$B,Conversiones!$C:$C)</f>
        <v>ICN Business School - Institut Commercial de Nancy</v>
      </c>
      <c r="H128" s="85" t="str">
        <f>_xlfn.XLOOKUP(Tabla2[[#This Row],[Universidad KPIs]],Conversiones!$C:$C,Conversiones!$E:$E)</f>
        <v>Específico</v>
      </c>
      <c r="I128" s="1" t="s">
        <v>57</v>
      </c>
      <c r="J128" s="1" t="s">
        <v>281</v>
      </c>
      <c r="K128" s="1" t="s">
        <v>3026</v>
      </c>
      <c r="L128" s="1" t="s">
        <v>3027</v>
      </c>
      <c r="M128" s="1" t="s">
        <v>230</v>
      </c>
      <c r="N128" s="1" t="s">
        <v>2329</v>
      </c>
      <c r="O128" s="86" t="s">
        <v>2330</v>
      </c>
      <c r="P128" s="1">
        <v>1</v>
      </c>
      <c r="Q128" s="1" t="s">
        <v>2632</v>
      </c>
      <c r="R128" s="1" t="s">
        <v>2338</v>
      </c>
      <c r="S128" s="1" t="s">
        <v>3028</v>
      </c>
      <c r="T128" s="1" t="s">
        <v>2331</v>
      </c>
      <c r="U128" s="1"/>
      <c r="V128" s="1"/>
      <c r="W128" s="1"/>
      <c r="X128" s="1"/>
      <c r="Y128" s="1"/>
      <c r="Z128" s="1"/>
      <c r="AA128" s="1"/>
      <c r="AB128" s="1"/>
      <c r="AC128" s="88" t="s">
        <v>233</v>
      </c>
      <c r="AD128" s="88" t="s">
        <v>254</v>
      </c>
    </row>
    <row r="129" spans="1:30" hidden="1">
      <c r="A129" s="1">
        <v>2022</v>
      </c>
      <c r="B129" s="1">
        <v>202220</v>
      </c>
      <c r="C129" s="1">
        <v>202225037</v>
      </c>
      <c r="D129" s="1" t="s">
        <v>3029</v>
      </c>
      <c r="E129" s="1" t="s">
        <v>3030</v>
      </c>
      <c r="F129" s="1" t="s">
        <v>639</v>
      </c>
      <c r="G129" s="85" t="str">
        <f>_xlfn.XLOOKUP(Tabla2[[#This Row],[Universidad]],Conversiones!$B:$B,Conversiones!$C:$C)</f>
        <v>IE Instituto Empresa</v>
      </c>
      <c r="H129" s="85" t="str">
        <f>_xlfn.XLOOKUP(Tabla2[[#This Row],[Universidad KPIs]],Conversiones!$C:$C,Conversiones!$E:$E)</f>
        <v>Específico</v>
      </c>
      <c r="I129" s="1" t="s">
        <v>69</v>
      </c>
      <c r="J129" s="1" t="s">
        <v>281</v>
      </c>
      <c r="K129" s="1" t="s">
        <v>3031</v>
      </c>
      <c r="L129" s="1" t="s">
        <v>3032</v>
      </c>
      <c r="M129" s="1" t="s">
        <v>230</v>
      </c>
      <c r="N129" s="1" t="s">
        <v>2329</v>
      </c>
      <c r="O129" s="86" t="s">
        <v>2330</v>
      </c>
      <c r="P129" s="1">
        <v>1</v>
      </c>
      <c r="Q129" s="1" t="s">
        <v>3033</v>
      </c>
      <c r="R129" s="1" t="s">
        <v>2393</v>
      </c>
      <c r="S129" s="1" t="s">
        <v>2500</v>
      </c>
      <c r="T129" s="1" t="s">
        <v>3034</v>
      </c>
      <c r="U129" s="1" t="s">
        <v>3035</v>
      </c>
      <c r="V129" s="1"/>
      <c r="W129" s="1"/>
      <c r="X129" s="1"/>
      <c r="Y129" s="1"/>
      <c r="Z129" s="1"/>
      <c r="AA129" s="1"/>
      <c r="AB129" s="1"/>
      <c r="AC129" s="88" t="s">
        <v>233</v>
      </c>
      <c r="AD129" s="88" t="s">
        <v>254</v>
      </c>
    </row>
    <row r="130" spans="1:30" hidden="1">
      <c r="A130" s="1">
        <v>2022</v>
      </c>
      <c r="B130" s="1">
        <v>202220</v>
      </c>
      <c r="C130" s="1">
        <v>202226493</v>
      </c>
      <c r="D130" s="1" t="s">
        <v>3036</v>
      </c>
      <c r="E130" s="1" t="s">
        <v>3037</v>
      </c>
      <c r="F130" s="1" t="s">
        <v>812</v>
      </c>
      <c r="G130" s="85" t="str">
        <f>_xlfn.XLOOKUP(Tabla2[[#This Row],[Universidad]],Conversiones!$B:$B,Conversiones!$C:$C)</f>
        <v>ITESM-EGADE -Instituto tecnológico y de estudios superiores de Monterrey</v>
      </c>
      <c r="H130" s="85" t="str">
        <f>_xlfn.XLOOKUP(Tabla2[[#This Row],[Universidad KPIs]],Conversiones!$C:$C,Conversiones!$E:$E)</f>
        <v>Específico</v>
      </c>
      <c r="I130" s="1" t="s">
        <v>87</v>
      </c>
      <c r="J130" s="1" t="s">
        <v>291</v>
      </c>
      <c r="K130" s="1" t="s">
        <v>3038</v>
      </c>
      <c r="L130" s="1" t="s">
        <v>3039</v>
      </c>
      <c r="M130" s="1" t="s">
        <v>230</v>
      </c>
      <c r="N130" s="1" t="s">
        <v>2329</v>
      </c>
      <c r="O130" s="86" t="s">
        <v>2330</v>
      </c>
      <c r="P130" s="1">
        <v>1</v>
      </c>
      <c r="Q130" s="1" t="s">
        <v>2436</v>
      </c>
      <c r="R130" s="1" t="s">
        <v>2608</v>
      </c>
      <c r="S130" s="1" t="s">
        <v>2331</v>
      </c>
      <c r="T130" s="1" t="s">
        <v>2482</v>
      </c>
      <c r="U130" s="1"/>
      <c r="V130" s="1"/>
      <c r="W130" s="1"/>
      <c r="X130" s="1"/>
      <c r="Y130" s="1"/>
      <c r="Z130" s="1"/>
      <c r="AA130" s="1"/>
      <c r="AB130" s="1"/>
      <c r="AC130" s="88" t="s">
        <v>233</v>
      </c>
      <c r="AD130" s="88" t="s">
        <v>254</v>
      </c>
    </row>
    <row r="131" spans="1:30" hidden="1">
      <c r="A131" s="1">
        <v>2022</v>
      </c>
      <c r="B131" s="1">
        <v>202220</v>
      </c>
      <c r="C131" s="1">
        <v>202226502</v>
      </c>
      <c r="D131" s="1" t="s">
        <v>3040</v>
      </c>
      <c r="E131" s="1" t="s">
        <v>3041</v>
      </c>
      <c r="F131" s="1" t="s">
        <v>812</v>
      </c>
      <c r="G131" s="85" t="str">
        <f>_xlfn.XLOOKUP(Tabla2[[#This Row],[Universidad]],Conversiones!$B:$B,Conversiones!$C:$C)</f>
        <v>ITESM-EGADE -Instituto tecnológico y de estudios superiores de Monterrey</v>
      </c>
      <c r="H131" s="85" t="str">
        <f>_xlfn.XLOOKUP(Tabla2[[#This Row],[Universidad KPIs]],Conversiones!$C:$C,Conversiones!$E:$E)</f>
        <v>Específico</v>
      </c>
      <c r="I131" s="1" t="s">
        <v>87</v>
      </c>
      <c r="J131" s="1" t="s">
        <v>291</v>
      </c>
      <c r="K131" s="1" t="s">
        <v>3042</v>
      </c>
      <c r="L131" s="1" t="s">
        <v>3043</v>
      </c>
      <c r="M131" s="1" t="s">
        <v>230</v>
      </c>
      <c r="N131" s="1" t="s">
        <v>2329</v>
      </c>
      <c r="O131" s="86" t="s">
        <v>2330</v>
      </c>
      <c r="P131" s="1">
        <v>1</v>
      </c>
      <c r="Q131" s="1" t="s">
        <v>2359</v>
      </c>
      <c r="R131" s="1" t="s">
        <v>2341</v>
      </c>
      <c r="S131" s="1" t="s">
        <v>2712</v>
      </c>
      <c r="T131" s="1" t="s">
        <v>2401</v>
      </c>
      <c r="U131" s="1"/>
      <c r="V131" s="1"/>
      <c r="W131" s="1"/>
      <c r="X131" s="1"/>
      <c r="Y131" s="1"/>
      <c r="Z131" s="1"/>
      <c r="AA131" s="1"/>
      <c r="AB131" s="1"/>
      <c r="AC131" s="88" t="s">
        <v>233</v>
      </c>
      <c r="AD131" s="88" t="s">
        <v>254</v>
      </c>
    </row>
    <row r="132" spans="1:30" hidden="1">
      <c r="A132" s="1">
        <v>2022</v>
      </c>
      <c r="B132" s="1">
        <v>202220</v>
      </c>
      <c r="C132" s="1">
        <v>202226495</v>
      </c>
      <c r="D132" s="1" t="s">
        <v>3044</v>
      </c>
      <c r="E132" s="1" t="s">
        <v>3045</v>
      </c>
      <c r="F132" s="1" t="s">
        <v>812</v>
      </c>
      <c r="G132" s="85" t="str">
        <f>_xlfn.XLOOKUP(Tabla2[[#This Row],[Universidad]],Conversiones!$B:$B,Conversiones!$C:$C)</f>
        <v>ITESM-EGADE -Instituto tecnológico y de estudios superiores de Monterrey</v>
      </c>
      <c r="H132" s="85" t="str">
        <f>_xlfn.XLOOKUP(Tabla2[[#This Row],[Universidad KPIs]],Conversiones!$C:$C,Conversiones!$E:$E)</f>
        <v>Específico</v>
      </c>
      <c r="I132" s="1" t="s">
        <v>87</v>
      </c>
      <c r="J132" s="1" t="s">
        <v>291</v>
      </c>
      <c r="K132" s="1" t="s">
        <v>3046</v>
      </c>
      <c r="L132" s="1" t="s">
        <v>3047</v>
      </c>
      <c r="M132" s="1" t="s">
        <v>230</v>
      </c>
      <c r="N132" s="1" t="s">
        <v>2329</v>
      </c>
      <c r="O132" s="86" t="s">
        <v>2330</v>
      </c>
      <c r="P132" s="1">
        <v>1</v>
      </c>
      <c r="Q132" s="1" t="s">
        <v>3048</v>
      </c>
      <c r="R132" s="1" t="s">
        <v>2340</v>
      </c>
      <c r="S132" s="1" t="s">
        <v>2339</v>
      </c>
      <c r="T132" s="1" t="s">
        <v>2501</v>
      </c>
      <c r="U132" s="1" t="s">
        <v>2756</v>
      </c>
      <c r="V132" s="1" t="s">
        <v>2360</v>
      </c>
      <c r="W132" s="1" t="s">
        <v>2494</v>
      </c>
      <c r="X132" s="1" t="s">
        <v>2640</v>
      </c>
      <c r="Y132" s="1"/>
      <c r="Z132" s="1"/>
      <c r="AA132" s="1"/>
      <c r="AB132" s="1"/>
      <c r="AC132" s="88" t="s">
        <v>233</v>
      </c>
      <c r="AD132" s="88" t="s">
        <v>254</v>
      </c>
    </row>
    <row r="133" spans="1:30" hidden="1">
      <c r="A133" s="1">
        <v>2022</v>
      </c>
      <c r="B133" s="1">
        <v>202220</v>
      </c>
      <c r="C133" s="1">
        <v>202226496</v>
      </c>
      <c r="D133" s="1" t="s">
        <v>3049</v>
      </c>
      <c r="E133" s="1" t="s">
        <v>3050</v>
      </c>
      <c r="F133" s="1" t="s">
        <v>812</v>
      </c>
      <c r="G133" s="85" t="str">
        <f>_xlfn.XLOOKUP(Tabla2[[#This Row],[Universidad]],Conversiones!$B:$B,Conversiones!$C:$C)</f>
        <v>ITESM-EGADE -Instituto tecnológico y de estudios superiores de Monterrey</v>
      </c>
      <c r="H133" s="85" t="str">
        <f>_xlfn.XLOOKUP(Tabla2[[#This Row],[Universidad KPIs]],Conversiones!$C:$C,Conversiones!$E:$E)</f>
        <v>Específico</v>
      </c>
      <c r="I133" s="1" t="s">
        <v>87</v>
      </c>
      <c r="J133" s="1" t="s">
        <v>291</v>
      </c>
      <c r="K133" s="1" t="s">
        <v>3051</v>
      </c>
      <c r="L133" s="1" t="s">
        <v>3052</v>
      </c>
      <c r="M133" s="1" t="s">
        <v>230</v>
      </c>
      <c r="N133" s="1" t="s">
        <v>2329</v>
      </c>
      <c r="O133" s="86" t="s">
        <v>2330</v>
      </c>
      <c r="P133" s="1">
        <v>1</v>
      </c>
      <c r="Q133" s="1" t="s">
        <v>2359</v>
      </c>
      <c r="R133" s="1" t="s">
        <v>3053</v>
      </c>
      <c r="S133" s="1" t="s">
        <v>2338</v>
      </c>
      <c r="T133" s="1" t="s">
        <v>2608</v>
      </c>
      <c r="U133" s="1" t="s">
        <v>2511</v>
      </c>
      <c r="V133" s="1" t="s">
        <v>2640</v>
      </c>
      <c r="W133" s="1" t="s">
        <v>2495</v>
      </c>
      <c r="X133" s="1"/>
      <c r="Y133" s="1"/>
      <c r="Z133" s="1"/>
      <c r="AA133" s="1"/>
      <c r="AB133" s="1"/>
      <c r="AC133" s="88" t="s">
        <v>233</v>
      </c>
      <c r="AD133" s="88" t="s">
        <v>254</v>
      </c>
    </row>
    <row r="134" spans="1:30" hidden="1">
      <c r="A134" s="1">
        <v>2022</v>
      </c>
      <c r="B134" s="1">
        <v>202220</v>
      </c>
      <c r="C134" s="1">
        <v>202225018</v>
      </c>
      <c r="D134" s="1" t="s">
        <v>2976</v>
      </c>
      <c r="E134" s="1" t="s">
        <v>3054</v>
      </c>
      <c r="F134" s="1" t="s">
        <v>3055</v>
      </c>
      <c r="G134" s="85" t="str">
        <f>_xlfn.XLOOKUP(Tabla2[[#This Row],[Universidad]],Conversiones!$B:$B,Conversiones!$C:$C)</f>
        <v>JIBS Jönköping International Business School</v>
      </c>
      <c r="H134" s="85" t="str">
        <f>_xlfn.XLOOKUP(Tabla2[[#This Row],[Universidad KPIs]],Conversiones!$C:$C,Conversiones!$E:$E)</f>
        <v>Específico</v>
      </c>
      <c r="I134" s="1" t="s">
        <v>90</v>
      </c>
      <c r="J134" s="1" t="s">
        <v>281</v>
      </c>
      <c r="K134" s="1" t="s">
        <v>3056</v>
      </c>
      <c r="L134" s="1" t="s">
        <v>3057</v>
      </c>
      <c r="M134" s="1" t="s">
        <v>230</v>
      </c>
      <c r="N134" s="1" t="s">
        <v>2329</v>
      </c>
      <c r="O134" s="86" t="s">
        <v>2330</v>
      </c>
      <c r="P134" s="1">
        <v>1</v>
      </c>
      <c r="Q134" s="1" t="s">
        <v>2631</v>
      </c>
      <c r="R134" s="1" t="s">
        <v>2359</v>
      </c>
      <c r="S134" s="1" t="s">
        <v>2425</v>
      </c>
      <c r="T134" s="1" t="s">
        <v>2338</v>
      </c>
      <c r="U134" s="1" t="s">
        <v>2394</v>
      </c>
      <c r="V134" s="1"/>
      <c r="W134" s="1"/>
      <c r="X134" s="1"/>
      <c r="Y134" s="1"/>
      <c r="Z134" s="1"/>
      <c r="AA134" s="1"/>
      <c r="AB134" s="1"/>
      <c r="AC134" s="88" t="s">
        <v>233</v>
      </c>
      <c r="AD134" s="88" t="s">
        <v>254</v>
      </c>
    </row>
    <row r="135" spans="1:30" hidden="1">
      <c r="A135" s="1">
        <v>2022</v>
      </c>
      <c r="B135" s="1">
        <v>202220</v>
      </c>
      <c r="C135" s="1">
        <v>202225056</v>
      </c>
      <c r="D135" s="1" t="s">
        <v>3058</v>
      </c>
      <c r="E135" s="1" t="s">
        <v>3059</v>
      </c>
      <c r="F135" s="1" t="s">
        <v>3055</v>
      </c>
      <c r="G135" s="85" t="str">
        <f>_xlfn.XLOOKUP(Tabla2[[#This Row],[Universidad]],Conversiones!$B:$B,Conversiones!$C:$C)</f>
        <v>JIBS Jönköping International Business School</v>
      </c>
      <c r="H135" s="85" t="str">
        <f>_xlfn.XLOOKUP(Tabla2[[#This Row],[Universidad KPIs]],Conversiones!$C:$C,Conversiones!$E:$E)</f>
        <v>Específico</v>
      </c>
      <c r="I135" s="1" t="s">
        <v>90</v>
      </c>
      <c r="J135" s="1" t="s">
        <v>281</v>
      </c>
      <c r="K135" s="1" t="s">
        <v>3060</v>
      </c>
      <c r="L135" s="1" t="s">
        <v>3061</v>
      </c>
      <c r="M135" s="1" t="s">
        <v>230</v>
      </c>
      <c r="N135" s="1" t="s">
        <v>2329</v>
      </c>
      <c r="O135" s="86" t="s">
        <v>2330</v>
      </c>
      <c r="P135" s="1">
        <v>1</v>
      </c>
      <c r="Q135" s="1" t="s">
        <v>2631</v>
      </c>
      <c r="R135" s="1" t="s">
        <v>2506</v>
      </c>
      <c r="S135" s="1" t="s">
        <v>2632</v>
      </c>
      <c r="T135" s="1" t="s">
        <v>2500</v>
      </c>
      <c r="U135" s="1" t="s">
        <v>2332</v>
      </c>
      <c r="V135" s="1" t="s">
        <v>2640</v>
      </c>
      <c r="W135" s="1"/>
      <c r="X135" s="1"/>
      <c r="Y135" s="1"/>
      <c r="Z135" s="1"/>
      <c r="AA135" s="1"/>
      <c r="AB135" s="1"/>
      <c r="AC135" s="88" t="s">
        <v>237</v>
      </c>
      <c r="AD135" s="88" t="s">
        <v>247</v>
      </c>
    </row>
    <row r="136" spans="1:30" hidden="1">
      <c r="A136" s="1">
        <v>2022</v>
      </c>
      <c r="B136" s="1">
        <v>202220</v>
      </c>
      <c r="C136" s="1">
        <v>202224957</v>
      </c>
      <c r="D136" s="1" t="s">
        <v>3062</v>
      </c>
      <c r="E136" s="1" t="s">
        <v>3063</v>
      </c>
      <c r="F136" s="1" t="s">
        <v>3055</v>
      </c>
      <c r="G136" s="85" t="str">
        <f>_xlfn.XLOOKUP(Tabla2[[#This Row],[Universidad]],Conversiones!$B:$B,Conversiones!$C:$C)</f>
        <v>JIBS Jönköping International Business School</v>
      </c>
      <c r="H136" s="85" t="str">
        <f>_xlfn.XLOOKUP(Tabla2[[#This Row],[Universidad KPIs]],Conversiones!$C:$C,Conversiones!$E:$E)</f>
        <v>Específico</v>
      </c>
      <c r="I136" s="1" t="s">
        <v>90</v>
      </c>
      <c r="J136" s="1" t="s">
        <v>281</v>
      </c>
      <c r="K136" s="1" t="s">
        <v>3064</v>
      </c>
      <c r="L136" s="1" t="s">
        <v>3065</v>
      </c>
      <c r="M136" s="1" t="s">
        <v>230</v>
      </c>
      <c r="N136" s="1" t="s">
        <v>2329</v>
      </c>
      <c r="O136" s="86" t="s">
        <v>2330</v>
      </c>
      <c r="P136" s="1">
        <v>1</v>
      </c>
      <c r="Q136" s="1" t="s">
        <v>2678</v>
      </c>
      <c r="R136" s="1" t="s">
        <v>2353</v>
      </c>
      <c r="S136" s="1" t="s">
        <v>2338</v>
      </c>
      <c r="T136" s="1" t="s">
        <v>2331</v>
      </c>
      <c r="U136" s="1" t="s">
        <v>2401</v>
      </c>
      <c r="V136" s="1" t="s">
        <v>2333</v>
      </c>
      <c r="W136" s="1"/>
      <c r="X136" s="1"/>
      <c r="Y136" s="1"/>
      <c r="Z136" s="1"/>
      <c r="AA136" s="1"/>
      <c r="AB136" s="1"/>
      <c r="AC136" s="88" t="s">
        <v>236</v>
      </c>
      <c r="AD136" s="88" t="s">
        <v>247</v>
      </c>
    </row>
    <row r="137" spans="1:30" hidden="1">
      <c r="A137" s="1">
        <v>2022</v>
      </c>
      <c r="B137" s="1">
        <v>202220</v>
      </c>
      <c r="C137" s="1">
        <v>202224988</v>
      </c>
      <c r="D137" s="1" t="s">
        <v>3066</v>
      </c>
      <c r="E137" s="1" t="s">
        <v>3067</v>
      </c>
      <c r="F137" s="1" t="s">
        <v>94</v>
      </c>
      <c r="G137" s="85" t="str">
        <f>_xlfn.XLOOKUP(Tabla2[[#This Row],[Universidad]],Conversiones!$B:$B,Conversiones!$C:$C)</f>
        <v>Maastricht University</v>
      </c>
      <c r="H137" s="85" t="str">
        <f>_xlfn.XLOOKUP(Tabla2[[#This Row],[Universidad KPIs]],Conversiones!$C:$C,Conversiones!$E:$E)</f>
        <v>Específico</v>
      </c>
      <c r="I137" s="1" t="s">
        <v>95</v>
      </c>
      <c r="J137" s="1" t="s">
        <v>281</v>
      </c>
      <c r="K137" s="1" t="s">
        <v>3068</v>
      </c>
      <c r="L137" s="1" t="s">
        <v>3069</v>
      </c>
      <c r="M137" s="1" t="s">
        <v>230</v>
      </c>
      <c r="N137" s="1" t="s">
        <v>2329</v>
      </c>
      <c r="O137" s="86" t="s">
        <v>2330</v>
      </c>
      <c r="P137" s="1">
        <v>1</v>
      </c>
      <c r="Q137" s="1" t="s">
        <v>2359</v>
      </c>
      <c r="R137" s="1" t="s">
        <v>2632</v>
      </c>
      <c r="S137" s="1" t="s">
        <v>2472</v>
      </c>
      <c r="T137" s="1" t="s">
        <v>3028</v>
      </c>
      <c r="U137" s="1" t="s">
        <v>2331</v>
      </c>
      <c r="V137" s="1" t="s">
        <v>2401</v>
      </c>
      <c r="W137" s="1" t="s">
        <v>2333</v>
      </c>
      <c r="X137" s="1"/>
      <c r="Y137" s="1"/>
      <c r="Z137" s="1"/>
      <c r="AA137" s="1"/>
      <c r="AB137" s="1"/>
      <c r="AC137" s="88" t="s">
        <v>233</v>
      </c>
      <c r="AD137" s="88" t="s">
        <v>254</v>
      </c>
    </row>
    <row r="138" spans="1:30" hidden="1">
      <c r="A138" s="1">
        <v>2022</v>
      </c>
      <c r="B138" s="1">
        <v>202220</v>
      </c>
      <c r="C138" s="1">
        <v>202224952</v>
      </c>
      <c r="D138" s="1" t="s">
        <v>3070</v>
      </c>
      <c r="E138" s="1" t="s">
        <v>3071</v>
      </c>
      <c r="F138" s="1" t="s">
        <v>94</v>
      </c>
      <c r="G138" s="85" t="str">
        <f>_xlfn.XLOOKUP(Tabla2[[#This Row],[Universidad]],Conversiones!$B:$B,Conversiones!$C:$C)</f>
        <v>Maastricht University</v>
      </c>
      <c r="H138" s="85" t="str">
        <f>_xlfn.XLOOKUP(Tabla2[[#This Row],[Universidad KPIs]],Conversiones!$C:$C,Conversiones!$E:$E)</f>
        <v>Específico</v>
      </c>
      <c r="I138" s="1" t="s">
        <v>95</v>
      </c>
      <c r="J138" s="1" t="s">
        <v>281</v>
      </c>
      <c r="K138" s="1" t="s">
        <v>3072</v>
      </c>
      <c r="L138" s="1" t="s">
        <v>3073</v>
      </c>
      <c r="M138" s="1" t="s">
        <v>230</v>
      </c>
      <c r="N138" s="1" t="s">
        <v>2365</v>
      </c>
      <c r="O138" s="86" t="s">
        <v>2366</v>
      </c>
      <c r="P138" s="1">
        <v>1</v>
      </c>
      <c r="Q138" s="1" t="s">
        <v>2726</v>
      </c>
      <c r="R138" s="1" t="s">
        <v>3074</v>
      </c>
      <c r="S138" s="1" t="s">
        <v>2762</v>
      </c>
      <c r="T138" s="1" t="s">
        <v>3005</v>
      </c>
      <c r="U138" s="1" t="s">
        <v>3075</v>
      </c>
      <c r="V138" s="1" t="s">
        <v>2703</v>
      </c>
      <c r="W138" s="1" t="s">
        <v>3076</v>
      </c>
      <c r="X138" s="1" t="s">
        <v>3077</v>
      </c>
      <c r="Y138" s="1"/>
      <c r="Z138" s="1"/>
      <c r="AA138" s="1"/>
      <c r="AB138" s="1"/>
      <c r="AC138" s="88" t="s">
        <v>250</v>
      </c>
      <c r="AD138" s="88" t="s">
        <v>247</v>
      </c>
    </row>
    <row r="139" spans="1:30" hidden="1">
      <c r="A139" s="1">
        <v>2022</v>
      </c>
      <c r="B139" s="1">
        <v>202220</v>
      </c>
      <c r="C139" s="1">
        <v>202225092</v>
      </c>
      <c r="D139" s="1" t="s">
        <v>358</v>
      </c>
      <c r="E139" s="1" t="s">
        <v>3078</v>
      </c>
      <c r="F139" s="1" t="s">
        <v>286</v>
      </c>
      <c r="G139" s="85" t="str">
        <f>_xlfn.XLOOKUP(Tabla2[[#This Row],[Universidad]],Conversiones!$B:$B,Conversiones!$C:$C)</f>
        <v>ESC Rouen (NEOMA)</v>
      </c>
      <c r="H139" s="85" t="str">
        <f>_xlfn.XLOOKUP(Tabla2[[#This Row],[Universidad KPIs]],Conversiones!$C:$C,Conversiones!$E:$E)</f>
        <v>Específico</v>
      </c>
      <c r="I139" s="1" t="s">
        <v>57</v>
      </c>
      <c r="J139" s="1" t="s">
        <v>281</v>
      </c>
      <c r="K139" s="1" t="s">
        <v>3079</v>
      </c>
      <c r="L139" s="1" t="s">
        <v>3080</v>
      </c>
      <c r="M139" s="1" t="s">
        <v>230</v>
      </c>
      <c r="N139" s="1" t="s">
        <v>2329</v>
      </c>
      <c r="O139" s="86" t="s">
        <v>2330</v>
      </c>
      <c r="P139" s="1">
        <v>1</v>
      </c>
      <c r="Q139" s="1" t="s">
        <v>2631</v>
      </c>
      <c r="R139" s="1" t="s">
        <v>2918</v>
      </c>
      <c r="S139" s="1" t="s">
        <v>3081</v>
      </c>
      <c r="T139" s="1" t="s">
        <v>3082</v>
      </c>
      <c r="U139" s="1" t="s">
        <v>2712</v>
      </c>
      <c r="V139" s="1"/>
      <c r="W139" s="1"/>
      <c r="X139" s="1"/>
      <c r="Y139" s="1"/>
      <c r="Z139" s="1"/>
      <c r="AA139" s="1"/>
      <c r="AB139" s="1"/>
      <c r="AC139" s="88" t="s">
        <v>237</v>
      </c>
      <c r="AD139" s="88" t="s">
        <v>247</v>
      </c>
    </row>
    <row r="140" spans="1:30" hidden="1">
      <c r="A140" s="1">
        <v>2022</v>
      </c>
      <c r="B140" s="1">
        <v>202220</v>
      </c>
      <c r="C140" s="1">
        <v>202224933</v>
      </c>
      <c r="D140" s="1" t="s">
        <v>3083</v>
      </c>
      <c r="E140" s="1" t="s">
        <v>3084</v>
      </c>
      <c r="F140" s="1" t="s">
        <v>102</v>
      </c>
      <c r="G140" s="85" t="str">
        <f>_xlfn.XLOOKUP(Tabla2[[#This Row],[Universidad]],Conversiones!$B:$B,Conversiones!$C:$C)</f>
        <v>Politecnico di Milano</v>
      </c>
      <c r="H140" s="85" t="str">
        <f>_xlfn.XLOOKUP(Tabla2[[#This Row],[Universidad KPIs]],Conversiones!$C:$C,Conversiones!$E:$E)</f>
        <v>Específico</v>
      </c>
      <c r="I140" s="1" t="s">
        <v>103</v>
      </c>
      <c r="J140" s="1" t="s">
        <v>281</v>
      </c>
      <c r="K140" s="1" t="s">
        <v>3085</v>
      </c>
      <c r="L140" s="1" t="s">
        <v>3086</v>
      </c>
      <c r="M140" s="1" t="s">
        <v>230</v>
      </c>
      <c r="N140" s="1" t="s">
        <v>2365</v>
      </c>
      <c r="O140" s="86" t="s">
        <v>2366</v>
      </c>
      <c r="P140" s="1">
        <v>1</v>
      </c>
      <c r="Q140" s="1" t="s">
        <v>3087</v>
      </c>
      <c r="R140" s="1" t="s">
        <v>2340</v>
      </c>
      <c r="S140" s="1" t="s">
        <v>2703</v>
      </c>
      <c r="T140" s="1"/>
      <c r="U140" s="1"/>
      <c r="V140" s="1"/>
      <c r="W140" s="1"/>
      <c r="X140" s="1"/>
      <c r="Y140" s="1"/>
      <c r="Z140" s="1"/>
      <c r="AA140" s="1"/>
      <c r="AB140" s="1"/>
      <c r="AC140" s="88" t="s">
        <v>238</v>
      </c>
      <c r="AD140" s="88" t="s">
        <v>247</v>
      </c>
    </row>
    <row r="141" spans="1:30" hidden="1">
      <c r="A141" s="1">
        <v>2022</v>
      </c>
      <c r="B141" s="1">
        <v>202220</v>
      </c>
      <c r="C141" s="1">
        <v>202225036</v>
      </c>
      <c r="D141" s="1" t="s">
        <v>3088</v>
      </c>
      <c r="E141" s="1" t="s">
        <v>3089</v>
      </c>
      <c r="F141" s="1" t="s">
        <v>102</v>
      </c>
      <c r="G141" s="85" t="str">
        <f>_xlfn.XLOOKUP(Tabla2[[#This Row],[Universidad]],Conversiones!$B:$B,Conversiones!$C:$C)</f>
        <v>Politecnico di Milano</v>
      </c>
      <c r="H141" s="85" t="str">
        <f>_xlfn.XLOOKUP(Tabla2[[#This Row],[Universidad KPIs]],Conversiones!$C:$C,Conversiones!$E:$E)</f>
        <v>Específico</v>
      </c>
      <c r="I141" s="1" t="s">
        <v>103</v>
      </c>
      <c r="J141" s="1" t="s">
        <v>281</v>
      </c>
      <c r="K141" s="1" t="s">
        <v>3090</v>
      </c>
      <c r="L141" s="1" t="s">
        <v>3091</v>
      </c>
      <c r="M141" s="1" t="s">
        <v>230</v>
      </c>
      <c r="N141" s="1" t="s">
        <v>2329</v>
      </c>
      <c r="O141" s="86" t="s">
        <v>2330</v>
      </c>
      <c r="P141" s="1">
        <v>1</v>
      </c>
      <c r="Q141" s="1" t="s">
        <v>2352</v>
      </c>
      <c r="R141" s="1" t="s">
        <v>2678</v>
      </c>
      <c r="S141" s="1" t="s">
        <v>2353</v>
      </c>
      <c r="T141" s="1" t="s">
        <v>2338</v>
      </c>
      <c r="U141" s="1" t="s">
        <v>2401</v>
      </c>
      <c r="V141" s="1" t="s">
        <v>2333</v>
      </c>
      <c r="W141" s="1"/>
      <c r="X141" s="1"/>
      <c r="Y141" s="1"/>
      <c r="Z141" s="1"/>
      <c r="AA141" s="1"/>
      <c r="AB141" s="1"/>
      <c r="AC141" s="88" t="s">
        <v>233</v>
      </c>
      <c r="AD141" s="88" t="s">
        <v>254</v>
      </c>
    </row>
    <row r="142" spans="1:30" hidden="1">
      <c r="A142" s="1">
        <v>2022</v>
      </c>
      <c r="B142" s="1">
        <v>202220</v>
      </c>
      <c r="C142" s="1">
        <v>202225071</v>
      </c>
      <c r="D142" s="1" t="s">
        <v>3092</v>
      </c>
      <c r="E142" s="1" t="s">
        <v>3093</v>
      </c>
      <c r="F142" s="1" t="s">
        <v>149</v>
      </c>
      <c r="G142" s="85" t="str">
        <f>_xlfn.XLOOKUP(Tabla2[[#This Row],[Universidad]],Conversiones!$B:$B,Conversiones!$C:$C)</f>
        <v>Pontificia Universidad Católica de Chile</v>
      </c>
      <c r="H142" s="85" t="str">
        <f>_xlfn.XLOOKUP(Tabla2[[#This Row],[Universidad KPIs]],Conversiones!$C:$C,Conversiones!$E:$E)</f>
        <v>General</v>
      </c>
      <c r="I142" s="1" t="s">
        <v>109</v>
      </c>
      <c r="J142" s="1" t="s">
        <v>296</v>
      </c>
      <c r="K142" s="1" t="s">
        <v>3094</v>
      </c>
      <c r="L142" s="1" t="s">
        <v>3095</v>
      </c>
      <c r="M142" s="1" t="s">
        <v>230</v>
      </c>
      <c r="N142" s="1" t="s">
        <v>2329</v>
      </c>
      <c r="O142" s="86" t="s">
        <v>2330</v>
      </c>
      <c r="P142" s="1">
        <v>1</v>
      </c>
      <c r="Q142" s="1" t="s">
        <v>3096</v>
      </c>
      <c r="R142" s="1" t="s">
        <v>2352</v>
      </c>
      <c r="S142" s="1" t="s">
        <v>2400</v>
      </c>
      <c r="T142" s="1" t="s">
        <v>2771</v>
      </c>
      <c r="U142" s="1" t="s">
        <v>3097</v>
      </c>
      <c r="V142" s="1" t="s">
        <v>2495</v>
      </c>
      <c r="W142" s="1"/>
      <c r="X142" s="1"/>
      <c r="Y142" s="1"/>
      <c r="Z142" s="1"/>
      <c r="AA142" s="1"/>
      <c r="AB142" s="1"/>
      <c r="AC142" s="88" t="s">
        <v>233</v>
      </c>
      <c r="AD142" s="88" t="s">
        <v>254</v>
      </c>
    </row>
    <row r="143" spans="1:30" hidden="1">
      <c r="A143" s="1">
        <v>2022</v>
      </c>
      <c r="B143" s="1">
        <v>202220</v>
      </c>
      <c r="C143" s="1">
        <v>202225061</v>
      </c>
      <c r="D143" s="1" t="s">
        <v>3098</v>
      </c>
      <c r="E143" s="1" t="s">
        <v>3099</v>
      </c>
      <c r="F143" s="1" t="s">
        <v>428</v>
      </c>
      <c r="G143" s="85" t="str">
        <f>_xlfn.XLOOKUP(Tabla2[[#This Row],[Universidad]],Conversiones!$B:$B,Conversiones!$C:$C)</f>
        <v>Roskilde University</v>
      </c>
      <c r="H143" s="85" t="str">
        <f>_xlfn.XLOOKUP(Tabla2[[#This Row],[Universidad KPIs]],Conversiones!$C:$C,Conversiones!$E:$E)</f>
        <v>General</v>
      </c>
      <c r="I143" s="1" t="s">
        <v>63</v>
      </c>
      <c r="J143" s="1" t="s">
        <v>281</v>
      </c>
      <c r="K143" s="1" t="s">
        <v>3100</v>
      </c>
      <c r="L143" s="1" t="s">
        <v>3101</v>
      </c>
      <c r="M143" s="1" t="s">
        <v>230</v>
      </c>
      <c r="N143" s="1" t="s">
        <v>2329</v>
      </c>
      <c r="O143" s="86" t="s">
        <v>2330</v>
      </c>
      <c r="P143" s="1">
        <v>1</v>
      </c>
      <c r="Q143" s="1" t="s">
        <v>2359</v>
      </c>
      <c r="R143" s="1" t="s">
        <v>2331</v>
      </c>
      <c r="S143" s="1" t="s">
        <v>2511</v>
      </c>
      <c r="T143" s="1" t="s">
        <v>2333</v>
      </c>
      <c r="U143" s="1"/>
      <c r="V143" s="1"/>
      <c r="W143" s="1"/>
      <c r="X143" s="1"/>
      <c r="Y143" s="1"/>
      <c r="Z143" s="1"/>
      <c r="AA143" s="1"/>
      <c r="AB143" s="1"/>
      <c r="AC143" s="88" t="s">
        <v>233</v>
      </c>
      <c r="AD143" s="88" t="s">
        <v>254</v>
      </c>
    </row>
    <row r="144" spans="1:30" hidden="1">
      <c r="A144" s="1">
        <v>2022</v>
      </c>
      <c r="B144" s="1">
        <v>202220</v>
      </c>
      <c r="C144" s="1">
        <v>202225094</v>
      </c>
      <c r="D144" s="1" t="s">
        <v>3102</v>
      </c>
      <c r="E144" s="1" t="s">
        <v>3103</v>
      </c>
      <c r="F144" s="1" t="s">
        <v>155</v>
      </c>
      <c r="G144" s="85" t="str">
        <f>_xlfn.XLOOKUP(Tabla2[[#This Row],[Universidad]],Conversiones!$B:$B,Conversiones!$C:$C)</f>
        <v>Technische Universität München (TUM)</v>
      </c>
      <c r="H144" s="85" t="str">
        <f>_xlfn.XLOOKUP(Tabla2[[#This Row],[Universidad KPIs]],Conversiones!$C:$C,Conversiones!$E:$E)</f>
        <v>General</v>
      </c>
      <c r="I144" s="1" t="s">
        <v>76</v>
      </c>
      <c r="J144" s="1" t="s">
        <v>281</v>
      </c>
      <c r="K144" s="1" t="s">
        <v>3104</v>
      </c>
      <c r="L144" s="1" t="s">
        <v>3105</v>
      </c>
      <c r="M144" s="1" t="s">
        <v>230</v>
      </c>
      <c r="N144" s="1" t="s">
        <v>2329</v>
      </c>
      <c r="O144" s="86" t="s">
        <v>2330</v>
      </c>
      <c r="P144" s="1">
        <v>1</v>
      </c>
      <c r="Q144" s="1" t="s">
        <v>2352</v>
      </c>
      <c r="R144" s="1" t="s">
        <v>2472</v>
      </c>
      <c r="S144" s="1" t="s">
        <v>2394</v>
      </c>
      <c r="T144" s="1" t="s">
        <v>2438</v>
      </c>
      <c r="U144" s="1" t="s">
        <v>2494</v>
      </c>
      <c r="V144" s="1" t="s">
        <v>3106</v>
      </c>
      <c r="W144" s="1"/>
      <c r="X144" s="1"/>
      <c r="Y144" s="1"/>
      <c r="Z144" s="1"/>
      <c r="AA144" s="1"/>
      <c r="AB144" s="1"/>
      <c r="AC144" s="88" t="s">
        <v>233</v>
      </c>
      <c r="AD144" s="88" t="s">
        <v>254</v>
      </c>
    </row>
    <row r="145" spans="1:30" hidden="1">
      <c r="A145" s="1">
        <v>2022</v>
      </c>
      <c r="B145" s="1">
        <v>202220</v>
      </c>
      <c r="C145" s="1">
        <v>202225025</v>
      </c>
      <c r="D145" s="1" t="s">
        <v>540</v>
      </c>
      <c r="E145" s="1" t="s">
        <v>3107</v>
      </c>
      <c r="F145" s="1" t="s">
        <v>372</v>
      </c>
      <c r="G145" s="85" t="str">
        <f>_xlfn.XLOOKUP(Tabla2[[#This Row],[Universidad]],Conversiones!$B:$B,Conversiones!$C:$C)</f>
        <v>A.B. Freeman School of Business, Tulane University</v>
      </c>
      <c r="H145" s="85" t="str">
        <f>_xlfn.XLOOKUP(Tabla2[[#This Row],[Universidad KPIs]],Conversiones!$C:$C,Conversiones!$E:$E)</f>
        <v>Específico</v>
      </c>
      <c r="I145" s="1" t="s">
        <v>51</v>
      </c>
      <c r="J145" s="1" t="s">
        <v>291</v>
      </c>
      <c r="K145" s="1" t="s">
        <v>3108</v>
      </c>
      <c r="L145" s="1" t="s">
        <v>3109</v>
      </c>
      <c r="M145" s="1" t="s">
        <v>230</v>
      </c>
      <c r="N145" s="1" t="s">
        <v>2329</v>
      </c>
      <c r="O145" s="86" t="s">
        <v>2330</v>
      </c>
      <c r="P145" s="1">
        <v>1</v>
      </c>
      <c r="Q145" s="1" t="s">
        <v>2663</v>
      </c>
      <c r="R145" s="1" t="s">
        <v>2338</v>
      </c>
      <c r="S145" s="1" t="s">
        <v>2438</v>
      </c>
      <c r="T145" s="1" t="s">
        <v>2482</v>
      </c>
      <c r="U145" s="1"/>
      <c r="V145" s="1"/>
      <c r="W145" s="1"/>
      <c r="X145" s="1"/>
      <c r="Y145" s="1"/>
      <c r="Z145" s="1"/>
      <c r="AA145" s="1"/>
      <c r="AB145" s="1"/>
      <c r="AC145" s="88" t="s">
        <v>233</v>
      </c>
      <c r="AD145" s="88" t="s">
        <v>254</v>
      </c>
    </row>
    <row r="146" spans="1:30" hidden="1">
      <c r="A146" s="1">
        <v>2022</v>
      </c>
      <c r="B146" s="1">
        <v>202220</v>
      </c>
      <c r="C146" s="1">
        <v>202225055</v>
      </c>
      <c r="D146" s="1" t="s">
        <v>3110</v>
      </c>
      <c r="E146" s="1" t="s">
        <v>3111</v>
      </c>
      <c r="F146" s="1" t="s">
        <v>372</v>
      </c>
      <c r="G146" s="85" t="str">
        <f>_xlfn.XLOOKUP(Tabla2[[#This Row],[Universidad]],Conversiones!$B:$B,Conversiones!$C:$C)</f>
        <v>A.B. Freeman School of Business, Tulane University</v>
      </c>
      <c r="H146" s="85" t="str">
        <f>_xlfn.XLOOKUP(Tabla2[[#This Row],[Universidad KPIs]],Conversiones!$C:$C,Conversiones!$E:$E)</f>
        <v>Específico</v>
      </c>
      <c r="I146" s="1" t="s">
        <v>51</v>
      </c>
      <c r="J146" s="1" t="s">
        <v>291</v>
      </c>
      <c r="K146" s="1" t="s">
        <v>3112</v>
      </c>
      <c r="L146" s="1" t="s">
        <v>3113</v>
      </c>
      <c r="M146" s="1" t="s">
        <v>230</v>
      </c>
      <c r="N146" s="1" t="s">
        <v>2329</v>
      </c>
      <c r="O146" s="86" t="s">
        <v>2330</v>
      </c>
      <c r="P146" s="1">
        <v>1</v>
      </c>
      <c r="Q146" s="1" t="s">
        <v>3114</v>
      </c>
      <c r="R146" s="1" t="s">
        <v>3115</v>
      </c>
      <c r="S146" s="1" t="s">
        <v>2360</v>
      </c>
      <c r="T146" s="1" t="s">
        <v>2494</v>
      </c>
      <c r="U146" s="1" t="s">
        <v>2419</v>
      </c>
      <c r="V146" s="1"/>
      <c r="W146" s="1"/>
      <c r="X146" s="1"/>
      <c r="Y146" s="1"/>
      <c r="Z146" s="1"/>
      <c r="AA146" s="1"/>
      <c r="AB146" s="1"/>
      <c r="AC146" s="88" t="s">
        <v>233</v>
      </c>
      <c r="AD146" s="88" t="s">
        <v>254</v>
      </c>
    </row>
    <row r="147" spans="1:30" hidden="1">
      <c r="A147" s="1">
        <v>2022</v>
      </c>
      <c r="B147" s="1">
        <v>202220</v>
      </c>
      <c r="C147" s="1">
        <v>202216163</v>
      </c>
      <c r="D147" s="1" t="s">
        <v>2945</v>
      </c>
      <c r="E147" s="1" t="s">
        <v>2946</v>
      </c>
      <c r="F147" s="1" t="s">
        <v>2947</v>
      </c>
      <c r="G147" s="85" t="str">
        <f>_xlfn.XLOOKUP(Tabla2[[#This Row],[Universidad]],Conversiones!$B:$B,Conversiones!$C:$C)</f>
        <v>Universidad Católica Boliviana "San Pablo"</v>
      </c>
      <c r="H147" s="85" t="str">
        <f>_xlfn.XLOOKUP(Tabla2[[#This Row],[Universidad KPIs]],Conversiones!$C:$C,Conversiones!$E:$E)</f>
        <v>General</v>
      </c>
      <c r="I147" s="1" t="s">
        <v>158</v>
      </c>
      <c r="J147" s="1" t="s">
        <v>296</v>
      </c>
      <c r="K147" s="1" t="s">
        <v>2948</v>
      </c>
      <c r="L147" s="1" t="s">
        <v>2949</v>
      </c>
      <c r="M147" s="1" t="s">
        <v>230</v>
      </c>
      <c r="N147" s="1" t="s">
        <v>2329</v>
      </c>
      <c r="O147" s="86" t="s">
        <v>2330</v>
      </c>
      <c r="P147" s="1">
        <v>1</v>
      </c>
      <c r="Q147" s="1" t="s">
        <v>3116</v>
      </c>
      <c r="R147" s="1" t="s">
        <v>2501</v>
      </c>
      <c r="S147" s="1" t="s">
        <v>2401</v>
      </c>
      <c r="T147" s="1" t="s">
        <v>2466</v>
      </c>
      <c r="U147" s="1" t="s">
        <v>2494</v>
      </c>
      <c r="V147" s="1"/>
      <c r="W147" s="1"/>
      <c r="X147" s="1"/>
      <c r="Y147" s="1"/>
      <c r="Z147" s="1"/>
      <c r="AA147" s="1"/>
      <c r="AB147" s="1"/>
      <c r="AC147" s="88" t="s">
        <v>233</v>
      </c>
      <c r="AD147" s="88" t="s">
        <v>254</v>
      </c>
    </row>
    <row r="148" spans="1:30" hidden="1">
      <c r="A148" s="1">
        <v>2022</v>
      </c>
      <c r="B148" s="1">
        <v>202220</v>
      </c>
      <c r="C148" s="1">
        <v>202225069</v>
      </c>
      <c r="D148" s="1" t="s">
        <v>3117</v>
      </c>
      <c r="E148" s="1" t="s">
        <v>3118</v>
      </c>
      <c r="F148" s="1" t="s">
        <v>2947</v>
      </c>
      <c r="G148" s="85" t="str">
        <f>_xlfn.XLOOKUP(Tabla2[[#This Row],[Universidad]],Conversiones!$B:$B,Conversiones!$C:$C)</f>
        <v>Universidad Católica Boliviana "San Pablo"</v>
      </c>
      <c r="H148" s="85" t="str">
        <f>_xlfn.XLOOKUP(Tabla2[[#This Row],[Universidad KPIs]],Conversiones!$C:$C,Conversiones!$E:$E)</f>
        <v>General</v>
      </c>
      <c r="I148" s="1" t="s">
        <v>158</v>
      </c>
      <c r="J148" s="1" t="s">
        <v>296</v>
      </c>
      <c r="K148" s="1" t="s">
        <v>3119</v>
      </c>
      <c r="L148" s="1" t="s">
        <v>3120</v>
      </c>
      <c r="M148" s="1" t="s">
        <v>230</v>
      </c>
      <c r="N148" s="1" t="s">
        <v>2329</v>
      </c>
      <c r="O148" s="86" t="s">
        <v>2330</v>
      </c>
      <c r="P148" s="1">
        <v>1</v>
      </c>
      <c r="Q148" s="1" t="s">
        <v>2632</v>
      </c>
      <c r="R148" s="1" t="s">
        <v>2338</v>
      </c>
      <c r="S148" s="1" t="s">
        <v>2360</v>
      </c>
      <c r="T148" s="1" t="s">
        <v>2401</v>
      </c>
      <c r="U148" s="1" t="s">
        <v>2556</v>
      </c>
      <c r="V148" s="1" t="s">
        <v>2495</v>
      </c>
      <c r="W148" s="1"/>
      <c r="X148" s="1"/>
      <c r="Y148" s="1"/>
      <c r="Z148" s="1"/>
      <c r="AA148" s="1"/>
      <c r="AB148" s="1"/>
      <c r="AC148" s="88" t="s">
        <v>233</v>
      </c>
      <c r="AD148" s="88" t="s">
        <v>254</v>
      </c>
    </row>
    <row r="149" spans="1:30" hidden="1">
      <c r="A149" s="1">
        <v>2022</v>
      </c>
      <c r="B149" s="1">
        <v>202220</v>
      </c>
      <c r="C149" s="1">
        <v>202225013</v>
      </c>
      <c r="D149" s="1" t="s">
        <v>3121</v>
      </c>
      <c r="E149" s="1" t="s">
        <v>3122</v>
      </c>
      <c r="F149" s="1" t="s">
        <v>305</v>
      </c>
      <c r="G149" s="85" t="str">
        <f>_xlfn.XLOOKUP(Tabla2[[#This Row],[Universidad]],Conversiones!$B:$B,Conversiones!$C:$C)</f>
        <v>Catolica Lisbon Business &amp; Economics. Universidade Católica Portuguesa</v>
      </c>
      <c r="H149" s="85" t="str">
        <f>_xlfn.XLOOKUP(Tabla2[[#This Row],[Universidad KPIs]],Conversiones!$C:$C,Conversiones!$E:$E)</f>
        <v>Específico</v>
      </c>
      <c r="I149" s="1" t="s">
        <v>61</v>
      </c>
      <c r="J149" s="1" t="s">
        <v>281</v>
      </c>
      <c r="K149" s="1" t="s">
        <v>3123</v>
      </c>
      <c r="L149" s="1" t="s">
        <v>3124</v>
      </c>
      <c r="M149" s="1" t="s">
        <v>230</v>
      </c>
      <c r="N149" s="1" t="s">
        <v>2329</v>
      </c>
      <c r="O149" s="86" t="s">
        <v>2330</v>
      </c>
      <c r="P149" s="1">
        <v>1</v>
      </c>
      <c r="Q149" s="1" t="s">
        <v>2632</v>
      </c>
      <c r="R149" s="1" t="s">
        <v>2353</v>
      </c>
      <c r="S149" s="1" t="s">
        <v>3125</v>
      </c>
      <c r="T149" s="1" t="s">
        <v>2360</v>
      </c>
      <c r="U149" s="1"/>
      <c r="V149" s="1"/>
      <c r="W149" s="1"/>
      <c r="X149" s="1"/>
      <c r="Y149" s="1"/>
      <c r="Z149" s="1"/>
      <c r="AA149" s="1"/>
      <c r="AB149" s="1"/>
      <c r="AC149" s="88" t="s">
        <v>233</v>
      </c>
      <c r="AD149" s="88" t="s">
        <v>254</v>
      </c>
    </row>
    <row r="150" spans="1:30" hidden="1">
      <c r="A150" s="1">
        <v>2022</v>
      </c>
      <c r="B150" s="1">
        <v>202220</v>
      </c>
      <c r="C150" s="1">
        <v>202225067</v>
      </c>
      <c r="D150" s="1" t="s">
        <v>3126</v>
      </c>
      <c r="E150" s="1" t="s">
        <v>3127</v>
      </c>
      <c r="F150" s="1" t="s">
        <v>455</v>
      </c>
      <c r="G150" s="85" t="str">
        <f>_xlfn.XLOOKUP(Tabla2[[#This Row],[Universidad]],Conversiones!$B:$B,Conversiones!$C:$C)</f>
        <v>Nova School of Business and Economics</v>
      </c>
      <c r="H150" s="85" t="str">
        <f>_xlfn.XLOOKUP(Tabla2[[#This Row],[Universidad KPIs]],Conversiones!$C:$C,Conversiones!$E:$E)</f>
        <v>Específico</v>
      </c>
      <c r="I150" s="1" t="s">
        <v>61</v>
      </c>
      <c r="J150" s="1" t="s">
        <v>281</v>
      </c>
      <c r="K150" s="1" t="s">
        <v>3128</v>
      </c>
      <c r="L150" s="1" t="s">
        <v>3129</v>
      </c>
      <c r="M150" s="1" t="s">
        <v>230</v>
      </c>
      <c r="N150" s="1" t="s">
        <v>2329</v>
      </c>
      <c r="O150" s="86" t="s">
        <v>2330</v>
      </c>
      <c r="P150" s="1">
        <v>1</v>
      </c>
      <c r="Q150" s="1" t="s">
        <v>2632</v>
      </c>
      <c r="R150" s="1" t="s">
        <v>2339</v>
      </c>
      <c r="S150" s="1" t="s">
        <v>2438</v>
      </c>
      <c r="T150" s="1" t="s">
        <v>2511</v>
      </c>
      <c r="U150" s="1" t="s">
        <v>2401</v>
      </c>
      <c r="V150" s="1"/>
      <c r="W150" s="1"/>
      <c r="X150" s="1"/>
      <c r="Y150" s="1"/>
      <c r="Z150" s="1"/>
      <c r="AA150" s="1"/>
      <c r="AB150" s="1"/>
      <c r="AC150" s="88" t="s">
        <v>233</v>
      </c>
      <c r="AD150" s="88" t="s">
        <v>254</v>
      </c>
    </row>
    <row r="151" spans="1:30" hidden="1">
      <c r="A151" s="1">
        <v>2022</v>
      </c>
      <c r="B151" s="1">
        <v>202220</v>
      </c>
      <c r="C151" s="1">
        <v>202225103</v>
      </c>
      <c r="D151" s="1" t="s">
        <v>3130</v>
      </c>
      <c r="E151" s="1" t="s">
        <v>3131</v>
      </c>
      <c r="F151" s="1" t="s">
        <v>455</v>
      </c>
      <c r="G151" s="85" t="str">
        <f>_xlfn.XLOOKUP(Tabla2[[#This Row],[Universidad]],Conversiones!$B:$B,Conversiones!$C:$C)</f>
        <v>Nova School of Business and Economics</v>
      </c>
      <c r="H151" s="85" t="str">
        <f>_xlfn.XLOOKUP(Tabla2[[#This Row],[Universidad KPIs]],Conversiones!$C:$C,Conversiones!$E:$E)</f>
        <v>Específico</v>
      </c>
      <c r="I151" s="1" t="s">
        <v>61</v>
      </c>
      <c r="J151" s="1" t="s">
        <v>281</v>
      </c>
      <c r="K151" s="1" t="s">
        <v>3132</v>
      </c>
      <c r="L151" s="1" t="s">
        <v>3133</v>
      </c>
      <c r="M151" s="1" t="s">
        <v>230</v>
      </c>
      <c r="N151" s="1" t="s">
        <v>2329</v>
      </c>
      <c r="O151" s="86" t="s">
        <v>2330</v>
      </c>
      <c r="P151" s="1">
        <v>1</v>
      </c>
      <c r="Q151" s="1" t="s">
        <v>2632</v>
      </c>
      <c r="R151" s="1" t="s">
        <v>2353</v>
      </c>
      <c r="S151" s="1" t="s">
        <v>2400</v>
      </c>
      <c r="T151" s="1" t="s">
        <v>2339</v>
      </c>
      <c r="U151" s="1" t="s">
        <v>2401</v>
      </c>
      <c r="V151" s="1"/>
      <c r="W151" s="1"/>
      <c r="X151" s="1"/>
      <c r="Y151" s="1"/>
      <c r="Z151" s="1"/>
      <c r="AA151" s="1"/>
      <c r="AB151" s="1"/>
      <c r="AC151" s="88" t="s">
        <v>233</v>
      </c>
      <c r="AD151" s="88" t="s">
        <v>254</v>
      </c>
    </row>
    <row r="152" spans="1:30" hidden="1">
      <c r="A152" s="1">
        <v>2022</v>
      </c>
      <c r="B152" s="1">
        <v>202220</v>
      </c>
      <c r="C152" s="1">
        <v>202225091</v>
      </c>
      <c r="D152" s="1" t="s">
        <v>3134</v>
      </c>
      <c r="E152" s="1" t="s">
        <v>3135</v>
      </c>
      <c r="F152" s="1" t="s">
        <v>338</v>
      </c>
      <c r="G152" s="85" t="str">
        <f>_xlfn.XLOOKUP(Tabla2[[#This Row],[Universidad]],Conversiones!$B:$B,Conversiones!$C:$C)</f>
        <v>University of Mannheim Business School</v>
      </c>
      <c r="H152" s="85" t="str">
        <f>_xlfn.XLOOKUP(Tabla2[[#This Row],[Universidad KPIs]],Conversiones!$C:$C,Conversiones!$E:$E)</f>
        <v>Específico</v>
      </c>
      <c r="I152" s="1" t="s">
        <v>76</v>
      </c>
      <c r="J152" s="1" t="s">
        <v>281</v>
      </c>
      <c r="K152" s="1" t="s">
        <v>3136</v>
      </c>
      <c r="L152" s="1" t="s">
        <v>3137</v>
      </c>
      <c r="M152" s="1" t="s">
        <v>230</v>
      </c>
      <c r="N152" s="1" t="s">
        <v>2365</v>
      </c>
      <c r="O152" s="86" t="s">
        <v>2366</v>
      </c>
      <c r="P152" s="1">
        <v>1</v>
      </c>
      <c r="Q152" s="1" t="s">
        <v>3074</v>
      </c>
      <c r="R152" s="1" t="s">
        <v>3081</v>
      </c>
      <c r="S152" s="1" t="s">
        <v>3138</v>
      </c>
      <c r="T152" s="1" t="s">
        <v>3139</v>
      </c>
      <c r="U152" s="1"/>
      <c r="V152" s="1"/>
      <c r="W152" s="1"/>
      <c r="X152" s="1"/>
      <c r="Y152" s="1"/>
      <c r="Z152" s="1"/>
      <c r="AA152" s="1"/>
      <c r="AB152" s="1"/>
      <c r="AC152" s="88" t="s">
        <v>237</v>
      </c>
      <c r="AD152" s="88" t="s">
        <v>247</v>
      </c>
    </row>
    <row r="153" spans="1:30" hidden="1">
      <c r="A153" s="1">
        <v>2022</v>
      </c>
      <c r="B153" s="1">
        <v>202220</v>
      </c>
      <c r="C153" s="1">
        <v>202225090</v>
      </c>
      <c r="D153" s="1" t="s">
        <v>3140</v>
      </c>
      <c r="E153" s="1" t="s">
        <v>3141</v>
      </c>
      <c r="F153" s="1" t="s">
        <v>174</v>
      </c>
      <c r="G153" s="85" t="str">
        <f>_xlfn.XLOOKUP(Tabla2[[#This Row],[Universidad]],Conversiones!$B:$B,Conversiones!$C:$C)</f>
        <v>Universitat Politècnica de Catalunya</v>
      </c>
      <c r="H153" s="85" t="str">
        <f>_xlfn.XLOOKUP(Tabla2[[#This Row],[Universidad KPIs]],Conversiones!$C:$C,Conversiones!$E:$E)</f>
        <v>General</v>
      </c>
      <c r="I153" s="1" t="s">
        <v>69</v>
      </c>
      <c r="J153" s="1" t="s">
        <v>281</v>
      </c>
      <c r="K153" s="1" t="s">
        <v>3142</v>
      </c>
      <c r="L153" s="1" t="s">
        <v>3143</v>
      </c>
      <c r="M153" s="1" t="s">
        <v>230</v>
      </c>
      <c r="N153" s="1" t="s">
        <v>2329</v>
      </c>
      <c r="O153" s="86" t="s">
        <v>2330</v>
      </c>
      <c r="P153" s="1">
        <v>1</v>
      </c>
      <c r="Q153" s="1" t="s">
        <v>2511</v>
      </c>
      <c r="R153" s="1" t="s">
        <v>3144</v>
      </c>
      <c r="S153" s="1" t="s">
        <v>2482</v>
      </c>
      <c r="T153" s="1" t="s">
        <v>2401</v>
      </c>
      <c r="U153" s="1"/>
      <c r="V153" s="1"/>
      <c r="W153" s="1"/>
      <c r="X153" s="1"/>
      <c r="Y153" s="1"/>
      <c r="Z153" s="1"/>
      <c r="AA153" s="1"/>
      <c r="AB153" s="1"/>
      <c r="AC153" s="88" t="s">
        <v>233</v>
      </c>
      <c r="AD153" s="88" t="s">
        <v>254</v>
      </c>
    </row>
    <row r="154" spans="1:30" hidden="1">
      <c r="A154" s="1">
        <v>2022</v>
      </c>
      <c r="B154" s="1">
        <v>202220</v>
      </c>
      <c r="C154" s="1">
        <v>202225087</v>
      </c>
      <c r="D154" s="1" t="s">
        <v>3145</v>
      </c>
      <c r="E154" s="1" t="s">
        <v>2977</v>
      </c>
      <c r="F154" s="1" t="s">
        <v>320</v>
      </c>
      <c r="G154" s="85" t="str">
        <f>_xlfn.XLOOKUP(Tabla2[[#This Row],[Universidad]],Conversiones!$B:$B,Conversiones!$C:$C)</f>
        <v>ESADE</v>
      </c>
      <c r="H154" s="85" t="str">
        <f>_xlfn.XLOOKUP(Tabla2[[#This Row],[Universidad KPIs]],Conversiones!$C:$C,Conversiones!$E:$E)</f>
        <v>Específico</v>
      </c>
      <c r="I154" s="1" t="s">
        <v>69</v>
      </c>
      <c r="J154" s="1" t="s">
        <v>281</v>
      </c>
      <c r="K154" s="1" t="s">
        <v>3146</v>
      </c>
      <c r="L154" s="1" t="s">
        <v>3147</v>
      </c>
      <c r="M154" s="1" t="s">
        <v>230</v>
      </c>
      <c r="N154" s="1" t="s">
        <v>2329</v>
      </c>
      <c r="O154" s="86" t="s">
        <v>2330</v>
      </c>
      <c r="P154" s="1">
        <v>1</v>
      </c>
      <c r="Q154" s="1" t="s">
        <v>2353</v>
      </c>
      <c r="R154" s="1" t="s">
        <v>2331</v>
      </c>
      <c r="S154" s="1" t="s">
        <v>2438</v>
      </c>
      <c r="T154" s="1" t="s">
        <v>2332</v>
      </c>
      <c r="U154" s="1" t="s">
        <v>2401</v>
      </c>
      <c r="V154" s="1" t="s">
        <v>2494</v>
      </c>
      <c r="W154" s="1" t="s">
        <v>2388</v>
      </c>
      <c r="X154" s="1"/>
      <c r="Y154" s="1"/>
      <c r="Z154" s="1"/>
      <c r="AA154" s="1"/>
      <c r="AB154" s="1"/>
      <c r="AC154" s="88" t="s">
        <v>233</v>
      </c>
      <c r="AD154" s="88" t="s">
        <v>254</v>
      </c>
    </row>
    <row r="155" spans="1:30" hidden="1">
      <c r="A155" s="1">
        <v>2022</v>
      </c>
      <c r="B155" s="1">
        <v>202220</v>
      </c>
      <c r="C155" s="1">
        <v>202225097</v>
      </c>
      <c r="D155" s="1" t="s">
        <v>3148</v>
      </c>
      <c r="E155" s="1" t="s">
        <v>3149</v>
      </c>
      <c r="F155" s="1" t="s">
        <v>177</v>
      </c>
      <c r="G155" s="85" t="str">
        <f>_xlfn.XLOOKUP(Tabla2[[#This Row],[Universidad]],Conversiones!$B:$B,Conversiones!$C:$C)</f>
        <v>Université de Genève</v>
      </c>
      <c r="H155" s="85" t="str">
        <f>_xlfn.XLOOKUP(Tabla2[[#This Row],[Universidad KPIs]],Conversiones!$C:$C,Conversiones!$E:$E)</f>
        <v>General</v>
      </c>
      <c r="I155" s="1" t="s">
        <v>81</v>
      </c>
      <c r="J155" s="1" t="s">
        <v>281</v>
      </c>
      <c r="K155" s="1" t="s">
        <v>3150</v>
      </c>
      <c r="L155" s="1" t="s">
        <v>3151</v>
      </c>
      <c r="M155" s="1" t="s">
        <v>230</v>
      </c>
      <c r="N155" s="1" t="s">
        <v>2329</v>
      </c>
      <c r="O155" s="86" t="s">
        <v>2330</v>
      </c>
      <c r="P155" s="1">
        <v>1</v>
      </c>
      <c r="Q155" s="1" t="s">
        <v>2683</v>
      </c>
      <c r="R155" s="1" t="s">
        <v>2685</v>
      </c>
      <c r="S155" s="1" t="s">
        <v>2352</v>
      </c>
      <c r="T155" s="1" t="s">
        <v>2974</v>
      </c>
      <c r="U155" s="1"/>
      <c r="V155" s="1"/>
      <c r="W155" s="1"/>
      <c r="X155" s="1"/>
      <c r="Y155" s="1"/>
      <c r="Z155" s="1"/>
      <c r="AA155" s="1"/>
      <c r="AB155" s="1"/>
      <c r="AC155" s="88" t="s">
        <v>237</v>
      </c>
      <c r="AD155" s="88" t="s">
        <v>247</v>
      </c>
    </row>
    <row r="156" spans="1:30" hidden="1">
      <c r="A156" s="1">
        <v>2022</v>
      </c>
      <c r="B156" s="1">
        <v>202220</v>
      </c>
      <c r="C156" s="1">
        <v>202225686</v>
      </c>
      <c r="D156" s="1" t="s">
        <v>3152</v>
      </c>
      <c r="E156" s="1" t="s">
        <v>3153</v>
      </c>
      <c r="F156" s="1" t="s">
        <v>1400</v>
      </c>
      <c r="G156" s="85" t="str">
        <f>_xlfn.XLOOKUP(Tabla2[[#This Row],[Universidad]],Conversiones!$B:$B,Conversiones!$C:$C)</f>
        <v>EM Strasbourg</v>
      </c>
      <c r="H156" s="85" t="str">
        <f>_xlfn.XLOOKUP(Tabla2[[#This Row],[Universidad KPIs]],Conversiones!$C:$C,Conversiones!$E:$E)</f>
        <v>Específico</v>
      </c>
      <c r="I156" s="1" t="s">
        <v>57</v>
      </c>
      <c r="J156" s="1" t="s">
        <v>281</v>
      </c>
      <c r="K156" s="1" t="s">
        <v>3154</v>
      </c>
      <c r="L156" s="1" t="s">
        <v>3155</v>
      </c>
      <c r="M156" s="1" t="s">
        <v>230</v>
      </c>
      <c r="N156" s="1" t="s">
        <v>2329</v>
      </c>
      <c r="O156" s="86" t="s">
        <v>2330</v>
      </c>
      <c r="P156" s="1">
        <v>1</v>
      </c>
      <c r="Q156" s="1" t="s">
        <v>3156</v>
      </c>
      <c r="R156" s="1" t="s">
        <v>3157</v>
      </c>
      <c r="S156" s="1" t="s">
        <v>3074</v>
      </c>
      <c r="T156" s="1" t="s">
        <v>2663</v>
      </c>
      <c r="U156" s="1" t="s">
        <v>3076</v>
      </c>
      <c r="V156" s="1" t="s">
        <v>3158</v>
      </c>
      <c r="W156" s="1"/>
      <c r="X156" s="1"/>
      <c r="Y156" s="1"/>
      <c r="Z156" s="1"/>
      <c r="AA156" s="1"/>
      <c r="AB156" s="1"/>
      <c r="AC156" s="88" t="s">
        <v>250</v>
      </c>
      <c r="AD156" s="88" t="s">
        <v>247</v>
      </c>
    </row>
    <row r="157" spans="1:30" hidden="1">
      <c r="A157" s="1">
        <v>2022</v>
      </c>
      <c r="B157" s="1">
        <v>202220</v>
      </c>
      <c r="C157" s="1">
        <v>202225023</v>
      </c>
      <c r="D157" s="1" t="s">
        <v>3159</v>
      </c>
      <c r="E157" s="1" t="s">
        <v>3160</v>
      </c>
      <c r="F157" s="1" t="s">
        <v>945</v>
      </c>
      <c r="G157" s="85" t="str">
        <f>_xlfn.XLOOKUP(Tabla2[[#This Row],[Universidad]],Conversiones!$B:$B,Conversiones!$C:$C)</f>
        <v>Universidad Jean Moulin Lyon 3</v>
      </c>
      <c r="H157" s="85" t="str">
        <f>_xlfn.XLOOKUP(Tabla2[[#This Row],[Universidad KPIs]],Conversiones!$C:$C,Conversiones!$E:$E)</f>
        <v>General</v>
      </c>
      <c r="I157" s="1" t="s">
        <v>57</v>
      </c>
      <c r="J157" s="1" t="s">
        <v>281</v>
      </c>
      <c r="K157" s="1" t="s">
        <v>3161</v>
      </c>
      <c r="L157" s="1" t="s">
        <v>3162</v>
      </c>
      <c r="M157" s="1" t="s">
        <v>230</v>
      </c>
      <c r="N157" s="1" t="s">
        <v>2329</v>
      </c>
      <c r="O157" s="86" t="s">
        <v>2330</v>
      </c>
      <c r="P157" s="1">
        <v>1</v>
      </c>
      <c r="Q157" s="1" t="s">
        <v>2632</v>
      </c>
      <c r="R157" s="1" t="s">
        <v>2353</v>
      </c>
      <c r="S157" s="1" t="s">
        <v>2790</v>
      </c>
      <c r="T157" s="1" t="s">
        <v>2360</v>
      </c>
      <c r="U157" s="1" t="s">
        <v>2401</v>
      </c>
      <c r="V157" s="1" t="s">
        <v>2333</v>
      </c>
      <c r="W157" s="1"/>
      <c r="X157" s="1"/>
      <c r="Y157" s="1"/>
      <c r="Z157" s="1"/>
      <c r="AA157" s="1"/>
      <c r="AB157" s="1"/>
      <c r="AC157" s="88" t="s">
        <v>233</v>
      </c>
      <c r="AD157" s="88" t="s">
        <v>254</v>
      </c>
    </row>
    <row r="158" spans="1:30" hidden="1">
      <c r="A158" s="1">
        <v>2022</v>
      </c>
      <c r="B158" s="1">
        <v>202220</v>
      </c>
      <c r="C158" s="1">
        <v>202225058</v>
      </c>
      <c r="D158" s="1" t="s">
        <v>3163</v>
      </c>
      <c r="E158" s="1" t="s">
        <v>3164</v>
      </c>
      <c r="F158" s="1" t="s">
        <v>2295</v>
      </c>
      <c r="G158" s="85" t="str">
        <f>_xlfn.XLOOKUP(Tabla2[[#This Row],[Universidad]],Conversiones!$B:$B,Conversiones!$C:$C)</f>
        <v>Université Paris-Dauphine</v>
      </c>
      <c r="H158" s="85" t="str">
        <f>_xlfn.XLOOKUP(Tabla2[[#This Row],[Universidad KPIs]],Conversiones!$C:$C,Conversiones!$E:$E)</f>
        <v>General</v>
      </c>
      <c r="I158" s="1" t="s">
        <v>57</v>
      </c>
      <c r="J158" s="1" t="s">
        <v>281</v>
      </c>
      <c r="K158" s="1" t="s">
        <v>3165</v>
      </c>
      <c r="L158" s="1" t="s">
        <v>3166</v>
      </c>
      <c r="M158" s="1" t="s">
        <v>230</v>
      </c>
      <c r="N158" s="1" t="s">
        <v>2329</v>
      </c>
      <c r="O158" s="86" t="s">
        <v>2330</v>
      </c>
      <c r="P158" s="1">
        <v>1</v>
      </c>
      <c r="Q158" s="1" t="s">
        <v>2359</v>
      </c>
      <c r="R158" s="1" t="s">
        <v>2338</v>
      </c>
      <c r="S158" s="1" t="s">
        <v>2331</v>
      </c>
      <c r="T158" s="1" t="s">
        <v>2494</v>
      </c>
      <c r="U158" s="1" t="s">
        <v>2419</v>
      </c>
      <c r="V158" s="1" t="s">
        <v>3167</v>
      </c>
      <c r="W158" s="1"/>
      <c r="X158" s="1"/>
      <c r="Y158" s="1"/>
      <c r="Z158" s="1"/>
      <c r="AA158" s="1"/>
      <c r="AB158" s="1"/>
      <c r="AC158" s="88" t="s">
        <v>233</v>
      </c>
      <c r="AD158" s="88" t="s">
        <v>254</v>
      </c>
    </row>
    <row r="159" spans="1:30" hidden="1">
      <c r="A159" s="1">
        <v>2022</v>
      </c>
      <c r="B159" s="1">
        <v>202220</v>
      </c>
      <c r="C159" s="1">
        <v>202225004</v>
      </c>
      <c r="D159" s="1" t="s">
        <v>3168</v>
      </c>
      <c r="E159" s="1" t="s">
        <v>3169</v>
      </c>
      <c r="F159" s="1" t="s">
        <v>114</v>
      </c>
      <c r="G159" s="85" t="str">
        <f>_xlfn.XLOOKUP(Tabla2[[#This Row],[Universidad]],Conversiones!$B:$B,Conversiones!$C:$C)</f>
        <v>Universiteit Utrecht</v>
      </c>
      <c r="H159" s="85" t="str">
        <f>_xlfn.XLOOKUP(Tabla2[[#This Row],[Universidad KPIs]],Conversiones!$C:$C,Conversiones!$E:$E)</f>
        <v>Específico</v>
      </c>
      <c r="I159" s="1" t="s">
        <v>95</v>
      </c>
      <c r="J159" s="1" t="s">
        <v>281</v>
      </c>
      <c r="K159" s="1" t="s">
        <v>3170</v>
      </c>
      <c r="L159" s="1" t="s">
        <v>3171</v>
      </c>
      <c r="M159" s="1" t="s">
        <v>230</v>
      </c>
      <c r="N159" s="1" t="s">
        <v>2365</v>
      </c>
      <c r="O159" s="86" t="s">
        <v>2366</v>
      </c>
      <c r="P159" s="1">
        <v>1</v>
      </c>
      <c r="Q159" s="1" t="s">
        <v>2700</v>
      </c>
      <c r="R159" s="1" t="s">
        <v>3028</v>
      </c>
      <c r="S159" s="1" t="s">
        <v>2747</v>
      </c>
      <c r="T159" s="1" t="s">
        <v>2401</v>
      </c>
      <c r="U159" s="1"/>
      <c r="V159" s="1"/>
      <c r="W159" s="1"/>
      <c r="X159" s="1"/>
      <c r="Y159" s="1"/>
      <c r="Z159" s="1"/>
      <c r="AA159" s="1"/>
      <c r="AB159" s="1"/>
      <c r="AC159" s="88" t="s">
        <v>233</v>
      </c>
      <c r="AD159" s="88" t="s">
        <v>254</v>
      </c>
    </row>
    <row r="160" spans="1:30" hidden="1">
      <c r="A160" s="1">
        <v>2022</v>
      </c>
      <c r="B160" s="1">
        <v>202220</v>
      </c>
      <c r="C160" s="1">
        <v>202224941</v>
      </c>
      <c r="D160" s="1" t="s">
        <v>3172</v>
      </c>
      <c r="E160" s="1" t="s">
        <v>3173</v>
      </c>
      <c r="F160" s="1" t="s">
        <v>114</v>
      </c>
      <c r="G160" s="85" t="str">
        <f>_xlfn.XLOOKUP(Tabla2[[#This Row],[Universidad]],Conversiones!$B:$B,Conversiones!$C:$C)</f>
        <v>Universiteit Utrecht</v>
      </c>
      <c r="H160" s="85" t="str">
        <f>_xlfn.XLOOKUP(Tabla2[[#This Row],[Universidad KPIs]],Conversiones!$C:$C,Conversiones!$E:$E)</f>
        <v>Específico</v>
      </c>
      <c r="I160" s="1" t="s">
        <v>95</v>
      </c>
      <c r="J160" s="1" t="s">
        <v>281</v>
      </c>
      <c r="K160" s="1" t="s">
        <v>3174</v>
      </c>
      <c r="L160" s="1" t="s">
        <v>3175</v>
      </c>
      <c r="M160" s="1" t="s">
        <v>230</v>
      </c>
      <c r="N160" s="1" t="s">
        <v>2365</v>
      </c>
      <c r="O160" s="86" t="s">
        <v>2366</v>
      </c>
      <c r="P160" s="1">
        <v>1</v>
      </c>
      <c r="Q160" s="1" t="s">
        <v>2739</v>
      </c>
      <c r="R160" s="1" t="s">
        <v>2764</v>
      </c>
      <c r="S160" s="1" t="s">
        <v>3176</v>
      </c>
      <c r="T160" s="1"/>
      <c r="U160" s="1"/>
      <c r="V160" s="1"/>
      <c r="W160" s="1"/>
      <c r="X160" s="1"/>
      <c r="Y160" s="1"/>
      <c r="Z160" s="1"/>
      <c r="AA160" s="1"/>
      <c r="AB160" s="1"/>
      <c r="AC160" s="88" t="s">
        <v>239</v>
      </c>
      <c r="AD160" s="88" t="s">
        <v>247</v>
      </c>
    </row>
    <row r="161" spans="1:30" hidden="1">
      <c r="A161" s="1">
        <v>2022</v>
      </c>
      <c r="B161" s="1">
        <v>202220</v>
      </c>
      <c r="C161" s="1">
        <v>202226517</v>
      </c>
      <c r="D161" s="1" t="s">
        <v>3177</v>
      </c>
      <c r="E161" s="1" t="s">
        <v>3178</v>
      </c>
      <c r="F161" s="1" t="s">
        <v>116</v>
      </c>
      <c r="G161" s="85" t="str">
        <f>_xlfn.XLOOKUP(Tabla2[[#This Row],[Universidad]],Conversiones!$B:$B,Conversiones!$C:$C)</f>
        <v>University of Glasgow</v>
      </c>
      <c r="H161" s="85" t="str">
        <f>_xlfn.XLOOKUP(Tabla2[[#This Row],[Universidad KPIs]],Conversiones!$C:$C,Conversiones!$E:$E)</f>
        <v>Específico</v>
      </c>
      <c r="I161" s="1" t="s">
        <v>55</v>
      </c>
      <c r="J161" s="1" t="s">
        <v>281</v>
      </c>
      <c r="K161" s="1" t="s">
        <v>3179</v>
      </c>
      <c r="L161" s="1" t="s">
        <v>3180</v>
      </c>
      <c r="M161" s="1" t="s">
        <v>230</v>
      </c>
      <c r="N161" s="1" t="s">
        <v>2365</v>
      </c>
      <c r="O161" s="86" t="s">
        <v>2366</v>
      </c>
      <c r="P161" s="1">
        <v>1</v>
      </c>
      <c r="Q161" s="1" t="s">
        <v>2739</v>
      </c>
      <c r="R161" s="1" t="s">
        <v>2799</v>
      </c>
      <c r="S161" s="1" t="s">
        <v>2800</v>
      </c>
      <c r="T161" s="1" t="s">
        <v>3181</v>
      </c>
      <c r="U161" s="1"/>
      <c r="V161" s="1"/>
      <c r="W161" s="1"/>
      <c r="X161" s="1"/>
      <c r="Y161" s="1"/>
      <c r="Z161" s="1"/>
      <c r="AA161" s="1"/>
      <c r="AB161" s="1"/>
      <c r="AC161" s="88" t="s">
        <v>237</v>
      </c>
      <c r="AD161" s="88" t="s">
        <v>247</v>
      </c>
    </row>
    <row r="162" spans="1:30" hidden="1">
      <c r="A162" s="1">
        <v>2022</v>
      </c>
      <c r="B162" s="1">
        <v>202220</v>
      </c>
      <c r="C162" s="1">
        <v>202226514</v>
      </c>
      <c r="D162" s="1" t="s">
        <v>3182</v>
      </c>
      <c r="E162" s="1" t="s">
        <v>3183</v>
      </c>
      <c r="F162" s="1" t="s">
        <v>116</v>
      </c>
      <c r="G162" s="85" t="str">
        <f>_xlfn.XLOOKUP(Tabla2[[#This Row],[Universidad]],Conversiones!$B:$B,Conversiones!$C:$C)</f>
        <v>University of Glasgow</v>
      </c>
      <c r="H162" s="85" t="str">
        <f>_xlfn.XLOOKUP(Tabla2[[#This Row],[Universidad KPIs]],Conversiones!$C:$C,Conversiones!$E:$E)</f>
        <v>Específico</v>
      </c>
      <c r="I162" s="1" t="s">
        <v>55</v>
      </c>
      <c r="J162" s="1" t="s">
        <v>281</v>
      </c>
      <c r="K162" s="1" t="s">
        <v>3184</v>
      </c>
      <c r="L162" s="1" t="s">
        <v>3185</v>
      </c>
      <c r="M162" s="1" t="s">
        <v>230</v>
      </c>
      <c r="N162" s="1" t="s">
        <v>2365</v>
      </c>
      <c r="O162" s="86" t="s">
        <v>2366</v>
      </c>
      <c r="P162" s="1">
        <v>1</v>
      </c>
      <c r="Q162" s="1" t="s">
        <v>2739</v>
      </c>
      <c r="R162" s="1" t="s">
        <v>2799</v>
      </c>
      <c r="S162" s="1" t="s">
        <v>2800</v>
      </c>
      <c r="T162" s="1" t="s">
        <v>3181</v>
      </c>
      <c r="U162" s="1"/>
      <c r="V162" s="1"/>
      <c r="W162" s="1"/>
      <c r="X162" s="1"/>
      <c r="Y162" s="1"/>
      <c r="Z162" s="1"/>
      <c r="AA162" s="1"/>
      <c r="AB162" s="1"/>
      <c r="AC162" s="88" t="s">
        <v>237</v>
      </c>
      <c r="AD162" s="88" t="s">
        <v>247</v>
      </c>
    </row>
    <row r="163" spans="1:30" hidden="1">
      <c r="A163" s="1">
        <v>2022</v>
      </c>
      <c r="B163" s="1">
        <v>202220</v>
      </c>
      <c r="C163" s="1">
        <v>202226520</v>
      </c>
      <c r="D163" s="1" t="s">
        <v>3186</v>
      </c>
      <c r="E163" s="1" t="s">
        <v>3187</v>
      </c>
      <c r="F163" s="1" t="s">
        <v>116</v>
      </c>
      <c r="G163" s="85" t="str">
        <f>_xlfn.XLOOKUP(Tabla2[[#This Row],[Universidad]],Conversiones!$B:$B,Conversiones!$C:$C)</f>
        <v>University of Glasgow</v>
      </c>
      <c r="H163" s="85" t="str">
        <f>_xlfn.XLOOKUP(Tabla2[[#This Row],[Universidad KPIs]],Conversiones!$C:$C,Conversiones!$E:$E)</f>
        <v>Específico</v>
      </c>
      <c r="I163" s="1" t="s">
        <v>55</v>
      </c>
      <c r="J163" s="1" t="s">
        <v>281</v>
      </c>
      <c r="K163" s="1" t="s">
        <v>3188</v>
      </c>
      <c r="L163" s="1" t="s">
        <v>3189</v>
      </c>
      <c r="M163" s="1" t="s">
        <v>230</v>
      </c>
      <c r="N163" s="1" t="s">
        <v>2365</v>
      </c>
      <c r="O163" s="86" t="s">
        <v>2366</v>
      </c>
      <c r="P163" s="1">
        <v>1</v>
      </c>
      <c r="Q163" s="1" t="s">
        <v>2739</v>
      </c>
      <c r="R163" s="1" t="s">
        <v>2799</v>
      </c>
      <c r="S163" s="1" t="s">
        <v>2764</v>
      </c>
      <c r="T163" s="1" t="s">
        <v>2800</v>
      </c>
      <c r="U163" s="1"/>
      <c r="V163" s="1"/>
      <c r="W163" s="1"/>
      <c r="X163" s="1"/>
      <c r="Y163" s="1"/>
      <c r="Z163" s="1"/>
      <c r="AA163" s="1"/>
      <c r="AB163" s="1"/>
      <c r="AC163" s="88" t="s">
        <v>237</v>
      </c>
      <c r="AD163" s="88" t="s">
        <v>247</v>
      </c>
    </row>
    <row r="164" spans="1:30" hidden="1">
      <c r="A164" s="1">
        <v>2022</v>
      </c>
      <c r="B164" s="1">
        <v>202220</v>
      </c>
      <c r="C164" s="1">
        <v>202226513</v>
      </c>
      <c r="D164" s="1" t="s">
        <v>3190</v>
      </c>
      <c r="E164" s="1" t="s">
        <v>3191</v>
      </c>
      <c r="F164" s="1" t="s">
        <v>116</v>
      </c>
      <c r="G164" s="85" t="str">
        <f>_xlfn.XLOOKUP(Tabla2[[#This Row],[Universidad]],Conversiones!$B:$B,Conversiones!$C:$C)</f>
        <v>University of Glasgow</v>
      </c>
      <c r="H164" s="85" t="str">
        <f>_xlfn.XLOOKUP(Tabla2[[#This Row],[Universidad KPIs]],Conversiones!$C:$C,Conversiones!$E:$E)</f>
        <v>Específico</v>
      </c>
      <c r="I164" s="1" t="s">
        <v>55</v>
      </c>
      <c r="J164" s="1" t="s">
        <v>281</v>
      </c>
      <c r="K164" s="1" t="s">
        <v>3192</v>
      </c>
      <c r="L164" s="1" t="s">
        <v>3193</v>
      </c>
      <c r="M164" s="1" t="s">
        <v>230</v>
      </c>
      <c r="N164" s="1" t="s">
        <v>2365</v>
      </c>
      <c r="O164" s="86" t="s">
        <v>2366</v>
      </c>
      <c r="P164" s="1">
        <v>1</v>
      </c>
      <c r="Q164" s="1" t="s">
        <v>2739</v>
      </c>
      <c r="R164" s="1" t="s">
        <v>2799</v>
      </c>
      <c r="S164" s="1" t="s">
        <v>2764</v>
      </c>
      <c r="T164" s="1" t="s">
        <v>2800</v>
      </c>
      <c r="U164" s="1"/>
      <c r="V164" s="1"/>
      <c r="W164" s="1"/>
      <c r="X164" s="1"/>
      <c r="Y164" s="1"/>
      <c r="Z164" s="1"/>
      <c r="AA164" s="1"/>
      <c r="AB164" s="1"/>
      <c r="AC164" s="88" t="s">
        <v>237</v>
      </c>
      <c r="AD164" s="88" t="s">
        <v>247</v>
      </c>
    </row>
    <row r="165" spans="1:30" hidden="1">
      <c r="A165" s="1">
        <v>2022</v>
      </c>
      <c r="B165" s="1">
        <v>202220</v>
      </c>
      <c r="C165" s="1">
        <v>202226522</v>
      </c>
      <c r="D165" s="1" t="s">
        <v>3194</v>
      </c>
      <c r="E165" s="1" t="s">
        <v>3195</v>
      </c>
      <c r="F165" s="1" t="s">
        <v>116</v>
      </c>
      <c r="G165" s="85" t="str">
        <f>_xlfn.XLOOKUP(Tabla2[[#This Row],[Universidad]],Conversiones!$B:$B,Conversiones!$C:$C)</f>
        <v>University of Glasgow</v>
      </c>
      <c r="H165" s="85" t="str">
        <f>_xlfn.XLOOKUP(Tabla2[[#This Row],[Universidad KPIs]],Conversiones!$C:$C,Conversiones!$E:$E)</f>
        <v>Específico</v>
      </c>
      <c r="I165" s="1" t="s">
        <v>55</v>
      </c>
      <c r="J165" s="1" t="s">
        <v>281</v>
      </c>
      <c r="K165" s="1" t="s">
        <v>3196</v>
      </c>
      <c r="L165" s="1" t="s">
        <v>3197</v>
      </c>
      <c r="M165" s="1" t="s">
        <v>230</v>
      </c>
      <c r="N165" s="1" t="s">
        <v>2365</v>
      </c>
      <c r="O165" s="86" t="s">
        <v>2366</v>
      </c>
      <c r="P165" s="1">
        <v>1</v>
      </c>
      <c r="Q165" s="1" t="s">
        <v>2739</v>
      </c>
      <c r="R165" s="1" t="s">
        <v>2799</v>
      </c>
      <c r="S165" s="1" t="s">
        <v>2764</v>
      </c>
      <c r="T165" s="1" t="s">
        <v>2800</v>
      </c>
      <c r="U165" s="1"/>
      <c r="V165" s="1"/>
      <c r="W165" s="1"/>
      <c r="X165" s="1"/>
      <c r="Y165" s="1"/>
      <c r="Z165" s="1"/>
      <c r="AA165" s="1"/>
      <c r="AB165" s="1"/>
      <c r="AC165" s="88" t="s">
        <v>237</v>
      </c>
      <c r="AD165" s="88" t="s">
        <v>247</v>
      </c>
    </row>
    <row r="166" spans="1:30" hidden="1">
      <c r="A166" s="1">
        <v>2022</v>
      </c>
      <c r="B166" s="1">
        <v>202220</v>
      </c>
      <c r="C166" s="1">
        <v>202226512</v>
      </c>
      <c r="D166" s="1" t="s">
        <v>3198</v>
      </c>
      <c r="E166" s="1" t="s">
        <v>3199</v>
      </c>
      <c r="F166" s="1" t="s">
        <v>116</v>
      </c>
      <c r="G166" s="85" t="str">
        <f>_xlfn.XLOOKUP(Tabla2[[#This Row],[Universidad]],Conversiones!$B:$B,Conversiones!$C:$C)</f>
        <v>University of Glasgow</v>
      </c>
      <c r="H166" s="85" t="str">
        <f>_xlfn.XLOOKUP(Tabla2[[#This Row],[Universidad KPIs]],Conversiones!$C:$C,Conversiones!$E:$E)</f>
        <v>Específico</v>
      </c>
      <c r="I166" s="1" t="s">
        <v>55</v>
      </c>
      <c r="J166" s="1" t="s">
        <v>281</v>
      </c>
      <c r="K166" s="1" t="s">
        <v>3200</v>
      </c>
      <c r="L166" s="1" t="s">
        <v>3201</v>
      </c>
      <c r="M166" s="1" t="s">
        <v>230</v>
      </c>
      <c r="N166" s="1" t="s">
        <v>2365</v>
      </c>
      <c r="O166" s="86" t="s">
        <v>2366</v>
      </c>
      <c r="P166" s="1">
        <v>1</v>
      </c>
      <c r="Q166" s="1" t="s">
        <v>2739</v>
      </c>
      <c r="R166" s="1" t="s">
        <v>2799</v>
      </c>
      <c r="S166" s="1" t="s">
        <v>2764</v>
      </c>
      <c r="T166" s="1" t="s">
        <v>2800</v>
      </c>
      <c r="U166" s="1"/>
      <c r="V166" s="1"/>
      <c r="W166" s="1"/>
      <c r="X166" s="1"/>
      <c r="Y166" s="1"/>
      <c r="Z166" s="1"/>
      <c r="AA166" s="1"/>
      <c r="AB166" s="1"/>
      <c r="AC166" s="88" t="s">
        <v>237</v>
      </c>
      <c r="AD166" s="88" t="s">
        <v>247</v>
      </c>
    </row>
    <row r="167" spans="1:30" hidden="1">
      <c r="A167" s="1">
        <v>2022</v>
      </c>
      <c r="B167" s="1">
        <v>202220</v>
      </c>
      <c r="C167" s="1">
        <v>202226515</v>
      </c>
      <c r="D167" s="1" t="s">
        <v>3202</v>
      </c>
      <c r="E167" s="1" t="s">
        <v>3203</v>
      </c>
      <c r="F167" s="1" t="s">
        <v>116</v>
      </c>
      <c r="G167" s="85" t="str">
        <f>_xlfn.XLOOKUP(Tabla2[[#This Row],[Universidad]],Conversiones!$B:$B,Conversiones!$C:$C)</f>
        <v>University of Glasgow</v>
      </c>
      <c r="H167" s="85" t="str">
        <f>_xlfn.XLOOKUP(Tabla2[[#This Row],[Universidad KPIs]],Conversiones!$C:$C,Conversiones!$E:$E)</f>
        <v>Específico</v>
      </c>
      <c r="I167" s="1" t="s">
        <v>55</v>
      </c>
      <c r="J167" s="1" t="s">
        <v>281</v>
      </c>
      <c r="K167" s="1" t="s">
        <v>3204</v>
      </c>
      <c r="L167" s="1" t="s">
        <v>3205</v>
      </c>
      <c r="M167" s="1" t="s">
        <v>230</v>
      </c>
      <c r="N167" s="1" t="s">
        <v>2365</v>
      </c>
      <c r="O167" s="86" t="s">
        <v>2366</v>
      </c>
      <c r="P167" s="1">
        <v>1</v>
      </c>
      <c r="Q167" s="1" t="s">
        <v>2739</v>
      </c>
      <c r="R167" s="1" t="s">
        <v>2799</v>
      </c>
      <c r="S167" s="1" t="s">
        <v>2764</v>
      </c>
      <c r="T167" s="1" t="s">
        <v>2800</v>
      </c>
      <c r="U167" s="1"/>
      <c r="V167" s="1"/>
      <c r="W167" s="1"/>
      <c r="X167" s="1"/>
      <c r="Y167" s="1"/>
      <c r="Z167" s="1"/>
      <c r="AA167" s="1"/>
      <c r="AB167" s="1"/>
      <c r="AC167" s="88" t="s">
        <v>237</v>
      </c>
      <c r="AD167" s="88" t="s">
        <v>247</v>
      </c>
    </row>
    <row r="168" spans="1:30" hidden="1">
      <c r="A168" s="1">
        <v>2022</v>
      </c>
      <c r="B168" s="1">
        <v>202220</v>
      </c>
      <c r="C168" s="1">
        <v>202226518</v>
      </c>
      <c r="D168" s="1" t="s">
        <v>3206</v>
      </c>
      <c r="E168" s="1" t="s">
        <v>3207</v>
      </c>
      <c r="F168" s="1" t="s">
        <v>116</v>
      </c>
      <c r="G168" s="85" t="str">
        <f>_xlfn.XLOOKUP(Tabla2[[#This Row],[Universidad]],Conversiones!$B:$B,Conversiones!$C:$C)</f>
        <v>University of Glasgow</v>
      </c>
      <c r="H168" s="85" t="str">
        <f>_xlfn.XLOOKUP(Tabla2[[#This Row],[Universidad KPIs]],Conversiones!$C:$C,Conversiones!$E:$E)</f>
        <v>Específico</v>
      </c>
      <c r="I168" s="1" t="s">
        <v>55</v>
      </c>
      <c r="J168" s="1" t="s">
        <v>281</v>
      </c>
      <c r="K168" s="1" t="s">
        <v>3208</v>
      </c>
      <c r="L168" s="1" t="s">
        <v>3209</v>
      </c>
      <c r="M168" s="1" t="s">
        <v>230</v>
      </c>
      <c r="N168" s="1" t="s">
        <v>2365</v>
      </c>
      <c r="O168" s="86" t="s">
        <v>2366</v>
      </c>
      <c r="P168" s="1">
        <v>1</v>
      </c>
      <c r="Q168" s="1" t="s">
        <v>2739</v>
      </c>
      <c r="R168" s="1" t="s">
        <v>2799</v>
      </c>
      <c r="S168" s="1" t="s">
        <v>2764</v>
      </c>
      <c r="T168" s="1" t="s">
        <v>2800</v>
      </c>
      <c r="U168" s="1"/>
      <c r="V168" s="1"/>
      <c r="W168" s="1"/>
      <c r="X168" s="1"/>
      <c r="Y168" s="1"/>
      <c r="Z168" s="1"/>
      <c r="AA168" s="1"/>
      <c r="AB168" s="1"/>
      <c r="AC168" s="88" t="s">
        <v>237</v>
      </c>
      <c r="AD168" s="88" t="s">
        <v>247</v>
      </c>
    </row>
    <row r="169" spans="1:30" hidden="1">
      <c r="A169" s="1">
        <v>2022</v>
      </c>
      <c r="B169" s="1">
        <v>202220</v>
      </c>
      <c r="C169" s="1">
        <v>202226521</v>
      </c>
      <c r="D169" s="1" t="s">
        <v>3210</v>
      </c>
      <c r="E169" s="1" t="s">
        <v>3211</v>
      </c>
      <c r="F169" s="1" t="s">
        <v>116</v>
      </c>
      <c r="G169" s="85" t="str">
        <f>_xlfn.XLOOKUP(Tabla2[[#This Row],[Universidad]],Conversiones!$B:$B,Conversiones!$C:$C)</f>
        <v>University of Glasgow</v>
      </c>
      <c r="H169" s="85" t="str">
        <f>_xlfn.XLOOKUP(Tabla2[[#This Row],[Universidad KPIs]],Conversiones!$C:$C,Conversiones!$E:$E)</f>
        <v>Específico</v>
      </c>
      <c r="I169" s="1" t="s">
        <v>55</v>
      </c>
      <c r="J169" s="1" t="s">
        <v>281</v>
      </c>
      <c r="K169" s="1" t="s">
        <v>3212</v>
      </c>
      <c r="L169" s="1" t="s">
        <v>3213</v>
      </c>
      <c r="M169" s="1" t="s">
        <v>230</v>
      </c>
      <c r="N169" s="1" t="s">
        <v>2365</v>
      </c>
      <c r="O169" s="86" t="s">
        <v>2366</v>
      </c>
      <c r="P169" s="1">
        <v>1</v>
      </c>
      <c r="Q169" s="1" t="s">
        <v>2739</v>
      </c>
      <c r="R169" s="1" t="s">
        <v>2799</v>
      </c>
      <c r="S169" s="1" t="s">
        <v>2764</v>
      </c>
      <c r="T169" s="1" t="s">
        <v>2800</v>
      </c>
      <c r="U169" s="1"/>
      <c r="V169" s="1"/>
      <c r="W169" s="1"/>
      <c r="X169" s="1"/>
      <c r="Y169" s="1"/>
      <c r="Z169" s="1"/>
      <c r="AA169" s="1"/>
      <c r="AB169" s="1"/>
      <c r="AC169" s="88" t="s">
        <v>237</v>
      </c>
      <c r="AD169" s="88" t="s">
        <v>247</v>
      </c>
    </row>
    <row r="170" spans="1:30" hidden="1">
      <c r="A170" s="1">
        <v>2022</v>
      </c>
      <c r="B170" s="1">
        <v>202220</v>
      </c>
      <c r="C170" s="1">
        <v>202226519</v>
      </c>
      <c r="D170" s="1" t="s">
        <v>3214</v>
      </c>
      <c r="E170" s="1" t="s">
        <v>3215</v>
      </c>
      <c r="F170" s="1" t="s">
        <v>116</v>
      </c>
      <c r="G170" s="85" t="str">
        <f>_xlfn.XLOOKUP(Tabla2[[#This Row],[Universidad]],Conversiones!$B:$B,Conversiones!$C:$C)</f>
        <v>University of Glasgow</v>
      </c>
      <c r="H170" s="85" t="str">
        <f>_xlfn.XLOOKUP(Tabla2[[#This Row],[Universidad KPIs]],Conversiones!$C:$C,Conversiones!$E:$E)</f>
        <v>Específico</v>
      </c>
      <c r="I170" s="1" t="s">
        <v>55</v>
      </c>
      <c r="J170" s="1" t="s">
        <v>281</v>
      </c>
      <c r="K170" s="1" t="s">
        <v>3216</v>
      </c>
      <c r="L170" s="1" t="s">
        <v>3217</v>
      </c>
      <c r="M170" s="1" t="s">
        <v>230</v>
      </c>
      <c r="N170" s="1" t="s">
        <v>2365</v>
      </c>
      <c r="O170" s="86" t="s">
        <v>2366</v>
      </c>
      <c r="P170" s="1">
        <v>1</v>
      </c>
      <c r="Q170" s="1" t="s">
        <v>2739</v>
      </c>
      <c r="R170" s="1" t="s">
        <v>2799</v>
      </c>
      <c r="S170" s="1" t="s">
        <v>2764</v>
      </c>
      <c r="T170" s="1" t="s">
        <v>2800</v>
      </c>
      <c r="U170" s="1"/>
      <c r="V170" s="1"/>
      <c r="W170" s="1"/>
      <c r="X170" s="1"/>
      <c r="Y170" s="1"/>
      <c r="Z170" s="1"/>
      <c r="AA170" s="1"/>
      <c r="AB170" s="1"/>
      <c r="AC170" s="88" t="s">
        <v>237</v>
      </c>
      <c r="AD170" s="88" t="s">
        <v>247</v>
      </c>
    </row>
    <row r="171" spans="1:30" hidden="1">
      <c r="A171" s="1">
        <v>2022</v>
      </c>
      <c r="B171" s="1">
        <v>202220</v>
      </c>
      <c r="C171" s="1">
        <v>202312994</v>
      </c>
      <c r="D171" s="1" t="s">
        <v>3218</v>
      </c>
      <c r="E171" s="1" t="s">
        <v>3219</v>
      </c>
      <c r="F171" s="1" t="s">
        <v>116</v>
      </c>
      <c r="G171" s="85" t="str">
        <f>_xlfn.XLOOKUP(Tabla2[[#This Row],[Universidad]],Conversiones!$B:$B,Conversiones!$C:$C)</f>
        <v>University of Glasgow</v>
      </c>
      <c r="H171" s="85" t="str">
        <f>_xlfn.XLOOKUP(Tabla2[[#This Row],[Universidad KPIs]],Conversiones!$C:$C,Conversiones!$E:$E)</f>
        <v>Específico</v>
      </c>
      <c r="I171" s="1" t="s">
        <v>55</v>
      </c>
      <c r="J171" s="1" t="s">
        <v>281</v>
      </c>
      <c r="K171" s="1" t="s">
        <v>3220</v>
      </c>
      <c r="L171" s="1" t="s">
        <v>3221</v>
      </c>
      <c r="M171" s="1" t="s">
        <v>230</v>
      </c>
      <c r="N171" s="1" t="s">
        <v>2365</v>
      </c>
      <c r="O171" s="86" t="s">
        <v>2366</v>
      </c>
      <c r="P171" s="1">
        <v>1</v>
      </c>
      <c r="Q171" s="1" t="s">
        <v>2739</v>
      </c>
      <c r="R171" s="1" t="s">
        <v>2799</v>
      </c>
      <c r="S171" s="1" t="s">
        <v>2764</v>
      </c>
      <c r="T171" s="1" t="s">
        <v>2800</v>
      </c>
      <c r="U171" s="1"/>
      <c r="V171" s="1"/>
      <c r="W171" s="1"/>
      <c r="X171" s="1"/>
      <c r="Y171" s="1"/>
      <c r="Z171" s="1"/>
      <c r="AA171" s="1"/>
      <c r="AB171" s="1"/>
      <c r="AC171" s="88" t="s">
        <v>237</v>
      </c>
      <c r="AD171" s="88" t="s">
        <v>247</v>
      </c>
    </row>
    <row r="172" spans="1:30" hidden="1">
      <c r="A172" s="1">
        <v>2022</v>
      </c>
      <c r="B172" s="1">
        <v>202220</v>
      </c>
      <c r="C172" s="1">
        <v>202226516</v>
      </c>
      <c r="D172" s="1" t="s">
        <v>3222</v>
      </c>
      <c r="E172" s="1" t="s">
        <v>3223</v>
      </c>
      <c r="F172" s="1" t="s">
        <v>116</v>
      </c>
      <c r="G172" s="85" t="str">
        <f>_xlfn.XLOOKUP(Tabla2[[#This Row],[Universidad]],Conversiones!$B:$B,Conversiones!$C:$C)</f>
        <v>University of Glasgow</v>
      </c>
      <c r="H172" s="85" t="str">
        <f>_xlfn.XLOOKUP(Tabla2[[#This Row],[Universidad KPIs]],Conversiones!$C:$C,Conversiones!$E:$E)</f>
        <v>Específico</v>
      </c>
      <c r="I172" s="1" t="s">
        <v>55</v>
      </c>
      <c r="J172" s="1" t="s">
        <v>281</v>
      </c>
      <c r="K172" s="1" t="s">
        <v>3224</v>
      </c>
      <c r="L172" s="1" t="s">
        <v>3225</v>
      </c>
      <c r="M172" s="1" t="s">
        <v>230</v>
      </c>
      <c r="N172" s="1" t="s">
        <v>2365</v>
      </c>
      <c r="O172" s="86" t="s">
        <v>2366</v>
      </c>
      <c r="P172" s="1">
        <v>1</v>
      </c>
      <c r="Q172" s="1" t="s">
        <v>2739</v>
      </c>
      <c r="R172" s="1" t="s">
        <v>2799</v>
      </c>
      <c r="S172" s="1" t="s">
        <v>2800</v>
      </c>
      <c r="T172" s="1" t="s">
        <v>3181</v>
      </c>
      <c r="U172" s="1"/>
      <c r="V172" s="1"/>
      <c r="W172" s="1"/>
      <c r="X172" s="1"/>
      <c r="Y172" s="1"/>
      <c r="Z172" s="1"/>
      <c r="AA172" s="1"/>
      <c r="AB172" s="1"/>
      <c r="AC172" s="88" t="s">
        <v>237</v>
      </c>
      <c r="AD172" s="88" t="s">
        <v>247</v>
      </c>
    </row>
    <row r="173" spans="1:30" hidden="1">
      <c r="A173" s="1">
        <v>2023</v>
      </c>
      <c r="B173" s="1">
        <v>202320</v>
      </c>
      <c r="C173" s="1">
        <v>202325765</v>
      </c>
      <c r="D173" s="1" t="s">
        <v>2165</v>
      </c>
      <c r="E173" s="1" t="s">
        <v>3226</v>
      </c>
      <c r="F173" s="1" t="s">
        <v>102</v>
      </c>
      <c r="G173" s="85" t="str">
        <f>_xlfn.XLOOKUP(Tabla2[[#This Row],[Universidad]],Conversiones!$B:$B,Conversiones!$C:$C)</f>
        <v>Politecnico di Milano</v>
      </c>
      <c r="H173" s="85" t="str">
        <f>_xlfn.XLOOKUP(Tabla2[[#This Row],[Universidad KPIs]],Conversiones!$C:$C,Conversiones!$E:$E)</f>
        <v>Específico</v>
      </c>
      <c r="I173" s="1" t="s">
        <v>103</v>
      </c>
      <c r="J173" s="1" t="s">
        <v>281</v>
      </c>
      <c r="K173" s="1" t="s">
        <v>3227</v>
      </c>
      <c r="L173" s="1" t="s">
        <v>3228</v>
      </c>
      <c r="M173" s="1" t="s">
        <v>230</v>
      </c>
      <c r="N173" s="1" t="s">
        <v>2329</v>
      </c>
      <c r="O173" s="86" t="s">
        <v>3229</v>
      </c>
      <c r="P173" s="1">
        <v>1</v>
      </c>
      <c r="Q173" s="1" t="s">
        <v>2338</v>
      </c>
      <c r="R173" s="1" t="s">
        <v>3230</v>
      </c>
      <c r="S173" s="1" t="s">
        <v>3231</v>
      </c>
      <c r="T173" s="1"/>
      <c r="U173" s="1"/>
      <c r="V173" s="1"/>
      <c r="W173" s="1"/>
      <c r="X173" s="1"/>
      <c r="Y173" s="1"/>
      <c r="Z173" s="1"/>
      <c r="AA173" s="1"/>
      <c r="AB173" s="1"/>
      <c r="AC173" s="88" t="s">
        <v>238</v>
      </c>
      <c r="AD173" s="88" t="s">
        <v>247</v>
      </c>
    </row>
    <row r="174" spans="1:30" hidden="1">
      <c r="A174" s="1">
        <v>2023</v>
      </c>
      <c r="B174" s="1">
        <v>202310</v>
      </c>
      <c r="C174" s="1">
        <v>202316924</v>
      </c>
      <c r="D174" s="1" t="s">
        <v>3232</v>
      </c>
      <c r="E174" s="1" t="s">
        <v>3233</v>
      </c>
      <c r="F174" s="1" t="s">
        <v>455</v>
      </c>
      <c r="G174" s="85" t="str">
        <f>_xlfn.XLOOKUP(Tabla2[[#This Row],[Universidad]],Conversiones!$B:$B,Conversiones!$C:$C)</f>
        <v>Nova School of Business and Economics</v>
      </c>
      <c r="H174" s="85" t="str">
        <f>_xlfn.XLOOKUP(Tabla2[[#This Row],[Universidad KPIs]],Conversiones!$C:$C,Conversiones!$E:$E)</f>
        <v>Específico</v>
      </c>
      <c r="I174" s="1" t="s">
        <v>61</v>
      </c>
      <c r="J174" s="1" t="s">
        <v>281</v>
      </c>
      <c r="K174" s="1" t="s">
        <v>3234</v>
      </c>
      <c r="L174" s="1" t="s">
        <v>3235</v>
      </c>
      <c r="M174" s="1" t="s">
        <v>230</v>
      </c>
      <c r="N174" s="1" t="s">
        <v>2329</v>
      </c>
      <c r="O174" s="86" t="s">
        <v>2330</v>
      </c>
      <c r="P174" s="1">
        <v>1</v>
      </c>
      <c r="Q174" s="1" t="s">
        <v>2338</v>
      </c>
      <c r="R174" s="1" t="s">
        <v>2339</v>
      </c>
      <c r="S174" s="1" t="s">
        <v>2438</v>
      </c>
      <c r="T174" s="1" t="s">
        <v>2712</v>
      </c>
      <c r="U174" s="1" t="s">
        <v>2401</v>
      </c>
      <c r="V174" s="1"/>
      <c r="W174" s="1"/>
      <c r="X174" s="1"/>
      <c r="Y174" s="1"/>
      <c r="Z174" s="1"/>
      <c r="AA174" s="1"/>
      <c r="AB174" s="1"/>
      <c r="AC174" s="88" t="s">
        <v>233</v>
      </c>
      <c r="AD174" s="88" t="s">
        <v>254</v>
      </c>
    </row>
    <row r="175" spans="1:30" hidden="1">
      <c r="A175" s="1">
        <v>2023</v>
      </c>
      <c r="B175" s="1">
        <v>202310</v>
      </c>
      <c r="C175" s="1">
        <v>202316822</v>
      </c>
      <c r="D175" s="1" t="s">
        <v>3236</v>
      </c>
      <c r="E175" s="1" t="s">
        <v>3237</v>
      </c>
      <c r="F175" s="1" t="s">
        <v>102</v>
      </c>
      <c r="G175" s="85" t="str">
        <f>_xlfn.XLOOKUP(Tabla2[[#This Row],[Universidad]],Conversiones!$B:$B,Conversiones!$C:$C)</f>
        <v>Politecnico di Milano</v>
      </c>
      <c r="H175" s="85" t="str">
        <f>_xlfn.XLOOKUP(Tabla2[[#This Row],[Universidad KPIs]],Conversiones!$C:$C,Conversiones!$E:$E)</f>
        <v>Específico</v>
      </c>
      <c r="I175" s="1" t="s">
        <v>103</v>
      </c>
      <c r="J175" s="1" t="s">
        <v>281</v>
      </c>
      <c r="K175" s="1" t="s">
        <v>3238</v>
      </c>
      <c r="L175" s="1" t="s">
        <v>3239</v>
      </c>
      <c r="M175" s="1" t="s">
        <v>230</v>
      </c>
      <c r="N175" s="1" t="s">
        <v>2365</v>
      </c>
      <c r="O175" s="86" t="s">
        <v>2366</v>
      </c>
      <c r="P175" s="1">
        <v>1</v>
      </c>
      <c r="Q175" s="1" t="s">
        <v>3240</v>
      </c>
      <c r="R175" s="1" t="s">
        <v>3241</v>
      </c>
      <c r="S175" s="1" t="s">
        <v>2394</v>
      </c>
      <c r="T175" s="1" t="s">
        <v>3242</v>
      </c>
      <c r="U175" s="1" t="s">
        <v>3243</v>
      </c>
      <c r="V175" s="1" t="s">
        <v>3244</v>
      </c>
      <c r="W175" s="1" t="s">
        <v>2495</v>
      </c>
      <c r="X175" s="1" t="s">
        <v>3245</v>
      </c>
      <c r="Y175" s="1"/>
      <c r="Z175" s="1"/>
      <c r="AA175" s="1"/>
      <c r="AB175" s="1"/>
      <c r="AC175" s="88" t="s">
        <v>237</v>
      </c>
      <c r="AD175" s="88" t="s">
        <v>247</v>
      </c>
    </row>
    <row r="176" spans="1:30" hidden="1">
      <c r="A176" s="1">
        <v>2023</v>
      </c>
      <c r="B176" s="1">
        <v>202320</v>
      </c>
      <c r="C176" s="1">
        <v>202316822</v>
      </c>
      <c r="D176" s="1" t="s">
        <v>3236</v>
      </c>
      <c r="E176" s="1" t="s">
        <v>3237</v>
      </c>
      <c r="F176" s="1" t="s">
        <v>102</v>
      </c>
      <c r="G176" s="85" t="str">
        <f>_xlfn.XLOOKUP(Tabla2[[#This Row],[Universidad]],Conversiones!$B:$B,Conversiones!$C:$C)</f>
        <v>Politecnico di Milano</v>
      </c>
      <c r="H176" s="85" t="str">
        <f>_xlfn.XLOOKUP(Tabla2[[#This Row],[Universidad KPIs]],Conversiones!$C:$C,Conversiones!$E:$E)</f>
        <v>Específico</v>
      </c>
      <c r="I176" s="1" t="s">
        <v>103</v>
      </c>
      <c r="J176" s="1" t="s">
        <v>281</v>
      </c>
      <c r="K176" s="1" t="s">
        <v>3238</v>
      </c>
      <c r="L176" s="1" t="s">
        <v>3239</v>
      </c>
      <c r="M176" s="1" t="s">
        <v>230</v>
      </c>
      <c r="N176" s="1" t="s">
        <v>2365</v>
      </c>
      <c r="O176" s="86" t="s">
        <v>3229</v>
      </c>
      <c r="P176" s="1">
        <v>1</v>
      </c>
      <c r="Q176" s="1" t="s">
        <v>3246</v>
      </c>
      <c r="R176" s="1" t="s">
        <v>3247</v>
      </c>
      <c r="S176" s="1" t="s">
        <v>3248</v>
      </c>
      <c r="T176" s="1" t="s">
        <v>2495</v>
      </c>
      <c r="U176" s="1" t="s">
        <v>3249</v>
      </c>
      <c r="V176" s="1" t="s">
        <v>3250</v>
      </c>
      <c r="W176" s="1" t="s">
        <v>3251</v>
      </c>
      <c r="X176" s="1" t="s">
        <v>3252</v>
      </c>
      <c r="Y176" s="1"/>
      <c r="Z176" s="1"/>
      <c r="AA176" s="1"/>
      <c r="AB176" s="1"/>
      <c r="AC176" s="88" t="s">
        <v>237</v>
      </c>
      <c r="AD176" s="88" t="s">
        <v>247</v>
      </c>
    </row>
    <row r="177" spans="1:30" hidden="1">
      <c r="A177" s="1">
        <v>2023</v>
      </c>
      <c r="B177" s="1">
        <v>202310</v>
      </c>
      <c r="C177" s="1">
        <v>202316847</v>
      </c>
      <c r="D177" s="1" t="s">
        <v>3253</v>
      </c>
      <c r="E177" s="1" t="s">
        <v>3254</v>
      </c>
      <c r="F177" s="1" t="s">
        <v>66</v>
      </c>
      <c r="G177" s="85" t="str">
        <f>_xlfn.XLOOKUP(Tabla2[[#This Row],[Universidad]],Conversiones!$B:$B,Conversiones!$C:$C)</f>
        <v>EDHEC Business School</v>
      </c>
      <c r="H177" s="85" t="str">
        <f>_xlfn.XLOOKUP(Tabla2[[#This Row],[Universidad KPIs]],Conversiones!$C:$C,Conversiones!$E:$E)</f>
        <v>Específico</v>
      </c>
      <c r="I177" s="1" t="s">
        <v>57</v>
      </c>
      <c r="J177" s="1" t="s">
        <v>281</v>
      </c>
      <c r="K177" s="1" t="s">
        <v>3255</v>
      </c>
      <c r="L177" s="1" t="s">
        <v>3256</v>
      </c>
      <c r="M177" s="1" t="s">
        <v>230</v>
      </c>
      <c r="N177" s="1" t="s">
        <v>2329</v>
      </c>
      <c r="O177" s="86" t="s">
        <v>2330</v>
      </c>
      <c r="P177" s="1">
        <v>1</v>
      </c>
      <c r="Q177" s="1" t="s">
        <v>2359</v>
      </c>
      <c r="R177" s="1" t="s">
        <v>3053</v>
      </c>
      <c r="S177" s="1" t="s">
        <v>2608</v>
      </c>
      <c r="T177" s="1" t="s">
        <v>2331</v>
      </c>
      <c r="U177" s="1" t="s">
        <v>3257</v>
      </c>
      <c r="V177" s="1"/>
      <c r="W177" s="1"/>
      <c r="X177" s="1"/>
      <c r="Y177" s="1"/>
      <c r="Z177" s="1"/>
      <c r="AA177" s="1"/>
      <c r="AB177" s="1"/>
      <c r="AC177" s="88" t="s">
        <v>233</v>
      </c>
      <c r="AD177" s="88" t="s">
        <v>254</v>
      </c>
    </row>
    <row r="178" spans="1:30" hidden="1">
      <c r="A178" s="1">
        <v>2023</v>
      </c>
      <c r="B178" s="1">
        <v>202320</v>
      </c>
      <c r="C178" s="1">
        <v>202325873</v>
      </c>
      <c r="D178" s="1" t="s">
        <v>3258</v>
      </c>
      <c r="E178" s="1" t="s">
        <v>3259</v>
      </c>
      <c r="F178" s="1" t="s">
        <v>372</v>
      </c>
      <c r="G178" s="85" t="str">
        <f>_xlfn.XLOOKUP(Tabla2[[#This Row],[Universidad]],Conversiones!$B:$B,Conversiones!$C:$C)</f>
        <v>A.B. Freeman School of Business, Tulane University</v>
      </c>
      <c r="H178" s="85" t="str">
        <f>_xlfn.XLOOKUP(Tabla2[[#This Row],[Universidad KPIs]],Conversiones!$C:$C,Conversiones!$E:$E)</f>
        <v>Específico</v>
      </c>
      <c r="I178" s="1" t="s">
        <v>51</v>
      </c>
      <c r="J178" s="1" t="s">
        <v>291</v>
      </c>
      <c r="K178" s="1" t="s">
        <v>3260</v>
      </c>
      <c r="L178" s="1" t="s">
        <v>3261</v>
      </c>
      <c r="M178" s="1" t="s">
        <v>230</v>
      </c>
      <c r="N178" s="1" t="s">
        <v>2329</v>
      </c>
      <c r="O178" s="86" t="s">
        <v>3229</v>
      </c>
      <c r="P178" s="1">
        <v>1</v>
      </c>
      <c r="Q178" s="1" t="s">
        <v>2511</v>
      </c>
      <c r="R178" s="1" t="s">
        <v>2338</v>
      </c>
      <c r="S178" s="1" t="s">
        <v>2632</v>
      </c>
      <c r="T178" s="1" t="s">
        <v>3230</v>
      </c>
      <c r="U178" s="1" t="s">
        <v>3262</v>
      </c>
      <c r="V178" s="1" t="s">
        <v>3263</v>
      </c>
      <c r="W178" s="1" t="s">
        <v>3248</v>
      </c>
      <c r="X178" s="1" t="s">
        <v>2953</v>
      </c>
      <c r="Y178" s="1"/>
      <c r="Z178" s="1"/>
      <c r="AA178" s="1"/>
      <c r="AB178" s="1"/>
      <c r="AC178" s="88" t="s">
        <v>233</v>
      </c>
      <c r="AD178" s="88" t="s">
        <v>254</v>
      </c>
    </row>
    <row r="179" spans="1:30" hidden="1">
      <c r="A179" s="1">
        <v>2023</v>
      </c>
      <c r="B179" s="1">
        <v>202310</v>
      </c>
      <c r="C179" s="1">
        <v>202316848</v>
      </c>
      <c r="D179" s="1" t="s">
        <v>3264</v>
      </c>
      <c r="E179" s="1" t="s">
        <v>3265</v>
      </c>
      <c r="F179" s="1" t="s">
        <v>372</v>
      </c>
      <c r="G179" s="85" t="str">
        <f>_xlfn.XLOOKUP(Tabla2[[#This Row],[Universidad]],Conversiones!$B:$B,Conversiones!$C:$C)</f>
        <v>A.B. Freeman School of Business, Tulane University</v>
      </c>
      <c r="H179" s="85" t="str">
        <f>_xlfn.XLOOKUP(Tabla2[[#This Row],[Universidad KPIs]],Conversiones!$C:$C,Conversiones!$E:$E)</f>
        <v>Específico</v>
      </c>
      <c r="I179" s="1" t="s">
        <v>51</v>
      </c>
      <c r="J179" s="1" t="s">
        <v>291</v>
      </c>
      <c r="K179" s="1" t="s">
        <v>3266</v>
      </c>
      <c r="L179" s="1" t="s">
        <v>3267</v>
      </c>
      <c r="M179" s="1" t="s">
        <v>230</v>
      </c>
      <c r="N179" s="1" t="s">
        <v>2329</v>
      </c>
      <c r="O179" s="86" t="s">
        <v>2330</v>
      </c>
      <c r="P179" s="1">
        <v>1</v>
      </c>
      <c r="Q179" s="1" t="s">
        <v>2631</v>
      </c>
      <c r="R179" s="1" t="s">
        <v>2609</v>
      </c>
      <c r="S179" s="1" t="s">
        <v>2438</v>
      </c>
      <c r="T179" s="1" t="s">
        <v>2511</v>
      </c>
      <c r="U179" s="1" t="s">
        <v>2360</v>
      </c>
      <c r="V179" s="1" t="s">
        <v>2494</v>
      </c>
      <c r="W179" s="1" t="s">
        <v>3249</v>
      </c>
      <c r="X179" s="1"/>
      <c r="Y179" s="1"/>
      <c r="Z179" s="1"/>
      <c r="AA179" s="1"/>
      <c r="AB179" s="1"/>
      <c r="AC179" s="88" t="s">
        <v>233</v>
      </c>
      <c r="AD179" s="88" t="s">
        <v>254</v>
      </c>
    </row>
    <row r="180" spans="1:30" hidden="1">
      <c r="A180" s="1">
        <v>2023</v>
      </c>
      <c r="B180" s="1">
        <v>202310</v>
      </c>
      <c r="C180" s="1">
        <v>202316925</v>
      </c>
      <c r="D180" s="1" t="s">
        <v>3268</v>
      </c>
      <c r="E180" s="1" t="s">
        <v>3269</v>
      </c>
      <c r="F180" s="1" t="s">
        <v>639</v>
      </c>
      <c r="G180" s="85" t="str">
        <f>_xlfn.XLOOKUP(Tabla2[[#This Row],[Universidad]],Conversiones!$B:$B,Conversiones!$C:$C)</f>
        <v>IE Instituto Empresa</v>
      </c>
      <c r="H180" s="85" t="str">
        <f>_xlfn.XLOOKUP(Tabla2[[#This Row],[Universidad KPIs]],Conversiones!$C:$C,Conversiones!$E:$E)</f>
        <v>Específico</v>
      </c>
      <c r="I180" s="1" t="s">
        <v>69</v>
      </c>
      <c r="J180" s="1" t="s">
        <v>281</v>
      </c>
      <c r="K180" s="1" t="s">
        <v>3270</v>
      </c>
      <c r="L180" s="1" t="s">
        <v>3271</v>
      </c>
      <c r="M180" s="1" t="s">
        <v>230</v>
      </c>
      <c r="N180" s="1" t="s">
        <v>2329</v>
      </c>
      <c r="O180" s="86" t="s">
        <v>2330</v>
      </c>
      <c r="P180" s="1">
        <v>1</v>
      </c>
      <c r="Q180" s="1" t="s">
        <v>2472</v>
      </c>
      <c r="R180" s="1" t="s">
        <v>2338</v>
      </c>
      <c r="S180" s="1" t="s">
        <v>2438</v>
      </c>
      <c r="T180" s="1" t="s">
        <v>2401</v>
      </c>
      <c r="U180" s="1" t="s">
        <v>2640</v>
      </c>
      <c r="V180" s="1"/>
      <c r="W180" s="1"/>
      <c r="X180" s="1"/>
      <c r="Y180" s="1"/>
      <c r="Z180" s="1"/>
      <c r="AA180" s="1"/>
      <c r="AB180" s="1"/>
      <c r="AC180" s="88" t="s">
        <v>233</v>
      </c>
      <c r="AD180" s="88" t="s">
        <v>254</v>
      </c>
    </row>
    <row r="181" spans="1:30" hidden="1">
      <c r="A181" s="1">
        <v>2023</v>
      </c>
      <c r="B181" s="1">
        <v>202310</v>
      </c>
      <c r="C181" s="1">
        <v>202316850</v>
      </c>
      <c r="D181" s="1" t="s">
        <v>3272</v>
      </c>
      <c r="E181" s="1" t="s">
        <v>3273</v>
      </c>
      <c r="F181" s="1" t="s">
        <v>94</v>
      </c>
      <c r="G181" s="85" t="str">
        <f>_xlfn.XLOOKUP(Tabla2[[#This Row],[Universidad]],Conversiones!$B:$B,Conversiones!$C:$C)</f>
        <v>Maastricht University</v>
      </c>
      <c r="H181" s="85" t="str">
        <f>_xlfn.XLOOKUP(Tabla2[[#This Row],[Universidad KPIs]],Conversiones!$C:$C,Conversiones!$E:$E)</f>
        <v>Específico</v>
      </c>
      <c r="I181" s="1" t="s">
        <v>95</v>
      </c>
      <c r="J181" s="1" t="s">
        <v>281</v>
      </c>
      <c r="K181" s="1" t="s">
        <v>3274</v>
      </c>
      <c r="L181" s="1" t="s">
        <v>3275</v>
      </c>
      <c r="M181" s="1" t="s">
        <v>230</v>
      </c>
      <c r="N181" s="1" t="s">
        <v>2329</v>
      </c>
      <c r="O181" s="86" t="s">
        <v>2330</v>
      </c>
      <c r="P181" s="1">
        <v>1</v>
      </c>
      <c r="Q181" s="1" t="s">
        <v>3114</v>
      </c>
      <c r="R181" s="1" t="s">
        <v>2353</v>
      </c>
      <c r="S181" s="1" t="s">
        <v>2338</v>
      </c>
      <c r="T181" s="1" t="s">
        <v>2413</v>
      </c>
      <c r="U181" s="1" t="s">
        <v>2438</v>
      </c>
      <c r="V181" s="1" t="s">
        <v>2401</v>
      </c>
      <c r="W181" s="1" t="s">
        <v>2333</v>
      </c>
      <c r="X181" s="1"/>
      <c r="Y181" s="1"/>
      <c r="Z181" s="1"/>
      <c r="AA181" s="1"/>
      <c r="AB181" s="1"/>
      <c r="AC181" s="88" t="s">
        <v>233</v>
      </c>
      <c r="AD181" s="88" t="s">
        <v>254</v>
      </c>
    </row>
    <row r="182" spans="1:30" hidden="1">
      <c r="A182" s="1">
        <v>2023</v>
      </c>
      <c r="B182" s="1">
        <v>202310</v>
      </c>
      <c r="C182" s="1">
        <v>202316852</v>
      </c>
      <c r="D182" s="1" t="s">
        <v>3276</v>
      </c>
      <c r="E182" s="1" t="s">
        <v>3277</v>
      </c>
      <c r="F182" s="1" t="s">
        <v>66</v>
      </c>
      <c r="G182" s="85" t="str">
        <f>_xlfn.XLOOKUP(Tabla2[[#This Row],[Universidad]],Conversiones!$B:$B,Conversiones!$C:$C)</f>
        <v>EDHEC Business School</v>
      </c>
      <c r="H182" s="85" t="str">
        <f>_xlfn.XLOOKUP(Tabla2[[#This Row],[Universidad KPIs]],Conversiones!$C:$C,Conversiones!$E:$E)</f>
        <v>Específico</v>
      </c>
      <c r="I182" s="1" t="s">
        <v>57</v>
      </c>
      <c r="J182" s="1" t="s">
        <v>281</v>
      </c>
      <c r="K182" s="1" t="s">
        <v>3278</v>
      </c>
      <c r="L182" s="1" t="s">
        <v>3279</v>
      </c>
      <c r="M182" s="1" t="s">
        <v>230</v>
      </c>
      <c r="N182" s="1" t="s">
        <v>2329</v>
      </c>
      <c r="O182" s="86" t="s">
        <v>2330</v>
      </c>
      <c r="P182" s="1">
        <v>1</v>
      </c>
      <c r="Q182" s="1" t="s">
        <v>3280</v>
      </c>
      <c r="R182" s="1" t="s">
        <v>2609</v>
      </c>
      <c r="S182" s="1" t="s">
        <v>2331</v>
      </c>
      <c r="T182" s="1" t="s">
        <v>2672</v>
      </c>
      <c r="U182" s="1" t="s">
        <v>3281</v>
      </c>
      <c r="V182" s="1" t="s">
        <v>2640</v>
      </c>
      <c r="W182" s="1"/>
      <c r="X182" s="1"/>
      <c r="Y182" s="1"/>
      <c r="Z182" s="1"/>
      <c r="AA182" s="1"/>
      <c r="AB182" s="1"/>
      <c r="AC182" s="88" t="s">
        <v>233</v>
      </c>
      <c r="AD182" s="88" t="s">
        <v>254</v>
      </c>
    </row>
    <row r="183" spans="1:30" hidden="1">
      <c r="A183" s="1">
        <v>2023</v>
      </c>
      <c r="B183" s="1">
        <v>202310</v>
      </c>
      <c r="C183" s="1">
        <v>202314869</v>
      </c>
      <c r="D183" s="1" t="s">
        <v>3282</v>
      </c>
      <c r="E183" s="1" t="s">
        <v>3283</v>
      </c>
      <c r="F183" s="1" t="s">
        <v>524</v>
      </c>
      <c r="G183" s="85" t="str">
        <f>_xlfn.XLOOKUP(Tabla2[[#This Row],[Universidad]],Conversiones!$B:$B,Conversiones!$C:$C)</f>
        <v>University of Saint Gallen</v>
      </c>
      <c r="H183" s="85" t="str">
        <f>_xlfn.XLOOKUP(Tabla2[[#This Row],[Universidad KPIs]],Conversiones!$C:$C,Conversiones!$E:$E)</f>
        <v>Específico</v>
      </c>
      <c r="I183" s="1" t="s">
        <v>81</v>
      </c>
      <c r="J183" s="1" t="s">
        <v>281</v>
      </c>
      <c r="K183" s="1" t="s">
        <v>3284</v>
      </c>
      <c r="L183" s="1" t="s">
        <v>3285</v>
      </c>
      <c r="M183" s="1" t="s">
        <v>230</v>
      </c>
      <c r="N183" s="1" t="s">
        <v>2365</v>
      </c>
      <c r="O183" s="86" t="s">
        <v>2366</v>
      </c>
      <c r="P183" s="1">
        <v>1</v>
      </c>
      <c r="Q183" s="1" t="s">
        <v>3286</v>
      </c>
      <c r="R183" s="1" t="s">
        <v>3287</v>
      </c>
      <c r="S183" s="1" t="s">
        <v>3288</v>
      </c>
      <c r="T183" s="1" t="s">
        <v>3289</v>
      </c>
      <c r="U183" s="1" t="s">
        <v>3290</v>
      </c>
      <c r="V183" s="1"/>
      <c r="W183" s="1"/>
      <c r="X183" s="1"/>
      <c r="Y183" s="1"/>
      <c r="Z183" s="1"/>
      <c r="AA183" s="1"/>
      <c r="AB183" s="1"/>
      <c r="AC183" s="88" t="s">
        <v>251</v>
      </c>
      <c r="AD183" s="88" t="s">
        <v>247</v>
      </c>
    </row>
    <row r="184" spans="1:30" hidden="1">
      <c r="A184" s="1">
        <v>2023</v>
      </c>
      <c r="B184" s="1">
        <v>202320</v>
      </c>
      <c r="C184" s="1">
        <v>202325884</v>
      </c>
      <c r="D184" s="1" t="s">
        <v>3291</v>
      </c>
      <c r="E184" s="1" t="s">
        <v>3292</v>
      </c>
      <c r="F184" s="1" t="s">
        <v>305</v>
      </c>
      <c r="G184" s="85" t="str">
        <f>_xlfn.XLOOKUP(Tabla2[[#This Row],[Universidad]],Conversiones!$B:$B,Conversiones!$C:$C)</f>
        <v>Catolica Lisbon Business &amp; Economics. Universidade Católica Portuguesa</v>
      </c>
      <c r="H184" s="85" t="str">
        <f>_xlfn.XLOOKUP(Tabla2[[#This Row],[Universidad KPIs]],Conversiones!$C:$C,Conversiones!$E:$E)</f>
        <v>Específico</v>
      </c>
      <c r="I184" s="1" t="s">
        <v>61</v>
      </c>
      <c r="J184" s="1" t="s">
        <v>281</v>
      </c>
      <c r="K184" s="1" t="s">
        <v>3293</v>
      </c>
      <c r="L184" s="1" t="s">
        <v>3294</v>
      </c>
      <c r="M184" s="1" t="s">
        <v>230</v>
      </c>
      <c r="N184" s="1" t="s">
        <v>2329</v>
      </c>
      <c r="O184" s="86" t="s">
        <v>3229</v>
      </c>
      <c r="P184" s="1">
        <v>1</v>
      </c>
      <c r="Q184" s="1" t="s">
        <v>2358</v>
      </c>
      <c r="R184" s="1" t="s">
        <v>2338</v>
      </c>
      <c r="S184" s="1" t="s">
        <v>2360</v>
      </c>
      <c r="T184" s="1" t="s">
        <v>3295</v>
      </c>
      <c r="U184" s="1"/>
      <c r="V184" s="1"/>
      <c r="W184" s="1"/>
      <c r="X184" s="1"/>
      <c r="Y184" s="1"/>
      <c r="Z184" s="1"/>
      <c r="AA184" s="1"/>
      <c r="AB184" s="1"/>
      <c r="AC184" s="88" t="s">
        <v>233</v>
      </c>
      <c r="AD184" s="88" t="s">
        <v>254</v>
      </c>
    </row>
    <row r="185" spans="1:30" hidden="1">
      <c r="A185" s="1">
        <v>2023</v>
      </c>
      <c r="B185" s="1">
        <v>202310</v>
      </c>
      <c r="C185" s="1">
        <v>202316858</v>
      </c>
      <c r="D185" s="1" t="s">
        <v>3296</v>
      </c>
      <c r="E185" s="1" t="s">
        <v>3297</v>
      </c>
      <c r="F185" s="1" t="s">
        <v>1485</v>
      </c>
      <c r="G185" s="85" t="str">
        <f>_xlfn.XLOOKUP(Tabla2[[#This Row],[Universidad]],Conversiones!$B:$B,Conversiones!$C:$C)</f>
        <v>HEC Paris</v>
      </c>
      <c r="H185" s="85" t="str">
        <f>_xlfn.XLOOKUP(Tabla2[[#This Row],[Universidad KPIs]],Conversiones!$C:$C,Conversiones!$E:$E)</f>
        <v>Específico</v>
      </c>
      <c r="I185" s="1" t="s">
        <v>57</v>
      </c>
      <c r="J185" s="1" t="s">
        <v>281</v>
      </c>
      <c r="K185" s="1" t="s">
        <v>3298</v>
      </c>
      <c r="L185" s="1" t="s">
        <v>3299</v>
      </c>
      <c r="M185" s="1" t="s">
        <v>230</v>
      </c>
      <c r="N185" s="1" t="s">
        <v>2329</v>
      </c>
      <c r="O185" s="86" t="s">
        <v>2330</v>
      </c>
      <c r="P185" s="1">
        <v>1</v>
      </c>
      <c r="Q185" s="1" t="s">
        <v>2631</v>
      </c>
      <c r="R185" s="1" t="s">
        <v>2340</v>
      </c>
      <c r="S185" s="1" t="s">
        <v>2338</v>
      </c>
      <c r="T185" s="1" t="s">
        <v>3300</v>
      </c>
      <c r="U185" s="1"/>
      <c r="V185" s="1"/>
      <c r="W185" s="1"/>
      <c r="X185" s="1"/>
      <c r="Y185" s="1"/>
      <c r="Z185" s="1"/>
      <c r="AA185" s="1"/>
      <c r="AB185" s="1"/>
      <c r="AC185" s="88" t="s">
        <v>233</v>
      </c>
      <c r="AD185" s="88" t="s">
        <v>254</v>
      </c>
    </row>
    <row r="186" spans="1:30" hidden="1">
      <c r="A186" s="1">
        <v>2023</v>
      </c>
      <c r="B186" s="1">
        <v>202310</v>
      </c>
      <c r="C186" s="1">
        <v>202316861</v>
      </c>
      <c r="D186" s="1" t="s">
        <v>3301</v>
      </c>
      <c r="E186" s="1" t="s">
        <v>3302</v>
      </c>
      <c r="F186" s="1" t="s">
        <v>1337</v>
      </c>
      <c r="G186" s="85" t="str">
        <f>_xlfn.XLOOKUP(Tabla2[[#This Row],[Universidad]],Conversiones!$B:$B,Conversiones!$C:$C)</f>
        <v>Universidad del Pacífico</v>
      </c>
      <c r="H186" s="85" t="str">
        <f>_xlfn.XLOOKUP(Tabla2[[#This Row],[Universidad KPIs]],Conversiones!$C:$C,Conversiones!$E:$E)</f>
        <v>Específico</v>
      </c>
      <c r="I186" s="1" t="s">
        <v>112</v>
      </c>
      <c r="J186" s="1" t="s">
        <v>296</v>
      </c>
      <c r="K186" s="1" t="s">
        <v>3303</v>
      </c>
      <c r="L186" s="1" t="s">
        <v>3304</v>
      </c>
      <c r="M186" s="1" t="s">
        <v>230</v>
      </c>
      <c r="N186" s="1" t="s">
        <v>2329</v>
      </c>
      <c r="O186" s="86" t="s">
        <v>2330</v>
      </c>
      <c r="P186" s="1">
        <v>1</v>
      </c>
      <c r="Q186" s="1" t="s">
        <v>2436</v>
      </c>
      <c r="R186" s="1" t="s">
        <v>2340</v>
      </c>
      <c r="S186" s="1" t="s">
        <v>2338</v>
      </c>
      <c r="T186" s="1" t="s">
        <v>2438</v>
      </c>
      <c r="U186" s="1" t="s">
        <v>2400</v>
      </c>
      <c r="V186" s="1"/>
      <c r="W186" s="1"/>
      <c r="X186" s="1"/>
      <c r="Y186" s="1"/>
      <c r="Z186" s="1"/>
      <c r="AA186" s="1"/>
      <c r="AB186" s="1"/>
      <c r="AC186" s="88" t="s">
        <v>233</v>
      </c>
      <c r="AD186" s="88" t="s">
        <v>254</v>
      </c>
    </row>
    <row r="187" spans="1:30" hidden="1">
      <c r="A187" s="1">
        <v>2023</v>
      </c>
      <c r="B187" s="1">
        <v>202310</v>
      </c>
      <c r="C187" s="1">
        <v>202316862</v>
      </c>
      <c r="D187" s="1" t="s">
        <v>3305</v>
      </c>
      <c r="E187" s="1" t="s">
        <v>3306</v>
      </c>
      <c r="F187" s="1" t="s">
        <v>286</v>
      </c>
      <c r="G187" s="85" t="str">
        <f>_xlfn.XLOOKUP(Tabla2[[#This Row],[Universidad]],Conversiones!$B:$B,Conversiones!$C:$C)</f>
        <v>ESC Rouen (NEOMA)</v>
      </c>
      <c r="H187" s="85" t="str">
        <f>_xlfn.XLOOKUP(Tabla2[[#This Row],[Universidad KPIs]],Conversiones!$C:$C,Conversiones!$E:$E)</f>
        <v>Específico</v>
      </c>
      <c r="I187" s="1" t="s">
        <v>57</v>
      </c>
      <c r="J187" s="1" t="s">
        <v>281</v>
      </c>
      <c r="K187" s="1" t="s">
        <v>3307</v>
      </c>
      <c r="L187" s="1" t="s">
        <v>3308</v>
      </c>
      <c r="M187" s="1" t="s">
        <v>230</v>
      </c>
      <c r="N187" s="1" t="s">
        <v>2329</v>
      </c>
      <c r="O187" s="86" t="s">
        <v>2330</v>
      </c>
      <c r="P187" s="1">
        <v>1</v>
      </c>
      <c r="Q187" s="1" t="s">
        <v>2352</v>
      </c>
      <c r="R187" s="1" t="s">
        <v>2663</v>
      </c>
      <c r="S187" s="1" t="s">
        <v>2487</v>
      </c>
      <c r="T187" s="1" t="s">
        <v>3242</v>
      </c>
      <c r="U187" s="1"/>
      <c r="V187" s="1"/>
      <c r="W187" s="1"/>
      <c r="X187" s="1"/>
      <c r="Y187" s="1"/>
      <c r="Z187" s="1"/>
      <c r="AA187" s="1"/>
      <c r="AB187" s="1"/>
      <c r="AC187" s="88" t="s">
        <v>233</v>
      </c>
      <c r="AD187" s="88" t="s">
        <v>254</v>
      </c>
    </row>
    <row r="188" spans="1:30" hidden="1">
      <c r="A188" s="1">
        <v>2023</v>
      </c>
      <c r="B188" s="1">
        <v>202320</v>
      </c>
      <c r="C188" s="1">
        <v>202325780</v>
      </c>
      <c r="D188" s="1" t="s">
        <v>3309</v>
      </c>
      <c r="E188" s="1" t="s">
        <v>3310</v>
      </c>
      <c r="F188" s="1" t="s">
        <v>650</v>
      </c>
      <c r="G188" s="85" t="str">
        <f>_xlfn.XLOOKUP(Tabla2[[#This Row],[Universidad]],Conversiones!$B:$B,Conversiones!$C:$C)</f>
        <v>Grenoble. École de Management</v>
      </c>
      <c r="H188" s="85" t="str">
        <f>_xlfn.XLOOKUP(Tabla2[[#This Row],[Universidad KPIs]],Conversiones!$C:$C,Conversiones!$E:$E)</f>
        <v>Específico</v>
      </c>
      <c r="I188" s="1" t="s">
        <v>57</v>
      </c>
      <c r="J188" s="1" t="s">
        <v>281</v>
      </c>
      <c r="K188" s="1" t="s">
        <v>3311</v>
      </c>
      <c r="L188" s="1" t="s">
        <v>3312</v>
      </c>
      <c r="M188" s="1" t="s">
        <v>230</v>
      </c>
      <c r="N188" s="1" t="s">
        <v>2329</v>
      </c>
      <c r="O188" s="86" t="s">
        <v>3229</v>
      </c>
      <c r="P188" s="1">
        <v>1</v>
      </c>
      <c r="Q188" s="1" t="s">
        <v>2332</v>
      </c>
      <c r="R188" s="1" t="s">
        <v>2527</v>
      </c>
      <c r="S188" s="1" t="s">
        <v>2631</v>
      </c>
      <c r="T188" s="1" t="s">
        <v>3313</v>
      </c>
      <c r="U188" s="1" t="s">
        <v>3314</v>
      </c>
      <c r="V188" s="1"/>
      <c r="W188" s="1"/>
      <c r="X188" s="1"/>
      <c r="Y188" s="1"/>
      <c r="Z188" s="1"/>
      <c r="AA188" s="1"/>
      <c r="AB188" s="1"/>
      <c r="AC188" s="88" t="s">
        <v>252</v>
      </c>
      <c r="AD188" s="88" t="s">
        <v>247</v>
      </c>
    </row>
    <row r="189" spans="1:30" hidden="1">
      <c r="A189" s="1">
        <v>2023</v>
      </c>
      <c r="B189" s="1">
        <v>202310</v>
      </c>
      <c r="C189" s="1">
        <v>202316827</v>
      </c>
      <c r="D189" s="1" t="s">
        <v>3315</v>
      </c>
      <c r="E189" s="1" t="s">
        <v>3316</v>
      </c>
      <c r="F189" s="1" t="s">
        <v>419</v>
      </c>
      <c r="G189" s="85" t="str">
        <f>_xlfn.XLOOKUP(Tabla2[[#This Row],[Universidad]],Conversiones!$B:$B,Conversiones!$C:$C)</f>
        <v>ESCP</v>
      </c>
      <c r="H189" s="85" t="str">
        <f>_xlfn.XLOOKUP(Tabla2[[#This Row],[Universidad KPIs]],Conversiones!$C:$C,Conversiones!$E:$E)</f>
        <v>Específico</v>
      </c>
      <c r="I189" s="1" t="s">
        <v>57</v>
      </c>
      <c r="J189" s="1" t="s">
        <v>281</v>
      </c>
      <c r="K189" s="1" t="s">
        <v>3317</v>
      </c>
      <c r="L189" s="1" t="s">
        <v>3318</v>
      </c>
      <c r="M189" s="1" t="s">
        <v>230</v>
      </c>
      <c r="N189" s="1" t="s">
        <v>2365</v>
      </c>
      <c r="O189" s="86" t="s">
        <v>2366</v>
      </c>
      <c r="P189" s="1">
        <v>1</v>
      </c>
      <c r="Q189" s="1" t="s">
        <v>3287</v>
      </c>
      <c r="R189" s="1" t="s">
        <v>3319</v>
      </c>
      <c r="S189" s="1" t="s">
        <v>3320</v>
      </c>
      <c r="T189" s="1" t="s">
        <v>2621</v>
      </c>
      <c r="U189" s="1" t="s">
        <v>2913</v>
      </c>
      <c r="V189" s="1"/>
      <c r="W189" s="1"/>
      <c r="X189" s="1"/>
      <c r="Y189" s="1"/>
      <c r="Z189" s="1"/>
      <c r="AA189" s="1"/>
      <c r="AB189" s="1"/>
      <c r="AC189" s="88" t="s">
        <v>237</v>
      </c>
      <c r="AD189" s="88" t="s">
        <v>247</v>
      </c>
    </row>
    <row r="190" spans="1:30" hidden="1">
      <c r="A190" s="1">
        <v>2023</v>
      </c>
      <c r="B190" s="1">
        <v>202320</v>
      </c>
      <c r="C190" s="1">
        <v>202325778</v>
      </c>
      <c r="D190" s="1" t="s">
        <v>3321</v>
      </c>
      <c r="E190" s="1" t="s">
        <v>3322</v>
      </c>
      <c r="F190" s="1" t="s">
        <v>102</v>
      </c>
      <c r="G190" s="85" t="str">
        <f>_xlfn.XLOOKUP(Tabla2[[#This Row],[Universidad]],Conversiones!$B:$B,Conversiones!$C:$C)</f>
        <v>Politecnico di Milano</v>
      </c>
      <c r="H190" s="85" t="str">
        <f>_xlfn.XLOOKUP(Tabla2[[#This Row],[Universidad KPIs]],Conversiones!$C:$C,Conversiones!$E:$E)</f>
        <v>Específico</v>
      </c>
      <c r="I190" s="1" t="s">
        <v>103</v>
      </c>
      <c r="J190" s="1" t="s">
        <v>281</v>
      </c>
      <c r="K190" s="1" t="s">
        <v>3323</v>
      </c>
      <c r="L190" s="1" t="s">
        <v>3324</v>
      </c>
      <c r="M190" s="1" t="s">
        <v>230</v>
      </c>
      <c r="N190" s="1" t="s">
        <v>2329</v>
      </c>
      <c r="O190" s="86" t="s">
        <v>3229</v>
      </c>
      <c r="P190" s="1">
        <v>1</v>
      </c>
      <c r="Q190" s="1" t="s">
        <v>2438</v>
      </c>
      <c r="R190" s="1" t="s">
        <v>2352</v>
      </c>
      <c r="S190" s="1" t="s">
        <v>3325</v>
      </c>
      <c r="T190" s="1" t="s">
        <v>2495</v>
      </c>
      <c r="U190" s="1" t="s">
        <v>3249</v>
      </c>
      <c r="V190" s="1" t="s">
        <v>3250</v>
      </c>
      <c r="W190" s="1" t="s">
        <v>3326</v>
      </c>
      <c r="X190" s="1"/>
      <c r="Y190" s="1"/>
      <c r="Z190" s="1"/>
      <c r="AA190" s="1"/>
      <c r="AB190" s="1"/>
      <c r="AC190" s="88" t="s">
        <v>239</v>
      </c>
      <c r="AD190" s="88" t="s">
        <v>247</v>
      </c>
    </row>
    <row r="191" spans="1:30" hidden="1">
      <c r="A191" s="1">
        <v>2023</v>
      </c>
      <c r="B191" s="1">
        <v>202320</v>
      </c>
      <c r="C191" s="1">
        <v>202325788</v>
      </c>
      <c r="D191" s="1" t="s">
        <v>3327</v>
      </c>
      <c r="E191" s="1" t="s">
        <v>3328</v>
      </c>
      <c r="F191" s="1" t="s">
        <v>356</v>
      </c>
      <c r="G191" s="85" t="str">
        <f>_xlfn.XLOOKUP(Tabla2[[#This Row],[Universidad]],Conversiones!$B:$B,Conversiones!$C:$C)</f>
        <v>Università Commerciale Luigi Bocconi</v>
      </c>
      <c r="H191" s="85" t="str">
        <f>_xlfn.XLOOKUP(Tabla2[[#This Row],[Universidad KPIs]],Conversiones!$C:$C,Conversiones!$E:$E)</f>
        <v>Específico</v>
      </c>
      <c r="I191" s="1" t="s">
        <v>103</v>
      </c>
      <c r="J191" s="1" t="s">
        <v>281</v>
      </c>
      <c r="K191" s="1" t="s">
        <v>3329</v>
      </c>
      <c r="L191" s="1" t="s">
        <v>3330</v>
      </c>
      <c r="M191" s="1" t="s">
        <v>230</v>
      </c>
      <c r="N191" s="1" t="s">
        <v>2365</v>
      </c>
      <c r="O191" s="86" t="s">
        <v>3229</v>
      </c>
      <c r="P191" s="1">
        <v>1</v>
      </c>
      <c r="Q191" s="1" t="s">
        <v>2338</v>
      </c>
      <c r="R191" s="1" t="s">
        <v>3053</v>
      </c>
      <c r="S191" s="1" t="s">
        <v>3331</v>
      </c>
      <c r="T191" s="1" t="s">
        <v>3176</v>
      </c>
      <c r="U191" s="1" t="s">
        <v>2378</v>
      </c>
      <c r="V191" s="1"/>
      <c r="W191" s="1"/>
      <c r="X191" s="1"/>
      <c r="Y191" s="1"/>
      <c r="Z191" s="1"/>
      <c r="AA191" s="1"/>
      <c r="AB191" s="1"/>
      <c r="AC191" s="88" t="s">
        <v>238</v>
      </c>
      <c r="AD191" s="88" t="s">
        <v>247</v>
      </c>
    </row>
    <row r="192" spans="1:30" hidden="1">
      <c r="A192" s="1">
        <v>2023</v>
      </c>
      <c r="B192" s="1">
        <v>202320</v>
      </c>
      <c r="C192" s="1">
        <v>202325813</v>
      </c>
      <c r="D192" s="1" t="s">
        <v>3332</v>
      </c>
      <c r="E192" s="1" t="s">
        <v>3333</v>
      </c>
      <c r="F192" s="1" t="s">
        <v>102</v>
      </c>
      <c r="G192" s="85" t="str">
        <f>_xlfn.XLOOKUP(Tabla2[[#This Row],[Universidad]],Conversiones!$B:$B,Conversiones!$C:$C)</f>
        <v>Politecnico di Milano</v>
      </c>
      <c r="H192" s="85" t="str">
        <f>_xlfn.XLOOKUP(Tabla2[[#This Row],[Universidad KPIs]],Conversiones!$C:$C,Conversiones!$E:$E)</f>
        <v>Específico</v>
      </c>
      <c r="I192" s="1" t="s">
        <v>103</v>
      </c>
      <c r="J192" s="1" t="s">
        <v>281</v>
      </c>
      <c r="K192" s="1" t="s">
        <v>3334</v>
      </c>
      <c r="L192" s="1" t="s">
        <v>3335</v>
      </c>
      <c r="M192" s="1" t="s">
        <v>230</v>
      </c>
      <c r="N192" s="1" t="s">
        <v>2329</v>
      </c>
      <c r="O192" s="86" t="s">
        <v>3229</v>
      </c>
      <c r="P192" s="1">
        <v>1</v>
      </c>
      <c r="Q192" s="1" t="s">
        <v>2556</v>
      </c>
      <c r="R192" s="1" t="s">
        <v>2438</v>
      </c>
      <c r="S192" s="1" t="s">
        <v>2331</v>
      </c>
      <c r="T192" s="1" t="s">
        <v>2401</v>
      </c>
      <c r="U192" s="1" t="s">
        <v>2338</v>
      </c>
      <c r="V192" s="1" t="s">
        <v>2632</v>
      </c>
      <c r="W192" s="1"/>
      <c r="X192" s="1"/>
      <c r="Y192" s="1"/>
      <c r="Z192" s="1"/>
      <c r="AA192" s="1"/>
      <c r="AB192" s="1"/>
      <c r="AC192" s="88" t="s">
        <v>233</v>
      </c>
      <c r="AD192" s="88" t="s">
        <v>254</v>
      </c>
    </row>
    <row r="193" spans="1:30" hidden="1">
      <c r="A193" s="1">
        <v>2023</v>
      </c>
      <c r="B193" s="1">
        <v>202310</v>
      </c>
      <c r="C193" s="1">
        <v>202316915</v>
      </c>
      <c r="D193" s="1" t="s">
        <v>3336</v>
      </c>
      <c r="E193" s="1" t="s">
        <v>3337</v>
      </c>
      <c r="F193" s="1" t="s">
        <v>455</v>
      </c>
      <c r="G193" s="85" t="str">
        <f>_xlfn.XLOOKUP(Tabla2[[#This Row],[Universidad]],Conversiones!$B:$B,Conversiones!$C:$C)</f>
        <v>Nova School of Business and Economics</v>
      </c>
      <c r="H193" s="85" t="str">
        <f>_xlfn.XLOOKUP(Tabla2[[#This Row],[Universidad KPIs]],Conversiones!$C:$C,Conversiones!$E:$E)</f>
        <v>Específico</v>
      </c>
      <c r="I193" s="1" t="s">
        <v>61</v>
      </c>
      <c r="J193" s="1" t="s">
        <v>281</v>
      </c>
      <c r="K193" s="1" t="s">
        <v>3338</v>
      </c>
      <c r="L193" s="1" t="s">
        <v>3339</v>
      </c>
      <c r="M193" s="1" t="s">
        <v>230</v>
      </c>
      <c r="N193" s="1" t="s">
        <v>2329</v>
      </c>
      <c r="O193" s="86" t="s">
        <v>2330</v>
      </c>
      <c r="P193" s="1">
        <v>1</v>
      </c>
      <c r="Q193" s="1" t="s">
        <v>2359</v>
      </c>
      <c r="R193" s="1" t="s">
        <v>3340</v>
      </c>
      <c r="S193" s="1" t="s">
        <v>2339</v>
      </c>
      <c r="T193" s="1" t="s">
        <v>2400</v>
      </c>
      <c r="U193" s="1" t="s">
        <v>2401</v>
      </c>
      <c r="V193" s="1" t="s">
        <v>2861</v>
      </c>
      <c r="W193" s="1"/>
      <c r="X193" s="1"/>
      <c r="Y193" s="1"/>
      <c r="Z193" s="1"/>
      <c r="AA193" s="1"/>
      <c r="AB193" s="1"/>
      <c r="AC193" s="88" t="s">
        <v>233</v>
      </c>
      <c r="AD193" s="88" t="s">
        <v>254</v>
      </c>
    </row>
    <row r="194" spans="1:30" hidden="1">
      <c r="A194" s="1">
        <v>2023</v>
      </c>
      <c r="B194" s="1">
        <v>202320</v>
      </c>
      <c r="C194" s="1">
        <v>202325820</v>
      </c>
      <c r="D194" s="1" t="s">
        <v>3341</v>
      </c>
      <c r="E194" s="1" t="s">
        <v>3342</v>
      </c>
      <c r="F194" s="1" t="s">
        <v>320</v>
      </c>
      <c r="G194" s="85" t="str">
        <f>_xlfn.XLOOKUP(Tabla2[[#This Row],[Universidad]],Conversiones!$B:$B,Conversiones!$C:$C)</f>
        <v>ESADE</v>
      </c>
      <c r="H194" s="85" t="str">
        <f>_xlfn.XLOOKUP(Tabla2[[#This Row],[Universidad KPIs]],Conversiones!$C:$C,Conversiones!$E:$E)</f>
        <v>Específico</v>
      </c>
      <c r="I194" s="1" t="s">
        <v>69</v>
      </c>
      <c r="J194" s="1" t="s">
        <v>281</v>
      </c>
      <c r="K194" s="1" t="s">
        <v>3343</v>
      </c>
      <c r="L194" s="1" t="s">
        <v>3344</v>
      </c>
      <c r="M194" s="1" t="s">
        <v>230</v>
      </c>
      <c r="N194" s="1" t="s">
        <v>2329</v>
      </c>
      <c r="O194" s="86" t="s">
        <v>3229</v>
      </c>
      <c r="P194" s="1">
        <v>1</v>
      </c>
      <c r="Q194" s="1" t="s">
        <v>2359</v>
      </c>
      <c r="R194" s="1" t="s">
        <v>2443</v>
      </c>
      <c r="S194" s="1" t="s">
        <v>2338</v>
      </c>
      <c r="T194" s="1" t="s">
        <v>2340</v>
      </c>
      <c r="U194" s="1" t="s">
        <v>2360</v>
      </c>
      <c r="V194" s="1"/>
      <c r="W194" s="1"/>
      <c r="X194" s="1"/>
      <c r="Y194" s="1"/>
      <c r="Z194" s="1"/>
      <c r="AA194" s="1"/>
      <c r="AB194" s="1"/>
      <c r="AC194" s="88" t="s">
        <v>233</v>
      </c>
      <c r="AD194" s="88" t="s">
        <v>254</v>
      </c>
    </row>
    <row r="195" spans="1:30" hidden="1">
      <c r="A195" s="1">
        <v>2023</v>
      </c>
      <c r="B195" s="1">
        <v>202320</v>
      </c>
      <c r="C195" s="1">
        <v>202325743</v>
      </c>
      <c r="D195" s="1" t="s">
        <v>3345</v>
      </c>
      <c r="E195" s="1" t="s">
        <v>3346</v>
      </c>
      <c r="F195" s="1" t="s">
        <v>1400</v>
      </c>
      <c r="G195" s="85" t="str">
        <f>_xlfn.XLOOKUP(Tabla2[[#This Row],[Universidad]],Conversiones!$B:$B,Conversiones!$C:$C)</f>
        <v>EM Strasbourg</v>
      </c>
      <c r="H195" s="85" t="str">
        <f>_xlfn.XLOOKUP(Tabla2[[#This Row],[Universidad KPIs]],Conversiones!$C:$C,Conversiones!$E:$E)</f>
        <v>Específico</v>
      </c>
      <c r="I195" s="1" t="s">
        <v>57</v>
      </c>
      <c r="J195" s="1" t="s">
        <v>281</v>
      </c>
      <c r="K195" s="1" t="s">
        <v>3347</v>
      </c>
      <c r="L195" s="1" t="s">
        <v>3348</v>
      </c>
      <c r="M195" s="1" t="s">
        <v>230</v>
      </c>
      <c r="N195" s="1" t="s">
        <v>2329</v>
      </c>
      <c r="O195" s="86" t="s">
        <v>3229</v>
      </c>
      <c r="P195" s="1">
        <v>1</v>
      </c>
      <c r="Q195" s="1" t="s">
        <v>2331</v>
      </c>
      <c r="R195" s="1" t="s">
        <v>3349</v>
      </c>
      <c r="S195" s="1" t="s">
        <v>2448</v>
      </c>
      <c r="T195" s="1"/>
      <c r="U195" s="1"/>
      <c r="V195" s="1"/>
      <c r="W195" s="1"/>
      <c r="X195" s="1"/>
      <c r="Y195" s="1"/>
      <c r="Z195" s="1"/>
      <c r="AA195" s="1"/>
      <c r="AB195" s="1"/>
      <c r="AC195" s="88" t="s">
        <v>233</v>
      </c>
      <c r="AD195" s="88" t="s">
        <v>254</v>
      </c>
    </row>
    <row r="196" spans="1:30" hidden="1">
      <c r="A196" s="1">
        <v>2023</v>
      </c>
      <c r="B196" s="1">
        <v>202320</v>
      </c>
      <c r="C196" s="1">
        <v>202324243</v>
      </c>
      <c r="D196" s="1" t="s">
        <v>3350</v>
      </c>
      <c r="E196" s="1" t="s">
        <v>3351</v>
      </c>
      <c r="F196" s="1" t="s">
        <v>116</v>
      </c>
      <c r="G196" s="85" t="str">
        <f>_xlfn.XLOOKUP(Tabla2[[#This Row],[Universidad]],Conversiones!$B:$B,Conversiones!$C:$C)</f>
        <v>University of Glasgow</v>
      </c>
      <c r="H196" s="85" t="str">
        <f>_xlfn.XLOOKUP(Tabla2[[#This Row],[Universidad KPIs]],Conversiones!$C:$C,Conversiones!$E:$E)</f>
        <v>Específico</v>
      </c>
      <c r="I196" s="1" t="s">
        <v>55</v>
      </c>
      <c r="J196" s="1" t="s">
        <v>281</v>
      </c>
      <c r="K196" s="1" t="s">
        <v>3352</v>
      </c>
      <c r="L196" s="1" t="s">
        <v>3353</v>
      </c>
      <c r="M196" s="1" t="s">
        <v>230</v>
      </c>
      <c r="N196" s="1" t="s">
        <v>2365</v>
      </c>
      <c r="O196" s="86" t="s">
        <v>3354</v>
      </c>
      <c r="P196" s="1">
        <v>1</v>
      </c>
      <c r="Q196" s="1" t="s">
        <v>2739</v>
      </c>
      <c r="R196" s="1" t="s">
        <v>2799</v>
      </c>
      <c r="S196" s="1" t="s">
        <v>2800</v>
      </c>
      <c r="T196" s="1" t="s">
        <v>2764</v>
      </c>
      <c r="U196" s="1"/>
      <c r="V196" s="1"/>
      <c r="W196" s="1"/>
      <c r="X196" s="1"/>
      <c r="Y196" s="1"/>
      <c r="Z196" s="1"/>
      <c r="AA196" s="1"/>
      <c r="AB196" s="1"/>
      <c r="AC196" s="88" t="s">
        <v>237</v>
      </c>
      <c r="AD196" s="88" t="s">
        <v>247</v>
      </c>
    </row>
    <row r="197" spans="1:30" hidden="1">
      <c r="A197" s="1">
        <v>2023</v>
      </c>
      <c r="B197" s="1">
        <v>202310</v>
      </c>
      <c r="C197" s="1">
        <v>202225023</v>
      </c>
      <c r="D197" s="1" t="s">
        <v>3159</v>
      </c>
      <c r="E197" s="1" t="s">
        <v>3160</v>
      </c>
      <c r="F197" s="1" t="s">
        <v>945</v>
      </c>
      <c r="G197" s="85" t="str">
        <f>_xlfn.XLOOKUP(Tabla2[[#This Row],[Universidad]],Conversiones!$B:$B,Conversiones!$C:$C)</f>
        <v>Universidad Jean Moulin Lyon 3</v>
      </c>
      <c r="H197" s="85" t="str">
        <f>_xlfn.XLOOKUP(Tabla2[[#This Row],[Universidad KPIs]],Conversiones!$C:$C,Conversiones!$E:$E)</f>
        <v>General</v>
      </c>
      <c r="I197" s="1" t="s">
        <v>57</v>
      </c>
      <c r="J197" s="1" t="s">
        <v>281</v>
      </c>
      <c r="K197" s="1" t="s">
        <v>3161</v>
      </c>
      <c r="L197" s="1" t="s">
        <v>3162</v>
      </c>
      <c r="M197" s="1" t="s">
        <v>230</v>
      </c>
      <c r="N197" s="1" t="s">
        <v>2329</v>
      </c>
      <c r="O197" s="86" t="s">
        <v>2330</v>
      </c>
      <c r="P197" s="1">
        <v>1</v>
      </c>
      <c r="Q197" s="1" t="s">
        <v>2352</v>
      </c>
      <c r="R197" s="1" t="s">
        <v>2472</v>
      </c>
      <c r="S197" s="1" t="s">
        <v>2338</v>
      </c>
      <c r="T197" s="1" t="s">
        <v>2790</v>
      </c>
      <c r="U197" s="1" t="s">
        <v>2438</v>
      </c>
      <c r="V197" s="1" t="s">
        <v>2400</v>
      </c>
      <c r="W197" s="1"/>
      <c r="X197" s="1"/>
      <c r="Y197" s="1"/>
      <c r="Z197" s="1"/>
      <c r="AA197" s="1"/>
      <c r="AB197" s="1"/>
      <c r="AC197" s="88" t="s">
        <v>233</v>
      </c>
      <c r="AD197" s="88" t="s">
        <v>254</v>
      </c>
    </row>
    <row r="198" spans="1:30" hidden="1">
      <c r="A198" s="1">
        <v>2023</v>
      </c>
      <c r="B198" s="1">
        <v>202320</v>
      </c>
      <c r="C198" s="1">
        <v>202325801</v>
      </c>
      <c r="D198" s="1" t="s">
        <v>465</v>
      </c>
      <c r="E198" s="1" t="s">
        <v>3355</v>
      </c>
      <c r="F198" s="1" t="s">
        <v>812</v>
      </c>
      <c r="G198" s="85" t="str">
        <f>_xlfn.XLOOKUP(Tabla2[[#This Row],[Universidad]],Conversiones!$B:$B,Conversiones!$C:$C)</f>
        <v>ITESM-EGADE -Instituto tecnológico y de estudios superiores de Monterrey</v>
      </c>
      <c r="H198" s="85" t="str">
        <f>_xlfn.XLOOKUP(Tabla2[[#This Row],[Universidad KPIs]],Conversiones!$C:$C,Conversiones!$E:$E)</f>
        <v>Específico</v>
      </c>
      <c r="I198" s="1" t="s">
        <v>87</v>
      </c>
      <c r="J198" s="1" t="s">
        <v>291</v>
      </c>
      <c r="K198" s="1" t="s">
        <v>3356</v>
      </c>
      <c r="L198" s="1" t="s">
        <v>3357</v>
      </c>
      <c r="M198" s="1" t="s">
        <v>230</v>
      </c>
      <c r="N198" s="1" t="s">
        <v>2329</v>
      </c>
      <c r="O198" s="86" t="s">
        <v>3229</v>
      </c>
      <c r="P198" s="1">
        <v>1</v>
      </c>
      <c r="Q198" s="1" t="s">
        <v>2359</v>
      </c>
      <c r="R198" s="1" t="s">
        <v>2438</v>
      </c>
      <c r="S198" s="1" t="s">
        <v>2331</v>
      </c>
      <c r="T198" s="1" t="s">
        <v>2338</v>
      </c>
      <c r="U198" s="1" t="s">
        <v>2890</v>
      </c>
      <c r="V198" s="1" t="s">
        <v>2340</v>
      </c>
      <c r="W198" s="1"/>
      <c r="X198" s="1"/>
      <c r="Y198" s="1"/>
      <c r="Z198" s="1"/>
      <c r="AA198" s="1"/>
      <c r="AB198" s="1"/>
      <c r="AC198" s="88" t="s">
        <v>233</v>
      </c>
      <c r="AD198" s="88" t="s">
        <v>254</v>
      </c>
    </row>
    <row r="199" spans="1:30" hidden="1">
      <c r="A199" s="1">
        <v>2023</v>
      </c>
      <c r="B199" s="1">
        <v>202310</v>
      </c>
      <c r="C199" s="1">
        <v>202314870</v>
      </c>
      <c r="D199" s="1" t="s">
        <v>3358</v>
      </c>
      <c r="E199" s="1" t="s">
        <v>3359</v>
      </c>
      <c r="F199" s="1" t="s">
        <v>455</v>
      </c>
      <c r="G199" s="85" t="str">
        <f>_xlfn.XLOOKUP(Tabla2[[#This Row],[Universidad]],Conversiones!$B:$B,Conversiones!$C:$C)</f>
        <v>Nova School of Business and Economics</v>
      </c>
      <c r="H199" s="85" t="str">
        <f>_xlfn.XLOOKUP(Tabla2[[#This Row],[Universidad KPIs]],Conversiones!$C:$C,Conversiones!$E:$E)</f>
        <v>Específico</v>
      </c>
      <c r="I199" s="1" t="s">
        <v>61</v>
      </c>
      <c r="J199" s="1" t="s">
        <v>281</v>
      </c>
      <c r="K199" s="1" t="s">
        <v>3360</v>
      </c>
      <c r="L199" s="1" t="s">
        <v>3361</v>
      </c>
      <c r="M199" s="1" t="s">
        <v>230</v>
      </c>
      <c r="N199" s="1" t="s">
        <v>2365</v>
      </c>
      <c r="O199" s="86" t="s">
        <v>2366</v>
      </c>
      <c r="P199" s="1">
        <v>1</v>
      </c>
      <c r="Q199" s="1" t="s">
        <v>3286</v>
      </c>
      <c r="R199" s="1" t="s">
        <v>3287</v>
      </c>
      <c r="S199" s="1" t="s">
        <v>3288</v>
      </c>
      <c r="T199" s="1" t="s">
        <v>3289</v>
      </c>
      <c r="U199" s="1" t="s">
        <v>3320</v>
      </c>
      <c r="V199" s="1"/>
      <c r="W199" s="1"/>
      <c r="X199" s="1"/>
      <c r="Y199" s="1"/>
      <c r="Z199" s="1"/>
      <c r="AA199" s="1"/>
      <c r="AB199" s="1"/>
      <c r="AC199" s="88" t="s">
        <v>251</v>
      </c>
      <c r="AD199" s="88" t="s">
        <v>247</v>
      </c>
    </row>
    <row r="200" spans="1:30" hidden="1">
      <c r="A200" s="1">
        <v>2023</v>
      </c>
      <c r="B200" s="1">
        <v>202320</v>
      </c>
      <c r="C200" s="1">
        <v>202325763</v>
      </c>
      <c r="D200" s="1" t="s">
        <v>3362</v>
      </c>
      <c r="E200" s="1" t="s">
        <v>3363</v>
      </c>
      <c r="F200" s="1" t="s">
        <v>286</v>
      </c>
      <c r="G200" s="85" t="str">
        <f>_xlfn.XLOOKUP(Tabla2[[#This Row],[Universidad]],Conversiones!$B:$B,Conversiones!$C:$C)</f>
        <v>ESC Rouen (NEOMA)</v>
      </c>
      <c r="H200" s="85" t="str">
        <f>_xlfn.XLOOKUP(Tabla2[[#This Row],[Universidad KPIs]],Conversiones!$C:$C,Conversiones!$E:$E)</f>
        <v>Específico</v>
      </c>
      <c r="I200" s="1" t="s">
        <v>57</v>
      </c>
      <c r="J200" s="1" t="s">
        <v>281</v>
      </c>
      <c r="K200" s="1" t="s">
        <v>3364</v>
      </c>
      <c r="L200" s="1" t="s">
        <v>3365</v>
      </c>
      <c r="M200" s="1" t="s">
        <v>230</v>
      </c>
      <c r="N200" s="1" t="s">
        <v>2329</v>
      </c>
      <c r="O200" s="86" t="s">
        <v>3229</v>
      </c>
      <c r="P200" s="1">
        <v>1</v>
      </c>
      <c r="Q200" s="1" t="s">
        <v>2332</v>
      </c>
      <c r="R200" s="1" t="s">
        <v>2331</v>
      </c>
      <c r="S200" s="1" t="s">
        <v>3242</v>
      </c>
      <c r="T200" s="1" t="s">
        <v>2891</v>
      </c>
      <c r="U200" s="1"/>
      <c r="V200" s="1"/>
      <c r="W200" s="1"/>
      <c r="X200" s="1"/>
      <c r="Y200" s="1"/>
      <c r="Z200" s="1"/>
      <c r="AA200" s="1"/>
      <c r="AB200" s="1"/>
      <c r="AC200" s="88" t="s">
        <v>252</v>
      </c>
      <c r="AD200" s="88" t="s">
        <v>247</v>
      </c>
    </row>
    <row r="201" spans="1:30" hidden="1">
      <c r="A201" s="1">
        <v>2023</v>
      </c>
      <c r="B201" s="1">
        <v>202310</v>
      </c>
      <c r="C201" s="1">
        <v>202316870</v>
      </c>
      <c r="D201" s="1" t="s">
        <v>3366</v>
      </c>
      <c r="E201" s="1" t="s">
        <v>3367</v>
      </c>
      <c r="F201" s="1" t="s">
        <v>94</v>
      </c>
      <c r="G201" s="85" t="str">
        <f>_xlfn.XLOOKUP(Tabla2[[#This Row],[Universidad]],Conversiones!$B:$B,Conversiones!$C:$C)</f>
        <v>Maastricht University</v>
      </c>
      <c r="H201" s="85" t="str">
        <f>_xlfn.XLOOKUP(Tabla2[[#This Row],[Universidad KPIs]],Conversiones!$C:$C,Conversiones!$E:$E)</f>
        <v>Específico</v>
      </c>
      <c r="I201" s="1" t="s">
        <v>95</v>
      </c>
      <c r="J201" s="1" t="s">
        <v>281</v>
      </c>
      <c r="K201" s="1" t="s">
        <v>3368</v>
      </c>
      <c r="L201" s="1" t="s">
        <v>3369</v>
      </c>
      <c r="M201" s="1" t="s">
        <v>230</v>
      </c>
      <c r="N201" s="1" t="s">
        <v>2329</v>
      </c>
      <c r="O201" s="86" t="s">
        <v>2330</v>
      </c>
      <c r="P201" s="1">
        <v>1</v>
      </c>
      <c r="Q201" s="1" t="s">
        <v>3340</v>
      </c>
      <c r="R201" s="1" t="s">
        <v>2352</v>
      </c>
      <c r="S201" s="1" t="s">
        <v>2353</v>
      </c>
      <c r="T201" s="1" t="s">
        <v>2338</v>
      </c>
      <c r="U201" s="1" t="s">
        <v>2401</v>
      </c>
      <c r="V201" s="1" t="s">
        <v>2333</v>
      </c>
      <c r="W201" s="1"/>
      <c r="X201" s="1"/>
      <c r="Y201" s="1"/>
      <c r="Z201" s="1"/>
      <c r="AA201" s="1"/>
      <c r="AB201" s="1"/>
      <c r="AC201" s="88" t="s">
        <v>233</v>
      </c>
      <c r="AD201" s="88" t="s">
        <v>254</v>
      </c>
    </row>
    <row r="202" spans="1:30" hidden="1">
      <c r="A202" s="1">
        <v>2023</v>
      </c>
      <c r="B202" s="1">
        <v>202310</v>
      </c>
      <c r="C202" s="1">
        <v>202316871</v>
      </c>
      <c r="D202" s="1" t="s">
        <v>3370</v>
      </c>
      <c r="E202" s="1" t="s">
        <v>3371</v>
      </c>
      <c r="F202" s="1" t="s">
        <v>639</v>
      </c>
      <c r="G202" s="85" t="str">
        <f>_xlfn.XLOOKUP(Tabla2[[#This Row],[Universidad]],Conversiones!$B:$B,Conversiones!$C:$C)</f>
        <v>IE Instituto Empresa</v>
      </c>
      <c r="H202" s="85" t="str">
        <f>_xlfn.XLOOKUP(Tabla2[[#This Row],[Universidad KPIs]],Conversiones!$C:$C,Conversiones!$E:$E)</f>
        <v>Específico</v>
      </c>
      <c r="I202" s="1" t="s">
        <v>69</v>
      </c>
      <c r="J202" s="1" t="s">
        <v>281</v>
      </c>
      <c r="K202" s="1" t="s">
        <v>3372</v>
      </c>
      <c r="L202" s="1" t="s">
        <v>3373</v>
      </c>
      <c r="M202" s="1" t="s">
        <v>230</v>
      </c>
      <c r="N202" s="1" t="s">
        <v>2329</v>
      </c>
      <c r="O202" s="86" t="s">
        <v>2330</v>
      </c>
      <c r="P202" s="1">
        <v>1</v>
      </c>
      <c r="Q202" s="1" t="s">
        <v>3374</v>
      </c>
      <c r="R202" s="1" t="s">
        <v>3340</v>
      </c>
      <c r="S202" s="1" t="s">
        <v>2353</v>
      </c>
      <c r="T202" s="1" t="s">
        <v>3242</v>
      </c>
      <c r="U202" s="1" t="s">
        <v>2640</v>
      </c>
      <c r="V202" s="1"/>
      <c r="W202" s="1"/>
      <c r="X202" s="1"/>
      <c r="Y202" s="1"/>
      <c r="Z202" s="1"/>
      <c r="AA202" s="1"/>
      <c r="AB202" s="1"/>
      <c r="AC202" s="88" t="s">
        <v>233</v>
      </c>
      <c r="AD202" s="88" t="s">
        <v>254</v>
      </c>
    </row>
    <row r="203" spans="1:30" hidden="1">
      <c r="A203" s="1">
        <v>2023</v>
      </c>
      <c r="B203" s="1">
        <v>202310</v>
      </c>
      <c r="C203" s="1">
        <v>202316830</v>
      </c>
      <c r="D203" s="1" t="s">
        <v>3375</v>
      </c>
      <c r="E203" s="1" t="s">
        <v>3376</v>
      </c>
      <c r="F203" s="1" t="s">
        <v>102</v>
      </c>
      <c r="G203" s="85" t="str">
        <f>_xlfn.XLOOKUP(Tabla2[[#This Row],[Universidad]],Conversiones!$B:$B,Conversiones!$C:$C)</f>
        <v>Politecnico di Milano</v>
      </c>
      <c r="H203" s="85" t="str">
        <f>_xlfn.XLOOKUP(Tabla2[[#This Row],[Universidad KPIs]],Conversiones!$C:$C,Conversiones!$E:$E)</f>
        <v>Específico</v>
      </c>
      <c r="I203" s="1" t="s">
        <v>103</v>
      </c>
      <c r="J203" s="1" t="s">
        <v>281</v>
      </c>
      <c r="K203" s="1" t="s">
        <v>3377</v>
      </c>
      <c r="L203" s="1" t="s">
        <v>3378</v>
      </c>
      <c r="M203" s="1" t="s">
        <v>230</v>
      </c>
      <c r="N203" s="1" t="s">
        <v>2365</v>
      </c>
      <c r="O203" s="86" t="s">
        <v>2366</v>
      </c>
      <c r="P203" s="1">
        <v>1</v>
      </c>
      <c r="Q203" s="1" t="s">
        <v>3240</v>
      </c>
      <c r="R203" s="1" t="s">
        <v>3241</v>
      </c>
      <c r="S203" s="1" t="s">
        <v>2394</v>
      </c>
      <c r="T203" s="1" t="s">
        <v>3242</v>
      </c>
      <c r="U203" s="1" t="s">
        <v>3243</v>
      </c>
      <c r="V203" s="1" t="s">
        <v>3244</v>
      </c>
      <c r="W203" s="1" t="s">
        <v>3245</v>
      </c>
      <c r="X203" s="1" t="s">
        <v>3106</v>
      </c>
      <c r="Y203" s="1"/>
      <c r="Z203" s="1"/>
      <c r="AA203" s="1"/>
      <c r="AB203" s="1"/>
      <c r="AC203" s="88" t="s">
        <v>237</v>
      </c>
      <c r="AD203" s="88" t="s">
        <v>247</v>
      </c>
    </row>
    <row r="204" spans="1:30" hidden="1">
      <c r="A204" s="1">
        <v>2023</v>
      </c>
      <c r="B204" s="1">
        <v>202320</v>
      </c>
      <c r="C204" s="1">
        <v>202316830</v>
      </c>
      <c r="D204" s="1" t="s">
        <v>3375</v>
      </c>
      <c r="E204" s="1" t="s">
        <v>3376</v>
      </c>
      <c r="F204" s="1" t="s">
        <v>102</v>
      </c>
      <c r="G204" s="85" t="str">
        <f>_xlfn.XLOOKUP(Tabla2[[#This Row],[Universidad]],Conversiones!$B:$B,Conversiones!$C:$C)</f>
        <v>Politecnico di Milano</v>
      </c>
      <c r="H204" s="85" t="str">
        <f>_xlfn.XLOOKUP(Tabla2[[#This Row],[Universidad KPIs]],Conversiones!$C:$C,Conversiones!$E:$E)</f>
        <v>Específico</v>
      </c>
      <c r="I204" s="1" t="s">
        <v>103</v>
      </c>
      <c r="J204" s="1" t="s">
        <v>281</v>
      </c>
      <c r="K204" s="1" t="s">
        <v>3377</v>
      </c>
      <c r="L204" s="1" t="s">
        <v>3378</v>
      </c>
      <c r="M204" s="1" t="s">
        <v>230</v>
      </c>
      <c r="N204" s="1" t="s">
        <v>2365</v>
      </c>
      <c r="O204" s="86" t="s">
        <v>3229</v>
      </c>
      <c r="P204" s="1">
        <v>1</v>
      </c>
      <c r="Q204" s="1" t="s">
        <v>3246</v>
      </c>
      <c r="R204" s="1" t="s">
        <v>3247</v>
      </c>
      <c r="S204" s="1" t="s">
        <v>3248</v>
      </c>
      <c r="T204" s="1" t="s">
        <v>2495</v>
      </c>
      <c r="U204" s="1" t="s">
        <v>3379</v>
      </c>
      <c r="V204" s="1" t="s">
        <v>3250</v>
      </c>
      <c r="W204" s="1" t="s">
        <v>3251</v>
      </c>
      <c r="X204" s="1" t="s">
        <v>3252</v>
      </c>
      <c r="Y204" s="1"/>
      <c r="Z204" s="1"/>
      <c r="AA204" s="1"/>
      <c r="AB204" s="1"/>
      <c r="AC204" s="88" t="s">
        <v>237</v>
      </c>
      <c r="AD204" s="88" t="s">
        <v>247</v>
      </c>
    </row>
    <row r="205" spans="1:30" hidden="1">
      <c r="A205" s="1">
        <v>2023</v>
      </c>
      <c r="B205" s="1">
        <v>202320</v>
      </c>
      <c r="C205" s="1">
        <v>202325843</v>
      </c>
      <c r="D205" s="1" t="s">
        <v>3380</v>
      </c>
      <c r="E205" s="1" t="s">
        <v>3381</v>
      </c>
      <c r="F205" s="1" t="s">
        <v>94</v>
      </c>
      <c r="G205" s="85" t="str">
        <f>_xlfn.XLOOKUP(Tabla2[[#This Row],[Universidad]],Conversiones!$B:$B,Conversiones!$C:$C)</f>
        <v>Maastricht University</v>
      </c>
      <c r="H205" s="85" t="str">
        <f>_xlfn.XLOOKUP(Tabla2[[#This Row],[Universidad KPIs]],Conversiones!$C:$C,Conversiones!$E:$E)</f>
        <v>Específico</v>
      </c>
      <c r="I205" s="1" t="s">
        <v>95</v>
      </c>
      <c r="J205" s="1" t="s">
        <v>281</v>
      </c>
      <c r="K205" s="1" t="s">
        <v>3382</v>
      </c>
      <c r="L205" s="1" t="s">
        <v>3383</v>
      </c>
      <c r="M205" s="1" t="s">
        <v>230</v>
      </c>
      <c r="N205" s="1" t="s">
        <v>2329</v>
      </c>
      <c r="O205" s="86" t="s">
        <v>3229</v>
      </c>
      <c r="P205" s="1">
        <v>1</v>
      </c>
      <c r="Q205" s="1" t="s">
        <v>2331</v>
      </c>
      <c r="R205" s="1" t="s">
        <v>2401</v>
      </c>
      <c r="S205" s="1" t="s">
        <v>2338</v>
      </c>
      <c r="T205" s="1" t="s">
        <v>2352</v>
      </c>
      <c r="U205" s="1" t="s">
        <v>2472</v>
      </c>
      <c r="V205" s="1" t="s">
        <v>2632</v>
      </c>
      <c r="W205" s="1"/>
      <c r="X205" s="1"/>
      <c r="Y205" s="1"/>
      <c r="Z205" s="1"/>
      <c r="AA205" s="1"/>
      <c r="AB205" s="1"/>
      <c r="AC205" s="88" t="s">
        <v>233</v>
      </c>
      <c r="AD205" s="88" t="s">
        <v>254</v>
      </c>
    </row>
    <row r="206" spans="1:30" hidden="1">
      <c r="A206" s="1">
        <v>2023</v>
      </c>
      <c r="B206" s="1">
        <v>202310</v>
      </c>
      <c r="C206" s="1">
        <v>202316872</v>
      </c>
      <c r="D206" s="1" t="s">
        <v>3384</v>
      </c>
      <c r="E206" s="1" t="s">
        <v>3385</v>
      </c>
      <c r="F206" s="1" t="s">
        <v>96</v>
      </c>
      <c r="G206" s="85" t="str">
        <f>_xlfn.XLOOKUP(Tabla2[[#This Row],[Universidad]],Conversiones!$B:$B,Conversiones!$C:$C)</f>
        <v>McGill University</v>
      </c>
      <c r="H206" s="85" t="str">
        <f>_xlfn.XLOOKUP(Tabla2[[#This Row],[Universidad KPIs]],Conversiones!$C:$C,Conversiones!$E:$E)</f>
        <v>Específico</v>
      </c>
      <c r="I206" s="1" t="s">
        <v>74</v>
      </c>
      <c r="J206" s="1" t="s">
        <v>291</v>
      </c>
      <c r="K206" s="1" t="s">
        <v>3386</v>
      </c>
      <c r="L206" s="1" t="s">
        <v>3387</v>
      </c>
      <c r="M206" s="1" t="s">
        <v>230</v>
      </c>
      <c r="N206" s="1" t="s">
        <v>2329</v>
      </c>
      <c r="O206" s="86" t="s">
        <v>2330</v>
      </c>
      <c r="P206" s="1">
        <v>1</v>
      </c>
      <c r="Q206" s="1" t="s">
        <v>2472</v>
      </c>
      <c r="R206" s="1" t="s">
        <v>2438</v>
      </c>
      <c r="S206" s="1" t="s">
        <v>3034</v>
      </c>
      <c r="T206" s="1" t="s">
        <v>2556</v>
      </c>
      <c r="U206" s="1"/>
      <c r="V206" s="1"/>
      <c r="W206" s="1"/>
      <c r="X206" s="1"/>
      <c r="Y206" s="1"/>
      <c r="Z206" s="1"/>
      <c r="AA206" s="1"/>
      <c r="AB206" s="1"/>
      <c r="AC206" s="88" t="s">
        <v>233</v>
      </c>
      <c r="AD206" s="88" t="s">
        <v>254</v>
      </c>
    </row>
    <row r="207" spans="1:30" hidden="1">
      <c r="A207" s="1">
        <v>2023</v>
      </c>
      <c r="B207" s="1">
        <v>202320</v>
      </c>
      <c r="C207" s="1">
        <v>202325828</v>
      </c>
      <c r="D207" s="1" t="s">
        <v>3388</v>
      </c>
      <c r="E207" s="1" t="s">
        <v>3389</v>
      </c>
      <c r="F207" s="1" t="s">
        <v>286</v>
      </c>
      <c r="G207" s="85" t="str">
        <f>_xlfn.XLOOKUP(Tabla2[[#This Row],[Universidad]],Conversiones!$B:$B,Conversiones!$C:$C)</f>
        <v>ESC Rouen (NEOMA)</v>
      </c>
      <c r="H207" s="85" t="str">
        <f>_xlfn.XLOOKUP(Tabla2[[#This Row],[Universidad KPIs]],Conversiones!$C:$C,Conversiones!$E:$E)</f>
        <v>Específico</v>
      </c>
      <c r="I207" s="1" t="s">
        <v>57</v>
      </c>
      <c r="J207" s="1" t="s">
        <v>281</v>
      </c>
      <c r="K207" s="1" t="s">
        <v>3390</v>
      </c>
      <c r="L207" s="1" t="s">
        <v>3391</v>
      </c>
      <c r="M207" s="1" t="s">
        <v>230</v>
      </c>
      <c r="N207" s="1" t="s">
        <v>2329</v>
      </c>
      <c r="O207" s="86" t="s">
        <v>3229</v>
      </c>
      <c r="P207" s="1">
        <v>1</v>
      </c>
      <c r="Q207" s="1" t="s">
        <v>2608</v>
      </c>
      <c r="R207" s="1" t="s">
        <v>2556</v>
      </c>
      <c r="S207" s="1" t="s">
        <v>2438</v>
      </c>
      <c r="T207" s="1" t="s">
        <v>2331</v>
      </c>
      <c r="U207" s="1"/>
      <c r="V207" s="1"/>
      <c r="W207" s="1"/>
      <c r="X207" s="1"/>
      <c r="Y207" s="1"/>
      <c r="Z207" s="1"/>
      <c r="AA207" s="1"/>
      <c r="AB207" s="1"/>
      <c r="AC207" s="88" t="s">
        <v>233</v>
      </c>
      <c r="AD207" s="88" t="s">
        <v>254</v>
      </c>
    </row>
    <row r="208" spans="1:30" hidden="1">
      <c r="A208" s="1">
        <v>2023</v>
      </c>
      <c r="B208" s="1">
        <v>202320</v>
      </c>
      <c r="C208" s="1">
        <v>202324234</v>
      </c>
      <c r="D208" s="1" t="s">
        <v>3392</v>
      </c>
      <c r="E208" s="1" t="s">
        <v>3393</v>
      </c>
      <c r="F208" s="1" t="s">
        <v>116</v>
      </c>
      <c r="G208" s="85" t="str">
        <f>_xlfn.XLOOKUP(Tabla2[[#This Row],[Universidad]],Conversiones!$B:$B,Conversiones!$C:$C)</f>
        <v>University of Glasgow</v>
      </c>
      <c r="H208" s="85" t="str">
        <f>_xlfn.XLOOKUP(Tabla2[[#This Row],[Universidad KPIs]],Conversiones!$C:$C,Conversiones!$E:$E)</f>
        <v>Específico</v>
      </c>
      <c r="I208" s="1" t="s">
        <v>55</v>
      </c>
      <c r="J208" s="1" t="s">
        <v>281</v>
      </c>
      <c r="K208" s="1" t="s">
        <v>3394</v>
      </c>
      <c r="L208" s="1" t="s">
        <v>3395</v>
      </c>
      <c r="M208" s="1" t="s">
        <v>230</v>
      </c>
      <c r="N208" s="1" t="s">
        <v>2365</v>
      </c>
      <c r="O208" s="86" t="s">
        <v>3354</v>
      </c>
      <c r="P208" s="1">
        <v>1</v>
      </c>
      <c r="Q208" s="1" t="s">
        <v>2739</v>
      </c>
      <c r="R208" s="1" t="s">
        <v>2799</v>
      </c>
      <c r="S208" s="1" t="s">
        <v>2800</v>
      </c>
      <c r="T208" s="1" t="s">
        <v>2764</v>
      </c>
      <c r="U208" s="1"/>
      <c r="V208" s="1"/>
      <c r="W208" s="1"/>
      <c r="X208" s="1"/>
      <c r="Y208" s="1"/>
      <c r="Z208" s="1"/>
      <c r="AA208" s="1"/>
      <c r="AB208" s="1"/>
      <c r="AC208" s="88" t="s">
        <v>237</v>
      </c>
      <c r="AD208" s="88" t="s">
        <v>247</v>
      </c>
    </row>
    <row r="209" spans="1:30" hidden="1">
      <c r="A209" s="1">
        <v>2023</v>
      </c>
      <c r="B209" s="1">
        <v>202320</v>
      </c>
      <c r="C209" s="1">
        <v>202325790</v>
      </c>
      <c r="D209" s="1" t="s">
        <v>3396</v>
      </c>
      <c r="E209" s="1" t="s">
        <v>3397</v>
      </c>
      <c r="F209" s="1" t="s">
        <v>94</v>
      </c>
      <c r="G209" s="85" t="str">
        <f>_xlfn.XLOOKUP(Tabla2[[#This Row],[Universidad]],Conversiones!$B:$B,Conversiones!$C:$C)</f>
        <v>Maastricht University</v>
      </c>
      <c r="H209" s="85" t="str">
        <f>_xlfn.XLOOKUP(Tabla2[[#This Row],[Universidad KPIs]],Conversiones!$C:$C,Conversiones!$E:$E)</f>
        <v>Específico</v>
      </c>
      <c r="I209" s="1" t="s">
        <v>95</v>
      </c>
      <c r="J209" s="1" t="s">
        <v>281</v>
      </c>
      <c r="K209" s="1" t="s">
        <v>3398</v>
      </c>
      <c r="L209" s="1" t="s">
        <v>3399</v>
      </c>
      <c r="M209" s="1" t="s">
        <v>230</v>
      </c>
      <c r="N209" s="1" t="s">
        <v>2329</v>
      </c>
      <c r="O209" s="86" t="s">
        <v>3229</v>
      </c>
      <c r="P209" s="1">
        <v>1</v>
      </c>
      <c r="Q209" s="1" t="s">
        <v>2359</v>
      </c>
      <c r="R209" s="1" t="s">
        <v>2438</v>
      </c>
      <c r="S209" s="1" t="s">
        <v>2401</v>
      </c>
      <c r="T209" s="1" t="s">
        <v>2333</v>
      </c>
      <c r="U209" s="1" t="s">
        <v>2352</v>
      </c>
      <c r="V209" s="1" t="s">
        <v>2632</v>
      </c>
      <c r="W209" s="1"/>
      <c r="X209" s="1"/>
      <c r="Y209" s="1"/>
      <c r="Z209" s="1"/>
      <c r="AA209" s="1"/>
      <c r="AB209" s="1"/>
      <c r="AC209" s="88" t="s">
        <v>233</v>
      </c>
      <c r="AD209" s="88" t="s">
        <v>254</v>
      </c>
    </row>
    <row r="210" spans="1:30" hidden="1">
      <c r="A210" s="1">
        <v>2023</v>
      </c>
      <c r="B210" s="1">
        <v>202320</v>
      </c>
      <c r="C210" s="1">
        <v>202326508</v>
      </c>
      <c r="D210" s="1" t="s">
        <v>3400</v>
      </c>
      <c r="E210" s="1" t="s">
        <v>3401</v>
      </c>
      <c r="F210" s="1" t="s">
        <v>206</v>
      </c>
      <c r="G210" s="85" t="str">
        <f>_xlfn.XLOOKUP(Tabla2[[#This Row],[Universidad]],Conversiones!$B:$B,Conversiones!$C:$C)</f>
        <v>Université Catholique de Louvain</v>
      </c>
      <c r="H210" s="85" t="str">
        <f>_xlfn.XLOOKUP(Tabla2[[#This Row],[Universidad KPIs]],Conversiones!$C:$C,Conversiones!$E:$E)</f>
        <v>General</v>
      </c>
      <c r="I210" s="1" t="s">
        <v>185</v>
      </c>
      <c r="J210" s="1" t="s">
        <v>281</v>
      </c>
      <c r="K210" s="1" t="s">
        <v>3402</v>
      </c>
      <c r="L210" s="1" t="s">
        <v>3403</v>
      </c>
      <c r="M210" s="1" t="s">
        <v>230</v>
      </c>
      <c r="N210" s="1" t="s">
        <v>2365</v>
      </c>
      <c r="O210" s="86" t="s">
        <v>3404</v>
      </c>
      <c r="P210" s="1">
        <v>1</v>
      </c>
      <c r="Q210" s="1" t="s">
        <v>2747</v>
      </c>
      <c r="R210" s="1" t="s">
        <v>3405</v>
      </c>
      <c r="S210" s="1" t="s">
        <v>3406</v>
      </c>
      <c r="T210" s="1" t="s">
        <v>3331</v>
      </c>
      <c r="U210" s="1" t="s">
        <v>3176</v>
      </c>
      <c r="V210" s="1" t="s">
        <v>3407</v>
      </c>
      <c r="W210" s="1"/>
      <c r="X210" s="1"/>
      <c r="Y210" s="1"/>
      <c r="Z210" s="1"/>
      <c r="AA210" s="1"/>
      <c r="AB210" s="1"/>
      <c r="AC210" s="88" t="s">
        <v>251</v>
      </c>
      <c r="AD210" s="88" t="s">
        <v>247</v>
      </c>
    </row>
    <row r="211" spans="1:30" hidden="1">
      <c r="A211" s="1">
        <v>2023</v>
      </c>
      <c r="B211" s="1">
        <v>202310</v>
      </c>
      <c r="C211" s="1">
        <v>202316831</v>
      </c>
      <c r="D211" s="1" t="s">
        <v>3408</v>
      </c>
      <c r="E211" s="1" t="s">
        <v>3409</v>
      </c>
      <c r="F211" s="1" t="s">
        <v>351</v>
      </c>
      <c r="G211" s="85" t="str">
        <f>_xlfn.XLOOKUP(Tabla2[[#This Row],[Universidad]],Conversiones!$B:$B,Conversiones!$C:$C)</f>
        <v>KLU Kühne Logistics University</v>
      </c>
      <c r="H211" s="85" t="str">
        <f>_xlfn.XLOOKUP(Tabla2[[#This Row],[Universidad KPIs]],Conversiones!$C:$C,Conversiones!$E:$E)</f>
        <v>Específico</v>
      </c>
      <c r="I211" s="1" t="s">
        <v>76</v>
      </c>
      <c r="J211" s="1" t="s">
        <v>281</v>
      </c>
      <c r="K211" s="1" t="s">
        <v>3410</v>
      </c>
      <c r="L211" s="1" t="s">
        <v>3411</v>
      </c>
      <c r="M211" s="1" t="s">
        <v>230</v>
      </c>
      <c r="N211" s="1" t="s">
        <v>2329</v>
      </c>
      <c r="O211" s="86" t="s">
        <v>2330</v>
      </c>
      <c r="P211" s="1">
        <v>1</v>
      </c>
      <c r="Q211" s="1" t="s">
        <v>2353</v>
      </c>
      <c r="R211" s="1" t="s">
        <v>2338</v>
      </c>
      <c r="S211" s="1" t="s">
        <v>2413</v>
      </c>
      <c r="T211" s="1" t="s">
        <v>2438</v>
      </c>
      <c r="U211" s="1" t="s">
        <v>3412</v>
      </c>
      <c r="V211" s="1" t="s">
        <v>2401</v>
      </c>
      <c r="W211" s="1"/>
      <c r="X211" s="1"/>
      <c r="Y211" s="1"/>
      <c r="Z211" s="1"/>
      <c r="AA211" s="1"/>
      <c r="AB211" s="1"/>
      <c r="AC211" s="88" t="s">
        <v>237</v>
      </c>
      <c r="AD211" s="88" t="s">
        <v>247</v>
      </c>
    </row>
    <row r="212" spans="1:30" hidden="1">
      <c r="A212" s="1">
        <v>2023</v>
      </c>
      <c r="B212" s="1">
        <v>202320</v>
      </c>
      <c r="C212" s="1">
        <v>202325758</v>
      </c>
      <c r="D212" s="1" t="s">
        <v>3413</v>
      </c>
      <c r="E212" s="1" t="s">
        <v>3414</v>
      </c>
      <c r="F212" s="1" t="s">
        <v>94</v>
      </c>
      <c r="G212" s="85" t="str">
        <f>_xlfn.XLOOKUP(Tabla2[[#This Row],[Universidad]],Conversiones!$B:$B,Conversiones!$C:$C)</f>
        <v>Maastricht University</v>
      </c>
      <c r="H212" s="85" t="str">
        <f>_xlfn.XLOOKUP(Tabla2[[#This Row],[Universidad KPIs]],Conversiones!$C:$C,Conversiones!$E:$E)</f>
        <v>Específico</v>
      </c>
      <c r="I212" s="1" t="s">
        <v>95</v>
      </c>
      <c r="J212" s="1" t="s">
        <v>281</v>
      </c>
      <c r="K212" s="1" t="s">
        <v>3415</v>
      </c>
      <c r="L212" s="1" t="s">
        <v>3416</v>
      </c>
      <c r="M212" s="1" t="s">
        <v>230</v>
      </c>
      <c r="N212" s="1" t="s">
        <v>2329</v>
      </c>
      <c r="O212" s="86" t="s">
        <v>3229</v>
      </c>
      <c r="P212" s="1">
        <v>1</v>
      </c>
      <c r="Q212" s="1" t="s">
        <v>2359</v>
      </c>
      <c r="R212" s="1" t="s">
        <v>2438</v>
      </c>
      <c r="S212" s="1" t="s">
        <v>2401</v>
      </c>
      <c r="T212" s="1" t="s">
        <v>2333</v>
      </c>
      <c r="U212" s="1" t="s">
        <v>2352</v>
      </c>
      <c r="V212" s="1" t="s">
        <v>2632</v>
      </c>
      <c r="W212" s="1"/>
      <c r="X212" s="1"/>
      <c r="Y212" s="1"/>
      <c r="Z212" s="1"/>
      <c r="AA212" s="1"/>
      <c r="AB212" s="1"/>
      <c r="AC212" s="88" t="s">
        <v>233</v>
      </c>
      <c r="AD212" s="88" t="s">
        <v>254</v>
      </c>
    </row>
    <row r="213" spans="1:30" hidden="1">
      <c r="A213" s="1">
        <v>2023</v>
      </c>
      <c r="B213" s="1">
        <v>202310</v>
      </c>
      <c r="C213" s="1">
        <v>202316876</v>
      </c>
      <c r="D213" s="1" t="s">
        <v>3417</v>
      </c>
      <c r="E213" s="1" t="s">
        <v>3418</v>
      </c>
      <c r="F213" s="1" t="s">
        <v>286</v>
      </c>
      <c r="G213" s="85" t="str">
        <f>_xlfn.XLOOKUP(Tabla2[[#This Row],[Universidad]],Conversiones!$B:$B,Conversiones!$C:$C)</f>
        <v>ESC Rouen (NEOMA)</v>
      </c>
      <c r="H213" s="85" t="str">
        <f>_xlfn.XLOOKUP(Tabla2[[#This Row],[Universidad KPIs]],Conversiones!$C:$C,Conversiones!$E:$E)</f>
        <v>Específico</v>
      </c>
      <c r="I213" s="1" t="s">
        <v>57</v>
      </c>
      <c r="J213" s="1" t="s">
        <v>281</v>
      </c>
      <c r="K213" s="1" t="s">
        <v>3419</v>
      </c>
      <c r="L213" s="1" t="s">
        <v>3420</v>
      </c>
      <c r="M213" s="1" t="s">
        <v>230</v>
      </c>
      <c r="N213" s="1" t="s">
        <v>2329</v>
      </c>
      <c r="O213" s="86" t="s">
        <v>2330</v>
      </c>
      <c r="P213" s="1">
        <v>1</v>
      </c>
      <c r="Q213" s="1" t="s">
        <v>2352</v>
      </c>
      <c r="R213" s="1" t="s">
        <v>2663</v>
      </c>
      <c r="S213" s="1" t="s">
        <v>2394</v>
      </c>
      <c r="T213" s="1" t="s">
        <v>2333</v>
      </c>
      <c r="U213" s="1"/>
      <c r="V213" s="1"/>
      <c r="W213" s="1"/>
      <c r="X213" s="1"/>
      <c r="Y213" s="1"/>
      <c r="Z213" s="1"/>
      <c r="AA213" s="1"/>
      <c r="AB213" s="1"/>
      <c r="AC213" s="88" t="s">
        <v>233</v>
      </c>
      <c r="AD213" s="88" t="s">
        <v>254</v>
      </c>
    </row>
    <row r="214" spans="1:30" hidden="1">
      <c r="A214" s="1">
        <v>2023</v>
      </c>
      <c r="B214" s="1">
        <v>202320</v>
      </c>
      <c r="C214" s="1">
        <v>202325840</v>
      </c>
      <c r="D214" s="1" t="s">
        <v>3421</v>
      </c>
      <c r="E214" s="1" t="s">
        <v>3422</v>
      </c>
      <c r="F214" s="1" t="s">
        <v>3055</v>
      </c>
      <c r="G214" s="85" t="str">
        <f>_xlfn.XLOOKUP(Tabla2[[#This Row],[Universidad]],Conversiones!$B:$B,Conversiones!$C:$C)</f>
        <v>JIBS Jönköping International Business School</v>
      </c>
      <c r="H214" s="85" t="str">
        <f>_xlfn.XLOOKUP(Tabla2[[#This Row],[Universidad KPIs]],Conversiones!$C:$C,Conversiones!$E:$E)</f>
        <v>Específico</v>
      </c>
      <c r="I214" s="1" t="s">
        <v>90</v>
      </c>
      <c r="J214" s="1" t="s">
        <v>281</v>
      </c>
      <c r="K214" s="1" t="s">
        <v>3423</v>
      </c>
      <c r="L214" s="1" t="s">
        <v>3424</v>
      </c>
      <c r="M214" s="1" t="s">
        <v>230</v>
      </c>
      <c r="N214" s="1" t="s">
        <v>2329</v>
      </c>
      <c r="O214" s="86" t="s">
        <v>3229</v>
      </c>
      <c r="P214" s="1">
        <v>1</v>
      </c>
      <c r="Q214" s="1" t="s">
        <v>2359</v>
      </c>
      <c r="R214" s="1" t="s">
        <v>2338</v>
      </c>
      <c r="S214" s="1" t="s">
        <v>2632</v>
      </c>
      <c r="T214" s="1" t="s">
        <v>3230</v>
      </c>
      <c r="U214" s="1" t="s">
        <v>3231</v>
      </c>
      <c r="V214" s="1"/>
      <c r="W214" s="1"/>
      <c r="X214" s="1"/>
      <c r="Y214" s="1"/>
      <c r="Z214" s="1"/>
      <c r="AA214" s="1"/>
      <c r="AB214" s="1"/>
      <c r="AC214" s="88" t="s">
        <v>233</v>
      </c>
      <c r="AD214" s="88" t="s">
        <v>254</v>
      </c>
    </row>
    <row r="215" spans="1:30" hidden="1">
      <c r="A215" s="1">
        <v>2023</v>
      </c>
      <c r="B215" s="1">
        <v>202320</v>
      </c>
      <c r="C215" s="1">
        <v>202325846</v>
      </c>
      <c r="D215" s="1" t="s">
        <v>3425</v>
      </c>
      <c r="E215" s="1" t="s">
        <v>3426</v>
      </c>
      <c r="F215" s="1" t="s">
        <v>177</v>
      </c>
      <c r="G215" s="85" t="str">
        <f>_xlfn.XLOOKUP(Tabla2[[#This Row],[Universidad]],Conversiones!$B:$B,Conversiones!$C:$C)</f>
        <v>Université de Genève</v>
      </c>
      <c r="H215" s="85" t="str">
        <f>_xlfn.XLOOKUP(Tabla2[[#This Row],[Universidad KPIs]],Conversiones!$C:$C,Conversiones!$E:$E)</f>
        <v>General</v>
      </c>
      <c r="I215" s="1" t="s">
        <v>81</v>
      </c>
      <c r="J215" s="1" t="s">
        <v>281</v>
      </c>
      <c r="K215" s="1" t="s">
        <v>3427</v>
      </c>
      <c r="L215" s="1" t="s">
        <v>3428</v>
      </c>
      <c r="M215" s="1" t="s">
        <v>230</v>
      </c>
      <c r="N215" s="1" t="s">
        <v>2329</v>
      </c>
      <c r="O215" s="86" t="s">
        <v>3229</v>
      </c>
      <c r="P215" s="1">
        <v>1</v>
      </c>
      <c r="Q215" s="1" t="s">
        <v>2438</v>
      </c>
      <c r="R215" s="1" t="s">
        <v>2338</v>
      </c>
      <c r="S215" s="1" t="s">
        <v>2352</v>
      </c>
      <c r="T215" s="1" t="s">
        <v>2678</v>
      </c>
      <c r="U215" s="1" t="s">
        <v>2632</v>
      </c>
      <c r="V215" s="1" t="s">
        <v>2413</v>
      </c>
      <c r="W215" s="1" t="s">
        <v>2378</v>
      </c>
      <c r="X215" s="1"/>
      <c r="Y215" s="1"/>
      <c r="Z215" s="1"/>
      <c r="AA215" s="1"/>
      <c r="AB215" s="1"/>
      <c r="AC215" s="88" t="s">
        <v>233</v>
      </c>
      <c r="AD215" s="88" t="s">
        <v>254</v>
      </c>
    </row>
    <row r="216" spans="1:30" hidden="1">
      <c r="A216" s="1">
        <v>2023</v>
      </c>
      <c r="B216" s="1">
        <v>202310</v>
      </c>
      <c r="C216" s="1">
        <v>202314871</v>
      </c>
      <c r="D216" s="1" t="s">
        <v>3429</v>
      </c>
      <c r="E216" s="1" t="s">
        <v>3430</v>
      </c>
      <c r="F216" s="1" t="s">
        <v>1485</v>
      </c>
      <c r="G216" s="85" t="str">
        <f>_xlfn.XLOOKUP(Tabla2[[#This Row],[Universidad]],Conversiones!$B:$B,Conversiones!$C:$C)</f>
        <v>HEC Paris</v>
      </c>
      <c r="H216" s="85" t="str">
        <f>_xlfn.XLOOKUP(Tabla2[[#This Row],[Universidad KPIs]],Conversiones!$C:$C,Conversiones!$E:$E)</f>
        <v>Específico</v>
      </c>
      <c r="I216" s="1" t="s">
        <v>57</v>
      </c>
      <c r="J216" s="1" t="s">
        <v>281</v>
      </c>
      <c r="K216" s="1" t="s">
        <v>3431</v>
      </c>
      <c r="L216" s="1" t="s">
        <v>3432</v>
      </c>
      <c r="M216" s="1" t="s">
        <v>230</v>
      </c>
      <c r="N216" s="1" t="s">
        <v>2365</v>
      </c>
      <c r="O216" s="86" t="s">
        <v>2366</v>
      </c>
      <c r="P216" s="1">
        <v>1</v>
      </c>
      <c r="Q216" s="1" t="s">
        <v>3286</v>
      </c>
      <c r="R216" s="1" t="s">
        <v>3287</v>
      </c>
      <c r="S216" s="1" t="s">
        <v>3288</v>
      </c>
      <c r="T216" s="1" t="s">
        <v>3289</v>
      </c>
      <c r="U216" s="1" t="s">
        <v>3320</v>
      </c>
      <c r="V216" s="1"/>
      <c r="W216" s="1"/>
      <c r="X216" s="1"/>
      <c r="Y216" s="1"/>
      <c r="Z216" s="1"/>
      <c r="AA216" s="1"/>
      <c r="AB216" s="1"/>
      <c r="AC216" s="88" t="s">
        <v>251</v>
      </c>
      <c r="AD216" s="88" t="s">
        <v>247</v>
      </c>
    </row>
    <row r="217" spans="1:30" hidden="1">
      <c r="A217" s="1">
        <v>2023</v>
      </c>
      <c r="B217" s="1">
        <v>202320</v>
      </c>
      <c r="C217" s="1">
        <v>202325885</v>
      </c>
      <c r="D217" s="1" t="s">
        <v>3433</v>
      </c>
      <c r="E217" s="1" t="s">
        <v>3434</v>
      </c>
      <c r="F217" s="1" t="s">
        <v>524</v>
      </c>
      <c r="G217" s="85" t="str">
        <f>_xlfn.XLOOKUP(Tabla2[[#This Row],[Universidad]],Conversiones!$B:$B,Conversiones!$C:$C)</f>
        <v>University of Saint Gallen</v>
      </c>
      <c r="H217" s="85" t="str">
        <f>_xlfn.XLOOKUP(Tabla2[[#This Row],[Universidad KPIs]],Conversiones!$C:$C,Conversiones!$E:$E)</f>
        <v>Específico</v>
      </c>
      <c r="I217" s="1" t="s">
        <v>81</v>
      </c>
      <c r="J217" s="1" t="s">
        <v>281</v>
      </c>
      <c r="K217" s="1" t="s">
        <v>3435</v>
      </c>
      <c r="L217" s="1" t="s">
        <v>3436</v>
      </c>
      <c r="M217" s="1" t="s">
        <v>230</v>
      </c>
      <c r="N217" s="1" t="s">
        <v>2365</v>
      </c>
      <c r="O217" s="86" t="s">
        <v>3229</v>
      </c>
      <c r="P217" s="1">
        <v>1</v>
      </c>
      <c r="Q217" s="1" t="s">
        <v>3437</v>
      </c>
      <c r="R217" s="1" t="s">
        <v>3438</v>
      </c>
      <c r="S217" s="1" t="s">
        <v>2795</v>
      </c>
      <c r="T217" s="1" t="s">
        <v>3439</v>
      </c>
      <c r="U217" s="1" t="s">
        <v>2738</v>
      </c>
      <c r="V217" s="1" t="s">
        <v>3440</v>
      </c>
      <c r="W217" s="1"/>
      <c r="X217" s="1"/>
      <c r="Y217" s="1"/>
      <c r="Z217" s="1"/>
      <c r="AA217" s="1"/>
      <c r="AB217" s="1"/>
      <c r="AC217" s="88" t="s">
        <v>233</v>
      </c>
      <c r="AD217" s="88" t="s">
        <v>254</v>
      </c>
    </row>
    <row r="218" spans="1:30" hidden="1">
      <c r="A218" s="1">
        <v>2023</v>
      </c>
      <c r="B218" s="1">
        <v>202320</v>
      </c>
      <c r="C218" s="1">
        <v>202325809</v>
      </c>
      <c r="D218" s="1" t="s">
        <v>744</v>
      </c>
      <c r="E218" s="1" t="s">
        <v>3441</v>
      </c>
      <c r="F218" s="1" t="s">
        <v>114</v>
      </c>
      <c r="G218" s="85" t="str">
        <f>_xlfn.XLOOKUP(Tabla2[[#This Row],[Universidad]],Conversiones!$B:$B,Conversiones!$C:$C)</f>
        <v>Universiteit Utrecht</v>
      </c>
      <c r="H218" s="85" t="str">
        <f>_xlfn.XLOOKUP(Tabla2[[#This Row],[Universidad KPIs]],Conversiones!$C:$C,Conversiones!$E:$E)</f>
        <v>Específico</v>
      </c>
      <c r="I218" s="1" t="s">
        <v>95</v>
      </c>
      <c r="J218" s="1" t="s">
        <v>281</v>
      </c>
      <c r="K218" s="1" t="s">
        <v>3442</v>
      </c>
      <c r="L218" s="1" t="s">
        <v>3443</v>
      </c>
      <c r="M218" s="1" t="s">
        <v>230</v>
      </c>
      <c r="N218" s="1" t="s">
        <v>2329</v>
      </c>
      <c r="O218" s="86" t="s">
        <v>3229</v>
      </c>
      <c r="P218" s="1">
        <v>1</v>
      </c>
      <c r="Q218" s="1" t="s">
        <v>2359</v>
      </c>
      <c r="R218" s="1" t="s">
        <v>2331</v>
      </c>
      <c r="S218" s="1" t="s">
        <v>2333</v>
      </c>
      <c r="T218" s="1" t="s">
        <v>2338</v>
      </c>
      <c r="U218" s="1" t="s">
        <v>3444</v>
      </c>
      <c r="V218" s="1" t="s">
        <v>3231</v>
      </c>
      <c r="W218" s="1" t="s">
        <v>2495</v>
      </c>
      <c r="X218" s="1"/>
      <c r="Y218" s="1"/>
      <c r="Z218" s="1"/>
      <c r="AA218" s="1"/>
      <c r="AB218" s="1"/>
      <c r="AC218" s="88" t="s">
        <v>233</v>
      </c>
      <c r="AD218" s="88" t="s">
        <v>254</v>
      </c>
    </row>
    <row r="219" spans="1:30" hidden="1">
      <c r="A219" s="1">
        <v>2023</v>
      </c>
      <c r="B219" s="1">
        <v>202320</v>
      </c>
      <c r="C219" s="1">
        <v>202326509</v>
      </c>
      <c r="D219" s="1" t="s">
        <v>3445</v>
      </c>
      <c r="E219" s="1" t="s">
        <v>3446</v>
      </c>
      <c r="F219" s="1" t="s">
        <v>320</v>
      </c>
      <c r="G219" s="85" t="str">
        <f>_xlfn.XLOOKUP(Tabla2[[#This Row],[Universidad]],Conversiones!$B:$B,Conversiones!$C:$C)</f>
        <v>ESADE</v>
      </c>
      <c r="H219" s="85" t="str">
        <f>_xlfn.XLOOKUP(Tabla2[[#This Row],[Universidad KPIs]],Conversiones!$C:$C,Conversiones!$E:$E)</f>
        <v>Específico</v>
      </c>
      <c r="I219" s="1" t="s">
        <v>69</v>
      </c>
      <c r="J219" s="1" t="s">
        <v>281</v>
      </c>
      <c r="K219" s="1" t="s">
        <v>3447</v>
      </c>
      <c r="L219" s="1" t="s">
        <v>3448</v>
      </c>
      <c r="M219" s="1" t="s">
        <v>230</v>
      </c>
      <c r="N219" s="1" t="s">
        <v>2365</v>
      </c>
      <c r="O219" s="86" t="s">
        <v>3404</v>
      </c>
      <c r="P219" s="1">
        <v>1</v>
      </c>
      <c r="Q219" s="1" t="s">
        <v>3405</v>
      </c>
      <c r="R219" s="1" t="s">
        <v>3406</v>
      </c>
      <c r="S219" s="1" t="s">
        <v>3331</v>
      </c>
      <c r="T219" s="1" t="s">
        <v>3176</v>
      </c>
      <c r="U219" s="1" t="s">
        <v>3290</v>
      </c>
      <c r="V219" s="1" t="s">
        <v>3407</v>
      </c>
      <c r="W219" s="1"/>
      <c r="X219" s="1"/>
      <c r="Y219" s="1"/>
      <c r="Z219" s="1"/>
      <c r="AA219" s="1"/>
      <c r="AB219" s="1"/>
      <c r="AC219" s="88" t="s">
        <v>251</v>
      </c>
      <c r="AD219" s="88" t="s">
        <v>247</v>
      </c>
    </row>
    <row r="220" spans="1:30" hidden="1">
      <c r="A220" s="1">
        <v>2023</v>
      </c>
      <c r="B220" s="1">
        <v>202310</v>
      </c>
      <c r="C220" s="1">
        <v>202316882</v>
      </c>
      <c r="D220" s="1" t="s">
        <v>3449</v>
      </c>
      <c r="E220" s="1" t="s">
        <v>3450</v>
      </c>
      <c r="F220" s="1" t="s">
        <v>1485</v>
      </c>
      <c r="G220" s="85" t="str">
        <f>_xlfn.XLOOKUP(Tabla2[[#This Row],[Universidad]],Conversiones!$B:$B,Conversiones!$C:$C)</f>
        <v>HEC Paris</v>
      </c>
      <c r="H220" s="85" t="str">
        <f>_xlfn.XLOOKUP(Tabla2[[#This Row],[Universidad KPIs]],Conversiones!$C:$C,Conversiones!$E:$E)</f>
        <v>Específico</v>
      </c>
      <c r="I220" s="1" t="s">
        <v>57</v>
      </c>
      <c r="J220" s="1" t="s">
        <v>281</v>
      </c>
      <c r="K220" s="1" t="s">
        <v>3451</v>
      </c>
      <c r="L220" s="1" t="s">
        <v>3452</v>
      </c>
      <c r="M220" s="1" t="s">
        <v>230</v>
      </c>
      <c r="N220" s="1" t="s">
        <v>2329</v>
      </c>
      <c r="O220" s="86" t="s">
        <v>2330</v>
      </c>
      <c r="P220" s="1">
        <v>1</v>
      </c>
      <c r="Q220" s="1" t="s">
        <v>2631</v>
      </c>
      <c r="R220" s="1" t="s">
        <v>2340</v>
      </c>
      <c r="S220" s="1" t="s">
        <v>2338</v>
      </c>
      <c r="T220" s="1" t="s">
        <v>3453</v>
      </c>
      <c r="U220" s="1"/>
      <c r="V220" s="1"/>
      <c r="W220" s="1"/>
      <c r="X220" s="1"/>
      <c r="Y220" s="1"/>
      <c r="Z220" s="1"/>
      <c r="AA220" s="1"/>
      <c r="AB220" s="1"/>
      <c r="AC220" s="88" t="s">
        <v>233</v>
      </c>
      <c r="AD220" s="88" t="s">
        <v>254</v>
      </c>
    </row>
    <row r="221" spans="1:30" hidden="1">
      <c r="A221" s="1">
        <v>2023</v>
      </c>
      <c r="B221" s="1">
        <v>202310</v>
      </c>
      <c r="C221" s="1">
        <v>202316886</v>
      </c>
      <c r="D221" s="1" t="s">
        <v>3454</v>
      </c>
      <c r="E221" s="1" t="s">
        <v>3455</v>
      </c>
      <c r="F221" s="1" t="s">
        <v>52</v>
      </c>
      <c r="G221" s="85" t="str">
        <f>_xlfn.XLOOKUP(Tabla2[[#This Row],[Universidad]],Conversiones!$B:$B,Conversiones!$C:$C)</f>
        <v>Aalto University</v>
      </c>
      <c r="H221" s="85" t="str">
        <f>_xlfn.XLOOKUP(Tabla2[[#This Row],[Universidad KPIs]],Conversiones!$C:$C,Conversiones!$E:$E)</f>
        <v>Específico</v>
      </c>
      <c r="I221" s="1" t="s">
        <v>53</v>
      </c>
      <c r="J221" s="1" t="s">
        <v>281</v>
      </c>
      <c r="K221" s="1" t="s">
        <v>3456</v>
      </c>
      <c r="L221" s="1" t="s">
        <v>3457</v>
      </c>
      <c r="M221" s="1" t="s">
        <v>230</v>
      </c>
      <c r="N221" s="1" t="s">
        <v>2329</v>
      </c>
      <c r="O221" s="86" t="s">
        <v>2330</v>
      </c>
      <c r="P221" s="1">
        <v>1</v>
      </c>
      <c r="Q221" s="1" t="s">
        <v>2359</v>
      </c>
      <c r="R221" s="1" t="s">
        <v>3458</v>
      </c>
      <c r="S221" s="1" t="s">
        <v>2353</v>
      </c>
      <c r="T221" s="1" t="s">
        <v>2401</v>
      </c>
      <c r="U221" s="1" t="s">
        <v>2333</v>
      </c>
      <c r="V221" s="1"/>
      <c r="W221" s="1"/>
      <c r="X221" s="1"/>
      <c r="Y221" s="1"/>
      <c r="Z221" s="1"/>
      <c r="AA221" s="1"/>
      <c r="AB221" s="1"/>
      <c r="AC221" s="88" t="s">
        <v>233</v>
      </c>
      <c r="AD221" s="88" t="s">
        <v>254</v>
      </c>
    </row>
    <row r="222" spans="1:30" hidden="1">
      <c r="A222" s="1">
        <v>2023</v>
      </c>
      <c r="B222" s="1">
        <v>202310</v>
      </c>
      <c r="C222" s="1">
        <v>202316887</v>
      </c>
      <c r="D222" s="1" t="s">
        <v>3459</v>
      </c>
      <c r="E222" s="1" t="s">
        <v>3460</v>
      </c>
      <c r="F222" s="1" t="s">
        <v>381</v>
      </c>
      <c r="G222" s="85" t="str">
        <f>_xlfn.XLOOKUP(Tabla2[[#This Row],[Universidad]],Conversiones!$B:$B,Conversiones!$C:$C)</f>
        <v>Audencia. École de Management</v>
      </c>
      <c r="H222" s="85" t="str">
        <f>_xlfn.XLOOKUP(Tabla2[[#This Row],[Universidad KPIs]],Conversiones!$C:$C,Conversiones!$E:$E)</f>
        <v>Específico</v>
      </c>
      <c r="I222" s="1" t="s">
        <v>57</v>
      </c>
      <c r="J222" s="1" t="s">
        <v>281</v>
      </c>
      <c r="K222" s="1" t="s">
        <v>3461</v>
      </c>
      <c r="L222" s="1" t="s">
        <v>3462</v>
      </c>
      <c r="M222" s="1" t="s">
        <v>230</v>
      </c>
      <c r="N222" s="1" t="s">
        <v>2329</v>
      </c>
      <c r="O222" s="86" t="s">
        <v>2330</v>
      </c>
      <c r="P222" s="1">
        <v>1</v>
      </c>
      <c r="Q222" s="1" t="s">
        <v>3053</v>
      </c>
      <c r="R222" s="1" t="s">
        <v>2340</v>
      </c>
      <c r="S222" s="1" t="s">
        <v>2338</v>
      </c>
      <c r="T222" s="1" t="s">
        <v>2438</v>
      </c>
      <c r="U222" s="1" t="s">
        <v>2712</v>
      </c>
      <c r="V222" s="1"/>
      <c r="W222" s="1"/>
      <c r="X222" s="1"/>
      <c r="Y222" s="1"/>
      <c r="Z222" s="1"/>
      <c r="AA222" s="1"/>
      <c r="AB222" s="1"/>
      <c r="AC222" s="88" t="s">
        <v>233</v>
      </c>
      <c r="AD222" s="88" t="s">
        <v>254</v>
      </c>
    </row>
    <row r="223" spans="1:30" hidden="1">
      <c r="A223" s="1">
        <v>2023</v>
      </c>
      <c r="B223" s="1">
        <v>202320</v>
      </c>
      <c r="C223" s="1">
        <v>202325772</v>
      </c>
      <c r="D223" s="1" t="s">
        <v>3463</v>
      </c>
      <c r="E223" s="1" t="s">
        <v>3464</v>
      </c>
      <c r="F223" s="1" t="s">
        <v>428</v>
      </c>
      <c r="G223" s="85" t="str">
        <f>_xlfn.XLOOKUP(Tabla2[[#This Row],[Universidad]],Conversiones!$B:$B,Conversiones!$C:$C)</f>
        <v>Roskilde University</v>
      </c>
      <c r="H223" s="85" t="str">
        <f>_xlfn.XLOOKUP(Tabla2[[#This Row],[Universidad KPIs]],Conversiones!$C:$C,Conversiones!$E:$E)</f>
        <v>General</v>
      </c>
      <c r="I223" s="1" t="s">
        <v>63</v>
      </c>
      <c r="J223" s="1" t="s">
        <v>281</v>
      </c>
      <c r="K223" s="1" t="s">
        <v>3465</v>
      </c>
      <c r="L223" s="1" t="s">
        <v>3466</v>
      </c>
      <c r="M223" s="1" t="s">
        <v>230</v>
      </c>
      <c r="N223" s="1" t="s">
        <v>2365</v>
      </c>
      <c r="O223" s="86" t="s">
        <v>3229</v>
      </c>
      <c r="P223" s="1">
        <v>1</v>
      </c>
      <c r="Q223" s="1" t="s">
        <v>3406</v>
      </c>
      <c r="R223" s="1" t="s">
        <v>2739</v>
      </c>
      <c r="S223" s="1" t="s">
        <v>3331</v>
      </c>
      <c r="T223" s="1" t="s">
        <v>3176</v>
      </c>
      <c r="U223" s="1" t="s">
        <v>2764</v>
      </c>
      <c r="V223" s="1"/>
      <c r="W223" s="1"/>
      <c r="X223" s="1"/>
      <c r="Y223" s="1"/>
      <c r="Z223" s="1"/>
      <c r="AA223" s="1"/>
      <c r="AB223" s="1"/>
      <c r="AC223" s="88" t="s">
        <v>252</v>
      </c>
      <c r="AD223" s="88" t="s">
        <v>247</v>
      </c>
    </row>
    <row r="224" spans="1:30" hidden="1">
      <c r="A224" s="1">
        <v>2023</v>
      </c>
      <c r="B224" s="1">
        <v>202320</v>
      </c>
      <c r="C224" s="1">
        <v>202325821</v>
      </c>
      <c r="D224" s="1" t="s">
        <v>3467</v>
      </c>
      <c r="E224" s="1" t="s">
        <v>3468</v>
      </c>
      <c r="F224" s="1" t="s">
        <v>320</v>
      </c>
      <c r="G224" s="85" t="str">
        <f>_xlfn.XLOOKUP(Tabla2[[#This Row],[Universidad]],Conversiones!$B:$B,Conversiones!$C:$C)</f>
        <v>ESADE</v>
      </c>
      <c r="H224" s="85" t="str">
        <f>_xlfn.XLOOKUP(Tabla2[[#This Row],[Universidad KPIs]],Conversiones!$C:$C,Conversiones!$E:$E)</f>
        <v>Específico</v>
      </c>
      <c r="I224" s="1" t="s">
        <v>69</v>
      </c>
      <c r="J224" s="1" t="s">
        <v>281</v>
      </c>
      <c r="K224" s="1" t="s">
        <v>3469</v>
      </c>
      <c r="L224" s="1" t="s">
        <v>3470</v>
      </c>
      <c r="M224" s="1" t="s">
        <v>230</v>
      </c>
      <c r="N224" s="1" t="s">
        <v>2329</v>
      </c>
      <c r="O224" s="86" t="s">
        <v>3229</v>
      </c>
      <c r="P224" s="1">
        <v>1</v>
      </c>
      <c r="Q224" s="1" t="s">
        <v>2556</v>
      </c>
      <c r="R224" s="1" t="s">
        <v>2359</v>
      </c>
      <c r="S224" s="1" t="s">
        <v>2443</v>
      </c>
      <c r="T224" s="1" t="s">
        <v>2340</v>
      </c>
      <c r="U224" s="1" t="s">
        <v>2360</v>
      </c>
      <c r="V224" s="1" t="s">
        <v>2346</v>
      </c>
      <c r="W224" s="1"/>
      <c r="X224" s="1"/>
      <c r="Y224" s="1"/>
      <c r="Z224" s="1"/>
      <c r="AA224" s="1"/>
      <c r="AB224" s="1"/>
      <c r="AC224" s="88" t="s">
        <v>233</v>
      </c>
      <c r="AD224" s="88" t="s">
        <v>254</v>
      </c>
    </row>
    <row r="225" spans="1:30" hidden="1">
      <c r="A225" s="1">
        <v>2023</v>
      </c>
      <c r="B225" s="1">
        <v>202320</v>
      </c>
      <c r="C225" s="1">
        <v>202325825</v>
      </c>
      <c r="D225" s="1" t="s">
        <v>3471</v>
      </c>
      <c r="E225" s="1" t="s">
        <v>3472</v>
      </c>
      <c r="F225" s="1" t="s">
        <v>381</v>
      </c>
      <c r="G225" s="85" t="str">
        <f>_xlfn.XLOOKUP(Tabla2[[#This Row],[Universidad]],Conversiones!$B:$B,Conversiones!$C:$C)</f>
        <v>Audencia. École de Management</v>
      </c>
      <c r="H225" s="85" t="str">
        <f>_xlfn.XLOOKUP(Tabla2[[#This Row],[Universidad KPIs]],Conversiones!$C:$C,Conversiones!$E:$E)</f>
        <v>Específico</v>
      </c>
      <c r="I225" s="1" t="s">
        <v>57</v>
      </c>
      <c r="J225" s="1" t="s">
        <v>281</v>
      </c>
      <c r="K225" s="1" t="s">
        <v>3473</v>
      </c>
      <c r="L225" s="1" t="s">
        <v>3474</v>
      </c>
      <c r="M225" s="1" t="s">
        <v>230</v>
      </c>
      <c r="N225" s="1" t="s">
        <v>2329</v>
      </c>
      <c r="O225" s="86" t="s">
        <v>3229</v>
      </c>
      <c r="P225" s="1">
        <v>1</v>
      </c>
      <c r="Q225" s="1" t="s">
        <v>2332</v>
      </c>
      <c r="R225" s="1" t="s">
        <v>2438</v>
      </c>
      <c r="S225" s="1" t="s">
        <v>2631</v>
      </c>
      <c r="T225" s="1" t="s">
        <v>2500</v>
      </c>
      <c r="U225" s="1" t="s">
        <v>2339</v>
      </c>
      <c r="V225" s="1"/>
      <c r="W225" s="1"/>
      <c r="X225" s="1"/>
      <c r="Y225" s="1"/>
      <c r="Z225" s="1"/>
      <c r="AA225" s="1"/>
      <c r="AB225" s="1"/>
      <c r="AC225" s="88" t="s">
        <v>233</v>
      </c>
      <c r="AD225" s="88" t="s">
        <v>254</v>
      </c>
    </row>
    <row r="226" spans="1:30" hidden="1">
      <c r="A226" s="1">
        <v>2023</v>
      </c>
      <c r="B226" s="1">
        <v>202320</v>
      </c>
      <c r="C226" s="1">
        <v>202325819</v>
      </c>
      <c r="D226" s="1" t="s">
        <v>3475</v>
      </c>
      <c r="E226" s="1" t="s">
        <v>3476</v>
      </c>
      <c r="F226" s="1" t="s">
        <v>356</v>
      </c>
      <c r="G226" s="85" t="str">
        <f>_xlfn.XLOOKUP(Tabla2[[#This Row],[Universidad]],Conversiones!$B:$B,Conversiones!$C:$C)</f>
        <v>Università Commerciale Luigi Bocconi</v>
      </c>
      <c r="H226" s="85" t="str">
        <f>_xlfn.XLOOKUP(Tabla2[[#This Row],[Universidad KPIs]],Conversiones!$C:$C,Conversiones!$E:$E)</f>
        <v>Específico</v>
      </c>
      <c r="I226" s="1" t="s">
        <v>103</v>
      </c>
      <c r="J226" s="1" t="s">
        <v>281</v>
      </c>
      <c r="K226" s="1" t="s">
        <v>3477</v>
      </c>
      <c r="L226" s="1" t="s">
        <v>3478</v>
      </c>
      <c r="M226" s="1" t="s">
        <v>230</v>
      </c>
      <c r="N226" s="1" t="s">
        <v>2329</v>
      </c>
      <c r="O226" s="86" t="s">
        <v>3229</v>
      </c>
      <c r="P226" s="1">
        <v>1</v>
      </c>
      <c r="Q226" s="1" t="s">
        <v>2443</v>
      </c>
      <c r="R226" s="1" t="s">
        <v>2331</v>
      </c>
      <c r="S226" s="1" t="s">
        <v>2712</v>
      </c>
      <c r="T226" s="1" t="s">
        <v>2339</v>
      </c>
      <c r="U226" s="1" t="s">
        <v>3479</v>
      </c>
      <c r="V226" s="1"/>
      <c r="W226" s="1"/>
      <c r="X226" s="1"/>
      <c r="Y226" s="1"/>
      <c r="Z226" s="1"/>
      <c r="AA226" s="1"/>
      <c r="AB226" s="1"/>
      <c r="AC226" s="88" t="s">
        <v>233</v>
      </c>
      <c r="AD226" s="88" t="s">
        <v>254</v>
      </c>
    </row>
    <row r="227" spans="1:30" hidden="1">
      <c r="A227" s="1">
        <v>2023</v>
      </c>
      <c r="B227" s="1">
        <v>202320</v>
      </c>
      <c r="C227" s="1">
        <v>202325883</v>
      </c>
      <c r="D227" s="1" t="s">
        <v>3480</v>
      </c>
      <c r="E227" s="1" t="s">
        <v>3481</v>
      </c>
      <c r="F227" s="1" t="s">
        <v>305</v>
      </c>
      <c r="G227" s="85" t="str">
        <f>_xlfn.XLOOKUP(Tabla2[[#This Row],[Universidad]],Conversiones!$B:$B,Conversiones!$C:$C)</f>
        <v>Catolica Lisbon Business &amp; Economics. Universidade Católica Portuguesa</v>
      </c>
      <c r="H227" s="85" t="str">
        <f>_xlfn.XLOOKUP(Tabla2[[#This Row],[Universidad KPIs]],Conversiones!$C:$C,Conversiones!$E:$E)</f>
        <v>Específico</v>
      </c>
      <c r="I227" s="1" t="s">
        <v>61</v>
      </c>
      <c r="J227" s="1" t="s">
        <v>281</v>
      </c>
      <c r="K227" s="1" t="s">
        <v>3482</v>
      </c>
      <c r="L227" s="1" t="s">
        <v>3483</v>
      </c>
      <c r="M227" s="1" t="s">
        <v>230</v>
      </c>
      <c r="N227" s="1" t="s">
        <v>2329</v>
      </c>
      <c r="O227" s="86" t="s">
        <v>3229</v>
      </c>
      <c r="P227" s="1">
        <v>1</v>
      </c>
      <c r="Q227" s="1" t="s">
        <v>2438</v>
      </c>
      <c r="R227" s="1" t="s">
        <v>2358</v>
      </c>
      <c r="S227" s="1" t="s">
        <v>2338</v>
      </c>
      <c r="T227" s="1" t="s">
        <v>3484</v>
      </c>
      <c r="U227" s="1" t="s">
        <v>3295</v>
      </c>
      <c r="V227" s="1"/>
      <c r="W227" s="1"/>
      <c r="X227" s="1"/>
      <c r="Y227" s="1"/>
      <c r="Z227" s="1"/>
      <c r="AA227" s="1"/>
      <c r="AB227" s="1"/>
      <c r="AC227" s="88" t="s">
        <v>233</v>
      </c>
      <c r="AD227" s="88" t="s">
        <v>254</v>
      </c>
    </row>
    <row r="228" spans="1:30" hidden="1">
      <c r="A228" s="1">
        <v>2023</v>
      </c>
      <c r="B228" s="1">
        <v>202310</v>
      </c>
      <c r="C228" s="1">
        <v>202314876</v>
      </c>
      <c r="D228" s="1" t="s">
        <v>3485</v>
      </c>
      <c r="E228" s="1" t="s">
        <v>3486</v>
      </c>
      <c r="F228" s="1" t="s">
        <v>140</v>
      </c>
      <c r="G228" s="85" t="str">
        <f>_xlfn.XLOOKUP(Tabla2[[#This Row],[Universidad]],Conversiones!$B:$B,Conversiones!$C:$C)</f>
        <v>American University of Central Asia</v>
      </c>
      <c r="H228" s="85" t="str">
        <f>_xlfn.XLOOKUP(Tabla2[[#This Row],[Universidad KPIs]],Conversiones!$C:$C,Conversiones!$E:$E)</f>
        <v>General</v>
      </c>
      <c r="I228" s="1" t="s">
        <v>141</v>
      </c>
      <c r="J228" s="1" t="s">
        <v>568</v>
      </c>
      <c r="K228" s="1" t="s">
        <v>3487</v>
      </c>
      <c r="L228" s="1" t="s">
        <v>3488</v>
      </c>
      <c r="M228" s="1" t="s">
        <v>230</v>
      </c>
      <c r="N228" s="1" t="s">
        <v>2329</v>
      </c>
      <c r="O228" s="86" t="s">
        <v>2330</v>
      </c>
      <c r="P228" s="1">
        <v>1</v>
      </c>
      <c r="Q228" s="1" t="s">
        <v>2359</v>
      </c>
      <c r="R228" s="1" t="s">
        <v>2443</v>
      </c>
      <c r="S228" s="1" t="s">
        <v>2401</v>
      </c>
      <c r="T228" s="1" t="s">
        <v>2333</v>
      </c>
      <c r="U228" s="1" t="s">
        <v>2556</v>
      </c>
      <c r="V228" s="1"/>
      <c r="W228" s="1"/>
      <c r="X228" s="1"/>
      <c r="Y228" s="1"/>
      <c r="Z228" s="1"/>
      <c r="AA228" s="1"/>
      <c r="AB228" s="1"/>
      <c r="AC228" s="88" t="s">
        <v>233</v>
      </c>
      <c r="AD228" s="88" t="s">
        <v>254</v>
      </c>
    </row>
    <row r="229" spans="1:30" hidden="1">
      <c r="A229" s="1">
        <v>2023</v>
      </c>
      <c r="B229" s="1">
        <v>202320</v>
      </c>
      <c r="C229" s="1">
        <v>202325817</v>
      </c>
      <c r="D229" s="1" t="s">
        <v>3489</v>
      </c>
      <c r="E229" s="1" t="s">
        <v>3490</v>
      </c>
      <c r="F229" s="1" t="s">
        <v>356</v>
      </c>
      <c r="G229" s="85" t="str">
        <f>_xlfn.XLOOKUP(Tabla2[[#This Row],[Universidad]],Conversiones!$B:$B,Conversiones!$C:$C)</f>
        <v>Università Commerciale Luigi Bocconi</v>
      </c>
      <c r="H229" s="85" t="str">
        <f>_xlfn.XLOOKUP(Tabla2[[#This Row],[Universidad KPIs]],Conversiones!$C:$C,Conversiones!$E:$E)</f>
        <v>Específico</v>
      </c>
      <c r="I229" s="1" t="s">
        <v>103</v>
      </c>
      <c r="J229" s="1" t="s">
        <v>281</v>
      </c>
      <c r="K229" s="1" t="s">
        <v>3491</v>
      </c>
      <c r="L229" s="1" t="s">
        <v>3492</v>
      </c>
      <c r="M229" s="1" t="s">
        <v>230</v>
      </c>
      <c r="N229" s="1" t="s">
        <v>2329</v>
      </c>
      <c r="O229" s="86" t="s">
        <v>3229</v>
      </c>
      <c r="P229" s="1">
        <v>1</v>
      </c>
      <c r="Q229" s="1" t="s">
        <v>2443</v>
      </c>
      <c r="R229" s="1" t="s">
        <v>2331</v>
      </c>
      <c r="S229" s="1" t="s">
        <v>2712</v>
      </c>
      <c r="T229" s="1" t="s">
        <v>2339</v>
      </c>
      <c r="U229" s="1" t="s">
        <v>3479</v>
      </c>
      <c r="V229" s="1"/>
      <c r="W229" s="1"/>
      <c r="X229" s="1"/>
      <c r="Y229" s="1"/>
      <c r="Z229" s="1"/>
      <c r="AA229" s="1"/>
      <c r="AB229" s="1"/>
      <c r="AC229" s="88" t="s">
        <v>233</v>
      </c>
      <c r="AD229" s="88" t="s">
        <v>254</v>
      </c>
    </row>
    <row r="230" spans="1:30" hidden="1">
      <c r="A230" s="1">
        <v>2023</v>
      </c>
      <c r="B230" s="1">
        <v>202310</v>
      </c>
      <c r="C230" s="1">
        <v>202316896</v>
      </c>
      <c r="D230" s="1" t="s">
        <v>3493</v>
      </c>
      <c r="E230" s="1" t="s">
        <v>3494</v>
      </c>
      <c r="F230" s="1" t="s">
        <v>381</v>
      </c>
      <c r="G230" s="85" t="str">
        <f>_xlfn.XLOOKUP(Tabla2[[#This Row],[Universidad]],Conversiones!$B:$B,Conversiones!$C:$C)</f>
        <v>Audencia. École de Management</v>
      </c>
      <c r="H230" s="85" t="str">
        <f>_xlfn.XLOOKUP(Tabla2[[#This Row],[Universidad KPIs]],Conversiones!$C:$C,Conversiones!$E:$E)</f>
        <v>Específico</v>
      </c>
      <c r="I230" s="1" t="s">
        <v>57</v>
      </c>
      <c r="J230" s="1" t="s">
        <v>281</v>
      </c>
      <c r="K230" s="1" t="s">
        <v>3495</v>
      </c>
      <c r="L230" s="1" t="s">
        <v>3496</v>
      </c>
      <c r="M230" s="1" t="s">
        <v>230</v>
      </c>
      <c r="N230" s="1" t="s">
        <v>2329</v>
      </c>
      <c r="O230" s="86" t="s">
        <v>2330</v>
      </c>
      <c r="P230" s="1">
        <v>1</v>
      </c>
      <c r="Q230" s="1" t="s">
        <v>2352</v>
      </c>
      <c r="R230" s="1" t="s">
        <v>2338</v>
      </c>
      <c r="S230" s="1" t="s">
        <v>2438</v>
      </c>
      <c r="T230" s="1" t="s">
        <v>3242</v>
      </c>
      <c r="U230" s="1" t="s">
        <v>2400</v>
      </c>
      <c r="V230" s="1"/>
      <c r="W230" s="1"/>
      <c r="X230" s="1"/>
      <c r="Y230" s="1"/>
      <c r="Z230" s="1"/>
      <c r="AA230" s="1"/>
      <c r="AB230" s="1"/>
      <c r="AC230" s="88" t="s">
        <v>233</v>
      </c>
      <c r="AD230" s="88" t="s">
        <v>254</v>
      </c>
    </row>
    <row r="231" spans="1:30" hidden="1">
      <c r="A231" s="1">
        <v>2023</v>
      </c>
      <c r="B231" s="1">
        <v>202320</v>
      </c>
      <c r="C231" s="1">
        <v>202325770</v>
      </c>
      <c r="D231" s="1" t="s">
        <v>3497</v>
      </c>
      <c r="E231" s="1" t="s">
        <v>3498</v>
      </c>
      <c r="F231" s="1" t="s">
        <v>419</v>
      </c>
      <c r="G231" s="85" t="str">
        <f>_xlfn.XLOOKUP(Tabla2[[#This Row],[Universidad]],Conversiones!$B:$B,Conversiones!$C:$C)</f>
        <v>ESCP</v>
      </c>
      <c r="H231" s="85" t="str">
        <f>_xlfn.XLOOKUP(Tabla2[[#This Row],[Universidad KPIs]],Conversiones!$C:$C,Conversiones!$E:$E)</f>
        <v>Específico</v>
      </c>
      <c r="I231" s="1" t="s">
        <v>57</v>
      </c>
      <c r="J231" s="1" t="s">
        <v>281</v>
      </c>
      <c r="K231" s="1" t="s">
        <v>3499</v>
      </c>
      <c r="L231" s="1" t="s">
        <v>3500</v>
      </c>
      <c r="M231" s="1" t="s">
        <v>230</v>
      </c>
      <c r="N231" s="1" t="s">
        <v>2365</v>
      </c>
      <c r="O231" s="86" t="s">
        <v>3229</v>
      </c>
      <c r="P231" s="1">
        <v>1</v>
      </c>
      <c r="Q231" s="1" t="s">
        <v>2338</v>
      </c>
      <c r="R231" s="1" t="s">
        <v>3501</v>
      </c>
      <c r="S231" s="1" t="s">
        <v>3290</v>
      </c>
      <c r="T231" s="1" t="s">
        <v>3502</v>
      </c>
      <c r="U231" s="1" t="s">
        <v>2541</v>
      </c>
      <c r="V231" s="1" t="s">
        <v>3503</v>
      </c>
      <c r="W231" s="1"/>
      <c r="X231" s="1"/>
      <c r="Y231" s="1"/>
      <c r="Z231" s="1"/>
      <c r="AA231" s="1"/>
      <c r="AB231" s="1"/>
      <c r="AC231" s="88" t="s">
        <v>251</v>
      </c>
      <c r="AD231" s="88" t="s">
        <v>247</v>
      </c>
    </row>
    <row r="232" spans="1:30" hidden="1">
      <c r="A232" s="1">
        <v>2023</v>
      </c>
      <c r="B232" s="1">
        <v>202320</v>
      </c>
      <c r="C232" s="1">
        <v>202324262</v>
      </c>
      <c r="D232" s="1" t="s">
        <v>3504</v>
      </c>
      <c r="E232" s="1" t="s">
        <v>3505</v>
      </c>
      <c r="F232" s="1" t="s">
        <v>140</v>
      </c>
      <c r="G232" s="85" t="str">
        <f>_xlfn.XLOOKUP(Tabla2[[#This Row],[Universidad]],Conversiones!$B:$B,Conversiones!$C:$C)</f>
        <v>American University of Central Asia</v>
      </c>
      <c r="H232" s="85" t="str">
        <f>_xlfn.XLOOKUP(Tabla2[[#This Row],[Universidad KPIs]],Conversiones!$C:$C,Conversiones!$E:$E)</f>
        <v>General</v>
      </c>
      <c r="I232" s="1" t="s">
        <v>141</v>
      </c>
      <c r="J232" s="1" t="s">
        <v>568</v>
      </c>
      <c r="K232" s="1" t="s">
        <v>3506</v>
      </c>
      <c r="L232" s="1" t="s">
        <v>3507</v>
      </c>
      <c r="M232" s="1" t="s">
        <v>230</v>
      </c>
      <c r="N232" s="1" t="s">
        <v>2329</v>
      </c>
      <c r="O232" s="86" t="s">
        <v>1152</v>
      </c>
      <c r="P232" s="1">
        <v>1</v>
      </c>
      <c r="Q232" s="1" t="s">
        <v>2359</v>
      </c>
      <c r="R232" s="1" t="s">
        <v>2331</v>
      </c>
      <c r="S232" s="1" t="s">
        <v>2632</v>
      </c>
      <c r="T232" s="1" t="s">
        <v>3508</v>
      </c>
      <c r="U232" s="1"/>
      <c r="V232" s="1"/>
      <c r="W232" s="1"/>
      <c r="X232" s="1"/>
      <c r="Y232" s="1"/>
      <c r="Z232" s="1"/>
      <c r="AA232" s="1"/>
      <c r="AB232" s="1"/>
      <c r="AC232" s="88" t="s">
        <v>233</v>
      </c>
      <c r="AD232" s="88" t="s">
        <v>254</v>
      </c>
    </row>
    <row r="233" spans="1:30" hidden="1">
      <c r="A233" s="1">
        <v>2023</v>
      </c>
      <c r="B233" s="1">
        <v>202320</v>
      </c>
      <c r="C233" s="1">
        <v>202324240</v>
      </c>
      <c r="D233" s="1" t="s">
        <v>744</v>
      </c>
      <c r="E233" s="1" t="s">
        <v>3509</v>
      </c>
      <c r="F233" s="1" t="s">
        <v>116</v>
      </c>
      <c r="G233" s="85" t="str">
        <f>_xlfn.XLOOKUP(Tabla2[[#This Row],[Universidad]],Conversiones!$B:$B,Conversiones!$C:$C)</f>
        <v>University of Glasgow</v>
      </c>
      <c r="H233" s="85" t="str">
        <f>_xlfn.XLOOKUP(Tabla2[[#This Row],[Universidad KPIs]],Conversiones!$C:$C,Conversiones!$E:$E)</f>
        <v>Específico</v>
      </c>
      <c r="I233" s="1" t="s">
        <v>55</v>
      </c>
      <c r="J233" s="1" t="s">
        <v>281</v>
      </c>
      <c r="K233" s="1" t="s">
        <v>3510</v>
      </c>
      <c r="L233" s="1" t="s">
        <v>3511</v>
      </c>
      <c r="M233" s="1" t="s">
        <v>230</v>
      </c>
      <c r="N233" s="1" t="s">
        <v>2365</v>
      </c>
      <c r="O233" s="86" t="s">
        <v>3354</v>
      </c>
      <c r="P233" s="1">
        <v>1</v>
      </c>
      <c r="Q233" s="1" t="s">
        <v>2739</v>
      </c>
      <c r="R233" s="1" t="s">
        <v>2799</v>
      </c>
      <c r="S233" s="1" t="s">
        <v>2800</v>
      </c>
      <c r="T233" s="1" t="s">
        <v>2764</v>
      </c>
      <c r="U233" s="1"/>
      <c r="V233" s="1"/>
      <c r="W233" s="1"/>
      <c r="X233" s="1"/>
      <c r="Y233" s="1"/>
      <c r="Z233" s="1"/>
      <c r="AA233" s="1"/>
      <c r="AB233" s="1"/>
      <c r="AC233" s="88" t="s">
        <v>237</v>
      </c>
      <c r="AD233" s="88" t="s">
        <v>247</v>
      </c>
    </row>
    <row r="234" spans="1:30" hidden="1">
      <c r="A234" s="1">
        <v>2023</v>
      </c>
      <c r="B234" s="1">
        <v>202310</v>
      </c>
      <c r="C234" s="1">
        <v>202314872</v>
      </c>
      <c r="D234" s="1" t="s">
        <v>3512</v>
      </c>
      <c r="E234" s="1" t="s">
        <v>3513</v>
      </c>
      <c r="F234" s="1" t="s">
        <v>441</v>
      </c>
      <c r="G234" s="85" t="str">
        <f>_xlfn.XLOOKUP(Tabla2[[#This Row],[Universidad]],Conversiones!$B:$B,Conversiones!$C:$C)</f>
        <v xml:space="preserve">CBS- Copenhagen Business School  </v>
      </c>
      <c r="H234" s="85" t="str">
        <f>_xlfn.XLOOKUP(Tabla2[[#This Row],[Universidad KPIs]],Conversiones!$C:$C,Conversiones!$E:$E)</f>
        <v>Específico</v>
      </c>
      <c r="I234" s="1" t="s">
        <v>63</v>
      </c>
      <c r="J234" s="1" t="s">
        <v>281</v>
      </c>
      <c r="K234" s="1" t="s">
        <v>3514</v>
      </c>
      <c r="L234" s="1" t="s">
        <v>3515</v>
      </c>
      <c r="M234" s="1" t="s">
        <v>230</v>
      </c>
      <c r="N234" s="1" t="s">
        <v>2365</v>
      </c>
      <c r="O234" s="86" t="s">
        <v>2366</v>
      </c>
      <c r="P234" s="1">
        <v>1</v>
      </c>
      <c r="Q234" s="1" t="s">
        <v>3286</v>
      </c>
      <c r="R234" s="1" t="s">
        <v>3516</v>
      </c>
      <c r="S234" s="1" t="s">
        <v>3517</v>
      </c>
      <c r="T234" s="1" t="s">
        <v>3288</v>
      </c>
      <c r="U234" s="1" t="s">
        <v>3289</v>
      </c>
      <c r="V234" s="1"/>
      <c r="W234" s="1"/>
      <c r="X234" s="1"/>
      <c r="Y234" s="1"/>
      <c r="Z234" s="1"/>
      <c r="AA234" s="1"/>
      <c r="AB234" s="1"/>
      <c r="AC234" s="88" t="s">
        <v>251</v>
      </c>
      <c r="AD234" s="88" t="s">
        <v>247</v>
      </c>
    </row>
    <row r="235" spans="1:30" hidden="1">
      <c r="A235" s="1">
        <v>2023</v>
      </c>
      <c r="B235" s="1">
        <v>202320</v>
      </c>
      <c r="C235" s="1">
        <v>202325779</v>
      </c>
      <c r="D235" s="1" t="s">
        <v>3518</v>
      </c>
      <c r="E235" s="1" t="s">
        <v>3519</v>
      </c>
      <c r="F235" s="1" t="s">
        <v>650</v>
      </c>
      <c r="G235" s="85" t="str">
        <f>_xlfn.XLOOKUP(Tabla2[[#This Row],[Universidad]],Conversiones!$B:$B,Conversiones!$C:$C)</f>
        <v>Grenoble. École de Management</v>
      </c>
      <c r="H235" s="85" t="str">
        <f>_xlfn.XLOOKUP(Tabla2[[#This Row],[Universidad KPIs]],Conversiones!$C:$C,Conversiones!$E:$E)</f>
        <v>Específico</v>
      </c>
      <c r="I235" s="1" t="s">
        <v>57</v>
      </c>
      <c r="J235" s="1" t="s">
        <v>281</v>
      </c>
      <c r="K235" s="1" t="s">
        <v>3520</v>
      </c>
      <c r="L235" s="1" t="s">
        <v>3521</v>
      </c>
      <c r="M235" s="1" t="s">
        <v>230</v>
      </c>
      <c r="N235" s="1" t="s">
        <v>2329</v>
      </c>
      <c r="O235" s="86" t="s">
        <v>3229</v>
      </c>
      <c r="P235" s="1">
        <v>1</v>
      </c>
      <c r="Q235" s="1" t="s">
        <v>2359</v>
      </c>
      <c r="R235" s="1" t="s">
        <v>2763</v>
      </c>
      <c r="S235" s="1" t="s">
        <v>3522</v>
      </c>
      <c r="T235" s="1" t="s">
        <v>2740</v>
      </c>
      <c r="U235" s="1" t="s">
        <v>2733</v>
      </c>
      <c r="V235" s="1"/>
      <c r="W235" s="1"/>
      <c r="X235" s="1"/>
      <c r="Y235" s="1"/>
      <c r="Z235" s="1"/>
      <c r="AA235" s="1"/>
      <c r="AB235" s="1"/>
      <c r="AC235" s="88" t="s">
        <v>240</v>
      </c>
      <c r="AD235" s="88" t="s">
        <v>247</v>
      </c>
    </row>
    <row r="236" spans="1:30" hidden="1">
      <c r="A236" s="1">
        <v>2023</v>
      </c>
      <c r="B236" s="1">
        <v>202320</v>
      </c>
      <c r="C236" s="1">
        <v>202325882</v>
      </c>
      <c r="D236" s="1" t="s">
        <v>3523</v>
      </c>
      <c r="E236" s="1" t="s">
        <v>3524</v>
      </c>
      <c r="F236" s="1" t="s">
        <v>305</v>
      </c>
      <c r="G236" s="85" t="str">
        <f>_xlfn.XLOOKUP(Tabla2[[#This Row],[Universidad]],Conversiones!$B:$B,Conversiones!$C:$C)</f>
        <v>Catolica Lisbon Business &amp; Economics. Universidade Católica Portuguesa</v>
      </c>
      <c r="H236" s="85" t="str">
        <f>_xlfn.XLOOKUP(Tabla2[[#This Row],[Universidad KPIs]],Conversiones!$C:$C,Conversiones!$E:$E)</f>
        <v>Específico</v>
      </c>
      <c r="I236" s="1" t="s">
        <v>61</v>
      </c>
      <c r="J236" s="1" t="s">
        <v>281</v>
      </c>
      <c r="K236" s="1" t="s">
        <v>3525</v>
      </c>
      <c r="L236" s="1" t="s">
        <v>3526</v>
      </c>
      <c r="M236" s="1" t="s">
        <v>230</v>
      </c>
      <c r="N236" s="1" t="s">
        <v>2329</v>
      </c>
      <c r="O236" s="86" t="s">
        <v>3229</v>
      </c>
      <c r="P236" s="1">
        <v>1</v>
      </c>
      <c r="Q236" s="1" t="s">
        <v>2401</v>
      </c>
      <c r="R236" s="1" t="s">
        <v>2338</v>
      </c>
      <c r="S236" s="1" t="s">
        <v>2632</v>
      </c>
      <c r="T236" s="1" t="s">
        <v>2400</v>
      </c>
      <c r="U236" s="1" t="s">
        <v>2339</v>
      </c>
      <c r="V236" s="1" t="s">
        <v>2360</v>
      </c>
      <c r="W236" s="1"/>
      <c r="X236" s="1"/>
      <c r="Y236" s="1"/>
      <c r="Z236" s="1"/>
      <c r="AA236" s="1"/>
      <c r="AB236" s="1"/>
      <c r="AC236" s="88" t="s">
        <v>233</v>
      </c>
      <c r="AD236" s="88" t="s">
        <v>254</v>
      </c>
    </row>
    <row r="237" spans="1:30" hidden="1">
      <c r="A237" s="1">
        <v>2023</v>
      </c>
      <c r="B237" s="1">
        <v>202320</v>
      </c>
      <c r="C237" s="1">
        <v>202325841</v>
      </c>
      <c r="D237" s="1" t="s">
        <v>1104</v>
      </c>
      <c r="E237" s="1" t="s">
        <v>3527</v>
      </c>
      <c r="F237" s="1" t="s">
        <v>3055</v>
      </c>
      <c r="G237" s="85" t="str">
        <f>_xlfn.XLOOKUP(Tabla2[[#This Row],[Universidad]],Conversiones!$B:$B,Conversiones!$C:$C)</f>
        <v>JIBS Jönköping International Business School</v>
      </c>
      <c r="H237" s="85" t="str">
        <f>_xlfn.XLOOKUP(Tabla2[[#This Row],[Universidad KPIs]],Conversiones!$C:$C,Conversiones!$E:$E)</f>
        <v>Específico</v>
      </c>
      <c r="I237" s="1" t="s">
        <v>90</v>
      </c>
      <c r="J237" s="1" t="s">
        <v>281</v>
      </c>
      <c r="K237" s="1" t="s">
        <v>3528</v>
      </c>
      <c r="L237" s="1" t="s">
        <v>3529</v>
      </c>
      <c r="M237" s="1" t="s">
        <v>230</v>
      </c>
      <c r="N237" s="1" t="s">
        <v>2329</v>
      </c>
      <c r="O237" s="86" t="s">
        <v>3229</v>
      </c>
      <c r="P237" s="1">
        <v>1</v>
      </c>
      <c r="Q237" s="1" t="s">
        <v>2359</v>
      </c>
      <c r="R237" s="1" t="s">
        <v>2443</v>
      </c>
      <c r="S237" s="1" t="s">
        <v>2338</v>
      </c>
      <c r="T237" s="1" t="s">
        <v>2352</v>
      </c>
      <c r="U237" s="1" t="s">
        <v>2920</v>
      </c>
      <c r="V237" s="1" t="s">
        <v>3231</v>
      </c>
      <c r="W237" s="1"/>
      <c r="X237" s="1"/>
      <c r="Y237" s="1"/>
      <c r="Z237" s="1"/>
      <c r="AA237" s="1"/>
      <c r="AB237" s="1"/>
      <c r="AC237" s="88" t="s">
        <v>233</v>
      </c>
      <c r="AD237" s="88" t="s">
        <v>254</v>
      </c>
    </row>
    <row r="238" spans="1:30" hidden="1">
      <c r="A238" s="1">
        <v>2023</v>
      </c>
      <c r="B238" s="1">
        <v>202320</v>
      </c>
      <c r="C238" s="1">
        <v>202325807</v>
      </c>
      <c r="D238" s="1" t="s">
        <v>3530</v>
      </c>
      <c r="E238" s="1" t="s">
        <v>3531</v>
      </c>
      <c r="F238" s="1" t="s">
        <v>320</v>
      </c>
      <c r="G238" s="85" t="str">
        <f>_xlfn.XLOOKUP(Tabla2[[#This Row],[Universidad]],Conversiones!$B:$B,Conversiones!$C:$C)</f>
        <v>ESADE</v>
      </c>
      <c r="H238" s="85" t="str">
        <f>_xlfn.XLOOKUP(Tabla2[[#This Row],[Universidad KPIs]],Conversiones!$C:$C,Conversiones!$E:$E)</f>
        <v>Específico</v>
      </c>
      <c r="I238" s="1" t="s">
        <v>69</v>
      </c>
      <c r="J238" s="1" t="s">
        <v>281</v>
      </c>
      <c r="K238" s="1" t="s">
        <v>3532</v>
      </c>
      <c r="L238" s="1" t="s">
        <v>3533</v>
      </c>
      <c r="M238" s="1" t="s">
        <v>230</v>
      </c>
      <c r="N238" s="1" t="s">
        <v>2329</v>
      </c>
      <c r="O238" s="86" t="s">
        <v>3229</v>
      </c>
      <c r="P238" s="1">
        <v>1</v>
      </c>
      <c r="Q238" s="1" t="s">
        <v>2352</v>
      </c>
      <c r="R238" s="1" t="s">
        <v>3053</v>
      </c>
      <c r="S238" s="1" t="s">
        <v>2340</v>
      </c>
      <c r="T238" s="1" t="s">
        <v>3534</v>
      </c>
      <c r="U238" s="1"/>
      <c r="V238" s="1"/>
      <c r="W238" s="1"/>
      <c r="X238" s="1"/>
      <c r="Y238" s="1"/>
      <c r="Z238" s="1"/>
      <c r="AA238" s="1"/>
      <c r="AB238" s="1"/>
      <c r="AC238" s="88" t="s">
        <v>233</v>
      </c>
      <c r="AD238" s="88" t="s">
        <v>254</v>
      </c>
    </row>
    <row r="239" spans="1:30" hidden="1">
      <c r="A239" s="1">
        <v>2023</v>
      </c>
      <c r="B239" s="1">
        <v>202320</v>
      </c>
      <c r="C239" s="1">
        <v>202325845</v>
      </c>
      <c r="D239" s="1" t="s">
        <v>3535</v>
      </c>
      <c r="E239" s="1" t="s">
        <v>3536</v>
      </c>
      <c r="F239" s="1" t="s">
        <v>441</v>
      </c>
      <c r="G239" s="85" t="str">
        <f>_xlfn.XLOOKUP(Tabla2[[#This Row],[Universidad]],Conversiones!$B:$B,Conversiones!$C:$C)</f>
        <v xml:space="preserve">CBS- Copenhagen Business School  </v>
      </c>
      <c r="H239" s="85" t="str">
        <f>_xlfn.XLOOKUP(Tabla2[[#This Row],[Universidad KPIs]],Conversiones!$C:$C,Conversiones!$E:$E)</f>
        <v>Específico</v>
      </c>
      <c r="I239" s="1" t="s">
        <v>63</v>
      </c>
      <c r="J239" s="1" t="s">
        <v>281</v>
      </c>
      <c r="K239" s="1" t="s">
        <v>3537</v>
      </c>
      <c r="L239" s="1" t="s">
        <v>3538</v>
      </c>
      <c r="M239" s="1" t="s">
        <v>230</v>
      </c>
      <c r="N239" s="1" t="s">
        <v>2329</v>
      </c>
      <c r="O239" s="86" t="s">
        <v>3229</v>
      </c>
      <c r="P239" s="1">
        <v>1</v>
      </c>
      <c r="Q239" s="1" t="s">
        <v>2556</v>
      </c>
      <c r="R239" s="1" t="s">
        <v>2438</v>
      </c>
      <c r="S239" s="1" t="s">
        <v>2443</v>
      </c>
      <c r="T239" s="1" t="s">
        <v>2331</v>
      </c>
      <c r="U239" s="1" t="s">
        <v>2338</v>
      </c>
      <c r="V239" s="1" t="s">
        <v>3231</v>
      </c>
      <c r="W239" s="1"/>
      <c r="X239" s="1"/>
      <c r="Y239" s="1"/>
      <c r="Z239" s="1"/>
      <c r="AA239" s="1"/>
      <c r="AB239" s="1"/>
      <c r="AC239" s="88" t="s">
        <v>233</v>
      </c>
      <c r="AD239" s="88" t="s">
        <v>254</v>
      </c>
    </row>
    <row r="240" spans="1:30" hidden="1">
      <c r="A240" s="1">
        <v>2023</v>
      </c>
      <c r="B240" s="1">
        <v>202320</v>
      </c>
      <c r="C240" s="1">
        <v>202325877</v>
      </c>
      <c r="D240" s="1" t="s">
        <v>3539</v>
      </c>
      <c r="E240" s="1" t="s">
        <v>3540</v>
      </c>
      <c r="F240" s="1" t="s">
        <v>455</v>
      </c>
      <c r="G240" s="85" t="str">
        <f>_xlfn.XLOOKUP(Tabla2[[#This Row],[Universidad]],Conversiones!$B:$B,Conversiones!$C:$C)</f>
        <v>Nova School of Business and Economics</v>
      </c>
      <c r="H240" s="85" t="str">
        <f>_xlfn.XLOOKUP(Tabla2[[#This Row],[Universidad KPIs]],Conversiones!$C:$C,Conversiones!$E:$E)</f>
        <v>Específico</v>
      </c>
      <c r="I240" s="1" t="s">
        <v>61</v>
      </c>
      <c r="J240" s="1" t="s">
        <v>281</v>
      </c>
      <c r="K240" s="1" t="s">
        <v>3541</v>
      </c>
      <c r="L240" s="1" t="s">
        <v>3542</v>
      </c>
      <c r="M240" s="1" t="s">
        <v>230</v>
      </c>
      <c r="N240" s="1" t="s">
        <v>2329</v>
      </c>
      <c r="O240" s="86" t="s">
        <v>3229</v>
      </c>
      <c r="P240" s="1">
        <v>1</v>
      </c>
      <c r="Q240" s="1" t="s">
        <v>2419</v>
      </c>
      <c r="R240" s="1" t="s">
        <v>2438</v>
      </c>
      <c r="S240" s="1" t="s">
        <v>2401</v>
      </c>
      <c r="T240" s="1" t="s">
        <v>2712</v>
      </c>
      <c r="U240" s="1" t="s">
        <v>2338</v>
      </c>
      <c r="V240" s="1" t="s">
        <v>2339</v>
      </c>
      <c r="W240" s="1"/>
      <c r="X240" s="1"/>
      <c r="Y240" s="1"/>
      <c r="Z240" s="1"/>
      <c r="AA240" s="1"/>
      <c r="AB240" s="1"/>
      <c r="AC240" s="88" t="s">
        <v>233</v>
      </c>
      <c r="AD240" s="88" t="s">
        <v>254</v>
      </c>
    </row>
    <row r="241" spans="1:30" hidden="1">
      <c r="A241" s="1">
        <v>2023</v>
      </c>
      <c r="B241" s="1">
        <v>202310</v>
      </c>
      <c r="C241" s="1">
        <v>202316901</v>
      </c>
      <c r="D241" s="1" t="s">
        <v>3543</v>
      </c>
      <c r="E241" s="1" t="s">
        <v>3544</v>
      </c>
      <c r="F241" s="1" t="s">
        <v>94</v>
      </c>
      <c r="G241" s="85" t="str">
        <f>_xlfn.XLOOKUP(Tabla2[[#This Row],[Universidad]],Conversiones!$B:$B,Conversiones!$C:$C)</f>
        <v>Maastricht University</v>
      </c>
      <c r="H241" s="85" t="str">
        <f>_xlfn.XLOOKUP(Tabla2[[#This Row],[Universidad KPIs]],Conversiones!$C:$C,Conversiones!$E:$E)</f>
        <v>Específico</v>
      </c>
      <c r="I241" s="1" t="s">
        <v>95</v>
      </c>
      <c r="J241" s="1" t="s">
        <v>281</v>
      </c>
      <c r="K241" s="1" t="s">
        <v>3545</v>
      </c>
      <c r="L241" s="1" t="s">
        <v>3546</v>
      </c>
      <c r="M241" s="1" t="s">
        <v>230</v>
      </c>
      <c r="N241" s="1" t="s">
        <v>2329</v>
      </c>
      <c r="O241" s="86" t="s">
        <v>2330</v>
      </c>
      <c r="P241" s="1">
        <v>1</v>
      </c>
      <c r="Q241" s="1" t="s">
        <v>2352</v>
      </c>
      <c r="R241" s="1" t="s">
        <v>2663</v>
      </c>
      <c r="S241" s="1" t="s">
        <v>2353</v>
      </c>
      <c r="T241" s="1" t="s">
        <v>2472</v>
      </c>
      <c r="U241" s="1" t="s">
        <v>2413</v>
      </c>
      <c r="V241" s="1" t="s">
        <v>2331</v>
      </c>
      <c r="W241" s="1" t="s">
        <v>3453</v>
      </c>
      <c r="X241" s="1"/>
      <c r="Y241" s="1"/>
      <c r="Z241" s="1"/>
      <c r="AA241" s="1"/>
      <c r="AB241" s="1"/>
      <c r="AC241" s="88" t="s">
        <v>233</v>
      </c>
      <c r="AD241" s="88" t="s">
        <v>254</v>
      </c>
    </row>
    <row r="242" spans="1:30" hidden="1">
      <c r="A242" s="1">
        <v>2023</v>
      </c>
      <c r="B242" s="1">
        <v>202310</v>
      </c>
      <c r="C242" s="1">
        <v>202316903</v>
      </c>
      <c r="D242" s="1" t="s">
        <v>3547</v>
      </c>
      <c r="E242" s="1" t="s">
        <v>3548</v>
      </c>
      <c r="F242" s="1" t="s">
        <v>559</v>
      </c>
      <c r="G242" s="85" t="str">
        <f>_xlfn.XLOOKUP(Tabla2[[#This Row],[Universidad]],Conversiones!$B:$B,Conversiones!$C:$C)</f>
        <v>ICN Business School - Institut Commercial de Nancy</v>
      </c>
      <c r="H242" s="85" t="str">
        <f>_xlfn.XLOOKUP(Tabla2[[#This Row],[Universidad KPIs]],Conversiones!$C:$C,Conversiones!$E:$E)</f>
        <v>Específico</v>
      </c>
      <c r="I242" s="1" t="s">
        <v>57</v>
      </c>
      <c r="J242" s="1" t="s">
        <v>281</v>
      </c>
      <c r="K242" s="1" t="s">
        <v>3549</v>
      </c>
      <c r="L242" s="1" t="s">
        <v>3550</v>
      </c>
      <c r="M242" s="1" t="s">
        <v>230</v>
      </c>
      <c r="N242" s="1" t="s">
        <v>2329</v>
      </c>
      <c r="O242" s="86" t="s">
        <v>2330</v>
      </c>
      <c r="P242" s="1">
        <v>1</v>
      </c>
      <c r="Q242" s="1" t="s">
        <v>2609</v>
      </c>
      <c r="R242" s="1" t="s">
        <v>2340</v>
      </c>
      <c r="S242" s="1" t="s">
        <v>2891</v>
      </c>
      <c r="T242" s="1" t="s">
        <v>2360</v>
      </c>
      <c r="U242" s="1"/>
      <c r="V242" s="1"/>
      <c r="W242" s="1"/>
      <c r="X242" s="1"/>
      <c r="Y242" s="1"/>
      <c r="Z242" s="1"/>
      <c r="AA242" s="1"/>
      <c r="AB242" s="1"/>
      <c r="AC242" s="88" t="s">
        <v>233</v>
      </c>
      <c r="AD242" s="88" t="s">
        <v>254</v>
      </c>
    </row>
    <row r="243" spans="1:30" hidden="1">
      <c r="A243" s="1">
        <v>2023</v>
      </c>
      <c r="B243" s="1">
        <v>202320</v>
      </c>
      <c r="C243" s="1">
        <v>202214275</v>
      </c>
      <c r="D243" s="1" t="s">
        <v>3551</v>
      </c>
      <c r="E243" s="1" t="s">
        <v>3552</v>
      </c>
      <c r="F243" s="1" t="s">
        <v>116</v>
      </c>
      <c r="G243" s="85" t="str">
        <f>_xlfn.XLOOKUP(Tabla2[[#This Row],[Universidad]],Conversiones!$B:$B,Conversiones!$C:$C)</f>
        <v>University of Glasgow</v>
      </c>
      <c r="H243" s="85" t="str">
        <f>_xlfn.XLOOKUP(Tabla2[[#This Row],[Universidad KPIs]],Conversiones!$C:$C,Conversiones!$E:$E)</f>
        <v>Específico</v>
      </c>
      <c r="I243" s="1" t="s">
        <v>55</v>
      </c>
      <c r="J243" s="1" t="s">
        <v>281</v>
      </c>
      <c r="K243" s="1" t="s">
        <v>3553</v>
      </c>
      <c r="L243" s="1" t="s">
        <v>3554</v>
      </c>
      <c r="M243" s="1" t="s">
        <v>230</v>
      </c>
      <c r="N243" s="1" t="s">
        <v>2365</v>
      </c>
      <c r="O243" s="86" t="s">
        <v>3354</v>
      </c>
      <c r="P243" s="1">
        <v>1</v>
      </c>
      <c r="Q243" s="1" t="s">
        <v>2739</v>
      </c>
      <c r="R243" s="1" t="s">
        <v>2799</v>
      </c>
      <c r="S243" s="1" t="s">
        <v>2800</v>
      </c>
      <c r="T243" s="1" t="s">
        <v>2764</v>
      </c>
      <c r="U243" s="1"/>
      <c r="V243" s="1"/>
      <c r="W243" s="1"/>
      <c r="X243" s="1"/>
      <c r="Y243" s="1"/>
      <c r="Z243" s="1"/>
      <c r="AA243" s="1"/>
      <c r="AB243" s="1"/>
      <c r="AC243" s="88" t="s">
        <v>237</v>
      </c>
      <c r="AD243" s="88" t="s">
        <v>247</v>
      </c>
    </row>
    <row r="244" spans="1:30" hidden="1">
      <c r="A244" s="1">
        <v>2023</v>
      </c>
      <c r="B244" s="1">
        <v>202320</v>
      </c>
      <c r="C244" s="1">
        <v>202325727</v>
      </c>
      <c r="D244" s="1" t="s">
        <v>3555</v>
      </c>
      <c r="E244" s="1" t="s">
        <v>3556</v>
      </c>
      <c r="F244" s="1" t="s">
        <v>183</v>
      </c>
      <c r="G244" s="85" t="str">
        <f>_xlfn.XLOOKUP(Tabla2[[#This Row],[Universidad]],Conversiones!$B:$B,Conversiones!$C:$C)</f>
        <v>University of Sussex</v>
      </c>
      <c r="H244" s="85" t="str">
        <f>_xlfn.XLOOKUP(Tabla2[[#This Row],[Universidad KPIs]],Conversiones!$C:$C,Conversiones!$E:$E)</f>
        <v>General</v>
      </c>
      <c r="I244" s="1" t="s">
        <v>55</v>
      </c>
      <c r="J244" s="1" t="s">
        <v>281</v>
      </c>
      <c r="K244" s="1" t="s">
        <v>3557</v>
      </c>
      <c r="L244" s="1" t="s">
        <v>3558</v>
      </c>
      <c r="M244" s="1" t="s">
        <v>230</v>
      </c>
      <c r="N244" s="1" t="s">
        <v>2329</v>
      </c>
      <c r="O244" s="86" t="s">
        <v>3229</v>
      </c>
      <c r="P244" s="1">
        <v>1</v>
      </c>
      <c r="Q244" s="1" t="s">
        <v>2331</v>
      </c>
      <c r="R244" s="1" t="s">
        <v>2394</v>
      </c>
      <c r="S244" s="1" t="s">
        <v>3379</v>
      </c>
      <c r="T244" s="1" t="s">
        <v>2388</v>
      </c>
      <c r="U244" s="1"/>
      <c r="V244" s="1"/>
      <c r="W244" s="1"/>
      <c r="X244" s="1"/>
      <c r="Y244" s="1"/>
      <c r="Z244" s="1"/>
      <c r="AA244" s="1"/>
      <c r="AB244" s="1"/>
      <c r="AC244" s="88" t="s">
        <v>233</v>
      </c>
      <c r="AD244" s="88" t="s">
        <v>254</v>
      </c>
    </row>
    <row r="245" spans="1:30" hidden="1">
      <c r="A245" s="1">
        <v>2023</v>
      </c>
      <c r="B245" s="1">
        <v>202310</v>
      </c>
      <c r="C245" s="1">
        <v>202316837</v>
      </c>
      <c r="D245" s="1" t="s">
        <v>3559</v>
      </c>
      <c r="E245" s="1" t="s">
        <v>3560</v>
      </c>
      <c r="F245" s="1" t="s">
        <v>419</v>
      </c>
      <c r="G245" s="85" t="str">
        <f>_xlfn.XLOOKUP(Tabla2[[#This Row],[Universidad]],Conversiones!$B:$B,Conversiones!$C:$C)</f>
        <v>ESCP</v>
      </c>
      <c r="H245" s="85" t="str">
        <f>_xlfn.XLOOKUP(Tabla2[[#This Row],[Universidad KPIs]],Conversiones!$C:$C,Conversiones!$E:$E)</f>
        <v>Específico</v>
      </c>
      <c r="I245" s="1" t="s">
        <v>57</v>
      </c>
      <c r="J245" s="1" t="s">
        <v>281</v>
      </c>
      <c r="K245" s="1" t="s">
        <v>3561</v>
      </c>
      <c r="L245" s="1" t="s">
        <v>3562</v>
      </c>
      <c r="M245" s="1" t="s">
        <v>230</v>
      </c>
      <c r="N245" s="1" t="s">
        <v>2365</v>
      </c>
      <c r="O245" s="86" t="s">
        <v>2366</v>
      </c>
      <c r="P245" s="1">
        <v>1</v>
      </c>
      <c r="Q245" s="1" t="s">
        <v>2370</v>
      </c>
      <c r="R245" s="1" t="s">
        <v>3289</v>
      </c>
      <c r="S245" s="1" t="s">
        <v>2407</v>
      </c>
      <c r="T245" s="1"/>
      <c r="U245" s="1"/>
      <c r="V245" s="1"/>
      <c r="W245" s="1"/>
      <c r="X245" s="1"/>
      <c r="Y245" s="1"/>
      <c r="Z245" s="1"/>
      <c r="AA245" s="1"/>
      <c r="AB245" s="1"/>
      <c r="AC245" s="88" t="s">
        <v>237</v>
      </c>
      <c r="AD245" s="88" t="s">
        <v>247</v>
      </c>
    </row>
    <row r="246" spans="1:30" hidden="1">
      <c r="A246" s="1">
        <v>2023</v>
      </c>
      <c r="B246" s="1">
        <v>202310</v>
      </c>
      <c r="C246" s="1">
        <v>202314873</v>
      </c>
      <c r="D246" s="1" t="s">
        <v>3563</v>
      </c>
      <c r="E246" s="1" t="s">
        <v>3564</v>
      </c>
      <c r="F246" s="1" t="s">
        <v>524</v>
      </c>
      <c r="G246" s="85" t="str">
        <f>_xlfn.XLOOKUP(Tabla2[[#This Row],[Universidad]],Conversiones!$B:$B,Conversiones!$C:$C)</f>
        <v>University of Saint Gallen</v>
      </c>
      <c r="H246" s="85" t="str">
        <f>_xlfn.XLOOKUP(Tabla2[[#This Row],[Universidad KPIs]],Conversiones!$C:$C,Conversiones!$E:$E)</f>
        <v>Específico</v>
      </c>
      <c r="I246" s="1" t="s">
        <v>81</v>
      </c>
      <c r="J246" s="1" t="s">
        <v>281</v>
      </c>
      <c r="K246" s="1" t="s">
        <v>3565</v>
      </c>
      <c r="L246" s="1" t="s">
        <v>3566</v>
      </c>
      <c r="M246" s="1" t="s">
        <v>230</v>
      </c>
      <c r="N246" s="1" t="s">
        <v>2365</v>
      </c>
      <c r="O246" s="86" t="s">
        <v>2366</v>
      </c>
      <c r="P246" s="1">
        <v>1</v>
      </c>
      <c r="Q246" s="1" t="s">
        <v>3286</v>
      </c>
      <c r="R246" s="1" t="s">
        <v>3287</v>
      </c>
      <c r="S246" s="1" t="s">
        <v>3517</v>
      </c>
      <c r="T246" s="1" t="s">
        <v>3288</v>
      </c>
      <c r="U246" s="1" t="s">
        <v>3289</v>
      </c>
      <c r="V246" s="1" t="s">
        <v>3290</v>
      </c>
      <c r="W246" s="1" t="s">
        <v>2387</v>
      </c>
      <c r="X246" s="1"/>
      <c r="Y246" s="1"/>
      <c r="Z246" s="1"/>
      <c r="AA246" s="1"/>
      <c r="AB246" s="1"/>
      <c r="AC246" s="88" t="s">
        <v>251</v>
      </c>
      <c r="AD246" s="88" t="s">
        <v>247</v>
      </c>
    </row>
    <row r="247" spans="1:30" hidden="1">
      <c r="A247" s="1">
        <v>2023</v>
      </c>
      <c r="B247" s="1">
        <v>202320</v>
      </c>
      <c r="C247" s="1">
        <v>202325881</v>
      </c>
      <c r="D247" s="1" t="s">
        <v>3567</v>
      </c>
      <c r="E247" s="1" t="s">
        <v>3568</v>
      </c>
      <c r="F247" s="1" t="s">
        <v>305</v>
      </c>
      <c r="G247" s="85" t="str">
        <f>_xlfn.XLOOKUP(Tabla2[[#This Row],[Universidad]],Conversiones!$B:$B,Conversiones!$C:$C)</f>
        <v>Catolica Lisbon Business &amp; Economics. Universidade Católica Portuguesa</v>
      </c>
      <c r="H247" s="85" t="str">
        <f>_xlfn.XLOOKUP(Tabla2[[#This Row],[Universidad KPIs]],Conversiones!$C:$C,Conversiones!$E:$E)</f>
        <v>Específico</v>
      </c>
      <c r="I247" s="1" t="s">
        <v>61</v>
      </c>
      <c r="J247" s="1" t="s">
        <v>281</v>
      </c>
      <c r="K247" s="1" t="s">
        <v>3569</v>
      </c>
      <c r="L247" s="1" t="s">
        <v>3570</v>
      </c>
      <c r="M247" s="1" t="s">
        <v>230</v>
      </c>
      <c r="N247" s="1" t="s">
        <v>2329</v>
      </c>
      <c r="O247" s="86" t="s">
        <v>3229</v>
      </c>
      <c r="P247" s="1">
        <v>1</v>
      </c>
      <c r="Q247" s="1" t="s">
        <v>2401</v>
      </c>
      <c r="R247" s="1" t="s">
        <v>2338</v>
      </c>
      <c r="S247" s="1" t="s">
        <v>2632</v>
      </c>
      <c r="T247" s="1" t="s">
        <v>2400</v>
      </c>
      <c r="U247" s="1" t="s">
        <v>2340</v>
      </c>
      <c r="V247" s="1" t="s">
        <v>2360</v>
      </c>
      <c r="W247" s="1"/>
      <c r="X247" s="1"/>
      <c r="Y247" s="1"/>
      <c r="Z247" s="1"/>
      <c r="AA247" s="1"/>
      <c r="AB247" s="1"/>
      <c r="AC247" s="88" t="s">
        <v>233</v>
      </c>
      <c r="AD247" s="88" t="s">
        <v>254</v>
      </c>
    </row>
    <row r="248" spans="1:30" hidden="1">
      <c r="A248" s="1">
        <v>2023</v>
      </c>
      <c r="B248" s="1">
        <v>202320</v>
      </c>
      <c r="C248" s="1">
        <v>202324247</v>
      </c>
      <c r="D248" s="1" t="s">
        <v>3571</v>
      </c>
      <c r="E248" s="1" t="s">
        <v>3572</v>
      </c>
      <c r="F248" s="1" t="s">
        <v>116</v>
      </c>
      <c r="G248" s="85" t="str">
        <f>_xlfn.XLOOKUP(Tabla2[[#This Row],[Universidad]],Conversiones!$B:$B,Conversiones!$C:$C)</f>
        <v>University of Glasgow</v>
      </c>
      <c r="H248" s="85" t="str">
        <f>_xlfn.XLOOKUP(Tabla2[[#This Row],[Universidad KPIs]],Conversiones!$C:$C,Conversiones!$E:$E)</f>
        <v>Específico</v>
      </c>
      <c r="I248" s="1" t="s">
        <v>55</v>
      </c>
      <c r="J248" s="1" t="s">
        <v>281</v>
      </c>
      <c r="K248" s="1" t="s">
        <v>3573</v>
      </c>
      <c r="L248" s="1" t="s">
        <v>3574</v>
      </c>
      <c r="M248" s="1" t="s">
        <v>230</v>
      </c>
      <c r="N248" s="1" t="s">
        <v>2365</v>
      </c>
      <c r="O248" s="86" t="s">
        <v>3354</v>
      </c>
      <c r="P248" s="1">
        <v>1</v>
      </c>
      <c r="Q248" s="1" t="s">
        <v>2739</v>
      </c>
      <c r="R248" s="1" t="s">
        <v>2799</v>
      </c>
      <c r="S248" s="1" t="s">
        <v>2800</v>
      </c>
      <c r="T248" s="1" t="s">
        <v>2764</v>
      </c>
      <c r="U248" s="1"/>
      <c r="V248" s="1"/>
      <c r="W248" s="1"/>
      <c r="X248" s="1"/>
      <c r="Y248" s="1"/>
      <c r="Z248" s="1"/>
      <c r="AA248" s="1"/>
      <c r="AB248" s="1"/>
      <c r="AC248" s="88" t="s">
        <v>237</v>
      </c>
      <c r="AD248" s="88" t="s">
        <v>247</v>
      </c>
    </row>
    <row r="249" spans="1:30" hidden="1">
      <c r="A249" s="1">
        <v>2023</v>
      </c>
      <c r="B249" s="1">
        <v>202310</v>
      </c>
      <c r="C249" s="1">
        <v>202316908</v>
      </c>
      <c r="D249" s="1" t="s">
        <v>3575</v>
      </c>
      <c r="E249" s="1" t="s">
        <v>3576</v>
      </c>
      <c r="F249" s="1" t="s">
        <v>94</v>
      </c>
      <c r="G249" s="85" t="str">
        <f>_xlfn.XLOOKUP(Tabla2[[#This Row],[Universidad]],Conversiones!$B:$B,Conversiones!$C:$C)</f>
        <v>Maastricht University</v>
      </c>
      <c r="H249" s="85" t="str">
        <f>_xlfn.XLOOKUP(Tabla2[[#This Row],[Universidad KPIs]],Conversiones!$C:$C,Conversiones!$E:$E)</f>
        <v>Específico</v>
      </c>
      <c r="I249" s="1" t="s">
        <v>95</v>
      </c>
      <c r="J249" s="1" t="s">
        <v>281</v>
      </c>
      <c r="K249" s="1" t="s">
        <v>3577</v>
      </c>
      <c r="L249" s="1" t="s">
        <v>3578</v>
      </c>
      <c r="M249" s="1" t="s">
        <v>230</v>
      </c>
      <c r="N249" s="1" t="s">
        <v>2329</v>
      </c>
      <c r="O249" s="86" t="s">
        <v>2330</v>
      </c>
      <c r="P249" s="1">
        <v>1</v>
      </c>
      <c r="Q249" s="1" t="s">
        <v>2359</v>
      </c>
      <c r="R249" s="1" t="s">
        <v>3114</v>
      </c>
      <c r="S249" s="1" t="s">
        <v>3340</v>
      </c>
      <c r="T249" s="1" t="s">
        <v>2352</v>
      </c>
      <c r="U249" s="1" t="s">
        <v>2353</v>
      </c>
      <c r="V249" s="1" t="s">
        <v>2413</v>
      </c>
      <c r="W249" s="1" t="s">
        <v>2401</v>
      </c>
      <c r="X249" s="1"/>
      <c r="Y249" s="1"/>
      <c r="Z249" s="1"/>
      <c r="AA249" s="1"/>
      <c r="AB249" s="1"/>
      <c r="AC249" s="88" t="s">
        <v>233</v>
      </c>
      <c r="AD249" s="88" t="s">
        <v>254</v>
      </c>
    </row>
    <row r="250" spans="1:30" hidden="1">
      <c r="A250" s="1">
        <v>2023</v>
      </c>
      <c r="B250" s="1">
        <v>202310</v>
      </c>
      <c r="C250" s="1">
        <v>202316909</v>
      </c>
      <c r="D250" s="1" t="s">
        <v>3579</v>
      </c>
      <c r="E250" s="1" t="s">
        <v>3580</v>
      </c>
      <c r="F250" s="1" t="s">
        <v>1485</v>
      </c>
      <c r="G250" s="85" t="str">
        <f>_xlfn.XLOOKUP(Tabla2[[#This Row],[Universidad]],Conversiones!$B:$B,Conversiones!$C:$C)</f>
        <v>HEC Paris</v>
      </c>
      <c r="H250" s="85" t="str">
        <f>_xlfn.XLOOKUP(Tabla2[[#This Row],[Universidad KPIs]],Conversiones!$C:$C,Conversiones!$E:$E)</f>
        <v>Específico</v>
      </c>
      <c r="I250" s="1" t="s">
        <v>57</v>
      </c>
      <c r="J250" s="1" t="s">
        <v>281</v>
      </c>
      <c r="K250" s="1" t="s">
        <v>3581</v>
      </c>
      <c r="L250" s="1" t="s">
        <v>3582</v>
      </c>
      <c r="M250" s="1" t="s">
        <v>230</v>
      </c>
      <c r="N250" s="1" t="s">
        <v>2329</v>
      </c>
      <c r="O250" s="86" t="s">
        <v>2330</v>
      </c>
      <c r="P250" s="1">
        <v>1</v>
      </c>
      <c r="Q250" s="1" t="s">
        <v>2631</v>
      </c>
      <c r="R250" s="1" t="s">
        <v>2340</v>
      </c>
      <c r="S250" s="1" t="s">
        <v>2338</v>
      </c>
      <c r="T250" s="1" t="s">
        <v>3453</v>
      </c>
      <c r="U250" s="1"/>
      <c r="V250" s="1"/>
      <c r="W250" s="1"/>
      <c r="X250" s="1"/>
      <c r="Y250" s="1"/>
      <c r="Z250" s="1"/>
      <c r="AA250" s="1"/>
      <c r="AB250" s="1"/>
      <c r="AC250" s="88" t="s">
        <v>233</v>
      </c>
      <c r="AD250" s="88" t="s">
        <v>254</v>
      </c>
    </row>
    <row r="251" spans="1:30" hidden="1">
      <c r="A251" s="1">
        <v>2023</v>
      </c>
      <c r="B251" s="1">
        <v>202320</v>
      </c>
      <c r="C251" s="1">
        <v>202325776</v>
      </c>
      <c r="D251" s="1" t="s">
        <v>3583</v>
      </c>
      <c r="E251" s="1" t="s">
        <v>1104</v>
      </c>
      <c r="F251" s="1" t="s">
        <v>286</v>
      </c>
      <c r="G251" s="85" t="str">
        <f>_xlfn.XLOOKUP(Tabla2[[#This Row],[Universidad]],Conversiones!$B:$B,Conversiones!$C:$C)</f>
        <v>ESC Rouen (NEOMA)</v>
      </c>
      <c r="H251" s="85" t="str">
        <f>_xlfn.XLOOKUP(Tabla2[[#This Row],[Universidad KPIs]],Conversiones!$C:$C,Conversiones!$E:$E)</f>
        <v>Específico</v>
      </c>
      <c r="I251" s="1" t="s">
        <v>57</v>
      </c>
      <c r="J251" s="1" t="s">
        <v>281</v>
      </c>
      <c r="K251" s="1" t="s">
        <v>3584</v>
      </c>
      <c r="L251" s="1" t="s">
        <v>3585</v>
      </c>
      <c r="M251" s="1" t="s">
        <v>230</v>
      </c>
      <c r="N251" s="1" t="s">
        <v>2329</v>
      </c>
      <c r="O251" s="86" t="s">
        <v>3229</v>
      </c>
      <c r="P251" s="1">
        <v>1</v>
      </c>
      <c r="Q251" s="1" t="s">
        <v>2556</v>
      </c>
      <c r="R251" s="1" t="s">
        <v>2438</v>
      </c>
      <c r="S251" s="1" t="s">
        <v>2443</v>
      </c>
      <c r="T251" s="1" t="s">
        <v>2331</v>
      </c>
      <c r="U251" s="1"/>
      <c r="V251" s="1"/>
      <c r="W251" s="1"/>
      <c r="X251" s="1"/>
      <c r="Y251" s="1"/>
      <c r="Z251" s="1"/>
      <c r="AA251" s="1"/>
      <c r="AB251" s="1"/>
      <c r="AC251" s="88" t="s">
        <v>253</v>
      </c>
      <c r="AD251" s="88" t="s">
        <v>247</v>
      </c>
    </row>
    <row r="252" spans="1:30" hidden="1">
      <c r="A252" s="1">
        <v>2023</v>
      </c>
      <c r="B252" s="1">
        <v>202310</v>
      </c>
      <c r="C252" s="1">
        <v>202316910</v>
      </c>
      <c r="D252" s="1" t="s">
        <v>3586</v>
      </c>
      <c r="E252" s="1" t="s">
        <v>3587</v>
      </c>
      <c r="F252" s="1" t="s">
        <v>94</v>
      </c>
      <c r="G252" s="85" t="str">
        <f>_xlfn.XLOOKUP(Tabla2[[#This Row],[Universidad]],Conversiones!$B:$B,Conversiones!$C:$C)</f>
        <v>Maastricht University</v>
      </c>
      <c r="H252" s="85" t="str">
        <f>_xlfn.XLOOKUP(Tabla2[[#This Row],[Universidad KPIs]],Conversiones!$C:$C,Conversiones!$E:$E)</f>
        <v>Específico</v>
      </c>
      <c r="I252" s="1" t="s">
        <v>95</v>
      </c>
      <c r="J252" s="1" t="s">
        <v>281</v>
      </c>
      <c r="K252" s="1" t="s">
        <v>3588</v>
      </c>
      <c r="L252" s="1" t="s">
        <v>3589</v>
      </c>
      <c r="M252" s="1" t="s">
        <v>230</v>
      </c>
      <c r="N252" s="1" t="s">
        <v>2329</v>
      </c>
      <c r="O252" s="86" t="s">
        <v>2330</v>
      </c>
      <c r="P252" s="1">
        <v>1</v>
      </c>
      <c r="Q252" s="1" t="s">
        <v>2359</v>
      </c>
      <c r="R252" s="1" t="s">
        <v>3340</v>
      </c>
      <c r="S252" s="1" t="s">
        <v>2352</v>
      </c>
      <c r="T252" s="1" t="s">
        <v>2663</v>
      </c>
      <c r="U252" s="1" t="s">
        <v>2353</v>
      </c>
      <c r="V252" s="1" t="s">
        <v>2413</v>
      </c>
      <c r="W252" s="1" t="s">
        <v>2401</v>
      </c>
      <c r="X252" s="1"/>
      <c r="Y252" s="1"/>
      <c r="Z252" s="1"/>
      <c r="AA252" s="1"/>
      <c r="AB252" s="1"/>
      <c r="AC252" s="88" t="s">
        <v>233</v>
      </c>
      <c r="AD252" s="88" t="s">
        <v>254</v>
      </c>
    </row>
    <row r="253" spans="1:30" hidden="1">
      <c r="A253" s="1">
        <v>2023</v>
      </c>
      <c r="B253" s="1">
        <v>202310</v>
      </c>
      <c r="C253" s="1">
        <v>202316839</v>
      </c>
      <c r="D253" s="1" t="s">
        <v>3590</v>
      </c>
      <c r="E253" s="1" t="s">
        <v>3591</v>
      </c>
      <c r="F253" s="1" t="s">
        <v>102</v>
      </c>
      <c r="G253" s="85" t="str">
        <f>_xlfn.XLOOKUP(Tabla2[[#This Row],[Universidad]],Conversiones!$B:$B,Conversiones!$C:$C)</f>
        <v>Politecnico di Milano</v>
      </c>
      <c r="H253" s="85" t="str">
        <f>_xlfn.XLOOKUP(Tabla2[[#This Row],[Universidad KPIs]],Conversiones!$C:$C,Conversiones!$E:$E)</f>
        <v>Específico</v>
      </c>
      <c r="I253" s="1" t="s">
        <v>103</v>
      </c>
      <c r="J253" s="1" t="s">
        <v>281</v>
      </c>
      <c r="K253" s="1" t="s">
        <v>3592</v>
      </c>
      <c r="L253" s="1" t="s">
        <v>3593</v>
      </c>
      <c r="M253" s="1" t="s">
        <v>230</v>
      </c>
      <c r="N253" s="1" t="s">
        <v>2365</v>
      </c>
      <c r="O253" s="86" t="s">
        <v>2366</v>
      </c>
      <c r="P253" s="1">
        <v>1</v>
      </c>
      <c r="Q253" s="1" t="s">
        <v>2376</v>
      </c>
      <c r="R253" s="1" t="s">
        <v>3594</v>
      </c>
      <c r="S253" s="1" t="s">
        <v>3320</v>
      </c>
      <c r="T253" s="1"/>
      <c r="U253" s="1"/>
      <c r="V253" s="1"/>
      <c r="W253" s="1"/>
      <c r="X253" s="1"/>
      <c r="Y253" s="1"/>
      <c r="Z253" s="1"/>
      <c r="AA253" s="1"/>
      <c r="AB253" s="1"/>
      <c r="AC253" s="88" t="s">
        <v>237</v>
      </c>
      <c r="AD253" s="88" t="s">
        <v>247</v>
      </c>
    </row>
    <row r="254" spans="1:30" hidden="1">
      <c r="A254" s="1">
        <v>2023</v>
      </c>
      <c r="B254" s="1">
        <v>202320</v>
      </c>
      <c r="C254" s="1">
        <v>202325822</v>
      </c>
      <c r="D254" s="1" t="s">
        <v>2850</v>
      </c>
      <c r="E254" s="1" t="s">
        <v>3595</v>
      </c>
      <c r="F254" s="1" t="s">
        <v>320</v>
      </c>
      <c r="G254" s="85" t="str">
        <f>_xlfn.XLOOKUP(Tabla2[[#This Row],[Universidad]],Conversiones!$B:$B,Conversiones!$C:$C)</f>
        <v>ESADE</v>
      </c>
      <c r="H254" s="85" t="str">
        <f>_xlfn.XLOOKUP(Tabla2[[#This Row],[Universidad KPIs]],Conversiones!$C:$C,Conversiones!$E:$E)</f>
        <v>Específico</v>
      </c>
      <c r="I254" s="1" t="s">
        <v>69</v>
      </c>
      <c r="J254" s="1" t="s">
        <v>281</v>
      </c>
      <c r="K254" s="1" t="s">
        <v>3596</v>
      </c>
      <c r="L254" s="1" t="s">
        <v>3597</v>
      </c>
      <c r="M254" s="1" t="s">
        <v>230</v>
      </c>
      <c r="N254" s="1" t="s">
        <v>2329</v>
      </c>
      <c r="O254" s="86" t="s">
        <v>3229</v>
      </c>
      <c r="P254" s="1">
        <v>1</v>
      </c>
      <c r="Q254" s="1" t="s">
        <v>2359</v>
      </c>
      <c r="R254" s="1" t="s">
        <v>2443</v>
      </c>
      <c r="S254" s="1" t="s">
        <v>2338</v>
      </c>
      <c r="T254" s="1" t="s">
        <v>2340</v>
      </c>
      <c r="U254" s="1" t="s">
        <v>2360</v>
      </c>
      <c r="V254" s="1"/>
      <c r="W254" s="1"/>
      <c r="X254" s="1"/>
      <c r="Y254" s="1"/>
      <c r="Z254" s="1"/>
      <c r="AA254" s="1"/>
      <c r="AB254" s="1"/>
      <c r="AC254" s="88" t="s">
        <v>233</v>
      </c>
      <c r="AD254" s="88" t="s">
        <v>254</v>
      </c>
    </row>
    <row r="255" spans="1:30" hidden="1">
      <c r="A255" s="1">
        <v>2023</v>
      </c>
      <c r="B255" s="1">
        <v>202320</v>
      </c>
      <c r="C255" s="1">
        <v>202325805</v>
      </c>
      <c r="D255" s="1" t="s">
        <v>3598</v>
      </c>
      <c r="E255" s="1" t="s">
        <v>3599</v>
      </c>
      <c r="F255" s="1" t="s">
        <v>441</v>
      </c>
      <c r="G255" s="85" t="str">
        <f>_xlfn.XLOOKUP(Tabla2[[#This Row],[Universidad]],Conversiones!$B:$B,Conversiones!$C:$C)</f>
        <v xml:space="preserve">CBS- Copenhagen Business School  </v>
      </c>
      <c r="H255" s="85" t="str">
        <f>_xlfn.XLOOKUP(Tabla2[[#This Row],[Universidad KPIs]],Conversiones!$C:$C,Conversiones!$E:$E)</f>
        <v>Específico</v>
      </c>
      <c r="I255" s="1" t="s">
        <v>63</v>
      </c>
      <c r="J255" s="1" t="s">
        <v>281</v>
      </c>
      <c r="K255" s="1" t="s">
        <v>3600</v>
      </c>
      <c r="L255" s="1" t="s">
        <v>3601</v>
      </c>
      <c r="M255" s="1" t="s">
        <v>230</v>
      </c>
      <c r="N255" s="1" t="s">
        <v>2329</v>
      </c>
      <c r="O255" s="86" t="s">
        <v>3229</v>
      </c>
      <c r="P255" s="1">
        <v>1</v>
      </c>
      <c r="Q255" s="1" t="s">
        <v>2443</v>
      </c>
      <c r="R255" s="1" t="s">
        <v>2331</v>
      </c>
      <c r="S255" s="1" t="s">
        <v>2401</v>
      </c>
      <c r="T255" s="1" t="s">
        <v>2338</v>
      </c>
      <c r="U255" s="1" t="s">
        <v>3230</v>
      </c>
      <c r="V255" s="1"/>
      <c r="W255" s="1"/>
      <c r="X255" s="1"/>
      <c r="Y255" s="1"/>
      <c r="Z255" s="1"/>
      <c r="AA255" s="1"/>
      <c r="AB255" s="1"/>
      <c r="AC255" s="88" t="s">
        <v>233</v>
      </c>
      <c r="AD255" s="88" t="s">
        <v>254</v>
      </c>
    </row>
    <row r="256" spans="1:30" hidden="1">
      <c r="A256" s="1">
        <v>2023</v>
      </c>
      <c r="B256" s="1">
        <v>202320</v>
      </c>
      <c r="C256" s="1">
        <v>202325823</v>
      </c>
      <c r="D256" s="1" t="s">
        <v>2850</v>
      </c>
      <c r="E256" s="1" t="s">
        <v>3602</v>
      </c>
      <c r="F256" s="1" t="s">
        <v>320</v>
      </c>
      <c r="G256" s="85" t="str">
        <f>_xlfn.XLOOKUP(Tabla2[[#This Row],[Universidad]],Conversiones!$B:$B,Conversiones!$C:$C)</f>
        <v>ESADE</v>
      </c>
      <c r="H256" s="85" t="str">
        <f>_xlfn.XLOOKUP(Tabla2[[#This Row],[Universidad KPIs]],Conversiones!$C:$C,Conversiones!$E:$E)</f>
        <v>Específico</v>
      </c>
      <c r="I256" s="1" t="s">
        <v>69</v>
      </c>
      <c r="J256" s="1" t="s">
        <v>281</v>
      </c>
      <c r="K256" s="1" t="s">
        <v>3603</v>
      </c>
      <c r="L256" s="1" t="s">
        <v>3604</v>
      </c>
      <c r="M256" s="1" t="s">
        <v>230</v>
      </c>
      <c r="N256" s="1" t="s">
        <v>2329</v>
      </c>
      <c r="O256" s="86" t="s">
        <v>3229</v>
      </c>
      <c r="P256" s="1">
        <v>1</v>
      </c>
      <c r="Q256" s="1" t="s">
        <v>2556</v>
      </c>
      <c r="R256" s="1" t="s">
        <v>2359</v>
      </c>
      <c r="S256" s="1" t="s">
        <v>2443</v>
      </c>
      <c r="T256" s="1" t="s">
        <v>2338</v>
      </c>
      <c r="U256" s="1" t="s">
        <v>3230</v>
      </c>
      <c r="V256" s="1"/>
      <c r="W256" s="1"/>
      <c r="X256" s="1"/>
      <c r="Y256" s="1"/>
      <c r="Z256" s="1"/>
      <c r="AA256" s="1"/>
      <c r="AB256" s="1"/>
      <c r="AC256" s="88" t="s">
        <v>233</v>
      </c>
      <c r="AD256" s="88" t="s">
        <v>254</v>
      </c>
    </row>
    <row r="257" spans="1:30" hidden="1">
      <c r="A257" s="1">
        <v>2023</v>
      </c>
      <c r="B257" s="1">
        <v>202320</v>
      </c>
      <c r="C257" s="1">
        <v>202325878</v>
      </c>
      <c r="D257" s="1" t="s">
        <v>3605</v>
      </c>
      <c r="E257" s="1" t="s">
        <v>3606</v>
      </c>
      <c r="F257" s="1" t="s">
        <v>455</v>
      </c>
      <c r="G257" s="85" t="str">
        <f>_xlfn.XLOOKUP(Tabla2[[#This Row],[Universidad]],Conversiones!$B:$B,Conversiones!$C:$C)</f>
        <v>Nova School of Business and Economics</v>
      </c>
      <c r="H257" s="85" t="str">
        <f>_xlfn.XLOOKUP(Tabla2[[#This Row],[Universidad KPIs]],Conversiones!$C:$C,Conversiones!$E:$E)</f>
        <v>Específico</v>
      </c>
      <c r="I257" s="1" t="s">
        <v>61</v>
      </c>
      <c r="J257" s="1" t="s">
        <v>281</v>
      </c>
      <c r="K257" s="1" t="s">
        <v>3607</v>
      </c>
      <c r="L257" s="1" t="s">
        <v>3608</v>
      </c>
      <c r="M257" s="1" t="s">
        <v>230</v>
      </c>
      <c r="N257" s="1" t="s">
        <v>2329</v>
      </c>
      <c r="O257" s="86" t="s">
        <v>3229</v>
      </c>
      <c r="P257" s="1">
        <v>1</v>
      </c>
      <c r="Q257" s="1" t="s">
        <v>2438</v>
      </c>
      <c r="R257" s="1" t="s">
        <v>2401</v>
      </c>
      <c r="S257" s="1" t="s">
        <v>2338</v>
      </c>
      <c r="T257" s="1" t="s">
        <v>2632</v>
      </c>
      <c r="U257" s="1" t="s">
        <v>2400</v>
      </c>
      <c r="V257" s="1" t="s">
        <v>2339</v>
      </c>
      <c r="W257" s="1"/>
      <c r="X257" s="1"/>
      <c r="Y257" s="1"/>
      <c r="Z257" s="1"/>
      <c r="AA257" s="1"/>
      <c r="AB257" s="1"/>
      <c r="AC257" s="88" t="s">
        <v>233</v>
      </c>
      <c r="AD257" s="88" t="s">
        <v>254</v>
      </c>
    </row>
    <row r="258" spans="1:30" hidden="1">
      <c r="A258" s="1">
        <v>2023</v>
      </c>
      <c r="B258" s="1">
        <v>202310</v>
      </c>
      <c r="C258" s="1">
        <v>202314874</v>
      </c>
      <c r="D258" s="1" t="s">
        <v>3609</v>
      </c>
      <c r="E258" s="1" t="s">
        <v>3610</v>
      </c>
      <c r="F258" s="1" t="s">
        <v>202</v>
      </c>
      <c r="G258" s="85" t="str">
        <f>_xlfn.XLOOKUP(Tabla2[[#This Row],[Universidad]],Conversiones!$B:$B,Conversiones!$C:$C)</f>
        <v>Norges Handelshøyskole</v>
      </c>
      <c r="H258" s="85" t="str">
        <f>_xlfn.XLOOKUP(Tabla2[[#This Row],[Universidad KPIs]],Conversiones!$C:$C,Conversiones!$E:$E)</f>
        <v>General</v>
      </c>
      <c r="I258" s="1" t="s">
        <v>59</v>
      </c>
      <c r="J258" s="1" t="s">
        <v>281</v>
      </c>
      <c r="K258" s="1" t="s">
        <v>3611</v>
      </c>
      <c r="L258" s="1" t="s">
        <v>3612</v>
      </c>
      <c r="M258" s="1" t="s">
        <v>230</v>
      </c>
      <c r="N258" s="1" t="s">
        <v>2365</v>
      </c>
      <c r="O258" s="86" t="s">
        <v>2366</v>
      </c>
      <c r="P258" s="1">
        <v>1</v>
      </c>
      <c r="Q258" s="1" t="s">
        <v>3286</v>
      </c>
      <c r="R258" s="1" t="s">
        <v>3516</v>
      </c>
      <c r="S258" s="1" t="s">
        <v>3517</v>
      </c>
      <c r="T258" s="1" t="s">
        <v>3288</v>
      </c>
      <c r="U258" s="1" t="s">
        <v>3289</v>
      </c>
      <c r="V258" s="1" t="s">
        <v>3290</v>
      </c>
      <c r="W258" s="1"/>
      <c r="X258" s="1"/>
      <c r="Y258" s="1"/>
      <c r="Z258" s="1"/>
      <c r="AA258" s="1"/>
      <c r="AB258" s="1"/>
      <c r="AC258" s="88" t="s">
        <v>251</v>
      </c>
      <c r="AD258" s="88" t="s">
        <v>247</v>
      </c>
    </row>
    <row r="259" spans="1:30" hidden="1">
      <c r="A259" s="1">
        <v>2023</v>
      </c>
      <c r="B259" s="1">
        <v>202320</v>
      </c>
      <c r="C259" s="1">
        <v>202326510</v>
      </c>
      <c r="D259" s="1" t="s">
        <v>3613</v>
      </c>
      <c r="E259" s="1" t="s">
        <v>3614</v>
      </c>
      <c r="F259" s="1" t="s">
        <v>1485</v>
      </c>
      <c r="G259" s="85" t="str">
        <f>_xlfn.XLOOKUP(Tabla2[[#This Row],[Universidad]],Conversiones!$B:$B,Conversiones!$C:$C)</f>
        <v>HEC Paris</v>
      </c>
      <c r="H259" s="85" t="str">
        <f>_xlfn.XLOOKUP(Tabla2[[#This Row],[Universidad KPIs]],Conversiones!$C:$C,Conversiones!$E:$E)</f>
        <v>Específico</v>
      </c>
      <c r="I259" s="1" t="s">
        <v>57</v>
      </c>
      <c r="J259" s="1" t="s">
        <v>281</v>
      </c>
      <c r="K259" s="1" t="s">
        <v>3615</v>
      </c>
      <c r="L259" s="1" t="s">
        <v>3616</v>
      </c>
      <c r="M259" s="1" t="s">
        <v>230</v>
      </c>
      <c r="N259" s="1" t="s">
        <v>2365</v>
      </c>
      <c r="O259" s="86" t="s">
        <v>3404</v>
      </c>
      <c r="P259" s="1">
        <v>1</v>
      </c>
      <c r="Q259" s="1" t="s">
        <v>2747</v>
      </c>
      <c r="R259" s="1" t="s">
        <v>3405</v>
      </c>
      <c r="S259" s="1" t="s">
        <v>3406</v>
      </c>
      <c r="T259" s="1" t="s">
        <v>3331</v>
      </c>
      <c r="U259" s="1" t="s">
        <v>2900</v>
      </c>
      <c r="V259" s="1" t="s">
        <v>3407</v>
      </c>
      <c r="W259" s="1"/>
      <c r="X259" s="1"/>
      <c r="Y259" s="1"/>
      <c r="Z259" s="1"/>
      <c r="AA259" s="1"/>
      <c r="AB259" s="1"/>
      <c r="AC259" s="88" t="s">
        <v>251</v>
      </c>
      <c r="AD259" s="88" t="s">
        <v>247</v>
      </c>
    </row>
    <row r="260" spans="1:30" hidden="1">
      <c r="A260" s="1">
        <v>2023</v>
      </c>
      <c r="B260" s="1">
        <v>202320</v>
      </c>
      <c r="C260" s="1">
        <v>202325826</v>
      </c>
      <c r="D260" s="1" t="s">
        <v>814</v>
      </c>
      <c r="E260" s="1" t="s">
        <v>3617</v>
      </c>
      <c r="F260" s="1" t="s">
        <v>381</v>
      </c>
      <c r="G260" s="85" t="str">
        <f>_xlfn.XLOOKUP(Tabla2[[#This Row],[Universidad]],Conversiones!$B:$B,Conversiones!$C:$C)</f>
        <v>Audencia. École de Management</v>
      </c>
      <c r="H260" s="85" t="str">
        <f>_xlfn.XLOOKUP(Tabla2[[#This Row],[Universidad KPIs]],Conversiones!$C:$C,Conversiones!$E:$E)</f>
        <v>Específico</v>
      </c>
      <c r="I260" s="1" t="s">
        <v>57</v>
      </c>
      <c r="J260" s="1" t="s">
        <v>281</v>
      </c>
      <c r="K260" s="1" t="s">
        <v>3618</v>
      </c>
      <c r="L260" s="1" t="s">
        <v>3619</v>
      </c>
      <c r="M260" s="1" t="s">
        <v>230</v>
      </c>
      <c r="N260" s="1" t="s">
        <v>2329</v>
      </c>
      <c r="O260" s="86" t="s">
        <v>3229</v>
      </c>
      <c r="P260" s="1">
        <v>1</v>
      </c>
      <c r="Q260" s="1" t="s">
        <v>2608</v>
      </c>
      <c r="R260" s="1" t="s">
        <v>2332</v>
      </c>
      <c r="S260" s="1" t="s">
        <v>2333</v>
      </c>
      <c r="T260" s="1" t="s">
        <v>3053</v>
      </c>
      <c r="U260" s="1" t="s">
        <v>3242</v>
      </c>
      <c r="V260" s="1"/>
      <c r="W260" s="1"/>
      <c r="X260" s="1"/>
      <c r="Y260" s="1"/>
      <c r="Z260" s="1"/>
      <c r="AA260" s="1"/>
      <c r="AB260" s="1"/>
      <c r="AC260" s="88" t="s">
        <v>233</v>
      </c>
      <c r="AD260" s="88" t="s">
        <v>254</v>
      </c>
    </row>
    <row r="261" spans="1:30" hidden="1">
      <c r="A261" s="1">
        <v>2023</v>
      </c>
      <c r="B261" s="1">
        <v>202320</v>
      </c>
      <c r="C261" s="1">
        <v>202325874</v>
      </c>
      <c r="D261" s="1" t="s">
        <v>3620</v>
      </c>
      <c r="E261" s="1" t="s">
        <v>3621</v>
      </c>
      <c r="F261" s="1" t="s">
        <v>372</v>
      </c>
      <c r="G261" s="85" t="str">
        <f>_xlfn.XLOOKUP(Tabla2[[#This Row],[Universidad]],Conversiones!$B:$B,Conversiones!$C:$C)</f>
        <v>A.B. Freeman School of Business, Tulane University</v>
      </c>
      <c r="H261" s="85" t="str">
        <f>_xlfn.XLOOKUP(Tabla2[[#This Row],[Universidad KPIs]],Conversiones!$C:$C,Conversiones!$E:$E)</f>
        <v>Específico</v>
      </c>
      <c r="I261" s="1" t="s">
        <v>51</v>
      </c>
      <c r="J261" s="1" t="s">
        <v>291</v>
      </c>
      <c r="K261" s="1" t="s">
        <v>3622</v>
      </c>
      <c r="L261" s="1" t="s">
        <v>3623</v>
      </c>
      <c r="M261" s="1" t="s">
        <v>230</v>
      </c>
      <c r="N261" s="1" t="s">
        <v>2329</v>
      </c>
      <c r="O261" s="86" t="s">
        <v>3229</v>
      </c>
      <c r="P261" s="1">
        <v>1</v>
      </c>
      <c r="Q261" s="1" t="s">
        <v>2338</v>
      </c>
      <c r="R261" s="1" t="s">
        <v>3242</v>
      </c>
      <c r="S261" s="1" t="s">
        <v>2425</v>
      </c>
      <c r="T261" s="1" t="s">
        <v>2891</v>
      </c>
      <c r="U261" s="1"/>
      <c r="V261" s="1"/>
      <c r="W261" s="1"/>
      <c r="X261" s="1"/>
      <c r="Y261" s="1"/>
      <c r="Z261" s="1"/>
      <c r="AA261" s="1"/>
      <c r="AB261" s="1"/>
      <c r="AC261" s="88" t="s">
        <v>233</v>
      </c>
      <c r="AD261" s="88" t="s">
        <v>254</v>
      </c>
    </row>
    <row r="262" spans="1:30" hidden="1">
      <c r="A262" s="1">
        <v>2023</v>
      </c>
      <c r="B262" s="1">
        <v>202310</v>
      </c>
      <c r="C262" s="1">
        <v>202316912</v>
      </c>
      <c r="D262" s="1" t="s">
        <v>3624</v>
      </c>
      <c r="E262" s="1" t="s">
        <v>3625</v>
      </c>
      <c r="F262" s="1" t="s">
        <v>1485</v>
      </c>
      <c r="G262" s="85" t="str">
        <f>_xlfn.XLOOKUP(Tabla2[[#This Row],[Universidad]],Conversiones!$B:$B,Conversiones!$C:$C)</f>
        <v>HEC Paris</v>
      </c>
      <c r="H262" s="85" t="str">
        <f>_xlfn.XLOOKUP(Tabla2[[#This Row],[Universidad KPIs]],Conversiones!$C:$C,Conversiones!$E:$E)</f>
        <v>Específico</v>
      </c>
      <c r="I262" s="1" t="s">
        <v>57</v>
      </c>
      <c r="J262" s="1" t="s">
        <v>281</v>
      </c>
      <c r="K262" s="1" t="s">
        <v>3626</v>
      </c>
      <c r="L262" s="1" t="s">
        <v>3627</v>
      </c>
      <c r="M262" s="1" t="s">
        <v>230</v>
      </c>
      <c r="N262" s="1" t="s">
        <v>2329</v>
      </c>
      <c r="O262" s="86" t="s">
        <v>2330</v>
      </c>
      <c r="P262" s="1">
        <v>1</v>
      </c>
      <c r="Q262" s="1" t="s">
        <v>2631</v>
      </c>
      <c r="R262" s="1" t="s">
        <v>2340</v>
      </c>
      <c r="S262" s="1" t="s">
        <v>2338</v>
      </c>
      <c r="T262" s="1" t="s">
        <v>3453</v>
      </c>
      <c r="U262" s="1"/>
      <c r="V262" s="1"/>
      <c r="W262" s="1"/>
      <c r="X262" s="1"/>
      <c r="Y262" s="1"/>
      <c r="Z262" s="1"/>
      <c r="AA262" s="1"/>
      <c r="AB262" s="1"/>
      <c r="AC262" s="88" t="s">
        <v>233</v>
      </c>
      <c r="AD262" s="88" t="s">
        <v>254</v>
      </c>
    </row>
    <row r="263" spans="1:30" hidden="1">
      <c r="A263" s="1">
        <v>2023</v>
      </c>
      <c r="B263" s="1">
        <v>202320</v>
      </c>
      <c r="C263" s="1">
        <v>202325844</v>
      </c>
      <c r="D263" s="1" t="s">
        <v>3628</v>
      </c>
      <c r="E263" s="1" t="s">
        <v>3629</v>
      </c>
      <c r="F263" s="1" t="s">
        <v>94</v>
      </c>
      <c r="G263" s="85" t="str">
        <f>_xlfn.XLOOKUP(Tabla2[[#This Row],[Universidad]],Conversiones!$B:$B,Conversiones!$C:$C)</f>
        <v>Maastricht University</v>
      </c>
      <c r="H263" s="85" t="str">
        <f>_xlfn.XLOOKUP(Tabla2[[#This Row],[Universidad KPIs]],Conversiones!$C:$C,Conversiones!$E:$E)</f>
        <v>Específico</v>
      </c>
      <c r="I263" s="1" t="s">
        <v>95</v>
      </c>
      <c r="J263" s="1" t="s">
        <v>281</v>
      </c>
      <c r="K263" s="1" t="s">
        <v>3630</v>
      </c>
      <c r="L263" s="1" t="s">
        <v>3631</v>
      </c>
      <c r="M263" s="1" t="s">
        <v>230</v>
      </c>
      <c r="N263" s="1" t="s">
        <v>2329</v>
      </c>
      <c r="O263" s="86" t="s">
        <v>3229</v>
      </c>
      <c r="P263" s="1">
        <v>1</v>
      </c>
      <c r="Q263" s="1" t="s">
        <v>2359</v>
      </c>
      <c r="R263" s="1" t="s">
        <v>2401</v>
      </c>
      <c r="S263" s="1" t="s">
        <v>2333</v>
      </c>
      <c r="T263" s="1" t="s">
        <v>2352</v>
      </c>
      <c r="U263" s="1" t="s">
        <v>2472</v>
      </c>
      <c r="V263" s="1" t="s">
        <v>2632</v>
      </c>
      <c r="W263" s="1"/>
      <c r="X263" s="1"/>
      <c r="Y263" s="1"/>
      <c r="Z263" s="1"/>
      <c r="AA263" s="1"/>
      <c r="AB263" s="1"/>
      <c r="AC263" s="88" t="s">
        <v>233</v>
      </c>
      <c r="AD263" s="88" t="s">
        <v>254</v>
      </c>
    </row>
    <row r="264" spans="1:30" hidden="1">
      <c r="A264" s="1">
        <v>2023</v>
      </c>
      <c r="B264" s="1">
        <v>202320</v>
      </c>
      <c r="C264" s="1">
        <v>202325759</v>
      </c>
      <c r="D264" s="1" t="s">
        <v>452</v>
      </c>
      <c r="E264" s="1" t="s">
        <v>3632</v>
      </c>
      <c r="F264" s="1" t="s">
        <v>114</v>
      </c>
      <c r="G264" s="85" t="str">
        <f>_xlfn.XLOOKUP(Tabla2[[#This Row],[Universidad]],Conversiones!$B:$B,Conversiones!$C:$C)</f>
        <v>Universiteit Utrecht</v>
      </c>
      <c r="H264" s="85" t="str">
        <f>_xlfn.XLOOKUP(Tabla2[[#This Row],[Universidad KPIs]],Conversiones!$C:$C,Conversiones!$E:$E)</f>
        <v>Específico</v>
      </c>
      <c r="I264" s="1" t="s">
        <v>95</v>
      </c>
      <c r="J264" s="1" t="s">
        <v>281</v>
      </c>
      <c r="K264" s="1" t="s">
        <v>3633</v>
      </c>
      <c r="L264" s="1" t="s">
        <v>3634</v>
      </c>
      <c r="M264" s="1" t="s">
        <v>230</v>
      </c>
      <c r="N264" s="1" t="s">
        <v>2365</v>
      </c>
      <c r="O264" s="86" t="s">
        <v>3229</v>
      </c>
      <c r="P264" s="1">
        <v>1</v>
      </c>
      <c r="Q264" s="1" t="s">
        <v>3405</v>
      </c>
      <c r="R264" s="1" t="s">
        <v>3406</v>
      </c>
      <c r="S264" s="1" t="s">
        <v>3290</v>
      </c>
      <c r="T264" s="1" t="s">
        <v>3635</v>
      </c>
      <c r="U264" s="1" t="s">
        <v>2413</v>
      </c>
      <c r="V264" s="1"/>
      <c r="W264" s="1"/>
      <c r="X264" s="1"/>
      <c r="Y264" s="1"/>
      <c r="Z264" s="1"/>
      <c r="AA264" s="1"/>
      <c r="AB264" s="1"/>
      <c r="AC264" s="88" t="s">
        <v>239</v>
      </c>
      <c r="AD264" s="88" t="s">
        <v>247</v>
      </c>
    </row>
    <row r="265" spans="1:30" hidden="1">
      <c r="A265" s="1">
        <v>2023</v>
      </c>
      <c r="B265" s="1">
        <v>202320</v>
      </c>
      <c r="C265" s="1">
        <v>202325860</v>
      </c>
      <c r="D265" s="1" t="s">
        <v>3636</v>
      </c>
      <c r="E265" s="1" t="s">
        <v>3637</v>
      </c>
      <c r="F265" s="1" t="s">
        <v>812</v>
      </c>
      <c r="G265" s="85" t="str">
        <f>_xlfn.XLOOKUP(Tabla2[[#This Row],[Universidad]],Conversiones!$B:$B,Conversiones!$C:$C)</f>
        <v>ITESM-EGADE -Instituto tecnológico y de estudios superiores de Monterrey</v>
      </c>
      <c r="H265" s="85" t="str">
        <f>_xlfn.XLOOKUP(Tabla2[[#This Row],[Universidad KPIs]],Conversiones!$C:$C,Conversiones!$E:$E)</f>
        <v>Específico</v>
      </c>
      <c r="I265" s="1" t="s">
        <v>87</v>
      </c>
      <c r="J265" s="1" t="s">
        <v>291</v>
      </c>
      <c r="K265" s="1" t="s">
        <v>3638</v>
      </c>
      <c r="L265" s="1" t="s">
        <v>3639</v>
      </c>
      <c r="M265" s="1" t="s">
        <v>230</v>
      </c>
      <c r="N265" s="1" t="s">
        <v>2329</v>
      </c>
      <c r="O265" s="86" t="s">
        <v>3229</v>
      </c>
      <c r="P265" s="1">
        <v>1</v>
      </c>
      <c r="Q265" s="1" t="s">
        <v>2359</v>
      </c>
      <c r="R265" s="1" t="s">
        <v>2438</v>
      </c>
      <c r="S265" s="1" t="s">
        <v>2331</v>
      </c>
      <c r="T265" s="1" t="s">
        <v>2401</v>
      </c>
      <c r="U265" s="1" t="s">
        <v>3053</v>
      </c>
      <c r="V265" s="1" t="s">
        <v>3242</v>
      </c>
      <c r="W265" s="1" t="s">
        <v>3640</v>
      </c>
      <c r="X265" s="1"/>
      <c r="Y265" s="1"/>
      <c r="Z265" s="1"/>
      <c r="AA265" s="1"/>
      <c r="AB265" s="1"/>
      <c r="AC265" s="88" t="s">
        <v>233</v>
      </c>
      <c r="AD265" s="88" t="s">
        <v>254</v>
      </c>
    </row>
    <row r="266" spans="1:30" hidden="1">
      <c r="A266" s="1">
        <v>2023</v>
      </c>
      <c r="B266" s="1"/>
      <c r="C266" s="1">
        <v>202317659</v>
      </c>
      <c r="D266" s="1" t="s">
        <v>3641</v>
      </c>
      <c r="E266" s="1" t="s">
        <v>3642</v>
      </c>
      <c r="F266" s="1" t="s">
        <v>3055</v>
      </c>
      <c r="G266" s="85" t="str">
        <f>_xlfn.XLOOKUP(Tabla2[[#This Row],[Universidad]],Conversiones!$B:$B,Conversiones!$C:$C)</f>
        <v>JIBS Jönköping International Business School</v>
      </c>
      <c r="H266" s="85" t="str">
        <f>_xlfn.XLOOKUP(Tabla2[[#This Row],[Universidad KPIs]],Conversiones!$C:$C,Conversiones!$E:$E)</f>
        <v>Específico</v>
      </c>
      <c r="I266" s="1" t="s">
        <v>90</v>
      </c>
      <c r="J266" s="1" t="s">
        <v>281</v>
      </c>
      <c r="K266" s="1" t="s">
        <v>3643</v>
      </c>
      <c r="L266" s="1" t="s">
        <v>3644</v>
      </c>
      <c r="M266" s="1" t="s">
        <v>246</v>
      </c>
      <c r="N266" s="1"/>
      <c r="O266" s="8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88" t="s">
        <v>3645</v>
      </c>
      <c r="AD266" s="88" t="s">
        <v>247</v>
      </c>
    </row>
    <row r="267" spans="1:30" hidden="1">
      <c r="A267" s="1">
        <v>2023</v>
      </c>
      <c r="B267" s="1"/>
      <c r="C267" s="1">
        <v>202317660</v>
      </c>
      <c r="D267" s="1" t="s">
        <v>3646</v>
      </c>
      <c r="E267" s="1" t="s">
        <v>3647</v>
      </c>
      <c r="F267" s="1" t="s">
        <v>3055</v>
      </c>
      <c r="G267" s="85" t="str">
        <f>_xlfn.XLOOKUP(Tabla2[[#This Row],[Universidad]],Conversiones!$B:$B,Conversiones!$C:$C)</f>
        <v>JIBS Jönköping International Business School</v>
      </c>
      <c r="H267" s="85" t="str">
        <f>_xlfn.XLOOKUP(Tabla2[[#This Row],[Universidad KPIs]],Conversiones!$C:$C,Conversiones!$E:$E)</f>
        <v>Específico</v>
      </c>
      <c r="I267" s="1" t="s">
        <v>90</v>
      </c>
      <c r="J267" s="1" t="s">
        <v>281</v>
      </c>
      <c r="K267" s="1" t="s">
        <v>3648</v>
      </c>
      <c r="L267" s="1" t="s">
        <v>3649</v>
      </c>
      <c r="M267" s="1" t="s">
        <v>246</v>
      </c>
      <c r="N267" s="1"/>
      <c r="O267" s="8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88" t="s">
        <v>3645</v>
      </c>
      <c r="AD267" s="88" t="s">
        <v>247</v>
      </c>
    </row>
    <row r="268" spans="1:30" hidden="1">
      <c r="A268" s="1">
        <v>2023</v>
      </c>
      <c r="B268" s="1"/>
      <c r="C268" s="1">
        <v>202413688</v>
      </c>
      <c r="D268" s="1" t="s">
        <v>1462</v>
      </c>
      <c r="E268" s="1" t="s">
        <v>3650</v>
      </c>
      <c r="F268" s="1" t="s">
        <v>226</v>
      </c>
      <c r="G268" s="85" t="str">
        <f>_xlfn.XLOOKUP(Tabla2[[#This Row],[Universidad]],Conversiones!$B:$B,Conversiones!$C:$C)</f>
        <v>Universidad Nacional de Rosario</v>
      </c>
      <c r="H268" s="85" t="str">
        <f>_xlfn.XLOOKUP(Tabla2[[#This Row],[Universidad KPIs]],Conversiones!$C:$C,Conversiones!$E:$E)</f>
        <v>General</v>
      </c>
      <c r="I268" s="1" t="s">
        <v>123</v>
      </c>
      <c r="J268" s="1" t="s">
        <v>296</v>
      </c>
      <c r="K268" s="1" t="s">
        <v>3651</v>
      </c>
      <c r="L268" s="1" t="s">
        <v>3652</v>
      </c>
      <c r="M268" s="1" t="s">
        <v>246</v>
      </c>
      <c r="N268" s="1"/>
      <c r="O268" s="8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88" t="s">
        <v>249</v>
      </c>
      <c r="AD268" s="88" t="s">
        <v>249</v>
      </c>
    </row>
    <row r="269" spans="1:30" hidden="1">
      <c r="A269" s="1">
        <v>2024</v>
      </c>
      <c r="B269" s="1">
        <v>202410</v>
      </c>
      <c r="C269" s="1">
        <v>202416815</v>
      </c>
      <c r="D269" s="1" t="s">
        <v>3653</v>
      </c>
      <c r="E269" s="1" t="s">
        <v>3654</v>
      </c>
      <c r="F269" s="1" t="s">
        <v>524</v>
      </c>
      <c r="G269" s="85" t="str">
        <f>_xlfn.XLOOKUP(Tabla2[[#This Row],[Universidad]],Conversiones!$B:$B,Conversiones!$C:$C)</f>
        <v>University of Saint Gallen</v>
      </c>
      <c r="H269" s="85" t="str">
        <f>_xlfn.XLOOKUP(Tabla2[[#This Row],[Universidad KPIs]],Conversiones!$C:$C,Conversiones!$E:$E)</f>
        <v>Específico</v>
      </c>
      <c r="I269" s="1" t="s">
        <v>81</v>
      </c>
      <c r="J269" s="1" t="s">
        <v>281</v>
      </c>
      <c r="K269" s="1" t="s">
        <v>3655</v>
      </c>
      <c r="L269" s="1" t="s">
        <v>3656</v>
      </c>
      <c r="M269" s="1" t="s">
        <v>230</v>
      </c>
      <c r="N269" s="1" t="s">
        <v>3657</v>
      </c>
      <c r="O269" s="86"/>
      <c r="P269" s="1">
        <v>1</v>
      </c>
      <c r="Q269" s="1" t="s">
        <v>2776</v>
      </c>
      <c r="R269" s="1" t="s">
        <v>3658</v>
      </c>
      <c r="S269" s="1" t="s">
        <v>2495</v>
      </c>
      <c r="T269" s="1" t="s">
        <v>3659</v>
      </c>
      <c r="U269" s="1" t="s">
        <v>2517</v>
      </c>
      <c r="V269" s="1" t="s">
        <v>3660</v>
      </c>
      <c r="W269" s="1"/>
      <c r="X269" s="1"/>
      <c r="Y269" s="1"/>
      <c r="Z269" s="1"/>
      <c r="AA269" s="1"/>
      <c r="AB269" s="1"/>
      <c r="AC269" s="88" t="s">
        <v>237</v>
      </c>
      <c r="AD269" s="88" t="s">
        <v>247</v>
      </c>
    </row>
    <row r="270" spans="1:30" hidden="1">
      <c r="A270" s="1">
        <v>2024</v>
      </c>
      <c r="B270" s="1">
        <v>202410</v>
      </c>
      <c r="C270" s="1">
        <v>202416817</v>
      </c>
      <c r="D270" s="1" t="s">
        <v>3661</v>
      </c>
      <c r="E270" s="1" t="s">
        <v>3662</v>
      </c>
      <c r="F270" s="1" t="s">
        <v>338</v>
      </c>
      <c r="G270" s="85" t="str">
        <f>_xlfn.XLOOKUP(Tabla2[[#This Row],[Universidad]],Conversiones!$B:$B,Conversiones!$C:$C)</f>
        <v>University of Mannheim Business School</v>
      </c>
      <c r="H270" s="85" t="str">
        <f>_xlfn.XLOOKUP(Tabla2[[#This Row],[Universidad KPIs]],Conversiones!$C:$C,Conversiones!$E:$E)</f>
        <v>Específico</v>
      </c>
      <c r="I270" s="1" t="s">
        <v>76</v>
      </c>
      <c r="J270" s="1" t="s">
        <v>281</v>
      </c>
      <c r="K270" s="1" t="s">
        <v>3663</v>
      </c>
      <c r="L270" s="1" t="s">
        <v>3664</v>
      </c>
      <c r="M270" s="1" t="s">
        <v>230</v>
      </c>
      <c r="N270" s="1" t="s">
        <v>3657</v>
      </c>
      <c r="O270" s="86"/>
      <c r="P270" s="1">
        <v>1</v>
      </c>
      <c r="Q270" s="1" t="s">
        <v>2401</v>
      </c>
      <c r="R270" s="1" t="s">
        <v>3230</v>
      </c>
      <c r="S270" s="1" t="s">
        <v>2394</v>
      </c>
      <c r="T270" s="1" t="s">
        <v>3516</v>
      </c>
      <c r="U270" s="1"/>
      <c r="V270" s="1"/>
      <c r="W270" s="1"/>
      <c r="X270" s="1"/>
      <c r="Y270" s="1"/>
      <c r="Z270" s="1"/>
      <c r="AA270" s="1"/>
      <c r="AB270" s="1"/>
      <c r="AC270" s="88" t="s">
        <v>237</v>
      </c>
      <c r="AD270" s="88" t="s">
        <v>247</v>
      </c>
    </row>
    <row r="271" spans="1:30" hidden="1">
      <c r="A271" s="1">
        <v>2024</v>
      </c>
      <c r="B271" s="1">
        <v>202410</v>
      </c>
      <c r="C271" s="1">
        <v>202416835</v>
      </c>
      <c r="D271" s="1" t="s">
        <v>3665</v>
      </c>
      <c r="E271" s="1" t="s">
        <v>3666</v>
      </c>
      <c r="F271" s="1" t="s">
        <v>94</v>
      </c>
      <c r="G271" s="85" t="str">
        <f>_xlfn.XLOOKUP(Tabla2[[#This Row],[Universidad]],Conversiones!$B:$B,Conversiones!$C:$C)</f>
        <v>Maastricht University</v>
      </c>
      <c r="H271" s="85" t="str">
        <f>_xlfn.XLOOKUP(Tabla2[[#This Row],[Universidad KPIs]],Conversiones!$C:$C,Conversiones!$E:$E)</f>
        <v>Específico</v>
      </c>
      <c r="I271" s="1" t="s">
        <v>95</v>
      </c>
      <c r="J271" s="1" t="s">
        <v>281</v>
      </c>
      <c r="K271" s="1" t="s">
        <v>3667</v>
      </c>
      <c r="L271" s="1" t="s">
        <v>3668</v>
      </c>
      <c r="M271" s="1" t="s">
        <v>230</v>
      </c>
      <c r="N271" s="1" t="s">
        <v>3657</v>
      </c>
      <c r="O271" s="86"/>
      <c r="P271" s="1">
        <v>1</v>
      </c>
      <c r="Q271" s="1" t="s">
        <v>2419</v>
      </c>
      <c r="R271" s="1" t="s">
        <v>2401</v>
      </c>
      <c r="S271" s="1" t="s">
        <v>2352</v>
      </c>
      <c r="T271" s="1" t="s">
        <v>3340</v>
      </c>
      <c r="U271" s="1" t="s">
        <v>2400</v>
      </c>
      <c r="V271" s="1" t="s">
        <v>3669</v>
      </c>
      <c r="W271" s="1" t="s">
        <v>2876</v>
      </c>
      <c r="X271" s="1"/>
      <c r="Y271" s="1"/>
      <c r="Z271" s="1"/>
      <c r="AA271" s="1"/>
      <c r="AB271" s="1"/>
      <c r="AC271" s="88" t="s">
        <v>233</v>
      </c>
      <c r="AD271" s="88" t="s">
        <v>254</v>
      </c>
    </row>
    <row r="272" spans="1:30" hidden="1">
      <c r="A272" s="1">
        <v>2024</v>
      </c>
      <c r="B272" s="1">
        <v>202410</v>
      </c>
      <c r="C272" s="1">
        <v>202416855</v>
      </c>
      <c r="D272" s="1" t="s">
        <v>3670</v>
      </c>
      <c r="E272" s="1" t="s">
        <v>3671</v>
      </c>
      <c r="F272" s="1" t="s">
        <v>2295</v>
      </c>
      <c r="G272" s="85" t="str">
        <f>_xlfn.XLOOKUP(Tabla2[[#This Row],[Universidad]],Conversiones!$B:$B,Conversiones!$C:$C)</f>
        <v>Université Paris-Dauphine</v>
      </c>
      <c r="H272" s="85" t="str">
        <f>_xlfn.XLOOKUP(Tabla2[[#This Row],[Universidad KPIs]],Conversiones!$C:$C,Conversiones!$E:$E)</f>
        <v>General</v>
      </c>
      <c r="I272" s="1" t="s">
        <v>57</v>
      </c>
      <c r="J272" s="1" t="s">
        <v>281</v>
      </c>
      <c r="K272" s="1" t="s">
        <v>3672</v>
      </c>
      <c r="L272" s="1" t="s">
        <v>3673</v>
      </c>
      <c r="M272" s="1" t="s">
        <v>230</v>
      </c>
      <c r="N272" s="1" t="s">
        <v>3657</v>
      </c>
      <c r="O272" s="86"/>
      <c r="P272" s="1">
        <v>1</v>
      </c>
      <c r="Q272" s="1" t="s">
        <v>2352</v>
      </c>
      <c r="R272" s="1" t="s">
        <v>2776</v>
      </c>
      <c r="S272" s="1" t="s">
        <v>2599</v>
      </c>
      <c r="T272" s="1" t="s">
        <v>2590</v>
      </c>
      <c r="U272" s="1" t="s">
        <v>2912</v>
      </c>
      <c r="V272" s="1" t="s">
        <v>2464</v>
      </c>
      <c r="W272" s="1"/>
      <c r="X272" s="1"/>
      <c r="Y272" s="1"/>
      <c r="Z272" s="1"/>
      <c r="AA272" s="1"/>
      <c r="AB272" s="1"/>
      <c r="AC272" s="88" t="s">
        <v>233</v>
      </c>
      <c r="AD272" s="88" t="s">
        <v>254</v>
      </c>
    </row>
    <row r="273" spans="1:30" hidden="1">
      <c r="A273" s="1">
        <v>2024</v>
      </c>
      <c r="B273" s="1">
        <v>202410</v>
      </c>
      <c r="C273" s="1">
        <v>202416857</v>
      </c>
      <c r="D273" s="1" t="s">
        <v>3674</v>
      </c>
      <c r="E273" s="1" t="s">
        <v>3675</v>
      </c>
      <c r="F273" s="1" t="s">
        <v>102</v>
      </c>
      <c r="G273" s="85" t="str">
        <f>_xlfn.XLOOKUP(Tabla2[[#This Row],[Universidad]],Conversiones!$B:$B,Conversiones!$C:$C)</f>
        <v>Politecnico di Milano</v>
      </c>
      <c r="H273" s="85" t="str">
        <f>_xlfn.XLOOKUP(Tabla2[[#This Row],[Universidad KPIs]],Conversiones!$C:$C,Conversiones!$E:$E)</f>
        <v>Específico</v>
      </c>
      <c r="I273" s="1" t="s">
        <v>103</v>
      </c>
      <c r="J273" s="1" t="s">
        <v>281</v>
      </c>
      <c r="K273" s="1" t="s">
        <v>3676</v>
      </c>
      <c r="L273" s="1" t="s">
        <v>3677</v>
      </c>
      <c r="M273" s="1" t="s">
        <v>230</v>
      </c>
      <c r="N273" s="1" t="s">
        <v>3657</v>
      </c>
      <c r="O273" s="86"/>
      <c r="P273" s="1">
        <v>1</v>
      </c>
      <c r="Q273" s="1" t="s">
        <v>3286</v>
      </c>
      <c r="R273" s="1" t="s">
        <v>2407</v>
      </c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88" t="s">
        <v>233</v>
      </c>
      <c r="AD273" s="88" t="s">
        <v>254</v>
      </c>
    </row>
    <row r="274" spans="1:30" hidden="1">
      <c r="A274" s="1">
        <v>2024</v>
      </c>
      <c r="B274" s="1">
        <v>202410</v>
      </c>
      <c r="C274" s="1">
        <v>202416932</v>
      </c>
      <c r="D274" s="1" t="s">
        <v>3678</v>
      </c>
      <c r="E274" s="1" t="s">
        <v>3679</v>
      </c>
      <c r="F274" s="1" t="s">
        <v>419</v>
      </c>
      <c r="G274" s="85" t="str">
        <f>_xlfn.XLOOKUP(Tabla2[[#This Row],[Universidad]],Conversiones!$B:$B,Conversiones!$C:$C)</f>
        <v>ESCP</v>
      </c>
      <c r="H274" s="85" t="str">
        <f>_xlfn.XLOOKUP(Tabla2[[#This Row],[Universidad KPIs]],Conversiones!$C:$C,Conversiones!$E:$E)</f>
        <v>Específico</v>
      </c>
      <c r="I274" s="1" t="s">
        <v>57</v>
      </c>
      <c r="J274" s="1" t="s">
        <v>281</v>
      </c>
      <c r="K274" s="1" t="s">
        <v>3680</v>
      </c>
      <c r="L274" s="1" t="s">
        <v>3681</v>
      </c>
      <c r="M274" s="1" t="s">
        <v>230</v>
      </c>
      <c r="N274" s="1" t="s">
        <v>3657</v>
      </c>
      <c r="O274" s="86"/>
      <c r="P274" s="1">
        <v>1</v>
      </c>
      <c r="Q274" s="1" t="s">
        <v>3320</v>
      </c>
      <c r="R274" s="1" t="s">
        <v>2376</v>
      </c>
      <c r="S274" s="1" t="s">
        <v>3594</v>
      </c>
      <c r="T274" s="1"/>
      <c r="U274" s="1"/>
      <c r="V274" s="1"/>
      <c r="W274" s="1"/>
      <c r="X274" s="1"/>
      <c r="Y274" s="1"/>
      <c r="Z274" s="1"/>
      <c r="AA274" s="1"/>
      <c r="AB274" s="1"/>
      <c r="AC274" s="88" t="s">
        <v>233</v>
      </c>
      <c r="AD274" s="88" t="s">
        <v>254</v>
      </c>
    </row>
    <row r="275" spans="1:30" hidden="1">
      <c r="A275" s="1">
        <v>2024</v>
      </c>
      <c r="B275" s="1">
        <v>202410</v>
      </c>
      <c r="C275" s="1">
        <v>202325743</v>
      </c>
      <c r="D275" s="1" t="s">
        <v>3345</v>
      </c>
      <c r="E275" s="1" t="s">
        <v>3682</v>
      </c>
      <c r="F275" s="1" t="s">
        <v>1400</v>
      </c>
      <c r="G275" s="85" t="str">
        <f>_xlfn.XLOOKUP(Tabla2[[#This Row],[Universidad]],Conversiones!$B:$B,Conversiones!$C:$C)</f>
        <v>EM Strasbourg</v>
      </c>
      <c r="H275" s="85" t="str">
        <f>_xlfn.XLOOKUP(Tabla2[[#This Row],[Universidad KPIs]],Conversiones!$C:$C,Conversiones!$E:$E)</f>
        <v>Específico</v>
      </c>
      <c r="I275" s="1" t="s">
        <v>57</v>
      </c>
      <c r="J275" s="1" t="s">
        <v>281</v>
      </c>
      <c r="K275" s="1" t="s">
        <v>3347</v>
      </c>
      <c r="L275" s="1" t="s">
        <v>3348</v>
      </c>
      <c r="M275" s="1" t="s">
        <v>230</v>
      </c>
      <c r="N275" s="1" t="s">
        <v>3657</v>
      </c>
      <c r="O275" s="86"/>
      <c r="P275" s="1">
        <v>1</v>
      </c>
      <c r="Q275" s="1" t="s">
        <v>2338</v>
      </c>
      <c r="R275" s="1" t="s">
        <v>3230</v>
      </c>
      <c r="S275" s="1" t="s">
        <v>2360</v>
      </c>
      <c r="T275" s="1" t="s">
        <v>3683</v>
      </c>
      <c r="U275" s="1" t="s">
        <v>3453</v>
      </c>
      <c r="V275" s="1"/>
      <c r="W275" s="1"/>
      <c r="X275" s="1"/>
      <c r="Y275" s="1"/>
      <c r="Z275" s="1"/>
      <c r="AA275" s="1"/>
      <c r="AB275" s="1"/>
      <c r="AC275" s="88" t="s">
        <v>233</v>
      </c>
      <c r="AD275" s="88" t="s">
        <v>254</v>
      </c>
    </row>
    <row r="276" spans="1:30" hidden="1">
      <c r="A276" s="1">
        <v>2024</v>
      </c>
      <c r="B276" s="1">
        <v>202410</v>
      </c>
      <c r="C276" s="1">
        <v>202416870</v>
      </c>
      <c r="D276" s="1" t="s">
        <v>3684</v>
      </c>
      <c r="E276" s="1" t="s">
        <v>3685</v>
      </c>
      <c r="F276" s="1" t="s">
        <v>94</v>
      </c>
      <c r="G276" s="85" t="str">
        <f>_xlfn.XLOOKUP(Tabla2[[#This Row],[Universidad]],Conversiones!$B:$B,Conversiones!$C:$C)</f>
        <v>Maastricht University</v>
      </c>
      <c r="H276" s="85" t="str">
        <f>_xlfn.XLOOKUP(Tabla2[[#This Row],[Universidad KPIs]],Conversiones!$C:$C,Conversiones!$E:$E)</f>
        <v>Específico</v>
      </c>
      <c r="I276" s="1" t="s">
        <v>95</v>
      </c>
      <c r="J276" s="1" t="s">
        <v>281</v>
      </c>
      <c r="K276" s="1" t="s">
        <v>3686</v>
      </c>
      <c r="L276" s="1" t="s">
        <v>3687</v>
      </c>
      <c r="M276" s="1" t="s">
        <v>230</v>
      </c>
      <c r="N276" s="1" t="s">
        <v>3657</v>
      </c>
      <c r="O276" s="86"/>
      <c r="P276" s="1">
        <v>1</v>
      </c>
      <c r="Q276" s="1" t="s">
        <v>2401</v>
      </c>
      <c r="R276" s="1" t="s">
        <v>2352</v>
      </c>
      <c r="S276" s="1" t="s">
        <v>3340</v>
      </c>
      <c r="T276" s="1" t="s">
        <v>2400</v>
      </c>
      <c r="U276" s="1" t="s">
        <v>3230</v>
      </c>
      <c r="V276" s="1" t="s">
        <v>2876</v>
      </c>
      <c r="W276" s="1"/>
      <c r="X276" s="1"/>
      <c r="Y276" s="1"/>
      <c r="Z276" s="1"/>
      <c r="AA276" s="1"/>
      <c r="AB276" s="1"/>
      <c r="AC276" s="88" t="s">
        <v>233</v>
      </c>
      <c r="AD276" s="88" t="s">
        <v>254</v>
      </c>
    </row>
    <row r="277" spans="1:30" hidden="1">
      <c r="A277" s="1">
        <v>2024</v>
      </c>
      <c r="B277" s="1">
        <v>202410</v>
      </c>
      <c r="C277" s="1">
        <v>202416875</v>
      </c>
      <c r="D277" s="1" t="s">
        <v>3688</v>
      </c>
      <c r="E277" s="1" t="s">
        <v>3689</v>
      </c>
      <c r="F277" s="1" t="s">
        <v>356</v>
      </c>
      <c r="G277" s="85" t="str">
        <f>_xlfn.XLOOKUP(Tabla2[[#This Row],[Universidad]],Conversiones!$B:$B,Conversiones!$C:$C)</f>
        <v>Università Commerciale Luigi Bocconi</v>
      </c>
      <c r="H277" s="85" t="str">
        <f>_xlfn.XLOOKUP(Tabla2[[#This Row],[Universidad KPIs]],Conversiones!$C:$C,Conversiones!$E:$E)</f>
        <v>Específico</v>
      </c>
      <c r="I277" s="1" t="s">
        <v>103</v>
      </c>
      <c r="J277" s="1" t="s">
        <v>281</v>
      </c>
      <c r="K277" s="1" t="s">
        <v>3690</v>
      </c>
      <c r="L277" s="1" t="s">
        <v>3691</v>
      </c>
      <c r="M277" s="1" t="s">
        <v>230</v>
      </c>
      <c r="N277" s="1" t="s">
        <v>3657</v>
      </c>
      <c r="O277" s="86"/>
      <c r="P277" s="1">
        <v>1</v>
      </c>
      <c r="Q277" s="1" t="s">
        <v>2359</v>
      </c>
      <c r="R277" s="1" t="s">
        <v>2712</v>
      </c>
      <c r="S277" s="1" t="s">
        <v>2338</v>
      </c>
      <c r="T277" s="1" t="s">
        <v>3692</v>
      </c>
      <c r="U277" s="1"/>
      <c r="V277" s="1"/>
      <c r="W277" s="1"/>
      <c r="X277" s="1"/>
      <c r="Y277" s="1"/>
      <c r="Z277" s="1"/>
      <c r="AA277" s="1"/>
      <c r="AB277" s="1"/>
      <c r="AC277" s="88" t="s">
        <v>233</v>
      </c>
      <c r="AD277" s="88" t="s">
        <v>254</v>
      </c>
    </row>
    <row r="278" spans="1:30" hidden="1">
      <c r="A278" s="1">
        <v>2024</v>
      </c>
      <c r="B278" s="1">
        <v>202410</v>
      </c>
      <c r="C278" s="1">
        <v>202416824</v>
      </c>
      <c r="D278" s="1" t="s">
        <v>3693</v>
      </c>
      <c r="E278" s="1" t="s">
        <v>3694</v>
      </c>
      <c r="F278" s="1" t="s">
        <v>419</v>
      </c>
      <c r="G278" s="85" t="str">
        <f>_xlfn.XLOOKUP(Tabla2[[#This Row],[Universidad]],Conversiones!$B:$B,Conversiones!$C:$C)</f>
        <v>ESCP</v>
      </c>
      <c r="H278" s="85" t="str">
        <f>_xlfn.XLOOKUP(Tabla2[[#This Row],[Universidad KPIs]],Conversiones!$C:$C,Conversiones!$E:$E)</f>
        <v>Específico</v>
      </c>
      <c r="I278" s="1" t="s">
        <v>57</v>
      </c>
      <c r="J278" s="1" t="s">
        <v>281</v>
      </c>
      <c r="K278" s="1" t="s">
        <v>3695</v>
      </c>
      <c r="L278" s="1" t="s">
        <v>3696</v>
      </c>
      <c r="M278" s="1" t="s">
        <v>230</v>
      </c>
      <c r="N278" s="1" t="s">
        <v>3657</v>
      </c>
      <c r="O278" s="86"/>
      <c r="P278" s="1">
        <v>1</v>
      </c>
      <c r="Q278" s="1" t="s">
        <v>2620</v>
      </c>
      <c r="R278" s="1" t="s">
        <v>3320</v>
      </c>
      <c r="S278" s="1" t="s">
        <v>2376</v>
      </c>
      <c r="T278" s="1" t="s">
        <v>3594</v>
      </c>
      <c r="U278" s="1"/>
      <c r="V278" s="1"/>
      <c r="W278" s="1"/>
      <c r="X278" s="1"/>
      <c r="Y278" s="1"/>
      <c r="Z278" s="1"/>
      <c r="AA278" s="1"/>
      <c r="AB278" s="1"/>
      <c r="AC278" s="88" t="s">
        <v>237</v>
      </c>
      <c r="AD278" s="88" t="s">
        <v>247</v>
      </c>
    </row>
    <row r="279" spans="1:30" hidden="1">
      <c r="A279" s="1">
        <v>2024</v>
      </c>
      <c r="B279" s="1">
        <v>202410</v>
      </c>
      <c r="C279" s="1">
        <v>202416889</v>
      </c>
      <c r="D279" s="1" t="s">
        <v>3697</v>
      </c>
      <c r="E279" s="1" t="s">
        <v>3698</v>
      </c>
      <c r="F279" s="1" t="s">
        <v>96</v>
      </c>
      <c r="G279" s="85" t="str">
        <f>_xlfn.XLOOKUP(Tabla2[[#This Row],[Universidad]],Conversiones!$B:$B,Conversiones!$C:$C)</f>
        <v>McGill University</v>
      </c>
      <c r="H279" s="85" t="str">
        <f>_xlfn.XLOOKUP(Tabla2[[#This Row],[Universidad KPIs]],Conversiones!$C:$C,Conversiones!$E:$E)</f>
        <v>Específico</v>
      </c>
      <c r="I279" s="1" t="s">
        <v>74</v>
      </c>
      <c r="J279" s="1" t="s">
        <v>291</v>
      </c>
      <c r="K279" s="1" t="s">
        <v>3699</v>
      </c>
      <c r="L279" s="1" t="s">
        <v>3700</v>
      </c>
      <c r="M279" s="1" t="s">
        <v>230</v>
      </c>
      <c r="N279" s="1" t="s">
        <v>3657</v>
      </c>
      <c r="O279" s="86"/>
      <c r="P279" s="1">
        <v>1</v>
      </c>
      <c r="Q279" s="1" t="s">
        <v>2438</v>
      </c>
      <c r="R279" s="1" t="s">
        <v>2401</v>
      </c>
      <c r="S279" s="1" t="s">
        <v>3280</v>
      </c>
      <c r="T279" s="1" t="s">
        <v>3701</v>
      </c>
      <c r="U279" s="1"/>
      <c r="V279" s="1"/>
      <c r="W279" s="1"/>
      <c r="X279" s="1"/>
      <c r="Y279" s="1"/>
      <c r="Z279" s="1"/>
      <c r="AA279" s="1"/>
      <c r="AB279" s="1"/>
      <c r="AC279" s="88" t="s">
        <v>233</v>
      </c>
      <c r="AD279" s="88" t="s">
        <v>254</v>
      </c>
    </row>
    <row r="280" spans="1:30" hidden="1">
      <c r="A280" s="1">
        <v>2024</v>
      </c>
      <c r="B280" s="1">
        <v>202410</v>
      </c>
      <c r="C280" s="1">
        <v>202415036</v>
      </c>
      <c r="D280" s="1" t="s">
        <v>3702</v>
      </c>
      <c r="E280" s="1" t="s">
        <v>3703</v>
      </c>
      <c r="F280" s="1" t="s">
        <v>140</v>
      </c>
      <c r="G280" s="85" t="str">
        <f>_xlfn.XLOOKUP(Tabla2[[#This Row],[Universidad]],Conversiones!$B:$B,Conversiones!$C:$C)</f>
        <v>American University of Central Asia</v>
      </c>
      <c r="H280" s="85" t="str">
        <f>_xlfn.XLOOKUP(Tabla2[[#This Row],[Universidad KPIs]],Conversiones!$C:$C,Conversiones!$E:$E)</f>
        <v>General</v>
      </c>
      <c r="I280" s="1" t="s">
        <v>141</v>
      </c>
      <c r="J280" s="1" t="s">
        <v>568</v>
      </c>
      <c r="K280" s="1" t="s">
        <v>3704</v>
      </c>
      <c r="L280" s="1" t="s">
        <v>3705</v>
      </c>
      <c r="M280" s="1" t="s">
        <v>230</v>
      </c>
      <c r="N280" s="1" t="s">
        <v>3657</v>
      </c>
      <c r="O280" s="86"/>
      <c r="P280" s="1">
        <v>1</v>
      </c>
      <c r="Q280" s="1" t="s">
        <v>2556</v>
      </c>
      <c r="R280" s="1" t="s">
        <v>2400</v>
      </c>
      <c r="S280" s="1" t="s">
        <v>3231</v>
      </c>
      <c r="T280" s="1"/>
      <c r="U280" s="1"/>
      <c r="V280" s="1"/>
      <c r="W280" s="1"/>
      <c r="X280" s="1"/>
      <c r="Y280" s="1"/>
      <c r="Z280" s="1"/>
      <c r="AA280" s="1"/>
      <c r="AB280" s="1"/>
      <c r="AC280" s="88" t="s">
        <v>233</v>
      </c>
      <c r="AD280" s="88" t="s">
        <v>254</v>
      </c>
    </row>
    <row r="281" spans="1:30" hidden="1">
      <c r="A281" s="1">
        <v>2024</v>
      </c>
      <c r="B281" s="1">
        <v>202410</v>
      </c>
      <c r="C281" s="1">
        <v>202416890</v>
      </c>
      <c r="D281" s="1" t="s">
        <v>3706</v>
      </c>
      <c r="E281" s="1" t="s">
        <v>3707</v>
      </c>
      <c r="F281" s="1" t="s">
        <v>366</v>
      </c>
      <c r="G281" s="85" t="str">
        <f>_xlfn.XLOOKUP(Tabla2[[#This Row],[Universidad]],Conversiones!$B:$B,Conversiones!$C:$C)</f>
        <v>HEC Montréal</v>
      </c>
      <c r="H281" s="85" t="str">
        <f>_xlfn.XLOOKUP(Tabla2[[#This Row],[Universidad KPIs]],Conversiones!$C:$C,Conversiones!$E:$E)</f>
        <v>Específico</v>
      </c>
      <c r="I281" s="1" t="s">
        <v>74</v>
      </c>
      <c r="J281" s="1" t="s">
        <v>291</v>
      </c>
      <c r="K281" s="1" t="s">
        <v>3708</v>
      </c>
      <c r="L281" s="1" t="s">
        <v>3709</v>
      </c>
      <c r="M281" s="1" t="s">
        <v>230</v>
      </c>
      <c r="N281" s="1" t="s">
        <v>3657</v>
      </c>
      <c r="O281" s="86"/>
      <c r="P281" s="1">
        <v>1</v>
      </c>
      <c r="Q281" s="1" t="s">
        <v>2333</v>
      </c>
      <c r="R281" s="1" t="s">
        <v>2338</v>
      </c>
      <c r="S281" s="1" t="s">
        <v>3340</v>
      </c>
      <c r="T281" s="1" t="s">
        <v>2920</v>
      </c>
      <c r="U281" s="1" t="s">
        <v>2400</v>
      </c>
      <c r="V281" s="1" t="s">
        <v>2388</v>
      </c>
      <c r="W281" s="1" t="s">
        <v>2912</v>
      </c>
      <c r="X281" s="1"/>
      <c r="Y281" s="1"/>
      <c r="Z281" s="1"/>
      <c r="AA281" s="1"/>
      <c r="AB281" s="1"/>
      <c r="AC281" s="88" t="s">
        <v>233</v>
      </c>
      <c r="AD281" s="88" t="s">
        <v>254</v>
      </c>
    </row>
    <row r="282" spans="1:30" hidden="1">
      <c r="A282" s="1">
        <v>2024</v>
      </c>
      <c r="B282" s="1">
        <v>202410</v>
      </c>
      <c r="C282" s="1">
        <v>202417144</v>
      </c>
      <c r="D282" s="1" t="s">
        <v>3710</v>
      </c>
      <c r="E282" s="1" t="s">
        <v>3711</v>
      </c>
      <c r="F282" s="1" t="s">
        <v>94</v>
      </c>
      <c r="G282" s="85" t="str">
        <f>_xlfn.XLOOKUP(Tabla2[[#This Row],[Universidad]],Conversiones!$B:$B,Conversiones!$C:$C)</f>
        <v>Maastricht University</v>
      </c>
      <c r="H282" s="85" t="str">
        <f>_xlfn.XLOOKUP(Tabla2[[#This Row],[Universidad KPIs]],Conversiones!$C:$C,Conversiones!$E:$E)</f>
        <v>Específico</v>
      </c>
      <c r="I282" s="1" t="s">
        <v>95</v>
      </c>
      <c r="J282" s="1" t="s">
        <v>281</v>
      </c>
      <c r="K282" s="1" t="s">
        <v>3712</v>
      </c>
      <c r="L282" s="1" t="s">
        <v>3713</v>
      </c>
      <c r="M282" s="1" t="s">
        <v>2103</v>
      </c>
      <c r="N282" s="1" t="s">
        <v>3657</v>
      </c>
      <c r="O282" s="86"/>
      <c r="P282" s="1">
        <v>1</v>
      </c>
      <c r="Q282" s="1" t="s">
        <v>2419</v>
      </c>
      <c r="R282" s="1" t="s">
        <v>2556</v>
      </c>
      <c r="S282" s="1" t="s">
        <v>2401</v>
      </c>
      <c r="T282" s="1" t="s">
        <v>2712</v>
      </c>
      <c r="U282" s="1" t="s">
        <v>3340</v>
      </c>
      <c r="V282" s="1" t="s">
        <v>2400</v>
      </c>
      <c r="W282" s="1" t="s">
        <v>3669</v>
      </c>
      <c r="X282" s="1"/>
      <c r="Y282" s="1"/>
      <c r="Z282" s="1"/>
      <c r="AA282" s="1"/>
      <c r="AB282" s="1"/>
      <c r="AC282" s="88" t="s">
        <v>233</v>
      </c>
      <c r="AD282" s="88" t="s">
        <v>254</v>
      </c>
    </row>
    <row r="283" spans="1:30" hidden="1">
      <c r="A283" s="1">
        <v>2024</v>
      </c>
      <c r="B283" s="1">
        <v>202410</v>
      </c>
      <c r="C283" s="1">
        <v>202416919</v>
      </c>
      <c r="D283" s="1" t="s">
        <v>3714</v>
      </c>
      <c r="E283" s="1" t="s">
        <v>3715</v>
      </c>
      <c r="F283" s="1" t="s">
        <v>381</v>
      </c>
      <c r="G283" s="85" t="str">
        <f>_xlfn.XLOOKUP(Tabla2[[#This Row],[Universidad]],Conversiones!$B:$B,Conversiones!$C:$C)</f>
        <v>Audencia. École de Management</v>
      </c>
      <c r="H283" s="85" t="str">
        <f>_xlfn.XLOOKUP(Tabla2[[#This Row],[Universidad KPIs]],Conversiones!$C:$C,Conversiones!$E:$E)</f>
        <v>Específico</v>
      </c>
      <c r="I283" s="1" t="s">
        <v>57</v>
      </c>
      <c r="J283" s="1" t="s">
        <v>281</v>
      </c>
      <c r="K283" s="1" t="s">
        <v>3716</v>
      </c>
      <c r="L283" s="1" t="s">
        <v>3717</v>
      </c>
      <c r="M283" s="1" t="s">
        <v>230</v>
      </c>
      <c r="N283" s="1" t="s">
        <v>3657</v>
      </c>
      <c r="O283" s="86"/>
      <c r="P283" s="1">
        <v>1</v>
      </c>
      <c r="Q283" s="1" t="s">
        <v>2438</v>
      </c>
      <c r="R283" s="1" t="s">
        <v>2712</v>
      </c>
      <c r="S283" s="1" t="s">
        <v>2338</v>
      </c>
      <c r="T283" s="1" t="s">
        <v>2487</v>
      </c>
      <c r="U283" s="1" t="s">
        <v>2360</v>
      </c>
      <c r="V283" s="1" t="s">
        <v>2494</v>
      </c>
      <c r="W283" s="1"/>
      <c r="X283" s="1"/>
      <c r="Y283" s="1"/>
      <c r="Z283" s="1"/>
      <c r="AA283" s="1"/>
      <c r="AB283" s="1"/>
      <c r="AC283" s="88" t="s">
        <v>233</v>
      </c>
      <c r="AD283" s="88" t="s">
        <v>254</v>
      </c>
    </row>
    <row r="284" spans="1:30" hidden="1">
      <c r="A284" s="1">
        <v>2024</v>
      </c>
      <c r="B284" s="1">
        <v>202410</v>
      </c>
      <c r="C284" s="1">
        <v>202416920</v>
      </c>
      <c r="D284" s="1" t="s">
        <v>3590</v>
      </c>
      <c r="E284" s="1" t="s">
        <v>3718</v>
      </c>
      <c r="F284" s="1" t="s">
        <v>102</v>
      </c>
      <c r="G284" s="85" t="str">
        <f>_xlfn.XLOOKUP(Tabla2[[#This Row],[Universidad]],Conversiones!$B:$B,Conversiones!$C:$C)</f>
        <v>Politecnico di Milano</v>
      </c>
      <c r="H284" s="85" t="str">
        <f>_xlfn.XLOOKUP(Tabla2[[#This Row],[Universidad KPIs]],Conversiones!$C:$C,Conversiones!$E:$E)</f>
        <v>Específico</v>
      </c>
      <c r="I284" s="1" t="s">
        <v>103</v>
      </c>
      <c r="J284" s="1" t="s">
        <v>281</v>
      </c>
      <c r="K284" s="1" t="s">
        <v>3719</v>
      </c>
      <c r="L284" s="1" t="s">
        <v>3720</v>
      </c>
      <c r="M284" s="1" t="s">
        <v>230</v>
      </c>
      <c r="N284" s="1" t="s">
        <v>3657</v>
      </c>
      <c r="O284" s="86"/>
      <c r="P284" s="1">
        <v>1</v>
      </c>
      <c r="Q284" s="1" t="s">
        <v>2556</v>
      </c>
      <c r="R284" s="1" t="s">
        <v>2438</v>
      </c>
      <c r="S284" s="1" t="s">
        <v>2401</v>
      </c>
      <c r="T284" s="1" t="s">
        <v>2338</v>
      </c>
      <c r="U284" s="1" t="s">
        <v>3286</v>
      </c>
      <c r="V284" s="1"/>
      <c r="W284" s="1"/>
      <c r="X284" s="1"/>
      <c r="Y284" s="1"/>
      <c r="Z284" s="1"/>
      <c r="AA284" s="1"/>
      <c r="AB284" s="1"/>
      <c r="AC284" s="88" t="s">
        <v>233</v>
      </c>
      <c r="AD284" s="88" t="s">
        <v>254</v>
      </c>
    </row>
    <row r="285" spans="1:30" hidden="1">
      <c r="A285" s="1">
        <v>2024</v>
      </c>
      <c r="B285" s="1">
        <v>202410</v>
      </c>
      <c r="C285" s="1">
        <v>202416923</v>
      </c>
      <c r="D285" s="1" t="s">
        <v>3721</v>
      </c>
      <c r="E285" s="1" t="s">
        <v>3722</v>
      </c>
      <c r="F285" s="1" t="s">
        <v>94</v>
      </c>
      <c r="G285" s="85" t="str">
        <f>_xlfn.XLOOKUP(Tabla2[[#This Row],[Universidad]],Conversiones!$B:$B,Conversiones!$C:$C)</f>
        <v>Maastricht University</v>
      </c>
      <c r="H285" s="85" t="str">
        <f>_xlfn.XLOOKUP(Tabla2[[#This Row],[Universidad KPIs]],Conversiones!$C:$C,Conversiones!$E:$E)</f>
        <v>Específico</v>
      </c>
      <c r="I285" s="1" t="s">
        <v>95</v>
      </c>
      <c r="J285" s="1" t="s">
        <v>281</v>
      </c>
      <c r="K285" s="1" t="s">
        <v>3723</v>
      </c>
      <c r="L285" s="1" t="s">
        <v>3724</v>
      </c>
      <c r="M285" s="1" t="s">
        <v>230</v>
      </c>
      <c r="N285" s="1" t="s">
        <v>3657</v>
      </c>
      <c r="O285" s="86"/>
      <c r="P285" s="1">
        <v>1</v>
      </c>
      <c r="Q285" s="1" t="s">
        <v>2401</v>
      </c>
      <c r="R285" s="1" t="s">
        <v>2712</v>
      </c>
      <c r="S285" s="1" t="s">
        <v>2352</v>
      </c>
      <c r="T285" s="1" t="s">
        <v>3340</v>
      </c>
      <c r="U285" s="1" t="s">
        <v>2400</v>
      </c>
      <c r="V285" s="1" t="s">
        <v>3230</v>
      </c>
      <c r="W285" s="1"/>
      <c r="X285" s="1"/>
      <c r="Y285" s="1"/>
      <c r="Z285" s="1"/>
      <c r="AA285" s="1"/>
      <c r="AB285" s="1"/>
      <c r="AC285" s="88" t="s">
        <v>233</v>
      </c>
      <c r="AD285" s="88" t="s">
        <v>254</v>
      </c>
    </row>
    <row r="286" spans="1:30" hidden="1">
      <c r="A286" s="1">
        <v>2024</v>
      </c>
      <c r="B286" s="1">
        <v>202410</v>
      </c>
      <c r="C286" s="1">
        <v>202416826</v>
      </c>
      <c r="D286" s="1" t="s">
        <v>3725</v>
      </c>
      <c r="E286" s="1" t="s">
        <v>3726</v>
      </c>
      <c r="F286" s="1" t="s">
        <v>329</v>
      </c>
      <c r="G286" s="85" t="str">
        <f>_xlfn.XLOOKUP(Tabla2[[#This Row],[Universidad]],Conversiones!$B:$B,Conversiones!$C:$C)</f>
        <v>ESSEC</v>
      </c>
      <c r="H286" s="85" t="str">
        <f>_xlfn.XLOOKUP(Tabla2[[#This Row],[Universidad KPIs]],Conversiones!$C:$C,Conversiones!$E:$E)</f>
        <v>Específico</v>
      </c>
      <c r="I286" s="1" t="s">
        <v>57</v>
      </c>
      <c r="J286" s="1" t="s">
        <v>281</v>
      </c>
      <c r="K286" s="1" t="s">
        <v>3727</v>
      </c>
      <c r="L286" s="1" t="s">
        <v>3728</v>
      </c>
      <c r="M286" s="1" t="s">
        <v>230</v>
      </c>
      <c r="N286" s="1" t="s">
        <v>3657</v>
      </c>
      <c r="O286" s="86"/>
      <c r="P286" s="1">
        <v>1</v>
      </c>
      <c r="Q286" s="1" t="s">
        <v>3320</v>
      </c>
      <c r="R286" s="1" t="s">
        <v>2376</v>
      </c>
      <c r="S286" s="1" t="s">
        <v>3594</v>
      </c>
      <c r="T286" s="1" t="s">
        <v>3729</v>
      </c>
      <c r="U286" s="1" t="s">
        <v>3249</v>
      </c>
      <c r="V286" s="1" t="s">
        <v>2533</v>
      </c>
      <c r="W286" s="1" t="s">
        <v>2790</v>
      </c>
      <c r="X286" s="1" t="s">
        <v>3106</v>
      </c>
      <c r="Y286" s="1" t="s">
        <v>3730</v>
      </c>
      <c r="Z286" s="1"/>
      <c r="AA286" s="1"/>
      <c r="AB286" s="1"/>
      <c r="AC286" s="88" t="s">
        <v>237</v>
      </c>
      <c r="AD286" s="88" t="s">
        <v>247</v>
      </c>
    </row>
    <row r="287" spans="1:30" hidden="1">
      <c r="A287" s="1">
        <v>2024</v>
      </c>
      <c r="B287" s="1">
        <v>202410</v>
      </c>
      <c r="C287" s="1">
        <v>202416926</v>
      </c>
      <c r="D287" s="1" t="s">
        <v>3731</v>
      </c>
      <c r="E287" s="1" t="s">
        <v>3732</v>
      </c>
      <c r="F287" s="1" t="s">
        <v>145</v>
      </c>
      <c r="G287" s="85" t="str">
        <f>_xlfn.XLOOKUP(Tabla2[[#This Row],[Universidad]],Conversiones!$B:$B,Conversiones!$C:$C)</f>
        <v>FHNW Fachhochschule Nordwestschweiz</v>
      </c>
      <c r="H287" s="85" t="str">
        <f>_xlfn.XLOOKUP(Tabla2[[#This Row],[Universidad KPIs]],Conversiones!$C:$C,Conversiones!$E:$E)</f>
        <v>General</v>
      </c>
      <c r="I287" s="1" t="s">
        <v>81</v>
      </c>
      <c r="J287" s="1" t="s">
        <v>281</v>
      </c>
      <c r="K287" s="1" t="s">
        <v>3733</v>
      </c>
      <c r="L287" s="1" t="s">
        <v>3734</v>
      </c>
      <c r="M287" s="1" t="s">
        <v>230</v>
      </c>
      <c r="N287" s="1" t="s">
        <v>3657</v>
      </c>
      <c r="O287" s="86"/>
      <c r="P287" s="1">
        <v>1</v>
      </c>
      <c r="Q287" s="1" t="s">
        <v>2401</v>
      </c>
      <c r="R287" s="1" t="s">
        <v>2338</v>
      </c>
      <c r="S287" s="1" t="s">
        <v>2472</v>
      </c>
      <c r="T287" s="1" t="s">
        <v>2413</v>
      </c>
      <c r="U287" s="1"/>
      <c r="V287" s="1"/>
      <c r="W287" s="1"/>
      <c r="X287" s="1"/>
      <c r="Y287" s="1"/>
      <c r="Z287" s="1"/>
      <c r="AA287" s="1"/>
      <c r="AB287" s="1"/>
      <c r="AC287" s="88" t="s">
        <v>233</v>
      </c>
      <c r="AD287" s="88" t="s">
        <v>254</v>
      </c>
    </row>
    <row r="288" spans="1:30" hidden="1">
      <c r="A288" s="1">
        <v>2024</v>
      </c>
      <c r="B288" s="1">
        <v>202410</v>
      </c>
      <c r="C288" s="1">
        <v>202416827</v>
      </c>
      <c r="D288" s="1" t="s">
        <v>3735</v>
      </c>
      <c r="E288" s="1" t="s">
        <v>3736</v>
      </c>
      <c r="F288" s="1" t="s">
        <v>329</v>
      </c>
      <c r="G288" s="85" t="str">
        <f>_xlfn.XLOOKUP(Tabla2[[#This Row],[Universidad]],Conversiones!$B:$B,Conversiones!$C:$C)</f>
        <v>ESSEC</v>
      </c>
      <c r="H288" s="85" t="str">
        <f>_xlfn.XLOOKUP(Tabla2[[#This Row],[Universidad KPIs]],Conversiones!$C:$C,Conversiones!$E:$E)</f>
        <v>Específico</v>
      </c>
      <c r="I288" s="1" t="s">
        <v>57</v>
      </c>
      <c r="J288" s="1" t="s">
        <v>281</v>
      </c>
      <c r="K288" s="1" t="s">
        <v>3737</v>
      </c>
      <c r="L288" s="1" t="s">
        <v>3738</v>
      </c>
      <c r="M288" s="1" t="s">
        <v>230</v>
      </c>
      <c r="N288" s="1" t="s">
        <v>3657</v>
      </c>
      <c r="O288" s="86"/>
      <c r="P288" s="1">
        <v>1</v>
      </c>
      <c r="Q288" s="1" t="s">
        <v>2620</v>
      </c>
      <c r="R288" s="1" t="s">
        <v>2376</v>
      </c>
      <c r="S288" s="1" t="s">
        <v>3594</v>
      </c>
      <c r="T288" s="1"/>
      <c r="U288" s="1"/>
      <c r="V288" s="1"/>
      <c r="W288" s="1"/>
      <c r="X288" s="1"/>
      <c r="Y288" s="1"/>
      <c r="Z288" s="1"/>
      <c r="AA288" s="1"/>
      <c r="AB288" s="1"/>
      <c r="AC288" s="88" t="s">
        <v>237</v>
      </c>
      <c r="AD288" s="88" t="s">
        <v>247</v>
      </c>
    </row>
    <row r="289" spans="1:30" hidden="1">
      <c r="A289" s="1">
        <v>2024</v>
      </c>
      <c r="B289" s="1">
        <v>202410</v>
      </c>
      <c r="C289" s="1">
        <v>202416912</v>
      </c>
      <c r="D289" s="1" t="s">
        <v>3739</v>
      </c>
      <c r="E289" s="1" t="s">
        <v>3740</v>
      </c>
      <c r="F289" s="1" t="s">
        <v>381</v>
      </c>
      <c r="G289" s="85" t="str">
        <f>_xlfn.XLOOKUP(Tabla2[[#This Row],[Universidad]],Conversiones!$B:$B,Conversiones!$C:$C)</f>
        <v>Audencia. École de Management</v>
      </c>
      <c r="H289" s="85" t="str">
        <f>_xlfn.XLOOKUP(Tabla2[[#This Row],[Universidad KPIs]],Conversiones!$C:$C,Conversiones!$E:$E)</f>
        <v>Específico</v>
      </c>
      <c r="I289" s="1" t="s">
        <v>57</v>
      </c>
      <c r="J289" s="1" t="s">
        <v>281</v>
      </c>
      <c r="K289" s="1" t="s">
        <v>3741</v>
      </c>
      <c r="L289" s="1" t="s">
        <v>3742</v>
      </c>
      <c r="M289" s="1" t="s">
        <v>230</v>
      </c>
      <c r="N289" s="1" t="s">
        <v>3657</v>
      </c>
      <c r="O289" s="86"/>
      <c r="P289" s="1">
        <v>1</v>
      </c>
      <c r="Q289" s="1" t="s">
        <v>2556</v>
      </c>
      <c r="R289" s="1" t="s">
        <v>2332</v>
      </c>
      <c r="S289" s="1" t="s">
        <v>2443</v>
      </c>
      <c r="T289" s="1" t="s">
        <v>2341</v>
      </c>
      <c r="U289" s="1" t="s">
        <v>2712</v>
      </c>
      <c r="V289" s="1" t="s">
        <v>2861</v>
      </c>
      <c r="W289" s="1"/>
      <c r="X289" s="1"/>
      <c r="Y289" s="1"/>
      <c r="Z289" s="1"/>
      <c r="AA289" s="1"/>
      <c r="AB289" s="1"/>
      <c r="AC289" s="88" t="s">
        <v>233</v>
      </c>
      <c r="AD289" s="88" t="s">
        <v>254</v>
      </c>
    </row>
    <row r="290" spans="1:30" hidden="1">
      <c r="A290" s="1">
        <v>2024</v>
      </c>
      <c r="B290" s="1">
        <v>202410</v>
      </c>
      <c r="C290" s="1">
        <v>202416910</v>
      </c>
      <c r="D290" s="1" t="s">
        <v>1100</v>
      </c>
      <c r="E290" s="1" t="s">
        <v>3743</v>
      </c>
      <c r="F290" s="1" t="s">
        <v>96</v>
      </c>
      <c r="G290" s="85" t="str">
        <f>_xlfn.XLOOKUP(Tabla2[[#This Row],[Universidad]],Conversiones!$B:$B,Conversiones!$C:$C)</f>
        <v>McGill University</v>
      </c>
      <c r="H290" s="85" t="str">
        <f>_xlfn.XLOOKUP(Tabla2[[#This Row],[Universidad KPIs]],Conversiones!$C:$C,Conversiones!$E:$E)</f>
        <v>Específico</v>
      </c>
      <c r="I290" s="1" t="s">
        <v>74</v>
      </c>
      <c r="J290" s="1" t="s">
        <v>291</v>
      </c>
      <c r="K290" s="1" t="s">
        <v>3744</v>
      </c>
      <c r="L290" s="1" t="s">
        <v>3745</v>
      </c>
      <c r="M290" s="1" t="s">
        <v>230</v>
      </c>
      <c r="N290" s="1" t="s">
        <v>3657</v>
      </c>
      <c r="O290" s="86"/>
      <c r="P290" s="1">
        <v>1</v>
      </c>
      <c r="Q290" s="1" t="s">
        <v>2556</v>
      </c>
      <c r="R290" s="1" t="s">
        <v>3746</v>
      </c>
      <c r="S290" s="1" t="s">
        <v>3340</v>
      </c>
      <c r="T290" s="1" t="s">
        <v>2472</v>
      </c>
      <c r="U290" s="1"/>
      <c r="V290" s="1"/>
      <c r="W290" s="1"/>
      <c r="X290" s="1"/>
      <c r="Y290" s="1"/>
      <c r="Z290" s="1"/>
      <c r="AA290" s="1"/>
      <c r="AB290" s="1"/>
      <c r="AC290" s="88" t="s">
        <v>233</v>
      </c>
      <c r="AD290" s="88" t="s">
        <v>254</v>
      </c>
    </row>
    <row r="291" spans="1:30" hidden="1">
      <c r="A291" s="1">
        <v>2024</v>
      </c>
      <c r="B291" s="1">
        <v>202410</v>
      </c>
      <c r="C291" s="1">
        <v>202416829</v>
      </c>
      <c r="D291" s="1" t="s">
        <v>3747</v>
      </c>
      <c r="E291" s="1" t="s">
        <v>3748</v>
      </c>
      <c r="F291" s="1" t="s">
        <v>414</v>
      </c>
      <c r="G291" s="85" t="str">
        <f>_xlfn.XLOOKUP(Tabla2[[#This Row],[Universidad]],Conversiones!$B:$B,Conversiones!$C:$C)</f>
        <v>Faculté des Sciences de l'Administration. FSA Laval</v>
      </c>
      <c r="H291" s="85" t="str">
        <f>_xlfn.XLOOKUP(Tabla2[[#This Row],[Universidad KPIs]],Conversiones!$C:$C,Conversiones!$E:$E)</f>
        <v>Específico</v>
      </c>
      <c r="I291" s="1" t="s">
        <v>74</v>
      </c>
      <c r="J291" s="1" t="s">
        <v>291</v>
      </c>
      <c r="K291" s="1" t="s">
        <v>3749</v>
      </c>
      <c r="L291" s="1" t="s">
        <v>3750</v>
      </c>
      <c r="M291" s="1" t="s">
        <v>230</v>
      </c>
      <c r="N291" s="1" t="s">
        <v>3657</v>
      </c>
      <c r="O291" s="86"/>
      <c r="P291" s="1">
        <v>1</v>
      </c>
      <c r="Q291" s="1" t="s">
        <v>2964</v>
      </c>
      <c r="R291" s="1" t="s">
        <v>2885</v>
      </c>
      <c r="S291" s="1" t="s">
        <v>3751</v>
      </c>
      <c r="T291" s="1" t="s">
        <v>2495</v>
      </c>
      <c r="U291" s="1" t="s">
        <v>2790</v>
      </c>
      <c r="V291" s="1" t="s">
        <v>2494</v>
      </c>
      <c r="W291" s="1" t="s">
        <v>2913</v>
      </c>
      <c r="X291" s="1" t="s">
        <v>2965</v>
      </c>
      <c r="Y291" s="1" t="s">
        <v>2522</v>
      </c>
      <c r="Z291" s="1" t="s">
        <v>2517</v>
      </c>
      <c r="AA291" s="1"/>
      <c r="AB291" s="1"/>
      <c r="AC291" s="88" t="s">
        <v>237</v>
      </c>
      <c r="AD291" s="88" t="s">
        <v>247</v>
      </c>
    </row>
    <row r="292" spans="1:30" hidden="1">
      <c r="A292" s="1">
        <v>2024</v>
      </c>
      <c r="B292" s="1">
        <v>202410</v>
      </c>
      <c r="C292" s="1">
        <v>202416906</v>
      </c>
      <c r="D292" s="1" t="s">
        <v>3752</v>
      </c>
      <c r="E292" s="1" t="s">
        <v>3753</v>
      </c>
      <c r="F292" s="1" t="s">
        <v>351</v>
      </c>
      <c r="G292" s="85" t="str">
        <f>_xlfn.XLOOKUP(Tabla2[[#This Row],[Universidad]],Conversiones!$B:$B,Conversiones!$C:$C)</f>
        <v>KLU Kühne Logistics University</v>
      </c>
      <c r="H292" s="85" t="str">
        <f>_xlfn.XLOOKUP(Tabla2[[#This Row],[Universidad KPIs]],Conversiones!$C:$C,Conversiones!$E:$E)</f>
        <v>Específico</v>
      </c>
      <c r="I292" s="1" t="s">
        <v>76</v>
      </c>
      <c r="J292" s="1" t="s">
        <v>281</v>
      </c>
      <c r="K292" s="1" t="s">
        <v>3754</v>
      </c>
      <c r="L292" s="1" t="s">
        <v>3755</v>
      </c>
      <c r="M292" s="1" t="s">
        <v>230</v>
      </c>
      <c r="N292" s="1" t="s">
        <v>3657</v>
      </c>
      <c r="O292" s="86"/>
      <c r="P292" s="1">
        <v>1</v>
      </c>
      <c r="Q292" s="1" t="s">
        <v>2556</v>
      </c>
      <c r="R292" s="1" t="s">
        <v>2338</v>
      </c>
      <c r="S292" s="1" t="s">
        <v>2352</v>
      </c>
      <c r="T292" s="1" t="s">
        <v>2472</v>
      </c>
      <c r="U292" s="1"/>
      <c r="V292" s="1"/>
      <c r="W292" s="1"/>
      <c r="X292" s="1"/>
      <c r="Y292" s="1"/>
      <c r="Z292" s="1"/>
      <c r="AA292" s="1"/>
      <c r="AB292" s="1"/>
      <c r="AC292" s="88" t="s">
        <v>233</v>
      </c>
      <c r="AD292" s="88" t="s">
        <v>254</v>
      </c>
    </row>
    <row r="293" spans="1:30" hidden="1">
      <c r="A293" s="1">
        <v>2024</v>
      </c>
      <c r="B293" s="1">
        <v>202410</v>
      </c>
      <c r="C293" s="1">
        <v>202416896</v>
      </c>
      <c r="D293" s="1" t="s">
        <v>3756</v>
      </c>
      <c r="E293" s="1" t="s">
        <v>3757</v>
      </c>
      <c r="F293" s="1" t="s">
        <v>769</v>
      </c>
      <c r="G293" s="85" t="str">
        <f>_xlfn.XLOOKUP(Tabla2[[#This Row],[Universidad]],Conversiones!$B:$B,Conversiones!$C:$C)</f>
        <v>Universidad de Tilburg</v>
      </c>
      <c r="H293" s="85" t="str">
        <f>_xlfn.XLOOKUP(Tabla2[[#This Row],[Universidad KPIs]],Conversiones!$C:$C,Conversiones!$E:$E)</f>
        <v>Específico</v>
      </c>
      <c r="I293" s="1" t="s">
        <v>95</v>
      </c>
      <c r="J293" s="1" t="s">
        <v>281</v>
      </c>
      <c r="K293" s="1" t="s">
        <v>3758</v>
      </c>
      <c r="L293" s="1" t="s">
        <v>3759</v>
      </c>
      <c r="M293" s="1" t="s">
        <v>230</v>
      </c>
      <c r="N293" s="1" t="s">
        <v>3657</v>
      </c>
      <c r="O293" s="86"/>
      <c r="P293" s="1">
        <v>1</v>
      </c>
      <c r="Q293" s="1" t="s">
        <v>2401</v>
      </c>
      <c r="R293" s="1" t="s">
        <v>2920</v>
      </c>
      <c r="S293" s="1" t="s">
        <v>2400</v>
      </c>
      <c r="T293" s="1" t="s">
        <v>2413</v>
      </c>
      <c r="U293" s="1" t="s">
        <v>3249</v>
      </c>
      <c r="V293" s="1" t="s">
        <v>2790</v>
      </c>
      <c r="W293" s="1" t="s">
        <v>2473</v>
      </c>
      <c r="X293" s="1"/>
      <c r="Y293" s="1"/>
      <c r="Z293" s="1"/>
      <c r="AA293" s="1"/>
      <c r="AB293" s="1"/>
      <c r="AC293" s="88" t="s">
        <v>233</v>
      </c>
      <c r="AD293" s="88" t="s">
        <v>254</v>
      </c>
    </row>
    <row r="294" spans="1:30" hidden="1">
      <c r="A294" s="1">
        <v>2024</v>
      </c>
      <c r="B294" s="1">
        <v>202410</v>
      </c>
      <c r="C294" s="1">
        <v>202416895</v>
      </c>
      <c r="D294" s="1" t="s">
        <v>3760</v>
      </c>
      <c r="E294" s="1" t="s">
        <v>3761</v>
      </c>
      <c r="F294" s="1" t="s">
        <v>1337</v>
      </c>
      <c r="G294" s="85" t="str">
        <f>_xlfn.XLOOKUP(Tabla2[[#This Row],[Universidad]],Conversiones!$B:$B,Conversiones!$C:$C)</f>
        <v>Universidad del Pacífico</v>
      </c>
      <c r="H294" s="85" t="str">
        <f>_xlfn.XLOOKUP(Tabla2[[#This Row],[Universidad KPIs]],Conversiones!$C:$C,Conversiones!$E:$E)</f>
        <v>Específico</v>
      </c>
      <c r="I294" s="1" t="s">
        <v>112</v>
      </c>
      <c r="J294" s="1" t="s">
        <v>296</v>
      </c>
      <c r="K294" s="1" t="s">
        <v>3762</v>
      </c>
      <c r="L294" s="1" t="s">
        <v>3763</v>
      </c>
      <c r="M294" s="1" t="s">
        <v>230</v>
      </c>
      <c r="N294" s="1" t="s">
        <v>3657</v>
      </c>
      <c r="O294" s="86"/>
      <c r="P294" s="1">
        <v>1</v>
      </c>
      <c r="Q294" s="1" t="s">
        <v>2338</v>
      </c>
      <c r="R294" s="1" t="s">
        <v>2400</v>
      </c>
      <c r="S294" s="1" t="s">
        <v>2340</v>
      </c>
      <c r="T294" s="1" t="s">
        <v>2360</v>
      </c>
      <c r="U294" s="1" t="s">
        <v>2609</v>
      </c>
      <c r="V294" s="1"/>
      <c r="W294" s="1"/>
      <c r="X294" s="1"/>
      <c r="Y294" s="1"/>
      <c r="Z294" s="1"/>
      <c r="AA294" s="1"/>
      <c r="AB294" s="1"/>
      <c r="AC294" s="88" t="s">
        <v>233</v>
      </c>
      <c r="AD294" s="88" t="s">
        <v>254</v>
      </c>
    </row>
    <row r="295" spans="1:30" hidden="1">
      <c r="A295" s="1">
        <v>2024</v>
      </c>
      <c r="B295" s="1">
        <v>202410</v>
      </c>
      <c r="C295" s="1">
        <v>202416894</v>
      </c>
      <c r="D295" s="1" t="s">
        <v>3764</v>
      </c>
      <c r="E295" s="1" t="s">
        <v>3765</v>
      </c>
      <c r="F295" s="1" t="s">
        <v>639</v>
      </c>
      <c r="G295" s="85" t="str">
        <f>_xlfn.XLOOKUP(Tabla2[[#This Row],[Universidad]],Conversiones!$B:$B,Conversiones!$C:$C)</f>
        <v>IE Instituto Empresa</v>
      </c>
      <c r="H295" s="85" t="str">
        <f>_xlfn.XLOOKUP(Tabla2[[#This Row],[Universidad KPIs]],Conversiones!$C:$C,Conversiones!$E:$E)</f>
        <v>Específico</v>
      </c>
      <c r="I295" s="1" t="s">
        <v>69</v>
      </c>
      <c r="J295" s="1" t="s">
        <v>281</v>
      </c>
      <c r="K295" s="1" t="s">
        <v>3766</v>
      </c>
      <c r="L295" s="1" t="s">
        <v>3767</v>
      </c>
      <c r="M295" s="1" t="s">
        <v>230</v>
      </c>
      <c r="N295" s="1" t="s">
        <v>3657</v>
      </c>
      <c r="O295" s="86"/>
      <c r="P295" s="1">
        <v>1</v>
      </c>
      <c r="Q295" s="1" t="s">
        <v>2419</v>
      </c>
      <c r="R295" s="1" t="s">
        <v>2556</v>
      </c>
      <c r="S295" s="1" t="s">
        <v>2332</v>
      </c>
      <c r="T295" s="1" t="s">
        <v>2443</v>
      </c>
      <c r="U295" s="1" t="s">
        <v>2331</v>
      </c>
      <c r="V295" s="1" t="s">
        <v>2401</v>
      </c>
      <c r="W295" s="1"/>
      <c r="X295" s="1"/>
      <c r="Y295" s="1"/>
      <c r="Z295" s="1"/>
      <c r="AA295" s="1"/>
      <c r="AB295" s="1"/>
      <c r="AC295" s="88" t="s">
        <v>233</v>
      </c>
      <c r="AD295" s="88" t="s">
        <v>254</v>
      </c>
    </row>
    <row r="296" spans="1:30" hidden="1">
      <c r="A296" s="1">
        <v>2024</v>
      </c>
      <c r="B296" s="1">
        <v>202410</v>
      </c>
      <c r="C296" s="1">
        <v>202415033</v>
      </c>
      <c r="D296" s="1" t="s">
        <v>3768</v>
      </c>
      <c r="E296" s="1" t="s">
        <v>3769</v>
      </c>
      <c r="F296" s="1" t="s">
        <v>140</v>
      </c>
      <c r="G296" s="85" t="str">
        <f>_xlfn.XLOOKUP(Tabla2[[#This Row],[Universidad]],Conversiones!$B:$B,Conversiones!$C:$C)</f>
        <v>American University of Central Asia</v>
      </c>
      <c r="H296" s="85" t="str">
        <f>_xlfn.XLOOKUP(Tabla2[[#This Row],[Universidad KPIs]],Conversiones!$C:$C,Conversiones!$E:$E)</f>
        <v>General</v>
      </c>
      <c r="I296" s="1" t="s">
        <v>141</v>
      </c>
      <c r="J296" s="1" t="s">
        <v>568</v>
      </c>
      <c r="K296" s="1" t="s">
        <v>3770</v>
      </c>
      <c r="L296" s="1" t="s">
        <v>3771</v>
      </c>
      <c r="M296" s="1" t="s">
        <v>230</v>
      </c>
      <c r="N296" s="1" t="s">
        <v>3657</v>
      </c>
      <c r="O296" s="86"/>
      <c r="P296" s="1">
        <v>1</v>
      </c>
      <c r="Q296" s="1" t="s">
        <v>2443</v>
      </c>
      <c r="R296" s="1" t="s">
        <v>2401</v>
      </c>
      <c r="S296" s="1" t="s">
        <v>2338</v>
      </c>
      <c r="T296" s="1" t="s">
        <v>2472</v>
      </c>
      <c r="U296" s="1" t="s">
        <v>3231</v>
      </c>
      <c r="V296" s="1"/>
      <c r="W296" s="1"/>
      <c r="X296" s="1"/>
      <c r="Y296" s="1"/>
      <c r="Z296" s="1"/>
      <c r="AA296" s="1"/>
      <c r="AB296" s="1"/>
      <c r="AC296" s="88" t="s">
        <v>233</v>
      </c>
      <c r="AD296" s="88" t="s">
        <v>254</v>
      </c>
    </row>
    <row r="297" spans="1:30" hidden="1">
      <c r="A297" s="1">
        <v>2024</v>
      </c>
      <c r="B297" s="1">
        <v>202410</v>
      </c>
      <c r="C297" s="1">
        <v>202416873</v>
      </c>
      <c r="D297" s="1" t="s">
        <v>3772</v>
      </c>
      <c r="E297" s="1" t="s">
        <v>3773</v>
      </c>
      <c r="F297" s="1" t="s">
        <v>94</v>
      </c>
      <c r="G297" s="85" t="str">
        <f>_xlfn.XLOOKUP(Tabla2[[#This Row],[Universidad]],Conversiones!$B:$B,Conversiones!$C:$C)</f>
        <v>Maastricht University</v>
      </c>
      <c r="H297" s="85" t="str">
        <f>_xlfn.XLOOKUP(Tabla2[[#This Row],[Universidad KPIs]],Conversiones!$C:$C,Conversiones!$E:$E)</f>
        <v>Específico</v>
      </c>
      <c r="I297" s="1" t="s">
        <v>95</v>
      </c>
      <c r="J297" s="1" t="s">
        <v>281</v>
      </c>
      <c r="K297" s="1" t="s">
        <v>3774</v>
      </c>
      <c r="L297" s="1" t="s">
        <v>3775</v>
      </c>
      <c r="M297" s="1" t="s">
        <v>230</v>
      </c>
      <c r="N297" s="1" t="s">
        <v>3657</v>
      </c>
      <c r="O297" s="86"/>
      <c r="P297" s="1">
        <v>1</v>
      </c>
      <c r="Q297" s="1" t="s">
        <v>2419</v>
      </c>
      <c r="R297" s="1" t="s">
        <v>2401</v>
      </c>
      <c r="S297" s="1" t="s">
        <v>2352</v>
      </c>
      <c r="T297" s="1" t="s">
        <v>3340</v>
      </c>
      <c r="U297" s="1" t="s">
        <v>2400</v>
      </c>
      <c r="V297" s="1" t="s">
        <v>2876</v>
      </c>
      <c r="W297" s="1"/>
      <c r="X297" s="1"/>
      <c r="Y297" s="1"/>
      <c r="Z297" s="1"/>
      <c r="AA297" s="1"/>
      <c r="AB297" s="1"/>
      <c r="AC297" s="88" t="s">
        <v>233</v>
      </c>
      <c r="AD297" s="88" t="s">
        <v>254</v>
      </c>
    </row>
    <row r="298" spans="1:30" hidden="1">
      <c r="A298" s="1">
        <v>2024</v>
      </c>
      <c r="B298" s="1">
        <v>202410</v>
      </c>
      <c r="C298" s="1">
        <v>202416856</v>
      </c>
      <c r="D298" s="1" t="s">
        <v>690</v>
      </c>
      <c r="E298" s="1" t="s">
        <v>3776</v>
      </c>
      <c r="F298" s="1" t="s">
        <v>96</v>
      </c>
      <c r="G298" s="85" t="str">
        <f>_xlfn.XLOOKUP(Tabla2[[#This Row],[Universidad]],Conversiones!$B:$B,Conversiones!$C:$C)</f>
        <v>McGill University</v>
      </c>
      <c r="H298" s="85" t="str">
        <f>_xlfn.XLOOKUP(Tabla2[[#This Row],[Universidad KPIs]],Conversiones!$C:$C,Conversiones!$E:$E)</f>
        <v>Específico</v>
      </c>
      <c r="I298" s="1" t="s">
        <v>74</v>
      </c>
      <c r="J298" s="1" t="s">
        <v>291</v>
      </c>
      <c r="K298" s="1" t="s">
        <v>3777</v>
      </c>
      <c r="L298" s="1" t="s">
        <v>3778</v>
      </c>
      <c r="M298" s="1" t="s">
        <v>230</v>
      </c>
      <c r="N298" s="1" t="s">
        <v>3657</v>
      </c>
      <c r="O298" s="86"/>
      <c r="P298" s="1">
        <v>1</v>
      </c>
      <c r="Q298" s="1" t="s">
        <v>2332</v>
      </c>
      <c r="R298" s="1" t="s">
        <v>2331</v>
      </c>
      <c r="S298" s="1" t="s">
        <v>2339</v>
      </c>
      <c r="T298" s="1" t="s">
        <v>3779</v>
      </c>
      <c r="U298" s="1" t="s">
        <v>3780</v>
      </c>
      <c r="V298" s="1"/>
      <c r="W298" s="1"/>
      <c r="X298" s="1"/>
      <c r="Y298" s="1"/>
      <c r="Z298" s="1"/>
      <c r="AA298" s="1"/>
      <c r="AB298" s="1"/>
      <c r="AC298" s="88" t="s">
        <v>233</v>
      </c>
      <c r="AD298" s="88" t="s">
        <v>254</v>
      </c>
    </row>
    <row r="299" spans="1:30" hidden="1">
      <c r="A299" s="1">
        <v>2024</v>
      </c>
      <c r="B299" s="1">
        <v>202410</v>
      </c>
      <c r="C299" s="1">
        <v>202416852</v>
      </c>
      <c r="D299" s="1" t="s">
        <v>3781</v>
      </c>
      <c r="E299" s="1" t="s">
        <v>3782</v>
      </c>
      <c r="F299" s="1" t="s">
        <v>96</v>
      </c>
      <c r="G299" s="85" t="str">
        <f>_xlfn.XLOOKUP(Tabla2[[#This Row],[Universidad]],Conversiones!$B:$B,Conversiones!$C:$C)</f>
        <v>McGill University</v>
      </c>
      <c r="H299" s="85" t="str">
        <f>_xlfn.XLOOKUP(Tabla2[[#This Row],[Universidad KPIs]],Conversiones!$C:$C,Conversiones!$E:$E)</f>
        <v>Específico</v>
      </c>
      <c r="I299" s="1" t="s">
        <v>74</v>
      </c>
      <c r="J299" s="1" t="s">
        <v>291</v>
      </c>
      <c r="K299" s="1" t="s">
        <v>3783</v>
      </c>
      <c r="L299" s="1" t="s">
        <v>3784</v>
      </c>
      <c r="M299" s="1" t="s">
        <v>230</v>
      </c>
      <c r="N299" s="1" t="s">
        <v>3657</v>
      </c>
      <c r="O299" s="86"/>
      <c r="P299" s="1">
        <v>1</v>
      </c>
      <c r="Q299" s="1" t="s">
        <v>2556</v>
      </c>
      <c r="R299" s="1" t="s">
        <v>3340</v>
      </c>
      <c r="S299" s="1" t="s">
        <v>2609</v>
      </c>
      <c r="T299" s="1" t="s">
        <v>2472</v>
      </c>
      <c r="U299" s="1"/>
      <c r="V299" s="1"/>
      <c r="W299" s="1"/>
      <c r="X299" s="1"/>
      <c r="Y299" s="1"/>
      <c r="Z299" s="1"/>
      <c r="AA299" s="1"/>
      <c r="AB299" s="1"/>
      <c r="AC299" s="88" t="s">
        <v>233</v>
      </c>
      <c r="AD299" s="88" t="s">
        <v>254</v>
      </c>
    </row>
    <row r="300" spans="1:30" hidden="1">
      <c r="A300" s="1">
        <v>2024</v>
      </c>
      <c r="B300" s="1">
        <v>202410</v>
      </c>
      <c r="C300" s="1">
        <v>202416850</v>
      </c>
      <c r="D300" s="1" t="s">
        <v>3785</v>
      </c>
      <c r="E300" s="1" t="s">
        <v>3617</v>
      </c>
      <c r="F300" s="1" t="s">
        <v>1485</v>
      </c>
      <c r="G300" s="85" t="str">
        <f>_xlfn.XLOOKUP(Tabla2[[#This Row],[Universidad]],Conversiones!$B:$B,Conversiones!$C:$C)</f>
        <v>HEC Paris</v>
      </c>
      <c r="H300" s="85" t="str">
        <f>_xlfn.XLOOKUP(Tabla2[[#This Row],[Universidad KPIs]],Conversiones!$C:$C,Conversiones!$E:$E)</f>
        <v>Específico</v>
      </c>
      <c r="I300" s="1" t="s">
        <v>57</v>
      </c>
      <c r="J300" s="1" t="s">
        <v>281</v>
      </c>
      <c r="K300" s="1" t="s">
        <v>3786</v>
      </c>
      <c r="L300" s="1" t="s">
        <v>3787</v>
      </c>
      <c r="M300" s="1" t="s">
        <v>230</v>
      </c>
      <c r="N300" s="1" t="s">
        <v>3657</v>
      </c>
      <c r="O300" s="86"/>
      <c r="P300" s="1">
        <v>1</v>
      </c>
      <c r="Q300" s="1" t="s">
        <v>2640</v>
      </c>
      <c r="R300" s="1" t="s">
        <v>2338</v>
      </c>
      <c r="S300" s="1" t="s">
        <v>2487</v>
      </c>
      <c r="T300" s="1" t="s">
        <v>2340</v>
      </c>
      <c r="U300" s="1" t="s">
        <v>3788</v>
      </c>
      <c r="V300" s="1"/>
      <c r="W300" s="1"/>
      <c r="X300" s="1"/>
      <c r="Y300" s="1"/>
      <c r="Z300" s="1"/>
      <c r="AA300" s="1"/>
      <c r="AB300" s="1"/>
      <c r="AC300" s="88" t="s">
        <v>233</v>
      </c>
      <c r="AD300" s="88" t="s">
        <v>254</v>
      </c>
    </row>
    <row r="301" spans="1:30" hidden="1">
      <c r="A301" s="1">
        <v>2024</v>
      </c>
      <c r="B301" s="1">
        <v>202410</v>
      </c>
      <c r="C301" s="1">
        <v>202416848</v>
      </c>
      <c r="D301" s="1" t="s">
        <v>3789</v>
      </c>
      <c r="E301" s="1" t="s">
        <v>3790</v>
      </c>
      <c r="F301" s="1" t="s">
        <v>639</v>
      </c>
      <c r="G301" s="85" t="str">
        <f>_xlfn.XLOOKUP(Tabla2[[#This Row],[Universidad]],Conversiones!$B:$B,Conversiones!$C:$C)</f>
        <v>IE Instituto Empresa</v>
      </c>
      <c r="H301" s="85" t="str">
        <f>_xlfn.XLOOKUP(Tabla2[[#This Row],[Universidad KPIs]],Conversiones!$C:$C,Conversiones!$E:$E)</f>
        <v>Específico</v>
      </c>
      <c r="I301" s="1" t="s">
        <v>69</v>
      </c>
      <c r="J301" s="1" t="s">
        <v>281</v>
      </c>
      <c r="K301" s="1" t="s">
        <v>3791</v>
      </c>
      <c r="L301" s="1" t="s">
        <v>3792</v>
      </c>
      <c r="M301" s="1" t="s">
        <v>230</v>
      </c>
      <c r="N301" s="1" t="s">
        <v>3657</v>
      </c>
      <c r="O301" s="86"/>
      <c r="P301" s="1">
        <v>1</v>
      </c>
      <c r="Q301" s="1" t="s">
        <v>2419</v>
      </c>
      <c r="R301" s="1" t="s">
        <v>2556</v>
      </c>
      <c r="S301" s="1" t="s">
        <v>2443</v>
      </c>
      <c r="T301" s="1" t="s">
        <v>2331</v>
      </c>
      <c r="U301" s="1" t="s">
        <v>2401</v>
      </c>
      <c r="V301" s="1"/>
      <c r="W301" s="1"/>
      <c r="X301" s="1"/>
      <c r="Y301" s="1"/>
      <c r="Z301" s="1"/>
      <c r="AA301" s="1"/>
      <c r="AB301" s="1"/>
      <c r="AC301" s="88" t="s">
        <v>233</v>
      </c>
      <c r="AD301" s="88" t="s">
        <v>254</v>
      </c>
    </row>
    <row r="302" spans="1:30" hidden="1">
      <c r="A302" s="1">
        <v>2024</v>
      </c>
      <c r="B302" s="1">
        <v>202410</v>
      </c>
      <c r="C302" s="1">
        <v>202416847</v>
      </c>
      <c r="D302" s="1" t="s">
        <v>3793</v>
      </c>
      <c r="E302" s="1" t="s">
        <v>3794</v>
      </c>
      <c r="F302" s="1" t="s">
        <v>52</v>
      </c>
      <c r="G302" s="85" t="str">
        <f>_xlfn.XLOOKUP(Tabla2[[#This Row],[Universidad]],Conversiones!$B:$B,Conversiones!$C:$C)</f>
        <v>Aalto University</v>
      </c>
      <c r="H302" s="85" t="str">
        <f>_xlfn.XLOOKUP(Tabla2[[#This Row],[Universidad KPIs]],Conversiones!$C:$C,Conversiones!$E:$E)</f>
        <v>Específico</v>
      </c>
      <c r="I302" s="1" t="s">
        <v>53</v>
      </c>
      <c r="J302" s="1" t="s">
        <v>281</v>
      </c>
      <c r="K302" s="1" t="s">
        <v>3795</v>
      </c>
      <c r="L302" s="1" t="s">
        <v>3796</v>
      </c>
      <c r="M302" s="1" t="s">
        <v>230</v>
      </c>
      <c r="N302" s="1" t="s">
        <v>3657</v>
      </c>
      <c r="O302" s="86"/>
      <c r="P302" s="1">
        <v>1</v>
      </c>
      <c r="Q302" s="1" t="s">
        <v>2556</v>
      </c>
      <c r="R302" s="1" t="s">
        <v>3230</v>
      </c>
      <c r="S302" s="1" t="s">
        <v>3797</v>
      </c>
      <c r="T302" s="1" t="s">
        <v>3798</v>
      </c>
      <c r="U302" s="1" t="s">
        <v>2790</v>
      </c>
      <c r="V302" s="1" t="s">
        <v>3799</v>
      </c>
      <c r="W302" s="1" t="s">
        <v>3508</v>
      </c>
      <c r="X302" s="1"/>
      <c r="Y302" s="1"/>
      <c r="Z302" s="1"/>
      <c r="AA302" s="1"/>
      <c r="AB302" s="1"/>
      <c r="AC302" s="88" t="s">
        <v>233</v>
      </c>
      <c r="AD302" s="88" t="s">
        <v>254</v>
      </c>
    </row>
    <row r="303" spans="1:30" hidden="1">
      <c r="A303" s="1">
        <v>2024</v>
      </c>
      <c r="B303" s="1">
        <v>202410</v>
      </c>
      <c r="C303" s="1">
        <v>202416840</v>
      </c>
      <c r="D303" s="1" t="s">
        <v>1397</v>
      </c>
      <c r="E303" s="1" t="s">
        <v>3800</v>
      </c>
      <c r="F303" s="1" t="s">
        <v>524</v>
      </c>
      <c r="G303" s="85" t="str">
        <f>_xlfn.XLOOKUP(Tabla2[[#This Row],[Universidad]],Conversiones!$B:$B,Conversiones!$C:$C)</f>
        <v>University of Saint Gallen</v>
      </c>
      <c r="H303" s="85" t="str">
        <f>_xlfn.XLOOKUP(Tabla2[[#This Row],[Universidad KPIs]],Conversiones!$C:$C,Conversiones!$E:$E)</f>
        <v>Específico</v>
      </c>
      <c r="I303" s="1" t="s">
        <v>81</v>
      </c>
      <c r="J303" s="1" t="s">
        <v>281</v>
      </c>
      <c r="K303" s="1" t="s">
        <v>3801</v>
      </c>
      <c r="L303" s="1" t="s">
        <v>3802</v>
      </c>
      <c r="M303" s="1" t="s">
        <v>230</v>
      </c>
      <c r="N303" s="1" t="s">
        <v>3657</v>
      </c>
      <c r="O303" s="86"/>
      <c r="P303" s="1">
        <v>1</v>
      </c>
      <c r="Q303" s="1" t="s">
        <v>3286</v>
      </c>
      <c r="R303" s="1" t="s">
        <v>3005</v>
      </c>
      <c r="S303" s="1" t="s">
        <v>3289</v>
      </c>
      <c r="T303" s="1" t="s">
        <v>3288</v>
      </c>
      <c r="U303" s="1" t="s">
        <v>3803</v>
      </c>
      <c r="V303" s="1" t="s">
        <v>2522</v>
      </c>
      <c r="W303" s="1"/>
      <c r="X303" s="1"/>
      <c r="Y303" s="1"/>
      <c r="Z303" s="1"/>
      <c r="AA303" s="1"/>
      <c r="AB303" s="1"/>
      <c r="AC303" s="88" t="s">
        <v>251</v>
      </c>
      <c r="AD303" s="88" t="s">
        <v>247</v>
      </c>
    </row>
    <row r="304" spans="1:30" hidden="1">
      <c r="A304" s="1">
        <v>2024</v>
      </c>
      <c r="B304" s="1">
        <v>202410</v>
      </c>
      <c r="C304" s="1">
        <v>202416841</v>
      </c>
      <c r="D304" s="1" t="s">
        <v>3804</v>
      </c>
      <c r="E304" s="1" t="s">
        <v>3805</v>
      </c>
      <c r="F304" s="1" t="s">
        <v>356</v>
      </c>
      <c r="G304" s="85" t="str">
        <f>_xlfn.XLOOKUP(Tabla2[[#This Row],[Universidad]],Conversiones!$B:$B,Conversiones!$C:$C)</f>
        <v>Università Commerciale Luigi Bocconi</v>
      </c>
      <c r="H304" s="85" t="str">
        <f>_xlfn.XLOOKUP(Tabla2[[#This Row],[Universidad KPIs]],Conversiones!$C:$C,Conversiones!$E:$E)</f>
        <v>Específico</v>
      </c>
      <c r="I304" s="1" t="s">
        <v>103</v>
      </c>
      <c r="J304" s="1" t="s">
        <v>281</v>
      </c>
      <c r="K304" s="1" t="s">
        <v>3806</v>
      </c>
      <c r="L304" s="1" t="s">
        <v>3807</v>
      </c>
      <c r="M304" s="1" t="s">
        <v>230</v>
      </c>
      <c r="N304" s="1" t="s">
        <v>3657</v>
      </c>
      <c r="O304" s="86"/>
      <c r="P304" s="1">
        <v>1</v>
      </c>
      <c r="Q304" s="1" t="s">
        <v>3286</v>
      </c>
      <c r="R304" s="1" t="s">
        <v>3290</v>
      </c>
      <c r="S304" s="1" t="s">
        <v>3289</v>
      </c>
      <c r="T304" s="1" t="s">
        <v>3288</v>
      </c>
      <c r="U304" s="1" t="s">
        <v>3803</v>
      </c>
      <c r="V304" s="1"/>
      <c r="W304" s="1"/>
      <c r="X304" s="1"/>
      <c r="Y304" s="1"/>
      <c r="Z304" s="1"/>
      <c r="AA304" s="1"/>
      <c r="AB304" s="1"/>
      <c r="AC304" s="88" t="s">
        <v>251</v>
      </c>
      <c r="AD304" s="88" t="s">
        <v>247</v>
      </c>
    </row>
    <row r="305" spans="1:30" hidden="1">
      <c r="A305" s="1">
        <v>2024</v>
      </c>
      <c r="B305" s="1">
        <v>202410</v>
      </c>
      <c r="C305" s="1">
        <v>202416842</v>
      </c>
      <c r="D305" s="1" t="s">
        <v>3808</v>
      </c>
      <c r="E305" s="1" t="s">
        <v>3809</v>
      </c>
      <c r="F305" s="1" t="s">
        <v>204</v>
      </c>
      <c r="G305" s="85" t="str">
        <f>_xlfn.XLOOKUP(Tabla2[[#This Row],[Universidad]],Conversiones!$B:$B,Conversiones!$C:$C)</f>
        <v>Universidad Adolfo Ibáñez</v>
      </c>
      <c r="H305" s="85" t="str">
        <f>_xlfn.XLOOKUP(Tabla2[[#This Row],[Universidad KPIs]],Conversiones!$C:$C,Conversiones!$E:$E)</f>
        <v>General</v>
      </c>
      <c r="I305" s="1" t="s">
        <v>109</v>
      </c>
      <c r="J305" s="1" t="s">
        <v>296</v>
      </c>
      <c r="K305" s="1" t="s">
        <v>3810</v>
      </c>
      <c r="L305" s="1" t="s">
        <v>3811</v>
      </c>
      <c r="M305" s="1" t="s">
        <v>230</v>
      </c>
      <c r="N305" s="1" t="s">
        <v>3657</v>
      </c>
      <c r="O305" s="86"/>
      <c r="P305" s="1">
        <v>1</v>
      </c>
      <c r="Q305" s="1" t="s">
        <v>3286</v>
      </c>
      <c r="R305" s="1" t="s">
        <v>3290</v>
      </c>
      <c r="S305" s="1" t="s">
        <v>3005</v>
      </c>
      <c r="T305" s="1" t="s">
        <v>3289</v>
      </c>
      <c r="U305" s="1" t="s">
        <v>3288</v>
      </c>
      <c r="V305" s="1" t="s">
        <v>3803</v>
      </c>
      <c r="W305" s="1"/>
      <c r="X305" s="1"/>
      <c r="Y305" s="1"/>
      <c r="Z305" s="1"/>
      <c r="AA305" s="1"/>
      <c r="AB305" s="1"/>
      <c r="AC305" s="88" t="s">
        <v>251</v>
      </c>
      <c r="AD305" s="88" t="s">
        <v>247</v>
      </c>
    </row>
    <row r="306" spans="1:30" hidden="1">
      <c r="A306" s="1">
        <v>2024</v>
      </c>
      <c r="B306" s="1">
        <v>202410</v>
      </c>
      <c r="C306" s="1">
        <v>202416843</v>
      </c>
      <c r="D306" s="1" t="s">
        <v>3812</v>
      </c>
      <c r="E306" s="1" t="s">
        <v>3813</v>
      </c>
      <c r="F306" s="1" t="s">
        <v>455</v>
      </c>
      <c r="G306" s="85" t="str">
        <f>_xlfn.XLOOKUP(Tabla2[[#This Row],[Universidad]],Conversiones!$B:$B,Conversiones!$C:$C)</f>
        <v>Nova School of Business and Economics</v>
      </c>
      <c r="H306" s="85" t="str">
        <f>_xlfn.XLOOKUP(Tabla2[[#This Row],[Universidad KPIs]],Conversiones!$C:$C,Conversiones!$E:$E)</f>
        <v>Específico</v>
      </c>
      <c r="I306" s="1" t="s">
        <v>61</v>
      </c>
      <c r="J306" s="1" t="s">
        <v>281</v>
      </c>
      <c r="K306" s="1" t="s">
        <v>3814</v>
      </c>
      <c r="L306" s="1" t="s">
        <v>3815</v>
      </c>
      <c r="M306" s="1" t="s">
        <v>230</v>
      </c>
      <c r="N306" s="1" t="s">
        <v>3657</v>
      </c>
      <c r="O306" s="86"/>
      <c r="P306" s="1">
        <v>1</v>
      </c>
      <c r="Q306" s="1" t="s">
        <v>3286</v>
      </c>
      <c r="R306" s="1" t="s">
        <v>3290</v>
      </c>
      <c r="S306" s="1" t="s">
        <v>3005</v>
      </c>
      <c r="T306" s="1" t="s">
        <v>3289</v>
      </c>
      <c r="U306" s="1" t="s">
        <v>3288</v>
      </c>
      <c r="V306" s="1"/>
      <c r="W306" s="1"/>
      <c r="X306" s="1"/>
      <c r="Y306" s="1"/>
      <c r="Z306" s="1"/>
      <c r="AA306" s="1"/>
      <c r="AB306" s="1"/>
      <c r="AC306" s="88" t="s">
        <v>251</v>
      </c>
      <c r="AD306" s="88" t="s">
        <v>247</v>
      </c>
    </row>
    <row r="307" spans="1:30" hidden="1">
      <c r="A307" s="1">
        <v>2024</v>
      </c>
      <c r="B307" s="1">
        <v>202410</v>
      </c>
      <c r="C307" s="1">
        <v>202416844</v>
      </c>
      <c r="D307" s="1" t="s">
        <v>3816</v>
      </c>
      <c r="E307" s="1" t="s">
        <v>3817</v>
      </c>
      <c r="F307" s="1" t="s">
        <v>203</v>
      </c>
      <c r="G307" s="85" t="str">
        <f>_xlfn.XLOOKUP(Tabla2[[#This Row],[Universidad]],Conversiones!$B:$B,Conversiones!$C:$C)</f>
        <v>Stockholms universitet</v>
      </c>
      <c r="H307" s="85" t="str">
        <f>_xlfn.XLOOKUP(Tabla2[[#This Row],[Universidad KPIs]],Conversiones!$C:$C,Conversiones!$E:$E)</f>
        <v>General</v>
      </c>
      <c r="I307" s="1" t="s">
        <v>90</v>
      </c>
      <c r="J307" s="1" t="s">
        <v>281</v>
      </c>
      <c r="K307" s="1" t="s">
        <v>3818</v>
      </c>
      <c r="L307" s="1" t="s">
        <v>3819</v>
      </c>
      <c r="M307" s="1" t="s">
        <v>230</v>
      </c>
      <c r="N307" s="1" t="s">
        <v>3657</v>
      </c>
      <c r="O307" s="86"/>
      <c r="P307" s="1">
        <v>1</v>
      </c>
      <c r="Q307" s="1" t="s">
        <v>3286</v>
      </c>
      <c r="R307" s="1" t="s">
        <v>3290</v>
      </c>
      <c r="S307" s="1" t="s">
        <v>2370</v>
      </c>
      <c r="T307" s="1" t="s">
        <v>3289</v>
      </c>
      <c r="U307" s="1" t="s">
        <v>2891</v>
      </c>
      <c r="V307" s="1" t="s">
        <v>3249</v>
      </c>
      <c r="W307" s="1" t="s">
        <v>3288</v>
      </c>
      <c r="X307" s="1"/>
      <c r="Y307" s="1"/>
      <c r="Z307" s="1"/>
      <c r="AA307" s="1"/>
      <c r="AB307" s="1"/>
      <c r="AC307" s="88" t="s">
        <v>251</v>
      </c>
      <c r="AD307" s="88" t="s">
        <v>247</v>
      </c>
    </row>
    <row r="308" spans="1:30" hidden="1">
      <c r="A308" s="1">
        <v>2024</v>
      </c>
      <c r="B308" s="1">
        <v>202410</v>
      </c>
      <c r="C308" s="1">
        <v>202416845</v>
      </c>
      <c r="D308" s="1" t="s">
        <v>3820</v>
      </c>
      <c r="E308" s="1" t="s">
        <v>3821</v>
      </c>
      <c r="F308" s="1" t="s">
        <v>192</v>
      </c>
      <c r="G308" s="85" t="str">
        <f>_xlfn.XLOOKUP(Tabla2[[#This Row],[Universidad]],Conversiones!$B:$B,Conversiones!$C:$C)</f>
        <v>Erasmus Universiteit Rotterdam</v>
      </c>
      <c r="H308" s="85" t="str">
        <f>_xlfn.XLOOKUP(Tabla2[[#This Row],[Universidad KPIs]],Conversiones!$C:$C,Conversiones!$E:$E)</f>
        <v>General</v>
      </c>
      <c r="I308" s="1" t="s">
        <v>95</v>
      </c>
      <c r="J308" s="1" t="s">
        <v>281</v>
      </c>
      <c r="K308" s="1" t="s">
        <v>3822</v>
      </c>
      <c r="L308" s="1" t="s">
        <v>3823</v>
      </c>
      <c r="M308" s="1" t="s">
        <v>230</v>
      </c>
      <c r="N308" s="1" t="s">
        <v>3657</v>
      </c>
      <c r="O308" s="86"/>
      <c r="P308" s="1">
        <v>1</v>
      </c>
      <c r="Q308" s="1" t="s">
        <v>3286</v>
      </c>
      <c r="R308" s="1" t="s">
        <v>3290</v>
      </c>
      <c r="S308" s="1" t="s">
        <v>2387</v>
      </c>
      <c r="T308" s="1" t="s">
        <v>3289</v>
      </c>
      <c r="U308" s="1" t="s">
        <v>3824</v>
      </c>
      <c r="V308" s="1" t="s">
        <v>3516</v>
      </c>
      <c r="W308" s="1" t="s">
        <v>3288</v>
      </c>
      <c r="X308" s="1"/>
      <c r="Y308" s="1"/>
      <c r="Z308" s="1"/>
      <c r="AA308" s="1"/>
      <c r="AB308" s="1"/>
      <c r="AC308" s="88" t="s">
        <v>251</v>
      </c>
      <c r="AD308" s="88" t="s">
        <v>247</v>
      </c>
    </row>
    <row r="309" spans="1:30" hidden="1">
      <c r="A309" s="1">
        <v>2024</v>
      </c>
      <c r="B309" s="1">
        <v>202410</v>
      </c>
      <c r="C309" s="1">
        <v>202416846</v>
      </c>
      <c r="D309" s="1" t="s">
        <v>3825</v>
      </c>
      <c r="E309" s="1" t="s">
        <v>3826</v>
      </c>
      <c r="F309" s="1" t="s">
        <v>209</v>
      </c>
      <c r="G309" s="85" t="str">
        <f>_xlfn.XLOOKUP(Tabla2[[#This Row],[Universidad]],Conversiones!$B:$B,Conversiones!$C:$C)</f>
        <v>Wirtschaftsuniversität Wien</v>
      </c>
      <c r="H309" s="85" t="str">
        <f>_xlfn.XLOOKUP(Tabla2[[#This Row],[Universidad KPIs]],Conversiones!$C:$C,Conversiones!$E:$E)</f>
        <v>General</v>
      </c>
      <c r="I309" s="1" t="s">
        <v>201</v>
      </c>
      <c r="J309" s="1" t="s">
        <v>281</v>
      </c>
      <c r="K309" s="1" t="s">
        <v>3827</v>
      </c>
      <c r="L309" s="1" t="s">
        <v>3828</v>
      </c>
      <c r="M309" s="1" t="s">
        <v>230</v>
      </c>
      <c r="N309" s="1" t="s">
        <v>3657</v>
      </c>
      <c r="O309" s="86"/>
      <c r="P309" s="1">
        <v>1</v>
      </c>
      <c r="Q309" s="1" t="s">
        <v>3286</v>
      </c>
      <c r="R309" s="1" t="s">
        <v>3290</v>
      </c>
      <c r="S309" s="1" t="s">
        <v>2387</v>
      </c>
      <c r="T309" s="1" t="s">
        <v>3289</v>
      </c>
      <c r="U309" s="1" t="s">
        <v>3288</v>
      </c>
      <c r="V309" s="1" t="s">
        <v>3803</v>
      </c>
      <c r="W309" s="1"/>
      <c r="X309" s="1"/>
      <c r="Y309" s="1"/>
      <c r="Z309" s="1"/>
      <c r="AA309" s="1"/>
      <c r="AB309" s="1"/>
      <c r="AC309" s="88" t="s">
        <v>251</v>
      </c>
      <c r="AD309" s="88" t="s">
        <v>247</v>
      </c>
    </row>
    <row r="310" spans="1:30" hidden="1">
      <c r="A310" s="1">
        <v>2024</v>
      </c>
      <c r="B310" s="1">
        <v>202410</v>
      </c>
      <c r="C310" s="1">
        <v>202416837</v>
      </c>
      <c r="D310" s="1" t="s">
        <v>3829</v>
      </c>
      <c r="E310" s="1" t="s">
        <v>3830</v>
      </c>
      <c r="F310" s="1" t="s">
        <v>1485</v>
      </c>
      <c r="G310" s="85" t="str">
        <f>_xlfn.XLOOKUP(Tabla2[[#This Row],[Universidad]],Conversiones!$B:$B,Conversiones!$C:$C)</f>
        <v>HEC Paris</v>
      </c>
      <c r="H310" s="85" t="str">
        <f>_xlfn.XLOOKUP(Tabla2[[#This Row],[Universidad KPIs]],Conversiones!$C:$C,Conversiones!$E:$E)</f>
        <v>Específico</v>
      </c>
      <c r="I310" s="1" t="s">
        <v>57</v>
      </c>
      <c r="J310" s="1" t="s">
        <v>281</v>
      </c>
      <c r="K310" s="1" t="s">
        <v>3831</v>
      </c>
      <c r="L310" s="1" t="s">
        <v>3832</v>
      </c>
      <c r="M310" s="1" t="s">
        <v>230</v>
      </c>
      <c r="N310" s="1" t="s">
        <v>3657</v>
      </c>
      <c r="O310" s="86"/>
      <c r="P310" s="1">
        <v>1</v>
      </c>
      <c r="Q310" s="1" t="s">
        <v>2640</v>
      </c>
      <c r="R310" s="1" t="s">
        <v>2338</v>
      </c>
      <c r="S310" s="1" t="s">
        <v>2487</v>
      </c>
      <c r="T310" s="1" t="s">
        <v>2340</v>
      </c>
      <c r="U310" s="1" t="s">
        <v>3788</v>
      </c>
      <c r="V310" s="1"/>
      <c r="W310" s="1"/>
      <c r="X310" s="1"/>
      <c r="Y310" s="1"/>
      <c r="Z310" s="1"/>
      <c r="AA310" s="1"/>
      <c r="AB310" s="1"/>
      <c r="AC310" s="88" t="s">
        <v>233</v>
      </c>
      <c r="AD310" s="126" t="s">
        <v>254</v>
      </c>
    </row>
    <row r="311" spans="1:30" hidden="1">
      <c r="A311" s="1">
        <v>2024</v>
      </c>
      <c r="B311" s="1">
        <v>202410</v>
      </c>
      <c r="C311" s="1">
        <v>202416924</v>
      </c>
      <c r="D311" s="1" t="s">
        <v>3833</v>
      </c>
      <c r="E311" s="1" t="s">
        <v>3834</v>
      </c>
      <c r="F311" s="1" t="s">
        <v>1485</v>
      </c>
      <c r="G311" s="85" t="str">
        <f>_xlfn.XLOOKUP(Tabla2[[#This Row],[Universidad]],Conversiones!$B:$B,Conversiones!$C:$C)</f>
        <v>HEC Paris</v>
      </c>
      <c r="H311" s="85" t="str">
        <f>_xlfn.XLOOKUP(Tabla2[[#This Row],[Universidad KPIs]],Conversiones!$C:$C,Conversiones!$E:$E)</f>
        <v>Específico</v>
      </c>
      <c r="I311" s="1" t="s">
        <v>57</v>
      </c>
      <c r="J311" s="1" t="s">
        <v>281</v>
      </c>
      <c r="K311" s="1" t="s">
        <v>3835</v>
      </c>
      <c r="L311" s="1" t="s">
        <v>3836</v>
      </c>
      <c r="M311" s="1" t="s">
        <v>230</v>
      </c>
      <c r="N311" s="1" t="s">
        <v>3657</v>
      </c>
      <c r="O311" s="86"/>
      <c r="P311" s="1">
        <v>1</v>
      </c>
      <c r="Q311" s="1" t="s">
        <v>2640</v>
      </c>
      <c r="R311" s="1" t="s">
        <v>2338</v>
      </c>
      <c r="S311" s="1" t="s">
        <v>2487</v>
      </c>
      <c r="T311" s="1" t="s">
        <v>2340</v>
      </c>
      <c r="U311" s="1" t="s">
        <v>3788</v>
      </c>
      <c r="V311" s="1"/>
      <c r="W311" s="1"/>
      <c r="X311" s="1"/>
      <c r="Y311" s="1"/>
      <c r="Z311" s="1"/>
      <c r="AA311" s="1"/>
      <c r="AB311" s="1"/>
      <c r="AC311" s="88" t="s">
        <v>233</v>
      </c>
      <c r="AD311" s="126" t="s">
        <v>254</v>
      </c>
    </row>
    <row r="312" spans="1:30" hidden="1">
      <c r="A312" s="1">
        <v>2024</v>
      </c>
      <c r="B312" s="1">
        <v>202410</v>
      </c>
      <c r="C312" s="1">
        <v>202416891</v>
      </c>
      <c r="D312" s="1" t="s">
        <v>3837</v>
      </c>
      <c r="E312" s="1" t="s">
        <v>3838</v>
      </c>
      <c r="F312" s="1" t="s">
        <v>1485</v>
      </c>
      <c r="G312" s="85" t="str">
        <f>_xlfn.XLOOKUP(Tabla2[[#This Row],[Universidad]],Conversiones!$B:$B,Conversiones!$C:$C)</f>
        <v>HEC Paris</v>
      </c>
      <c r="H312" s="85" t="str">
        <f>_xlfn.XLOOKUP(Tabla2[[#This Row],[Universidad KPIs]],Conversiones!$C:$C,Conversiones!$E:$E)</f>
        <v>Específico</v>
      </c>
      <c r="I312" s="1" t="s">
        <v>57</v>
      </c>
      <c r="J312" s="1" t="s">
        <v>281</v>
      </c>
      <c r="K312" s="1" t="s">
        <v>3839</v>
      </c>
      <c r="L312" s="1" t="s">
        <v>3840</v>
      </c>
      <c r="M312" s="1" t="s">
        <v>230</v>
      </c>
      <c r="N312" s="1" t="s">
        <v>3657</v>
      </c>
      <c r="O312" s="86"/>
      <c r="P312" s="1">
        <v>1</v>
      </c>
      <c r="Q312" s="1" t="s">
        <v>2640</v>
      </c>
      <c r="R312" s="1" t="s">
        <v>2338</v>
      </c>
      <c r="S312" s="1" t="s">
        <v>2487</v>
      </c>
      <c r="T312" s="1" t="s">
        <v>2340</v>
      </c>
      <c r="U312" s="1" t="s">
        <v>3788</v>
      </c>
      <c r="V312" s="1"/>
      <c r="W312" s="1"/>
      <c r="X312" s="1"/>
      <c r="Y312" s="1"/>
      <c r="Z312" s="1"/>
      <c r="AA312" s="1"/>
      <c r="AB312" s="1"/>
      <c r="AC312" s="88" t="s">
        <v>233</v>
      </c>
      <c r="AD312" s="126" t="s">
        <v>254</v>
      </c>
    </row>
    <row r="313" spans="1:30" hidden="1">
      <c r="A313" s="1">
        <v>2024</v>
      </c>
      <c r="B313" s="1">
        <v>202420</v>
      </c>
      <c r="C313" s="1">
        <v>202424820</v>
      </c>
      <c r="D313" s="1" t="s">
        <v>3841</v>
      </c>
      <c r="E313" s="1" t="s">
        <v>3842</v>
      </c>
      <c r="F313" s="1" t="s">
        <v>945</v>
      </c>
      <c r="G313" s="85" t="str">
        <f>_xlfn.XLOOKUP(Tabla2[[#This Row],[Universidad]],Conversiones!$B:$B,Conversiones!$C:$C)</f>
        <v>Universidad Jean Moulin Lyon 3</v>
      </c>
      <c r="H313" s="85" t="str">
        <f>_xlfn.XLOOKUP(Tabla2[[#This Row],[Universidad KPIs]],Conversiones!$C:$C,Conversiones!$E:$E)</f>
        <v>General</v>
      </c>
      <c r="I313" s="1" t="s">
        <v>57</v>
      </c>
      <c r="J313" s="1" t="s">
        <v>281</v>
      </c>
      <c r="K313" s="1" t="s">
        <v>3843</v>
      </c>
      <c r="L313" s="1" t="s">
        <v>3844</v>
      </c>
      <c r="M313" s="1" t="s">
        <v>230</v>
      </c>
      <c r="N313" s="1" t="s">
        <v>3657</v>
      </c>
      <c r="O313" s="86"/>
      <c r="P313" s="1"/>
      <c r="Q313" s="1" t="s">
        <v>2459</v>
      </c>
      <c r="R313" s="1" t="s">
        <v>3845</v>
      </c>
      <c r="S313" s="1" t="s">
        <v>3846</v>
      </c>
      <c r="T313" s="1" t="s">
        <v>3081</v>
      </c>
      <c r="U313" s="1" t="s">
        <v>3847</v>
      </c>
      <c r="V313" s="1"/>
      <c r="W313" s="1"/>
      <c r="X313" s="1"/>
      <c r="Y313" s="1"/>
      <c r="Z313" s="1"/>
      <c r="AA313" s="1"/>
      <c r="AB313" s="1"/>
      <c r="AC313" s="88" t="s">
        <v>250</v>
      </c>
      <c r="AD313" s="126" t="s">
        <v>247</v>
      </c>
    </row>
    <row r="314" spans="1:30" hidden="1">
      <c r="A314" s="1">
        <v>2024</v>
      </c>
      <c r="B314" s="1">
        <v>202420</v>
      </c>
      <c r="C314" s="1">
        <v>202424839</v>
      </c>
      <c r="D314" s="1" t="s">
        <v>3848</v>
      </c>
      <c r="E314" s="1" t="s">
        <v>3849</v>
      </c>
      <c r="F314" s="1" t="s">
        <v>102</v>
      </c>
      <c r="G314" s="85" t="str">
        <f>_xlfn.XLOOKUP(Tabla2[[#This Row],[Universidad]],Conversiones!$B:$B,Conversiones!$C:$C)</f>
        <v>Politecnico di Milano</v>
      </c>
      <c r="H314" s="85" t="str">
        <f>_xlfn.XLOOKUP(Tabla2[[#This Row],[Universidad KPIs]],Conversiones!$C:$C,Conversiones!$E:$E)</f>
        <v>Específico</v>
      </c>
      <c r="I314" s="1" t="s">
        <v>103</v>
      </c>
      <c r="J314" s="1" t="s">
        <v>281</v>
      </c>
      <c r="K314" s="1" t="s">
        <v>3850</v>
      </c>
      <c r="L314" s="1" t="s">
        <v>3851</v>
      </c>
      <c r="M314" s="1" t="s">
        <v>230</v>
      </c>
      <c r="N314" s="1" t="s">
        <v>3657</v>
      </c>
      <c r="O314" s="86"/>
      <c r="P314" s="1"/>
      <c r="Q314" s="1" t="s">
        <v>3230</v>
      </c>
      <c r="R314" s="1" t="s">
        <v>2386</v>
      </c>
      <c r="S314" s="1" t="s">
        <v>2838</v>
      </c>
      <c r="T314" s="1" t="s">
        <v>2900</v>
      </c>
      <c r="U314" s="1" t="s">
        <v>2727</v>
      </c>
      <c r="V314" s="1"/>
      <c r="W314" s="1"/>
      <c r="X314" s="1"/>
      <c r="Y314" s="1"/>
      <c r="Z314" s="1"/>
      <c r="AA314" s="1"/>
      <c r="AB314" s="1"/>
      <c r="AC314" s="88" t="s">
        <v>238</v>
      </c>
      <c r="AD314" s="126" t="s">
        <v>247</v>
      </c>
    </row>
    <row r="315" spans="1:30" hidden="1">
      <c r="A315" s="1">
        <v>2024</v>
      </c>
      <c r="B315" s="1">
        <v>202420</v>
      </c>
      <c r="C315" s="1">
        <v>202424600</v>
      </c>
      <c r="D315" s="1" t="s">
        <v>3852</v>
      </c>
      <c r="E315" s="1" t="s">
        <v>3853</v>
      </c>
      <c r="F315" s="1" t="s">
        <v>192</v>
      </c>
      <c r="G315" s="85" t="str">
        <f>_xlfn.XLOOKUP(Tabla2[[#This Row],[Universidad]],Conversiones!$B:$B,Conversiones!$C:$C)</f>
        <v>Erasmus Universiteit Rotterdam</v>
      </c>
      <c r="H315" s="85" t="str">
        <f>_xlfn.XLOOKUP(Tabla2[[#This Row],[Universidad KPIs]],Conversiones!$C:$C,Conversiones!$E:$E)</f>
        <v>General</v>
      </c>
      <c r="I315" s="1" t="s">
        <v>95</v>
      </c>
      <c r="J315" s="1" t="s">
        <v>281</v>
      </c>
      <c r="K315" s="1" t="s">
        <v>3854</v>
      </c>
      <c r="L315" s="1" t="s">
        <v>3855</v>
      </c>
      <c r="M315" s="1" t="s">
        <v>230</v>
      </c>
      <c r="N315" s="1" t="s">
        <v>3657</v>
      </c>
      <c r="O315" s="86"/>
      <c r="P315" s="1"/>
      <c r="Q315" s="1" t="s">
        <v>2401</v>
      </c>
      <c r="R315" s="1" t="s">
        <v>2511</v>
      </c>
      <c r="S315" s="1" t="s">
        <v>2437</v>
      </c>
      <c r="T315" s="1" t="s">
        <v>3230</v>
      </c>
      <c r="U315" s="1" t="s">
        <v>3028</v>
      </c>
      <c r="V315" s="1" t="s">
        <v>3856</v>
      </c>
      <c r="W315" s="1" t="s">
        <v>3857</v>
      </c>
      <c r="X315" s="1"/>
      <c r="Y315" s="1"/>
      <c r="Z315" s="1"/>
      <c r="AA315" s="1"/>
      <c r="AB315" s="1"/>
      <c r="AC315" s="88" t="s">
        <v>233</v>
      </c>
      <c r="AD315" s="126" t="s">
        <v>254</v>
      </c>
    </row>
    <row r="316" spans="1:30" hidden="1">
      <c r="A316" s="1">
        <v>2024</v>
      </c>
      <c r="B316" s="1">
        <v>202420</v>
      </c>
      <c r="C316" s="1">
        <v>202424607</v>
      </c>
      <c r="D316" s="1" t="s">
        <v>3858</v>
      </c>
      <c r="E316" s="1" t="s">
        <v>3859</v>
      </c>
      <c r="F316" s="1" t="s">
        <v>102</v>
      </c>
      <c r="G316" s="85" t="str">
        <f>_xlfn.XLOOKUP(Tabla2[[#This Row],[Universidad]],Conversiones!$B:$B,Conversiones!$C:$C)</f>
        <v>Politecnico di Milano</v>
      </c>
      <c r="H316" s="85" t="str">
        <f>_xlfn.XLOOKUP(Tabla2[[#This Row],[Universidad KPIs]],Conversiones!$C:$C,Conversiones!$E:$E)</f>
        <v>Específico</v>
      </c>
      <c r="I316" s="1" t="s">
        <v>103</v>
      </c>
      <c r="J316" s="1" t="s">
        <v>281</v>
      </c>
      <c r="K316" s="1" t="s">
        <v>3860</v>
      </c>
      <c r="L316" s="1" t="s">
        <v>3861</v>
      </c>
      <c r="M316" s="1" t="s">
        <v>230</v>
      </c>
      <c r="N316" s="1" t="s">
        <v>3657</v>
      </c>
      <c r="O316" s="86"/>
      <c r="P316" s="1"/>
      <c r="Q316" s="1" t="s">
        <v>2556</v>
      </c>
      <c r="R316" s="1" t="s">
        <v>2438</v>
      </c>
      <c r="S316" s="1" t="s">
        <v>2401</v>
      </c>
      <c r="T316" s="1" t="s">
        <v>2352</v>
      </c>
      <c r="U316" s="1" t="s">
        <v>3230</v>
      </c>
      <c r="V316" s="1"/>
      <c r="W316" s="1"/>
      <c r="X316" s="1"/>
      <c r="Y316" s="1"/>
      <c r="Z316" s="1"/>
      <c r="AA316" s="1"/>
      <c r="AB316" s="1"/>
      <c r="AC316" s="88" t="s">
        <v>233</v>
      </c>
      <c r="AD316" s="126" t="s">
        <v>247</v>
      </c>
    </row>
    <row r="317" spans="1:30" hidden="1">
      <c r="A317" s="1">
        <v>2024</v>
      </c>
      <c r="B317" s="1">
        <v>202420</v>
      </c>
      <c r="C317" s="1">
        <v>202424631</v>
      </c>
      <c r="D317" s="1" t="s">
        <v>3862</v>
      </c>
      <c r="E317" s="1" t="s">
        <v>3863</v>
      </c>
      <c r="F317" s="1" t="s">
        <v>94</v>
      </c>
      <c r="G317" s="85" t="str">
        <f>_xlfn.XLOOKUP(Tabla2[[#This Row],[Universidad]],Conversiones!$B:$B,Conversiones!$C:$C)</f>
        <v>Maastricht University</v>
      </c>
      <c r="H317" s="85" t="str">
        <f>_xlfn.XLOOKUP(Tabla2[[#This Row],[Universidad KPIs]],Conversiones!$C:$C,Conversiones!$E:$E)</f>
        <v>Específico</v>
      </c>
      <c r="I317" s="1" t="s">
        <v>95</v>
      </c>
      <c r="J317" s="1" t="s">
        <v>281</v>
      </c>
      <c r="K317" s="1" t="s">
        <v>3864</v>
      </c>
      <c r="L317" s="1" t="s">
        <v>3865</v>
      </c>
      <c r="M317" s="1" t="s">
        <v>230</v>
      </c>
      <c r="N317" s="1" t="s">
        <v>3657</v>
      </c>
      <c r="O317" s="86"/>
      <c r="P317" s="1"/>
      <c r="Q317" s="1" t="s">
        <v>2556</v>
      </c>
      <c r="R317" s="1" t="s">
        <v>2401</v>
      </c>
      <c r="S317" s="1" t="s">
        <v>2338</v>
      </c>
      <c r="T317" s="1" t="s">
        <v>2352</v>
      </c>
      <c r="U317" s="1" t="s">
        <v>3866</v>
      </c>
      <c r="V317" s="1" t="s">
        <v>3867</v>
      </c>
      <c r="W317" s="1"/>
      <c r="X317" s="1"/>
      <c r="Y317" s="1"/>
      <c r="Z317" s="1"/>
      <c r="AA317" s="1"/>
      <c r="AB317" s="1"/>
      <c r="AC317" s="88" t="s">
        <v>233</v>
      </c>
      <c r="AD317" s="126" t="s">
        <v>254</v>
      </c>
    </row>
    <row r="318" spans="1:30" hidden="1">
      <c r="A318" s="1">
        <v>2024</v>
      </c>
      <c r="B318" s="1">
        <v>202420</v>
      </c>
      <c r="C318" s="1">
        <v>202424612</v>
      </c>
      <c r="D318" s="1" t="s">
        <v>3868</v>
      </c>
      <c r="E318" s="1" t="s">
        <v>3869</v>
      </c>
      <c r="F318" s="1" t="s">
        <v>812</v>
      </c>
      <c r="G318" s="85" t="str">
        <f>_xlfn.XLOOKUP(Tabla2[[#This Row],[Universidad]],Conversiones!$B:$B,Conversiones!$C:$C)</f>
        <v>ITESM-EGADE -Instituto tecnológico y de estudios superiores de Monterrey</v>
      </c>
      <c r="H318" s="85" t="str">
        <f>_xlfn.XLOOKUP(Tabla2[[#This Row],[Universidad KPIs]],Conversiones!$C:$C,Conversiones!$E:$E)</f>
        <v>Específico</v>
      </c>
      <c r="I318" s="1" t="s">
        <v>87</v>
      </c>
      <c r="J318" s="1" t="s">
        <v>291</v>
      </c>
      <c r="K318" s="1" t="s">
        <v>3870</v>
      </c>
      <c r="L318" s="1" t="s">
        <v>3871</v>
      </c>
      <c r="M318" s="1" t="s">
        <v>230</v>
      </c>
      <c r="N318" s="1" t="s">
        <v>3657</v>
      </c>
      <c r="O318" s="86"/>
      <c r="P318" s="1"/>
      <c r="Q318" s="1" t="s">
        <v>2419</v>
      </c>
      <c r="R318" s="1" t="s">
        <v>2359</v>
      </c>
      <c r="S318" s="1" t="s">
        <v>2438</v>
      </c>
      <c r="T318" s="1" t="s">
        <v>2331</v>
      </c>
      <c r="U318" s="1" t="s">
        <v>2506</v>
      </c>
      <c r="V318" s="1" t="s">
        <v>2360</v>
      </c>
      <c r="W318" s="1"/>
      <c r="X318" s="1"/>
      <c r="Y318" s="1"/>
      <c r="Z318" s="1"/>
      <c r="AA318" s="1"/>
      <c r="AB318" s="1"/>
      <c r="AC318" s="88" t="s">
        <v>233</v>
      </c>
      <c r="AD318" s="126" t="s">
        <v>254</v>
      </c>
    </row>
    <row r="319" spans="1:30" hidden="1">
      <c r="A319" s="1">
        <v>2024</v>
      </c>
      <c r="B319" s="1">
        <v>202420</v>
      </c>
      <c r="C319" s="1">
        <v>202424635</v>
      </c>
      <c r="D319" s="1" t="s">
        <v>3872</v>
      </c>
      <c r="E319" s="1" t="s">
        <v>3873</v>
      </c>
      <c r="F319" s="1" t="s">
        <v>1548</v>
      </c>
      <c r="G319" s="85" t="str">
        <f>_xlfn.XLOOKUP(Tabla2[[#This Row],[Universidad]],Conversiones!$B:$B,Conversiones!$C:$C)</f>
        <v>NCCU- National Chengchi University</v>
      </c>
      <c r="H319" s="85" t="str">
        <f>_xlfn.XLOOKUP(Tabla2[[#This Row],[Universidad KPIs]],Conversiones!$C:$C,Conversiones!$E:$E)</f>
        <v>Específico</v>
      </c>
      <c r="I319" s="1" t="s">
        <v>98</v>
      </c>
      <c r="J319" s="1" t="s">
        <v>568</v>
      </c>
      <c r="K319" s="1" t="s">
        <v>3874</v>
      </c>
      <c r="L319" s="1" t="s">
        <v>3875</v>
      </c>
      <c r="M319" s="1" t="s">
        <v>230</v>
      </c>
      <c r="N319" s="1" t="s">
        <v>3657</v>
      </c>
      <c r="O319" s="86"/>
      <c r="P319" s="1"/>
      <c r="Q319" s="1" t="s">
        <v>2331</v>
      </c>
      <c r="R319" s="1" t="s">
        <v>3876</v>
      </c>
      <c r="S319" s="1" t="s">
        <v>2413</v>
      </c>
      <c r="T319" s="1"/>
      <c r="U319" s="1"/>
      <c r="V319" s="1"/>
      <c r="W319" s="1"/>
      <c r="X319" s="1"/>
      <c r="Y319" s="1"/>
      <c r="Z319" s="1"/>
      <c r="AA319" s="1"/>
      <c r="AB319" s="1"/>
      <c r="AC319" s="88" t="s">
        <v>233</v>
      </c>
      <c r="AD319" s="126" t="s">
        <v>254</v>
      </c>
    </row>
    <row r="320" spans="1:30" hidden="1">
      <c r="A320" s="1">
        <v>2024</v>
      </c>
      <c r="B320" s="1">
        <v>202420</v>
      </c>
      <c r="C320" s="1">
        <v>202424803</v>
      </c>
      <c r="D320" s="1" t="s">
        <v>3877</v>
      </c>
      <c r="E320" s="1" t="s">
        <v>3878</v>
      </c>
      <c r="F320" s="1" t="s">
        <v>94</v>
      </c>
      <c r="G320" s="85" t="str">
        <f>_xlfn.XLOOKUP(Tabla2[[#This Row],[Universidad]],Conversiones!$B:$B,Conversiones!$C:$C)</f>
        <v>Maastricht University</v>
      </c>
      <c r="H320" s="85" t="str">
        <f>_xlfn.XLOOKUP(Tabla2[[#This Row],[Universidad KPIs]],Conversiones!$C:$C,Conversiones!$E:$E)</f>
        <v>Específico</v>
      </c>
      <c r="I320" s="1" t="s">
        <v>95</v>
      </c>
      <c r="J320" s="1" t="s">
        <v>281</v>
      </c>
      <c r="K320" s="1" t="s">
        <v>3879</v>
      </c>
      <c r="L320" s="1" t="s">
        <v>3880</v>
      </c>
      <c r="M320" s="1" t="s">
        <v>230</v>
      </c>
      <c r="N320" s="1" t="s">
        <v>3657</v>
      </c>
      <c r="O320" s="86"/>
      <c r="P320" s="1"/>
      <c r="Q320" s="1" t="s">
        <v>2331</v>
      </c>
      <c r="R320" s="1" t="s">
        <v>2338</v>
      </c>
      <c r="S320" s="1" t="s">
        <v>2678</v>
      </c>
      <c r="T320" s="1" t="s">
        <v>2437</v>
      </c>
      <c r="U320" s="1" t="s">
        <v>3230</v>
      </c>
      <c r="V320" s="1" t="s">
        <v>2425</v>
      </c>
      <c r="W320" s="1"/>
      <c r="X320" s="1"/>
      <c r="Y320" s="1"/>
      <c r="Z320" s="1"/>
      <c r="AA320" s="1"/>
      <c r="AB320" s="1"/>
      <c r="AC320" s="88" t="s">
        <v>233</v>
      </c>
      <c r="AD320" s="126" t="s">
        <v>254</v>
      </c>
    </row>
    <row r="321" spans="1:30" hidden="1">
      <c r="A321" s="1">
        <v>2024</v>
      </c>
      <c r="B321" s="1">
        <v>202420</v>
      </c>
      <c r="C321" s="1">
        <v>202424875</v>
      </c>
      <c r="D321" s="1" t="s">
        <v>3881</v>
      </c>
      <c r="E321" s="1" t="s">
        <v>3882</v>
      </c>
      <c r="F321" s="1" t="s">
        <v>650</v>
      </c>
      <c r="G321" s="85" t="str">
        <f>_xlfn.XLOOKUP(Tabla2[[#This Row],[Universidad]],Conversiones!$B:$B,Conversiones!$C:$C)</f>
        <v>Grenoble. École de Management</v>
      </c>
      <c r="H321" s="85" t="str">
        <f>_xlfn.XLOOKUP(Tabla2[[#This Row],[Universidad KPIs]],Conversiones!$C:$C,Conversiones!$E:$E)</f>
        <v>Específico</v>
      </c>
      <c r="I321" s="1" t="s">
        <v>57</v>
      </c>
      <c r="J321" s="1" t="s">
        <v>281</v>
      </c>
      <c r="K321" s="1" t="s">
        <v>3883</v>
      </c>
      <c r="L321" s="1" t="s">
        <v>3884</v>
      </c>
      <c r="M321" s="1" t="s">
        <v>230</v>
      </c>
      <c r="N321" s="1" t="s">
        <v>3657</v>
      </c>
      <c r="O321" s="86"/>
      <c r="P321" s="1"/>
      <c r="Q321" s="1" t="s">
        <v>2640</v>
      </c>
      <c r="R321" s="1" t="s">
        <v>2359</v>
      </c>
      <c r="S321" s="1" t="s">
        <v>2331</v>
      </c>
      <c r="T321" s="1" t="s">
        <v>2631</v>
      </c>
      <c r="U321" s="1" t="s">
        <v>2340</v>
      </c>
      <c r="V321" s="1"/>
      <c r="W321" s="1"/>
      <c r="X321" s="1"/>
      <c r="Y321" s="1"/>
      <c r="Z321" s="1"/>
      <c r="AA321" s="1"/>
      <c r="AB321" s="1"/>
      <c r="AC321" s="88" t="s">
        <v>233</v>
      </c>
      <c r="AD321" s="126" t="s">
        <v>247</v>
      </c>
    </row>
    <row r="322" spans="1:30" hidden="1">
      <c r="A322" s="1">
        <v>2024</v>
      </c>
      <c r="B322" s="1">
        <v>202420</v>
      </c>
      <c r="C322" s="1">
        <v>202424816</v>
      </c>
      <c r="D322" s="1" t="s">
        <v>3885</v>
      </c>
      <c r="E322" s="1" t="s">
        <v>3886</v>
      </c>
      <c r="F322" s="1" t="s">
        <v>945</v>
      </c>
      <c r="G322" s="85" t="str">
        <f>_xlfn.XLOOKUP(Tabla2[[#This Row],[Universidad]],Conversiones!$B:$B,Conversiones!$C:$C)</f>
        <v>Universidad Jean Moulin Lyon 3</v>
      </c>
      <c r="H322" s="85" t="str">
        <f>_xlfn.XLOOKUP(Tabla2[[#This Row],[Universidad KPIs]],Conversiones!$C:$C,Conversiones!$E:$E)</f>
        <v>General</v>
      </c>
      <c r="I322" s="1" t="s">
        <v>57</v>
      </c>
      <c r="J322" s="1" t="s">
        <v>281</v>
      </c>
      <c r="K322" s="1" t="s">
        <v>3887</v>
      </c>
      <c r="L322" s="1" t="s">
        <v>3888</v>
      </c>
      <c r="M322" s="1" t="s">
        <v>230</v>
      </c>
      <c r="N322" s="1" t="s">
        <v>3657</v>
      </c>
      <c r="O322" s="86"/>
      <c r="P322" s="1"/>
      <c r="Q322" s="1" t="s">
        <v>2459</v>
      </c>
      <c r="R322" s="1" t="s">
        <v>3845</v>
      </c>
      <c r="S322" s="1" t="s">
        <v>2495</v>
      </c>
      <c r="T322" s="1" t="s">
        <v>3846</v>
      </c>
      <c r="U322" s="1" t="s">
        <v>3081</v>
      </c>
      <c r="V322" s="1" t="s">
        <v>3847</v>
      </c>
      <c r="W322" s="1"/>
      <c r="X322" s="1"/>
      <c r="Y322" s="1"/>
      <c r="Z322" s="1"/>
      <c r="AA322" s="1"/>
      <c r="AB322" s="1"/>
      <c r="AC322" s="88" t="s">
        <v>250</v>
      </c>
      <c r="AD322" s="126" t="s">
        <v>247</v>
      </c>
    </row>
    <row r="323" spans="1:30" hidden="1">
      <c r="A323" s="1">
        <v>2024</v>
      </c>
      <c r="B323" s="1">
        <v>202420</v>
      </c>
      <c r="C323" s="1">
        <v>202424836</v>
      </c>
      <c r="D323" s="1" t="s">
        <v>3889</v>
      </c>
      <c r="E323" s="1" t="s">
        <v>3890</v>
      </c>
      <c r="F323" s="1" t="s">
        <v>356</v>
      </c>
      <c r="G323" s="85" t="str">
        <f>_xlfn.XLOOKUP(Tabla2[[#This Row],[Universidad]],Conversiones!$B:$B,Conversiones!$C:$C)</f>
        <v>Università Commerciale Luigi Bocconi</v>
      </c>
      <c r="H323" s="85" t="str">
        <f>_xlfn.XLOOKUP(Tabla2[[#This Row],[Universidad KPIs]],Conversiones!$C:$C,Conversiones!$E:$E)</f>
        <v>Específico</v>
      </c>
      <c r="I323" s="1" t="s">
        <v>103</v>
      </c>
      <c r="J323" s="1" t="s">
        <v>281</v>
      </c>
      <c r="K323" s="1" t="s">
        <v>3891</v>
      </c>
      <c r="L323" s="1" t="s">
        <v>3892</v>
      </c>
      <c r="M323" s="1" t="s">
        <v>230</v>
      </c>
      <c r="N323" s="1" t="s">
        <v>3657</v>
      </c>
      <c r="O323" s="86"/>
      <c r="P323" s="1"/>
      <c r="Q323" s="1" t="s">
        <v>2359</v>
      </c>
      <c r="R323" s="1" t="s">
        <v>3893</v>
      </c>
      <c r="S323" s="1" t="s">
        <v>2425</v>
      </c>
      <c r="T323" s="1" t="s">
        <v>3894</v>
      </c>
      <c r="U323" s="1"/>
      <c r="V323" s="1"/>
      <c r="W323" s="1"/>
      <c r="X323" s="1"/>
      <c r="Y323" s="1"/>
      <c r="Z323" s="1"/>
      <c r="AA323" s="1"/>
      <c r="AB323" s="1"/>
      <c r="AC323" s="88" t="s">
        <v>237</v>
      </c>
      <c r="AD323" s="126" t="s">
        <v>247</v>
      </c>
    </row>
    <row r="324" spans="1:30" hidden="1">
      <c r="A324" s="1">
        <v>2024</v>
      </c>
      <c r="B324" s="1">
        <v>202420</v>
      </c>
      <c r="C324" s="1">
        <v>202424893</v>
      </c>
      <c r="D324" s="1" t="s">
        <v>3895</v>
      </c>
      <c r="E324" s="1" t="s">
        <v>3896</v>
      </c>
      <c r="F324" s="1" t="s">
        <v>320</v>
      </c>
      <c r="G324" s="85" t="str">
        <f>_xlfn.XLOOKUP(Tabla2[[#This Row],[Universidad]],Conversiones!$B:$B,Conversiones!$C:$C)</f>
        <v>ESADE</v>
      </c>
      <c r="H324" s="85" t="str">
        <f>_xlfn.XLOOKUP(Tabla2[[#This Row],[Universidad KPIs]],Conversiones!$C:$C,Conversiones!$E:$E)</f>
        <v>Específico</v>
      </c>
      <c r="I324" s="1" t="s">
        <v>69</v>
      </c>
      <c r="J324" s="1" t="s">
        <v>281</v>
      </c>
      <c r="K324" s="1" t="s">
        <v>3897</v>
      </c>
      <c r="L324" s="1" t="s">
        <v>3898</v>
      </c>
      <c r="M324" s="1" t="s">
        <v>230</v>
      </c>
      <c r="N324" s="1" t="s">
        <v>3657</v>
      </c>
      <c r="O324" s="86"/>
      <c r="P324" s="1"/>
      <c r="Q324" s="1" t="s">
        <v>2419</v>
      </c>
      <c r="R324" s="1" t="s">
        <v>2443</v>
      </c>
      <c r="S324" s="1" t="s">
        <v>2437</v>
      </c>
      <c r="T324" s="1" t="s">
        <v>3230</v>
      </c>
      <c r="U324" s="1" t="s">
        <v>3453</v>
      </c>
      <c r="V324" s="1" t="s">
        <v>3899</v>
      </c>
      <c r="W324" s="1"/>
      <c r="X324" s="1"/>
      <c r="Y324" s="1"/>
      <c r="Z324" s="1"/>
      <c r="AA324" s="1"/>
      <c r="AB324" s="1"/>
      <c r="AC324" s="88" t="s">
        <v>233</v>
      </c>
      <c r="AD324" s="126" t="s">
        <v>254</v>
      </c>
    </row>
    <row r="325" spans="1:30" hidden="1">
      <c r="A325" s="1">
        <v>2024</v>
      </c>
      <c r="B325" s="1">
        <v>202420</v>
      </c>
      <c r="C325" s="1">
        <v>202424832</v>
      </c>
      <c r="D325" s="1" t="s">
        <v>3900</v>
      </c>
      <c r="E325" s="1" t="s">
        <v>3901</v>
      </c>
      <c r="F325" s="1" t="s">
        <v>94</v>
      </c>
      <c r="G325" s="85" t="str">
        <f>_xlfn.XLOOKUP(Tabla2[[#This Row],[Universidad]],Conversiones!$B:$B,Conversiones!$C:$C)</f>
        <v>Maastricht University</v>
      </c>
      <c r="H325" s="85" t="str">
        <f>_xlfn.XLOOKUP(Tabla2[[#This Row],[Universidad KPIs]],Conversiones!$C:$C,Conversiones!$E:$E)</f>
        <v>Específico</v>
      </c>
      <c r="I325" s="1" t="s">
        <v>95</v>
      </c>
      <c r="J325" s="1" t="s">
        <v>281</v>
      </c>
      <c r="K325" s="1" t="s">
        <v>3902</v>
      </c>
      <c r="L325" s="1" t="s">
        <v>3903</v>
      </c>
      <c r="M325" s="1" t="s">
        <v>230</v>
      </c>
      <c r="N325" s="1" t="s">
        <v>3657</v>
      </c>
      <c r="O325" s="86"/>
      <c r="P325" s="1"/>
      <c r="Q325" s="1" t="s">
        <v>3904</v>
      </c>
      <c r="R325" s="1" t="s">
        <v>2994</v>
      </c>
      <c r="S325" s="1" t="s">
        <v>2739</v>
      </c>
      <c r="T325" s="1" t="s">
        <v>2466</v>
      </c>
      <c r="U325" s="1" t="s">
        <v>2494</v>
      </c>
      <c r="V325" s="1" t="s">
        <v>3905</v>
      </c>
      <c r="W325" s="1"/>
      <c r="X325" s="1"/>
      <c r="Y325" s="1"/>
      <c r="Z325" s="1"/>
      <c r="AA325" s="1"/>
      <c r="AB325" s="1"/>
      <c r="AC325" s="88" t="s">
        <v>237</v>
      </c>
      <c r="AD325" s="126" t="s">
        <v>247</v>
      </c>
    </row>
    <row r="326" spans="1:30" hidden="1">
      <c r="A326" s="1">
        <v>2024</v>
      </c>
      <c r="B326" s="1">
        <v>202420</v>
      </c>
      <c r="C326" s="1">
        <v>202424620</v>
      </c>
      <c r="D326" s="1" t="s">
        <v>3906</v>
      </c>
      <c r="E326" s="1" t="s">
        <v>3907</v>
      </c>
      <c r="F326" s="1" t="s">
        <v>94</v>
      </c>
      <c r="G326" s="85" t="str">
        <f>_xlfn.XLOOKUP(Tabla2[[#This Row],[Universidad]],Conversiones!$B:$B,Conversiones!$C:$C)</f>
        <v>Maastricht University</v>
      </c>
      <c r="H326" s="85" t="str">
        <f>_xlfn.XLOOKUP(Tabla2[[#This Row],[Universidad KPIs]],Conversiones!$C:$C,Conversiones!$E:$E)</f>
        <v>Específico</v>
      </c>
      <c r="I326" s="1" t="s">
        <v>95</v>
      </c>
      <c r="J326" s="1" t="s">
        <v>281</v>
      </c>
      <c r="K326" s="1" t="s">
        <v>3908</v>
      </c>
      <c r="L326" s="1" t="s">
        <v>3909</v>
      </c>
      <c r="M326" s="1" t="s">
        <v>230</v>
      </c>
      <c r="N326" s="1" t="s">
        <v>3657</v>
      </c>
      <c r="O326" s="86"/>
      <c r="P326" s="1"/>
      <c r="Q326" s="1" t="s">
        <v>2331</v>
      </c>
      <c r="R326" s="1" t="s">
        <v>2401</v>
      </c>
      <c r="S326" s="1" t="s">
        <v>2352</v>
      </c>
      <c r="T326" s="1" t="s">
        <v>2678</v>
      </c>
      <c r="U326" s="1" t="s">
        <v>2437</v>
      </c>
      <c r="V326" s="1" t="s">
        <v>2632</v>
      </c>
      <c r="W326" s="1" t="s">
        <v>3028</v>
      </c>
      <c r="X326" s="1"/>
      <c r="Y326" s="1"/>
      <c r="Z326" s="1"/>
      <c r="AA326" s="1"/>
      <c r="AB326" s="1"/>
      <c r="AC326" s="88" t="s">
        <v>233</v>
      </c>
      <c r="AD326" s="126" t="s">
        <v>254</v>
      </c>
    </row>
    <row r="327" spans="1:30" hidden="1">
      <c r="A327" s="1">
        <v>2024</v>
      </c>
      <c r="B327" s="1">
        <v>202420</v>
      </c>
      <c r="C327" s="1">
        <v>202424885</v>
      </c>
      <c r="D327" s="1" t="s">
        <v>3910</v>
      </c>
      <c r="E327" s="1" t="s">
        <v>3911</v>
      </c>
      <c r="F327" s="1" t="s">
        <v>2295</v>
      </c>
      <c r="G327" s="85" t="str">
        <f>_xlfn.XLOOKUP(Tabla2[[#This Row],[Universidad]],Conversiones!$B:$B,Conversiones!$C:$C)</f>
        <v>Université Paris-Dauphine</v>
      </c>
      <c r="H327" s="85" t="str">
        <f>_xlfn.XLOOKUP(Tabla2[[#This Row],[Universidad KPIs]],Conversiones!$C:$C,Conversiones!$E:$E)</f>
        <v>General</v>
      </c>
      <c r="I327" s="1" t="s">
        <v>57</v>
      </c>
      <c r="J327" s="1" t="s">
        <v>281</v>
      </c>
      <c r="K327" s="1" t="s">
        <v>3912</v>
      </c>
      <c r="L327" s="1" t="s">
        <v>3913</v>
      </c>
      <c r="M327" s="1" t="s">
        <v>230</v>
      </c>
      <c r="N327" s="1" t="s">
        <v>3657</v>
      </c>
      <c r="O327" s="86"/>
      <c r="P327" s="1"/>
      <c r="Q327" s="1" t="s">
        <v>2419</v>
      </c>
      <c r="R327" s="1" t="s">
        <v>2359</v>
      </c>
      <c r="S327" s="1" t="s">
        <v>2331</v>
      </c>
      <c r="T327" s="1" t="s">
        <v>2338</v>
      </c>
      <c r="U327" s="1"/>
      <c r="V327" s="1"/>
      <c r="W327" s="1"/>
      <c r="X327" s="1"/>
      <c r="Y327" s="1"/>
      <c r="Z327" s="1"/>
      <c r="AA327" s="1"/>
      <c r="AB327" s="1"/>
      <c r="AC327" s="88" t="s">
        <v>233</v>
      </c>
      <c r="AD327" s="126" t="s">
        <v>254</v>
      </c>
    </row>
    <row r="328" spans="1:30" hidden="1">
      <c r="A328" s="1">
        <v>2024</v>
      </c>
      <c r="B328" s="1">
        <v>202420</v>
      </c>
      <c r="C328" s="1">
        <v>202424591</v>
      </c>
      <c r="D328" s="1" t="s">
        <v>3914</v>
      </c>
      <c r="E328" s="1" t="s">
        <v>3915</v>
      </c>
      <c r="F328" s="1" t="s">
        <v>94</v>
      </c>
      <c r="G328" s="85" t="str">
        <f>_xlfn.XLOOKUP(Tabla2[[#This Row],[Universidad]],Conversiones!$B:$B,Conversiones!$C:$C)</f>
        <v>Maastricht University</v>
      </c>
      <c r="H328" s="85" t="str">
        <f>_xlfn.XLOOKUP(Tabla2[[#This Row],[Universidad KPIs]],Conversiones!$C:$C,Conversiones!$E:$E)</f>
        <v>Específico</v>
      </c>
      <c r="I328" s="1" t="s">
        <v>95</v>
      </c>
      <c r="J328" s="1" t="s">
        <v>281</v>
      </c>
      <c r="K328" s="1" t="s">
        <v>3916</v>
      </c>
      <c r="L328" s="1" t="s">
        <v>3917</v>
      </c>
      <c r="M328" s="1" t="s">
        <v>230</v>
      </c>
      <c r="N328" s="1" t="s">
        <v>3657</v>
      </c>
      <c r="O328" s="86"/>
      <c r="P328" s="1"/>
      <c r="Q328" s="1" t="s">
        <v>2401</v>
      </c>
      <c r="R328" s="1" t="s">
        <v>2338</v>
      </c>
      <c r="S328" s="1" t="s">
        <v>2352</v>
      </c>
      <c r="T328" s="1" t="s">
        <v>2678</v>
      </c>
      <c r="U328" s="1" t="s">
        <v>2632</v>
      </c>
      <c r="V328" s="1" t="s">
        <v>3230</v>
      </c>
      <c r="W328" s="1" t="s">
        <v>3028</v>
      </c>
      <c r="X328" s="1"/>
      <c r="Y328" s="1"/>
      <c r="Z328" s="1"/>
      <c r="AA328" s="1"/>
      <c r="AB328" s="1"/>
      <c r="AC328" s="88" t="s">
        <v>233</v>
      </c>
      <c r="AD328" s="126" t="s">
        <v>254</v>
      </c>
    </row>
    <row r="329" spans="1:30" hidden="1">
      <c r="A329" s="1">
        <v>2024</v>
      </c>
      <c r="B329" s="1">
        <v>202420</v>
      </c>
      <c r="C329" s="1">
        <v>202424624</v>
      </c>
      <c r="D329" s="1" t="s">
        <v>2037</v>
      </c>
      <c r="E329" s="1" t="s">
        <v>3918</v>
      </c>
      <c r="F329" s="1" t="s">
        <v>305</v>
      </c>
      <c r="G329" s="85" t="str">
        <f>_xlfn.XLOOKUP(Tabla2[[#This Row],[Universidad]],Conversiones!$B:$B,Conversiones!$C:$C)</f>
        <v>Catolica Lisbon Business &amp; Economics. Universidade Católica Portuguesa</v>
      </c>
      <c r="H329" s="85" t="str">
        <f>_xlfn.XLOOKUP(Tabla2[[#This Row],[Universidad KPIs]],Conversiones!$C:$C,Conversiones!$E:$E)</f>
        <v>Específico</v>
      </c>
      <c r="I329" s="1" t="s">
        <v>61</v>
      </c>
      <c r="J329" s="1" t="s">
        <v>281</v>
      </c>
      <c r="K329" s="1" t="s">
        <v>3919</v>
      </c>
      <c r="L329" s="1" t="s">
        <v>3920</v>
      </c>
      <c r="M329" s="1" t="s">
        <v>230</v>
      </c>
      <c r="N329" s="1" t="s">
        <v>3657</v>
      </c>
      <c r="O329" s="86"/>
      <c r="P329" s="1"/>
      <c r="Q329" s="1" t="s">
        <v>2419</v>
      </c>
      <c r="R329" s="1" t="s">
        <v>2401</v>
      </c>
      <c r="S329" s="1" t="s">
        <v>2712</v>
      </c>
      <c r="T329" s="1" t="s">
        <v>2338</v>
      </c>
      <c r="U329" s="1" t="s">
        <v>2339</v>
      </c>
      <c r="V329" s="1" t="s">
        <v>2400</v>
      </c>
      <c r="W329" s="1"/>
      <c r="X329" s="1"/>
      <c r="Y329" s="1"/>
      <c r="Z329" s="1"/>
      <c r="AA329" s="1"/>
      <c r="AB329" s="1"/>
      <c r="AC329" s="88" t="s">
        <v>233</v>
      </c>
      <c r="AD329" s="126" t="s">
        <v>254</v>
      </c>
    </row>
    <row r="330" spans="1:30" hidden="1">
      <c r="A330" s="1">
        <v>2024</v>
      </c>
      <c r="B330" s="1">
        <v>202420</v>
      </c>
      <c r="C330" s="1">
        <v>202424825</v>
      </c>
      <c r="D330" s="1" t="s">
        <v>3921</v>
      </c>
      <c r="E330" s="1" t="s">
        <v>3922</v>
      </c>
      <c r="F330" s="1" t="s">
        <v>329</v>
      </c>
      <c r="G330" s="85" t="str">
        <f>_xlfn.XLOOKUP(Tabla2[[#This Row],[Universidad]],Conversiones!$B:$B,Conversiones!$C:$C)</f>
        <v>ESSEC</v>
      </c>
      <c r="H330" s="85" t="str">
        <f>_xlfn.XLOOKUP(Tabla2[[#This Row],[Universidad KPIs]],Conversiones!$C:$C,Conversiones!$E:$E)</f>
        <v>Específico</v>
      </c>
      <c r="I330" s="1" t="s">
        <v>57</v>
      </c>
      <c r="J330" s="1" t="s">
        <v>281</v>
      </c>
      <c r="K330" s="1" t="s">
        <v>3923</v>
      </c>
      <c r="L330" s="1" t="s">
        <v>3924</v>
      </c>
      <c r="M330" s="1" t="s">
        <v>230</v>
      </c>
      <c r="N330" s="1" t="s">
        <v>3657</v>
      </c>
      <c r="O330" s="86"/>
      <c r="P330" s="1"/>
      <c r="Q330" s="1" t="s">
        <v>2683</v>
      </c>
      <c r="R330" s="1" t="s">
        <v>2975</v>
      </c>
      <c r="S330" s="1" t="s">
        <v>3925</v>
      </c>
      <c r="T330" s="1"/>
      <c r="U330" s="1"/>
      <c r="V330" s="1"/>
      <c r="W330" s="1"/>
      <c r="X330" s="1"/>
      <c r="Y330" s="1"/>
      <c r="Z330" s="1"/>
      <c r="AA330" s="1"/>
      <c r="AB330" s="1"/>
      <c r="AC330" s="88" t="s">
        <v>237</v>
      </c>
      <c r="AD330" s="126" t="s">
        <v>247</v>
      </c>
    </row>
    <row r="331" spans="1:30" hidden="1">
      <c r="A331" s="1">
        <v>2024</v>
      </c>
      <c r="B331" s="1">
        <v>202420</v>
      </c>
      <c r="C331" s="1">
        <v>202424862</v>
      </c>
      <c r="D331" s="1" t="s">
        <v>3926</v>
      </c>
      <c r="E331" s="1" t="s">
        <v>3927</v>
      </c>
      <c r="F331" s="1" t="s">
        <v>441</v>
      </c>
      <c r="G331" s="85" t="str">
        <f>_xlfn.XLOOKUP(Tabla2[[#This Row],[Universidad]],Conversiones!$B:$B,Conversiones!$C:$C)</f>
        <v xml:space="preserve">CBS- Copenhagen Business School  </v>
      </c>
      <c r="H331" s="85" t="str">
        <f>_xlfn.XLOOKUP(Tabla2[[#This Row],[Universidad KPIs]],Conversiones!$C:$C,Conversiones!$E:$E)</f>
        <v>Específico</v>
      </c>
      <c r="I331" s="1" t="s">
        <v>63</v>
      </c>
      <c r="J331" s="1" t="s">
        <v>281</v>
      </c>
      <c r="K331" s="1" t="s">
        <v>3928</v>
      </c>
      <c r="L331" s="1" t="s">
        <v>3929</v>
      </c>
      <c r="M331" s="1" t="s">
        <v>230</v>
      </c>
      <c r="N331" s="1" t="s">
        <v>3657</v>
      </c>
      <c r="O331" s="86"/>
      <c r="P331" s="1"/>
      <c r="Q331" s="1" t="s">
        <v>2438</v>
      </c>
      <c r="R331" s="1" t="s">
        <v>2338</v>
      </c>
      <c r="S331" s="1" t="s">
        <v>2340</v>
      </c>
      <c r="T331" s="1" t="s">
        <v>2360</v>
      </c>
      <c r="U331" s="1" t="s">
        <v>3522</v>
      </c>
      <c r="V331" s="1" t="s">
        <v>3930</v>
      </c>
      <c r="W331" s="1"/>
      <c r="X331" s="1"/>
      <c r="Y331" s="1"/>
      <c r="Z331" s="1"/>
      <c r="AA331" s="1"/>
      <c r="AB331" s="1"/>
      <c r="AC331" s="88" t="s">
        <v>233</v>
      </c>
      <c r="AD331" s="126" t="s">
        <v>254</v>
      </c>
    </row>
    <row r="332" spans="1:30" hidden="1">
      <c r="A332" s="1">
        <v>2024</v>
      </c>
      <c r="B332" s="1">
        <v>202420</v>
      </c>
      <c r="C332" s="1">
        <v>202424818</v>
      </c>
      <c r="D332" s="1" t="s">
        <v>3931</v>
      </c>
      <c r="E332" s="1" t="s">
        <v>3932</v>
      </c>
      <c r="F332" s="1" t="s">
        <v>419</v>
      </c>
      <c r="G332" s="85" t="str">
        <f>_xlfn.XLOOKUP(Tabla2[[#This Row],[Universidad]],Conversiones!$B:$B,Conversiones!$C:$C)</f>
        <v>ESCP</v>
      </c>
      <c r="H332" s="85" t="str">
        <f>_xlfn.XLOOKUP(Tabla2[[#This Row],[Universidad KPIs]],Conversiones!$C:$C,Conversiones!$E:$E)</f>
        <v>Específico</v>
      </c>
      <c r="I332" s="1" t="s">
        <v>57</v>
      </c>
      <c r="J332" s="1" t="s">
        <v>281</v>
      </c>
      <c r="K332" s="1" t="s">
        <v>3933</v>
      </c>
      <c r="L332" s="1" t="s">
        <v>3934</v>
      </c>
      <c r="M332" s="1" t="s">
        <v>230</v>
      </c>
      <c r="N332" s="1" t="s">
        <v>3657</v>
      </c>
      <c r="O332" s="86"/>
      <c r="P332" s="1"/>
      <c r="Q332" s="1" t="s">
        <v>2683</v>
      </c>
      <c r="R332" s="1" t="s">
        <v>2975</v>
      </c>
      <c r="S332" s="1" t="s">
        <v>3925</v>
      </c>
      <c r="T332" s="1"/>
      <c r="U332" s="1"/>
      <c r="V332" s="1"/>
      <c r="W332" s="1"/>
      <c r="X332" s="1"/>
      <c r="Y332" s="1"/>
      <c r="Z332" s="1"/>
      <c r="AA332" s="1"/>
      <c r="AB332" s="1"/>
      <c r="AC332" s="88" t="s">
        <v>237</v>
      </c>
      <c r="AD332" s="126" t="s">
        <v>247</v>
      </c>
    </row>
    <row r="333" spans="1:30" hidden="1">
      <c r="A333" s="1">
        <v>2024</v>
      </c>
      <c r="B333" s="1">
        <v>202420</v>
      </c>
      <c r="C333" s="1">
        <v>202424850</v>
      </c>
      <c r="D333" s="1" t="s">
        <v>3935</v>
      </c>
      <c r="E333" s="1" t="s">
        <v>3936</v>
      </c>
      <c r="F333" s="1" t="s">
        <v>177</v>
      </c>
      <c r="G333" s="85" t="str">
        <f>_xlfn.XLOOKUP(Tabla2[[#This Row],[Universidad]],Conversiones!$B:$B,Conversiones!$C:$C)</f>
        <v>Université de Genève</v>
      </c>
      <c r="H333" s="85" t="str">
        <f>_xlfn.XLOOKUP(Tabla2[[#This Row],[Universidad KPIs]],Conversiones!$C:$C,Conversiones!$E:$E)</f>
        <v>General</v>
      </c>
      <c r="I333" s="1" t="s">
        <v>81</v>
      </c>
      <c r="J333" s="1" t="s">
        <v>281</v>
      </c>
      <c r="K333" s="1" t="s">
        <v>3937</v>
      </c>
      <c r="L333" s="1" t="s">
        <v>3938</v>
      </c>
      <c r="M333" s="1" t="s">
        <v>230</v>
      </c>
      <c r="N333" s="1" t="s">
        <v>3657</v>
      </c>
      <c r="O333" s="86"/>
      <c r="P333" s="1"/>
      <c r="Q333" s="1" t="s">
        <v>2438</v>
      </c>
      <c r="R333" s="1" t="s">
        <v>2331</v>
      </c>
      <c r="S333" s="1" t="s">
        <v>2678</v>
      </c>
      <c r="T333" s="1" t="s">
        <v>2437</v>
      </c>
      <c r="U333" s="1" t="s">
        <v>3230</v>
      </c>
      <c r="V333" s="1"/>
      <c r="W333" s="1"/>
      <c r="X333" s="1"/>
      <c r="Y333" s="1"/>
      <c r="Z333" s="1"/>
      <c r="AA333" s="1"/>
      <c r="AB333" s="1"/>
      <c r="AC333" s="88" t="s">
        <v>237</v>
      </c>
      <c r="AD333" s="126" t="s">
        <v>247</v>
      </c>
    </row>
    <row r="334" spans="1:30" hidden="1">
      <c r="A334" s="1">
        <v>2024</v>
      </c>
      <c r="B334" s="1">
        <v>202420</v>
      </c>
      <c r="C334" s="1">
        <v>202424804</v>
      </c>
      <c r="D334" s="1" t="s">
        <v>3939</v>
      </c>
      <c r="E334" s="1" t="s">
        <v>3940</v>
      </c>
      <c r="F334" s="1" t="s">
        <v>94</v>
      </c>
      <c r="G334" s="85" t="str">
        <f>_xlfn.XLOOKUP(Tabla2[[#This Row],[Universidad]],Conversiones!$B:$B,Conversiones!$C:$C)</f>
        <v>Maastricht University</v>
      </c>
      <c r="H334" s="85" t="str">
        <f>_xlfn.XLOOKUP(Tabla2[[#This Row],[Universidad KPIs]],Conversiones!$C:$C,Conversiones!$E:$E)</f>
        <v>Específico</v>
      </c>
      <c r="I334" s="1" t="s">
        <v>95</v>
      </c>
      <c r="J334" s="1" t="s">
        <v>281</v>
      </c>
      <c r="K334" s="1" t="s">
        <v>3941</v>
      </c>
      <c r="L334" s="1" t="s">
        <v>3942</v>
      </c>
      <c r="M334" s="1" t="s">
        <v>230</v>
      </c>
      <c r="N334" s="1" t="s">
        <v>3657</v>
      </c>
      <c r="O334" s="86"/>
      <c r="P334" s="1"/>
      <c r="Q334" s="1" t="s">
        <v>2556</v>
      </c>
      <c r="R334" s="1" t="s">
        <v>2331</v>
      </c>
      <c r="S334" s="1" t="s">
        <v>2401</v>
      </c>
      <c r="T334" s="1" t="s">
        <v>2511</v>
      </c>
      <c r="U334" s="1" t="s">
        <v>2338</v>
      </c>
      <c r="V334" s="1" t="s">
        <v>2472</v>
      </c>
      <c r="W334" s="1"/>
      <c r="X334" s="1"/>
      <c r="Y334" s="1"/>
      <c r="Z334" s="1"/>
      <c r="AA334" s="1"/>
      <c r="AB334" s="1"/>
      <c r="AC334" s="88" t="s">
        <v>233</v>
      </c>
      <c r="AD334" s="126" t="s">
        <v>254</v>
      </c>
    </row>
    <row r="335" spans="1:30" hidden="1">
      <c r="A335" s="1">
        <v>2024</v>
      </c>
      <c r="B335" s="1">
        <v>202420</v>
      </c>
      <c r="C335" s="1">
        <v>202424587</v>
      </c>
      <c r="D335" s="1" t="s">
        <v>3943</v>
      </c>
      <c r="E335" s="1" t="s">
        <v>3944</v>
      </c>
      <c r="F335" s="1" t="s">
        <v>286</v>
      </c>
      <c r="G335" s="85" t="str">
        <f>_xlfn.XLOOKUP(Tabla2[[#This Row],[Universidad]],Conversiones!$B:$B,Conversiones!$C:$C)</f>
        <v>ESC Rouen (NEOMA)</v>
      </c>
      <c r="H335" s="85" t="str">
        <f>_xlfn.XLOOKUP(Tabla2[[#This Row],[Universidad KPIs]],Conversiones!$C:$C,Conversiones!$E:$E)</f>
        <v>Específico</v>
      </c>
      <c r="I335" s="1" t="s">
        <v>57</v>
      </c>
      <c r="J335" s="1" t="s">
        <v>281</v>
      </c>
      <c r="K335" s="1" t="s">
        <v>3945</v>
      </c>
      <c r="L335" s="1" t="s">
        <v>3946</v>
      </c>
      <c r="M335" s="1" t="s">
        <v>230</v>
      </c>
      <c r="N335" s="1" t="s">
        <v>3657</v>
      </c>
      <c r="O335" s="86"/>
      <c r="P335" s="1"/>
      <c r="Q335" s="1" t="s">
        <v>2438</v>
      </c>
      <c r="R335" s="1" t="s">
        <v>2331</v>
      </c>
      <c r="S335" s="1" t="s">
        <v>2401</v>
      </c>
      <c r="T335" s="1" t="s">
        <v>2338</v>
      </c>
      <c r="U335" s="1"/>
      <c r="V335" s="1"/>
      <c r="W335" s="1"/>
      <c r="X335" s="1"/>
      <c r="Y335" s="1"/>
      <c r="Z335" s="1"/>
      <c r="AA335" s="1"/>
      <c r="AB335" s="1"/>
      <c r="AC335" s="88" t="s">
        <v>233</v>
      </c>
      <c r="AD335" s="126" t="s">
        <v>247</v>
      </c>
    </row>
    <row r="336" spans="1:30" hidden="1">
      <c r="A336" s="1">
        <v>2024</v>
      </c>
      <c r="B336" s="1">
        <v>202420</v>
      </c>
      <c r="C336" s="1">
        <v>202424884</v>
      </c>
      <c r="D336" s="1" t="s">
        <v>3947</v>
      </c>
      <c r="E336" s="1" t="s">
        <v>3948</v>
      </c>
      <c r="F336" s="1" t="s">
        <v>286</v>
      </c>
      <c r="G336" s="85" t="str">
        <f>_xlfn.XLOOKUP(Tabla2[[#This Row],[Universidad]],Conversiones!$B:$B,Conversiones!$C:$C)</f>
        <v>ESC Rouen (NEOMA)</v>
      </c>
      <c r="H336" s="85" t="str">
        <f>_xlfn.XLOOKUP(Tabla2[[#This Row],[Universidad KPIs]],Conversiones!$C:$C,Conversiones!$E:$E)</f>
        <v>Específico</v>
      </c>
      <c r="I336" s="1" t="s">
        <v>57</v>
      </c>
      <c r="J336" s="1" t="s">
        <v>281</v>
      </c>
      <c r="K336" s="1" t="s">
        <v>3949</v>
      </c>
      <c r="L336" s="1" t="s">
        <v>3950</v>
      </c>
      <c r="M336" s="1" t="s">
        <v>230</v>
      </c>
      <c r="N336" s="1" t="s">
        <v>3657</v>
      </c>
      <c r="O336" s="86"/>
      <c r="P336" s="1"/>
      <c r="Q336" s="1" t="s">
        <v>2438</v>
      </c>
      <c r="R336" s="1" t="s">
        <v>2331</v>
      </c>
      <c r="S336" s="1" t="s">
        <v>2632</v>
      </c>
      <c r="T336" s="1" t="s">
        <v>2360</v>
      </c>
      <c r="U336" s="1" t="s">
        <v>2912</v>
      </c>
      <c r="V336" s="1" t="s">
        <v>3048</v>
      </c>
      <c r="W336" s="1"/>
      <c r="X336" s="1"/>
      <c r="Y336" s="1"/>
      <c r="Z336" s="1"/>
      <c r="AA336" s="1"/>
      <c r="AB336" s="1"/>
      <c r="AC336" s="88" t="s">
        <v>233</v>
      </c>
      <c r="AD336" s="126" t="s">
        <v>247</v>
      </c>
    </row>
    <row r="337" spans="1:30" hidden="1">
      <c r="A337" s="1">
        <v>2024</v>
      </c>
      <c r="B337" s="1">
        <v>202420</v>
      </c>
      <c r="C337" s="1">
        <v>202424603</v>
      </c>
      <c r="D337" s="1" t="s">
        <v>3951</v>
      </c>
      <c r="E337" s="1" t="s">
        <v>3952</v>
      </c>
      <c r="F337" s="1" t="s">
        <v>356</v>
      </c>
      <c r="G337" s="85" t="str">
        <f>_xlfn.XLOOKUP(Tabla2[[#This Row],[Universidad]],Conversiones!$B:$B,Conversiones!$C:$C)</f>
        <v>Università Commerciale Luigi Bocconi</v>
      </c>
      <c r="H337" s="85" t="str">
        <f>_xlfn.XLOOKUP(Tabla2[[#This Row],[Universidad KPIs]],Conversiones!$C:$C,Conversiones!$E:$E)</f>
        <v>Específico</v>
      </c>
      <c r="I337" s="1" t="s">
        <v>103</v>
      </c>
      <c r="J337" s="1" t="s">
        <v>281</v>
      </c>
      <c r="K337" s="1" t="s">
        <v>3953</v>
      </c>
      <c r="L337" s="1" t="s">
        <v>3954</v>
      </c>
      <c r="M337" s="1" t="s">
        <v>230</v>
      </c>
      <c r="N337" s="1" t="s">
        <v>3657</v>
      </c>
      <c r="O337" s="86"/>
      <c r="P337" s="1"/>
      <c r="Q337" s="1" t="s">
        <v>2331</v>
      </c>
      <c r="R337" s="1" t="s">
        <v>2401</v>
      </c>
      <c r="S337" s="1" t="s">
        <v>3053</v>
      </c>
      <c r="T337" s="1" t="s">
        <v>2339</v>
      </c>
      <c r="U337" s="1" t="s">
        <v>2360</v>
      </c>
      <c r="V337" s="1"/>
      <c r="W337" s="1"/>
      <c r="X337" s="1"/>
      <c r="Y337" s="1"/>
      <c r="Z337" s="1"/>
      <c r="AA337" s="1"/>
      <c r="AB337" s="1"/>
      <c r="AC337" s="88" t="s">
        <v>233</v>
      </c>
      <c r="AD337" s="126" t="s">
        <v>254</v>
      </c>
    </row>
    <row r="338" spans="1:30" hidden="1">
      <c r="A338" s="1">
        <v>2024</v>
      </c>
      <c r="B338" s="1">
        <v>202420</v>
      </c>
      <c r="C338" s="1">
        <v>202424824</v>
      </c>
      <c r="D338" s="1" t="s">
        <v>3955</v>
      </c>
      <c r="E338" s="1" t="s">
        <v>3715</v>
      </c>
      <c r="F338" s="1" t="s">
        <v>419</v>
      </c>
      <c r="G338" s="85" t="str">
        <f>_xlfn.XLOOKUP(Tabla2[[#This Row],[Universidad]],Conversiones!$B:$B,Conversiones!$C:$C)</f>
        <v>ESCP</v>
      </c>
      <c r="H338" s="85" t="str">
        <f>_xlfn.XLOOKUP(Tabla2[[#This Row],[Universidad KPIs]],Conversiones!$C:$C,Conversiones!$E:$E)</f>
        <v>Específico</v>
      </c>
      <c r="I338" s="1" t="s">
        <v>57</v>
      </c>
      <c r="J338" s="1" t="s">
        <v>281</v>
      </c>
      <c r="K338" s="1" t="s">
        <v>3956</v>
      </c>
      <c r="L338" s="1" t="s">
        <v>3957</v>
      </c>
      <c r="M338" s="1" t="s">
        <v>230</v>
      </c>
      <c r="N338" s="1" t="s">
        <v>3657</v>
      </c>
      <c r="O338" s="86"/>
      <c r="P338" s="1"/>
      <c r="Q338" s="1" t="s">
        <v>2683</v>
      </c>
      <c r="R338" s="1" t="s">
        <v>2975</v>
      </c>
      <c r="S338" s="1" t="s">
        <v>3925</v>
      </c>
      <c r="T338" s="1"/>
      <c r="U338" s="1"/>
      <c r="V338" s="1"/>
      <c r="W338" s="1"/>
      <c r="X338" s="1"/>
      <c r="Y338" s="1"/>
      <c r="Z338" s="1"/>
      <c r="AA338" s="1"/>
      <c r="AB338" s="1"/>
      <c r="AC338" s="88" t="s">
        <v>237</v>
      </c>
      <c r="AD338" s="126" t="s">
        <v>247</v>
      </c>
    </row>
    <row r="339" spans="1:30" hidden="1">
      <c r="A339" s="1">
        <v>2024</v>
      </c>
      <c r="B339" s="1">
        <v>202420</v>
      </c>
      <c r="C339" s="1">
        <v>202424909</v>
      </c>
      <c r="D339" s="1" t="s">
        <v>3958</v>
      </c>
      <c r="E339" s="1" t="s">
        <v>3959</v>
      </c>
      <c r="F339" s="1" t="s">
        <v>372</v>
      </c>
      <c r="G339" s="85" t="str">
        <f>_xlfn.XLOOKUP(Tabla2[[#This Row],[Universidad]],Conversiones!$B:$B,Conversiones!$C:$C)</f>
        <v>A.B. Freeman School of Business, Tulane University</v>
      </c>
      <c r="H339" s="85" t="str">
        <f>_xlfn.XLOOKUP(Tabla2[[#This Row],[Universidad KPIs]],Conversiones!$C:$C,Conversiones!$E:$E)</f>
        <v>Específico</v>
      </c>
      <c r="I339" s="1" t="s">
        <v>51</v>
      </c>
      <c r="J339" s="1" t="s">
        <v>291</v>
      </c>
      <c r="K339" s="1" t="s">
        <v>3960</v>
      </c>
      <c r="L339" s="1" t="s">
        <v>3961</v>
      </c>
      <c r="M339" s="1" t="s">
        <v>230</v>
      </c>
      <c r="N339" s="1" t="s">
        <v>3657</v>
      </c>
      <c r="O339" s="86"/>
      <c r="P339" s="1"/>
      <c r="Q339" s="1" t="s">
        <v>2640</v>
      </c>
      <c r="R339" s="1" t="s">
        <v>2332</v>
      </c>
      <c r="S339" s="1" t="s">
        <v>2338</v>
      </c>
      <c r="T339" s="1" t="s">
        <v>3230</v>
      </c>
      <c r="U339" s="1" t="s">
        <v>2425</v>
      </c>
      <c r="V339" s="1"/>
      <c r="W339" s="1"/>
      <c r="X339" s="1"/>
      <c r="Y339" s="1"/>
      <c r="Z339" s="1"/>
      <c r="AA339" s="1"/>
      <c r="AB339" s="1"/>
      <c r="AC339" s="88" t="s">
        <v>233</v>
      </c>
      <c r="AD339" s="126" t="s">
        <v>254</v>
      </c>
    </row>
    <row r="340" spans="1:30" hidden="1">
      <c r="A340" s="1">
        <v>2024</v>
      </c>
      <c r="B340" s="1">
        <v>202420</v>
      </c>
      <c r="C340" s="1">
        <v>202424604</v>
      </c>
      <c r="D340" s="1" t="s">
        <v>3962</v>
      </c>
      <c r="E340" s="1" t="s">
        <v>3963</v>
      </c>
      <c r="F340" s="1" t="s">
        <v>102</v>
      </c>
      <c r="G340" s="85" t="str">
        <f>_xlfn.XLOOKUP(Tabla2[[#This Row],[Universidad]],Conversiones!$B:$B,Conversiones!$C:$C)</f>
        <v>Politecnico di Milano</v>
      </c>
      <c r="H340" s="85" t="str">
        <f>_xlfn.XLOOKUP(Tabla2[[#This Row],[Universidad KPIs]],Conversiones!$C:$C,Conversiones!$E:$E)</f>
        <v>Específico</v>
      </c>
      <c r="I340" s="1" t="s">
        <v>103</v>
      </c>
      <c r="J340" s="1" t="s">
        <v>281</v>
      </c>
      <c r="K340" s="1" t="s">
        <v>3964</v>
      </c>
      <c r="L340" s="1" t="s">
        <v>3965</v>
      </c>
      <c r="M340" s="1" t="s">
        <v>230</v>
      </c>
      <c r="N340" s="1" t="s">
        <v>3657</v>
      </c>
      <c r="O340" s="86"/>
      <c r="P340" s="1"/>
      <c r="Q340" s="1" t="s">
        <v>2556</v>
      </c>
      <c r="R340" s="1" t="s">
        <v>2438</v>
      </c>
      <c r="S340" s="1" t="s">
        <v>2338</v>
      </c>
      <c r="T340" s="1" t="s">
        <v>2352</v>
      </c>
      <c r="U340" s="1" t="s">
        <v>2632</v>
      </c>
      <c r="V340" s="1" t="s">
        <v>2506</v>
      </c>
      <c r="W340" s="1" t="s">
        <v>2378</v>
      </c>
      <c r="X340" s="1" t="s">
        <v>3966</v>
      </c>
      <c r="Y340" s="1"/>
      <c r="Z340" s="1"/>
      <c r="AA340" s="1"/>
      <c r="AB340" s="1"/>
      <c r="AC340" s="88" t="s">
        <v>233</v>
      </c>
      <c r="AD340" s="126" t="s">
        <v>247</v>
      </c>
    </row>
    <row r="341" spans="1:30" hidden="1">
      <c r="A341" s="1">
        <v>2024</v>
      </c>
      <c r="B341" s="1">
        <v>202420</v>
      </c>
      <c r="C341" s="1">
        <v>202424625</v>
      </c>
      <c r="D341" s="1" t="s">
        <v>3480</v>
      </c>
      <c r="E341" s="1" t="s">
        <v>3967</v>
      </c>
      <c r="F341" s="1" t="s">
        <v>305</v>
      </c>
      <c r="G341" s="85" t="str">
        <f>_xlfn.XLOOKUP(Tabla2[[#This Row],[Universidad]],Conversiones!$B:$B,Conversiones!$C:$C)</f>
        <v>Catolica Lisbon Business &amp; Economics. Universidade Católica Portuguesa</v>
      </c>
      <c r="H341" s="85" t="str">
        <f>_xlfn.XLOOKUP(Tabla2[[#This Row],[Universidad KPIs]],Conversiones!$C:$C,Conversiones!$E:$E)</f>
        <v>Específico</v>
      </c>
      <c r="I341" s="1" t="s">
        <v>61</v>
      </c>
      <c r="J341" s="1" t="s">
        <v>281</v>
      </c>
      <c r="K341" s="1" t="s">
        <v>3968</v>
      </c>
      <c r="L341" s="1" t="s">
        <v>3969</v>
      </c>
      <c r="M341" s="1" t="s">
        <v>230</v>
      </c>
      <c r="N341" s="1" t="s">
        <v>3657</v>
      </c>
      <c r="O341" s="86"/>
      <c r="P341" s="1"/>
      <c r="Q341" s="1" t="s">
        <v>2419</v>
      </c>
      <c r="R341" s="1" t="s">
        <v>2401</v>
      </c>
      <c r="S341" s="1" t="s">
        <v>2712</v>
      </c>
      <c r="T341" s="1" t="s">
        <v>2338</v>
      </c>
      <c r="U341" s="1" t="s">
        <v>2339</v>
      </c>
      <c r="V341" s="1" t="s">
        <v>2400</v>
      </c>
      <c r="W341" s="1"/>
      <c r="X341" s="1"/>
      <c r="Y341" s="1"/>
      <c r="Z341" s="1"/>
      <c r="AA341" s="1"/>
      <c r="AB341" s="1"/>
      <c r="AC341" s="88" t="s">
        <v>233</v>
      </c>
      <c r="AD341" s="126" t="s">
        <v>254</v>
      </c>
    </row>
    <row r="342" spans="1:30" hidden="1">
      <c r="A342" s="1">
        <v>2024</v>
      </c>
      <c r="B342" s="1">
        <v>202420</v>
      </c>
      <c r="C342" s="1">
        <v>202424894</v>
      </c>
      <c r="D342" s="1" t="s">
        <v>3970</v>
      </c>
      <c r="E342" s="1" t="s">
        <v>3971</v>
      </c>
      <c r="F342" s="1" t="s">
        <v>329</v>
      </c>
      <c r="G342" s="85" t="str">
        <f>_xlfn.XLOOKUP(Tabla2[[#This Row],[Universidad]],Conversiones!$B:$B,Conversiones!$C:$C)</f>
        <v>ESSEC</v>
      </c>
      <c r="H342" s="85" t="str">
        <f>_xlfn.XLOOKUP(Tabla2[[#This Row],[Universidad KPIs]],Conversiones!$C:$C,Conversiones!$E:$E)</f>
        <v>Específico</v>
      </c>
      <c r="I342" s="1" t="s">
        <v>57</v>
      </c>
      <c r="J342" s="1" t="s">
        <v>281</v>
      </c>
      <c r="K342" s="1" t="s">
        <v>3972</v>
      </c>
      <c r="L342" s="1" t="s">
        <v>3973</v>
      </c>
      <c r="M342" s="1" t="s">
        <v>230</v>
      </c>
      <c r="N342" s="1" t="s">
        <v>3657</v>
      </c>
      <c r="O342" s="86"/>
      <c r="P342" s="1"/>
      <c r="Q342" s="1" t="s">
        <v>2672</v>
      </c>
      <c r="R342" s="1" t="s">
        <v>3974</v>
      </c>
      <c r="S342" s="1" t="s">
        <v>2393</v>
      </c>
      <c r="T342" s="1" t="s">
        <v>3975</v>
      </c>
      <c r="U342" s="1" t="s">
        <v>2413</v>
      </c>
      <c r="V342" s="1" t="s">
        <v>3379</v>
      </c>
      <c r="W342" s="1" t="s">
        <v>2790</v>
      </c>
      <c r="X342" s="1" t="s">
        <v>3976</v>
      </c>
      <c r="Y342" s="1"/>
      <c r="Z342" s="1"/>
      <c r="AA342" s="1"/>
      <c r="AB342" s="1"/>
      <c r="AC342" s="88" t="s">
        <v>233</v>
      </c>
      <c r="AD342" s="126" t="s">
        <v>254</v>
      </c>
    </row>
    <row r="343" spans="1:30" hidden="1">
      <c r="A343" s="1">
        <v>2024</v>
      </c>
      <c r="B343" s="1">
        <v>202420</v>
      </c>
      <c r="C343" s="1">
        <v>202424840</v>
      </c>
      <c r="D343" s="1" t="s">
        <v>3977</v>
      </c>
      <c r="E343" s="1" t="s">
        <v>3978</v>
      </c>
      <c r="F343" s="1" t="s">
        <v>356</v>
      </c>
      <c r="G343" s="85" t="str">
        <f>_xlfn.XLOOKUP(Tabla2[[#This Row],[Universidad]],Conversiones!$B:$B,Conversiones!$C:$C)</f>
        <v>Università Commerciale Luigi Bocconi</v>
      </c>
      <c r="H343" s="85" t="str">
        <f>_xlfn.XLOOKUP(Tabla2[[#This Row],[Universidad KPIs]],Conversiones!$C:$C,Conversiones!$E:$E)</f>
        <v>Específico</v>
      </c>
      <c r="I343" s="1" t="s">
        <v>103</v>
      </c>
      <c r="J343" s="1" t="s">
        <v>281</v>
      </c>
      <c r="K343" s="1" t="s">
        <v>3979</v>
      </c>
      <c r="L343" s="1" t="s">
        <v>3980</v>
      </c>
      <c r="M343" s="1" t="s">
        <v>230</v>
      </c>
      <c r="N343" s="1" t="s">
        <v>3657</v>
      </c>
      <c r="O343" s="86"/>
      <c r="P343" s="1"/>
      <c r="Q343" s="1" t="s">
        <v>2359</v>
      </c>
      <c r="R343" s="1" t="s">
        <v>2338</v>
      </c>
      <c r="S343" s="1" t="s">
        <v>3893</v>
      </c>
      <c r="T343" s="1" t="s">
        <v>2425</v>
      </c>
      <c r="U343" s="1" t="s">
        <v>2413</v>
      </c>
      <c r="V343" s="1"/>
      <c r="W343" s="1"/>
      <c r="X343" s="1"/>
      <c r="Y343" s="1"/>
      <c r="Z343" s="1"/>
      <c r="AA343" s="1"/>
      <c r="AB343" s="1"/>
      <c r="AC343" s="88" t="s">
        <v>237</v>
      </c>
      <c r="AD343" s="126" t="s">
        <v>247</v>
      </c>
    </row>
    <row r="344" spans="1:30" hidden="1">
      <c r="A344" s="1">
        <v>2024</v>
      </c>
      <c r="B344" s="1">
        <v>202420</v>
      </c>
      <c r="C344" s="1">
        <v>202424914</v>
      </c>
      <c r="D344" s="1" t="s">
        <v>3981</v>
      </c>
      <c r="E344" s="1" t="s">
        <v>3982</v>
      </c>
      <c r="F344" s="1" t="s">
        <v>372</v>
      </c>
      <c r="G344" s="85" t="str">
        <f>_xlfn.XLOOKUP(Tabla2[[#This Row],[Universidad]],Conversiones!$B:$B,Conversiones!$C:$C)</f>
        <v>A.B. Freeman School of Business, Tulane University</v>
      </c>
      <c r="H344" s="85" t="str">
        <f>_xlfn.XLOOKUP(Tabla2[[#This Row],[Universidad KPIs]],Conversiones!$C:$C,Conversiones!$E:$E)</f>
        <v>Específico</v>
      </c>
      <c r="I344" s="1" t="s">
        <v>51</v>
      </c>
      <c r="J344" s="1" t="s">
        <v>291</v>
      </c>
      <c r="K344" s="1" t="s">
        <v>3983</v>
      </c>
      <c r="L344" s="1" t="s">
        <v>3984</v>
      </c>
      <c r="M344" s="1" t="s">
        <v>230</v>
      </c>
      <c r="N344" s="1" t="s">
        <v>3657</v>
      </c>
      <c r="O344" s="86"/>
      <c r="P344" s="1"/>
      <c r="Q344" s="1" t="s">
        <v>2338</v>
      </c>
      <c r="R344" s="1" t="s">
        <v>2352</v>
      </c>
      <c r="S344" s="1" t="s">
        <v>3985</v>
      </c>
      <c r="T344" s="1" t="s">
        <v>3986</v>
      </c>
      <c r="U344" s="1" t="s">
        <v>3987</v>
      </c>
      <c r="V344" s="1"/>
      <c r="W344" s="1"/>
      <c r="X344" s="1"/>
      <c r="Y344" s="1"/>
      <c r="Z344" s="1"/>
      <c r="AA344" s="1"/>
      <c r="AB344" s="1"/>
      <c r="AC344" s="88" t="s">
        <v>233</v>
      </c>
      <c r="AD344" s="126" t="s">
        <v>254</v>
      </c>
    </row>
    <row r="345" spans="1:30" hidden="1">
      <c r="A345" s="1">
        <v>2024</v>
      </c>
      <c r="B345" s="1">
        <v>202420</v>
      </c>
      <c r="C345" s="1">
        <v>202424814</v>
      </c>
      <c r="D345" s="1" t="s">
        <v>3988</v>
      </c>
      <c r="E345" s="1" t="s">
        <v>3989</v>
      </c>
      <c r="F345" s="1" t="s">
        <v>52</v>
      </c>
      <c r="G345" s="85" t="str">
        <f>_xlfn.XLOOKUP(Tabla2[[#This Row],[Universidad]],Conversiones!$B:$B,Conversiones!$C:$C)</f>
        <v>Aalto University</v>
      </c>
      <c r="H345" s="85" t="str">
        <f>_xlfn.XLOOKUP(Tabla2[[#This Row],[Universidad KPIs]],Conversiones!$C:$C,Conversiones!$E:$E)</f>
        <v>Específico</v>
      </c>
      <c r="I345" s="1" t="s">
        <v>53</v>
      </c>
      <c r="J345" s="1" t="s">
        <v>281</v>
      </c>
      <c r="K345" s="1" t="s">
        <v>3990</v>
      </c>
      <c r="L345" s="1" t="s">
        <v>3991</v>
      </c>
      <c r="M345" s="1" t="s">
        <v>230</v>
      </c>
      <c r="N345" s="1" t="s">
        <v>3657</v>
      </c>
      <c r="O345" s="86"/>
      <c r="P345" s="1"/>
      <c r="Q345" s="1" t="s">
        <v>2556</v>
      </c>
      <c r="R345" s="1" t="s">
        <v>3444</v>
      </c>
      <c r="S345" s="1" t="s">
        <v>3992</v>
      </c>
      <c r="T345" s="1" t="s">
        <v>2413</v>
      </c>
      <c r="U345" s="1" t="s">
        <v>2495</v>
      </c>
      <c r="V345" s="1" t="s">
        <v>2388</v>
      </c>
      <c r="W345" s="1" t="s">
        <v>2494</v>
      </c>
      <c r="X345" s="1" t="s">
        <v>3251</v>
      </c>
      <c r="Y345" s="1" t="s">
        <v>2590</v>
      </c>
      <c r="Z345" s="1" t="s">
        <v>3412</v>
      </c>
      <c r="AA345" s="1"/>
      <c r="AB345" s="1"/>
      <c r="AC345" s="88" t="s">
        <v>237</v>
      </c>
      <c r="AD345" s="126" t="s">
        <v>247</v>
      </c>
    </row>
    <row r="346" spans="1:30" hidden="1">
      <c r="A346" s="1">
        <v>2024</v>
      </c>
      <c r="B346" s="1">
        <v>202420</v>
      </c>
      <c r="C346" s="1">
        <v>202424609</v>
      </c>
      <c r="D346" s="1" t="s">
        <v>3993</v>
      </c>
      <c r="E346" s="1" t="s">
        <v>3994</v>
      </c>
      <c r="F346" s="1" t="s">
        <v>102</v>
      </c>
      <c r="G346" s="85" t="str">
        <f>_xlfn.XLOOKUP(Tabla2[[#This Row],[Universidad]],Conversiones!$B:$B,Conversiones!$C:$C)</f>
        <v>Politecnico di Milano</v>
      </c>
      <c r="H346" s="85" t="str">
        <f>_xlfn.XLOOKUP(Tabla2[[#This Row],[Universidad KPIs]],Conversiones!$C:$C,Conversiones!$E:$E)</f>
        <v>Específico</v>
      </c>
      <c r="I346" s="1" t="s">
        <v>103</v>
      </c>
      <c r="J346" s="1" t="s">
        <v>281</v>
      </c>
      <c r="K346" s="1" t="s">
        <v>3995</v>
      </c>
      <c r="L346" s="1" t="s">
        <v>3996</v>
      </c>
      <c r="M346" s="1" t="s">
        <v>230</v>
      </c>
      <c r="N346" s="1" t="s">
        <v>3657</v>
      </c>
      <c r="O346" s="86"/>
      <c r="P346" s="1"/>
      <c r="Q346" s="1" t="s">
        <v>2556</v>
      </c>
      <c r="R346" s="1" t="s">
        <v>2438</v>
      </c>
      <c r="S346" s="1" t="s">
        <v>2352</v>
      </c>
      <c r="T346" s="1" t="s">
        <v>3230</v>
      </c>
      <c r="U346" s="1" t="s">
        <v>3997</v>
      </c>
      <c r="V346" s="1"/>
      <c r="W346" s="1"/>
      <c r="X346" s="1"/>
      <c r="Y346" s="1"/>
      <c r="Z346" s="1"/>
      <c r="AA346" s="1"/>
      <c r="AB346" s="1"/>
      <c r="AC346" s="88" t="s">
        <v>233</v>
      </c>
      <c r="AD346" s="126" t="s">
        <v>247</v>
      </c>
    </row>
    <row r="347" spans="1:30" hidden="1">
      <c r="A347" s="1">
        <v>2024</v>
      </c>
      <c r="B347" s="1">
        <v>202420</v>
      </c>
      <c r="C347" s="1">
        <v>202424846</v>
      </c>
      <c r="D347" s="1" t="s">
        <v>2037</v>
      </c>
      <c r="E347" s="1" t="s">
        <v>3998</v>
      </c>
      <c r="F347" s="1" t="s">
        <v>177</v>
      </c>
      <c r="G347" s="85" t="str">
        <f>_xlfn.XLOOKUP(Tabla2[[#This Row],[Universidad]],Conversiones!$B:$B,Conversiones!$C:$C)</f>
        <v>Université de Genève</v>
      </c>
      <c r="H347" s="85" t="str">
        <f>_xlfn.XLOOKUP(Tabla2[[#This Row],[Universidad KPIs]],Conversiones!$C:$C,Conversiones!$E:$E)</f>
        <v>General</v>
      </c>
      <c r="I347" s="1" t="s">
        <v>81</v>
      </c>
      <c r="J347" s="1" t="s">
        <v>281</v>
      </c>
      <c r="K347" s="1" t="s">
        <v>3999</v>
      </c>
      <c r="L347" s="1" t="s">
        <v>4000</v>
      </c>
      <c r="M347" s="1" t="s">
        <v>230</v>
      </c>
      <c r="N347" s="1" t="s">
        <v>3657</v>
      </c>
      <c r="O347" s="86"/>
      <c r="P347" s="1"/>
      <c r="Q347" s="1" t="s">
        <v>2438</v>
      </c>
      <c r="R347" s="1" t="s">
        <v>2352</v>
      </c>
      <c r="S347" s="1" t="s">
        <v>2487</v>
      </c>
      <c r="T347" s="1" t="s">
        <v>4001</v>
      </c>
      <c r="U347" s="1" t="s">
        <v>3176</v>
      </c>
      <c r="V347" s="1" t="s">
        <v>2912</v>
      </c>
      <c r="W347" s="1" t="s">
        <v>4002</v>
      </c>
      <c r="X347" s="1" t="s">
        <v>4003</v>
      </c>
      <c r="Y347" s="1"/>
      <c r="Z347" s="1"/>
      <c r="AA347" s="1"/>
      <c r="AB347" s="1"/>
      <c r="AC347" s="88" t="s">
        <v>237</v>
      </c>
      <c r="AD347" s="126" t="s">
        <v>247</v>
      </c>
    </row>
    <row r="348" spans="1:30" hidden="1">
      <c r="A348" s="1">
        <v>2024</v>
      </c>
      <c r="B348" s="1">
        <v>202420</v>
      </c>
      <c r="C348" s="1">
        <v>202424851</v>
      </c>
      <c r="D348" s="1" t="s">
        <v>4004</v>
      </c>
      <c r="E348" s="1" t="s">
        <v>4005</v>
      </c>
      <c r="F348" s="1" t="s">
        <v>177</v>
      </c>
      <c r="G348" s="85" t="str">
        <f>_xlfn.XLOOKUP(Tabla2[[#This Row],[Universidad]],Conversiones!$B:$B,Conversiones!$C:$C)</f>
        <v>Université de Genève</v>
      </c>
      <c r="H348" s="85" t="str">
        <f>_xlfn.XLOOKUP(Tabla2[[#This Row],[Universidad KPIs]],Conversiones!$C:$C,Conversiones!$E:$E)</f>
        <v>General</v>
      </c>
      <c r="I348" s="1" t="s">
        <v>81</v>
      </c>
      <c r="J348" s="1" t="s">
        <v>281</v>
      </c>
      <c r="K348" s="1" t="s">
        <v>4006</v>
      </c>
      <c r="L348" s="1" t="s">
        <v>4007</v>
      </c>
      <c r="M348" s="1" t="s">
        <v>230</v>
      </c>
      <c r="N348" s="1" t="s">
        <v>3657</v>
      </c>
      <c r="O348" s="86"/>
      <c r="P348" s="1"/>
      <c r="Q348" s="1" t="s">
        <v>2352</v>
      </c>
      <c r="R348" s="1" t="s">
        <v>4008</v>
      </c>
      <c r="S348" s="1" t="s">
        <v>4009</v>
      </c>
      <c r="T348" s="1" t="s">
        <v>3412</v>
      </c>
      <c r="U348" s="1"/>
      <c r="V348" s="1"/>
      <c r="W348" s="1"/>
      <c r="X348" s="1"/>
      <c r="Y348" s="1"/>
      <c r="Z348" s="1"/>
      <c r="AA348" s="1"/>
      <c r="AB348" s="1"/>
      <c r="AC348" s="88" t="s">
        <v>237</v>
      </c>
      <c r="AD348" s="126" t="s">
        <v>247</v>
      </c>
    </row>
    <row r="349" spans="1:30" hidden="1">
      <c r="A349" s="1">
        <v>2024</v>
      </c>
      <c r="B349" s="1">
        <v>202420</v>
      </c>
      <c r="C349" s="1">
        <v>202424826</v>
      </c>
      <c r="D349" s="1" t="s">
        <v>4010</v>
      </c>
      <c r="E349" s="1" t="s">
        <v>4011</v>
      </c>
      <c r="F349" s="1" t="s">
        <v>329</v>
      </c>
      <c r="G349" s="85" t="str">
        <f>_xlfn.XLOOKUP(Tabla2[[#This Row],[Universidad]],Conversiones!$B:$B,Conversiones!$C:$C)</f>
        <v>ESSEC</v>
      </c>
      <c r="H349" s="85" t="str">
        <f>_xlfn.XLOOKUP(Tabla2[[#This Row],[Universidad KPIs]],Conversiones!$C:$C,Conversiones!$E:$E)</f>
        <v>Específico</v>
      </c>
      <c r="I349" s="1" t="s">
        <v>57</v>
      </c>
      <c r="J349" s="1" t="s">
        <v>281</v>
      </c>
      <c r="K349" s="1" t="s">
        <v>4012</v>
      </c>
      <c r="L349" s="1" t="s">
        <v>4013</v>
      </c>
      <c r="M349" s="1" t="s">
        <v>230</v>
      </c>
      <c r="N349" s="1" t="s">
        <v>3657</v>
      </c>
      <c r="O349" s="86"/>
      <c r="P349" s="1"/>
      <c r="Q349" s="1" t="s">
        <v>2683</v>
      </c>
      <c r="R349" s="1" t="s">
        <v>2975</v>
      </c>
      <c r="S349" s="1" t="s">
        <v>3925</v>
      </c>
      <c r="T349" s="1"/>
      <c r="U349" s="1"/>
      <c r="V349" s="1"/>
      <c r="W349" s="1"/>
      <c r="X349" s="1"/>
      <c r="Y349" s="1"/>
      <c r="Z349" s="1"/>
      <c r="AA349" s="1"/>
      <c r="AB349" s="1"/>
      <c r="AC349" s="88" t="s">
        <v>237</v>
      </c>
      <c r="AD349" s="126" t="s">
        <v>247</v>
      </c>
    </row>
    <row r="350" spans="1:30" hidden="1">
      <c r="A350" s="1">
        <v>2024</v>
      </c>
      <c r="B350" s="1">
        <v>202420</v>
      </c>
      <c r="C350" s="1">
        <v>202424629</v>
      </c>
      <c r="D350" s="1" t="s">
        <v>4014</v>
      </c>
      <c r="E350" s="1" t="s">
        <v>4015</v>
      </c>
      <c r="F350" s="1" t="s">
        <v>192</v>
      </c>
      <c r="G350" s="85" t="str">
        <f>_xlfn.XLOOKUP(Tabla2[[#This Row],[Universidad]],Conversiones!$B:$B,Conversiones!$C:$C)</f>
        <v>Erasmus Universiteit Rotterdam</v>
      </c>
      <c r="H350" s="85" t="str">
        <f>_xlfn.XLOOKUP(Tabla2[[#This Row],[Universidad KPIs]],Conversiones!$C:$C,Conversiones!$E:$E)</f>
        <v>General</v>
      </c>
      <c r="I350" s="1" t="s">
        <v>95</v>
      </c>
      <c r="J350" s="1" t="s">
        <v>281</v>
      </c>
      <c r="K350" s="1" t="s">
        <v>4016</v>
      </c>
      <c r="L350" s="1" t="s">
        <v>4017</v>
      </c>
      <c r="M350" s="1" t="s">
        <v>230</v>
      </c>
      <c r="N350" s="1" t="s">
        <v>3657</v>
      </c>
      <c r="O350" s="86"/>
      <c r="P350" s="1"/>
      <c r="Q350" s="1" t="s">
        <v>2438</v>
      </c>
      <c r="R350" s="1" t="s">
        <v>2331</v>
      </c>
      <c r="S350" s="1" t="s">
        <v>2338</v>
      </c>
      <c r="T350" s="1" t="s">
        <v>2678</v>
      </c>
      <c r="U350" s="1" t="s">
        <v>2425</v>
      </c>
      <c r="V350" s="1" t="s">
        <v>3028</v>
      </c>
      <c r="W350" s="1"/>
      <c r="X350" s="1"/>
      <c r="Y350" s="1"/>
      <c r="Z350" s="1"/>
      <c r="AA350" s="1"/>
      <c r="AB350" s="1"/>
      <c r="AC350" s="88" t="s">
        <v>233</v>
      </c>
      <c r="AD350" s="126" t="s">
        <v>254</v>
      </c>
    </row>
    <row r="351" spans="1:30" hidden="1">
      <c r="A351" s="1">
        <v>2024</v>
      </c>
      <c r="B351" s="1">
        <v>202420</v>
      </c>
      <c r="C351" s="1">
        <v>202424835</v>
      </c>
      <c r="D351" s="1" t="s">
        <v>3674</v>
      </c>
      <c r="E351" s="1" t="s">
        <v>4018</v>
      </c>
      <c r="F351" s="1" t="s">
        <v>177</v>
      </c>
      <c r="G351" s="85" t="str">
        <f>_xlfn.XLOOKUP(Tabla2[[#This Row],[Universidad]],Conversiones!$B:$B,Conversiones!$C:$C)</f>
        <v>Université de Genève</v>
      </c>
      <c r="H351" s="85" t="str">
        <f>_xlfn.XLOOKUP(Tabla2[[#This Row],[Universidad KPIs]],Conversiones!$C:$C,Conversiones!$E:$E)</f>
        <v>General</v>
      </c>
      <c r="I351" s="1" t="s">
        <v>81</v>
      </c>
      <c r="J351" s="1" t="s">
        <v>281</v>
      </c>
      <c r="K351" s="1" t="s">
        <v>4019</v>
      </c>
      <c r="L351" s="1" t="s">
        <v>4020</v>
      </c>
      <c r="M351" s="1" t="s">
        <v>230</v>
      </c>
      <c r="N351" s="1" t="s">
        <v>3657</v>
      </c>
      <c r="O351" s="86"/>
      <c r="P351" s="1"/>
      <c r="Q351" s="1" t="s">
        <v>2684</v>
      </c>
      <c r="R351" s="1" t="s">
        <v>4021</v>
      </c>
      <c r="S351" s="1" t="s">
        <v>4022</v>
      </c>
      <c r="T351" s="1" t="s">
        <v>4023</v>
      </c>
      <c r="U351" s="1"/>
      <c r="V351" s="1"/>
      <c r="W351" s="1"/>
      <c r="X351" s="1"/>
      <c r="Y351" s="1"/>
      <c r="Z351" s="1"/>
      <c r="AA351" s="1"/>
      <c r="AB351" s="1"/>
      <c r="AC351" s="88" t="s">
        <v>237</v>
      </c>
      <c r="AD351" s="126" t="s">
        <v>247</v>
      </c>
    </row>
    <row r="352" spans="1:30" hidden="1">
      <c r="A352" s="1">
        <v>2024</v>
      </c>
      <c r="B352" s="1">
        <v>202420</v>
      </c>
      <c r="C352" s="1">
        <v>202424606</v>
      </c>
      <c r="D352" s="1" t="s">
        <v>4024</v>
      </c>
      <c r="E352" s="1" t="s">
        <v>4025</v>
      </c>
      <c r="F352" s="1" t="s">
        <v>356</v>
      </c>
      <c r="G352" s="85" t="str">
        <f>_xlfn.XLOOKUP(Tabla2[[#This Row],[Universidad]],Conversiones!$B:$B,Conversiones!$C:$C)</f>
        <v>Università Commerciale Luigi Bocconi</v>
      </c>
      <c r="H352" s="85" t="str">
        <f>_xlfn.XLOOKUP(Tabla2[[#This Row],[Universidad KPIs]],Conversiones!$C:$C,Conversiones!$E:$E)</f>
        <v>Específico</v>
      </c>
      <c r="I352" s="1" t="s">
        <v>103</v>
      </c>
      <c r="J352" s="1" t="s">
        <v>281</v>
      </c>
      <c r="K352" s="1" t="s">
        <v>4026</v>
      </c>
      <c r="L352" s="1" t="s">
        <v>4027</v>
      </c>
      <c r="M352" s="1" t="s">
        <v>230</v>
      </c>
      <c r="N352" s="1" t="s">
        <v>3657</v>
      </c>
      <c r="O352" s="86"/>
      <c r="P352" s="1"/>
      <c r="Q352" s="1" t="s">
        <v>2331</v>
      </c>
      <c r="R352" s="1" t="s">
        <v>2401</v>
      </c>
      <c r="S352" s="1" t="s">
        <v>2632</v>
      </c>
      <c r="T352" s="1" t="s">
        <v>2339</v>
      </c>
      <c r="U352" s="1" t="s">
        <v>4028</v>
      </c>
      <c r="V352" s="1"/>
      <c r="W352" s="1"/>
      <c r="X352" s="1"/>
      <c r="Y352" s="1"/>
      <c r="Z352" s="1"/>
      <c r="AA352" s="1"/>
      <c r="AB352" s="1"/>
      <c r="AC352" s="88" t="s">
        <v>233</v>
      </c>
      <c r="AD352" s="126" t="s">
        <v>254</v>
      </c>
    </row>
    <row r="353" spans="1:30" hidden="1">
      <c r="A353" s="1">
        <v>2024</v>
      </c>
      <c r="B353" s="1">
        <v>202420</v>
      </c>
      <c r="C353" s="1">
        <v>202424805</v>
      </c>
      <c r="D353" s="1" t="s">
        <v>4029</v>
      </c>
      <c r="E353" s="1" t="s">
        <v>4030</v>
      </c>
      <c r="F353" s="1" t="s">
        <v>769</v>
      </c>
      <c r="G353" s="85" t="str">
        <f>_xlfn.XLOOKUP(Tabla2[[#This Row],[Universidad]],Conversiones!$B:$B,Conversiones!$C:$C)</f>
        <v>Universidad de Tilburg</v>
      </c>
      <c r="H353" s="85" t="str">
        <f>_xlfn.XLOOKUP(Tabla2[[#This Row],[Universidad KPIs]],Conversiones!$C:$C,Conversiones!$E:$E)</f>
        <v>Específico</v>
      </c>
      <c r="I353" s="1" t="s">
        <v>95</v>
      </c>
      <c r="J353" s="1" t="s">
        <v>281</v>
      </c>
      <c r="K353" s="1" t="s">
        <v>4031</v>
      </c>
      <c r="L353" s="1" t="s">
        <v>4032</v>
      </c>
      <c r="M353" s="1" t="s">
        <v>230</v>
      </c>
      <c r="N353" s="1" t="s">
        <v>3657</v>
      </c>
      <c r="O353" s="86"/>
      <c r="P353" s="1"/>
      <c r="Q353" s="1" t="s">
        <v>2556</v>
      </c>
      <c r="R353" s="1" t="s">
        <v>2358</v>
      </c>
      <c r="S353" s="1" t="s">
        <v>2401</v>
      </c>
      <c r="T353" s="1" t="s">
        <v>2338</v>
      </c>
      <c r="U353" s="1" t="s">
        <v>2339</v>
      </c>
      <c r="V353" s="1" t="s">
        <v>2340</v>
      </c>
      <c r="W353" s="1"/>
      <c r="X353" s="1"/>
      <c r="Y353" s="1"/>
      <c r="Z353" s="1"/>
      <c r="AA353" s="1"/>
      <c r="AB353" s="1"/>
      <c r="AC353" s="88" t="s">
        <v>233</v>
      </c>
      <c r="AD353" s="126" t="s">
        <v>254</v>
      </c>
    </row>
    <row r="354" spans="1:30" hidden="1">
      <c r="A354" s="1">
        <v>2024</v>
      </c>
      <c r="B354" s="1">
        <v>202420</v>
      </c>
      <c r="C354" s="1">
        <v>202424810</v>
      </c>
      <c r="D354" s="1" t="s">
        <v>4033</v>
      </c>
      <c r="E354" s="1" t="s">
        <v>4034</v>
      </c>
      <c r="F354" s="1" t="s">
        <v>114</v>
      </c>
      <c r="G354" s="85" t="str">
        <f>_xlfn.XLOOKUP(Tabla2[[#This Row],[Universidad]],Conversiones!$B:$B,Conversiones!$C:$C)</f>
        <v>Universiteit Utrecht</v>
      </c>
      <c r="H354" s="85" t="str">
        <f>_xlfn.XLOOKUP(Tabla2[[#This Row],[Universidad KPIs]],Conversiones!$C:$C,Conversiones!$E:$E)</f>
        <v>Específico</v>
      </c>
      <c r="I354" s="1" t="s">
        <v>95</v>
      </c>
      <c r="J354" s="1" t="s">
        <v>281</v>
      </c>
      <c r="K354" s="1" t="s">
        <v>4035</v>
      </c>
      <c r="L354" s="1" t="s">
        <v>4036</v>
      </c>
      <c r="M354" s="1" t="s">
        <v>230</v>
      </c>
      <c r="N354" s="1" t="s">
        <v>3657</v>
      </c>
      <c r="O354" s="86"/>
      <c r="P354" s="1"/>
      <c r="Q354" s="1" t="s">
        <v>3176</v>
      </c>
      <c r="R354" s="1" t="s">
        <v>4021</v>
      </c>
      <c r="S354" s="1" t="s">
        <v>2494</v>
      </c>
      <c r="T354" s="1"/>
      <c r="U354" s="1"/>
      <c r="V354" s="1"/>
      <c r="W354" s="1"/>
      <c r="X354" s="1"/>
      <c r="Y354" s="1"/>
      <c r="Z354" s="1"/>
      <c r="AA354" s="1"/>
      <c r="AB354" s="1"/>
      <c r="AC354" s="88" t="s">
        <v>237</v>
      </c>
      <c r="AD354" s="126" t="s">
        <v>247</v>
      </c>
    </row>
    <row r="355" spans="1:30" ht="15.75" hidden="1" thickBot="1">
      <c r="A355" s="1">
        <v>2024</v>
      </c>
      <c r="B355" s="1">
        <v>202420</v>
      </c>
      <c r="C355" s="1">
        <v>202424808</v>
      </c>
      <c r="D355" s="1" t="s">
        <v>4037</v>
      </c>
      <c r="E355" s="1" t="s">
        <v>4038</v>
      </c>
      <c r="F355" s="1" t="s">
        <v>122</v>
      </c>
      <c r="G355" s="85" t="str">
        <f>_xlfn.XLOOKUP(Tabla2[[#This Row],[Universidad]],Conversiones!$B:$B,Conversiones!$C:$C)</f>
        <v>Universidad de San Andrés</v>
      </c>
      <c r="H355" s="85" t="str">
        <f>_xlfn.XLOOKUP(Tabla2[[#This Row],[Universidad KPIs]],Conversiones!$C:$C,Conversiones!$E:$E)</f>
        <v>Específico</v>
      </c>
      <c r="I355" s="1" t="s">
        <v>123</v>
      </c>
      <c r="J355" s="1" t="s">
        <v>296</v>
      </c>
      <c r="K355" s="1" t="s">
        <v>4039</v>
      </c>
      <c r="L355" s="1" t="s">
        <v>4040</v>
      </c>
      <c r="M355" s="1" t="s">
        <v>230</v>
      </c>
      <c r="N355" s="1" t="s">
        <v>3657</v>
      </c>
      <c r="O355" s="86"/>
      <c r="P355" s="1"/>
      <c r="Q355" s="1" t="s">
        <v>4041</v>
      </c>
      <c r="R355" s="1" t="s">
        <v>4042</v>
      </c>
      <c r="S355" s="1" t="s">
        <v>4043</v>
      </c>
      <c r="T355" s="1" t="s">
        <v>4044</v>
      </c>
      <c r="U355" s="1" t="s">
        <v>2756</v>
      </c>
      <c r="V355" s="1" t="s">
        <v>4045</v>
      </c>
      <c r="W355" s="1" t="s">
        <v>3847</v>
      </c>
      <c r="X355" s="1" t="s">
        <v>4046</v>
      </c>
      <c r="Y355" s="1"/>
      <c r="Z355" s="1"/>
      <c r="AA355" s="1"/>
      <c r="AB355" s="1"/>
      <c r="AC355" s="88" t="s">
        <v>250</v>
      </c>
      <c r="AD355" s="126" t="s">
        <v>247</v>
      </c>
    </row>
    <row r="356" spans="1:30" hidden="1">
      <c r="A356" s="1">
        <v>2024</v>
      </c>
      <c r="B356" s="1">
        <v>202420</v>
      </c>
      <c r="C356" s="1">
        <v>202424596</v>
      </c>
      <c r="D356" s="1" t="s">
        <v>4047</v>
      </c>
      <c r="E356" s="1" t="s">
        <v>4048</v>
      </c>
      <c r="F356" s="1" t="s">
        <v>155</v>
      </c>
      <c r="G356" s="85" t="str">
        <f>_xlfn.XLOOKUP(Tabla2[[#This Row],[Universidad]],Conversiones!$B:$B,Conversiones!$C:$C)</f>
        <v>Technische Universität München (TUM)</v>
      </c>
      <c r="H356" s="85" t="str">
        <f>_xlfn.XLOOKUP(Tabla2[[#This Row],[Universidad KPIs]],Conversiones!$C:$C,Conversiones!$E:$E)</f>
        <v>General</v>
      </c>
      <c r="I356" s="1" t="s">
        <v>76</v>
      </c>
      <c r="J356" s="1" t="s">
        <v>281</v>
      </c>
      <c r="K356" s="1" t="s">
        <v>4049</v>
      </c>
      <c r="L356" s="1" t="s">
        <v>4050</v>
      </c>
      <c r="M356" s="1" t="s">
        <v>230</v>
      </c>
      <c r="N356" s="1" t="s">
        <v>3657</v>
      </c>
      <c r="O356" s="86"/>
      <c r="P356" s="100"/>
      <c r="Q356" s="1" t="s">
        <v>2338</v>
      </c>
      <c r="R356" s="1" t="s">
        <v>2352</v>
      </c>
      <c r="S356" s="1" t="s">
        <v>2678</v>
      </c>
      <c r="T356" s="1" t="s">
        <v>3230</v>
      </c>
      <c r="U356" s="1" t="s">
        <v>2413</v>
      </c>
      <c r="V356" s="1" t="s">
        <v>3106</v>
      </c>
      <c r="W356" s="1" t="s">
        <v>2494</v>
      </c>
      <c r="X356" s="1"/>
      <c r="Y356" s="1"/>
      <c r="Z356" s="1"/>
      <c r="AA356" s="1"/>
      <c r="AB356" s="1"/>
      <c r="AC356" s="125" t="s">
        <v>233</v>
      </c>
      <c r="AD356" s="126" t="s">
        <v>247</v>
      </c>
    </row>
    <row r="357" spans="1:30" hidden="1">
      <c r="A357" s="1">
        <v>2024</v>
      </c>
      <c r="B357" s="1">
        <v>202420</v>
      </c>
      <c r="C357" s="1">
        <v>202424833</v>
      </c>
      <c r="D357" s="1" t="s">
        <v>4051</v>
      </c>
      <c r="E357" s="1" t="s">
        <v>4052</v>
      </c>
      <c r="F357" s="1" t="s">
        <v>524</v>
      </c>
      <c r="G357" s="85" t="str">
        <f>_xlfn.XLOOKUP(Tabla2[[#This Row],[Universidad]],Conversiones!$B:$B,Conversiones!$C:$C)</f>
        <v>University of Saint Gallen</v>
      </c>
      <c r="H357" s="85" t="str">
        <f>_xlfn.XLOOKUP(Tabla2[[#This Row],[Universidad KPIs]],Conversiones!$C:$C,Conversiones!$E:$E)</f>
        <v>Específico</v>
      </c>
      <c r="I357" s="1" t="s">
        <v>81</v>
      </c>
      <c r="J357" s="1" t="s">
        <v>281</v>
      </c>
      <c r="K357" s="1" t="s">
        <v>4053</v>
      </c>
      <c r="L357" s="1" t="s">
        <v>4054</v>
      </c>
      <c r="M357" s="1" t="s">
        <v>230</v>
      </c>
      <c r="N357" s="1" t="s">
        <v>3657</v>
      </c>
      <c r="O357" s="86"/>
      <c r="P357" s="1"/>
      <c r="Q357" s="1" t="s">
        <v>3331</v>
      </c>
      <c r="R357" s="1" t="s">
        <v>2764</v>
      </c>
      <c r="S357" s="1" t="s">
        <v>4055</v>
      </c>
      <c r="T357" s="1" t="s">
        <v>2952</v>
      </c>
      <c r="U357" s="1" t="s">
        <v>2494</v>
      </c>
      <c r="V357" s="1" t="s">
        <v>4056</v>
      </c>
      <c r="W357" s="1" t="s">
        <v>4057</v>
      </c>
      <c r="X357" s="1" t="s">
        <v>2733</v>
      </c>
      <c r="Y357" s="1"/>
      <c r="Z357" s="1"/>
      <c r="AA357" s="1"/>
      <c r="AB357" s="1"/>
      <c r="AC357" s="88" t="s">
        <v>251</v>
      </c>
      <c r="AD357" s="126" t="s">
        <v>247</v>
      </c>
    </row>
    <row r="358" spans="1:30" hidden="1">
      <c r="A358" s="1">
        <v>2024</v>
      </c>
      <c r="B358" s="1">
        <v>202420</v>
      </c>
      <c r="C358" s="1">
        <v>202424584</v>
      </c>
      <c r="D358" s="1" t="s">
        <v>4058</v>
      </c>
      <c r="E358" s="1" t="s">
        <v>4059</v>
      </c>
      <c r="F358" s="1" t="s">
        <v>320</v>
      </c>
      <c r="G358" s="85" t="str">
        <f>_xlfn.XLOOKUP(Tabla2[[#This Row],[Universidad]],Conversiones!$B:$B,Conversiones!$C:$C)</f>
        <v>ESADE</v>
      </c>
      <c r="H358" s="85" t="str">
        <f>_xlfn.XLOOKUP(Tabla2[[#This Row],[Universidad KPIs]],Conversiones!$C:$C,Conversiones!$E:$E)</f>
        <v>Específico</v>
      </c>
      <c r="I358" s="1" t="s">
        <v>69</v>
      </c>
      <c r="J358" s="1" t="s">
        <v>281</v>
      </c>
      <c r="K358" s="1" t="s">
        <v>4060</v>
      </c>
      <c r="L358" s="1" t="s">
        <v>4061</v>
      </c>
      <c r="M358" s="1" t="s">
        <v>230</v>
      </c>
      <c r="N358" s="1" t="s">
        <v>3657</v>
      </c>
      <c r="O358" s="86"/>
      <c r="P358" s="1"/>
      <c r="Q358" s="1" t="s">
        <v>2443</v>
      </c>
      <c r="R358" s="1" t="s">
        <v>2712</v>
      </c>
      <c r="S358" s="1" t="s">
        <v>2352</v>
      </c>
      <c r="T358" s="1" t="s">
        <v>2632</v>
      </c>
      <c r="U358" s="1" t="s">
        <v>3230</v>
      </c>
      <c r="V358" s="1"/>
      <c r="W358" s="1"/>
      <c r="X358" s="1"/>
      <c r="Y358" s="1"/>
      <c r="Z358" s="1"/>
      <c r="AA358" s="1"/>
      <c r="AB358" s="1"/>
      <c r="AC358" s="88" t="s">
        <v>233</v>
      </c>
      <c r="AD358" s="126" t="s">
        <v>254</v>
      </c>
    </row>
    <row r="359" spans="1:30" hidden="1">
      <c r="A359" s="1">
        <v>2024</v>
      </c>
      <c r="B359" s="1"/>
      <c r="C359" s="1">
        <v>202413690</v>
      </c>
      <c r="D359" s="1" t="s">
        <v>4062</v>
      </c>
      <c r="E359" s="1" t="s">
        <v>4063</v>
      </c>
      <c r="F359" s="1" t="s">
        <v>212</v>
      </c>
      <c r="G359" s="85" t="str">
        <f>_xlfn.XLOOKUP(Tabla2[[#This Row],[Universidad]],Conversiones!$B:$B,Conversiones!$C:$C)</f>
        <v>Aarhus Universitet</v>
      </c>
      <c r="H359" s="85" t="str">
        <f>_xlfn.XLOOKUP(Tabla2[[#This Row],[Universidad KPIs]],Conversiones!$C:$C,Conversiones!$E:$E)</f>
        <v>General</v>
      </c>
      <c r="I359" s="1" t="s">
        <v>63</v>
      </c>
      <c r="J359" s="1" t="s">
        <v>281</v>
      </c>
      <c r="K359" s="1" t="s">
        <v>4064</v>
      </c>
      <c r="L359" s="1" t="s">
        <v>4065</v>
      </c>
      <c r="M359" s="1" t="s">
        <v>246</v>
      </c>
      <c r="N359" s="1"/>
      <c r="O359" s="8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88" t="s">
        <v>249</v>
      </c>
      <c r="AD359" s="126" t="s">
        <v>249</v>
      </c>
    </row>
    <row r="360" spans="1:30" hidden="1">
      <c r="A360" s="1">
        <v>2024</v>
      </c>
      <c r="B360" s="1"/>
      <c r="C360" s="1">
        <v>202324240</v>
      </c>
      <c r="D360" s="1" t="s">
        <v>744</v>
      </c>
      <c r="E360" s="1" t="s">
        <v>3509</v>
      </c>
      <c r="F360" s="1" t="s">
        <v>116</v>
      </c>
      <c r="G360" s="85" t="str">
        <f>_xlfn.XLOOKUP(Tabla2[[#This Row],[Universidad]],Conversiones!$B:$B,Conversiones!$C:$C)</f>
        <v>University of Glasgow</v>
      </c>
      <c r="H360" s="85" t="str">
        <f>_xlfn.XLOOKUP(Tabla2[[#This Row],[Universidad KPIs]],Conversiones!$C:$C,Conversiones!$E:$E)</f>
        <v>Específico</v>
      </c>
      <c r="I360" s="1" t="s">
        <v>55</v>
      </c>
      <c r="J360" s="1" t="s">
        <v>281</v>
      </c>
      <c r="K360" s="1" t="s">
        <v>3510</v>
      </c>
      <c r="L360" s="1" t="s">
        <v>3511</v>
      </c>
      <c r="M360" s="1" t="s">
        <v>246</v>
      </c>
      <c r="N360" s="1"/>
      <c r="O360" s="8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88" t="s">
        <v>618</v>
      </c>
      <c r="AD360" s="126" t="s">
        <v>247</v>
      </c>
    </row>
    <row r="361" spans="1:30" hidden="1">
      <c r="A361" s="1">
        <v>2024</v>
      </c>
      <c r="B361" s="1"/>
      <c r="C361" s="1">
        <v>202421862</v>
      </c>
      <c r="D361" s="1" t="s">
        <v>4066</v>
      </c>
      <c r="E361" s="1" t="s">
        <v>4067</v>
      </c>
      <c r="F361" s="1" t="s">
        <v>213</v>
      </c>
      <c r="G361" s="85" t="str">
        <f>_xlfn.XLOOKUP(Tabla2[[#This Row],[Universidad]],Conversiones!$B:$B,Conversiones!$C:$C)</f>
        <v>Central European University - Private University</v>
      </c>
      <c r="H361" s="85" t="str">
        <f>_xlfn.XLOOKUP(Tabla2[[#This Row],[Universidad KPIs]],Conversiones!$C:$C,Conversiones!$E:$E)</f>
        <v>General</v>
      </c>
      <c r="I361" s="1" t="s">
        <v>201</v>
      </c>
      <c r="J361" s="1" t="s">
        <v>281</v>
      </c>
      <c r="K361" s="1" t="s">
        <v>4068</v>
      </c>
      <c r="L361" s="1" t="s">
        <v>4069</v>
      </c>
      <c r="M361" s="1" t="s">
        <v>246</v>
      </c>
      <c r="N361" s="1"/>
      <c r="O361" s="8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88" t="s">
        <v>4070</v>
      </c>
      <c r="AD361" s="126" t="s">
        <v>247</v>
      </c>
    </row>
    <row r="362" spans="1:30" hidden="1">
      <c r="A362" s="1">
        <v>2024</v>
      </c>
      <c r="B362" s="1"/>
      <c r="C362" s="1">
        <v>202423414</v>
      </c>
      <c r="D362" s="1" t="s">
        <v>4071</v>
      </c>
      <c r="E362" s="1" t="s">
        <v>4072</v>
      </c>
      <c r="F362" s="1" t="s">
        <v>217</v>
      </c>
      <c r="G362" s="85" t="str">
        <f>_xlfn.XLOOKUP(Tabla2[[#This Row],[Universidad]],Conversiones!$B:$B,Conversiones!$C:$C)</f>
        <v>Instituto Politécnico Nacional</v>
      </c>
      <c r="H362" s="85" t="str">
        <f>_xlfn.XLOOKUP(Tabla2[[#This Row],[Universidad KPIs]],Conversiones!$C:$C,Conversiones!$E:$E)</f>
        <v>General</v>
      </c>
      <c r="I362" s="1" t="s">
        <v>87</v>
      </c>
      <c r="J362" s="1" t="s">
        <v>291</v>
      </c>
      <c r="K362" s="1" t="s">
        <v>4073</v>
      </c>
      <c r="L362" s="1" t="s">
        <v>4074</v>
      </c>
      <c r="M362" s="1" t="s">
        <v>246</v>
      </c>
      <c r="N362" s="1"/>
      <c r="O362" s="8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88" t="s">
        <v>4075</v>
      </c>
      <c r="AD362" s="127" t="s">
        <v>247</v>
      </c>
    </row>
    <row r="363" spans="1:30" hidden="1">
      <c r="A363" s="1">
        <v>2025</v>
      </c>
      <c r="B363" s="1"/>
      <c r="C363" s="1">
        <v>202424393</v>
      </c>
      <c r="D363" s="1" t="s">
        <v>4076</v>
      </c>
      <c r="E363" s="1" t="s">
        <v>4077</v>
      </c>
      <c r="F363" s="1" t="s">
        <v>116</v>
      </c>
      <c r="G363" s="85" t="str">
        <f>_xlfn.XLOOKUP(Tabla2[[#This Row],[Universidad]],Conversiones!$B:$B,Conversiones!$C:$C)</f>
        <v>University of Glasgow</v>
      </c>
      <c r="H363" s="85" t="str">
        <f>_xlfn.XLOOKUP(Tabla2[[#This Row],[Universidad KPIs]],Conversiones!$C:$C,Conversiones!$E:$E)</f>
        <v>Específico</v>
      </c>
      <c r="I363" s="1" t="s">
        <v>55</v>
      </c>
      <c r="J363" s="1" t="s">
        <v>281</v>
      </c>
      <c r="K363" s="1" t="s">
        <v>4078</v>
      </c>
      <c r="L363" s="1" t="s">
        <v>4079</v>
      </c>
      <c r="M363" s="1" t="s">
        <v>246</v>
      </c>
      <c r="N363" s="1"/>
      <c r="O363" s="8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88" t="s">
        <v>3354</v>
      </c>
      <c r="AD363" s="126" t="s">
        <v>247</v>
      </c>
    </row>
    <row r="364" spans="1:30" hidden="1">
      <c r="A364" s="1">
        <v>2025</v>
      </c>
      <c r="B364" s="1"/>
      <c r="C364" s="1">
        <v>202424394</v>
      </c>
      <c r="D364" s="1" t="s">
        <v>4080</v>
      </c>
      <c r="E364" s="1" t="s">
        <v>4081</v>
      </c>
      <c r="F364" s="1" t="s">
        <v>116</v>
      </c>
      <c r="G364" s="85" t="str">
        <f>_xlfn.XLOOKUP(Tabla2[[#This Row],[Universidad]],Conversiones!$B:$B,Conversiones!$C:$C)</f>
        <v>University of Glasgow</v>
      </c>
      <c r="H364" s="85" t="str">
        <f>_xlfn.XLOOKUP(Tabla2[[#This Row],[Universidad KPIs]],Conversiones!$C:$C,Conversiones!$E:$E)</f>
        <v>Específico</v>
      </c>
      <c r="I364" s="1" t="s">
        <v>55</v>
      </c>
      <c r="J364" s="1" t="s">
        <v>281</v>
      </c>
      <c r="K364" s="1" t="s">
        <v>4082</v>
      </c>
      <c r="L364" s="1" t="s">
        <v>4083</v>
      </c>
      <c r="M364" s="1" t="s">
        <v>246</v>
      </c>
      <c r="N364" s="1"/>
      <c r="O364" s="8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88" t="s">
        <v>3354</v>
      </c>
      <c r="AD364" s="127" t="s">
        <v>247</v>
      </c>
    </row>
    <row r="365" spans="1:30">
      <c r="A365" s="1">
        <v>2025</v>
      </c>
      <c r="B365" s="1">
        <v>202510</v>
      </c>
      <c r="C365" s="1">
        <v>202516482</v>
      </c>
      <c r="D365" s="1" t="s">
        <v>4084</v>
      </c>
      <c r="E365" s="1" t="s">
        <v>4085</v>
      </c>
      <c r="F365" s="1" t="s">
        <v>381</v>
      </c>
      <c r="G365" s="85" t="str">
        <f>_xlfn.XLOOKUP(Tabla2[[#This Row],[Universidad]],Conversiones!$B:$B,Conversiones!$C:$C)</f>
        <v>Audencia. École de Management</v>
      </c>
      <c r="H365" s="85" t="str">
        <f>_xlfn.XLOOKUP(Tabla2[[#This Row],[Universidad KPIs]],Conversiones!$C:$C,Conversiones!$E:$E)</f>
        <v>Específico</v>
      </c>
      <c r="I365" s="1" t="s">
        <v>57</v>
      </c>
      <c r="J365" s="1" t="s">
        <v>281</v>
      </c>
      <c r="K365" s="1" t="s">
        <v>4086</v>
      </c>
      <c r="L365" s="1" t="s">
        <v>4087</v>
      </c>
      <c r="M365" s="1" t="s">
        <v>230</v>
      </c>
      <c r="N365" s="1"/>
      <c r="O365" s="86"/>
      <c r="P365" s="1">
        <v>5</v>
      </c>
      <c r="Q365" s="1" t="s">
        <v>2331</v>
      </c>
      <c r="R365" s="1" t="s">
        <v>2338</v>
      </c>
      <c r="S365" s="1" t="s">
        <v>2663</v>
      </c>
      <c r="T365" s="1" t="s">
        <v>2360</v>
      </c>
      <c r="U365" s="1" t="s">
        <v>2400</v>
      </c>
      <c r="V365" s="1"/>
      <c r="W365" s="1"/>
      <c r="X365" s="1"/>
      <c r="Y365" s="1"/>
      <c r="Z365" s="1"/>
      <c r="AA365" s="1"/>
      <c r="AB365" s="1"/>
      <c r="AC365" s="88" t="s">
        <v>233</v>
      </c>
      <c r="AD365" s="126" t="s">
        <v>254</v>
      </c>
    </row>
    <row r="366" spans="1:30">
      <c r="A366" s="1">
        <v>2025</v>
      </c>
      <c r="B366" s="1">
        <v>202510</v>
      </c>
      <c r="C366" s="1">
        <v>202516495</v>
      </c>
      <c r="D366" s="1" t="s">
        <v>4088</v>
      </c>
      <c r="E366" s="1" t="s">
        <v>4089</v>
      </c>
      <c r="F366" s="1" t="s">
        <v>1485</v>
      </c>
      <c r="G366" s="85" t="str">
        <f>_xlfn.XLOOKUP(Tabla2[[#This Row],[Universidad]],Conversiones!$B:$B,Conversiones!$C:$C)</f>
        <v>HEC Paris</v>
      </c>
      <c r="H366" s="85" t="str">
        <f>_xlfn.XLOOKUP(Tabla2[[#This Row],[Universidad KPIs]],Conversiones!$C:$C,Conversiones!$E:$E)</f>
        <v>Específico</v>
      </c>
      <c r="I366" s="1" t="s">
        <v>57</v>
      </c>
      <c r="J366" s="1" t="s">
        <v>281</v>
      </c>
      <c r="K366" s="1" t="s">
        <v>4090</v>
      </c>
      <c r="L366" s="1" t="s">
        <v>4091</v>
      </c>
      <c r="M366" s="1" t="s">
        <v>230</v>
      </c>
      <c r="N366" s="1"/>
      <c r="O366" s="86"/>
      <c r="P366" s="1">
        <v>4</v>
      </c>
      <c r="Q366" s="1" t="s">
        <v>4092</v>
      </c>
      <c r="R366" s="1" t="s">
        <v>4093</v>
      </c>
      <c r="S366" s="1" t="s">
        <v>4094</v>
      </c>
      <c r="T366" s="1" t="s">
        <v>4095</v>
      </c>
      <c r="U366" s="1"/>
      <c r="V366" s="1"/>
      <c r="W366" s="1"/>
      <c r="X366" s="1"/>
      <c r="Y366" s="1"/>
      <c r="Z366" s="1"/>
      <c r="AA366" s="1"/>
      <c r="AB366" s="1"/>
      <c r="AC366" s="88" t="s">
        <v>233</v>
      </c>
      <c r="AD366" s="126" t="s">
        <v>254</v>
      </c>
    </row>
    <row r="367" spans="1:30">
      <c r="A367" s="1">
        <v>2025</v>
      </c>
      <c r="B367" s="1">
        <v>202510</v>
      </c>
      <c r="C367" s="1">
        <v>202516496</v>
      </c>
      <c r="D367" s="1" t="s">
        <v>4096</v>
      </c>
      <c r="E367" s="1" t="s">
        <v>4097</v>
      </c>
      <c r="F367" s="1" t="s">
        <v>1485</v>
      </c>
      <c r="G367" s="85" t="str">
        <f>_xlfn.XLOOKUP(Tabla2[[#This Row],[Universidad]],Conversiones!$B:$B,Conversiones!$C:$C)</f>
        <v>HEC Paris</v>
      </c>
      <c r="H367" s="85" t="str">
        <f>_xlfn.XLOOKUP(Tabla2[[#This Row],[Universidad KPIs]],Conversiones!$C:$C,Conversiones!$E:$E)</f>
        <v>Específico</v>
      </c>
      <c r="I367" s="1" t="s">
        <v>57</v>
      </c>
      <c r="J367" s="1" t="s">
        <v>281</v>
      </c>
      <c r="K367" s="1" t="s">
        <v>4098</v>
      </c>
      <c r="L367" s="1" t="s">
        <v>4099</v>
      </c>
      <c r="M367" s="1" t="s">
        <v>230</v>
      </c>
      <c r="N367" s="1"/>
      <c r="O367" s="86"/>
      <c r="P367" s="1">
        <v>4</v>
      </c>
      <c r="Q367" s="1" t="s">
        <v>4092</v>
      </c>
      <c r="R367" s="1" t="s">
        <v>4093</v>
      </c>
      <c r="S367" s="1" t="s">
        <v>4094</v>
      </c>
      <c r="T367" s="1" t="s">
        <v>4095</v>
      </c>
      <c r="U367" s="1"/>
      <c r="V367" s="1"/>
      <c r="W367" s="1"/>
      <c r="X367" s="1"/>
      <c r="Y367" s="1"/>
      <c r="Z367" s="1"/>
      <c r="AA367" s="1"/>
      <c r="AB367" s="1"/>
      <c r="AC367" s="88" t="s">
        <v>233</v>
      </c>
      <c r="AD367" s="126" t="s">
        <v>254</v>
      </c>
    </row>
    <row r="368" spans="1:30">
      <c r="A368" s="1">
        <v>2025</v>
      </c>
      <c r="B368" s="1">
        <v>202510</v>
      </c>
      <c r="C368" s="1">
        <v>202516497</v>
      </c>
      <c r="D368" s="1" t="s">
        <v>4100</v>
      </c>
      <c r="E368" s="1" t="s">
        <v>4101</v>
      </c>
      <c r="F368" s="1" t="s">
        <v>1485</v>
      </c>
      <c r="G368" s="85" t="str">
        <f>_xlfn.XLOOKUP(Tabla2[[#This Row],[Universidad]],Conversiones!$B:$B,Conversiones!$C:$C)</f>
        <v>HEC Paris</v>
      </c>
      <c r="H368" s="85" t="str">
        <f>_xlfn.XLOOKUP(Tabla2[[#This Row],[Universidad KPIs]],Conversiones!$C:$C,Conversiones!$E:$E)</f>
        <v>Específico</v>
      </c>
      <c r="I368" s="1" t="s">
        <v>57</v>
      </c>
      <c r="J368" s="1" t="s">
        <v>281</v>
      </c>
      <c r="K368" s="1" t="s">
        <v>4102</v>
      </c>
      <c r="L368" s="1" t="s">
        <v>4103</v>
      </c>
      <c r="M368" s="1" t="s">
        <v>230</v>
      </c>
      <c r="N368" s="1"/>
      <c r="O368" s="86"/>
      <c r="P368" s="1">
        <v>4</v>
      </c>
      <c r="Q368" s="1" t="s">
        <v>4092</v>
      </c>
      <c r="R368" s="1" t="s">
        <v>4104</v>
      </c>
      <c r="S368" s="1" t="s">
        <v>4094</v>
      </c>
      <c r="T368" s="1" t="s">
        <v>4095</v>
      </c>
      <c r="U368" s="1"/>
      <c r="V368" s="1"/>
      <c r="W368" s="1"/>
      <c r="X368" s="1"/>
      <c r="Y368" s="1"/>
      <c r="Z368" s="1"/>
      <c r="AA368" s="1"/>
      <c r="AB368" s="1"/>
      <c r="AC368" s="88" t="s">
        <v>233</v>
      </c>
      <c r="AD368" s="126" t="s">
        <v>254</v>
      </c>
    </row>
    <row r="369" spans="1:30">
      <c r="A369" s="1">
        <v>2025</v>
      </c>
      <c r="B369" s="1">
        <v>202510</v>
      </c>
      <c r="C369" s="1">
        <v>202516498</v>
      </c>
      <c r="D369" s="1" t="s">
        <v>4105</v>
      </c>
      <c r="E369" s="1" t="s">
        <v>4106</v>
      </c>
      <c r="F369" s="1" t="s">
        <v>1485</v>
      </c>
      <c r="G369" s="85" t="str">
        <f>_xlfn.XLOOKUP(Tabla2[[#This Row],[Universidad]],Conversiones!$B:$B,Conversiones!$C:$C)</f>
        <v>HEC Paris</v>
      </c>
      <c r="H369" s="85" t="str">
        <f>_xlfn.XLOOKUP(Tabla2[[#This Row],[Universidad KPIs]],Conversiones!$C:$C,Conversiones!$E:$E)</f>
        <v>Específico</v>
      </c>
      <c r="I369" s="1" t="s">
        <v>57</v>
      </c>
      <c r="J369" s="1" t="s">
        <v>281</v>
      </c>
      <c r="K369" s="1" t="s">
        <v>4107</v>
      </c>
      <c r="L369" s="1" t="s">
        <v>4108</v>
      </c>
      <c r="M369" s="1" t="s">
        <v>230</v>
      </c>
      <c r="N369" s="1"/>
      <c r="O369" s="86"/>
      <c r="P369" s="1">
        <v>4</v>
      </c>
      <c r="Q369" s="1" t="s">
        <v>4092</v>
      </c>
      <c r="R369" s="1" t="s">
        <v>4104</v>
      </c>
      <c r="S369" s="1" t="s">
        <v>4094</v>
      </c>
      <c r="T369" s="1" t="s">
        <v>4095</v>
      </c>
      <c r="U369" s="1"/>
      <c r="V369" s="1"/>
      <c r="W369" s="1"/>
      <c r="X369" s="1"/>
      <c r="Y369" s="1"/>
      <c r="Z369" s="1"/>
      <c r="AA369" s="1"/>
      <c r="AB369" s="1"/>
      <c r="AC369" s="88" t="s">
        <v>233</v>
      </c>
      <c r="AD369" s="126" t="s">
        <v>254</v>
      </c>
    </row>
    <row r="370" spans="1:30">
      <c r="A370" s="1">
        <v>2025</v>
      </c>
      <c r="B370" s="1">
        <v>202510</v>
      </c>
      <c r="C370" s="1">
        <v>202516530</v>
      </c>
      <c r="D370" s="1" t="s">
        <v>4109</v>
      </c>
      <c r="E370" s="1" t="s">
        <v>4110</v>
      </c>
      <c r="F370" s="1" t="s">
        <v>812</v>
      </c>
      <c r="G370" s="85" t="str">
        <f>_xlfn.XLOOKUP(Tabla2[[#This Row],[Universidad]],Conversiones!$B:$B,Conversiones!$C:$C)</f>
        <v>ITESM-EGADE -Instituto tecnológico y de estudios superiores de Monterrey</v>
      </c>
      <c r="H370" s="85" t="str">
        <f>_xlfn.XLOOKUP(Tabla2[[#This Row],[Universidad KPIs]],Conversiones!$C:$C,Conversiones!$E:$E)</f>
        <v>Específico</v>
      </c>
      <c r="I370" s="1" t="s">
        <v>87</v>
      </c>
      <c r="J370" s="1" t="s">
        <v>291</v>
      </c>
      <c r="K370" s="1" t="s">
        <v>4111</v>
      </c>
      <c r="L370" s="1" t="s">
        <v>4112</v>
      </c>
      <c r="M370" s="1" t="s">
        <v>230</v>
      </c>
      <c r="N370" s="1"/>
      <c r="O370" s="86"/>
      <c r="P370" s="1">
        <v>6</v>
      </c>
      <c r="Q370" s="1" t="s">
        <v>2527</v>
      </c>
      <c r="R370" s="1" t="s">
        <v>2401</v>
      </c>
      <c r="S370" s="1" t="s">
        <v>4113</v>
      </c>
      <c r="T370" s="1" t="s">
        <v>2340</v>
      </c>
      <c r="U370" s="1" t="s">
        <v>2360</v>
      </c>
      <c r="V370" s="1" t="s">
        <v>2494</v>
      </c>
      <c r="W370" s="1"/>
      <c r="X370" s="1"/>
      <c r="Y370" s="1"/>
      <c r="Z370" s="1"/>
      <c r="AA370" s="1"/>
      <c r="AB370" s="1"/>
      <c r="AC370" s="88" t="s">
        <v>233</v>
      </c>
      <c r="AD370" s="126" t="s">
        <v>254</v>
      </c>
    </row>
    <row r="371" spans="1:30">
      <c r="A371" s="1">
        <v>2025</v>
      </c>
      <c r="B371" s="1">
        <v>202510</v>
      </c>
      <c r="C371" s="1">
        <v>202516563</v>
      </c>
      <c r="D371" s="1" t="s">
        <v>4114</v>
      </c>
      <c r="E371" s="1" t="s">
        <v>4115</v>
      </c>
      <c r="F371" s="1" t="s">
        <v>351</v>
      </c>
      <c r="G371" s="85" t="str">
        <f>_xlfn.XLOOKUP(Tabla2[[#This Row],[Universidad]],Conversiones!$B:$B,Conversiones!$C:$C)</f>
        <v>KLU Kühne Logistics University</v>
      </c>
      <c r="H371" s="85" t="str">
        <f>_xlfn.XLOOKUP(Tabla2[[#This Row],[Universidad KPIs]],Conversiones!$C:$C,Conversiones!$E:$E)</f>
        <v>Específico</v>
      </c>
      <c r="I371" s="1" t="s">
        <v>76</v>
      </c>
      <c r="J371" s="1" t="s">
        <v>281</v>
      </c>
      <c r="K371" s="1" t="s">
        <v>4116</v>
      </c>
      <c r="L371" s="1" t="s">
        <v>4117</v>
      </c>
      <c r="M371" s="1" t="s">
        <v>230</v>
      </c>
      <c r="N371" s="1"/>
      <c r="O371" s="86"/>
      <c r="P371" s="1">
        <v>4</v>
      </c>
      <c r="Q371" s="1" t="s">
        <v>2438</v>
      </c>
      <c r="R371" s="1" t="s">
        <v>2338</v>
      </c>
      <c r="S371" s="1" t="s">
        <v>2352</v>
      </c>
      <c r="T371" s="1" t="s">
        <v>2920</v>
      </c>
      <c r="U371" s="1"/>
      <c r="V371" s="1"/>
      <c r="W371" s="1"/>
      <c r="X371" s="1"/>
      <c r="Y371" s="1"/>
      <c r="Z371" s="1"/>
      <c r="AA371" s="1"/>
      <c r="AB371" s="1"/>
      <c r="AC371" s="88" t="s">
        <v>233</v>
      </c>
      <c r="AD371" s="126" t="s">
        <v>254</v>
      </c>
    </row>
    <row r="372" spans="1:30">
      <c r="A372" s="1">
        <v>2025</v>
      </c>
      <c r="B372" s="1">
        <v>202510</v>
      </c>
      <c r="C372" s="1">
        <v>202516564</v>
      </c>
      <c r="D372" s="1" t="s">
        <v>4118</v>
      </c>
      <c r="E372" s="1" t="s">
        <v>4119</v>
      </c>
      <c r="F372" s="1" t="s">
        <v>351</v>
      </c>
      <c r="G372" s="85" t="str">
        <f>_xlfn.XLOOKUP(Tabla2[[#This Row],[Universidad]],Conversiones!$B:$B,Conversiones!$C:$C)</f>
        <v>KLU Kühne Logistics University</v>
      </c>
      <c r="H372" s="85" t="str">
        <f>_xlfn.XLOOKUP(Tabla2[[#This Row],[Universidad KPIs]],Conversiones!$C:$C,Conversiones!$E:$E)</f>
        <v>Específico</v>
      </c>
      <c r="I372" s="1" t="s">
        <v>76</v>
      </c>
      <c r="J372" s="1" t="s">
        <v>281</v>
      </c>
      <c r="K372" s="1" t="s">
        <v>4120</v>
      </c>
      <c r="L372" s="1" t="s">
        <v>4121</v>
      </c>
      <c r="M372" s="1" t="s">
        <v>230</v>
      </c>
      <c r="N372" s="1"/>
      <c r="O372" s="86"/>
      <c r="P372" s="1">
        <v>4</v>
      </c>
      <c r="Q372" s="1" t="s">
        <v>2438</v>
      </c>
      <c r="R372" s="1" t="s">
        <v>2338</v>
      </c>
      <c r="S372" s="1" t="s">
        <v>2352</v>
      </c>
      <c r="T372" s="1" t="s">
        <v>2920</v>
      </c>
      <c r="U372" s="1"/>
      <c r="V372" s="1"/>
      <c r="W372" s="1"/>
      <c r="X372" s="1"/>
      <c r="Y372" s="1"/>
      <c r="Z372" s="1"/>
      <c r="AA372" s="1"/>
      <c r="AB372" s="1"/>
      <c r="AC372" s="88" t="s">
        <v>233</v>
      </c>
      <c r="AD372" s="126" t="s">
        <v>254</v>
      </c>
    </row>
    <row r="373" spans="1:30">
      <c r="A373" s="1">
        <v>2025</v>
      </c>
      <c r="B373" s="1">
        <v>202510</v>
      </c>
      <c r="C373" s="1">
        <v>202516456</v>
      </c>
      <c r="D373" s="1" t="s">
        <v>4122</v>
      </c>
      <c r="E373" s="1" t="s">
        <v>4123</v>
      </c>
      <c r="F373" s="1" t="s">
        <v>94</v>
      </c>
      <c r="G373" s="85" t="str">
        <f>_xlfn.XLOOKUP(Tabla2[[#This Row],[Universidad]],Conversiones!$B:$B,Conversiones!$C:$C)</f>
        <v>Maastricht University</v>
      </c>
      <c r="H373" s="85" t="str">
        <f>_xlfn.XLOOKUP(Tabla2[[#This Row],[Universidad KPIs]],Conversiones!$C:$C,Conversiones!$E:$E)</f>
        <v>Específico</v>
      </c>
      <c r="I373" s="1" t="s">
        <v>95</v>
      </c>
      <c r="J373" s="1" t="s">
        <v>281</v>
      </c>
      <c r="K373" s="1" t="s">
        <v>4124</v>
      </c>
      <c r="L373" s="1" t="s">
        <v>4125</v>
      </c>
      <c r="M373" s="1" t="s">
        <v>230</v>
      </c>
      <c r="N373" s="1"/>
      <c r="O373" s="86"/>
      <c r="P373" s="1">
        <v>6</v>
      </c>
      <c r="Q373" s="1" t="s">
        <v>2401</v>
      </c>
      <c r="R373" s="1" t="s">
        <v>2712</v>
      </c>
      <c r="S373" s="1" t="s">
        <v>2338</v>
      </c>
      <c r="T373" s="1" t="s">
        <v>2352</v>
      </c>
      <c r="U373" s="1" t="s">
        <v>3230</v>
      </c>
      <c r="V373" s="1" t="s">
        <v>2876</v>
      </c>
      <c r="W373" s="1"/>
      <c r="X373" s="1"/>
      <c r="Y373" s="1"/>
      <c r="Z373" s="1"/>
      <c r="AA373" s="1"/>
      <c r="AB373" s="1"/>
      <c r="AC373" s="88" t="s">
        <v>233</v>
      </c>
      <c r="AD373" s="126" t="s">
        <v>254</v>
      </c>
    </row>
    <row r="374" spans="1:30">
      <c r="A374" s="1">
        <v>2025</v>
      </c>
      <c r="B374" s="1">
        <v>202510</v>
      </c>
      <c r="C374" s="1">
        <v>202516504</v>
      </c>
      <c r="D374" s="1" t="s">
        <v>4126</v>
      </c>
      <c r="E374" s="1" t="s">
        <v>4127</v>
      </c>
      <c r="F374" s="1" t="s">
        <v>94</v>
      </c>
      <c r="G374" s="85" t="str">
        <f>_xlfn.XLOOKUP(Tabla2[[#This Row],[Universidad]],Conversiones!$B:$B,Conversiones!$C:$C)</f>
        <v>Maastricht University</v>
      </c>
      <c r="H374" s="85" t="str">
        <f>_xlfn.XLOOKUP(Tabla2[[#This Row],[Universidad KPIs]],Conversiones!$C:$C,Conversiones!$E:$E)</f>
        <v>Específico</v>
      </c>
      <c r="I374" s="1" t="s">
        <v>95</v>
      </c>
      <c r="J374" s="1" t="s">
        <v>281</v>
      </c>
      <c r="K374" s="1" t="s">
        <v>4128</v>
      </c>
      <c r="L374" s="1" t="s">
        <v>4129</v>
      </c>
      <c r="M374" s="1" t="s">
        <v>230</v>
      </c>
      <c r="N374" s="1"/>
      <c r="O374" s="86"/>
      <c r="P374" s="1">
        <v>6</v>
      </c>
      <c r="Q374" s="1" t="s">
        <v>2443</v>
      </c>
      <c r="R374" s="1" t="s">
        <v>2401</v>
      </c>
      <c r="S374" s="1" t="s">
        <v>2712</v>
      </c>
      <c r="T374" s="1" t="s">
        <v>2352</v>
      </c>
      <c r="U374" s="1" t="s">
        <v>3230</v>
      </c>
      <c r="V374" s="1" t="s">
        <v>2876</v>
      </c>
      <c r="W374" s="1"/>
      <c r="X374" s="1"/>
      <c r="Y374" s="1"/>
      <c r="Z374" s="1"/>
      <c r="AA374" s="1"/>
      <c r="AB374" s="1"/>
      <c r="AC374" s="88" t="s">
        <v>233</v>
      </c>
      <c r="AD374" s="126" t="s">
        <v>254</v>
      </c>
    </row>
    <row r="375" spans="1:30">
      <c r="A375" s="1">
        <v>2025</v>
      </c>
      <c r="B375" s="1">
        <v>202510</v>
      </c>
      <c r="C375" s="1">
        <v>202516505</v>
      </c>
      <c r="D375" s="1" t="s">
        <v>4130</v>
      </c>
      <c r="E375" s="1" t="s">
        <v>4131</v>
      </c>
      <c r="F375" s="1" t="s">
        <v>94</v>
      </c>
      <c r="G375" s="85" t="str">
        <f>_xlfn.XLOOKUP(Tabla2[[#This Row],[Universidad]],Conversiones!$B:$B,Conversiones!$C:$C)</f>
        <v>Maastricht University</v>
      </c>
      <c r="H375" s="85" t="str">
        <f>_xlfn.XLOOKUP(Tabla2[[#This Row],[Universidad KPIs]],Conversiones!$C:$C,Conversiones!$E:$E)</f>
        <v>Específico</v>
      </c>
      <c r="I375" s="1" t="s">
        <v>95</v>
      </c>
      <c r="J375" s="1" t="s">
        <v>281</v>
      </c>
      <c r="K375" s="1" t="s">
        <v>4132</v>
      </c>
      <c r="L375" s="1" t="s">
        <v>4133</v>
      </c>
      <c r="M375" s="1" t="s">
        <v>230</v>
      </c>
      <c r="N375" s="1"/>
      <c r="O375" s="86"/>
      <c r="P375" s="1">
        <v>7</v>
      </c>
      <c r="Q375" s="1" t="s">
        <v>2419</v>
      </c>
      <c r="R375" s="1" t="s">
        <v>2331</v>
      </c>
      <c r="S375" s="1" t="s">
        <v>2401</v>
      </c>
      <c r="T375" s="1" t="s">
        <v>2352</v>
      </c>
      <c r="U375" s="1" t="s">
        <v>2663</v>
      </c>
      <c r="V375" s="1" t="s">
        <v>3230</v>
      </c>
      <c r="W375" s="1" t="s">
        <v>2495</v>
      </c>
      <c r="X375" s="1"/>
      <c r="Y375" s="1"/>
      <c r="Z375" s="1"/>
      <c r="AA375" s="1"/>
      <c r="AB375" s="1"/>
      <c r="AC375" s="88" t="s">
        <v>233</v>
      </c>
      <c r="AD375" s="126" t="s">
        <v>254</v>
      </c>
    </row>
    <row r="376" spans="1:30">
      <c r="A376" s="1">
        <v>2025</v>
      </c>
      <c r="B376" s="1">
        <v>202510</v>
      </c>
      <c r="C376" s="1">
        <v>202516477</v>
      </c>
      <c r="D376" s="1" t="s">
        <v>4134</v>
      </c>
      <c r="E376" s="1" t="s">
        <v>4135</v>
      </c>
      <c r="F376" s="1" t="s">
        <v>94</v>
      </c>
      <c r="G376" s="85" t="str">
        <f>_xlfn.XLOOKUP(Tabla2[[#This Row],[Universidad]],Conversiones!$B:$B,Conversiones!$C:$C)</f>
        <v>Maastricht University</v>
      </c>
      <c r="H376" s="85" t="str">
        <f>_xlfn.XLOOKUP(Tabla2[[#This Row],[Universidad KPIs]],Conversiones!$C:$C,Conversiones!$E:$E)</f>
        <v>Específico</v>
      </c>
      <c r="I376" s="1" t="s">
        <v>95</v>
      </c>
      <c r="J376" s="1" t="s">
        <v>281</v>
      </c>
      <c r="K376" s="1" t="s">
        <v>4136</v>
      </c>
      <c r="L376" s="1" t="s">
        <v>4137</v>
      </c>
      <c r="M376" s="1" t="s">
        <v>230</v>
      </c>
      <c r="N376" s="1"/>
      <c r="O376" s="86"/>
      <c r="P376" s="1">
        <v>6</v>
      </c>
      <c r="Q376" s="1" t="s">
        <v>2438</v>
      </c>
      <c r="R376" s="1" t="s">
        <v>2331</v>
      </c>
      <c r="S376" s="1" t="s">
        <v>2401</v>
      </c>
      <c r="T376" s="1" t="s">
        <v>2712</v>
      </c>
      <c r="U376" s="1" t="s">
        <v>2338</v>
      </c>
      <c r="V376" s="1" t="s">
        <v>2352</v>
      </c>
      <c r="W376" s="1"/>
      <c r="X376" s="1"/>
      <c r="Y376" s="1"/>
      <c r="Z376" s="1"/>
      <c r="AA376" s="1"/>
      <c r="AB376" s="1"/>
      <c r="AC376" s="88" t="s">
        <v>233</v>
      </c>
      <c r="AD376" s="126" t="s">
        <v>254</v>
      </c>
    </row>
    <row r="377" spans="1:30">
      <c r="A377" s="1">
        <v>2025</v>
      </c>
      <c r="B377" s="1">
        <v>202510</v>
      </c>
      <c r="C377" s="1">
        <v>202516478</v>
      </c>
      <c r="D377" s="1" t="s">
        <v>4138</v>
      </c>
      <c r="E377" s="1" t="s">
        <v>4139</v>
      </c>
      <c r="F377" s="1" t="s">
        <v>94</v>
      </c>
      <c r="G377" s="85" t="str">
        <f>_xlfn.XLOOKUP(Tabla2[[#This Row],[Universidad]],Conversiones!$B:$B,Conversiones!$C:$C)</f>
        <v>Maastricht University</v>
      </c>
      <c r="H377" s="85" t="str">
        <f>_xlfn.XLOOKUP(Tabla2[[#This Row],[Universidad KPIs]],Conversiones!$C:$C,Conversiones!$E:$E)</f>
        <v>Específico</v>
      </c>
      <c r="I377" s="1" t="s">
        <v>95</v>
      </c>
      <c r="J377" s="1" t="s">
        <v>281</v>
      </c>
      <c r="K377" s="1" t="s">
        <v>4140</v>
      </c>
      <c r="L377" s="1" t="s">
        <v>4141</v>
      </c>
      <c r="M377" s="1" t="s">
        <v>230</v>
      </c>
      <c r="N377" s="1"/>
      <c r="O377" s="86"/>
      <c r="P377" s="1">
        <v>6</v>
      </c>
      <c r="Q377" s="1" t="s">
        <v>2438</v>
      </c>
      <c r="R377" s="1" t="s">
        <v>2331</v>
      </c>
      <c r="S377" s="1" t="s">
        <v>2401</v>
      </c>
      <c r="T377" s="1" t="s">
        <v>2712</v>
      </c>
      <c r="U377" s="1" t="s">
        <v>2338</v>
      </c>
      <c r="V377" s="1" t="s">
        <v>2352</v>
      </c>
      <c r="W377" s="1"/>
      <c r="X377" s="1"/>
      <c r="Y377" s="1"/>
      <c r="Z377" s="1"/>
      <c r="AA377" s="1"/>
      <c r="AB377" s="1"/>
      <c r="AC377" s="88" t="s">
        <v>233</v>
      </c>
      <c r="AD377" s="126" t="s">
        <v>254</v>
      </c>
    </row>
    <row r="378" spans="1:30">
      <c r="A378" s="1">
        <v>2025</v>
      </c>
      <c r="B378" s="1">
        <v>202510</v>
      </c>
      <c r="C378" s="1">
        <v>202516506</v>
      </c>
      <c r="D378" s="1" t="s">
        <v>4142</v>
      </c>
      <c r="E378" s="1" t="s">
        <v>4143</v>
      </c>
      <c r="F378" s="1" t="s">
        <v>94</v>
      </c>
      <c r="G378" s="85" t="str">
        <f>_xlfn.XLOOKUP(Tabla2[[#This Row],[Universidad]],Conversiones!$B:$B,Conversiones!$C:$C)</f>
        <v>Maastricht University</v>
      </c>
      <c r="H378" s="85" t="str">
        <f>_xlfn.XLOOKUP(Tabla2[[#This Row],[Universidad KPIs]],Conversiones!$C:$C,Conversiones!$E:$E)</f>
        <v>Específico</v>
      </c>
      <c r="I378" s="1" t="s">
        <v>95</v>
      </c>
      <c r="J378" s="1" t="s">
        <v>281</v>
      </c>
      <c r="K378" s="1" t="s">
        <v>4144</v>
      </c>
      <c r="L378" s="1" t="s">
        <v>4145</v>
      </c>
      <c r="M378" s="1" t="s">
        <v>230</v>
      </c>
      <c r="N378" s="1"/>
      <c r="O378" s="86"/>
      <c r="P378" s="1">
        <v>6</v>
      </c>
      <c r="Q378" s="1" t="s">
        <v>2443</v>
      </c>
      <c r="R378" s="1" t="s">
        <v>2401</v>
      </c>
      <c r="S378" s="1" t="s">
        <v>2712</v>
      </c>
      <c r="T378" s="1" t="s">
        <v>2352</v>
      </c>
      <c r="U378" s="1" t="s">
        <v>3230</v>
      </c>
      <c r="V378" s="1" t="s">
        <v>2876</v>
      </c>
      <c r="W378" s="1"/>
      <c r="X378" s="1"/>
      <c r="Y378" s="1"/>
      <c r="Z378" s="1"/>
      <c r="AA378" s="1"/>
      <c r="AB378" s="1"/>
      <c r="AC378" s="88" t="s">
        <v>233</v>
      </c>
      <c r="AD378" s="126" t="s">
        <v>254</v>
      </c>
    </row>
    <row r="379" spans="1:30">
      <c r="A379" s="1">
        <v>2025</v>
      </c>
      <c r="B379" s="1">
        <v>202510</v>
      </c>
      <c r="C379" s="1">
        <v>202516507</v>
      </c>
      <c r="D379" s="1" t="s">
        <v>4146</v>
      </c>
      <c r="E379" s="1" t="s">
        <v>4147</v>
      </c>
      <c r="F379" s="1" t="s">
        <v>94</v>
      </c>
      <c r="G379" s="85" t="str">
        <f>_xlfn.XLOOKUP(Tabla2[[#This Row],[Universidad]],Conversiones!$B:$B,Conversiones!$C:$C)</f>
        <v>Maastricht University</v>
      </c>
      <c r="H379" s="85" t="str">
        <f>_xlfn.XLOOKUP(Tabla2[[#This Row],[Universidad KPIs]],Conversiones!$C:$C,Conversiones!$E:$E)</f>
        <v>Específico</v>
      </c>
      <c r="I379" s="1" t="s">
        <v>95</v>
      </c>
      <c r="J379" s="1" t="s">
        <v>281</v>
      </c>
      <c r="K379" s="1" t="s">
        <v>4148</v>
      </c>
      <c r="L379" s="1" t="s">
        <v>4149</v>
      </c>
      <c r="M379" s="1" t="s">
        <v>230</v>
      </c>
      <c r="N379" s="1"/>
      <c r="O379" s="86"/>
      <c r="P379" s="1">
        <v>6</v>
      </c>
      <c r="Q379" s="1" t="s">
        <v>2438</v>
      </c>
      <c r="R379" s="1" t="s">
        <v>2401</v>
      </c>
      <c r="S379" s="1" t="s">
        <v>2712</v>
      </c>
      <c r="T379" s="1" t="s">
        <v>2352</v>
      </c>
      <c r="U379" s="1" t="s">
        <v>2663</v>
      </c>
      <c r="V379" s="1" t="s">
        <v>2876</v>
      </c>
      <c r="W379" s="1"/>
      <c r="X379" s="1"/>
      <c r="Y379" s="1"/>
      <c r="Z379" s="1"/>
      <c r="AA379" s="1"/>
      <c r="AB379" s="1"/>
      <c r="AC379" s="88" t="s">
        <v>233</v>
      </c>
      <c r="AD379" s="126" t="s">
        <v>254</v>
      </c>
    </row>
    <row r="380" spans="1:30">
      <c r="A380" s="1">
        <v>2025</v>
      </c>
      <c r="B380" s="1">
        <v>202510</v>
      </c>
      <c r="C380" s="1">
        <v>202516457</v>
      </c>
      <c r="D380" s="1" t="s">
        <v>4150</v>
      </c>
      <c r="E380" s="1" t="s">
        <v>4151</v>
      </c>
      <c r="F380" s="1" t="s">
        <v>94</v>
      </c>
      <c r="G380" s="85" t="str">
        <f>_xlfn.XLOOKUP(Tabla2[[#This Row],[Universidad]],Conversiones!$B:$B,Conversiones!$C:$C)</f>
        <v>Maastricht University</v>
      </c>
      <c r="H380" s="85" t="str">
        <f>_xlfn.XLOOKUP(Tabla2[[#This Row],[Universidad KPIs]],Conversiones!$C:$C,Conversiones!$E:$E)</f>
        <v>Específico</v>
      </c>
      <c r="I380" s="1" t="s">
        <v>95</v>
      </c>
      <c r="J380" s="1" t="s">
        <v>281</v>
      </c>
      <c r="K380" s="1" t="s">
        <v>4152</v>
      </c>
      <c r="L380" s="1" t="s">
        <v>4153</v>
      </c>
      <c r="M380" s="1" t="s">
        <v>230</v>
      </c>
      <c r="N380" s="1"/>
      <c r="O380" s="86"/>
      <c r="P380" s="1">
        <v>6</v>
      </c>
      <c r="Q380" s="1" t="s">
        <v>2443</v>
      </c>
      <c r="R380" s="1" t="s">
        <v>2401</v>
      </c>
      <c r="S380" s="1" t="s">
        <v>2338</v>
      </c>
      <c r="T380" s="1" t="s">
        <v>2352</v>
      </c>
      <c r="U380" s="1" t="s">
        <v>3230</v>
      </c>
      <c r="V380" s="1" t="s">
        <v>2876</v>
      </c>
      <c r="W380" s="1"/>
      <c r="X380" s="1"/>
      <c r="Y380" s="1"/>
      <c r="Z380" s="1"/>
      <c r="AA380" s="1"/>
      <c r="AB380" s="1"/>
      <c r="AC380" s="88" t="s">
        <v>233</v>
      </c>
      <c r="AD380" s="126" t="s">
        <v>254</v>
      </c>
    </row>
    <row r="381" spans="1:30">
      <c r="A381" s="1">
        <v>2025</v>
      </c>
      <c r="B381" s="1">
        <v>202510</v>
      </c>
      <c r="C381" s="1">
        <v>202516491</v>
      </c>
      <c r="D381" s="1" t="s">
        <v>4154</v>
      </c>
      <c r="E381" s="1" t="s">
        <v>4155</v>
      </c>
      <c r="F381" s="1" t="s">
        <v>96</v>
      </c>
      <c r="G381" s="85" t="str">
        <f>_xlfn.XLOOKUP(Tabla2[[#This Row],[Universidad]],Conversiones!$B:$B,Conversiones!$C:$C)</f>
        <v>McGill University</v>
      </c>
      <c r="H381" s="85" t="str">
        <f>_xlfn.XLOOKUP(Tabla2[[#This Row],[Universidad KPIs]],Conversiones!$C:$C,Conversiones!$E:$E)</f>
        <v>Específico</v>
      </c>
      <c r="I381" s="1" t="s">
        <v>74</v>
      </c>
      <c r="J381" s="1" t="s">
        <v>291</v>
      </c>
      <c r="K381" s="1" t="s">
        <v>4156</v>
      </c>
      <c r="L381" s="1" t="s">
        <v>4157</v>
      </c>
      <c r="M381" s="1" t="s">
        <v>230</v>
      </c>
      <c r="N381" s="1"/>
      <c r="O381" s="86"/>
      <c r="P381" s="1">
        <v>5</v>
      </c>
      <c r="Q381" s="1" t="s">
        <v>2401</v>
      </c>
      <c r="R381" s="1" t="s">
        <v>2352</v>
      </c>
      <c r="S381" s="1" t="s">
        <v>2339</v>
      </c>
      <c r="T381" s="1" t="s">
        <v>2393</v>
      </c>
      <c r="U381" s="1" t="s">
        <v>2861</v>
      </c>
      <c r="V381" s="1"/>
      <c r="W381" s="1"/>
      <c r="X381" s="1"/>
      <c r="Y381" s="1"/>
      <c r="Z381" s="1"/>
      <c r="AA381" s="1"/>
      <c r="AB381" s="1"/>
      <c r="AC381" s="88" t="s">
        <v>233</v>
      </c>
      <c r="AD381" s="126" t="s">
        <v>254</v>
      </c>
    </row>
    <row r="382" spans="1:30">
      <c r="A382" s="1">
        <v>2025</v>
      </c>
      <c r="B382" s="1">
        <v>202510</v>
      </c>
      <c r="C382" s="1">
        <v>202516475</v>
      </c>
      <c r="D382" s="1" t="s">
        <v>4158</v>
      </c>
      <c r="E382" s="1" t="s">
        <v>4159</v>
      </c>
      <c r="F382" s="1" t="s">
        <v>286</v>
      </c>
      <c r="G382" s="85" t="str">
        <f>_xlfn.XLOOKUP(Tabla2[[#This Row],[Universidad]],Conversiones!$B:$B,Conversiones!$C:$C)</f>
        <v>ESC Rouen (NEOMA)</v>
      </c>
      <c r="H382" s="85" t="str">
        <f>_xlfn.XLOOKUP(Tabla2[[#This Row],[Universidad KPIs]],Conversiones!$C:$C,Conversiones!$E:$E)</f>
        <v>Específico</v>
      </c>
      <c r="I382" s="1" t="s">
        <v>57</v>
      </c>
      <c r="J382" s="1" t="s">
        <v>281</v>
      </c>
      <c r="K382" s="1" t="s">
        <v>4160</v>
      </c>
      <c r="L382" s="1" t="s">
        <v>4161</v>
      </c>
      <c r="M382" s="1" t="s">
        <v>230</v>
      </c>
      <c r="N382" s="1"/>
      <c r="O382" s="86"/>
      <c r="P382" s="1">
        <v>4</v>
      </c>
      <c r="Q382" s="1" t="s">
        <v>2401</v>
      </c>
      <c r="R382" s="1" t="s">
        <v>4162</v>
      </c>
      <c r="S382" s="1" t="s">
        <v>2340</v>
      </c>
      <c r="T382" s="1" t="s">
        <v>2609</v>
      </c>
      <c r="U382" s="1"/>
      <c r="V382" s="1"/>
      <c r="W382" s="1"/>
      <c r="X382" s="1"/>
      <c r="Y382" s="1"/>
      <c r="Z382" s="1"/>
      <c r="AA382" s="1"/>
      <c r="AB382" s="1"/>
      <c r="AC382" s="88" t="s">
        <v>233</v>
      </c>
      <c r="AD382" s="126" t="s">
        <v>254</v>
      </c>
    </row>
    <row r="383" spans="1:30">
      <c r="A383" s="1">
        <v>2025</v>
      </c>
      <c r="B383" s="1">
        <v>202510</v>
      </c>
      <c r="C383" s="1">
        <v>202516511</v>
      </c>
      <c r="D383" s="1" t="s">
        <v>3590</v>
      </c>
      <c r="E383" s="1" t="s">
        <v>4163</v>
      </c>
      <c r="F383" s="1" t="s">
        <v>102</v>
      </c>
      <c r="G383" s="85" t="str">
        <f>_xlfn.XLOOKUP(Tabla2[[#This Row],[Universidad]],Conversiones!$B:$B,Conversiones!$C:$C)</f>
        <v>Politecnico di Milano</v>
      </c>
      <c r="H383" s="85" t="str">
        <f>_xlfn.XLOOKUP(Tabla2[[#This Row],[Universidad KPIs]],Conversiones!$C:$C,Conversiones!$E:$E)</f>
        <v>Específico</v>
      </c>
      <c r="I383" s="1" t="s">
        <v>103</v>
      </c>
      <c r="J383" s="1" t="s">
        <v>281</v>
      </c>
      <c r="K383" s="1" t="s">
        <v>4164</v>
      </c>
      <c r="L383" s="1" t="s">
        <v>4165</v>
      </c>
      <c r="M383" s="1" t="s">
        <v>230</v>
      </c>
      <c r="N383" s="1"/>
      <c r="O383" s="86"/>
      <c r="P383" s="1">
        <v>4</v>
      </c>
      <c r="Q383" s="1" t="s">
        <v>2331</v>
      </c>
      <c r="R383" s="1" t="s">
        <v>4166</v>
      </c>
      <c r="S383" s="1" t="s">
        <v>2413</v>
      </c>
      <c r="T383" s="1" t="s">
        <v>2378</v>
      </c>
      <c r="U383" s="1"/>
      <c r="V383" s="1"/>
      <c r="W383" s="1"/>
      <c r="X383" s="1"/>
      <c r="Y383" s="1"/>
      <c r="Z383" s="1"/>
      <c r="AA383" s="1"/>
      <c r="AB383" s="1"/>
      <c r="AC383" s="88" t="s">
        <v>233</v>
      </c>
      <c r="AD383" s="126" t="s">
        <v>254</v>
      </c>
    </row>
    <row r="384" spans="1:30">
      <c r="A384" s="1">
        <v>2025</v>
      </c>
      <c r="B384" s="1">
        <v>202510</v>
      </c>
      <c r="C384" s="1">
        <v>202516643</v>
      </c>
      <c r="D384" s="1" t="s">
        <v>4167</v>
      </c>
      <c r="E384" s="1" t="s">
        <v>4168</v>
      </c>
      <c r="F384" s="1" t="s">
        <v>372</v>
      </c>
      <c r="G384" s="85" t="str">
        <f>_xlfn.XLOOKUP(Tabla2[[#This Row],[Universidad]],Conversiones!$B:$B,Conversiones!$C:$C)</f>
        <v>A.B. Freeman School of Business, Tulane University</v>
      </c>
      <c r="H384" s="85" t="str">
        <f>_xlfn.XLOOKUP(Tabla2[[#This Row],[Universidad KPIs]],Conversiones!$C:$C,Conversiones!$E:$E)</f>
        <v>Específico</v>
      </c>
      <c r="I384" s="1" t="s">
        <v>51</v>
      </c>
      <c r="J384" s="1" t="s">
        <v>291</v>
      </c>
      <c r="K384" s="1" t="s">
        <v>4169</v>
      </c>
      <c r="L384" s="1" t="s">
        <v>4170</v>
      </c>
      <c r="M384" s="1" t="s">
        <v>230</v>
      </c>
      <c r="N384" s="1"/>
      <c r="O384" s="86"/>
      <c r="P384" s="1">
        <v>5</v>
      </c>
      <c r="Q384" s="1" t="s">
        <v>2438</v>
      </c>
      <c r="R384" s="1" t="s">
        <v>2401</v>
      </c>
      <c r="S384" s="1" t="s">
        <v>2920</v>
      </c>
      <c r="T384" s="1" t="s">
        <v>2400</v>
      </c>
      <c r="U384" s="1" t="s">
        <v>2891</v>
      </c>
      <c r="V384" s="1"/>
      <c r="W384" s="1"/>
      <c r="X384" s="1"/>
      <c r="Y384" s="1"/>
      <c r="Z384" s="1"/>
      <c r="AA384" s="1"/>
      <c r="AB384" s="1"/>
      <c r="AC384" s="88" t="s">
        <v>233</v>
      </c>
      <c r="AD384" s="126" t="s">
        <v>254</v>
      </c>
    </row>
    <row r="385" spans="1:30">
      <c r="A385" s="1">
        <v>2025</v>
      </c>
      <c r="B385" s="1">
        <v>202510</v>
      </c>
      <c r="C385" s="1">
        <v>202516646</v>
      </c>
      <c r="D385" s="1" t="s">
        <v>4171</v>
      </c>
      <c r="E385" s="1" t="s">
        <v>4172</v>
      </c>
      <c r="F385" s="1" t="s">
        <v>372</v>
      </c>
      <c r="G385" s="85" t="str">
        <f>_xlfn.XLOOKUP(Tabla2[[#This Row],[Universidad]],Conversiones!$B:$B,Conversiones!$C:$C)</f>
        <v>A.B. Freeman School of Business, Tulane University</v>
      </c>
      <c r="H385" s="85" t="str">
        <f>_xlfn.XLOOKUP(Tabla2[[#This Row],[Universidad KPIs]],Conversiones!$C:$C,Conversiones!$E:$E)</f>
        <v>Específico</v>
      </c>
      <c r="I385" s="1" t="s">
        <v>51</v>
      </c>
      <c r="J385" s="1" t="s">
        <v>291</v>
      </c>
      <c r="K385" s="1" t="s">
        <v>4173</v>
      </c>
      <c r="L385" s="1" t="s">
        <v>4174</v>
      </c>
      <c r="M385" s="1" t="s">
        <v>230</v>
      </c>
      <c r="N385" s="1"/>
      <c r="O385" s="86"/>
      <c r="P385" s="1">
        <v>4</v>
      </c>
      <c r="Q385" s="1" t="s">
        <v>2352</v>
      </c>
      <c r="R385" s="1" t="s">
        <v>4162</v>
      </c>
      <c r="S385" s="1" t="s">
        <v>2663</v>
      </c>
      <c r="T385" s="1" t="s">
        <v>3230</v>
      </c>
      <c r="U385" s="1"/>
      <c r="V385" s="1"/>
      <c r="W385" s="1"/>
      <c r="X385" s="1"/>
      <c r="Y385" s="1"/>
      <c r="Z385" s="1"/>
      <c r="AA385" s="1"/>
      <c r="AB385" s="1"/>
      <c r="AC385" s="88" t="s">
        <v>233</v>
      </c>
      <c r="AD385" s="126" t="s">
        <v>254</v>
      </c>
    </row>
    <row r="386" spans="1:30">
      <c r="A386" s="1">
        <v>2025</v>
      </c>
      <c r="B386" s="1">
        <v>202510</v>
      </c>
      <c r="C386" s="1">
        <v>202516640</v>
      </c>
      <c r="D386" s="1" t="s">
        <v>4175</v>
      </c>
      <c r="E386" s="1" t="s">
        <v>4176</v>
      </c>
      <c r="F386" s="1" t="s">
        <v>372</v>
      </c>
      <c r="G386" s="85" t="str">
        <f>_xlfn.XLOOKUP(Tabla2[[#This Row],[Universidad]],Conversiones!$B:$B,Conversiones!$C:$C)</f>
        <v>A.B. Freeman School of Business, Tulane University</v>
      </c>
      <c r="H386" s="85" t="str">
        <f>_xlfn.XLOOKUP(Tabla2[[#This Row],[Universidad KPIs]],Conversiones!$C:$C,Conversiones!$E:$E)</f>
        <v>Específico</v>
      </c>
      <c r="I386" s="1" t="s">
        <v>51</v>
      </c>
      <c r="J386" s="1" t="s">
        <v>291</v>
      </c>
      <c r="K386" s="1" t="s">
        <v>4177</v>
      </c>
      <c r="L386" s="1" t="s">
        <v>4178</v>
      </c>
      <c r="M386" s="1" t="s">
        <v>230</v>
      </c>
      <c r="N386" s="1"/>
      <c r="O386" s="86"/>
      <c r="P386" s="1">
        <v>4</v>
      </c>
      <c r="Q386" s="1" t="s">
        <v>4162</v>
      </c>
      <c r="R386" s="1" t="s">
        <v>2663</v>
      </c>
      <c r="S386" s="1" t="s">
        <v>4179</v>
      </c>
      <c r="T386" s="1" t="s">
        <v>4180</v>
      </c>
      <c r="U386" s="1"/>
      <c r="V386" s="1"/>
      <c r="W386" s="1"/>
      <c r="X386" s="1"/>
      <c r="Y386" s="1"/>
      <c r="Z386" s="1"/>
      <c r="AA386" s="1"/>
      <c r="AB386" s="1"/>
      <c r="AC386" s="88" t="s">
        <v>233</v>
      </c>
      <c r="AD386" s="126" t="s">
        <v>254</v>
      </c>
    </row>
    <row r="387" spans="1:30">
      <c r="A387" s="1">
        <v>2025</v>
      </c>
      <c r="B387" s="1">
        <v>202510</v>
      </c>
      <c r="C387" s="1">
        <v>202516460</v>
      </c>
      <c r="D387" s="1" t="s">
        <v>3636</v>
      </c>
      <c r="E387" s="1" t="s">
        <v>4181</v>
      </c>
      <c r="F387" s="1" t="s">
        <v>2947</v>
      </c>
      <c r="G387" s="85" t="str">
        <f>_xlfn.XLOOKUP(Tabla2[[#This Row],[Universidad]],Conversiones!$B:$B,Conversiones!$C:$C)</f>
        <v>Universidad Católica Boliviana "San Pablo"</v>
      </c>
      <c r="H387" s="85" t="str">
        <f>_xlfn.XLOOKUP(Tabla2[[#This Row],[Universidad KPIs]],Conversiones!$C:$C,Conversiones!$E:$E)</f>
        <v>General</v>
      </c>
      <c r="I387" s="1" t="s">
        <v>158</v>
      </c>
      <c r="J387" s="1" t="s">
        <v>296</v>
      </c>
      <c r="K387" s="1" t="s">
        <v>4182</v>
      </c>
      <c r="L387" s="1" t="s">
        <v>4183</v>
      </c>
      <c r="M387" s="1" t="s">
        <v>230</v>
      </c>
      <c r="N387" s="1"/>
      <c r="O387" s="86"/>
      <c r="P387" s="1">
        <v>6</v>
      </c>
      <c r="Q387" s="1" t="s">
        <v>4184</v>
      </c>
      <c r="R387" s="1" t="s">
        <v>2487</v>
      </c>
      <c r="S387" s="1" t="s">
        <v>2776</v>
      </c>
      <c r="T387" s="1" t="s">
        <v>2360</v>
      </c>
      <c r="U387" s="1" t="s">
        <v>3966</v>
      </c>
      <c r="V387" s="1" t="s">
        <v>2756</v>
      </c>
      <c r="W387" s="1"/>
      <c r="X387" s="1"/>
      <c r="Y387" s="1"/>
      <c r="Z387" s="1"/>
      <c r="AA387" s="1"/>
      <c r="AB387" s="1"/>
      <c r="AC387" s="88" t="s">
        <v>233</v>
      </c>
      <c r="AD387" s="126" t="s">
        <v>254</v>
      </c>
    </row>
    <row r="388" spans="1:30">
      <c r="A388" s="1">
        <v>2025</v>
      </c>
      <c r="B388" s="1">
        <v>202510</v>
      </c>
      <c r="C388" s="1">
        <v>202516537</v>
      </c>
      <c r="D388" s="1" t="s">
        <v>4185</v>
      </c>
      <c r="E388" s="1" t="s">
        <v>4186</v>
      </c>
      <c r="F388" s="1" t="s">
        <v>1337</v>
      </c>
      <c r="G388" s="85" t="str">
        <f>_xlfn.XLOOKUP(Tabla2[[#This Row],[Universidad]],Conversiones!$B:$B,Conversiones!$C:$C)</f>
        <v>Universidad del Pacífico</v>
      </c>
      <c r="H388" s="85" t="str">
        <f>_xlfn.XLOOKUP(Tabla2[[#This Row],[Universidad KPIs]],Conversiones!$C:$C,Conversiones!$E:$E)</f>
        <v>Específico</v>
      </c>
      <c r="I388" s="1" t="s">
        <v>112</v>
      </c>
      <c r="J388" s="1" t="s">
        <v>296</v>
      </c>
      <c r="K388" s="1" t="s">
        <v>4187</v>
      </c>
      <c r="L388" s="1" t="s">
        <v>4188</v>
      </c>
      <c r="M388" s="1" t="s">
        <v>230</v>
      </c>
      <c r="N388" s="1"/>
      <c r="O388" s="86"/>
      <c r="P388" s="1">
        <v>6</v>
      </c>
      <c r="Q388" s="1" t="s">
        <v>3053</v>
      </c>
      <c r="R388" s="1" t="s">
        <v>3746</v>
      </c>
      <c r="S388" s="1" t="s">
        <v>2487</v>
      </c>
      <c r="T388" s="1" t="s">
        <v>2340</v>
      </c>
      <c r="U388" s="1" t="s">
        <v>2506</v>
      </c>
      <c r="V388" s="1" t="s">
        <v>3966</v>
      </c>
      <c r="W388" s="1"/>
      <c r="X388" s="1"/>
      <c r="Y388" s="1"/>
      <c r="Z388" s="1"/>
      <c r="AA388" s="1"/>
      <c r="AB388" s="1"/>
      <c r="AC388" s="88" t="s">
        <v>233</v>
      </c>
      <c r="AD388" s="126" t="s">
        <v>254</v>
      </c>
    </row>
    <row r="389" spans="1:30">
      <c r="A389" s="1">
        <v>2025</v>
      </c>
      <c r="B389" s="1">
        <v>202510</v>
      </c>
      <c r="C389" s="1">
        <v>202516473</v>
      </c>
      <c r="D389" s="1" t="s">
        <v>4189</v>
      </c>
      <c r="E389" s="1" t="s">
        <v>4190</v>
      </c>
      <c r="F389" s="1" t="s">
        <v>2295</v>
      </c>
      <c r="G389" s="85" t="str">
        <f>_xlfn.XLOOKUP(Tabla2[[#This Row],[Universidad]],Conversiones!$B:$B,Conversiones!$C:$C)</f>
        <v>Université Paris-Dauphine</v>
      </c>
      <c r="H389" s="85" t="str">
        <f>_xlfn.XLOOKUP(Tabla2[[#This Row],[Universidad KPIs]],Conversiones!$C:$C,Conversiones!$E:$E)</f>
        <v>General</v>
      </c>
      <c r="I389" s="1" t="s">
        <v>57</v>
      </c>
      <c r="J389" s="1" t="s">
        <v>281</v>
      </c>
      <c r="K389" s="1" t="s">
        <v>4191</v>
      </c>
      <c r="L389" s="1" t="s">
        <v>4192</v>
      </c>
      <c r="M389" s="1" t="s">
        <v>230</v>
      </c>
      <c r="N389" s="1"/>
      <c r="O389" s="86"/>
      <c r="P389" s="1">
        <v>4</v>
      </c>
      <c r="Q389" s="1" t="s">
        <v>2438</v>
      </c>
      <c r="R389" s="1" t="s">
        <v>2331</v>
      </c>
      <c r="S389" s="1" t="s">
        <v>2338</v>
      </c>
      <c r="T389" s="1" t="s">
        <v>2339</v>
      </c>
      <c r="U389" s="1"/>
      <c r="V389" s="1"/>
      <c r="W389" s="1"/>
      <c r="X389" s="1"/>
      <c r="Y389" s="1"/>
      <c r="Z389" s="1"/>
      <c r="AA389" s="1"/>
      <c r="AB389" s="1"/>
      <c r="AC389" s="88" t="s">
        <v>233</v>
      </c>
      <c r="AD389" s="126" t="s">
        <v>254</v>
      </c>
    </row>
    <row r="390" spans="1:30">
      <c r="A390" s="1">
        <v>2025</v>
      </c>
      <c r="B390" s="1">
        <v>202510</v>
      </c>
      <c r="C390" s="1">
        <v>202514615</v>
      </c>
      <c r="D390" s="1" t="s">
        <v>4193</v>
      </c>
      <c r="E390" s="1" t="s">
        <v>4194</v>
      </c>
      <c r="F390" s="1" t="s">
        <v>190</v>
      </c>
      <c r="G390" s="85" t="str">
        <f>_xlfn.XLOOKUP(Tabla2[[#This Row],[Universidad]],Conversiones!$B:$B,Conversiones!$C:$C)</f>
        <v>Victoria University of Wellington</v>
      </c>
      <c r="H390" s="85" t="str">
        <f>_xlfn.XLOOKUP(Tabla2[[#This Row],[Universidad KPIs]],Conversiones!$C:$C,Conversiones!$E:$E)</f>
        <v>General</v>
      </c>
      <c r="I390" s="1" t="s">
        <v>191</v>
      </c>
      <c r="J390" s="1" t="s">
        <v>385</v>
      </c>
      <c r="K390" s="1" t="s">
        <v>4195</v>
      </c>
      <c r="L390" s="1" t="s">
        <v>4196</v>
      </c>
      <c r="M390" s="1" t="s">
        <v>230</v>
      </c>
      <c r="N390" s="1"/>
      <c r="O390" s="86"/>
      <c r="P390" s="1">
        <v>8</v>
      </c>
      <c r="Q390" s="1" t="s">
        <v>2438</v>
      </c>
      <c r="R390" s="1" t="s">
        <v>2401</v>
      </c>
      <c r="S390" s="1" t="s">
        <v>2920</v>
      </c>
      <c r="T390" s="1" t="s">
        <v>3231</v>
      </c>
      <c r="U390" s="1" t="s">
        <v>2388</v>
      </c>
      <c r="V390" s="1" t="s">
        <v>3379</v>
      </c>
      <c r="W390" s="1" t="s">
        <v>4197</v>
      </c>
      <c r="X390" s="1" t="s">
        <v>2494</v>
      </c>
      <c r="Y390" s="1"/>
      <c r="Z390" s="1"/>
      <c r="AA390" s="1"/>
      <c r="AB390" s="1"/>
      <c r="AC390" s="88" t="s">
        <v>233</v>
      </c>
      <c r="AD390" s="126" t="s">
        <v>254</v>
      </c>
    </row>
    <row r="391" spans="1:30">
      <c r="A391" s="1">
        <v>2025</v>
      </c>
      <c r="B391" s="1">
        <v>202510</v>
      </c>
      <c r="C391" s="1">
        <v>202516502</v>
      </c>
      <c r="D391" s="1" t="s">
        <v>4198</v>
      </c>
      <c r="E391" s="1" t="s">
        <v>4199</v>
      </c>
      <c r="F391" s="1" t="s">
        <v>4200</v>
      </c>
      <c r="G391" s="85" t="str">
        <f>_xlfn.XLOOKUP(Tabla2[[#This Row],[Universidad]],Conversiones!$B:$B,Conversiones!$C:$C)</f>
        <v>Zeppelin University</v>
      </c>
      <c r="H391" s="85" t="str">
        <f>_xlfn.XLOOKUP(Tabla2[[#This Row],[Universidad KPIs]],Conversiones!$C:$C,Conversiones!$E:$E)</f>
        <v>General</v>
      </c>
      <c r="I391" s="1" t="s">
        <v>76</v>
      </c>
      <c r="J391" s="1" t="s">
        <v>281</v>
      </c>
      <c r="K391" s="1" t="s">
        <v>4201</v>
      </c>
      <c r="L391" s="1" t="s">
        <v>4202</v>
      </c>
      <c r="M391" s="1" t="s">
        <v>230</v>
      </c>
      <c r="N391" s="1"/>
      <c r="O391" s="86"/>
      <c r="P391" s="1">
        <v>6</v>
      </c>
      <c r="Q391" s="1" t="s">
        <v>2556</v>
      </c>
      <c r="R391" s="1" t="s">
        <v>2438</v>
      </c>
      <c r="S391" s="1" t="s">
        <v>2443</v>
      </c>
      <c r="T391" s="1" t="s">
        <v>2712</v>
      </c>
      <c r="U391" s="1" t="s">
        <v>2352</v>
      </c>
      <c r="V391" s="1" t="s">
        <v>2920</v>
      </c>
      <c r="W391" s="1"/>
      <c r="X391" s="1"/>
      <c r="Y391" s="1"/>
      <c r="Z391" s="1"/>
      <c r="AA391" s="1"/>
      <c r="AB391" s="1"/>
      <c r="AC391" s="88" t="s">
        <v>233</v>
      </c>
      <c r="AD391" s="126" t="s">
        <v>254</v>
      </c>
    </row>
    <row r="392" spans="1:30">
      <c r="A392" s="1">
        <v>2025</v>
      </c>
      <c r="B392" s="1">
        <v>202510</v>
      </c>
      <c r="C392" s="1">
        <v>202516714</v>
      </c>
      <c r="D392" s="1" t="s">
        <v>4203</v>
      </c>
      <c r="E392" s="1" t="s">
        <v>4204</v>
      </c>
      <c r="F392" s="1" t="s">
        <v>4200</v>
      </c>
      <c r="G392" s="85" t="str">
        <f>_xlfn.XLOOKUP(Tabla2[[#This Row],[Universidad]],Conversiones!$B:$B,Conversiones!$C:$C)</f>
        <v>Zeppelin University</v>
      </c>
      <c r="H392" s="85" t="str">
        <f>_xlfn.XLOOKUP(Tabla2[[#This Row],[Universidad KPIs]],Conversiones!$C:$C,Conversiones!$E:$E)</f>
        <v>General</v>
      </c>
      <c r="I392" s="1" t="s">
        <v>76</v>
      </c>
      <c r="J392" s="1" t="s">
        <v>281</v>
      </c>
      <c r="K392" s="1" t="s">
        <v>4205</v>
      </c>
      <c r="L392" s="1" t="s">
        <v>4206</v>
      </c>
      <c r="M392" s="1" t="s">
        <v>245</v>
      </c>
      <c r="N392" s="1" t="s">
        <v>245</v>
      </c>
      <c r="O392" s="86"/>
      <c r="P392" s="1">
        <v>6</v>
      </c>
      <c r="Q392" s="1" t="s">
        <v>2438</v>
      </c>
      <c r="R392" s="1" t="s">
        <v>2443</v>
      </c>
      <c r="S392" s="1" t="s">
        <v>2712</v>
      </c>
      <c r="T392" s="1" t="s">
        <v>2352</v>
      </c>
      <c r="U392" s="1" t="s">
        <v>2920</v>
      </c>
      <c r="V392" s="1" t="s">
        <v>3231</v>
      </c>
      <c r="W392" s="1"/>
      <c r="X392" s="1"/>
      <c r="Y392" s="1"/>
      <c r="Z392" s="1"/>
      <c r="AA392" s="1"/>
      <c r="AB392" s="1"/>
      <c r="AC392" s="88" t="s">
        <v>233</v>
      </c>
      <c r="AD392" s="126" t="s">
        <v>254</v>
      </c>
    </row>
    <row r="393" spans="1:30">
      <c r="A393" s="1">
        <v>2025</v>
      </c>
      <c r="B393" s="1">
        <v>202510</v>
      </c>
      <c r="C393" s="1">
        <v>202516440</v>
      </c>
      <c r="D393" s="1" t="s">
        <v>4207</v>
      </c>
      <c r="E393" s="1" t="s">
        <v>4208</v>
      </c>
      <c r="F393" s="1" t="s">
        <v>338</v>
      </c>
      <c r="G393" s="85" t="str">
        <f>_xlfn.XLOOKUP(Tabla2[[#This Row],[Universidad]],Conversiones!$B:$B,Conversiones!$C:$C)</f>
        <v>University of Mannheim Business School</v>
      </c>
      <c r="H393" s="85" t="str">
        <f>_xlfn.XLOOKUP(Tabla2[[#This Row],[Universidad KPIs]],Conversiones!$C:$C,Conversiones!$E:$E)</f>
        <v>Específico</v>
      </c>
      <c r="I393" s="1" t="s">
        <v>76</v>
      </c>
      <c r="J393" s="1" t="s">
        <v>281</v>
      </c>
      <c r="K393" s="1" t="s">
        <v>4209</v>
      </c>
      <c r="L393" s="1" t="s">
        <v>4210</v>
      </c>
      <c r="M393" s="1" t="s">
        <v>230</v>
      </c>
      <c r="N393" s="1"/>
      <c r="O393" s="86"/>
      <c r="P393" s="1">
        <v>5</v>
      </c>
      <c r="Q393" s="1" t="s">
        <v>3746</v>
      </c>
      <c r="R393" s="1" t="s">
        <v>3230</v>
      </c>
      <c r="S393" s="1" t="s">
        <v>4211</v>
      </c>
      <c r="T393" s="1" t="s">
        <v>4212</v>
      </c>
      <c r="U393" s="1" t="s">
        <v>3082</v>
      </c>
      <c r="V393" s="1"/>
      <c r="W393" s="1"/>
      <c r="X393" s="1"/>
      <c r="Y393" s="1"/>
      <c r="Z393" s="1"/>
      <c r="AA393" s="1"/>
      <c r="AB393" s="1"/>
      <c r="AC393" s="88" t="s">
        <v>238</v>
      </c>
      <c r="AD393" s="126" t="s">
        <v>247</v>
      </c>
    </row>
    <row r="394" spans="1:30" hidden="1">
      <c r="A394" s="1">
        <v>2025</v>
      </c>
      <c r="B394" s="1">
        <v>202510</v>
      </c>
      <c r="C394" s="1">
        <v>202516450</v>
      </c>
      <c r="D394" s="1" t="s">
        <v>744</v>
      </c>
      <c r="E394" s="1" t="s">
        <v>4213</v>
      </c>
      <c r="F394" s="1" t="s">
        <v>381</v>
      </c>
      <c r="G394" s="85" t="str">
        <f>_xlfn.XLOOKUP(Tabla2[[#This Row],[Universidad]],Conversiones!$B:$B,Conversiones!$C:$C)</f>
        <v>Audencia. École de Management</v>
      </c>
      <c r="H394" s="85" t="str">
        <f>_xlfn.XLOOKUP(Tabla2[[#This Row],[Universidad KPIs]],Conversiones!$C:$C,Conversiones!$E:$E)</f>
        <v>Específico</v>
      </c>
      <c r="I394" s="1" t="s">
        <v>57</v>
      </c>
      <c r="J394" s="1" t="s">
        <v>281</v>
      </c>
      <c r="K394" s="1" t="s">
        <v>4214</v>
      </c>
      <c r="L394" s="1" t="s">
        <v>4215</v>
      </c>
      <c r="M394" s="1" t="s">
        <v>230</v>
      </c>
      <c r="N394" s="1"/>
      <c r="O394" s="86"/>
      <c r="P394" s="1">
        <v>6</v>
      </c>
      <c r="Q394" s="1" t="s">
        <v>2608</v>
      </c>
      <c r="R394" s="1" t="s">
        <v>4216</v>
      </c>
      <c r="S394" s="1" t="s">
        <v>2438</v>
      </c>
      <c r="T394" s="1" t="s">
        <v>2401</v>
      </c>
      <c r="U394" s="1" t="s">
        <v>2340</v>
      </c>
      <c r="V394" s="1" t="s">
        <v>2966</v>
      </c>
      <c r="W394" s="1"/>
      <c r="X394" s="1"/>
      <c r="Y394" s="1"/>
      <c r="Z394" s="1"/>
      <c r="AA394" s="1"/>
      <c r="AB394" s="1"/>
      <c r="AC394" s="88" t="s">
        <v>239</v>
      </c>
      <c r="AD394" s="126" t="s">
        <v>247</v>
      </c>
    </row>
    <row r="395" spans="1:30" hidden="1">
      <c r="A395" s="1">
        <v>2025</v>
      </c>
      <c r="B395" s="1">
        <v>202510</v>
      </c>
      <c r="C395" s="1">
        <v>202516446</v>
      </c>
      <c r="D395" s="1" t="s">
        <v>4217</v>
      </c>
      <c r="E395" s="1" t="s">
        <v>4218</v>
      </c>
      <c r="F395" s="1" t="s">
        <v>419</v>
      </c>
      <c r="G395" s="85" t="str">
        <f>_xlfn.XLOOKUP(Tabla2[[#This Row],[Universidad]],Conversiones!$B:$B,Conversiones!$C:$C)</f>
        <v>ESCP</v>
      </c>
      <c r="H395" s="85" t="str">
        <f>_xlfn.XLOOKUP(Tabla2[[#This Row],[Universidad KPIs]],Conversiones!$C:$C,Conversiones!$E:$E)</f>
        <v>Específico</v>
      </c>
      <c r="I395" s="1" t="s">
        <v>57</v>
      </c>
      <c r="J395" s="1" t="s">
        <v>281</v>
      </c>
      <c r="K395" s="1" t="s">
        <v>4219</v>
      </c>
      <c r="L395" s="1" t="s">
        <v>4220</v>
      </c>
      <c r="M395" s="1" t="s">
        <v>230</v>
      </c>
      <c r="N395" s="1"/>
      <c r="O395" s="86"/>
      <c r="P395" s="1">
        <v>3</v>
      </c>
      <c r="Q395" s="1" t="s">
        <v>2620</v>
      </c>
      <c r="R395" s="1" t="s">
        <v>3594</v>
      </c>
      <c r="S395" s="1" t="s">
        <v>4221</v>
      </c>
      <c r="T395" s="1"/>
      <c r="U395" s="1"/>
      <c r="V395" s="1"/>
      <c r="W395" s="1"/>
      <c r="X395" s="1"/>
      <c r="Y395" s="1"/>
      <c r="Z395" s="1"/>
      <c r="AA395" s="1"/>
      <c r="AB395" s="1"/>
      <c r="AC395" s="88" t="s">
        <v>239</v>
      </c>
      <c r="AD395" s="126" t="s">
        <v>247</v>
      </c>
    </row>
    <row r="396" spans="1:30" hidden="1">
      <c r="A396" s="1">
        <v>2025</v>
      </c>
      <c r="B396" s="1">
        <v>202510</v>
      </c>
      <c r="C396" s="1">
        <v>202516447</v>
      </c>
      <c r="D396" s="1" t="s">
        <v>4222</v>
      </c>
      <c r="E396" s="1" t="s">
        <v>4223</v>
      </c>
      <c r="F396" s="1" t="s">
        <v>419</v>
      </c>
      <c r="G396" s="85" t="str">
        <f>_xlfn.XLOOKUP(Tabla2[[#This Row],[Universidad]],Conversiones!$B:$B,Conversiones!$C:$C)</f>
        <v>ESCP</v>
      </c>
      <c r="H396" s="85" t="str">
        <f>_xlfn.XLOOKUP(Tabla2[[#This Row],[Universidad KPIs]],Conversiones!$C:$C,Conversiones!$E:$E)</f>
        <v>Específico</v>
      </c>
      <c r="I396" s="1" t="s">
        <v>57</v>
      </c>
      <c r="J396" s="1" t="s">
        <v>281</v>
      </c>
      <c r="K396" s="1" t="s">
        <v>4224</v>
      </c>
      <c r="L396" s="1" t="s">
        <v>4225</v>
      </c>
      <c r="M396" s="1" t="s">
        <v>230</v>
      </c>
      <c r="N396" s="1"/>
      <c r="O396" s="86"/>
      <c r="P396" s="1">
        <v>4</v>
      </c>
      <c r="Q396" s="1" t="s">
        <v>2620</v>
      </c>
      <c r="R396" s="1" t="s">
        <v>3320</v>
      </c>
      <c r="S396" s="1" t="s">
        <v>2376</v>
      </c>
      <c r="T396" s="1" t="s">
        <v>3594</v>
      </c>
      <c r="U396" s="1"/>
      <c r="V396" s="1"/>
      <c r="W396" s="1"/>
      <c r="X396" s="1"/>
      <c r="Y396" s="1"/>
      <c r="Z396" s="1"/>
      <c r="AA396" s="1"/>
      <c r="AB396" s="1"/>
      <c r="AC396" s="88" t="s">
        <v>239</v>
      </c>
      <c r="AD396" s="126" t="s">
        <v>247</v>
      </c>
    </row>
    <row r="397" spans="1:30" hidden="1">
      <c r="A397" s="1">
        <v>2025</v>
      </c>
      <c r="B397" s="1">
        <v>202510</v>
      </c>
      <c r="C397" s="1">
        <v>202516448</v>
      </c>
      <c r="D397" s="1" t="s">
        <v>4226</v>
      </c>
      <c r="E397" s="1" t="s">
        <v>4227</v>
      </c>
      <c r="F397" s="1" t="s">
        <v>177</v>
      </c>
      <c r="G397" s="85" t="str">
        <f>_xlfn.XLOOKUP(Tabla2[[#This Row],[Universidad]],Conversiones!$B:$B,Conversiones!$C:$C)</f>
        <v>Université de Genève</v>
      </c>
      <c r="H397" s="85" t="str">
        <f>_xlfn.XLOOKUP(Tabla2[[#This Row],[Universidad KPIs]],Conversiones!$C:$C,Conversiones!$E:$E)</f>
        <v>General</v>
      </c>
      <c r="I397" s="1" t="s">
        <v>81</v>
      </c>
      <c r="J397" s="1" t="s">
        <v>281</v>
      </c>
      <c r="K397" s="1" t="s">
        <v>4228</v>
      </c>
      <c r="L397" s="1" t="s">
        <v>4229</v>
      </c>
      <c r="M397" s="1" t="s">
        <v>230</v>
      </c>
      <c r="N397" s="1"/>
      <c r="O397" s="86"/>
      <c r="P397" s="1">
        <v>7</v>
      </c>
      <c r="Q397" s="1" t="s">
        <v>2620</v>
      </c>
      <c r="R397" s="1" t="s">
        <v>2376</v>
      </c>
      <c r="S397" s="1" t="s">
        <v>3594</v>
      </c>
      <c r="T397" s="1" t="s">
        <v>2369</v>
      </c>
      <c r="U397" s="1" t="s">
        <v>4221</v>
      </c>
      <c r="V397" s="1" t="s">
        <v>3158</v>
      </c>
      <c r="W397" s="1" t="s">
        <v>2494</v>
      </c>
      <c r="X397" s="1"/>
      <c r="Y397" s="1"/>
      <c r="Z397" s="1"/>
      <c r="AA397" s="1"/>
      <c r="AB397" s="1"/>
      <c r="AC397" s="88" t="s">
        <v>239</v>
      </c>
      <c r="AD397" s="126" t="s">
        <v>247</v>
      </c>
    </row>
    <row r="398" spans="1:30" hidden="1">
      <c r="A398" s="1">
        <v>2025</v>
      </c>
      <c r="B398" s="1">
        <v>202510</v>
      </c>
      <c r="C398" s="1">
        <v>202516443</v>
      </c>
      <c r="D398" s="1" t="s">
        <v>4230</v>
      </c>
      <c r="E398" s="1" t="s">
        <v>4231</v>
      </c>
      <c r="F398" s="1" t="s">
        <v>455</v>
      </c>
      <c r="G398" s="85" t="str">
        <f>_xlfn.XLOOKUP(Tabla2[[#This Row],[Universidad]],Conversiones!$B:$B,Conversiones!$C:$C)</f>
        <v>Nova School of Business and Economics</v>
      </c>
      <c r="H398" s="85" t="str">
        <f>_xlfn.XLOOKUP(Tabla2[[#This Row],[Universidad KPIs]],Conversiones!$C:$C,Conversiones!$E:$E)</f>
        <v>Específico</v>
      </c>
      <c r="I398" s="1" t="s">
        <v>61</v>
      </c>
      <c r="J398" s="1" t="s">
        <v>281</v>
      </c>
      <c r="K398" s="1" t="s">
        <v>4232</v>
      </c>
      <c r="L398" s="1" t="s">
        <v>4233</v>
      </c>
      <c r="M398" s="1" t="s">
        <v>230</v>
      </c>
      <c r="N398" s="1"/>
      <c r="O398" s="86"/>
      <c r="P398" s="1">
        <v>4</v>
      </c>
      <c r="Q398" s="1" t="s">
        <v>2401</v>
      </c>
      <c r="R398" s="1" t="s">
        <v>3230</v>
      </c>
      <c r="S398" s="1" t="s">
        <v>3803</v>
      </c>
      <c r="T398" s="1" t="s">
        <v>3516</v>
      </c>
      <c r="U398" s="1"/>
      <c r="V398" s="1"/>
      <c r="W398" s="1"/>
      <c r="X398" s="1"/>
      <c r="Y398" s="1"/>
      <c r="Z398" s="1"/>
      <c r="AA398" s="1"/>
      <c r="AB398" s="1"/>
      <c r="AC398" s="88" t="s">
        <v>240</v>
      </c>
      <c r="AD398" s="126" t="s">
        <v>247</v>
      </c>
    </row>
    <row r="399" spans="1:30" hidden="1">
      <c r="A399" s="1">
        <v>2025</v>
      </c>
      <c r="B399" s="1">
        <v>202510</v>
      </c>
      <c r="C399" s="1">
        <v>202516444</v>
      </c>
      <c r="D399" s="1" t="s">
        <v>2300</v>
      </c>
      <c r="E399" s="1" t="s">
        <v>4234</v>
      </c>
      <c r="F399" s="1" t="s">
        <v>455</v>
      </c>
      <c r="G399" s="85" t="str">
        <f>_xlfn.XLOOKUP(Tabla2[[#This Row],[Universidad]],Conversiones!$B:$B,Conversiones!$C:$C)</f>
        <v>Nova School of Business and Economics</v>
      </c>
      <c r="H399" s="85" t="str">
        <f>_xlfn.XLOOKUP(Tabla2[[#This Row],[Universidad KPIs]],Conversiones!$C:$C,Conversiones!$E:$E)</f>
        <v>Específico</v>
      </c>
      <c r="I399" s="1" t="s">
        <v>61</v>
      </c>
      <c r="J399" s="1" t="s">
        <v>281</v>
      </c>
      <c r="K399" s="1" t="s">
        <v>4235</v>
      </c>
      <c r="L399" s="1" t="s">
        <v>4236</v>
      </c>
      <c r="M399" s="1" t="s">
        <v>230</v>
      </c>
      <c r="N399" s="1"/>
      <c r="O399" s="86"/>
      <c r="P399" s="1">
        <v>5</v>
      </c>
      <c r="Q399" s="1" t="s">
        <v>2369</v>
      </c>
      <c r="R399" s="1" t="s">
        <v>4237</v>
      </c>
      <c r="S399" s="1" t="s">
        <v>4238</v>
      </c>
      <c r="T399" s="1" t="s">
        <v>2394</v>
      </c>
      <c r="U399" s="1" t="s">
        <v>4239</v>
      </c>
      <c r="V399" s="1"/>
      <c r="W399" s="1"/>
      <c r="X399" s="1"/>
      <c r="Y399" s="1"/>
      <c r="Z399" s="1"/>
      <c r="AA399" s="1"/>
      <c r="AB399" s="1"/>
      <c r="AC399" s="88" t="s">
        <v>240</v>
      </c>
      <c r="AD399" s="126" t="s">
        <v>247</v>
      </c>
    </row>
    <row r="400" spans="1:30" hidden="1">
      <c r="A400" s="1">
        <v>2025</v>
      </c>
      <c r="B400" s="1">
        <v>202510</v>
      </c>
      <c r="C400" s="1">
        <v>202516434</v>
      </c>
      <c r="D400" s="1" t="s">
        <v>4240</v>
      </c>
      <c r="E400" s="1" t="s">
        <v>4241</v>
      </c>
      <c r="F400" s="1" t="s">
        <v>210</v>
      </c>
      <c r="G400" s="85" t="str">
        <f>_xlfn.XLOOKUP(Tabla2[[#This Row],[Universidad]],Conversiones!$B:$B,Conversiones!$C:$C)</f>
        <v>Universität Bayreuth</v>
      </c>
      <c r="H400" s="85" t="str">
        <f>_xlfn.XLOOKUP(Tabla2[[#This Row],[Universidad KPIs]],Conversiones!$C:$C,Conversiones!$E:$E)</f>
        <v>General</v>
      </c>
      <c r="I400" s="1" t="s">
        <v>76</v>
      </c>
      <c r="J400" s="1" t="s">
        <v>281</v>
      </c>
      <c r="K400" s="1" t="s">
        <v>4242</v>
      </c>
      <c r="L400" s="1" t="s">
        <v>4243</v>
      </c>
      <c r="M400" s="1" t="s">
        <v>230</v>
      </c>
      <c r="N400" s="1"/>
      <c r="O400" s="86"/>
      <c r="P400" s="1">
        <v>2</v>
      </c>
      <c r="Q400" s="1" t="s">
        <v>2891</v>
      </c>
      <c r="R400" s="1" t="s">
        <v>4244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88" t="s">
        <v>240</v>
      </c>
      <c r="AD400" s="126" t="s">
        <v>247</v>
      </c>
    </row>
    <row r="401" spans="1:30">
      <c r="A401" s="1">
        <v>2025</v>
      </c>
      <c r="B401" s="1">
        <v>202510</v>
      </c>
      <c r="C401" s="1">
        <v>202516445</v>
      </c>
      <c r="D401" s="1" t="s">
        <v>4245</v>
      </c>
      <c r="E401" s="1" t="s">
        <v>4246</v>
      </c>
      <c r="F401" s="1" t="s">
        <v>356</v>
      </c>
      <c r="G401" s="85" t="str">
        <f>_xlfn.XLOOKUP(Tabla2[[#This Row],[Universidad]],Conversiones!$B:$B,Conversiones!$C:$C)</f>
        <v>Università Commerciale Luigi Bocconi</v>
      </c>
      <c r="H401" s="85" t="str">
        <f>_xlfn.XLOOKUP(Tabla2[[#This Row],[Universidad KPIs]],Conversiones!$C:$C,Conversiones!$E:$E)</f>
        <v>Específico</v>
      </c>
      <c r="I401" s="1" t="s">
        <v>103</v>
      </c>
      <c r="J401" s="1" t="s">
        <v>281</v>
      </c>
      <c r="K401" s="1" t="s">
        <v>4247</v>
      </c>
      <c r="L401" s="1" t="s">
        <v>4248</v>
      </c>
      <c r="M401" s="1" t="s">
        <v>230</v>
      </c>
      <c r="N401" s="1"/>
      <c r="O401" s="86"/>
      <c r="P401" s="1">
        <v>5</v>
      </c>
      <c r="Q401" s="1" t="s">
        <v>2359</v>
      </c>
      <c r="R401" s="1" t="s">
        <v>2338</v>
      </c>
      <c r="S401" s="1" t="s">
        <v>4249</v>
      </c>
      <c r="T401" s="1" t="s">
        <v>3516</v>
      </c>
      <c r="U401" s="1" t="s">
        <v>3692</v>
      </c>
      <c r="V401" s="1"/>
      <c r="W401" s="1"/>
      <c r="X401" s="1"/>
      <c r="Y401" s="1"/>
      <c r="Z401" s="1"/>
      <c r="AA401" s="1"/>
      <c r="AB401" s="1"/>
      <c r="AC401" s="88" t="s">
        <v>250</v>
      </c>
      <c r="AD401" s="127" t="s">
        <v>247</v>
      </c>
    </row>
  </sheetData>
  <phoneticPr fontId="3" type="noConversion"/>
  <conditionalFormatting sqref="Q1:AB306 Q307:Z309 R363:AC364 Q403:AB1048576">
    <cfRule type="containsText" dxfId="63" priority="40" operator="containsText" text="RDSV">
      <formula>NOT(ISERROR(SEARCH("RDSV",Q1)))</formula>
    </cfRule>
    <cfRule type="containsText" dxfId="62" priority="41" operator="containsText" text="MGPD">
      <formula>NOT(ISERROR(SEARCH("MGPD",Q1)))</formula>
    </cfRule>
    <cfRule type="containsText" dxfId="61" priority="42" operator="containsText" text="MGAP">
      <formula>NOT(ISERROR(SEARCH("MGAP",Q1)))</formula>
    </cfRule>
    <cfRule type="containsText" dxfId="60" priority="43" operator="containsText" text="MMER">
      <formula>NOT(ISERROR(SEARCH("MMER",Q1)))</formula>
    </cfRule>
    <cfRule type="containsText" dxfId="59" priority="44" operator="containsText" text="MFIN">
      <formula>NOT(ISERROR(SEARCH("MFIN",Q1)))</formula>
    </cfRule>
    <cfRule type="containsText" dxfId="58" priority="45" operator="containsText" text="MIFI">
      <formula>NOT(ISERROR(SEARCH("MIFI",Q1)))</formula>
    </cfRule>
    <cfRule type="containsText" dxfId="57" priority="46" operator="containsText" text="MIMC">
      <formula>NOT(ISERROR(SEARCH("MIMC",Q1)))</formula>
    </cfRule>
    <cfRule type="containsText" dxfId="56" priority="47" operator="containsText" text="MIAD">
      <formula>NOT(ISERROR(SEARCH("MIAD",Q1)))</formula>
    </cfRule>
    <cfRule type="containsText" dxfId="55" priority="48" operator="containsText" text="MSCM">
      <formula>NOT(ISERROR(SEARCH("MSCM",Q1)))</formula>
    </cfRule>
    <cfRule type="containsText" dxfId="54" priority="49" operator="containsText" text="EMBA">
      <formula>NOT(ISERROR(SEARCH("EMBA",Q1)))</formula>
    </cfRule>
    <cfRule type="containsText" dxfId="53" priority="50" operator="containsText" text="MADM">
      <formula>NOT(ISERROR(SEARCH("MADM",Q1)))</formula>
    </cfRule>
    <cfRule type="containsText" dxfId="52" priority="51" operator="containsText" text="ADMI">
      <formula>NOT(ISERROR(SEARCH("ADMI",Q1)))</formula>
    </cfRule>
    <cfRule type="containsText" dxfId="51" priority="52" operator="containsText" text="MMBA">
      <formula>NOT(ISERROR(SEARCH("MMBA",Q1)))</formula>
    </cfRule>
  </conditionalFormatting>
  <conditionalFormatting sqref="Q310:AC362 Q365:AB401">
    <cfRule type="containsText" dxfId="50" priority="14" operator="containsText" text="MFIN">
      <formula>NOT(ISERROR(SEARCH("MFIN",Q310)))</formula>
    </cfRule>
    <cfRule type="containsText" dxfId="49" priority="15" operator="containsText" text="RDSV">
      <formula>NOT(ISERROR(SEARCH("RDSV",Q310)))</formula>
    </cfRule>
    <cfRule type="containsText" dxfId="48" priority="16" operator="containsText" text="MGPD">
      <formula>NOT(ISERROR(SEARCH("MGPD",Q310)))</formula>
    </cfRule>
    <cfRule type="containsText" dxfId="47" priority="17" operator="containsText" text="MGAP">
      <formula>NOT(ISERROR(SEARCH("MGAP",Q310)))</formula>
    </cfRule>
    <cfRule type="containsText" dxfId="46" priority="18" operator="containsText" text="MMER">
      <formula>NOT(ISERROR(SEARCH("MMER",Q310)))</formula>
    </cfRule>
    <cfRule type="containsText" dxfId="45" priority="19" operator="containsText" text="MIFI">
      <formula>NOT(ISERROR(SEARCH("MIFI",Q310)))</formula>
    </cfRule>
    <cfRule type="containsText" dxfId="44" priority="20" operator="containsText" text="MIMC">
      <formula>NOT(ISERROR(SEARCH("MIMC",Q310)))</formula>
    </cfRule>
    <cfRule type="containsText" dxfId="43" priority="21" operator="containsText" text="MIAD">
      <formula>NOT(ISERROR(SEARCH("MIAD",Q310)))</formula>
    </cfRule>
    <cfRule type="containsText" dxfId="42" priority="22" operator="containsText" text="MSCM">
      <formula>NOT(ISERROR(SEARCH("MSCM",Q310)))</formula>
    </cfRule>
    <cfRule type="containsText" dxfId="41" priority="23" operator="containsText" text="EMBA">
      <formula>NOT(ISERROR(SEARCH("EMBA",Q310)))</formula>
    </cfRule>
    <cfRule type="containsText" dxfId="40" priority="24" operator="containsText" text="MADM">
      <formula>NOT(ISERROR(SEARCH("MADM",Q310)))</formula>
    </cfRule>
    <cfRule type="containsText" dxfId="39" priority="25" operator="containsText" text="ADMI">
      <formula>NOT(ISERROR(SEARCH("ADMI",Q310)))</formula>
    </cfRule>
    <cfRule type="containsText" dxfId="38" priority="26" operator="containsText" text="MMBA">
      <formula>NOT(ISERROR(SEARCH("MMBA",Q310)))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9C0B-469C-4D43-91FA-C9709FEC4B93}">
  <dimension ref="B2:N155"/>
  <sheetViews>
    <sheetView topLeftCell="A126" zoomScale="85" zoomScaleNormal="85" workbookViewId="0">
      <selection activeCell="E159" sqref="E159"/>
    </sheetView>
  </sheetViews>
  <sheetFormatPr defaultColWidth="11.5703125" defaultRowHeight="15"/>
  <cols>
    <col min="1" max="1" width="11.5703125" style="106"/>
    <col min="2" max="2" width="61.140625" style="106" bestFit="1" customWidth="1"/>
    <col min="3" max="3" width="67" style="106" bestFit="1" customWidth="1"/>
    <col min="4" max="4" width="17.140625" style="106" bestFit="1" customWidth="1"/>
    <col min="5" max="6" width="11.5703125" style="106"/>
    <col min="7" max="7" width="67" style="106" bestFit="1" customWidth="1"/>
    <col min="8" max="8" width="15" style="106" bestFit="1" customWidth="1"/>
    <col min="9" max="12" width="11.5703125" style="106"/>
    <col min="13" max="13" width="43.7109375" style="106" bestFit="1" customWidth="1"/>
    <col min="14" max="14" width="33.42578125" style="106" bestFit="1" customWidth="1"/>
    <col min="15" max="16384" width="11.5703125" style="106"/>
  </cols>
  <sheetData>
    <row r="2" spans="2:14" ht="21.75" thickBot="1">
      <c r="B2" s="257" t="s">
        <v>4250</v>
      </c>
      <c r="C2" s="258"/>
      <c r="D2" s="258"/>
      <c r="E2" s="259"/>
      <c r="G2" s="257" t="s">
        <v>4251</v>
      </c>
      <c r="H2" s="258"/>
      <c r="I2" s="259"/>
      <c r="L2" s="260" t="s">
        <v>4252</v>
      </c>
      <c r="M2" s="260"/>
      <c r="N2" s="260"/>
    </row>
    <row r="3" spans="2:14">
      <c r="B3" s="47" t="s">
        <v>25</v>
      </c>
      <c r="C3" s="47" t="s">
        <v>46</v>
      </c>
      <c r="D3" s="47" t="s">
        <v>4253</v>
      </c>
      <c r="E3" s="47" t="s">
        <v>4254</v>
      </c>
      <c r="F3" s="107"/>
      <c r="G3" s="48" t="s">
        <v>46</v>
      </c>
      <c r="H3" s="48" t="s">
        <v>4255</v>
      </c>
      <c r="I3" s="48" t="s">
        <v>4254</v>
      </c>
      <c r="L3" s="115" t="s">
        <v>4256</v>
      </c>
      <c r="M3" s="108" t="s">
        <v>233</v>
      </c>
      <c r="N3" s="109"/>
    </row>
    <row r="4" spans="2:14">
      <c r="B4" s="54" t="s">
        <v>372</v>
      </c>
      <c r="C4" s="55" t="s">
        <v>50</v>
      </c>
      <c r="D4" s="54" t="s">
        <v>51</v>
      </c>
      <c r="E4" s="54" t="str">
        <f>_xlfn.XLOOKUP(C4,$G$4:$G$66,$I$4:$I$66,"General")</f>
        <v>Específico</v>
      </c>
      <c r="G4" s="11" t="s">
        <v>50</v>
      </c>
      <c r="H4" s="11" t="str">
        <f>_xlfn.XLOOKUP(G4,$C$4:$C$130,$D$4:$D$130,"NO ESTÁ")</f>
        <v>United States</v>
      </c>
      <c r="I4" s="11" t="s">
        <v>4257</v>
      </c>
      <c r="L4" s="22" t="s">
        <v>4258</v>
      </c>
      <c r="M4" s="11" t="s">
        <v>237</v>
      </c>
      <c r="N4" s="111"/>
    </row>
    <row r="5" spans="2:14">
      <c r="B5" s="54" t="s">
        <v>2823</v>
      </c>
      <c r="C5" s="55" t="s">
        <v>199</v>
      </c>
      <c r="D5" s="54" t="s">
        <v>63</v>
      </c>
      <c r="E5" s="54" t="str">
        <f t="shared" ref="E5:E68" si="0">_xlfn.XLOOKUP(C5,$G$4:$G$66,$I$4:$I$66,"General")</f>
        <v>General</v>
      </c>
      <c r="G5" s="11" t="s">
        <v>52</v>
      </c>
      <c r="H5" s="11" t="str">
        <f t="shared" ref="H5:H64" si="1">_xlfn.XLOOKUP(G5,$C$4:$C$130,$D$4:$D$130,"NO ESTÁ")</f>
        <v>Finland</v>
      </c>
      <c r="I5" s="11" t="s">
        <v>4257</v>
      </c>
      <c r="L5" s="110" t="s">
        <v>4259</v>
      </c>
      <c r="M5" s="11" t="s">
        <v>239</v>
      </c>
      <c r="N5" s="111"/>
    </row>
    <row r="6" spans="2:14">
      <c r="B6" s="55" t="s">
        <v>486</v>
      </c>
      <c r="C6" s="55" t="s">
        <v>52</v>
      </c>
      <c r="D6" s="55" t="s">
        <v>53</v>
      </c>
      <c r="E6" s="54" t="str">
        <f t="shared" si="0"/>
        <v>Específico</v>
      </c>
      <c r="G6" s="11" t="s">
        <v>54</v>
      </c>
      <c r="H6" s="11" t="str">
        <f t="shared" si="1"/>
        <v>United Kingdom</v>
      </c>
      <c r="I6" s="11" t="s">
        <v>4257</v>
      </c>
      <c r="L6" s="22" t="s">
        <v>4260</v>
      </c>
      <c r="M6" s="11" t="s">
        <v>236</v>
      </c>
      <c r="N6" s="111"/>
    </row>
    <row r="7" spans="2:14">
      <c r="B7" s="55" t="s">
        <v>677</v>
      </c>
      <c r="C7" s="55" t="s">
        <v>52</v>
      </c>
      <c r="D7" s="55" t="s">
        <v>53</v>
      </c>
      <c r="E7" s="54" t="str">
        <f t="shared" si="0"/>
        <v>Específico</v>
      </c>
      <c r="G7" s="46" t="s">
        <v>125</v>
      </c>
      <c r="H7" s="46" t="str">
        <f t="shared" si="1"/>
        <v>NO ESTÁ</v>
      </c>
      <c r="I7" s="11" t="s">
        <v>4257</v>
      </c>
      <c r="L7" s="110" t="s">
        <v>4261</v>
      </c>
      <c r="M7" s="11" t="s">
        <v>250</v>
      </c>
      <c r="N7" s="111"/>
    </row>
    <row r="8" spans="2:14">
      <c r="B8" s="55" t="s">
        <v>52</v>
      </c>
      <c r="C8" s="55" t="s">
        <v>52</v>
      </c>
      <c r="D8" s="55" t="s">
        <v>53</v>
      </c>
      <c r="E8" s="54" t="str">
        <f t="shared" si="0"/>
        <v>Específico</v>
      </c>
      <c r="G8" s="11" t="s">
        <v>56</v>
      </c>
      <c r="H8" s="11" t="str">
        <f t="shared" si="1"/>
        <v>France</v>
      </c>
      <c r="I8" s="11" t="s">
        <v>4257</v>
      </c>
      <c r="L8" s="22" t="s">
        <v>4262</v>
      </c>
      <c r="M8" s="11" t="s">
        <v>238</v>
      </c>
      <c r="N8" s="111"/>
    </row>
    <row r="9" spans="2:14">
      <c r="B9" s="54" t="s">
        <v>189</v>
      </c>
      <c r="C9" s="55" t="s">
        <v>189</v>
      </c>
      <c r="D9" s="54" t="s">
        <v>57</v>
      </c>
      <c r="E9" s="54" t="str">
        <f t="shared" si="0"/>
        <v>General</v>
      </c>
      <c r="G9" s="11" t="s">
        <v>58</v>
      </c>
      <c r="H9" s="11" t="str">
        <f t="shared" si="1"/>
        <v>Norway</v>
      </c>
      <c r="I9" s="11" t="s">
        <v>4257</v>
      </c>
      <c r="L9" s="110" t="s">
        <v>4263</v>
      </c>
      <c r="M9" s="11" t="s">
        <v>4264</v>
      </c>
      <c r="N9" s="111"/>
    </row>
    <row r="10" spans="2:14">
      <c r="B10" s="54" t="s">
        <v>140</v>
      </c>
      <c r="C10" s="55" t="s">
        <v>140</v>
      </c>
      <c r="D10" s="54" t="s">
        <v>141</v>
      </c>
      <c r="E10" s="54" t="str">
        <f t="shared" si="0"/>
        <v>General</v>
      </c>
      <c r="G10" s="11" t="s">
        <v>60</v>
      </c>
      <c r="H10" s="11" t="str">
        <f t="shared" si="1"/>
        <v>Portugal</v>
      </c>
      <c r="I10" s="11" t="s">
        <v>4257</v>
      </c>
      <c r="L10" s="22" t="s">
        <v>4265</v>
      </c>
      <c r="M10" s="11" t="s">
        <v>4266</v>
      </c>
      <c r="N10" s="111"/>
    </row>
    <row r="11" spans="2:14" ht="15.75" thickBot="1">
      <c r="B11" s="55" t="s">
        <v>142</v>
      </c>
      <c r="C11" s="55" t="s">
        <v>142</v>
      </c>
      <c r="D11" s="55" t="s">
        <v>51</v>
      </c>
      <c r="E11" s="54" t="str">
        <f t="shared" si="0"/>
        <v>General</v>
      </c>
      <c r="G11" s="11" t="s">
        <v>62</v>
      </c>
      <c r="H11" s="11" t="str">
        <f t="shared" si="1"/>
        <v>Denmark</v>
      </c>
      <c r="I11" s="11" t="s">
        <v>4257</v>
      </c>
      <c r="L11" s="112" t="s">
        <v>4267</v>
      </c>
      <c r="M11" s="113" t="s">
        <v>235</v>
      </c>
      <c r="N11" s="114"/>
    </row>
    <row r="12" spans="2:14">
      <c r="B12" s="55" t="s">
        <v>54</v>
      </c>
      <c r="C12" s="55" t="s">
        <v>54</v>
      </c>
      <c r="D12" s="55" t="s">
        <v>55</v>
      </c>
      <c r="E12" s="54" t="str">
        <f t="shared" si="0"/>
        <v>Específico</v>
      </c>
      <c r="G12" s="11" t="s">
        <v>64</v>
      </c>
      <c r="H12" s="11" t="str">
        <f t="shared" si="1"/>
        <v>China</v>
      </c>
      <c r="I12" s="11" t="s">
        <v>4257</v>
      </c>
      <c r="L12" s="50" t="s">
        <v>4256</v>
      </c>
      <c r="M12" s="108" t="s">
        <v>233</v>
      </c>
      <c r="N12" s="109" t="s">
        <v>233</v>
      </c>
    </row>
    <row r="13" spans="2:14">
      <c r="B13" s="55" t="s">
        <v>381</v>
      </c>
      <c r="C13" s="55" t="s">
        <v>56</v>
      </c>
      <c r="D13" s="55" t="s">
        <v>57</v>
      </c>
      <c r="E13" s="54" t="str">
        <f t="shared" si="0"/>
        <v>Específico</v>
      </c>
      <c r="G13" s="11" t="s">
        <v>66</v>
      </c>
      <c r="H13" s="11" t="str">
        <f t="shared" si="1"/>
        <v>France</v>
      </c>
      <c r="I13" s="11" t="s">
        <v>4257</v>
      </c>
      <c r="L13" s="110" t="s">
        <v>4268</v>
      </c>
      <c r="M13" s="11" t="s">
        <v>248</v>
      </c>
      <c r="N13" s="111" t="s">
        <v>248</v>
      </c>
    </row>
    <row r="14" spans="2:14">
      <c r="B14" s="55" t="s">
        <v>644</v>
      </c>
      <c r="C14" s="55" t="s">
        <v>56</v>
      </c>
      <c r="D14" s="55" t="s">
        <v>57</v>
      </c>
      <c r="E14" s="54" t="str">
        <f t="shared" si="0"/>
        <v>Específico</v>
      </c>
      <c r="G14" s="11" t="s">
        <v>67</v>
      </c>
      <c r="H14" s="11" t="str">
        <f t="shared" si="1"/>
        <v>France</v>
      </c>
      <c r="I14" s="11" t="s">
        <v>4257</v>
      </c>
      <c r="L14" s="22" t="s">
        <v>4259</v>
      </c>
      <c r="M14" s="11" t="s">
        <v>239</v>
      </c>
      <c r="N14" s="111" t="s">
        <v>239</v>
      </c>
    </row>
    <row r="15" spans="2:14">
      <c r="B15" s="54" t="s">
        <v>1169</v>
      </c>
      <c r="C15" s="55" t="s">
        <v>58</v>
      </c>
      <c r="D15" s="54" t="s">
        <v>59</v>
      </c>
      <c r="E15" s="54" t="str">
        <f t="shared" si="0"/>
        <v>Específico</v>
      </c>
      <c r="G15" s="11" t="s">
        <v>68</v>
      </c>
      <c r="H15" s="11" t="str">
        <f t="shared" si="1"/>
        <v>Spain</v>
      </c>
      <c r="I15" s="11" t="s">
        <v>4257</v>
      </c>
      <c r="L15" s="110" t="s">
        <v>4261</v>
      </c>
      <c r="M15" s="11" t="s">
        <v>250</v>
      </c>
      <c r="N15" s="111" t="s">
        <v>250</v>
      </c>
    </row>
    <row r="16" spans="2:14">
      <c r="B16" s="55" t="s">
        <v>200</v>
      </c>
      <c r="C16" s="55" t="s">
        <v>200</v>
      </c>
      <c r="D16" s="55" t="s">
        <v>201</v>
      </c>
      <c r="E16" s="54" t="str">
        <f t="shared" si="0"/>
        <v>General</v>
      </c>
      <c r="G16" s="11" t="s">
        <v>70</v>
      </c>
      <c r="H16" s="11" t="str">
        <f t="shared" si="1"/>
        <v>France</v>
      </c>
      <c r="I16" s="11" t="s">
        <v>4257</v>
      </c>
      <c r="L16" s="22" t="s">
        <v>4262</v>
      </c>
      <c r="M16" s="11" t="s">
        <v>238</v>
      </c>
      <c r="N16" s="111" t="s">
        <v>238</v>
      </c>
    </row>
    <row r="17" spans="2:14">
      <c r="B17" s="55" t="s">
        <v>4269</v>
      </c>
      <c r="C17" s="55" t="s">
        <v>4269</v>
      </c>
      <c r="D17" s="55" t="s">
        <v>87</v>
      </c>
      <c r="E17" s="54" t="str">
        <f t="shared" si="0"/>
        <v>General</v>
      </c>
      <c r="G17" s="11" t="s">
        <v>71</v>
      </c>
      <c r="H17" s="11" t="str">
        <f t="shared" si="1"/>
        <v>France</v>
      </c>
      <c r="I17" s="11" t="s">
        <v>4257</v>
      </c>
      <c r="L17" s="110" t="s">
        <v>4258</v>
      </c>
      <c r="M17" s="11" t="s">
        <v>237</v>
      </c>
      <c r="N17" s="111" t="s">
        <v>237</v>
      </c>
    </row>
    <row r="18" spans="2:14">
      <c r="B18" s="54" t="s">
        <v>4270</v>
      </c>
      <c r="C18" s="55" t="s">
        <v>4270</v>
      </c>
      <c r="D18" s="54" t="s">
        <v>4271</v>
      </c>
      <c r="E18" s="54" t="str">
        <f t="shared" si="0"/>
        <v>General</v>
      </c>
      <c r="G18" s="11" t="s">
        <v>72</v>
      </c>
      <c r="H18" s="11" t="str">
        <f t="shared" si="1"/>
        <v>France</v>
      </c>
      <c r="I18" s="11" t="s">
        <v>4257</v>
      </c>
      <c r="L18" s="22" t="s">
        <v>4258</v>
      </c>
      <c r="M18" s="11" t="s">
        <v>4272</v>
      </c>
      <c r="N18" s="111" t="s">
        <v>237</v>
      </c>
    </row>
    <row r="19" spans="2:14">
      <c r="B19" s="55" t="s">
        <v>64</v>
      </c>
      <c r="C19" s="55" t="s">
        <v>64</v>
      </c>
      <c r="D19" s="55" t="s">
        <v>65</v>
      </c>
      <c r="E19" s="54" t="str">
        <f t="shared" si="0"/>
        <v>Específico</v>
      </c>
      <c r="G19" s="11" t="s">
        <v>73</v>
      </c>
      <c r="H19" s="11" t="str">
        <f>_xlfn.XLOOKUP(G19,$C$4:$C$130,$D$4:$D$130,"NO ESTÁ")</f>
        <v>Canada</v>
      </c>
      <c r="I19" s="11" t="s">
        <v>4257</v>
      </c>
      <c r="L19" s="110" t="s">
        <v>4261</v>
      </c>
      <c r="M19" s="11" t="s">
        <v>236</v>
      </c>
      <c r="N19" s="111" t="s">
        <v>236</v>
      </c>
    </row>
    <row r="20" spans="2:14">
      <c r="B20" s="54" t="s">
        <v>441</v>
      </c>
      <c r="C20" s="55" t="s">
        <v>62</v>
      </c>
      <c r="D20" s="54" t="s">
        <v>63</v>
      </c>
      <c r="E20" s="54" t="str">
        <f t="shared" si="0"/>
        <v>Específico</v>
      </c>
      <c r="G20" s="11" t="s">
        <v>75</v>
      </c>
      <c r="H20" s="11" t="str">
        <f t="shared" si="1"/>
        <v>Germany</v>
      </c>
      <c r="I20" s="11" t="s">
        <v>4257</v>
      </c>
      <c r="L20" s="22" t="s">
        <v>4265</v>
      </c>
      <c r="M20" s="11" t="s">
        <v>251</v>
      </c>
      <c r="N20" s="111" t="s">
        <v>251</v>
      </c>
    </row>
    <row r="21" spans="2:14">
      <c r="B21" s="55" t="s">
        <v>143</v>
      </c>
      <c r="C21" s="55" t="s">
        <v>143</v>
      </c>
      <c r="D21" s="55" t="s">
        <v>106</v>
      </c>
      <c r="E21" s="54" t="str">
        <f t="shared" si="0"/>
        <v>General</v>
      </c>
      <c r="G21" s="46" t="s">
        <v>4273</v>
      </c>
      <c r="H21" s="46" t="str">
        <f t="shared" si="1"/>
        <v>NO ESTÁ</v>
      </c>
      <c r="I21" s="11" t="s">
        <v>4257</v>
      </c>
      <c r="L21" s="110" t="s">
        <v>4258</v>
      </c>
      <c r="M21" s="11" t="s">
        <v>252</v>
      </c>
      <c r="N21" s="111" t="s">
        <v>252</v>
      </c>
    </row>
    <row r="22" spans="2:14">
      <c r="B22" s="55" t="s">
        <v>144</v>
      </c>
      <c r="C22" s="55" t="s">
        <v>144</v>
      </c>
      <c r="D22" s="55" t="s">
        <v>57</v>
      </c>
      <c r="E22" s="54" t="str">
        <f t="shared" si="0"/>
        <v>General</v>
      </c>
      <c r="G22" s="11" t="s">
        <v>77</v>
      </c>
      <c r="H22" s="11" t="str">
        <f t="shared" si="1"/>
        <v>Brazil</v>
      </c>
      <c r="I22" s="11" t="s">
        <v>4257</v>
      </c>
      <c r="L22" s="22" t="s">
        <v>4274</v>
      </c>
      <c r="M22" s="11" t="s">
        <v>240</v>
      </c>
      <c r="N22" s="111" t="s">
        <v>240</v>
      </c>
    </row>
    <row r="23" spans="2:14" ht="15.75" thickBot="1">
      <c r="B23" s="55" t="s">
        <v>4275</v>
      </c>
      <c r="C23" s="55" t="s">
        <v>4275</v>
      </c>
      <c r="D23" s="55" t="s">
        <v>57</v>
      </c>
      <c r="E23" s="54" t="str">
        <f t="shared" si="0"/>
        <v>General</v>
      </c>
      <c r="G23" s="11" t="s">
        <v>79</v>
      </c>
      <c r="H23" s="11" t="str">
        <f t="shared" si="1"/>
        <v>France</v>
      </c>
      <c r="I23" s="11" t="s">
        <v>4257</v>
      </c>
      <c r="L23" s="112" t="s">
        <v>4276</v>
      </c>
      <c r="M23" s="113" t="s">
        <v>253</v>
      </c>
      <c r="N23" s="114" t="s">
        <v>253</v>
      </c>
    </row>
    <row r="24" spans="2:14">
      <c r="B24" s="55" t="s">
        <v>66</v>
      </c>
      <c r="C24" s="55" t="s">
        <v>66</v>
      </c>
      <c r="D24" s="55" t="s">
        <v>57</v>
      </c>
      <c r="E24" s="54" t="str">
        <f t="shared" si="0"/>
        <v>Específico</v>
      </c>
      <c r="G24" s="11" t="s">
        <v>80</v>
      </c>
      <c r="H24" s="11" t="str">
        <f t="shared" si="1"/>
        <v>Switzerland</v>
      </c>
      <c r="I24" s="11" t="s">
        <v>4257</v>
      </c>
    </row>
    <row r="25" spans="2:14">
      <c r="B25" s="54" t="s">
        <v>1400</v>
      </c>
      <c r="C25" s="55" t="s">
        <v>67</v>
      </c>
      <c r="D25" s="54" t="s">
        <v>57</v>
      </c>
      <c r="E25" s="54" t="str">
        <f t="shared" si="0"/>
        <v>Específico</v>
      </c>
      <c r="G25" s="11" t="s">
        <v>82</v>
      </c>
      <c r="H25" s="11" t="str">
        <f t="shared" si="1"/>
        <v>Canada</v>
      </c>
      <c r="I25" s="11" t="s">
        <v>4257</v>
      </c>
    </row>
    <row r="26" spans="2:14">
      <c r="B26" s="55" t="s">
        <v>192</v>
      </c>
      <c r="C26" s="55" t="s">
        <v>192</v>
      </c>
      <c r="D26" s="55" t="s">
        <v>95</v>
      </c>
      <c r="E26" s="54" t="str">
        <f t="shared" si="0"/>
        <v>General</v>
      </c>
      <c r="G26" s="11" t="s">
        <v>83</v>
      </c>
      <c r="H26" s="11" t="str">
        <f t="shared" si="1"/>
        <v>France</v>
      </c>
      <c r="I26" s="11" t="s">
        <v>4257</v>
      </c>
    </row>
    <row r="27" spans="2:14">
      <c r="B27" s="55" t="s">
        <v>320</v>
      </c>
      <c r="C27" s="55" t="s">
        <v>68</v>
      </c>
      <c r="D27" s="55" t="s">
        <v>69</v>
      </c>
      <c r="E27" s="54" t="str">
        <f t="shared" si="0"/>
        <v>Específico</v>
      </c>
      <c r="G27" s="11" t="s">
        <v>84</v>
      </c>
      <c r="H27" s="11" t="str">
        <f t="shared" si="1"/>
        <v>France</v>
      </c>
      <c r="I27" s="11" t="s">
        <v>4257</v>
      </c>
    </row>
    <row r="28" spans="2:14">
      <c r="B28" s="55" t="s">
        <v>419</v>
      </c>
      <c r="C28" s="55" t="s">
        <v>71</v>
      </c>
      <c r="D28" s="55" t="s">
        <v>57</v>
      </c>
      <c r="E28" s="54" t="str">
        <f t="shared" si="0"/>
        <v>Específico</v>
      </c>
      <c r="G28" s="11" t="s">
        <v>85</v>
      </c>
      <c r="H28" s="11" t="str">
        <f t="shared" si="1"/>
        <v>Spain</v>
      </c>
      <c r="I28" s="11" t="s">
        <v>4257</v>
      </c>
    </row>
    <row r="29" spans="2:14">
      <c r="B29" s="55" t="s">
        <v>329</v>
      </c>
      <c r="C29" s="55" t="s">
        <v>72</v>
      </c>
      <c r="D29" s="55" t="s">
        <v>57</v>
      </c>
      <c r="E29" s="54" t="str">
        <f t="shared" si="0"/>
        <v>Específico</v>
      </c>
      <c r="G29" s="46" t="s">
        <v>127</v>
      </c>
      <c r="H29" s="46" t="str">
        <f t="shared" si="1"/>
        <v>NO ESTÁ</v>
      </c>
      <c r="I29" s="11" t="s">
        <v>4257</v>
      </c>
    </row>
    <row r="30" spans="2:14">
      <c r="B30" s="54" t="s">
        <v>414</v>
      </c>
      <c r="C30" s="55" t="s">
        <v>73</v>
      </c>
      <c r="D30" s="54" t="s">
        <v>74</v>
      </c>
      <c r="E30" s="54" t="str">
        <f t="shared" si="0"/>
        <v>Específico</v>
      </c>
      <c r="G30" s="11" t="s">
        <v>86</v>
      </c>
      <c r="H30" s="11" t="str">
        <f t="shared" si="1"/>
        <v>Mexico</v>
      </c>
      <c r="I30" s="11" t="s">
        <v>4257</v>
      </c>
    </row>
    <row r="31" spans="2:14">
      <c r="B31" s="55" t="s">
        <v>145</v>
      </c>
      <c r="C31" s="55" t="s">
        <v>145</v>
      </c>
      <c r="D31" s="55" t="s">
        <v>81</v>
      </c>
      <c r="E31" s="54" t="str">
        <f t="shared" si="0"/>
        <v>General</v>
      </c>
      <c r="G31" s="11" t="s">
        <v>88</v>
      </c>
      <c r="H31" s="11" t="str">
        <f t="shared" si="1"/>
        <v>Mexico</v>
      </c>
      <c r="I31" s="11" t="s">
        <v>4257</v>
      </c>
    </row>
    <row r="32" spans="2:14">
      <c r="B32" s="55" t="s">
        <v>393</v>
      </c>
      <c r="C32" s="55" t="s">
        <v>75</v>
      </c>
      <c r="D32" s="55" t="s">
        <v>76</v>
      </c>
      <c r="E32" s="54" t="str">
        <f t="shared" si="0"/>
        <v>Específico</v>
      </c>
      <c r="G32" s="11" t="s">
        <v>89</v>
      </c>
      <c r="H32" s="11" t="str">
        <f t="shared" si="1"/>
        <v>Sweden</v>
      </c>
      <c r="I32" s="11" t="s">
        <v>4257</v>
      </c>
    </row>
    <row r="33" spans="2:9">
      <c r="B33" s="54" t="s">
        <v>4277</v>
      </c>
      <c r="C33" s="55" t="s">
        <v>4277</v>
      </c>
      <c r="D33" s="54" t="s">
        <v>76</v>
      </c>
      <c r="E33" s="54" t="str">
        <f t="shared" si="0"/>
        <v>General</v>
      </c>
      <c r="G33" s="11" t="s">
        <v>91</v>
      </c>
      <c r="H33" s="11" t="str">
        <f t="shared" si="1"/>
        <v>Germany</v>
      </c>
      <c r="I33" s="11" t="s">
        <v>4257</v>
      </c>
    </row>
    <row r="34" spans="2:9">
      <c r="B34" s="54" t="s">
        <v>77</v>
      </c>
      <c r="C34" s="55" t="s">
        <v>77</v>
      </c>
      <c r="D34" s="54" t="s">
        <v>78</v>
      </c>
      <c r="E34" s="54" t="str">
        <f t="shared" si="0"/>
        <v>Específico</v>
      </c>
      <c r="G34" s="11" t="s">
        <v>92</v>
      </c>
      <c r="H34" s="11" t="str">
        <f t="shared" si="1"/>
        <v>Türkiye</v>
      </c>
      <c r="I34" s="11" t="s">
        <v>4257</v>
      </c>
    </row>
    <row r="35" spans="2:9">
      <c r="B35" s="54" t="s">
        <v>650</v>
      </c>
      <c r="C35" s="55" t="s">
        <v>79</v>
      </c>
      <c r="D35" s="54" t="s">
        <v>57</v>
      </c>
      <c r="E35" s="54" t="str">
        <f t="shared" si="0"/>
        <v>Específico</v>
      </c>
      <c r="G35" s="46" t="s">
        <v>129</v>
      </c>
      <c r="H35" s="46" t="str">
        <f t="shared" si="1"/>
        <v>NO ESTÁ</v>
      </c>
      <c r="I35" s="11" t="s">
        <v>4257</v>
      </c>
    </row>
    <row r="36" spans="2:9">
      <c r="B36" s="54" t="s">
        <v>1408</v>
      </c>
      <c r="C36" s="55" t="s">
        <v>79</v>
      </c>
      <c r="D36" s="54" t="s">
        <v>57</v>
      </c>
      <c r="E36" s="54" t="str">
        <f t="shared" si="0"/>
        <v>Específico</v>
      </c>
      <c r="G36" s="11" t="s">
        <v>131</v>
      </c>
      <c r="H36" s="11" t="str">
        <f t="shared" si="1"/>
        <v>United Kingdom</v>
      </c>
      <c r="I36" s="11" t="s">
        <v>4257</v>
      </c>
    </row>
    <row r="37" spans="2:9">
      <c r="B37" s="54" t="s">
        <v>315</v>
      </c>
      <c r="C37" s="55" t="s">
        <v>80</v>
      </c>
      <c r="D37" s="54" t="s">
        <v>81</v>
      </c>
      <c r="E37" s="54" t="str">
        <f t="shared" si="0"/>
        <v>Específico</v>
      </c>
      <c r="G37" s="11" t="s">
        <v>94</v>
      </c>
      <c r="H37" s="11" t="str">
        <f t="shared" si="1"/>
        <v>Netherlands</v>
      </c>
      <c r="I37" s="11" t="s">
        <v>4257</v>
      </c>
    </row>
    <row r="38" spans="2:9">
      <c r="B38" s="55" t="s">
        <v>785</v>
      </c>
      <c r="C38" s="55" t="s">
        <v>80</v>
      </c>
      <c r="D38" s="55" t="s">
        <v>81</v>
      </c>
      <c r="E38" s="54" t="str">
        <f t="shared" si="0"/>
        <v>Específico</v>
      </c>
      <c r="G38" s="11" t="s">
        <v>96</v>
      </c>
      <c r="H38" s="11" t="str">
        <f t="shared" si="1"/>
        <v>Canada</v>
      </c>
      <c r="I38" s="11" t="s">
        <v>4257</v>
      </c>
    </row>
    <row r="39" spans="2:9">
      <c r="B39" s="55" t="s">
        <v>366</v>
      </c>
      <c r="C39" s="55" t="s">
        <v>82</v>
      </c>
      <c r="D39" s="55" t="s">
        <v>74</v>
      </c>
      <c r="E39" s="54" t="str">
        <f t="shared" si="0"/>
        <v>Específico</v>
      </c>
      <c r="G39" s="11" t="s">
        <v>97</v>
      </c>
      <c r="H39" s="11" t="str">
        <f t="shared" si="1"/>
        <v>Taiwan</v>
      </c>
      <c r="I39" s="11" t="s">
        <v>4257</v>
      </c>
    </row>
    <row r="40" spans="2:9">
      <c r="B40" s="55" t="s">
        <v>1485</v>
      </c>
      <c r="C40" s="55" t="s">
        <v>83</v>
      </c>
      <c r="D40" s="55" t="s">
        <v>57</v>
      </c>
      <c r="E40" s="54" t="str">
        <f t="shared" si="0"/>
        <v>Específico</v>
      </c>
      <c r="G40" s="11" t="s">
        <v>99</v>
      </c>
      <c r="H40" s="11" t="str">
        <f t="shared" si="1"/>
        <v>Portugal</v>
      </c>
      <c r="I40" s="11" t="s">
        <v>4257</v>
      </c>
    </row>
    <row r="41" spans="2:9">
      <c r="B41" s="55" t="s">
        <v>559</v>
      </c>
      <c r="C41" s="55" t="s">
        <v>84</v>
      </c>
      <c r="D41" s="55" t="s">
        <v>57</v>
      </c>
      <c r="E41" s="54" t="str">
        <f t="shared" si="0"/>
        <v>Específico</v>
      </c>
      <c r="G41" s="11" t="s">
        <v>100</v>
      </c>
      <c r="H41" s="11" t="str">
        <f t="shared" si="1"/>
        <v>Japan</v>
      </c>
      <c r="I41" s="11" t="s">
        <v>4257</v>
      </c>
    </row>
    <row r="42" spans="2:9">
      <c r="B42" s="54" t="s">
        <v>639</v>
      </c>
      <c r="C42" s="55" t="s">
        <v>85</v>
      </c>
      <c r="D42" s="54" t="s">
        <v>69</v>
      </c>
      <c r="E42" s="54" t="str">
        <f t="shared" si="0"/>
        <v>Específico</v>
      </c>
      <c r="G42" s="11" t="s">
        <v>102</v>
      </c>
      <c r="H42" s="11" t="str">
        <f t="shared" si="1"/>
        <v>Italy</v>
      </c>
      <c r="I42" s="11" t="s">
        <v>4257</v>
      </c>
    </row>
    <row r="43" spans="2:9">
      <c r="B43" s="55" t="s">
        <v>4278</v>
      </c>
      <c r="C43" s="55" t="s">
        <v>4278</v>
      </c>
      <c r="D43" s="55" t="s">
        <v>57</v>
      </c>
      <c r="E43" s="54" t="str">
        <f t="shared" si="0"/>
        <v>General</v>
      </c>
      <c r="G43" s="11" t="s">
        <v>104</v>
      </c>
      <c r="H43" s="11" t="str">
        <f t="shared" si="1"/>
        <v>Canada</v>
      </c>
      <c r="I43" s="11" t="s">
        <v>4257</v>
      </c>
    </row>
    <row r="44" spans="2:9">
      <c r="B44" s="55" t="s">
        <v>146</v>
      </c>
      <c r="C44" s="55" t="s">
        <v>146</v>
      </c>
      <c r="D44" s="55" t="s">
        <v>57</v>
      </c>
      <c r="E44" s="54" t="str">
        <f t="shared" si="0"/>
        <v>General</v>
      </c>
      <c r="G44" s="11" t="s">
        <v>105</v>
      </c>
      <c r="H44" s="11" t="str">
        <f t="shared" si="1"/>
        <v>Australia</v>
      </c>
      <c r="I44" s="11" t="s">
        <v>4257</v>
      </c>
    </row>
    <row r="45" spans="2:9">
      <c r="B45" s="54" t="s">
        <v>4279</v>
      </c>
      <c r="C45" s="55" t="s">
        <v>4279</v>
      </c>
      <c r="D45" s="54" t="s">
        <v>57</v>
      </c>
      <c r="E45" s="54" t="str">
        <f t="shared" si="0"/>
        <v>General</v>
      </c>
      <c r="G45" s="46" t="s">
        <v>132</v>
      </c>
      <c r="H45" s="46" t="str">
        <f t="shared" si="1"/>
        <v>NO ESTÁ</v>
      </c>
      <c r="I45" s="11" t="s">
        <v>4257</v>
      </c>
    </row>
    <row r="46" spans="2:9">
      <c r="B46" s="54" t="s">
        <v>361</v>
      </c>
      <c r="C46" s="55" t="s">
        <v>86</v>
      </c>
      <c r="D46" s="54" t="s">
        <v>87</v>
      </c>
      <c r="E46" s="54" t="str">
        <f t="shared" si="0"/>
        <v>Específico</v>
      </c>
      <c r="G46" s="46" t="s">
        <v>134</v>
      </c>
      <c r="H46" s="46" t="str">
        <f t="shared" si="1"/>
        <v>NO ESTÁ</v>
      </c>
      <c r="I46" s="11" t="s">
        <v>4257</v>
      </c>
    </row>
    <row r="47" spans="2:9">
      <c r="B47" s="54" t="s">
        <v>812</v>
      </c>
      <c r="C47" s="55" t="s">
        <v>88</v>
      </c>
      <c r="D47" s="54" t="s">
        <v>87</v>
      </c>
      <c r="E47" s="54" t="str">
        <f t="shared" si="0"/>
        <v>Específico</v>
      </c>
      <c r="G47" s="11" t="s">
        <v>107</v>
      </c>
      <c r="H47" s="11" t="str">
        <f t="shared" si="1"/>
        <v>France</v>
      </c>
      <c r="I47" s="11" t="s">
        <v>4257</v>
      </c>
    </row>
    <row r="48" spans="2:9">
      <c r="B48" s="54" t="s">
        <v>923</v>
      </c>
      <c r="C48" s="55" t="s">
        <v>147</v>
      </c>
      <c r="D48" s="54" t="s">
        <v>76</v>
      </c>
      <c r="E48" s="54" t="str">
        <f t="shared" si="0"/>
        <v>General</v>
      </c>
      <c r="G48" s="11" t="s">
        <v>108</v>
      </c>
      <c r="H48" s="11" t="str">
        <f t="shared" si="1"/>
        <v>Chile</v>
      </c>
      <c r="I48" s="11" t="s">
        <v>4257</v>
      </c>
    </row>
    <row r="49" spans="2:9">
      <c r="B49" s="55" t="s">
        <v>620</v>
      </c>
      <c r="C49" s="55" t="s">
        <v>89</v>
      </c>
      <c r="D49" s="55" t="s">
        <v>90</v>
      </c>
      <c r="E49" s="54" t="str">
        <f t="shared" si="0"/>
        <v>Específico</v>
      </c>
      <c r="G49" s="11" t="s">
        <v>110</v>
      </c>
      <c r="H49" s="11" t="str">
        <f t="shared" si="1"/>
        <v>Netherlands</v>
      </c>
      <c r="I49" s="11" t="s">
        <v>4257</v>
      </c>
    </row>
    <row r="50" spans="2:9">
      <c r="B50" s="54" t="s">
        <v>3055</v>
      </c>
      <c r="C50" s="55" t="s">
        <v>89</v>
      </c>
      <c r="D50" s="54" t="s">
        <v>90</v>
      </c>
      <c r="E50" s="54" t="str">
        <f t="shared" si="0"/>
        <v>Específico</v>
      </c>
      <c r="G50" s="11" t="s">
        <v>111</v>
      </c>
      <c r="H50" s="11" t="str">
        <f t="shared" si="1"/>
        <v>Peru</v>
      </c>
      <c r="I50" s="11" t="s">
        <v>4257</v>
      </c>
    </row>
    <row r="51" spans="2:9">
      <c r="B51" s="54" t="s">
        <v>92</v>
      </c>
      <c r="C51" s="55" t="s">
        <v>92</v>
      </c>
      <c r="D51" s="54" t="s">
        <v>93</v>
      </c>
      <c r="E51" s="54" t="str">
        <f t="shared" si="0"/>
        <v>Específico</v>
      </c>
      <c r="G51" s="46" t="s">
        <v>4280</v>
      </c>
      <c r="H51" s="46" t="str">
        <f t="shared" si="1"/>
        <v>NO ESTÁ</v>
      </c>
      <c r="I51" s="11" t="s">
        <v>4257</v>
      </c>
    </row>
    <row r="52" spans="2:9">
      <c r="B52" s="54" t="s">
        <v>351</v>
      </c>
      <c r="C52" s="55" t="s">
        <v>91</v>
      </c>
      <c r="D52" s="54" t="s">
        <v>76</v>
      </c>
      <c r="E52" s="54" t="str">
        <f t="shared" si="0"/>
        <v>Específico</v>
      </c>
      <c r="G52" s="11" t="s">
        <v>113</v>
      </c>
      <c r="H52" s="11" t="str">
        <f t="shared" si="1"/>
        <v>Italy</v>
      </c>
      <c r="I52" s="11" t="s">
        <v>4257</v>
      </c>
    </row>
    <row r="53" spans="2:9">
      <c r="B53" s="55" t="s">
        <v>4281</v>
      </c>
      <c r="C53" s="55" t="s">
        <v>4281</v>
      </c>
      <c r="D53" s="55" t="s">
        <v>90</v>
      </c>
      <c r="E53" s="54" t="str">
        <f t="shared" si="0"/>
        <v>General</v>
      </c>
      <c r="G53" s="11" t="s">
        <v>114</v>
      </c>
      <c r="H53" s="11" t="str">
        <f t="shared" si="1"/>
        <v>Netherlands</v>
      </c>
      <c r="I53" s="11" t="s">
        <v>4257</v>
      </c>
    </row>
    <row r="54" spans="2:9">
      <c r="B54" s="54" t="s">
        <v>94</v>
      </c>
      <c r="C54" s="55" t="s">
        <v>94</v>
      </c>
      <c r="D54" s="54" t="s">
        <v>95</v>
      </c>
      <c r="E54" s="54" t="str">
        <f t="shared" si="0"/>
        <v>Específico</v>
      </c>
      <c r="G54" s="46" t="s">
        <v>136</v>
      </c>
      <c r="H54" s="46" t="str">
        <f t="shared" si="1"/>
        <v>NO ESTÁ</v>
      </c>
      <c r="I54" s="11" t="s">
        <v>4257</v>
      </c>
    </row>
    <row r="55" spans="2:9">
      <c r="B55" s="55" t="s">
        <v>96</v>
      </c>
      <c r="C55" s="55" t="s">
        <v>96</v>
      </c>
      <c r="D55" s="55" t="s">
        <v>74</v>
      </c>
      <c r="E55" s="54" t="str">
        <f t="shared" si="0"/>
        <v>Específico</v>
      </c>
      <c r="G55" s="11" t="s">
        <v>115</v>
      </c>
      <c r="H55" s="11" t="str">
        <f t="shared" si="1"/>
        <v>United Kingdom</v>
      </c>
      <c r="I55" s="11" t="s">
        <v>4257</v>
      </c>
    </row>
    <row r="56" spans="2:9">
      <c r="B56" s="54" t="s">
        <v>567</v>
      </c>
      <c r="C56" s="55" t="s">
        <v>100</v>
      </c>
      <c r="D56" s="54" t="s">
        <v>101</v>
      </c>
      <c r="E56" s="54" t="str">
        <f t="shared" si="0"/>
        <v>Específico</v>
      </c>
      <c r="G56" s="11" t="s">
        <v>116</v>
      </c>
      <c r="H56" s="11" t="str">
        <f t="shared" si="1"/>
        <v>United Kingdom</v>
      </c>
      <c r="I56" s="11" t="s">
        <v>4257</v>
      </c>
    </row>
    <row r="57" spans="2:9">
      <c r="B57" s="55" t="s">
        <v>1544</v>
      </c>
      <c r="C57" s="55" t="s">
        <v>100</v>
      </c>
      <c r="D57" s="55" t="s">
        <v>101</v>
      </c>
      <c r="E57" s="54" t="str">
        <f t="shared" si="0"/>
        <v>Específico</v>
      </c>
      <c r="G57" s="46" t="s">
        <v>137</v>
      </c>
      <c r="H57" s="46" t="str">
        <f t="shared" si="1"/>
        <v>NO ESTÁ</v>
      </c>
      <c r="I57" s="11" t="s">
        <v>4257</v>
      </c>
    </row>
    <row r="58" spans="2:9">
      <c r="B58" s="54" t="s">
        <v>1548</v>
      </c>
      <c r="C58" s="55" t="s">
        <v>97</v>
      </c>
      <c r="D58" s="54" t="s">
        <v>98</v>
      </c>
      <c r="E58" s="54" t="str">
        <f t="shared" si="0"/>
        <v>Específico</v>
      </c>
      <c r="G58" s="11" t="s">
        <v>117</v>
      </c>
      <c r="H58" s="11" t="str">
        <f t="shared" si="1"/>
        <v>Slovenia</v>
      </c>
      <c r="I58" s="11" t="s">
        <v>4257</v>
      </c>
    </row>
    <row r="59" spans="2:9">
      <c r="B59" s="54" t="s">
        <v>286</v>
      </c>
      <c r="C59" s="55" t="s">
        <v>70</v>
      </c>
      <c r="D59" s="54" t="s">
        <v>57</v>
      </c>
      <c r="E59" s="54" t="str">
        <f t="shared" si="0"/>
        <v>Específico</v>
      </c>
      <c r="G59" s="11" t="s">
        <v>119</v>
      </c>
      <c r="H59" s="11" t="str">
        <f t="shared" si="1"/>
        <v>Germany</v>
      </c>
      <c r="I59" s="11" t="s">
        <v>4257</v>
      </c>
    </row>
    <row r="60" spans="2:9">
      <c r="B60" s="54" t="s">
        <v>202</v>
      </c>
      <c r="C60" s="55" t="s">
        <v>202</v>
      </c>
      <c r="D60" s="54" t="s">
        <v>59</v>
      </c>
      <c r="E60" s="54" t="str">
        <f t="shared" si="0"/>
        <v>General</v>
      </c>
      <c r="G60" s="11" t="s">
        <v>120</v>
      </c>
      <c r="H60" s="11" t="str">
        <f t="shared" si="1"/>
        <v>Australia</v>
      </c>
      <c r="I60" s="11" t="s">
        <v>4257</v>
      </c>
    </row>
    <row r="61" spans="2:9">
      <c r="B61" s="54" t="s">
        <v>148</v>
      </c>
      <c r="C61" s="55" t="s">
        <v>148</v>
      </c>
      <c r="D61" s="54" t="s">
        <v>55</v>
      </c>
      <c r="E61" s="54" t="str">
        <f t="shared" si="0"/>
        <v>General</v>
      </c>
      <c r="G61" s="46" t="s">
        <v>4282</v>
      </c>
      <c r="H61" s="46" t="str">
        <f t="shared" si="1"/>
        <v>NO ESTÁ</v>
      </c>
      <c r="I61" s="11" t="s">
        <v>4257</v>
      </c>
    </row>
    <row r="62" spans="2:9">
      <c r="B62" s="54" t="s">
        <v>455</v>
      </c>
      <c r="C62" s="55" t="s">
        <v>99</v>
      </c>
      <c r="D62" s="54" t="s">
        <v>61</v>
      </c>
      <c r="E62" s="54" t="str">
        <f t="shared" si="0"/>
        <v>Específico</v>
      </c>
      <c r="G62" s="11" t="s">
        <v>121</v>
      </c>
      <c r="H62" s="11" t="str">
        <f t="shared" si="1"/>
        <v>Switzerland</v>
      </c>
      <c r="I62" s="11" t="s">
        <v>4257</v>
      </c>
    </row>
    <row r="63" spans="2:9">
      <c r="B63" s="54" t="s">
        <v>102</v>
      </c>
      <c r="C63" s="55" t="s">
        <v>102</v>
      </c>
      <c r="D63" s="54" t="s">
        <v>103</v>
      </c>
      <c r="E63" s="54" t="str">
        <f t="shared" si="0"/>
        <v>Específico</v>
      </c>
      <c r="G63" s="46" t="s">
        <v>4283</v>
      </c>
      <c r="H63" s="46" t="str">
        <f t="shared" si="1"/>
        <v>NO ESTÁ</v>
      </c>
      <c r="I63" s="11" t="s">
        <v>4257</v>
      </c>
    </row>
    <row r="64" spans="2:9">
      <c r="B64" s="55" t="s">
        <v>149</v>
      </c>
      <c r="C64" s="55" t="s">
        <v>149</v>
      </c>
      <c r="D64" s="55" t="s">
        <v>109</v>
      </c>
      <c r="E64" s="54" t="str">
        <f t="shared" si="0"/>
        <v>General</v>
      </c>
      <c r="G64" s="46" t="s">
        <v>138</v>
      </c>
      <c r="H64" s="46" t="str">
        <f t="shared" si="1"/>
        <v>NO ESTÁ</v>
      </c>
      <c r="I64" s="11" t="s">
        <v>4257</v>
      </c>
    </row>
    <row r="65" spans="2:9">
      <c r="B65" s="55" t="s">
        <v>150</v>
      </c>
      <c r="C65" s="55" t="s">
        <v>150</v>
      </c>
      <c r="D65" s="55" t="s">
        <v>112</v>
      </c>
      <c r="E65" s="54" t="str">
        <f t="shared" si="0"/>
        <v>General</v>
      </c>
      <c r="G65" s="11" t="s">
        <v>122</v>
      </c>
      <c r="H65" s="11" t="s">
        <v>123</v>
      </c>
      <c r="I65" s="11" t="s">
        <v>4257</v>
      </c>
    </row>
    <row r="66" spans="2:9">
      <c r="B66" s="55" t="s">
        <v>151</v>
      </c>
      <c r="C66" s="55" t="s">
        <v>151</v>
      </c>
      <c r="D66" s="55" t="s">
        <v>78</v>
      </c>
      <c r="E66" s="54" t="str">
        <f t="shared" si="0"/>
        <v>General</v>
      </c>
      <c r="G66" s="11" t="s">
        <v>124</v>
      </c>
      <c r="H66" s="11" t="s">
        <v>51</v>
      </c>
      <c r="I66" s="11" t="s">
        <v>4257</v>
      </c>
    </row>
    <row r="67" spans="2:9">
      <c r="B67" s="55" t="s">
        <v>983</v>
      </c>
      <c r="C67" s="55" t="s">
        <v>104</v>
      </c>
      <c r="D67" s="55" t="s">
        <v>74</v>
      </c>
      <c r="E67" s="54" t="str">
        <f t="shared" si="0"/>
        <v>Específico</v>
      </c>
    </row>
    <row r="68" spans="2:9">
      <c r="B68" s="55" t="s">
        <v>105</v>
      </c>
      <c r="C68" s="55" t="s">
        <v>105</v>
      </c>
      <c r="D68" s="55" t="s">
        <v>106</v>
      </c>
      <c r="E68" s="54" t="str">
        <f t="shared" si="0"/>
        <v>Específico</v>
      </c>
    </row>
    <row r="69" spans="2:9">
      <c r="B69" s="55" t="s">
        <v>428</v>
      </c>
      <c r="C69" s="55" t="s">
        <v>152</v>
      </c>
      <c r="D69" s="55" t="s">
        <v>63</v>
      </c>
      <c r="E69" s="54" t="str">
        <f t="shared" ref="E69:E132" si="2">_xlfn.XLOOKUP(C69,$G$4:$G$66,$I$4:$I$66,"General")</f>
        <v>General</v>
      </c>
    </row>
    <row r="70" spans="2:9">
      <c r="B70" s="55" t="s">
        <v>153</v>
      </c>
      <c r="C70" s="55" t="s">
        <v>153</v>
      </c>
      <c r="D70" s="55" t="s">
        <v>51</v>
      </c>
      <c r="E70" s="54" t="str">
        <f t="shared" si="2"/>
        <v>General</v>
      </c>
    </row>
    <row r="71" spans="2:9">
      <c r="B71" s="54" t="s">
        <v>203</v>
      </c>
      <c r="C71" s="55" t="s">
        <v>203</v>
      </c>
      <c r="D71" s="54" t="s">
        <v>90</v>
      </c>
      <c r="E71" s="54" t="str">
        <f t="shared" si="2"/>
        <v>General</v>
      </c>
    </row>
    <row r="72" spans="2:9">
      <c r="B72" s="54" t="s">
        <v>154</v>
      </c>
      <c r="C72" s="55" t="s">
        <v>154</v>
      </c>
      <c r="D72" s="54" t="s">
        <v>76</v>
      </c>
      <c r="E72" s="54" t="str">
        <f t="shared" si="2"/>
        <v>General</v>
      </c>
    </row>
    <row r="73" spans="2:9">
      <c r="B73" s="55" t="s">
        <v>155</v>
      </c>
      <c r="C73" s="55" t="s">
        <v>155</v>
      </c>
      <c r="D73" s="55" t="s">
        <v>76</v>
      </c>
      <c r="E73" s="54" t="str">
        <f t="shared" si="2"/>
        <v>General</v>
      </c>
    </row>
    <row r="74" spans="2:9">
      <c r="B74" s="55" t="s">
        <v>4284</v>
      </c>
      <c r="C74" s="55" t="s">
        <v>4284</v>
      </c>
      <c r="D74" s="55" t="s">
        <v>95</v>
      </c>
      <c r="E74" s="54" t="str">
        <f t="shared" si="2"/>
        <v>General</v>
      </c>
    </row>
    <row r="75" spans="2:9">
      <c r="B75" s="55" t="s">
        <v>310</v>
      </c>
      <c r="C75" s="55" t="s">
        <v>107</v>
      </c>
      <c r="D75" s="55" t="s">
        <v>57</v>
      </c>
      <c r="E75" s="54" t="str">
        <f t="shared" si="2"/>
        <v>Específico</v>
      </c>
    </row>
    <row r="76" spans="2:9">
      <c r="B76" s="54" t="s">
        <v>204</v>
      </c>
      <c r="C76" s="55" t="s">
        <v>204</v>
      </c>
      <c r="D76" s="54" t="s">
        <v>109</v>
      </c>
      <c r="E76" s="54" t="str">
        <f t="shared" si="2"/>
        <v>General</v>
      </c>
    </row>
    <row r="77" spans="2:9">
      <c r="B77" s="54" t="s">
        <v>156</v>
      </c>
      <c r="C77" s="55" t="s">
        <v>156</v>
      </c>
      <c r="D77" s="54" t="s">
        <v>69</v>
      </c>
      <c r="E77" s="54" t="str">
        <f t="shared" si="2"/>
        <v>General</v>
      </c>
    </row>
    <row r="78" spans="2:9">
      <c r="B78" s="55" t="s">
        <v>2947</v>
      </c>
      <c r="C78" s="55" t="s">
        <v>157</v>
      </c>
      <c r="D78" s="55" t="s">
        <v>158</v>
      </c>
      <c r="E78" s="54" t="str">
        <f t="shared" si="2"/>
        <v>General</v>
      </c>
    </row>
    <row r="79" spans="2:9">
      <c r="B79" s="55" t="s">
        <v>159</v>
      </c>
      <c r="C79" s="55" t="s">
        <v>159</v>
      </c>
      <c r="D79" s="55" t="s">
        <v>69</v>
      </c>
      <c r="E79" s="54" t="str">
        <f t="shared" si="2"/>
        <v>General</v>
      </c>
    </row>
    <row r="80" spans="2:9">
      <c r="B80" s="55" t="s">
        <v>160</v>
      </c>
      <c r="C80" s="55" t="s">
        <v>160</v>
      </c>
      <c r="D80" s="55" t="s">
        <v>69</v>
      </c>
      <c r="E80" s="54" t="str">
        <f t="shared" si="2"/>
        <v>General</v>
      </c>
    </row>
    <row r="81" spans="2:5">
      <c r="B81" s="55" t="s">
        <v>108</v>
      </c>
      <c r="C81" s="55" t="s">
        <v>108</v>
      </c>
      <c r="D81" s="55" t="s">
        <v>109</v>
      </c>
      <c r="E81" s="54" t="str">
        <f t="shared" si="2"/>
        <v>Específico</v>
      </c>
    </row>
    <row r="82" spans="2:5">
      <c r="B82" s="55" t="s">
        <v>4285</v>
      </c>
      <c r="C82" s="55" t="s">
        <v>4285</v>
      </c>
      <c r="D82" s="55" t="s">
        <v>112</v>
      </c>
      <c r="E82" s="54" t="str">
        <f t="shared" si="2"/>
        <v>General</v>
      </c>
    </row>
    <row r="83" spans="2:5">
      <c r="B83" s="54" t="s">
        <v>161</v>
      </c>
      <c r="C83" s="55" t="s">
        <v>161</v>
      </c>
      <c r="D83" s="54" t="s">
        <v>69</v>
      </c>
      <c r="E83" s="54" t="str">
        <f t="shared" si="2"/>
        <v>General</v>
      </c>
    </row>
    <row r="84" spans="2:5">
      <c r="B84" s="55" t="s">
        <v>4286</v>
      </c>
      <c r="C84" s="55" t="s">
        <v>4286</v>
      </c>
      <c r="D84" s="55" t="s">
        <v>87</v>
      </c>
      <c r="E84" s="54" t="str">
        <f t="shared" si="2"/>
        <v>General</v>
      </c>
    </row>
    <row r="85" spans="2:5">
      <c r="B85" s="54" t="s">
        <v>122</v>
      </c>
      <c r="C85" s="55" t="s">
        <v>122</v>
      </c>
      <c r="D85" s="54" t="s">
        <v>123</v>
      </c>
      <c r="E85" s="54" t="str">
        <f t="shared" si="2"/>
        <v>Específico</v>
      </c>
    </row>
    <row r="86" spans="2:5">
      <c r="B86" s="54" t="s">
        <v>162</v>
      </c>
      <c r="C86" s="55" t="s">
        <v>162</v>
      </c>
      <c r="D86" s="54" t="s">
        <v>109</v>
      </c>
      <c r="E86" s="54" t="str">
        <f t="shared" si="2"/>
        <v>General</v>
      </c>
    </row>
    <row r="87" spans="2:5">
      <c r="B87" s="54" t="s">
        <v>769</v>
      </c>
      <c r="C87" s="55" t="s">
        <v>110</v>
      </c>
      <c r="D87" s="54" t="s">
        <v>95</v>
      </c>
      <c r="E87" s="54" t="str">
        <f t="shared" si="2"/>
        <v>Específico</v>
      </c>
    </row>
    <row r="88" spans="2:5">
      <c r="B88" s="54" t="s">
        <v>1337</v>
      </c>
      <c r="C88" s="55" t="s">
        <v>111</v>
      </c>
      <c r="D88" s="54" t="s">
        <v>112</v>
      </c>
      <c r="E88" s="54" t="str">
        <f t="shared" si="2"/>
        <v>Específico</v>
      </c>
    </row>
    <row r="89" spans="2:5">
      <c r="B89" s="54" t="s">
        <v>945</v>
      </c>
      <c r="C89" s="55" t="s">
        <v>166</v>
      </c>
      <c r="D89" s="54" t="s">
        <v>57</v>
      </c>
      <c r="E89" s="54" t="str">
        <f t="shared" si="2"/>
        <v>General</v>
      </c>
    </row>
    <row r="90" spans="2:5">
      <c r="B90" s="54" t="s">
        <v>2234</v>
      </c>
      <c r="C90" s="55" t="s">
        <v>167</v>
      </c>
      <c r="D90" s="54" t="s">
        <v>87</v>
      </c>
      <c r="E90" s="54" t="str">
        <f t="shared" si="2"/>
        <v>General</v>
      </c>
    </row>
    <row r="91" spans="2:5">
      <c r="B91" s="54" t="s">
        <v>168</v>
      </c>
      <c r="C91" s="55" t="s">
        <v>168</v>
      </c>
      <c r="D91" s="54" t="s">
        <v>112</v>
      </c>
      <c r="E91" s="54" t="str">
        <f t="shared" si="2"/>
        <v>General</v>
      </c>
    </row>
    <row r="92" spans="2:5">
      <c r="B92" s="54" t="s">
        <v>305</v>
      </c>
      <c r="C92" s="55" t="s">
        <v>60</v>
      </c>
      <c r="D92" s="54" t="s">
        <v>61</v>
      </c>
      <c r="E92" s="54" t="str">
        <f t="shared" si="2"/>
        <v>Específico</v>
      </c>
    </row>
    <row r="93" spans="2:5">
      <c r="B93" s="55" t="s">
        <v>4287</v>
      </c>
      <c r="C93" s="55" t="s">
        <v>4287</v>
      </c>
      <c r="D93" s="55" t="s">
        <v>61</v>
      </c>
      <c r="E93" s="54" t="str">
        <f t="shared" si="2"/>
        <v>General</v>
      </c>
    </row>
    <row r="94" spans="2:5">
      <c r="B94" s="54" t="s">
        <v>169</v>
      </c>
      <c r="C94" s="55" t="s">
        <v>169</v>
      </c>
      <c r="D94" s="54" t="s">
        <v>61</v>
      </c>
      <c r="E94" s="54" t="str">
        <f t="shared" si="2"/>
        <v>General</v>
      </c>
    </row>
    <row r="95" spans="2:5">
      <c r="B95" s="54" t="s">
        <v>205</v>
      </c>
      <c r="C95" s="55" t="s">
        <v>205</v>
      </c>
      <c r="D95" s="54" t="s">
        <v>103</v>
      </c>
      <c r="E95" s="54" t="str">
        <f t="shared" si="2"/>
        <v>General</v>
      </c>
    </row>
    <row r="96" spans="2:5">
      <c r="B96" s="55" t="s">
        <v>356</v>
      </c>
      <c r="C96" s="55" t="s">
        <v>113</v>
      </c>
      <c r="D96" s="55" t="s">
        <v>103</v>
      </c>
      <c r="E96" s="54" t="str">
        <f t="shared" si="2"/>
        <v>Específico</v>
      </c>
    </row>
    <row r="97" spans="2:5">
      <c r="B97" s="55" t="s">
        <v>170</v>
      </c>
      <c r="C97" s="55" t="s">
        <v>170</v>
      </c>
      <c r="D97" s="55" t="s">
        <v>103</v>
      </c>
      <c r="E97" s="54" t="str">
        <f t="shared" si="2"/>
        <v>General</v>
      </c>
    </row>
    <row r="98" spans="2:5">
      <c r="B98" s="54" t="s">
        <v>171</v>
      </c>
      <c r="C98" s="55" t="s">
        <v>171</v>
      </c>
      <c r="D98" s="54" t="s">
        <v>103</v>
      </c>
      <c r="E98" s="54" t="str">
        <f t="shared" si="2"/>
        <v>General</v>
      </c>
    </row>
    <row r="99" spans="2:5">
      <c r="B99" s="55" t="s">
        <v>172</v>
      </c>
      <c r="C99" s="55" t="s">
        <v>172</v>
      </c>
      <c r="D99" s="55" t="s">
        <v>103</v>
      </c>
      <c r="E99" s="54" t="str">
        <f t="shared" si="2"/>
        <v>General</v>
      </c>
    </row>
    <row r="100" spans="2:5">
      <c r="B100" s="55" t="s">
        <v>173</v>
      </c>
      <c r="C100" s="55" t="s">
        <v>173</v>
      </c>
      <c r="D100" s="55" t="s">
        <v>103</v>
      </c>
      <c r="E100" s="54" t="str">
        <f t="shared" si="2"/>
        <v>General</v>
      </c>
    </row>
    <row r="101" spans="2:5">
      <c r="B101" s="55" t="s">
        <v>338</v>
      </c>
      <c r="C101" s="55" t="s">
        <v>119</v>
      </c>
      <c r="D101" s="55" t="s">
        <v>76</v>
      </c>
      <c r="E101" s="54" t="str">
        <f t="shared" si="2"/>
        <v>Específico</v>
      </c>
    </row>
    <row r="102" spans="2:5">
      <c r="B102" s="54" t="s">
        <v>174</v>
      </c>
      <c r="C102" s="55" t="s">
        <v>174</v>
      </c>
      <c r="D102" s="54" t="s">
        <v>69</v>
      </c>
      <c r="E102" s="54" t="str">
        <f t="shared" si="2"/>
        <v>General</v>
      </c>
    </row>
    <row r="103" spans="2:5">
      <c r="B103" s="54" t="s">
        <v>2538</v>
      </c>
      <c r="C103" s="55" t="s">
        <v>175</v>
      </c>
      <c r="D103" s="54" t="s">
        <v>69</v>
      </c>
      <c r="E103" s="54" t="str">
        <f t="shared" si="2"/>
        <v>General</v>
      </c>
    </row>
    <row r="104" spans="2:5">
      <c r="B104" s="54" t="s">
        <v>4288</v>
      </c>
      <c r="C104" s="55" t="s">
        <v>4288</v>
      </c>
      <c r="D104" s="54" t="s">
        <v>76</v>
      </c>
      <c r="E104" s="54" t="str">
        <f t="shared" si="2"/>
        <v>General</v>
      </c>
    </row>
    <row r="105" spans="2:5">
      <c r="B105" s="54" t="s">
        <v>4289</v>
      </c>
      <c r="C105" s="55" t="s">
        <v>4289</v>
      </c>
      <c r="D105" s="54" t="s">
        <v>76</v>
      </c>
      <c r="E105" s="54" t="str">
        <f t="shared" si="2"/>
        <v>General</v>
      </c>
    </row>
    <row r="106" spans="2:5">
      <c r="B106" s="55" t="s">
        <v>4290</v>
      </c>
      <c r="C106" s="55" t="s">
        <v>4290</v>
      </c>
      <c r="D106" s="55" t="s">
        <v>57</v>
      </c>
      <c r="E106" s="54" t="str">
        <f t="shared" si="2"/>
        <v>General</v>
      </c>
    </row>
    <row r="107" spans="2:5">
      <c r="B107" s="55" t="s">
        <v>206</v>
      </c>
      <c r="C107" s="55" t="s">
        <v>206</v>
      </c>
      <c r="D107" s="55" t="s">
        <v>185</v>
      </c>
      <c r="E107" s="54" t="str">
        <f t="shared" si="2"/>
        <v>General</v>
      </c>
    </row>
    <row r="108" spans="2:5">
      <c r="B108" s="55" t="s">
        <v>176</v>
      </c>
      <c r="C108" s="55" t="s">
        <v>176</v>
      </c>
      <c r="D108" s="55" t="s">
        <v>57</v>
      </c>
      <c r="E108" s="54" t="str">
        <f t="shared" si="2"/>
        <v>General</v>
      </c>
    </row>
    <row r="109" spans="2:5">
      <c r="B109" s="54" t="s">
        <v>4291</v>
      </c>
      <c r="C109" s="55" t="s">
        <v>4291</v>
      </c>
      <c r="D109" s="54" t="s">
        <v>81</v>
      </c>
      <c r="E109" s="54" t="str">
        <f t="shared" si="2"/>
        <v>General</v>
      </c>
    </row>
    <row r="110" spans="2:5">
      <c r="B110" s="54" t="s">
        <v>177</v>
      </c>
      <c r="C110" s="55" t="s">
        <v>177</v>
      </c>
      <c r="D110" s="54" t="s">
        <v>81</v>
      </c>
      <c r="E110" s="54" t="str">
        <f t="shared" si="2"/>
        <v>General</v>
      </c>
    </row>
    <row r="111" spans="2:5">
      <c r="B111" s="55" t="s">
        <v>4292</v>
      </c>
      <c r="C111" s="55" t="s">
        <v>4292</v>
      </c>
      <c r="D111" s="55" t="s">
        <v>57</v>
      </c>
      <c r="E111" s="54" t="str">
        <f t="shared" si="2"/>
        <v>General</v>
      </c>
    </row>
    <row r="112" spans="2:5">
      <c r="B112" s="55" t="s">
        <v>2295</v>
      </c>
      <c r="C112" s="55" t="s">
        <v>178</v>
      </c>
      <c r="D112" s="55" t="s">
        <v>57</v>
      </c>
      <c r="E112" s="54" t="str">
        <f t="shared" si="2"/>
        <v>General</v>
      </c>
    </row>
    <row r="113" spans="2:5">
      <c r="B113" s="55" t="s">
        <v>178</v>
      </c>
      <c r="C113" s="55" t="s">
        <v>178</v>
      </c>
      <c r="D113" s="55" t="s">
        <v>57</v>
      </c>
      <c r="E113" s="54" t="str">
        <f t="shared" si="2"/>
        <v>General</v>
      </c>
    </row>
    <row r="114" spans="2:5">
      <c r="B114" s="55" t="s">
        <v>114</v>
      </c>
      <c r="C114" s="55" t="s">
        <v>114</v>
      </c>
      <c r="D114" s="55" t="s">
        <v>95</v>
      </c>
      <c r="E114" s="54" t="str">
        <f t="shared" si="2"/>
        <v>Específico</v>
      </c>
    </row>
    <row r="115" spans="2:5">
      <c r="B115" s="55" t="s">
        <v>179</v>
      </c>
      <c r="C115" s="55" t="s">
        <v>179</v>
      </c>
      <c r="D115" s="55" t="s">
        <v>55</v>
      </c>
      <c r="E115" s="54" t="str">
        <f t="shared" si="2"/>
        <v>General</v>
      </c>
    </row>
    <row r="116" spans="2:5">
      <c r="B116" s="54" t="s">
        <v>180</v>
      </c>
      <c r="C116" s="55" t="s">
        <v>180</v>
      </c>
      <c r="D116" s="54" t="s">
        <v>55</v>
      </c>
      <c r="E116" s="54" t="str">
        <f t="shared" si="2"/>
        <v>General</v>
      </c>
    </row>
    <row r="117" spans="2:5">
      <c r="B117" s="55" t="s">
        <v>4293</v>
      </c>
      <c r="C117" s="55" t="s">
        <v>4293</v>
      </c>
      <c r="D117" s="55" t="s">
        <v>51</v>
      </c>
      <c r="E117" s="54" t="str">
        <f t="shared" si="2"/>
        <v>General</v>
      </c>
    </row>
    <row r="118" spans="2:5">
      <c r="B118" s="55" t="s">
        <v>115</v>
      </c>
      <c r="C118" s="55" t="s">
        <v>115</v>
      </c>
      <c r="D118" s="55" t="s">
        <v>55</v>
      </c>
      <c r="E118" s="54" t="str">
        <f t="shared" si="2"/>
        <v>Específico</v>
      </c>
    </row>
    <row r="119" spans="2:5">
      <c r="B119" s="54" t="s">
        <v>116</v>
      </c>
      <c r="C119" s="55" t="s">
        <v>116</v>
      </c>
      <c r="D119" s="54" t="s">
        <v>55</v>
      </c>
      <c r="E119" s="54" t="str">
        <f t="shared" si="2"/>
        <v>Específico</v>
      </c>
    </row>
    <row r="120" spans="2:5">
      <c r="B120" s="54" t="s">
        <v>405</v>
      </c>
      <c r="C120" s="55" t="s">
        <v>117</v>
      </c>
      <c r="D120" s="54" t="s">
        <v>118</v>
      </c>
      <c r="E120" s="54" t="str">
        <f t="shared" si="2"/>
        <v>Específico</v>
      </c>
    </row>
    <row r="121" spans="2:5">
      <c r="B121" s="54" t="s">
        <v>870</v>
      </c>
      <c r="C121" s="55" t="s">
        <v>131</v>
      </c>
      <c r="D121" s="54" t="s">
        <v>55</v>
      </c>
      <c r="E121" s="54" t="str">
        <f t="shared" si="2"/>
        <v>Específico</v>
      </c>
    </row>
    <row r="122" spans="2:5">
      <c r="B122" s="55" t="s">
        <v>120</v>
      </c>
      <c r="C122" s="55" t="s">
        <v>120</v>
      </c>
      <c r="D122" s="55" t="s">
        <v>106</v>
      </c>
      <c r="E122" s="54" t="str">
        <f t="shared" si="2"/>
        <v>Específico</v>
      </c>
    </row>
    <row r="123" spans="2:5">
      <c r="B123" s="54" t="s">
        <v>181</v>
      </c>
      <c r="C123" s="55" t="s">
        <v>181</v>
      </c>
      <c r="D123" s="54" t="s">
        <v>106</v>
      </c>
      <c r="E123" s="54" t="str">
        <f t="shared" si="2"/>
        <v>General</v>
      </c>
    </row>
    <row r="124" spans="2:5">
      <c r="B124" s="54" t="s">
        <v>182</v>
      </c>
      <c r="C124" s="55" t="s">
        <v>182</v>
      </c>
      <c r="D124" s="54" t="s">
        <v>51</v>
      </c>
      <c r="E124" s="54" t="str">
        <f t="shared" si="2"/>
        <v>General</v>
      </c>
    </row>
    <row r="125" spans="2:5">
      <c r="B125" s="55" t="s">
        <v>524</v>
      </c>
      <c r="C125" s="55" t="s">
        <v>121</v>
      </c>
      <c r="D125" s="55" t="s">
        <v>81</v>
      </c>
      <c r="E125" s="54" t="str">
        <f t="shared" si="2"/>
        <v>Específico</v>
      </c>
    </row>
    <row r="126" spans="2:5">
      <c r="B126" s="55" t="s">
        <v>124</v>
      </c>
      <c r="C126" s="55" t="s">
        <v>124</v>
      </c>
      <c r="D126" s="55" t="s">
        <v>51</v>
      </c>
      <c r="E126" s="54" t="str">
        <f t="shared" si="2"/>
        <v>Específico</v>
      </c>
    </row>
    <row r="127" spans="2:5">
      <c r="B127" s="54" t="s">
        <v>183</v>
      </c>
      <c r="C127" s="55" t="s">
        <v>183</v>
      </c>
      <c r="D127" s="54" t="s">
        <v>55</v>
      </c>
      <c r="E127" s="54" t="str">
        <f t="shared" si="2"/>
        <v>General</v>
      </c>
    </row>
    <row r="128" spans="2:5">
      <c r="B128" s="54" t="s">
        <v>207</v>
      </c>
      <c r="C128" s="55" t="s">
        <v>207</v>
      </c>
      <c r="D128" s="54" t="s">
        <v>208</v>
      </c>
      <c r="E128" s="54" t="str">
        <f t="shared" si="2"/>
        <v>General</v>
      </c>
    </row>
    <row r="129" spans="2:5">
      <c r="B129" s="54" t="s">
        <v>209</v>
      </c>
      <c r="C129" s="55" t="s">
        <v>209</v>
      </c>
      <c r="D129" s="54" t="s">
        <v>201</v>
      </c>
      <c r="E129" s="54" t="str">
        <f t="shared" si="2"/>
        <v>General</v>
      </c>
    </row>
    <row r="130" spans="2:5">
      <c r="B130" s="54" t="s">
        <v>4200</v>
      </c>
      <c r="C130" s="55" t="s">
        <v>4294</v>
      </c>
      <c r="D130" s="54" t="s">
        <v>76</v>
      </c>
      <c r="E130" s="54" t="str">
        <f t="shared" si="2"/>
        <v>General</v>
      </c>
    </row>
    <row r="131" spans="2:5">
      <c r="B131" s="54" t="s">
        <v>197</v>
      </c>
      <c r="C131" s="55" t="s">
        <v>197</v>
      </c>
      <c r="D131" s="54" t="s">
        <v>51</v>
      </c>
      <c r="E131" s="54" t="str">
        <f t="shared" si="2"/>
        <v>General</v>
      </c>
    </row>
    <row r="132" spans="2:5">
      <c r="B132" s="54" t="s">
        <v>184</v>
      </c>
      <c r="C132" s="54" t="s">
        <v>184</v>
      </c>
      <c r="D132" s="54" t="s">
        <v>185</v>
      </c>
      <c r="E132" s="54" t="str">
        <f t="shared" si="2"/>
        <v>General</v>
      </c>
    </row>
    <row r="133" spans="2:5">
      <c r="B133" s="54" t="s">
        <v>186</v>
      </c>
      <c r="C133" s="54" t="s">
        <v>186</v>
      </c>
      <c r="D133" s="54" t="s">
        <v>76</v>
      </c>
      <c r="E133" s="54" t="str">
        <f t="shared" ref="E133:E150" si="3">_xlfn.XLOOKUP(C133,$G$4:$G$66,$I$4:$I$66,"General")</f>
        <v>General</v>
      </c>
    </row>
    <row r="134" spans="2:5">
      <c r="B134" s="54" t="s">
        <v>187</v>
      </c>
      <c r="C134" s="54" t="s">
        <v>187</v>
      </c>
      <c r="D134" s="54" t="s">
        <v>78</v>
      </c>
      <c r="E134" s="54" t="str">
        <f t="shared" si="3"/>
        <v>General</v>
      </c>
    </row>
    <row r="135" spans="2:5">
      <c r="B135" s="54" t="s">
        <v>188</v>
      </c>
      <c r="C135" s="54" t="s">
        <v>188</v>
      </c>
      <c r="D135" s="54" t="s">
        <v>69</v>
      </c>
      <c r="E135" s="54" t="str">
        <f t="shared" si="3"/>
        <v>General</v>
      </c>
    </row>
    <row r="136" spans="2:5">
      <c r="B136" s="54" t="s">
        <v>226</v>
      </c>
      <c r="C136" s="54" t="s">
        <v>226</v>
      </c>
      <c r="D136" s="54" t="s">
        <v>123</v>
      </c>
      <c r="E136" s="54" t="str">
        <f t="shared" si="3"/>
        <v>General</v>
      </c>
    </row>
    <row r="137" spans="2:5">
      <c r="B137" s="54" t="s">
        <v>212</v>
      </c>
      <c r="C137" s="54" t="s">
        <v>212</v>
      </c>
      <c r="D137" s="54" t="s">
        <v>63</v>
      </c>
      <c r="E137" s="54" t="str">
        <f t="shared" si="3"/>
        <v>General</v>
      </c>
    </row>
    <row r="138" spans="2:5">
      <c r="B138" s="54" t="s">
        <v>213</v>
      </c>
      <c r="C138" s="54" t="s">
        <v>213</v>
      </c>
      <c r="D138" s="54" t="s">
        <v>201</v>
      </c>
      <c r="E138" s="54" t="str">
        <f t="shared" si="3"/>
        <v>General</v>
      </c>
    </row>
    <row r="139" spans="2:5">
      <c r="B139" s="54" t="s">
        <v>217</v>
      </c>
      <c r="C139" s="54" t="s">
        <v>217</v>
      </c>
      <c r="D139" s="54" t="s">
        <v>87</v>
      </c>
      <c r="E139" s="54" t="str">
        <f t="shared" si="3"/>
        <v>General</v>
      </c>
    </row>
    <row r="140" spans="2:5">
      <c r="B140" s="54" t="s">
        <v>214</v>
      </c>
      <c r="C140" s="54" t="s">
        <v>214</v>
      </c>
      <c r="D140" s="54" t="s">
        <v>215</v>
      </c>
      <c r="E140" s="54" t="str">
        <f t="shared" si="3"/>
        <v>General</v>
      </c>
    </row>
    <row r="141" spans="2:5">
      <c r="B141" s="54" t="s">
        <v>2054</v>
      </c>
      <c r="C141" s="54" t="s">
        <v>225</v>
      </c>
      <c r="D141" s="54" t="s">
        <v>215</v>
      </c>
      <c r="E141" s="54" t="str">
        <f t="shared" si="3"/>
        <v>General</v>
      </c>
    </row>
    <row r="142" spans="2:5">
      <c r="B142" s="54" t="s">
        <v>2059</v>
      </c>
      <c r="C142" s="11" t="s">
        <v>88</v>
      </c>
      <c r="D142" s="54" t="s">
        <v>218</v>
      </c>
      <c r="E142" s="54" t="str">
        <f t="shared" si="3"/>
        <v>Específico</v>
      </c>
    </row>
    <row r="143" spans="2:5">
      <c r="B143" s="54" t="s">
        <v>2064</v>
      </c>
      <c r="C143" s="11" t="s">
        <v>88</v>
      </c>
      <c r="D143" s="54" t="s">
        <v>218</v>
      </c>
      <c r="E143" s="54" t="str">
        <f t="shared" si="3"/>
        <v>Específico</v>
      </c>
    </row>
    <row r="144" spans="2:5">
      <c r="B144" s="54" t="s">
        <v>2069</v>
      </c>
      <c r="C144" s="11" t="s">
        <v>88</v>
      </c>
      <c r="D144" s="54" t="s">
        <v>218</v>
      </c>
      <c r="E144" s="54" t="str">
        <f t="shared" si="3"/>
        <v>Específico</v>
      </c>
    </row>
    <row r="145" spans="2:5">
      <c r="B145" s="54" t="s">
        <v>227</v>
      </c>
      <c r="C145" s="54" t="s">
        <v>227</v>
      </c>
      <c r="D145" s="54" t="s">
        <v>228</v>
      </c>
      <c r="E145" s="54" t="str">
        <f t="shared" si="3"/>
        <v>General</v>
      </c>
    </row>
    <row r="146" spans="2:5">
      <c r="B146" s="54" t="s">
        <v>2078</v>
      </c>
      <c r="C146" s="55" t="s">
        <v>167</v>
      </c>
      <c r="D146" s="54" t="s">
        <v>218</v>
      </c>
      <c r="E146" s="54" t="str">
        <f t="shared" si="3"/>
        <v>General</v>
      </c>
    </row>
    <row r="147" spans="2:5">
      <c r="B147" s="54" t="s">
        <v>219</v>
      </c>
      <c r="C147" s="54" t="s">
        <v>219</v>
      </c>
      <c r="D147" s="54" t="s">
        <v>220</v>
      </c>
      <c r="E147" s="54" t="str">
        <f t="shared" si="3"/>
        <v>General</v>
      </c>
    </row>
    <row r="148" spans="2:5">
      <c r="B148" s="54" t="s">
        <v>223</v>
      </c>
      <c r="C148" s="54" t="s">
        <v>223</v>
      </c>
      <c r="D148" s="54" t="s">
        <v>224</v>
      </c>
      <c r="E148" s="54" t="str">
        <f t="shared" si="3"/>
        <v>General</v>
      </c>
    </row>
    <row r="149" spans="2:5">
      <c r="B149" s="54" t="s">
        <v>221</v>
      </c>
      <c r="C149" s="54" t="s">
        <v>221</v>
      </c>
      <c r="D149" s="54" t="s">
        <v>222</v>
      </c>
      <c r="E149" s="54" t="str">
        <f t="shared" si="3"/>
        <v>General</v>
      </c>
    </row>
    <row r="150" spans="2:5">
      <c r="B150" s="54" t="s">
        <v>2099</v>
      </c>
      <c r="C150" s="55" t="s">
        <v>82</v>
      </c>
      <c r="D150" s="54" t="s">
        <v>216</v>
      </c>
      <c r="E150" s="54" t="str">
        <f t="shared" si="3"/>
        <v>Específico</v>
      </c>
    </row>
    <row r="151" spans="2:5">
      <c r="B151" s="54" t="s">
        <v>163</v>
      </c>
      <c r="C151" s="55" t="s">
        <v>163</v>
      </c>
      <c r="D151" s="54" t="s">
        <v>101</v>
      </c>
      <c r="E151" s="54" t="str">
        <f t="shared" ref="E151:E153" si="4">_xlfn.XLOOKUP(C151,$G$4:$G$66,$I$4:$I$66,"General")</f>
        <v>General</v>
      </c>
    </row>
    <row r="152" spans="2:5">
      <c r="B152" s="54" t="s">
        <v>164</v>
      </c>
      <c r="C152" s="55" t="s">
        <v>164</v>
      </c>
      <c r="D152" s="54" t="s">
        <v>55</v>
      </c>
      <c r="E152" s="54" t="str">
        <f t="shared" si="4"/>
        <v>General</v>
      </c>
    </row>
    <row r="153" spans="2:5">
      <c r="B153" s="54" t="s">
        <v>165</v>
      </c>
      <c r="C153" s="55" t="s">
        <v>165</v>
      </c>
      <c r="D153" s="54" t="s">
        <v>106</v>
      </c>
      <c r="E153" s="54" t="str">
        <f t="shared" si="4"/>
        <v>General</v>
      </c>
    </row>
    <row r="154" spans="2:5">
      <c r="B154" s="11" t="s">
        <v>190</v>
      </c>
      <c r="C154" s="55" t="s">
        <v>190</v>
      </c>
      <c r="D154" s="54" t="s">
        <v>191</v>
      </c>
      <c r="E154" s="54" t="str">
        <f t="shared" ref="E154:E155" si="5">_xlfn.XLOOKUP(C154,$G$4:$G$66,$I$4:$I$66,"General")</f>
        <v>General</v>
      </c>
    </row>
    <row r="155" spans="2:5">
      <c r="B155" s="54" t="s">
        <v>210</v>
      </c>
      <c r="C155" s="55" t="s">
        <v>210</v>
      </c>
      <c r="D155" s="54" t="s">
        <v>76</v>
      </c>
      <c r="E155" s="54" t="str">
        <f t="shared" si="5"/>
        <v>General</v>
      </c>
    </row>
  </sheetData>
  <autoFilter ref="B3:I153" xr:uid="{13439C0B-469C-4D43-91FA-C9709FEC4B93}"/>
  <sortState xmlns:xlrd2="http://schemas.microsoft.com/office/spreadsheetml/2017/richdata2" ref="B4:D130">
    <sortCondition ref="C4:C130"/>
  </sortState>
  <mergeCells count="3">
    <mergeCell ref="B2:E2"/>
    <mergeCell ref="G2:I2"/>
    <mergeCell ref="L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4EB1-6788-42E5-B0F3-540E5699BF18}">
  <dimension ref="B2:X167"/>
  <sheetViews>
    <sheetView topLeftCell="G42" workbookViewId="0">
      <selection activeCell="J123" sqref="J123"/>
    </sheetView>
  </sheetViews>
  <sheetFormatPr defaultColWidth="11.42578125" defaultRowHeight="15"/>
  <cols>
    <col min="2" max="2" width="26.140625" customWidth="1"/>
    <col min="8" max="8" width="48.85546875" bestFit="1" customWidth="1"/>
    <col min="9" max="9" width="26.42578125" bestFit="1" customWidth="1"/>
    <col min="10" max="10" width="35.5703125" bestFit="1" customWidth="1"/>
    <col min="11" max="11" width="41.42578125" bestFit="1" customWidth="1"/>
    <col min="12" max="12" width="26.42578125" bestFit="1" customWidth="1"/>
    <col min="13" max="13" width="33.28515625" bestFit="1" customWidth="1"/>
    <col min="14" max="14" width="19.7109375" bestFit="1" customWidth="1"/>
    <col min="15" max="15" width="33.85546875" bestFit="1" customWidth="1"/>
    <col min="16" max="16" width="29.85546875" bestFit="1" customWidth="1"/>
    <col min="17" max="17" width="37.7109375" bestFit="1" customWidth="1"/>
    <col min="18" max="18" width="53.85546875" bestFit="1" customWidth="1"/>
    <col min="19" max="19" width="45.140625" bestFit="1" customWidth="1"/>
    <col min="20" max="20" width="45.28515625" bestFit="1" customWidth="1"/>
    <col min="21" max="21" width="39.28515625" bestFit="1" customWidth="1"/>
    <col min="22" max="22" width="48.42578125" bestFit="1" customWidth="1"/>
    <col min="23" max="23" width="57" bestFit="1" customWidth="1"/>
    <col min="24" max="24" width="50.85546875" bestFit="1" customWidth="1"/>
    <col min="25" max="25" width="23.5703125" bestFit="1" customWidth="1"/>
    <col min="26" max="26" width="27.85546875" bestFit="1" customWidth="1"/>
    <col min="27" max="27" width="7.140625" bestFit="1" customWidth="1"/>
    <col min="28" max="28" width="45.28515625" bestFit="1" customWidth="1"/>
    <col min="29" max="29" width="58.28515625" bestFit="1" customWidth="1"/>
    <col min="30" max="30" width="57" bestFit="1" customWidth="1"/>
    <col min="31" max="31" width="21.5703125" bestFit="1" customWidth="1"/>
    <col min="32" max="32" width="19.85546875" bestFit="1" customWidth="1"/>
    <col min="33" max="33" width="37.85546875" bestFit="1" customWidth="1"/>
    <col min="34" max="34" width="11.28515625" bestFit="1" customWidth="1"/>
    <col min="35" max="35" width="36.42578125" bestFit="1" customWidth="1"/>
    <col min="36" max="36" width="32.42578125" bestFit="1" customWidth="1"/>
    <col min="37" max="37" width="33.7109375" bestFit="1" customWidth="1"/>
    <col min="38" max="38" width="19.42578125" bestFit="1" customWidth="1"/>
    <col min="39" max="39" width="29" bestFit="1" customWidth="1"/>
    <col min="40" max="40" width="10.42578125" bestFit="1" customWidth="1"/>
    <col min="41" max="41" width="63.7109375" bestFit="1" customWidth="1"/>
    <col min="42" max="42" width="11.140625" bestFit="1" customWidth="1"/>
    <col min="43" max="43" width="12.5703125" bestFit="1" customWidth="1"/>
  </cols>
  <sheetData>
    <row r="2" spans="2:20" ht="15.75" thickBot="1"/>
    <row r="3" spans="2:20" ht="15.75" thickBot="1">
      <c r="I3" s="8"/>
      <c r="J3" s="229" t="s">
        <v>4295</v>
      </c>
      <c r="K3" s="244"/>
    </row>
    <row r="4" spans="2:20">
      <c r="I4" s="135" t="s">
        <v>46</v>
      </c>
      <c r="J4" s="83" t="s">
        <v>47</v>
      </c>
      <c r="K4" s="84" t="s">
        <v>48</v>
      </c>
    </row>
    <row r="5" spans="2:20">
      <c r="I5" s="130" t="s">
        <v>72</v>
      </c>
      <c r="J5" s="73">
        <v>10</v>
      </c>
      <c r="K5" s="74">
        <v>5</v>
      </c>
    </row>
    <row r="8" spans="2:20" ht="15.75" thickBot="1"/>
    <row r="9" spans="2:20" ht="15.75" thickBot="1">
      <c r="B9" s="25" t="s">
        <v>46</v>
      </c>
      <c r="C9" s="83" t="s">
        <v>47</v>
      </c>
      <c r="E9" s="25" t="s">
        <v>46</v>
      </c>
      <c r="F9" s="84" t="s">
        <v>48</v>
      </c>
      <c r="I9" s="8"/>
      <c r="J9" s="229" t="s">
        <v>4296</v>
      </c>
      <c r="K9" s="230"/>
    </row>
    <row r="10" spans="2:20" ht="15.75" thickBot="1">
      <c r="B10" s="128" t="s">
        <v>94</v>
      </c>
      <c r="C10" s="71">
        <v>44</v>
      </c>
      <c r="E10" s="128" t="s">
        <v>94</v>
      </c>
      <c r="F10" s="72">
        <v>29</v>
      </c>
      <c r="I10" s="25" t="s">
        <v>46</v>
      </c>
      <c r="J10" s="53" t="s">
        <v>47</v>
      </c>
      <c r="K10" s="82" t="s">
        <v>48</v>
      </c>
    </row>
    <row r="11" spans="2:20">
      <c r="B11" s="130" t="s">
        <v>107</v>
      </c>
      <c r="C11" s="73">
        <v>18</v>
      </c>
      <c r="E11" s="130" t="s">
        <v>50</v>
      </c>
      <c r="F11" s="74">
        <v>12</v>
      </c>
      <c r="I11" s="22" t="s">
        <v>72</v>
      </c>
      <c r="J11" s="73">
        <v>2</v>
      </c>
      <c r="K11" s="74">
        <v>11</v>
      </c>
      <c r="S11" t="s">
        <v>57</v>
      </c>
      <c r="T11">
        <v>112</v>
      </c>
    </row>
    <row r="12" spans="2:20">
      <c r="B12" s="130" t="s">
        <v>70</v>
      </c>
      <c r="C12" s="73">
        <v>17</v>
      </c>
      <c r="E12" s="130" t="s">
        <v>56</v>
      </c>
      <c r="F12" s="74">
        <v>12</v>
      </c>
      <c r="S12" t="s">
        <v>95</v>
      </c>
      <c r="T12">
        <v>41</v>
      </c>
    </row>
    <row r="13" spans="2:20">
      <c r="B13" s="130" t="s">
        <v>68</v>
      </c>
      <c r="C13" s="73">
        <v>16</v>
      </c>
      <c r="E13" s="130" t="s">
        <v>68</v>
      </c>
      <c r="F13" s="74">
        <v>9</v>
      </c>
      <c r="S13" s="20" t="s">
        <v>103</v>
      </c>
      <c r="T13">
        <v>29</v>
      </c>
    </row>
    <row r="14" spans="2:20">
      <c r="B14" s="130" t="s">
        <v>50</v>
      </c>
      <c r="C14" s="73">
        <v>13</v>
      </c>
      <c r="E14" s="130" t="s">
        <v>96</v>
      </c>
      <c r="F14" s="74">
        <v>9</v>
      </c>
      <c r="S14" t="s">
        <v>55</v>
      </c>
      <c r="T14">
        <v>28</v>
      </c>
    </row>
    <row r="15" spans="2:20">
      <c r="B15" s="130" t="s">
        <v>60</v>
      </c>
      <c r="C15" s="73">
        <v>13</v>
      </c>
      <c r="E15" s="130" t="s">
        <v>107</v>
      </c>
      <c r="F15" s="74">
        <v>9</v>
      </c>
      <c r="S15" t="s">
        <v>69</v>
      </c>
      <c r="T15">
        <v>20</v>
      </c>
    </row>
    <row r="16" spans="2:20">
      <c r="B16" s="130" t="s">
        <v>54</v>
      </c>
      <c r="C16" s="73">
        <v>11</v>
      </c>
      <c r="E16" s="130" t="s">
        <v>83</v>
      </c>
      <c r="F16" s="74">
        <v>8</v>
      </c>
      <c r="S16" t="s">
        <v>81</v>
      </c>
      <c r="T16">
        <v>18</v>
      </c>
    </row>
    <row r="17" spans="2:20">
      <c r="B17" s="130" t="s">
        <v>71</v>
      </c>
      <c r="C17" s="73">
        <v>11</v>
      </c>
      <c r="E17" s="130" t="s">
        <v>85</v>
      </c>
      <c r="F17" s="74">
        <v>8</v>
      </c>
      <c r="S17" t="s">
        <v>76</v>
      </c>
      <c r="T17">
        <v>17</v>
      </c>
    </row>
    <row r="18" spans="2:20">
      <c r="B18" s="130" t="s">
        <v>82</v>
      </c>
      <c r="C18" s="73">
        <v>11</v>
      </c>
      <c r="E18" s="130" t="s">
        <v>60</v>
      </c>
      <c r="F18" s="74">
        <v>7</v>
      </c>
      <c r="S18" t="s">
        <v>61</v>
      </c>
      <c r="T18">
        <v>15</v>
      </c>
    </row>
    <row r="19" spans="2:20">
      <c r="B19" s="130" t="s">
        <v>72</v>
      </c>
      <c r="C19" s="73">
        <v>10</v>
      </c>
      <c r="E19" s="130" t="s">
        <v>62</v>
      </c>
      <c r="F19" s="74">
        <v>7</v>
      </c>
      <c r="S19" t="s">
        <v>74</v>
      </c>
      <c r="T19">
        <v>13</v>
      </c>
    </row>
    <row r="20" spans="2:20">
      <c r="S20" t="s">
        <v>51</v>
      </c>
      <c r="T20">
        <v>12</v>
      </c>
    </row>
    <row r="21" spans="2:20">
      <c r="S21" s="20" t="s">
        <v>63</v>
      </c>
      <c r="T21">
        <v>12</v>
      </c>
    </row>
    <row r="22" spans="2:20">
      <c r="S22" t="s">
        <v>87</v>
      </c>
      <c r="T22">
        <v>9</v>
      </c>
    </row>
    <row r="23" spans="2:20">
      <c r="S23" t="s">
        <v>90</v>
      </c>
      <c r="T23">
        <v>8</v>
      </c>
    </row>
    <row r="24" spans="2:20">
      <c r="S24" t="s">
        <v>123</v>
      </c>
      <c r="T24">
        <v>5</v>
      </c>
    </row>
    <row r="25" spans="2:20">
      <c r="S25" t="s">
        <v>53</v>
      </c>
      <c r="T25">
        <v>4</v>
      </c>
    </row>
    <row r="26" spans="2:20">
      <c r="S26" t="s">
        <v>141</v>
      </c>
      <c r="T26">
        <v>4</v>
      </c>
    </row>
    <row r="27" spans="2:20">
      <c r="S27" t="s">
        <v>109</v>
      </c>
      <c r="T27">
        <v>3</v>
      </c>
    </row>
    <row r="28" spans="2:20">
      <c r="S28" t="s">
        <v>112</v>
      </c>
      <c r="T28">
        <v>3</v>
      </c>
    </row>
    <row r="29" spans="2:20">
      <c r="S29" t="s">
        <v>158</v>
      </c>
      <c r="T29">
        <v>3</v>
      </c>
    </row>
    <row r="30" spans="2:20">
      <c r="S30" t="s">
        <v>201</v>
      </c>
      <c r="T30">
        <v>2</v>
      </c>
    </row>
    <row r="31" spans="2:20">
      <c r="S31" t="s">
        <v>185</v>
      </c>
      <c r="T31">
        <v>1</v>
      </c>
    </row>
    <row r="32" spans="2:20">
      <c r="S32" t="s">
        <v>59</v>
      </c>
      <c r="T32">
        <v>1</v>
      </c>
    </row>
    <row r="33" spans="2:20">
      <c r="S33" t="s">
        <v>98</v>
      </c>
      <c r="T33">
        <v>1</v>
      </c>
    </row>
    <row r="38" spans="2:20" ht="15.75" thickBot="1"/>
    <row r="39" spans="2:20" ht="15.75" thickBot="1">
      <c r="B39" s="25" t="s">
        <v>46</v>
      </c>
      <c r="C39" s="53" t="s">
        <v>47</v>
      </c>
      <c r="E39" s="25" t="s">
        <v>46</v>
      </c>
      <c r="F39" s="82" t="s">
        <v>48</v>
      </c>
    </row>
    <row r="40" spans="2:20">
      <c r="B40" s="50" t="s">
        <v>72</v>
      </c>
      <c r="C40" s="73">
        <v>2</v>
      </c>
      <c r="E40" s="50" t="s">
        <v>116</v>
      </c>
      <c r="F40" s="81">
        <v>23</v>
      </c>
    </row>
    <row r="41" spans="2:20">
      <c r="B41" s="22" t="s">
        <v>89</v>
      </c>
      <c r="C41" s="73">
        <v>2</v>
      </c>
      <c r="E41" s="22" t="s">
        <v>102</v>
      </c>
      <c r="F41" s="74">
        <v>14</v>
      </c>
    </row>
    <row r="42" spans="2:20">
      <c r="B42" s="22" t="s">
        <v>91</v>
      </c>
      <c r="C42" s="73">
        <v>2</v>
      </c>
      <c r="E42" s="22" t="s">
        <v>70</v>
      </c>
      <c r="F42" s="74">
        <v>13</v>
      </c>
    </row>
    <row r="43" spans="2:20">
      <c r="B43" s="22" t="s">
        <v>94</v>
      </c>
      <c r="C43" s="73">
        <v>2</v>
      </c>
      <c r="E43" s="22" t="s">
        <v>72</v>
      </c>
      <c r="F43" s="74">
        <v>11</v>
      </c>
    </row>
    <row r="44" spans="2:20">
      <c r="B44" s="22" t="s">
        <v>75</v>
      </c>
      <c r="C44" s="73">
        <v>1</v>
      </c>
      <c r="E44" s="22" t="s">
        <v>71</v>
      </c>
      <c r="F44" s="74">
        <v>10</v>
      </c>
    </row>
    <row r="45" spans="2:20">
      <c r="B45" s="22" t="s">
        <v>88</v>
      </c>
      <c r="C45" s="73">
        <v>1</v>
      </c>
      <c r="E45" s="22" t="s">
        <v>121</v>
      </c>
      <c r="F45" s="74">
        <v>7</v>
      </c>
    </row>
    <row r="46" spans="2:20">
      <c r="B46" s="22" t="s">
        <v>131</v>
      </c>
      <c r="C46" s="73">
        <v>1</v>
      </c>
      <c r="E46" s="22" t="s">
        <v>79</v>
      </c>
      <c r="F46" s="74">
        <v>6</v>
      </c>
    </row>
    <row r="47" spans="2:20">
      <c r="B47" s="22" t="s">
        <v>99</v>
      </c>
      <c r="C47" s="73">
        <v>1</v>
      </c>
      <c r="E47" s="28" t="s">
        <v>177</v>
      </c>
      <c r="F47" s="76">
        <v>5</v>
      </c>
    </row>
    <row r="48" spans="2:20">
      <c r="B48" s="22" t="s">
        <v>107</v>
      </c>
      <c r="C48" s="73">
        <v>1</v>
      </c>
      <c r="E48" s="22" t="s">
        <v>113</v>
      </c>
      <c r="F48" s="74">
        <v>4</v>
      </c>
    </row>
    <row r="49" spans="2:6">
      <c r="B49" s="22" t="s">
        <v>111</v>
      </c>
      <c r="C49" s="73">
        <v>1</v>
      </c>
      <c r="E49" s="22" t="s">
        <v>119</v>
      </c>
      <c r="F49" s="74">
        <v>4</v>
      </c>
    </row>
    <row r="71" spans="2:24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T71" s="20"/>
      <c r="U71" s="20"/>
      <c r="V71" s="20"/>
      <c r="W71" s="20"/>
      <c r="X71" s="20"/>
    </row>
    <row r="72" spans="2:24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T72" s="20"/>
      <c r="U72" s="20"/>
      <c r="V72" s="20"/>
      <c r="W72" s="20"/>
      <c r="X72" s="20"/>
    </row>
    <row r="73" spans="2:24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T73" s="20"/>
      <c r="U73" s="20"/>
      <c r="V73" s="20"/>
      <c r="W73" s="20"/>
      <c r="X73" s="20"/>
    </row>
    <row r="74" spans="2:24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T74" s="20"/>
      <c r="U74" s="20"/>
      <c r="V74" s="20"/>
      <c r="W74" s="20"/>
      <c r="X74" s="20"/>
    </row>
    <row r="75" spans="2:24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T75" s="20"/>
      <c r="U75" s="20"/>
      <c r="V75" s="20"/>
      <c r="W75" s="20"/>
      <c r="X75" s="20"/>
    </row>
    <row r="76" spans="2:24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T76" s="20"/>
      <c r="U76" s="20"/>
      <c r="V76" s="20"/>
      <c r="W76" s="20"/>
      <c r="X76" s="20"/>
    </row>
    <row r="77" spans="2:24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T77" s="20"/>
      <c r="U77" s="20"/>
      <c r="V77" s="20"/>
      <c r="W77" s="20"/>
      <c r="X77" s="20"/>
    </row>
    <row r="78" spans="2:24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T78" s="20"/>
      <c r="U78" s="20"/>
      <c r="V78" s="20"/>
      <c r="W78" s="20"/>
      <c r="X78" s="20"/>
    </row>
    <row r="79" spans="2:24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T79" s="20"/>
      <c r="U79" s="20"/>
      <c r="V79" s="20"/>
      <c r="W79" s="20"/>
      <c r="X79" s="20"/>
    </row>
    <row r="80" spans="2:24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T80" s="20"/>
      <c r="U80" s="20"/>
      <c r="V80" s="20"/>
      <c r="W80" s="20"/>
      <c r="X80" s="20"/>
    </row>
    <row r="81" spans="2:24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T81" s="20"/>
      <c r="U81" s="20"/>
      <c r="V81" s="20"/>
      <c r="W81" s="20"/>
      <c r="X81" s="20"/>
    </row>
    <row r="82" spans="2:24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T82" s="20"/>
      <c r="U82" s="20"/>
      <c r="V82" s="20"/>
      <c r="W82" s="20"/>
      <c r="X82" s="20"/>
    </row>
    <row r="83" spans="2:24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T83" s="20"/>
      <c r="U83" s="20"/>
      <c r="V83" s="20"/>
      <c r="W83" s="20"/>
      <c r="X83" s="20"/>
    </row>
    <row r="84" spans="2:24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T84" s="20"/>
      <c r="U84" s="20"/>
      <c r="V84" s="20"/>
      <c r="W84" s="20"/>
      <c r="X84" s="20"/>
    </row>
    <row r="85" spans="2:24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T85" s="20"/>
      <c r="U85" s="20"/>
      <c r="V85" s="20"/>
      <c r="W85" s="20"/>
      <c r="X85" s="20"/>
    </row>
    <row r="86" spans="2:24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T86" s="20"/>
      <c r="U86" s="20"/>
      <c r="V86" s="20"/>
      <c r="W86" s="20"/>
      <c r="X86" s="20"/>
    </row>
    <row r="87" spans="2:24">
      <c r="B87" s="18"/>
      <c r="C87" s="13">
        <v>2020</v>
      </c>
      <c r="D87" s="13">
        <v>2021</v>
      </c>
      <c r="E87" s="13">
        <v>2022</v>
      </c>
      <c r="F87" s="13">
        <v>2023</v>
      </c>
      <c r="G87" s="13">
        <v>2024</v>
      </c>
      <c r="H87" s="20"/>
      <c r="I87" s="20"/>
      <c r="J87" s="18"/>
      <c r="K87" s="13">
        <v>2020</v>
      </c>
      <c r="L87" s="13">
        <v>2021</v>
      </c>
      <c r="M87" s="13">
        <v>2022</v>
      </c>
      <c r="N87" s="13">
        <v>2023</v>
      </c>
      <c r="O87" s="13">
        <v>2024</v>
      </c>
      <c r="P87" s="20"/>
      <c r="Q87" s="20"/>
      <c r="R87" s="18"/>
      <c r="T87" s="13">
        <v>2021</v>
      </c>
      <c r="U87" s="13">
        <v>2022</v>
      </c>
      <c r="V87" s="13">
        <v>2023</v>
      </c>
      <c r="W87" s="13">
        <v>2024</v>
      </c>
      <c r="X87" s="20"/>
    </row>
    <row r="88" spans="2:24">
      <c r="B88" s="35" t="s">
        <v>4297</v>
      </c>
      <c r="C88" s="35">
        <v>30</v>
      </c>
      <c r="D88" s="35">
        <v>20</v>
      </c>
      <c r="E88" s="35">
        <v>52</v>
      </c>
      <c r="F88" s="35">
        <v>61</v>
      </c>
      <c r="G88" s="35">
        <v>52</v>
      </c>
      <c r="H88" s="20"/>
      <c r="I88" s="20"/>
      <c r="J88" s="35" t="s">
        <v>4297</v>
      </c>
      <c r="K88" s="44">
        <v>43</v>
      </c>
      <c r="L88" s="44">
        <v>47</v>
      </c>
      <c r="M88" s="44">
        <v>90</v>
      </c>
      <c r="N88" s="44">
        <v>137</v>
      </c>
      <c r="O88" s="44">
        <v>90</v>
      </c>
      <c r="P88" s="20"/>
      <c r="Q88" s="20"/>
      <c r="R88" s="43" t="s">
        <v>47</v>
      </c>
      <c r="T88" s="43">
        <v>5</v>
      </c>
      <c r="U88" s="43">
        <v>12</v>
      </c>
      <c r="V88" s="43">
        <v>12</v>
      </c>
      <c r="W88" s="43">
        <v>8</v>
      </c>
      <c r="X88" s="20"/>
    </row>
    <row r="89" spans="2:24">
      <c r="B89" s="42" t="s">
        <v>4298</v>
      </c>
      <c r="C89" s="42">
        <v>10</v>
      </c>
      <c r="D89" s="42">
        <v>22</v>
      </c>
      <c r="E89" s="42">
        <v>33</v>
      </c>
      <c r="F89" s="42">
        <v>32</v>
      </c>
      <c r="G89" s="42">
        <v>38</v>
      </c>
      <c r="H89" s="20"/>
      <c r="I89" s="20"/>
      <c r="J89" s="42" t="s">
        <v>4298</v>
      </c>
      <c r="K89" s="45">
        <v>0</v>
      </c>
      <c r="L89" s="45">
        <v>2</v>
      </c>
      <c r="M89" s="45">
        <v>6</v>
      </c>
      <c r="N89" s="45">
        <v>6</v>
      </c>
      <c r="O89" s="45">
        <v>4</v>
      </c>
      <c r="P89" s="20"/>
      <c r="Q89" s="20"/>
      <c r="R89" s="89" t="s">
        <v>48</v>
      </c>
      <c r="T89" s="89">
        <v>1</v>
      </c>
      <c r="U89" s="89">
        <v>0</v>
      </c>
      <c r="V89" s="89">
        <v>0</v>
      </c>
      <c r="W89" s="89">
        <v>0</v>
      </c>
      <c r="X89" s="20"/>
    </row>
    <row r="90" spans="2:24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T90" s="20"/>
      <c r="U90" s="20"/>
      <c r="V90" s="20"/>
      <c r="W90" s="20"/>
      <c r="X90" s="20"/>
    </row>
    <row r="91" spans="2:24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T91" s="20"/>
      <c r="U91" s="20"/>
      <c r="V91" s="20"/>
      <c r="W91" s="20"/>
      <c r="X91" s="20"/>
    </row>
    <row r="96" spans="2:24">
      <c r="B96" s="176"/>
      <c r="C96" s="177"/>
      <c r="D96" s="181">
        <v>2024</v>
      </c>
      <c r="H96" s="195" t="s">
        <v>36</v>
      </c>
      <c r="I96" t="s">
        <v>4299</v>
      </c>
    </row>
    <row r="97" spans="2:9">
      <c r="B97" s="178" t="s">
        <v>254</v>
      </c>
      <c r="C97" s="179"/>
      <c r="D97" s="182">
        <v>0</v>
      </c>
      <c r="H97" s="195" t="s">
        <v>21</v>
      </c>
      <c r="I97" s="196">
        <v>2024</v>
      </c>
    </row>
    <row r="98" spans="2:9">
      <c r="B98" s="261" t="s">
        <v>230</v>
      </c>
      <c r="C98" s="180" t="s">
        <v>48</v>
      </c>
      <c r="D98" s="183">
        <f>COUNTIFS(Tabla2[Tipo de Movilidad],'Borrador acreditaciones'!$B$98,Tabla2[Nivel Nominación],'Borrador acreditaciones'!$B$97,Tabla2[Año],'Borrador acreditaciones'!$D$96)</f>
        <v>52</v>
      </c>
    </row>
    <row r="99" spans="2:9">
      <c r="B99" s="262"/>
      <c r="C99" s="180" t="s">
        <v>47</v>
      </c>
      <c r="D99" s="183">
        <f>COUNTIFS(Tabla1[Tipo de Movilidad],'Borrador acreditaciones'!$B$98,Tabla1[Nivel],"Pregrado",Tabla1[Año de Movilidad],'Borrador acreditaciones'!$D$96)</f>
        <v>90</v>
      </c>
      <c r="H99" s="195" t="s">
        <v>4300</v>
      </c>
      <c r="I99" t="s">
        <v>4301</v>
      </c>
    </row>
    <row r="100" spans="2:9">
      <c r="B100" s="261" t="s">
        <v>231</v>
      </c>
      <c r="C100" s="180" t="s">
        <v>48</v>
      </c>
      <c r="D100" s="183">
        <f>COUNTIFS(Tabla2[Tipo de Movilidad],'Borrador acreditaciones'!$B$100,Tabla2[Nivel Nominación],'Borrador acreditaciones'!$B$97,Tabla2[Año],'Borrador acreditaciones'!$D$96)</f>
        <v>0</v>
      </c>
      <c r="H100" s="196" t="s">
        <v>230</v>
      </c>
      <c r="I100">
        <v>90</v>
      </c>
    </row>
    <row r="101" spans="2:9">
      <c r="B101" s="262"/>
      <c r="C101" s="180" t="s">
        <v>47</v>
      </c>
      <c r="D101" s="183">
        <f>COUNTIFS(Tabla1[Tipo de Movilidad],'Borrador acreditaciones'!$B$100,Tabla1[Nivel],"Pregrado",Tabla1[Año de Movilidad],'Borrador acreditaciones'!$D$96)</f>
        <v>8</v>
      </c>
      <c r="H101" s="197" t="s">
        <v>233</v>
      </c>
      <c r="I101">
        <v>59</v>
      </c>
    </row>
    <row r="102" spans="2:9">
      <c r="B102" s="178" t="s">
        <v>247</v>
      </c>
      <c r="C102" s="179"/>
      <c r="D102" s="182">
        <v>0</v>
      </c>
      <c r="H102" s="197" t="s">
        <v>238</v>
      </c>
      <c r="I102">
        <v>1</v>
      </c>
    </row>
    <row r="103" spans="2:9">
      <c r="B103" s="261" t="s">
        <v>230</v>
      </c>
      <c r="C103" s="180" t="s">
        <v>48</v>
      </c>
      <c r="D103" s="183">
        <f>COUNTIFS(Tabla2[Tipo de Movilidad],'Borrador acreditaciones'!$B$103,Tabla2[Nivel Nominación],'Borrador acreditaciones'!$B$102,Tabla2[Año],'Borrador acreditaciones'!$D$96)</f>
        <v>38</v>
      </c>
      <c r="H103" s="197" t="s">
        <v>251</v>
      </c>
      <c r="I103">
        <v>8</v>
      </c>
    </row>
    <row r="104" spans="2:9">
      <c r="B104" s="262"/>
      <c r="C104" s="180" t="s">
        <v>47</v>
      </c>
      <c r="D104" s="183">
        <f>COUNTIFS(Tabla1[Tipo de Movilidad],'Borrador acreditaciones'!$B$103,Tabla1[Nivel],"Maestría",Tabla1[Año de Movilidad],'Borrador acreditaciones'!$D$96)</f>
        <v>3</v>
      </c>
      <c r="H104" s="197" t="s">
        <v>250</v>
      </c>
      <c r="I104">
        <v>3</v>
      </c>
    </row>
    <row r="105" spans="2:9">
      <c r="B105" s="261" t="s">
        <v>231</v>
      </c>
      <c r="C105" s="180" t="s">
        <v>48</v>
      </c>
      <c r="D105" s="183">
        <f>COUNTIFS(Tabla2[Tipo de Movilidad],'Borrador acreditaciones'!$B$105,Tabla2[Nivel Nominación],'Borrador acreditaciones'!$B$102,Tabla2[Año],'Borrador acreditaciones'!$D$96)</f>
        <v>0</v>
      </c>
      <c r="H105" s="197" t="s">
        <v>237</v>
      </c>
      <c r="I105">
        <v>19</v>
      </c>
    </row>
    <row r="106" spans="2:9">
      <c r="B106" s="262"/>
      <c r="C106" s="180" t="s">
        <v>47</v>
      </c>
      <c r="D106" s="183">
        <f>COUNTIFS(Tabla1[Tipo de Movilidad],'Borrador acreditaciones'!$B$105,Tabla1[Nivel],"Maestría",Tabla1[Año de Movilidad],'Borrador acreditaciones'!$D$96)</f>
        <v>0</v>
      </c>
      <c r="H106" s="196" t="s">
        <v>246</v>
      </c>
      <c r="I106">
        <v>3</v>
      </c>
    </row>
    <row r="107" spans="2:9">
      <c r="H107" s="196" t="s">
        <v>4302</v>
      </c>
      <c r="I107">
        <v>93</v>
      </c>
    </row>
    <row r="109" spans="2:9" ht="30">
      <c r="B109" s="184" t="s">
        <v>4303</v>
      </c>
      <c r="C109" s="193">
        <v>2024</v>
      </c>
    </row>
    <row r="110" spans="2:9">
      <c r="B110" s="185" t="s">
        <v>48</v>
      </c>
      <c r="C110" s="185">
        <v>0</v>
      </c>
    </row>
    <row r="111" spans="2:9">
      <c r="B111" s="186" t="s">
        <v>4304</v>
      </c>
      <c r="C111" s="186">
        <v>0</v>
      </c>
      <c r="H111" s="195" t="s">
        <v>37</v>
      </c>
      <c r="I111" t="s">
        <v>4299</v>
      </c>
    </row>
    <row r="112" spans="2:9">
      <c r="B112" s="187" t="s">
        <v>4305</v>
      </c>
      <c r="C112" s="194"/>
      <c r="H112" s="195" t="s">
        <v>29</v>
      </c>
      <c r="I112" s="196">
        <v>2024</v>
      </c>
    </row>
    <row r="113" spans="2:9">
      <c r="B113" s="187" t="s">
        <v>4306</v>
      </c>
      <c r="C113" s="194"/>
    </row>
    <row r="114" spans="2:9">
      <c r="B114" s="187" t="s">
        <v>4307</v>
      </c>
      <c r="C114" s="194"/>
      <c r="H114" s="195" t="s">
        <v>4300</v>
      </c>
      <c r="I114" t="s">
        <v>4308</v>
      </c>
    </row>
    <row r="115" spans="2:9">
      <c r="B115" s="187" t="s">
        <v>4309</v>
      </c>
      <c r="C115" s="194"/>
      <c r="H115" s="196" t="s">
        <v>231</v>
      </c>
      <c r="I115">
        <v>8</v>
      </c>
    </row>
    <row r="116" spans="2:9">
      <c r="B116" s="187" t="s">
        <v>4310</v>
      </c>
      <c r="C116" s="194"/>
      <c r="H116" s="197" t="s">
        <v>233</v>
      </c>
      <c r="I116">
        <v>8</v>
      </c>
    </row>
    <row r="117" spans="2:9">
      <c r="B117" s="187" t="s">
        <v>4311</v>
      </c>
      <c r="C117" s="194"/>
      <c r="H117" s="196" t="s">
        <v>230</v>
      </c>
      <c r="I117">
        <v>93</v>
      </c>
    </row>
    <row r="118" spans="2:9">
      <c r="B118" s="187" t="s">
        <v>4312</v>
      </c>
      <c r="C118" s="194"/>
      <c r="H118" s="197" t="s">
        <v>233</v>
      </c>
      <c r="I118">
        <v>90</v>
      </c>
    </row>
    <row r="119" spans="2:9">
      <c r="B119" s="187" t="s">
        <v>4260</v>
      </c>
      <c r="C119" s="194"/>
      <c r="H119" s="197" t="s">
        <v>235</v>
      </c>
      <c r="I119">
        <v>1</v>
      </c>
    </row>
    <row r="120" spans="2:9">
      <c r="B120" s="187" t="s">
        <v>4313</v>
      </c>
      <c r="C120" s="194"/>
      <c r="H120" s="197" t="s">
        <v>236</v>
      </c>
      <c r="I120">
        <v>2</v>
      </c>
    </row>
    <row r="121" spans="2:9">
      <c r="B121" s="187" t="s">
        <v>4265</v>
      </c>
      <c r="C121" s="194"/>
      <c r="H121" s="196" t="s">
        <v>232</v>
      </c>
      <c r="I121">
        <v>2</v>
      </c>
    </row>
    <row r="122" spans="2:9">
      <c r="B122" s="187" t="s">
        <v>252</v>
      </c>
      <c r="C122" s="194"/>
      <c r="H122" s="196" t="s">
        <v>4302</v>
      </c>
      <c r="I122">
        <v>103</v>
      </c>
    </row>
    <row r="123" spans="2:9" ht="30">
      <c r="B123" s="187" t="s">
        <v>253</v>
      </c>
      <c r="C123" s="194"/>
    </row>
    <row r="124" spans="2:9" ht="30">
      <c r="B124" s="187" t="s">
        <v>240</v>
      </c>
      <c r="C124" s="194"/>
    </row>
    <row r="125" spans="2:9">
      <c r="B125" s="188" t="s">
        <v>4314</v>
      </c>
      <c r="C125" s="188">
        <v>0</v>
      </c>
    </row>
    <row r="126" spans="2:9">
      <c r="B126" s="187" t="s">
        <v>4305</v>
      </c>
      <c r="C126" s="194"/>
    </row>
    <row r="127" spans="2:9">
      <c r="B127" s="189" t="s">
        <v>4306</v>
      </c>
      <c r="C127" s="194"/>
    </row>
    <row r="128" spans="2:9">
      <c r="B128" s="187" t="s">
        <v>4307</v>
      </c>
      <c r="C128" s="194"/>
    </row>
    <row r="129" spans="2:3">
      <c r="B129" s="190" t="s">
        <v>4309</v>
      </c>
      <c r="C129" s="194"/>
    </row>
    <row r="130" spans="2:3">
      <c r="B130" s="190" t="s">
        <v>4310</v>
      </c>
      <c r="C130" s="194"/>
    </row>
    <row r="131" spans="2:3">
      <c r="B131" s="190" t="s">
        <v>4311</v>
      </c>
      <c r="C131" s="194"/>
    </row>
    <row r="132" spans="2:3">
      <c r="B132" s="190" t="s">
        <v>4312</v>
      </c>
      <c r="C132" s="194"/>
    </row>
    <row r="133" spans="2:3">
      <c r="B133" s="191" t="s">
        <v>4260</v>
      </c>
      <c r="C133" s="194"/>
    </row>
    <row r="134" spans="2:3">
      <c r="B134" s="190" t="s">
        <v>4313</v>
      </c>
      <c r="C134" s="194"/>
    </row>
    <row r="135" spans="2:3">
      <c r="B135" s="191" t="s">
        <v>4265</v>
      </c>
      <c r="C135" s="194"/>
    </row>
    <row r="136" spans="2:3">
      <c r="B136" s="191" t="s">
        <v>252</v>
      </c>
      <c r="C136" s="194"/>
    </row>
    <row r="137" spans="2:3">
      <c r="B137" s="191" t="s">
        <v>253</v>
      </c>
      <c r="C137" s="194"/>
    </row>
    <row r="138" spans="2:3">
      <c r="B138" s="191" t="s">
        <v>240</v>
      </c>
      <c r="C138" s="194"/>
    </row>
    <row r="139" spans="2:3">
      <c r="B139" s="192" t="s">
        <v>47</v>
      </c>
      <c r="C139" s="192">
        <v>0</v>
      </c>
    </row>
    <row r="140" spans="2:3">
      <c r="B140" s="186" t="s">
        <v>4304</v>
      </c>
      <c r="C140" s="186">
        <v>0</v>
      </c>
    </row>
    <row r="141" spans="2:3">
      <c r="B141" s="187" t="s">
        <v>4305</v>
      </c>
      <c r="C141" s="194"/>
    </row>
    <row r="142" spans="2:3">
      <c r="B142" s="189" t="s">
        <v>4306</v>
      </c>
      <c r="C142" s="194"/>
    </row>
    <row r="143" spans="2:3">
      <c r="B143" s="187" t="s">
        <v>4307</v>
      </c>
      <c r="C143" s="194"/>
    </row>
    <row r="144" spans="2:3">
      <c r="B144" s="190" t="s">
        <v>4309</v>
      </c>
      <c r="C144" s="194"/>
    </row>
    <row r="145" spans="2:3">
      <c r="B145" s="190" t="s">
        <v>4310</v>
      </c>
      <c r="C145" s="194"/>
    </row>
    <row r="146" spans="2:3">
      <c r="B146" s="190" t="s">
        <v>4311</v>
      </c>
      <c r="C146" s="194"/>
    </row>
    <row r="147" spans="2:3">
      <c r="B147" s="190" t="s">
        <v>4312</v>
      </c>
      <c r="C147" s="194"/>
    </row>
    <row r="148" spans="2:3">
      <c r="B148" s="191" t="s">
        <v>4260</v>
      </c>
      <c r="C148" s="194"/>
    </row>
    <row r="149" spans="2:3">
      <c r="B149" s="190" t="s">
        <v>4313</v>
      </c>
      <c r="C149" s="194"/>
    </row>
    <row r="150" spans="2:3">
      <c r="B150" s="191" t="s">
        <v>4265</v>
      </c>
      <c r="C150" s="194"/>
    </row>
    <row r="151" spans="2:3">
      <c r="B151" s="191" t="s">
        <v>252</v>
      </c>
      <c r="C151" s="194"/>
    </row>
    <row r="152" spans="2:3">
      <c r="B152" s="191" t="s">
        <v>253</v>
      </c>
      <c r="C152" s="194"/>
    </row>
    <row r="153" spans="2:3">
      <c r="B153" s="191" t="s">
        <v>240</v>
      </c>
      <c r="C153" s="194"/>
    </row>
    <row r="154" spans="2:3">
      <c r="B154" s="188" t="s">
        <v>4314</v>
      </c>
      <c r="C154" s="188">
        <v>0</v>
      </c>
    </row>
    <row r="155" spans="2:3">
      <c r="B155" s="187" t="s">
        <v>4305</v>
      </c>
      <c r="C155" s="194"/>
    </row>
    <row r="156" spans="2:3">
      <c r="B156" s="189" t="s">
        <v>4306</v>
      </c>
      <c r="C156" s="194"/>
    </row>
    <row r="157" spans="2:3">
      <c r="B157" s="187" t="s">
        <v>4307</v>
      </c>
      <c r="C157" s="194"/>
    </row>
    <row r="158" spans="2:3">
      <c r="B158" s="190" t="s">
        <v>4309</v>
      </c>
      <c r="C158" s="194"/>
    </row>
    <row r="159" spans="2:3">
      <c r="B159" s="190" t="s">
        <v>4310</v>
      </c>
      <c r="C159" s="194"/>
    </row>
    <row r="160" spans="2:3">
      <c r="B160" s="190" t="s">
        <v>4311</v>
      </c>
      <c r="C160" s="194"/>
    </row>
    <row r="161" spans="2:3">
      <c r="B161" s="190" t="s">
        <v>4312</v>
      </c>
      <c r="C161" s="194"/>
    </row>
    <row r="162" spans="2:3">
      <c r="B162" s="191" t="s">
        <v>4260</v>
      </c>
      <c r="C162" s="194"/>
    </row>
    <row r="163" spans="2:3">
      <c r="B163" s="190" t="s">
        <v>4313</v>
      </c>
      <c r="C163" s="194"/>
    </row>
    <row r="164" spans="2:3">
      <c r="B164" s="191" t="s">
        <v>4265</v>
      </c>
      <c r="C164" s="194"/>
    </row>
    <row r="165" spans="2:3">
      <c r="B165" s="191" t="s">
        <v>252</v>
      </c>
      <c r="C165" s="194"/>
    </row>
    <row r="166" spans="2:3">
      <c r="B166" s="191" t="s">
        <v>253</v>
      </c>
      <c r="C166" s="194"/>
    </row>
    <row r="167" spans="2:3">
      <c r="B167" s="191" t="s">
        <v>240</v>
      </c>
      <c r="C167" s="194"/>
    </row>
  </sheetData>
  <protectedRanges>
    <protectedRange algorithmName="SHA-512" hashValue="MmcEAIREvL3dHkb9i8LZI2jIXonTu3NIayKBfIp038kkruORg3GQbCRDrcvwvAG6qE4smtRrLR0hicU8pc/slw==" saltValue="oqVjYUTKgC0eT7QicbKtlg==" spinCount="100000" sqref="C109" name="Rango2_2_1_2"/>
    <protectedRange algorithmName="SHA-512" hashValue="MmcEAIREvL3dHkb9i8LZI2jIXonTu3NIayKBfIp038kkruORg3GQbCRDrcvwvAG6qE4smtRrLR0hicU8pc/slw==" saltValue="oqVjYUTKgC0eT7QicbKtlg==" spinCount="100000" sqref="C110:C111" name="Rango2_1_1_1_2"/>
  </protectedRanges>
  <sortState xmlns:xlrd2="http://schemas.microsoft.com/office/spreadsheetml/2017/richdata2" ref="S11:T33">
    <sortCondition descending="1" ref="T11:T33"/>
  </sortState>
  <mergeCells count="6">
    <mergeCell ref="B105:B106"/>
    <mergeCell ref="J3:K3"/>
    <mergeCell ref="J9:K9"/>
    <mergeCell ref="B98:B99"/>
    <mergeCell ref="B100:B101"/>
    <mergeCell ref="B103:B104"/>
  </mergeCells>
  <conditionalFormatting sqref="B87:Q90">
    <cfRule type="expression" dxfId="3" priority="2">
      <formula>B87=0</formula>
    </cfRule>
  </conditionalFormatting>
  <conditionalFormatting sqref="B71:R86 T71:X86 R87:R89 T87:W89 X87:X90 B91:R91 T91:X91">
    <cfRule type="expression" dxfId="2" priority="3">
      <formula>B71=0</formula>
    </cfRule>
  </conditionalFormatting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5803-2523-4F52-BE4B-9A053609858E}">
  <dimension ref="A1:V3"/>
  <sheetViews>
    <sheetView showGridLines="0" workbookViewId="0">
      <selection activeCell="I26" sqref="I26"/>
    </sheetView>
  </sheetViews>
  <sheetFormatPr defaultColWidth="11.42578125" defaultRowHeight="15"/>
  <cols>
    <col min="3" max="3" width="12.140625" customWidth="1"/>
    <col min="6" max="6" width="14.85546875" customWidth="1"/>
    <col min="7" max="7" width="18" customWidth="1"/>
    <col min="8" max="8" width="13.85546875" customWidth="1"/>
    <col min="10" max="10" width="16.42578125" customWidth="1"/>
    <col min="11" max="11" width="18.5703125" customWidth="1"/>
    <col min="12" max="12" width="12.42578125" customWidth="1"/>
    <col min="13" max="13" width="15.42578125" customWidth="1"/>
    <col min="16" max="16" width="11.5703125" customWidth="1"/>
    <col min="18" max="18" width="15" customWidth="1"/>
    <col min="19" max="19" width="11.85546875" customWidth="1"/>
    <col min="20" max="20" width="13.85546875" style="2" customWidth="1"/>
    <col min="21" max="21" width="11.5703125" style="2" customWidth="1"/>
    <col min="22" max="22" width="16" customWidth="1"/>
  </cols>
  <sheetData>
    <row r="1" spans="1:22">
      <c r="A1" t="s">
        <v>21</v>
      </c>
      <c r="B1" t="s">
        <v>9</v>
      </c>
      <c r="C1" t="s">
        <v>4315</v>
      </c>
      <c r="D1" t="s">
        <v>13</v>
      </c>
      <c r="E1" t="s">
        <v>11</v>
      </c>
      <c r="F1" t="s">
        <v>4316</v>
      </c>
      <c r="G1" t="s">
        <v>4317</v>
      </c>
      <c r="H1" t="s">
        <v>25</v>
      </c>
      <c r="I1" t="s">
        <v>27</v>
      </c>
      <c r="J1" t="s">
        <v>4318</v>
      </c>
      <c r="K1" t="s">
        <v>17</v>
      </c>
      <c r="L1" t="s">
        <v>4319</v>
      </c>
      <c r="M1" t="s">
        <v>4320</v>
      </c>
      <c r="N1" t="s">
        <v>37</v>
      </c>
      <c r="O1" t="s">
        <v>4321</v>
      </c>
      <c r="P1" t="s">
        <v>4322</v>
      </c>
      <c r="Q1" t="s">
        <v>4323</v>
      </c>
      <c r="R1" t="s">
        <v>4324</v>
      </c>
      <c r="S1" t="s">
        <v>4254</v>
      </c>
      <c r="T1" s="2" t="s">
        <v>4325</v>
      </c>
      <c r="U1" s="2" t="s">
        <v>4326</v>
      </c>
      <c r="V1" t="s">
        <v>4327</v>
      </c>
    </row>
    <row r="2" spans="1:22">
      <c r="A2">
        <v>2023</v>
      </c>
      <c r="B2">
        <v>202317659</v>
      </c>
      <c r="C2">
        <v>97796108</v>
      </c>
      <c r="D2" t="s">
        <v>3642</v>
      </c>
      <c r="E2" t="s">
        <v>3641</v>
      </c>
      <c r="F2" t="s">
        <v>90</v>
      </c>
      <c r="G2" t="s">
        <v>90</v>
      </c>
      <c r="H2" t="s">
        <v>3055</v>
      </c>
      <c r="I2" t="s">
        <v>90</v>
      </c>
      <c r="J2" t="s">
        <v>3643</v>
      </c>
      <c r="K2" t="s">
        <v>3644</v>
      </c>
      <c r="L2" t="s">
        <v>246</v>
      </c>
      <c r="M2" t="s">
        <v>3657</v>
      </c>
      <c r="N2" t="s">
        <v>618</v>
      </c>
      <c r="O2" t="s">
        <v>4328</v>
      </c>
      <c r="P2" t="s">
        <v>3645</v>
      </c>
      <c r="Q2" t="s">
        <v>4329</v>
      </c>
      <c r="R2" t="s">
        <v>4330</v>
      </c>
      <c r="S2" t="s">
        <v>4331</v>
      </c>
      <c r="T2" s="2">
        <v>44949</v>
      </c>
      <c r="U2" s="2">
        <v>45004</v>
      </c>
      <c r="V2">
        <v>55</v>
      </c>
    </row>
    <row r="3" spans="1:22">
      <c r="A3">
        <v>2023</v>
      </c>
      <c r="B3">
        <v>202317660</v>
      </c>
      <c r="C3" t="s">
        <v>4332</v>
      </c>
      <c r="D3" t="s">
        <v>3647</v>
      </c>
      <c r="E3" t="s">
        <v>3646</v>
      </c>
      <c r="F3" t="s">
        <v>90</v>
      </c>
      <c r="G3" t="s">
        <v>90</v>
      </c>
      <c r="H3" t="s">
        <v>3055</v>
      </c>
      <c r="I3" t="s">
        <v>90</v>
      </c>
      <c r="J3" t="s">
        <v>3648</v>
      </c>
      <c r="K3" t="s">
        <v>3649</v>
      </c>
      <c r="L3" t="s">
        <v>246</v>
      </c>
      <c r="M3" t="s">
        <v>3657</v>
      </c>
      <c r="N3" t="s">
        <v>618</v>
      </c>
      <c r="O3" t="s">
        <v>4328</v>
      </c>
      <c r="P3" t="s">
        <v>3645</v>
      </c>
      <c r="Q3" t="s">
        <v>4329</v>
      </c>
      <c r="R3" t="s">
        <v>4330</v>
      </c>
      <c r="S3" t="s">
        <v>4331</v>
      </c>
      <c r="T3" s="2">
        <v>44949</v>
      </c>
      <c r="U3" s="2">
        <v>45004</v>
      </c>
      <c r="V3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Oiaanalytics</dc:creator>
  <cp:keywords/>
  <dc:description/>
  <cp:lastModifiedBy>Jose David Martinez Osorio</cp:lastModifiedBy>
  <cp:revision/>
  <dcterms:created xsi:type="dcterms:W3CDTF">2024-06-19T20:24:58Z</dcterms:created>
  <dcterms:modified xsi:type="dcterms:W3CDTF">2025-09-09T16:41:45Z</dcterms:modified>
  <cp:category/>
  <cp:contentStatus/>
</cp:coreProperties>
</file>