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andes-my.sharepoint.com/personal/jd_martinezo_uniandes_edu_co/Documents/GESTION OFICINA INTERNACIONAL/Estadisticas/Web KPIs/data/Internationalization/"/>
    </mc:Choice>
  </mc:AlternateContent>
  <xr:revisionPtr revIDLastSave="30" documentId="8_{F134BDCC-CC49-4201-8E5C-BE5AA35255EB}" xr6:coauthVersionLast="47" xr6:coauthVersionMax="47" xr10:uidLastSave="{4B4FB9B8-39DC-4316-8678-24FB881F7276}"/>
  <bookViews>
    <workbookView xWindow="-120" yWindow="-120" windowWidth="29040" windowHeight="15840" xr2:uid="{61C54AD8-5009-43F8-B155-987E54885181}"/>
  </bookViews>
  <sheets>
    <sheet name="Utilización Convenios" sheetId="5" r:id="rId1"/>
    <sheet name="BD Convenios" sheetId="9" r:id="rId2"/>
    <sheet name="Convenios especificos" sheetId="10" r:id="rId3"/>
    <sheet name="Outgoing" sheetId="1" r:id="rId4"/>
    <sheet name="Incoming" sheetId="2" r:id="rId5"/>
    <sheet name="Conversiones" sheetId="6" r:id="rId6"/>
    <sheet name="Pasantes Incoming" sheetId="3" state="hidden" r:id="rId7"/>
  </sheets>
  <definedNames>
    <definedName name="_xlnm._FilterDatabase" localSheetId="1" hidden="1">'BD Convenios'!$A$1:$AE$73</definedName>
    <definedName name="_xlnm._FilterDatabase" localSheetId="5" hidden="1">Conversiones!$B$3:$E$162</definedName>
    <definedName name="_xlnm._FilterDatabase" localSheetId="4" hidden="1">Incoming!$E$363:$F$363</definedName>
    <definedName name="_xlnm._FilterDatabase" localSheetId="3" hidden="1">Outgoing!#REF!</definedName>
    <definedName name="_xlnm._FilterDatabase" localSheetId="0" hidden="1">'Utilización Convenios'!$B$141:$R$220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6" l="1"/>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4" i="6"/>
  <c r="T73" i="9" l="1"/>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D101" i="5" l="1"/>
  <c r="D100" i="5"/>
  <c r="D99" i="5"/>
  <c r="D98" i="5"/>
  <c r="D97" i="5"/>
  <c r="G402" i="2"/>
  <c r="G403" i="2"/>
  <c r="G404" i="2"/>
  <c r="G405" i="2"/>
  <c r="G406" i="2"/>
  <c r="G407" i="2"/>
  <c r="G408" i="2"/>
  <c r="G409" i="2"/>
  <c r="G410" i="2"/>
  <c r="H410" i="2" s="1"/>
  <c r="G411" i="2"/>
  <c r="H411" i="2" s="1"/>
  <c r="G412" i="2"/>
  <c r="G413" i="2"/>
  <c r="G414" i="2"/>
  <c r="G415" i="2"/>
  <c r="G416" i="2"/>
  <c r="G417" i="2"/>
  <c r="G418" i="2"/>
  <c r="G419" i="2"/>
  <c r="G420" i="2"/>
  <c r="G421" i="2"/>
  <c r="G422" i="2"/>
  <c r="G423" i="2"/>
  <c r="G424" i="2"/>
  <c r="G425" i="2"/>
  <c r="G426" i="2"/>
  <c r="G427" i="2"/>
  <c r="G428" i="2"/>
  <c r="H428" i="2" s="1"/>
  <c r="G429" i="2"/>
  <c r="H429" i="2" s="1"/>
  <c r="G430" i="2"/>
  <c r="G431" i="2"/>
  <c r="G432" i="2"/>
  <c r="G433" i="2"/>
  <c r="G434" i="2"/>
  <c r="G435" i="2"/>
  <c r="G436" i="2"/>
  <c r="G437" i="2"/>
  <c r="G438" i="2"/>
  <c r="G439" i="2"/>
  <c r="G440" i="2"/>
  <c r="G441" i="2"/>
  <c r="G442" i="2"/>
  <c r="H442" i="2" s="1"/>
  <c r="G443" i="2"/>
  <c r="H443" i="2" s="1"/>
  <c r="G444" i="2"/>
  <c r="H444" i="2" s="1"/>
  <c r="G445" i="2"/>
  <c r="G446" i="2"/>
  <c r="G447" i="2"/>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U532" i="1" s="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H406" i="2" l="1"/>
  <c r="H404" i="2"/>
  <c r="U602" i="1"/>
  <c r="H408" i="2"/>
  <c r="U567" i="1"/>
  <c r="H405" i="2"/>
  <c r="H419" i="2"/>
  <c r="H446" i="2"/>
  <c r="H439" i="2"/>
  <c r="U592" i="1"/>
  <c r="H414" i="2"/>
  <c r="H413" i="2"/>
  <c r="H417" i="2"/>
  <c r="H412" i="2"/>
  <c r="H441" i="2"/>
  <c r="H425" i="2"/>
  <c r="H402" i="2"/>
  <c r="H409" i="2"/>
  <c r="U614" i="1"/>
  <c r="H418" i="2"/>
  <c r="H431" i="2"/>
  <c r="H423" i="2"/>
  <c r="H422" i="2"/>
  <c r="H421" i="2"/>
  <c r="H440" i="2"/>
  <c r="H424" i="2"/>
  <c r="H407" i="2"/>
  <c r="H420" i="2"/>
  <c r="H426" i="2"/>
  <c r="H437" i="2"/>
  <c r="H436" i="2"/>
  <c r="H100" i="5"/>
  <c r="H435" i="2"/>
  <c r="F101" i="5"/>
  <c r="H434" i="2"/>
  <c r="H433" i="2"/>
  <c r="H432" i="2"/>
  <c r="H416" i="2"/>
  <c r="H400" i="2"/>
  <c r="H415" i="2"/>
  <c r="H427" i="2"/>
  <c r="J98" i="5"/>
  <c r="J99" i="5"/>
  <c r="H101" i="5"/>
  <c r="L98" i="5"/>
  <c r="J100" i="5"/>
  <c r="L99" i="5"/>
  <c r="J101" i="5"/>
  <c r="N98" i="5"/>
  <c r="L100" i="5"/>
  <c r="N99" i="5"/>
  <c r="L101" i="5"/>
  <c r="P98" i="5"/>
  <c r="N100" i="5"/>
  <c r="P99" i="5"/>
  <c r="N101" i="5"/>
  <c r="F98" i="5"/>
  <c r="P100" i="5"/>
  <c r="F99" i="5"/>
  <c r="P101" i="5"/>
  <c r="H98" i="5"/>
  <c r="F100" i="5"/>
  <c r="H99" i="5"/>
  <c r="H135" i="5"/>
  <c r="P94" i="5"/>
  <c r="F91" i="5"/>
  <c r="F92" i="5"/>
  <c r="F93" i="5"/>
  <c r="F94" i="5"/>
  <c r="H91" i="5"/>
  <c r="H92" i="5"/>
  <c r="H93" i="5"/>
  <c r="H94" i="5"/>
  <c r="J91" i="5"/>
  <c r="J92" i="5"/>
  <c r="J93" i="5"/>
  <c r="J94" i="5"/>
  <c r="L91" i="5"/>
  <c r="L92" i="5"/>
  <c r="L93" i="5"/>
  <c r="L94" i="5"/>
  <c r="N91" i="5"/>
  <c r="N92" i="5"/>
  <c r="N93" i="5"/>
  <c r="N94" i="5"/>
  <c r="P91" i="5"/>
  <c r="P92" i="5"/>
  <c r="P93" i="5"/>
  <c r="E135" i="5"/>
  <c r="F135" i="5"/>
  <c r="G135" i="5"/>
  <c r="I135" i="5"/>
  <c r="N208" i="5"/>
  <c r="J135" i="5"/>
  <c r="F134" i="5"/>
  <c r="G134" i="5"/>
  <c r="L208" i="5"/>
  <c r="H134" i="5"/>
  <c r="I134" i="5"/>
  <c r="J134" i="5"/>
  <c r="L130" i="5"/>
  <c r="P215" i="5"/>
  <c r="P214" i="5"/>
  <c r="P213" i="5"/>
  <c r="P212" i="5"/>
  <c r="P211" i="5"/>
  <c r="P210" i="5"/>
  <c r="P209" i="5"/>
  <c r="P208" i="5"/>
  <c r="N215" i="5"/>
  <c r="J130" i="5"/>
  <c r="N209" i="5"/>
  <c r="L215" i="5"/>
  <c r="L214" i="5"/>
  <c r="L213" i="5"/>
  <c r="L212" i="5"/>
  <c r="L211" i="5"/>
  <c r="L210" i="5"/>
  <c r="L209" i="5"/>
  <c r="P89" i="5"/>
  <c r="N211" i="5"/>
  <c r="J33" i="5"/>
  <c r="J215" i="5"/>
  <c r="J214" i="5"/>
  <c r="J213" i="5"/>
  <c r="J212" i="5"/>
  <c r="J211" i="5"/>
  <c r="J210" i="5"/>
  <c r="J209" i="5"/>
  <c r="J208" i="5"/>
  <c r="N213" i="5"/>
  <c r="N210" i="5"/>
  <c r="H438" i="2"/>
  <c r="H215" i="5"/>
  <c r="H214" i="5"/>
  <c r="H213" i="5"/>
  <c r="H212" i="5"/>
  <c r="H211" i="5"/>
  <c r="H210" i="5"/>
  <c r="H209" i="5"/>
  <c r="H208" i="5"/>
  <c r="E134" i="5"/>
  <c r="N212" i="5"/>
  <c r="F215" i="5"/>
  <c r="F214" i="5"/>
  <c r="F213" i="5"/>
  <c r="F212" i="5"/>
  <c r="F211" i="5"/>
  <c r="F210" i="5"/>
  <c r="F209" i="5"/>
  <c r="F208" i="5"/>
  <c r="N214" i="5"/>
  <c r="J89" i="5"/>
  <c r="L90" i="5"/>
  <c r="L33" i="5"/>
  <c r="H89" i="5"/>
  <c r="H145" i="5"/>
  <c r="H144" i="5"/>
  <c r="J144" i="5"/>
  <c r="N90" i="5"/>
  <c r="N33" i="5"/>
  <c r="N130" i="5"/>
  <c r="F89" i="5"/>
  <c r="F145" i="5"/>
  <c r="F144" i="5"/>
  <c r="P90" i="5"/>
  <c r="P33" i="5"/>
  <c r="P130" i="5"/>
  <c r="J145" i="5"/>
  <c r="P145" i="5"/>
  <c r="P144" i="5"/>
  <c r="F90" i="5"/>
  <c r="F33" i="5"/>
  <c r="F130" i="5"/>
  <c r="H430" i="2"/>
  <c r="H403" i="2"/>
  <c r="N89" i="5"/>
  <c r="N145" i="5"/>
  <c r="N144" i="5"/>
  <c r="H90" i="5"/>
  <c r="H33" i="5"/>
  <c r="H130" i="5"/>
  <c r="L89" i="5"/>
  <c r="L145" i="5"/>
  <c r="L144" i="5"/>
  <c r="J90" i="5"/>
  <c r="H445" i="2"/>
  <c r="U633" i="1"/>
  <c r="U632" i="1"/>
  <c r="U631" i="1"/>
  <c r="H447" i="2"/>
  <c r="H390" i="2"/>
  <c r="U517" i="1"/>
  <c r="U528" i="1"/>
  <c r="U527" i="1"/>
  <c r="P240" i="5"/>
  <c r="N227" i="5"/>
  <c r="J230" i="5"/>
  <c r="F233" i="5"/>
  <c r="N235" i="5"/>
  <c r="J238" i="5"/>
  <c r="N218" i="5"/>
  <c r="P227" i="5"/>
  <c r="L230" i="5"/>
  <c r="H233" i="5"/>
  <c r="P235" i="5"/>
  <c r="L238" i="5"/>
  <c r="F228" i="5"/>
  <c r="N230" i="5"/>
  <c r="J233" i="5"/>
  <c r="F236" i="5"/>
  <c r="N238" i="5"/>
  <c r="P218" i="5"/>
  <c r="H228" i="5"/>
  <c r="P230" i="5"/>
  <c r="L233" i="5"/>
  <c r="H236" i="5"/>
  <c r="P238" i="5"/>
  <c r="J228" i="5"/>
  <c r="F231" i="5"/>
  <c r="N233" i="5"/>
  <c r="J236" i="5"/>
  <c r="F239" i="5"/>
  <c r="L228" i="5"/>
  <c r="H231" i="5"/>
  <c r="P233" i="5"/>
  <c r="L236" i="5"/>
  <c r="H239" i="5"/>
  <c r="F226" i="5"/>
  <c r="N228" i="5"/>
  <c r="J231" i="5"/>
  <c r="F234" i="5"/>
  <c r="N236" i="5"/>
  <c r="J239" i="5"/>
  <c r="H226" i="5"/>
  <c r="P228" i="5"/>
  <c r="L231" i="5"/>
  <c r="H234" i="5"/>
  <c r="P236" i="5"/>
  <c r="L239" i="5"/>
  <c r="J226" i="5"/>
  <c r="F229" i="5"/>
  <c r="N231" i="5"/>
  <c r="J234" i="5"/>
  <c r="F237" i="5"/>
  <c r="N239" i="5"/>
  <c r="L226" i="5"/>
  <c r="H229" i="5"/>
  <c r="P231" i="5"/>
  <c r="L234" i="5"/>
  <c r="H237" i="5"/>
  <c r="P239" i="5"/>
  <c r="N226" i="5"/>
  <c r="J229" i="5"/>
  <c r="F232" i="5"/>
  <c r="N234" i="5"/>
  <c r="J237" i="5"/>
  <c r="F240" i="5"/>
  <c r="P226" i="5"/>
  <c r="L229" i="5"/>
  <c r="H232" i="5"/>
  <c r="P234" i="5"/>
  <c r="L237" i="5"/>
  <c r="H240" i="5"/>
  <c r="F227" i="5"/>
  <c r="N229" i="5"/>
  <c r="J232" i="5"/>
  <c r="F235" i="5"/>
  <c r="N237" i="5"/>
  <c r="J240" i="5"/>
  <c r="H227" i="5"/>
  <c r="P229" i="5"/>
  <c r="L232" i="5"/>
  <c r="H235" i="5"/>
  <c r="P237" i="5"/>
  <c r="L240" i="5"/>
  <c r="J227" i="5"/>
  <c r="F230" i="5"/>
  <c r="N232" i="5"/>
  <c r="J235" i="5"/>
  <c r="F238" i="5"/>
  <c r="N240" i="5"/>
  <c r="L227" i="5"/>
  <c r="H230" i="5"/>
  <c r="P232" i="5"/>
  <c r="L235" i="5"/>
  <c r="H238" i="5"/>
  <c r="N121" i="5"/>
  <c r="P121" i="5"/>
  <c r="F218" i="5"/>
  <c r="H218" i="5"/>
  <c r="F121" i="5"/>
  <c r="J218" i="5"/>
  <c r="H121" i="5"/>
  <c r="L218" i="5"/>
  <c r="J121" i="5"/>
  <c r="L121" i="5"/>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U491" i="1" s="1"/>
  <c r="T492" i="1"/>
  <c r="T493" i="1"/>
  <c r="U493" i="1" s="1"/>
  <c r="T494" i="1"/>
  <c r="T495" i="1"/>
  <c r="T496" i="1"/>
  <c r="T497" i="1"/>
  <c r="O94" i="5" l="1"/>
  <c r="O209" i="5"/>
  <c r="O92" i="5"/>
  <c r="O100" i="5"/>
  <c r="O93" i="5"/>
  <c r="R100" i="5"/>
  <c r="R101" i="5"/>
  <c r="O91" i="5"/>
  <c r="G98" i="5"/>
  <c r="G99" i="5"/>
  <c r="G94" i="5"/>
  <c r="G92" i="5"/>
  <c r="O101" i="5"/>
  <c r="E100" i="5"/>
  <c r="I98" i="5"/>
  <c r="E94" i="5"/>
  <c r="E92" i="5"/>
  <c r="K101" i="5"/>
  <c r="O99" i="5"/>
  <c r="E98" i="5"/>
  <c r="M93" i="5"/>
  <c r="M91" i="5"/>
  <c r="E91" i="5"/>
  <c r="I101" i="5"/>
  <c r="M99" i="5"/>
  <c r="K93" i="5"/>
  <c r="K91" i="5"/>
  <c r="E93" i="5"/>
  <c r="G101" i="5"/>
  <c r="K99" i="5"/>
  <c r="I93" i="5"/>
  <c r="I91" i="5"/>
  <c r="E101" i="5"/>
  <c r="I99" i="5"/>
  <c r="G93" i="5"/>
  <c r="G91" i="5"/>
  <c r="M100" i="5"/>
  <c r="M94" i="5"/>
  <c r="M92" i="5"/>
  <c r="E99" i="5"/>
  <c r="K100" i="5"/>
  <c r="O98" i="5"/>
  <c r="K94" i="5"/>
  <c r="G100" i="5"/>
  <c r="K98" i="5"/>
  <c r="I100" i="5"/>
  <c r="I94" i="5"/>
  <c r="I92" i="5"/>
  <c r="M101" i="5"/>
  <c r="M98" i="5"/>
  <c r="K92" i="5"/>
  <c r="H136" i="5"/>
  <c r="R99" i="5"/>
  <c r="R98" i="5"/>
  <c r="E136" i="5"/>
  <c r="R91" i="5"/>
  <c r="R93" i="5"/>
  <c r="R92" i="5"/>
  <c r="R94" i="5"/>
  <c r="J136" i="5"/>
  <c r="I136" i="5"/>
  <c r="F136" i="5"/>
  <c r="K135" i="5"/>
  <c r="R208" i="5"/>
  <c r="G136" i="5"/>
  <c r="R215" i="5"/>
  <c r="R210" i="5"/>
  <c r="R211" i="5"/>
  <c r="R213" i="5"/>
  <c r="R214" i="5"/>
  <c r="E212" i="5"/>
  <c r="O211" i="5"/>
  <c r="O213" i="5"/>
  <c r="E214" i="5"/>
  <c r="O215" i="5"/>
  <c r="O5" i="5"/>
  <c r="E208" i="5"/>
  <c r="E210" i="5"/>
  <c r="G208" i="5"/>
  <c r="G210" i="5"/>
  <c r="G212" i="5"/>
  <c r="G214" i="5"/>
  <c r="I208" i="5"/>
  <c r="I210" i="5"/>
  <c r="I212" i="5"/>
  <c r="I214" i="5"/>
  <c r="K208" i="5"/>
  <c r="K210" i="5"/>
  <c r="K212" i="5"/>
  <c r="K214" i="5"/>
  <c r="M208" i="5"/>
  <c r="M210" i="5"/>
  <c r="M212" i="5"/>
  <c r="M214" i="5"/>
  <c r="O208" i="5"/>
  <c r="O210" i="5"/>
  <c r="O212" i="5"/>
  <c r="O214" i="5"/>
  <c r="E209" i="5"/>
  <c r="E211" i="5"/>
  <c r="E213" i="5"/>
  <c r="E215" i="5"/>
  <c r="G209" i="5"/>
  <c r="G211" i="5"/>
  <c r="G213" i="5"/>
  <c r="G215" i="5"/>
  <c r="I209" i="5"/>
  <c r="I211" i="5"/>
  <c r="I213" i="5"/>
  <c r="I215" i="5"/>
  <c r="M209" i="5"/>
  <c r="M211" i="5"/>
  <c r="M213" i="5"/>
  <c r="M215" i="5"/>
  <c r="K209" i="5"/>
  <c r="K211" i="5"/>
  <c r="K213" i="5"/>
  <c r="K215" i="5"/>
  <c r="R212" i="5"/>
  <c r="R209" i="5"/>
  <c r="R90" i="5"/>
  <c r="R33" i="5"/>
  <c r="R89" i="5"/>
  <c r="K130" i="5"/>
  <c r="K90" i="5"/>
  <c r="K33" i="5"/>
  <c r="R130" i="5"/>
  <c r="E139" i="5"/>
  <c r="F139" i="5"/>
  <c r="G139" i="5"/>
  <c r="H139" i="5"/>
  <c r="I139" i="5"/>
  <c r="J139" i="5"/>
  <c r="I89" i="5"/>
  <c r="R145" i="5"/>
  <c r="I130" i="5"/>
  <c r="G130" i="5"/>
  <c r="E130" i="5"/>
  <c r="O130" i="5"/>
  <c r="M130" i="5"/>
  <c r="K144" i="5"/>
  <c r="K145" i="5"/>
  <c r="K89" i="5"/>
  <c r="I33" i="5"/>
  <c r="I90" i="5"/>
  <c r="M144" i="5"/>
  <c r="M145" i="5"/>
  <c r="M89" i="5"/>
  <c r="G33" i="5"/>
  <c r="G90" i="5"/>
  <c r="O144" i="5"/>
  <c r="O145" i="5"/>
  <c r="O89" i="5"/>
  <c r="E33" i="5"/>
  <c r="E90" i="5"/>
  <c r="E144" i="5"/>
  <c r="E145" i="5"/>
  <c r="E89" i="5"/>
  <c r="O33" i="5"/>
  <c r="O90" i="5"/>
  <c r="G144" i="5"/>
  <c r="G145" i="5"/>
  <c r="G89" i="5"/>
  <c r="M33" i="5"/>
  <c r="M90" i="5"/>
  <c r="I144" i="5"/>
  <c r="I145" i="5"/>
  <c r="R144" i="5"/>
  <c r="U487" i="1"/>
  <c r="R228" i="5"/>
  <c r="R239" i="5"/>
  <c r="O218" i="5"/>
  <c r="O121" i="5"/>
  <c r="R230" i="5"/>
  <c r="L241" i="5"/>
  <c r="R226" i="5"/>
  <c r="R227" i="5"/>
  <c r="R231" i="5"/>
  <c r="R237" i="5"/>
  <c r="P241" i="5"/>
  <c r="R238" i="5"/>
  <c r="H241" i="5"/>
  <c r="N241" i="5"/>
  <c r="R235" i="5"/>
  <c r="R229" i="5"/>
  <c r="R234" i="5"/>
  <c r="R233" i="5"/>
  <c r="J241" i="5"/>
  <c r="R232" i="5"/>
  <c r="R236" i="5"/>
  <c r="R240" i="5"/>
  <c r="F241" i="5"/>
  <c r="G226" i="5"/>
  <c r="G227" i="5"/>
  <c r="G236" i="5"/>
  <c r="G232" i="5"/>
  <c r="G228" i="5"/>
  <c r="K218" i="5"/>
  <c r="G121" i="5"/>
  <c r="G218" i="5"/>
  <c r="K121" i="5"/>
  <c r="I121" i="5"/>
  <c r="E121" i="5"/>
  <c r="M218" i="5"/>
  <c r="I218" i="5"/>
  <c r="E218" i="5"/>
  <c r="K227" i="5"/>
  <c r="K233" i="5"/>
  <c r="K229" i="5"/>
  <c r="K226" i="5"/>
  <c r="M121" i="5"/>
  <c r="I230" i="5"/>
  <c r="I227" i="5"/>
  <c r="I234" i="5"/>
  <c r="I238" i="5"/>
  <c r="I226" i="5"/>
  <c r="O230" i="5"/>
  <c r="O226" i="5"/>
  <c r="M231" i="5"/>
  <c r="M235" i="5"/>
  <c r="M226" i="5"/>
  <c r="M227" i="5"/>
  <c r="M239" i="5"/>
  <c r="O240" i="5"/>
  <c r="K239" i="5"/>
  <c r="G238" i="5"/>
  <c r="O236" i="5"/>
  <c r="K235" i="5"/>
  <c r="G234" i="5"/>
  <c r="O232" i="5"/>
  <c r="K231" i="5"/>
  <c r="G230" i="5"/>
  <c r="O228" i="5"/>
  <c r="E233" i="5"/>
  <c r="E229" i="5"/>
  <c r="M240" i="5"/>
  <c r="I239" i="5"/>
  <c r="E238" i="5"/>
  <c r="M236" i="5"/>
  <c r="I235" i="5"/>
  <c r="E234" i="5"/>
  <c r="M232" i="5"/>
  <c r="I231" i="5"/>
  <c r="E230" i="5"/>
  <c r="M228" i="5"/>
  <c r="E226" i="5"/>
  <c r="K240" i="5"/>
  <c r="G239" i="5"/>
  <c r="O237" i="5"/>
  <c r="K236" i="5"/>
  <c r="G235" i="5"/>
  <c r="O233" i="5"/>
  <c r="K232" i="5"/>
  <c r="G231" i="5"/>
  <c r="O229" i="5"/>
  <c r="K228" i="5"/>
  <c r="I240" i="5"/>
  <c r="E239" i="5"/>
  <c r="M237" i="5"/>
  <c r="I236" i="5"/>
  <c r="E235" i="5"/>
  <c r="M233" i="5"/>
  <c r="I232" i="5"/>
  <c r="E231" i="5"/>
  <c r="M229" i="5"/>
  <c r="I228" i="5"/>
  <c r="E227" i="5"/>
  <c r="E237" i="5"/>
  <c r="O234" i="5"/>
  <c r="G240" i="5"/>
  <c r="O238" i="5"/>
  <c r="K237" i="5"/>
  <c r="E240" i="5"/>
  <c r="M238" i="5"/>
  <c r="I237" i="5"/>
  <c r="E236" i="5"/>
  <c r="M234" i="5"/>
  <c r="I233" i="5"/>
  <c r="E232" i="5"/>
  <c r="M230" i="5"/>
  <c r="I229" i="5"/>
  <c r="E228" i="5"/>
  <c r="O239" i="5"/>
  <c r="K238" i="5"/>
  <c r="G237" i="5"/>
  <c r="O235" i="5"/>
  <c r="K234" i="5"/>
  <c r="G233" i="5"/>
  <c r="O231" i="5"/>
  <c r="K230" i="5"/>
  <c r="G229" i="5"/>
  <c r="O227" i="5"/>
  <c r="R121" i="5"/>
  <c r="R218" i="5"/>
  <c r="O128" i="5"/>
  <c r="O104" i="5"/>
  <c r="O10" i="5"/>
  <c r="O83" i="5"/>
  <c r="O42" i="5"/>
  <c r="O25" i="5"/>
  <c r="O46" i="5"/>
  <c r="O110" i="5"/>
  <c r="O9" i="5"/>
  <c r="O24" i="5"/>
  <c r="O160" i="5"/>
  <c r="O109" i="5"/>
  <c r="O64" i="5"/>
  <c r="O31" i="5"/>
  <c r="O15" i="5"/>
  <c r="O191" i="5"/>
  <c r="O75" i="5"/>
  <c r="O54" i="5"/>
  <c r="O26" i="5"/>
  <c r="O62" i="5"/>
  <c r="O29" i="5"/>
  <c r="O67" i="5"/>
  <c r="O81" i="5"/>
  <c r="O183" i="5"/>
  <c r="O13" i="5"/>
  <c r="O84" i="5"/>
  <c r="O51" i="5"/>
  <c r="O201" i="5"/>
  <c r="O65" i="5"/>
  <c r="O175" i="5"/>
  <c r="O11" i="5"/>
  <c r="O76" i="5"/>
  <c r="O18" i="5"/>
  <c r="O185" i="5"/>
  <c r="O49" i="5"/>
  <c r="O166" i="5"/>
  <c r="O8" i="5"/>
  <c r="O68" i="5"/>
  <c r="O102" i="5"/>
  <c r="O169" i="5"/>
  <c r="O16" i="5"/>
  <c r="O158" i="5"/>
  <c r="O45" i="5"/>
  <c r="O60" i="5"/>
  <c r="O74" i="5"/>
  <c r="O152" i="5"/>
  <c r="O23" i="5"/>
  <c r="O150" i="5"/>
  <c r="O28" i="5"/>
  <c r="O52" i="5"/>
  <c r="O50" i="5"/>
  <c r="O117" i="5"/>
  <c r="O7" i="5"/>
  <c r="O115" i="5"/>
  <c r="O12" i="5"/>
  <c r="O44" i="5"/>
  <c r="O34" i="5"/>
  <c r="O97" i="5"/>
  <c r="O96" i="5"/>
  <c r="O107" i="5"/>
  <c r="O19" i="5"/>
  <c r="O36" i="5"/>
  <c r="O17" i="5"/>
  <c r="O73" i="5"/>
  <c r="O80" i="5"/>
  <c r="O95" i="5"/>
  <c r="O37" i="5"/>
  <c r="O27" i="5"/>
  <c r="O32" i="5"/>
  <c r="O57" i="5"/>
  <c r="O72" i="5"/>
  <c r="O79" i="5"/>
  <c r="O20" i="5"/>
  <c r="O71" i="5"/>
  <c r="O59" i="5"/>
  <c r="O82" i="5"/>
  <c r="O219" i="5"/>
  <c r="O56" i="5"/>
  <c r="O38" i="5"/>
  <c r="O22" i="5"/>
  <c r="O6" i="5"/>
  <c r="O63" i="5"/>
  <c r="O47" i="5"/>
  <c r="O30" i="5"/>
  <c r="O14" i="5"/>
  <c r="O55" i="5"/>
  <c r="O39" i="5"/>
  <c r="O43" i="5"/>
  <c r="O66" i="5"/>
  <c r="O193" i="5"/>
  <c r="O48" i="5"/>
  <c r="O21" i="5"/>
  <c r="O41" i="5"/>
  <c r="O35" i="5"/>
  <c r="O58" i="5"/>
  <c r="O177" i="5"/>
  <c r="O40" i="5"/>
  <c r="U486" i="1"/>
  <c r="G87" i="5"/>
  <c r="O129" i="5"/>
  <c r="O127" i="5"/>
  <c r="O168" i="5"/>
  <c r="M87" i="5"/>
  <c r="I86" i="5"/>
  <c r="O204" i="5"/>
  <c r="O196" i="5"/>
  <c r="O188" i="5"/>
  <c r="O180" i="5"/>
  <c r="O172" i="5"/>
  <c r="O163" i="5"/>
  <c r="O155" i="5"/>
  <c r="O147" i="5"/>
  <c r="O120" i="5"/>
  <c r="O112" i="5"/>
  <c r="O171" i="5"/>
  <c r="O154" i="5"/>
  <c r="O119" i="5"/>
  <c r="O103" i="5"/>
  <c r="O88" i="5"/>
  <c r="K87" i="5"/>
  <c r="G86" i="5"/>
  <c r="O203" i="5"/>
  <c r="O195" i="5"/>
  <c r="O187" i="5"/>
  <c r="O179" i="5"/>
  <c r="O162" i="5"/>
  <c r="O146" i="5"/>
  <c r="O111" i="5"/>
  <c r="M88" i="5"/>
  <c r="I87" i="5"/>
  <c r="E86" i="5"/>
  <c r="O202" i="5"/>
  <c r="O194" i="5"/>
  <c r="O186" i="5"/>
  <c r="O178" i="5"/>
  <c r="O170" i="5"/>
  <c r="O161" i="5"/>
  <c r="O153" i="5"/>
  <c r="O118" i="5"/>
  <c r="K88" i="5"/>
  <c r="I88" i="5"/>
  <c r="E87" i="5"/>
  <c r="O217" i="5"/>
  <c r="O200" i="5"/>
  <c r="O192" i="5"/>
  <c r="O184" i="5"/>
  <c r="O176" i="5"/>
  <c r="O167" i="5"/>
  <c r="O159" i="5"/>
  <c r="O151" i="5"/>
  <c r="O116" i="5"/>
  <c r="O108" i="5"/>
  <c r="O216" i="5"/>
  <c r="O207" i="5"/>
  <c r="O199" i="5"/>
  <c r="G88" i="5"/>
  <c r="O86" i="5"/>
  <c r="O157" i="5"/>
  <c r="O114" i="5"/>
  <c r="O70" i="5"/>
  <c r="E88" i="5"/>
  <c r="M86" i="5"/>
  <c r="O206" i="5"/>
  <c r="O198" i="5"/>
  <c r="O190" i="5"/>
  <c r="O182" i="5"/>
  <c r="O174" i="5"/>
  <c r="O165" i="5"/>
  <c r="O149" i="5"/>
  <c r="O106" i="5"/>
  <c r="O78" i="5"/>
  <c r="O122" i="5"/>
  <c r="O77" i="5"/>
  <c r="O61" i="5"/>
  <c r="O87" i="5"/>
  <c r="K86" i="5"/>
  <c r="O205" i="5"/>
  <c r="O197" i="5"/>
  <c r="O189" i="5"/>
  <c r="O181" i="5"/>
  <c r="O173" i="5"/>
  <c r="O164" i="5"/>
  <c r="O156" i="5"/>
  <c r="O148" i="5"/>
  <c r="O113" i="5"/>
  <c r="O105" i="5"/>
  <c r="O85" i="5"/>
  <c r="O69" i="5"/>
  <c r="O53" i="5"/>
  <c r="U496" i="1"/>
  <c r="U494" i="1"/>
  <c r="Q98" i="5" l="1"/>
  <c r="Q101" i="5"/>
  <c r="Q92" i="5"/>
  <c r="Q99" i="5"/>
  <c r="Q93" i="5"/>
  <c r="Q94" i="5"/>
  <c r="Q100" i="5"/>
  <c r="Q91" i="5"/>
  <c r="Q212" i="5"/>
  <c r="Q208" i="5"/>
  <c r="Q214" i="5"/>
  <c r="Q215" i="5"/>
  <c r="Q210" i="5"/>
  <c r="Q211" i="5"/>
  <c r="Q213" i="5"/>
  <c r="Q209" i="5"/>
  <c r="O131" i="5"/>
  <c r="Q89" i="5"/>
  <c r="Q145" i="5"/>
  <c r="Q90" i="5"/>
  <c r="Q33" i="5"/>
  <c r="K139" i="5"/>
  <c r="Q130" i="5"/>
  <c r="Q144" i="5"/>
  <c r="Q236" i="5"/>
  <c r="R241" i="5"/>
  <c r="Q238" i="5"/>
  <c r="Q218" i="5"/>
  <c r="M241" i="5"/>
  <c r="Q237" i="5"/>
  <c r="Q227" i="5"/>
  <c r="Q229" i="5"/>
  <c r="Q121" i="5"/>
  <c r="Q226" i="5"/>
  <c r="E241" i="5"/>
  <c r="Q228" i="5"/>
  <c r="Q233" i="5"/>
  <c r="O241" i="5"/>
  <c r="Q231" i="5"/>
  <c r="I241" i="5"/>
  <c r="Q232" i="5"/>
  <c r="Q235" i="5"/>
  <c r="Q230" i="5"/>
  <c r="Q239" i="5"/>
  <c r="K241" i="5"/>
  <c r="Q240" i="5"/>
  <c r="Q234" i="5"/>
  <c r="G241" i="5"/>
  <c r="Q88" i="5"/>
  <c r="Q86" i="5"/>
  <c r="Q87" i="5"/>
  <c r="O123" i="5"/>
  <c r="O220" i="5"/>
  <c r="Q241" i="5" l="1"/>
  <c r="H268" i="2"/>
  <c r="U556" i="1" l="1"/>
  <c r="U562" i="1"/>
  <c r="U551" i="1"/>
  <c r="U590" i="1"/>
  <c r="N87" i="5"/>
  <c r="P196" i="5"/>
  <c r="P180" i="5"/>
  <c r="P163" i="5"/>
  <c r="P147" i="5"/>
  <c r="P112" i="5"/>
  <c r="P84" i="5"/>
  <c r="P68" i="5"/>
  <c r="P52" i="5"/>
  <c r="P36" i="5"/>
  <c r="P19" i="5"/>
  <c r="P195" i="5"/>
  <c r="P111" i="5"/>
  <c r="P51" i="5"/>
  <c r="P174" i="5"/>
  <c r="P29" i="5"/>
  <c r="P188" i="5"/>
  <c r="P60" i="5"/>
  <c r="P199" i="5"/>
  <c r="P6" i="5"/>
  <c r="P70" i="5"/>
  <c r="L87" i="5"/>
  <c r="P179" i="5"/>
  <c r="P162" i="5"/>
  <c r="P83" i="5"/>
  <c r="P35" i="5"/>
  <c r="P120" i="5"/>
  <c r="P150" i="5"/>
  <c r="J87" i="5"/>
  <c r="P194" i="5"/>
  <c r="P178" i="5"/>
  <c r="P161" i="5"/>
  <c r="P110" i="5"/>
  <c r="P82" i="5"/>
  <c r="P66" i="5"/>
  <c r="P50" i="5"/>
  <c r="P34" i="5"/>
  <c r="P17" i="5"/>
  <c r="P206" i="5"/>
  <c r="P46" i="5"/>
  <c r="P204" i="5"/>
  <c r="P76" i="5"/>
  <c r="H88" i="5"/>
  <c r="P39" i="5"/>
  <c r="H87" i="5"/>
  <c r="P193" i="5"/>
  <c r="P177" i="5"/>
  <c r="P160" i="5"/>
  <c r="P109" i="5"/>
  <c r="P81" i="5"/>
  <c r="P65" i="5"/>
  <c r="P49" i="5"/>
  <c r="P32" i="5"/>
  <c r="P16" i="5"/>
  <c r="N86" i="5"/>
  <c r="P106" i="5"/>
  <c r="P13" i="5"/>
  <c r="P155" i="5"/>
  <c r="P27" i="5"/>
  <c r="P166" i="5"/>
  <c r="F88" i="5"/>
  <c r="P54" i="5"/>
  <c r="F87" i="5"/>
  <c r="P192" i="5"/>
  <c r="P176" i="5"/>
  <c r="P159" i="5"/>
  <c r="P108" i="5"/>
  <c r="P80" i="5"/>
  <c r="P64" i="5"/>
  <c r="P48" i="5"/>
  <c r="P31" i="5"/>
  <c r="P15" i="5"/>
  <c r="P157" i="5"/>
  <c r="P62" i="5"/>
  <c r="J86" i="5"/>
  <c r="P104" i="5"/>
  <c r="P11" i="5"/>
  <c r="P115" i="5"/>
  <c r="P182" i="5"/>
  <c r="P21" i="5"/>
  <c r="P86" i="5"/>
  <c r="P207" i="5"/>
  <c r="P191" i="5"/>
  <c r="P175" i="5"/>
  <c r="P158" i="5"/>
  <c r="P107" i="5"/>
  <c r="P79" i="5"/>
  <c r="P63" i="5"/>
  <c r="P47" i="5"/>
  <c r="P30" i="5"/>
  <c r="P14" i="5"/>
  <c r="P183" i="5"/>
  <c r="P149" i="5"/>
  <c r="L86" i="5"/>
  <c r="P205" i="5"/>
  <c r="P189" i="5"/>
  <c r="P173" i="5"/>
  <c r="P156" i="5"/>
  <c r="P122" i="5"/>
  <c r="P105" i="5"/>
  <c r="P77" i="5"/>
  <c r="P61" i="5"/>
  <c r="P45" i="5"/>
  <c r="P28" i="5"/>
  <c r="P12" i="5"/>
  <c r="P168" i="5"/>
  <c r="P95" i="5"/>
  <c r="P88" i="5"/>
  <c r="H86" i="5"/>
  <c r="P203" i="5"/>
  <c r="P187" i="5"/>
  <c r="P171" i="5"/>
  <c r="P154" i="5"/>
  <c r="P119" i="5"/>
  <c r="P103" i="5"/>
  <c r="P75" i="5"/>
  <c r="P59" i="5"/>
  <c r="P43" i="5"/>
  <c r="P26" i="5"/>
  <c r="P10" i="5"/>
  <c r="N88" i="5"/>
  <c r="F86" i="5"/>
  <c r="P202" i="5"/>
  <c r="P186" i="5"/>
  <c r="P170" i="5"/>
  <c r="P153" i="5"/>
  <c r="P118" i="5"/>
  <c r="P102" i="5"/>
  <c r="P74" i="5"/>
  <c r="P58" i="5"/>
  <c r="P42" i="5"/>
  <c r="P25" i="5"/>
  <c r="P9" i="5"/>
  <c r="P55" i="5"/>
  <c r="P198" i="5"/>
  <c r="P5" i="5"/>
  <c r="L88" i="5"/>
  <c r="P219" i="5"/>
  <c r="P201" i="5"/>
  <c r="P185" i="5"/>
  <c r="P169" i="5"/>
  <c r="P152" i="5"/>
  <c r="P117" i="5"/>
  <c r="P97" i="5"/>
  <c r="P73" i="5"/>
  <c r="P57" i="5"/>
  <c r="P41" i="5"/>
  <c r="P24" i="5"/>
  <c r="P8" i="5"/>
  <c r="J88" i="5"/>
  <c r="P217" i="5"/>
  <c r="P200" i="5"/>
  <c r="P184" i="5"/>
  <c r="P167" i="5"/>
  <c r="P151" i="5"/>
  <c r="P116" i="5"/>
  <c r="P96" i="5"/>
  <c r="P72" i="5"/>
  <c r="P56" i="5"/>
  <c r="P40" i="5"/>
  <c r="P23" i="5"/>
  <c r="P7" i="5"/>
  <c r="P216" i="5"/>
  <c r="P22" i="5"/>
  <c r="P165" i="5"/>
  <c r="P87" i="5"/>
  <c r="P197" i="5"/>
  <c r="P181" i="5"/>
  <c r="P164" i="5"/>
  <c r="P148" i="5"/>
  <c r="P113" i="5"/>
  <c r="P85" i="5"/>
  <c r="P69" i="5"/>
  <c r="P53" i="5"/>
  <c r="P37" i="5"/>
  <c r="P20" i="5"/>
  <c r="P146" i="5"/>
  <c r="P67" i="5"/>
  <c r="P18" i="5"/>
  <c r="P190" i="5"/>
  <c r="P78" i="5"/>
  <c r="P172" i="5"/>
  <c r="P44" i="5"/>
  <c r="P71" i="5"/>
  <c r="P114" i="5"/>
  <c r="P38" i="5"/>
  <c r="P127" i="5"/>
  <c r="P129" i="5"/>
  <c r="P128" i="5"/>
  <c r="H362" i="2"/>
  <c r="U440" i="1"/>
  <c r="U433" i="1"/>
  <c r="U432" i="1"/>
  <c r="H361" i="2"/>
  <c r="U444" i="1"/>
  <c r="H359" i="2"/>
  <c r="U443" i="1"/>
  <c r="G204" i="5"/>
  <c r="M216" i="5"/>
  <c r="M219" i="5"/>
  <c r="I217" i="5"/>
  <c r="K204" i="5"/>
  <c r="K217" i="5"/>
  <c r="I204" i="5"/>
  <c r="M204" i="5"/>
  <c r="M217" i="5"/>
  <c r="G217" i="5"/>
  <c r="G205" i="5"/>
  <c r="G219" i="5"/>
  <c r="E122" i="5"/>
  <c r="I205" i="5"/>
  <c r="I219" i="5"/>
  <c r="G122" i="5"/>
  <c r="K205" i="5"/>
  <c r="K219" i="5"/>
  <c r="I122" i="5"/>
  <c r="M205" i="5"/>
  <c r="K122" i="5"/>
  <c r="G206" i="5"/>
  <c r="M122" i="5"/>
  <c r="I206" i="5"/>
  <c r="E219" i="5"/>
  <c r="K206" i="5"/>
  <c r="M206" i="5"/>
  <c r="G203" i="5"/>
  <c r="G207" i="5"/>
  <c r="G216" i="5"/>
  <c r="I203" i="5"/>
  <c r="I207" i="5"/>
  <c r="I216" i="5"/>
  <c r="K203" i="5"/>
  <c r="K207" i="5"/>
  <c r="K216" i="5"/>
  <c r="M203" i="5"/>
  <c r="M207" i="5"/>
  <c r="N219" i="5"/>
  <c r="H204" i="5"/>
  <c r="H206" i="5"/>
  <c r="H217" i="5"/>
  <c r="J204" i="5"/>
  <c r="J206" i="5"/>
  <c r="J217" i="5"/>
  <c r="F219" i="5"/>
  <c r="L204" i="5"/>
  <c r="L206" i="5"/>
  <c r="L217" i="5"/>
  <c r="N204" i="5"/>
  <c r="N206" i="5"/>
  <c r="N217" i="5"/>
  <c r="H203" i="5"/>
  <c r="H205" i="5"/>
  <c r="H207" i="5"/>
  <c r="H216" i="5"/>
  <c r="H219" i="5"/>
  <c r="J203" i="5"/>
  <c r="J205" i="5"/>
  <c r="J207" i="5"/>
  <c r="J216" i="5"/>
  <c r="J219" i="5"/>
  <c r="L203" i="5"/>
  <c r="L205" i="5"/>
  <c r="L207" i="5"/>
  <c r="L216" i="5"/>
  <c r="L219" i="5"/>
  <c r="N203" i="5"/>
  <c r="N205" i="5"/>
  <c r="N207" i="5"/>
  <c r="N216" i="5"/>
  <c r="F122" i="5"/>
  <c r="J122" i="5"/>
  <c r="L122" i="5"/>
  <c r="N122" i="5"/>
  <c r="H122" i="5"/>
  <c r="K120" i="5"/>
  <c r="I120" i="5"/>
  <c r="N120" i="5"/>
  <c r="F217" i="5"/>
  <c r="F120" i="5"/>
  <c r="H120" i="5"/>
  <c r="J120" i="5"/>
  <c r="L120" i="5"/>
  <c r="M120" i="5"/>
  <c r="E120" i="5"/>
  <c r="G120" i="5"/>
  <c r="E217" i="5"/>
  <c r="L117" i="5"/>
  <c r="N117" i="5"/>
  <c r="F118" i="5"/>
  <c r="H118" i="5"/>
  <c r="J118" i="5"/>
  <c r="L118" i="5"/>
  <c r="N118" i="5"/>
  <c r="F119" i="5"/>
  <c r="F116" i="5"/>
  <c r="H119" i="5"/>
  <c r="H116" i="5"/>
  <c r="J119" i="5"/>
  <c r="J116" i="5"/>
  <c r="L119" i="5"/>
  <c r="L116" i="5"/>
  <c r="N119" i="5"/>
  <c r="N116" i="5"/>
  <c r="F117" i="5"/>
  <c r="H117" i="5"/>
  <c r="J117" i="5"/>
  <c r="G116" i="5"/>
  <c r="M117" i="5"/>
  <c r="I119" i="5"/>
  <c r="I116" i="5"/>
  <c r="E118" i="5"/>
  <c r="K119" i="5"/>
  <c r="K116" i="5"/>
  <c r="G118" i="5"/>
  <c r="M119" i="5"/>
  <c r="M116" i="5"/>
  <c r="I118" i="5"/>
  <c r="E117" i="5"/>
  <c r="K118" i="5"/>
  <c r="G117" i="5"/>
  <c r="M118" i="5"/>
  <c r="I117" i="5"/>
  <c r="E119" i="5"/>
  <c r="E116" i="5"/>
  <c r="K117" i="5"/>
  <c r="G119" i="5"/>
  <c r="U429" i="1"/>
  <c r="P131" i="5" l="1"/>
  <c r="P220" i="5"/>
  <c r="R87" i="5"/>
  <c r="R86" i="5"/>
  <c r="P123" i="5"/>
  <c r="R88" i="5"/>
  <c r="Q217" i="5"/>
  <c r="R217" i="5"/>
  <c r="R219" i="5"/>
  <c r="Q119" i="5"/>
  <c r="R120" i="5"/>
  <c r="Q116" i="5"/>
  <c r="R122" i="5"/>
  <c r="R117" i="5"/>
  <c r="R116" i="5"/>
  <c r="R118" i="5"/>
  <c r="R119" i="5"/>
  <c r="Q117" i="5"/>
  <c r="Q120" i="5"/>
  <c r="Q219" i="5"/>
  <c r="Q118" i="5"/>
  <c r="Q122" i="5"/>
  <c r="U428" i="1"/>
  <c r="U73" i="1" l="1"/>
  <c r="U74" i="1"/>
  <c r="U75" i="1"/>
  <c r="U77" i="1"/>
  <c r="U78" i="1"/>
  <c r="U157" i="1"/>
  <c r="U161" i="1"/>
  <c r="U200" i="1"/>
  <c r="U304" i="1"/>
  <c r="U44" i="1"/>
  <c r="U45" i="1"/>
  <c r="U71" i="1"/>
  <c r="U72" i="1"/>
  <c r="U76" i="1"/>
  <c r="N129" i="5" l="1"/>
  <c r="N128" i="5"/>
  <c r="N127" i="5"/>
  <c r="L129" i="5"/>
  <c r="L128" i="5"/>
  <c r="L127" i="5"/>
  <c r="J129" i="5"/>
  <c r="J128" i="5"/>
  <c r="J127" i="5"/>
  <c r="H129" i="5"/>
  <c r="H128" i="5"/>
  <c r="H127" i="5"/>
  <c r="F129" i="5"/>
  <c r="F128" i="5"/>
  <c r="F127" i="5"/>
  <c r="N193" i="5"/>
  <c r="N177" i="5"/>
  <c r="N161" i="5"/>
  <c r="L195" i="5"/>
  <c r="L179" i="5"/>
  <c r="L163" i="5"/>
  <c r="L147" i="5"/>
  <c r="J197" i="5"/>
  <c r="J181" i="5"/>
  <c r="J165" i="5"/>
  <c r="J149" i="5"/>
  <c r="H199" i="5"/>
  <c r="H183" i="5"/>
  <c r="H167" i="5"/>
  <c r="H151" i="5"/>
  <c r="F201" i="5"/>
  <c r="F185" i="5"/>
  <c r="F169" i="5"/>
  <c r="F153" i="5"/>
  <c r="N110" i="5"/>
  <c r="N73" i="5"/>
  <c r="N64" i="5"/>
  <c r="N48" i="5"/>
  <c r="N31" i="5"/>
  <c r="N15" i="5"/>
  <c r="L111" i="5"/>
  <c r="L95" i="5"/>
  <c r="L74" i="5"/>
  <c r="L49" i="5"/>
  <c r="L32" i="5"/>
  <c r="L16" i="5"/>
  <c r="J112" i="5"/>
  <c r="J96" i="5"/>
  <c r="J75" i="5"/>
  <c r="J65" i="5"/>
  <c r="J50" i="5"/>
  <c r="J34" i="5"/>
  <c r="J17" i="5"/>
  <c r="H102" i="5"/>
  <c r="H79" i="5"/>
  <c r="H67" i="5"/>
  <c r="H54" i="5"/>
  <c r="H38" i="5"/>
  <c r="H21" i="5"/>
  <c r="H5" i="5"/>
  <c r="F106" i="5"/>
  <c r="F82" i="5"/>
  <c r="F69" i="5"/>
  <c r="F58" i="5"/>
  <c r="F42" i="5"/>
  <c r="F25" i="5"/>
  <c r="F9" i="5"/>
  <c r="N192" i="5"/>
  <c r="N176" i="5"/>
  <c r="N160" i="5"/>
  <c r="L194" i="5"/>
  <c r="L178" i="5"/>
  <c r="L162" i="5"/>
  <c r="L146" i="5"/>
  <c r="J196" i="5"/>
  <c r="J180" i="5"/>
  <c r="J164" i="5"/>
  <c r="J148" i="5"/>
  <c r="H198" i="5"/>
  <c r="H182" i="5"/>
  <c r="H166" i="5"/>
  <c r="H150" i="5"/>
  <c r="F200" i="5"/>
  <c r="F184" i="5"/>
  <c r="F168" i="5"/>
  <c r="F152" i="5"/>
  <c r="N109" i="5"/>
  <c r="N85" i="5"/>
  <c r="N72" i="5"/>
  <c r="N63" i="5"/>
  <c r="N47" i="5"/>
  <c r="N30" i="5"/>
  <c r="N14" i="5"/>
  <c r="L110" i="5"/>
  <c r="L73" i="5"/>
  <c r="L64" i="5"/>
  <c r="L48" i="5"/>
  <c r="L31" i="5"/>
  <c r="L15" i="5"/>
  <c r="J111" i="5"/>
  <c r="J95" i="5"/>
  <c r="J74" i="5"/>
  <c r="J49" i="5"/>
  <c r="J32" i="5"/>
  <c r="J16" i="5"/>
  <c r="H115" i="5"/>
  <c r="H78" i="5"/>
  <c r="H53" i="5"/>
  <c r="H37" i="5"/>
  <c r="H20" i="5"/>
  <c r="F105" i="5"/>
  <c r="F81" i="5"/>
  <c r="F57" i="5"/>
  <c r="F41" i="5"/>
  <c r="F24" i="5"/>
  <c r="F8" i="5"/>
  <c r="N191" i="5"/>
  <c r="N175" i="5"/>
  <c r="N159" i="5"/>
  <c r="L193" i="5"/>
  <c r="L177" i="5"/>
  <c r="L161" i="5"/>
  <c r="J195" i="5"/>
  <c r="J179" i="5"/>
  <c r="J163" i="5"/>
  <c r="J147" i="5"/>
  <c r="H197" i="5"/>
  <c r="H181" i="5"/>
  <c r="H165" i="5"/>
  <c r="H149" i="5"/>
  <c r="F199" i="5"/>
  <c r="F183" i="5"/>
  <c r="F167" i="5"/>
  <c r="F151" i="5"/>
  <c r="N108" i="5"/>
  <c r="N71" i="5"/>
  <c r="N62" i="5"/>
  <c r="N46" i="5"/>
  <c r="N29" i="5"/>
  <c r="N13" i="5"/>
  <c r="L109" i="5"/>
  <c r="L85" i="5"/>
  <c r="L72" i="5"/>
  <c r="L63" i="5"/>
  <c r="L47" i="5"/>
  <c r="L30" i="5"/>
  <c r="L14" i="5"/>
  <c r="J110" i="5"/>
  <c r="J73" i="5"/>
  <c r="J64" i="5"/>
  <c r="J48" i="5"/>
  <c r="J31" i="5"/>
  <c r="J15" i="5"/>
  <c r="H114" i="5"/>
  <c r="H97" i="5"/>
  <c r="H77" i="5"/>
  <c r="H52" i="5"/>
  <c r="H36" i="5"/>
  <c r="H19" i="5"/>
  <c r="F104" i="5"/>
  <c r="F80" i="5"/>
  <c r="F56" i="5"/>
  <c r="F40" i="5"/>
  <c r="F23" i="5"/>
  <c r="F7" i="5"/>
  <c r="N190" i="5"/>
  <c r="N174" i="5"/>
  <c r="N158" i="5"/>
  <c r="L192" i="5"/>
  <c r="L176" i="5"/>
  <c r="L160" i="5"/>
  <c r="J194" i="5"/>
  <c r="J178" i="5"/>
  <c r="J162" i="5"/>
  <c r="J146" i="5"/>
  <c r="H196" i="5"/>
  <c r="H180" i="5"/>
  <c r="H164" i="5"/>
  <c r="H148" i="5"/>
  <c r="F198" i="5"/>
  <c r="F182" i="5"/>
  <c r="F166" i="5"/>
  <c r="F150" i="5"/>
  <c r="N84" i="5"/>
  <c r="N61" i="5"/>
  <c r="N45" i="5"/>
  <c r="N28" i="5"/>
  <c r="N12" i="5"/>
  <c r="L108" i="5"/>
  <c r="L71" i="5"/>
  <c r="L62" i="5"/>
  <c r="L46" i="5"/>
  <c r="L29" i="5"/>
  <c r="L13" i="5"/>
  <c r="J109" i="5"/>
  <c r="J85" i="5"/>
  <c r="J72" i="5"/>
  <c r="J63" i="5"/>
  <c r="J47" i="5"/>
  <c r="J30" i="5"/>
  <c r="J14" i="5"/>
  <c r="H113" i="5"/>
  <c r="H76" i="5"/>
  <c r="H66" i="5"/>
  <c r="H51" i="5"/>
  <c r="H35" i="5"/>
  <c r="H18" i="5"/>
  <c r="F103" i="5"/>
  <c r="F68" i="5"/>
  <c r="F55" i="5"/>
  <c r="F39" i="5"/>
  <c r="F22" i="5"/>
  <c r="F6" i="5"/>
  <c r="N189" i="5"/>
  <c r="N173" i="5"/>
  <c r="N157" i="5"/>
  <c r="L191" i="5"/>
  <c r="L175" i="5"/>
  <c r="L159" i="5"/>
  <c r="J193" i="5"/>
  <c r="J177" i="5"/>
  <c r="J161" i="5"/>
  <c r="H195" i="5"/>
  <c r="H179" i="5"/>
  <c r="H163" i="5"/>
  <c r="H147" i="5"/>
  <c r="F197" i="5"/>
  <c r="F181" i="5"/>
  <c r="F165" i="5"/>
  <c r="F149" i="5"/>
  <c r="N70" i="5"/>
  <c r="N60" i="5"/>
  <c r="N44" i="5"/>
  <c r="N27" i="5"/>
  <c r="N11" i="5"/>
  <c r="L84" i="5"/>
  <c r="L61" i="5"/>
  <c r="L45" i="5"/>
  <c r="L28" i="5"/>
  <c r="L12" i="5"/>
  <c r="J108" i="5"/>
  <c r="J71" i="5"/>
  <c r="J62" i="5"/>
  <c r="J46" i="5"/>
  <c r="J29" i="5"/>
  <c r="J13" i="5"/>
  <c r="H112" i="5"/>
  <c r="H96" i="5"/>
  <c r="H75" i="5"/>
  <c r="H65" i="5"/>
  <c r="H50" i="5"/>
  <c r="H34" i="5"/>
  <c r="H17" i="5"/>
  <c r="F102" i="5"/>
  <c r="F79" i="5"/>
  <c r="F67" i="5"/>
  <c r="F54" i="5"/>
  <c r="F38" i="5"/>
  <c r="F21" i="5"/>
  <c r="F5" i="5"/>
  <c r="N188" i="5"/>
  <c r="N172" i="5"/>
  <c r="N156" i="5"/>
  <c r="L190" i="5"/>
  <c r="L174" i="5"/>
  <c r="L158" i="5"/>
  <c r="J192" i="5"/>
  <c r="J176" i="5"/>
  <c r="J160" i="5"/>
  <c r="H194" i="5"/>
  <c r="H178" i="5"/>
  <c r="H162" i="5"/>
  <c r="H146" i="5"/>
  <c r="F196" i="5"/>
  <c r="F180" i="5"/>
  <c r="F164" i="5"/>
  <c r="F148" i="5"/>
  <c r="N107" i="5"/>
  <c r="N83" i="5"/>
  <c r="N59" i="5"/>
  <c r="N43" i="5"/>
  <c r="N26" i="5"/>
  <c r="N10" i="5"/>
  <c r="L70" i="5"/>
  <c r="L60" i="5"/>
  <c r="L44" i="5"/>
  <c r="L27" i="5"/>
  <c r="L11" i="5"/>
  <c r="J84" i="5"/>
  <c r="J61" i="5"/>
  <c r="J45" i="5"/>
  <c r="J28" i="5"/>
  <c r="J12" i="5"/>
  <c r="H111" i="5"/>
  <c r="H95" i="5"/>
  <c r="H74" i="5"/>
  <c r="H49" i="5"/>
  <c r="H32" i="5"/>
  <c r="H16" i="5"/>
  <c r="F115" i="5"/>
  <c r="F78" i="5"/>
  <c r="F53" i="5"/>
  <c r="F37" i="5"/>
  <c r="F20" i="5"/>
  <c r="N187" i="5"/>
  <c r="N171" i="5"/>
  <c r="N155" i="5"/>
  <c r="L189" i="5"/>
  <c r="L173" i="5"/>
  <c r="L157" i="5"/>
  <c r="J191" i="5"/>
  <c r="J175" i="5"/>
  <c r="J159" i="5"/>
  <c r="H193" i="5"/>
  <c r="H177" i="5"/>
  <c r="H161" i="5"/>
  <c r="F195" i="5"/>
  <c r="F179" i="5"/>
  <c r="F163" i="5"/>
  <c r="F147" i="5"/>
  <c r="N106" i="5"/>
  <c r="N82" i="5"/>
  <c r="N69" i="5"/>
  <c r="N58" i="5"/>
  <c r="N42" i="5"/>
  <c r="N25" i="5"/>
  <c r="N9" i="5"/>
  <c r="L107" i="5"/>
  <c r="L83" i="5"/>
  <c r="L59" i="5"/>
  <c r="L43" i="5"/>
  <c r="L26" i="5"/>
  <c r="L10" i="5"/>
  <c r="J70" i="5"/>
  <c r="J60" i="5"/>
  <c r="J44" i="5"/>
  <c r="J27" i="5"/>
  <c r="J11" i="5"/>
  <c r="H110" i="5"/>
  <c r="H73" i="5"/>
  <c r="H64" i="5"/>
  <c r="H48" i="5"/>
  <c r="H31" i="5"/>
  <c r="H15" i="5"/>
  <c r="F114" i="5"/>
  <c r="F97" i="5"/>
  <c r="F77" i="5"/>
  <c r="F52" i="5"/>
  <c r="F36" i="5"/>
  <c r="F19" i="5"/>
  <c r="N202" i="5"/>
  <c r="N186" i="5"/>
  <c r="N170" i="5"/>
  <c r="N154" i="5"/>
  <c r="L188" i="5"/>
  <c r="L172" i="5"/>
  <c r="L156" i="5"/>
  <c r="J190" i="5"/>
  <c r="J174" i="5"/>
  <c r="J158" i="5"/>
  <c r="H192" i="5"/>
  <c r="H176" i="5"/>
  <c r="H160" i="5"/>
  <c r="F194" i="5"/>
  <c r="F178" i="5"/>
  <c r="F162" i="5"/>
  <c r="F146" i="5"/>
  <c r="N105" i="5"/>
  <c r="N81" i="5"/>
  <c r="N57" i="5"/>
  <c r="N41" i="5"/>
  <c r="N24" i="5"/>
  <c r="N8" i="5"/>
  <c r="L106" i="5"/>
  <c r="L82" i="5"/>
  <c r="L69" i="5"/>
  <c r="L58" i="5"/>
  <c r="L42" i="5"/>
  <c r="L25" i="5"/>
  <c r="L9" i="5"/>
  <c r="J107" i="5"/>
  <c r="J83" i="5"/>
  <c r="J59" i="5"/>
  <c r="J43" i="5"/>
  <c r="J26" i="5"/>
  <c r="J10" i="5"/>
  <c r="H109" i="5"/>
  <c r="H85" i="5"/>
  <c r="H72" i="5"/>
  <c r="H63" i="5"/>
  <c r="H47" i="5"/>
  <c r="H30" i="5"/>
  <c r="H14" i="5"/>
  <c r="F113" i="5"/>
  <c r="F76" i="5"/>
  <c r="F66" i="5"/>
  <c r="F51" i="5"/>
  <c r="F35" i="5"/>
  <c r="F18" i="5"/>
  <c r="N201" i="5"/>
  <c r="N185" i="5"/>
  <c r="N169" i="5"/>
  <c r="N153" i="5"/>
  <c r="L187" i="5"/>
  <c r="L171" i="5"/>
  <c r="L155" i="5"/>
  <c r="J189" i="5"/>
  <c r="J173" i="5"/>
  <c r="J157" i="5"/>
  <c r="H191" i="5"/>
  <c r="H175" i="5"/>
  <c r="H159" i="5"/>
  <c r="F207" i="5"/>
  <c r="R207" i="5" s="1"/>
  <c r="F193" i="5"/>
  <c r="F177" i="5"/>
  <c r="F161" i="5"/>
  <c r="N104" i="5"/>
  <c r="N80" i="5"/>
  <c r="N56" i="5"/>
  <c r="N40" i="5"/>
  <c r="N23" i="5"/>
  <c r="N7" i="5"/>
  <c r="L105" i="5"/>
  <c r="L81" i="5"/>
  <c r="L57" i="5"/>
  <c r="L41" i="5"/>
  <c r="L24" i="5"/>
  <c r="L8" i="5"/>
  <c r="J106" i="5"/>
  <c r="J82" i="5"/>
  <c r="J69" i="5"/>
  <c r="J58" i="5"/>
  <c r="J42" i="5"/>
  <c r="J25" i="5"/>
  <c r="J9" i="5"/>
  <c r="H108" i="5"/>
  <c r="H71" i="5"/>
  <c r="H62" i="5"/>
  <c r="H46" i="5"/>
  <c r="H29" i="5"/>
  <c r="H13" i="5"/>
  <c r="F112" i="5"/>
  <c r="F96" i="5"/>
  <c r="F75" i="5"/>
  <c r="F65" i="5"/>
  <c r="F50" i="5"/>
  <c r="F34" i="5"/>
  <c r="F17" i="5"/>
  <c r="N200" i="5"/>
  <c r="N184" i="5"/>
  <c r="N168" i="5"/>
  <c r="N152" i="5"/>
  <c r="L202" i="5"/>
  <c r="L186" i="5"/>
  <c r="L170" i="5"/>
  <c r="L154" i="5"/>
  <c r="J188" i="5"/>
  <c r="J172" i="5"/>
  <c r="J156" i="5"/>
  <c r="H190" i="5"/>
  <c r="H174" i="5"/>
  <c r="H158" i="5"/>
  <c r="F216" i="5"/>
  <c r="R216" i="5" s="1"/>
  <c r="F206" i="5"/>
  <c r="R206" i="5" s="1"/>
  <c r="F192" i="5"/>
  <c r="F176" i="5"/>
  <c r="F160" i="5"/>
  <c r="N103" i="5"/>
  <c r="N68" i="5"/>
  <c r="N55" i="5"/>
  <c r="N39" i="5"/>
  <c r="N22" i="5"/>
  <c r="N6" i="5"/>
  <c r="L104" i="5"/>
  <c r="L80" i="5"/>
  <c r="L56" i="5"/>
  <c r="L40" i="5"/>
  <c r="L23" i="5"/>
  <c r="L7" i="5"/>
  <c r="J105" i="5"/>
  <c r="J81" i="5"/>
  <c r="J57" i="5"/>
  <c r="J41" i="5"/>
  <c r="J24" i="5"/>
  <c r="J8" i="5"/>
  <c r="H84" i="5"/>
  <c r="H61" i="5"/>
  <c r="H45" i="5"/>
  <c r="H28" i="5"/>
  <c r="H12" i="5"/>
  <c r="F111" i="5"/>
  <c r="F95" i="5"/>
  <c r="F74" i="5"/>
  <c r="F49" i="5"/>
  <c r="F32" i="5"/>
  <c r="F16" i="5"/>
  <c r="N199" i="5"/>
  <c r="N183" i="5"/>
  <c r="N167" i="5"/>
  <c r="N151" i="5"/>
  <c r="L201" i="5"/>
  <c r="L185" i="5"/>
  <c r="L169" i="5"/>
  <c r="L153" i="5"/>
  <c r="J187" i="5"/>
  <c r="J171" i="5"/>
  <c r="J155" i="5"/>
  <c r="H189" i="5"/>
  <c r="H173" i="5"/>
  <c r="H157" i="5"/>
  <c r="F191" i="5"/>
  <c r="F175" i="5"/>
  <c r="F159" i="5"/>
  <c r="N102" i="5"/>
  <c r="N79" i="5"/>
  <c r="N67" i="5"/>
  <c r="N54" i="5"/>
  <c r="N38" i="5"/>
  <c r="N21" i="5"/>
  <c r="N5" i="5"/>
  <c r="L103" i="5"/>
  <c r="L68" i="5"/>
  <c r="L55" i="5"/>
  <c r="L39" i="5"/>
  <c r="L22" i="5"/>
  <c r="L6" i="5"/>
  <c r="J104" i="5"/>
  <c r="J80" i="5"/>
  <c r="J56" i="5"/>
  <c r="J40" i="5"/>
  <c r="J23" i="5"/>
  <c r="J7" i="5"/>
  <c r="H70" i="5"/>
  <c r="H60" i="5"/>
  <c r="H44" i="5"/>
  <c r="H27" i="5"/>
  <c r="H11" i="5"/>
  <c r="F110" i="5"/>
  <c r="F73" i="5"/>
  <c r="F64" i="5"/>
  <c r="F48" i="5"/>
  <c r="F31" i="5"/>
  <c r="F15" i="5"/>
  <c r="N198" i="5"/>
  <c r="N182" i="5"/>
  <c r="N166" i="5"/>
  <c r="N150" i="5"/>
  <c r="L200" i="5"/>
  <c r="L184" i="5"/>
  <c r="L168" i="5"/>
  <c r="L152" i="5"/>
  <c r="J202" i="5"/>
  <c r="J186" i="5"/>
  <c r="J170" i="5"/>
  <c r="J154" i="5"/>
  <c r="H188" i="5"/>
  <c r="H172" i="5"/>
  <c r="H156" i="5"/>
  <c r="F190" i="5"/>
  <c r="F174" i="5"/>
  <c r="F158" i="5"/>
  <c r="N115" i="5"/>
  <c r="N78" i="5"/>
  <c r="N53" i="5"/>
  <c r="N37" i="5"/>
  <c r="N20" i="5"/>
  <c r="L102" i="5"/>
  <c r="L79" i="5"/>
  <c r="L67" i="5"/>
  <c r="L54" i="5"/>
  <c r="L38" i="5"/>
  <c r="L21" i="5"/>
  <c r="L5" i="5"/>
  <c r="J103" i="5"/>
  <c r="J68" i="5"/>
  <c r="J55" i="5"/>
  <c r="J39" i="5"/>
  <c r="J22" i="5"/>
  <c r="J6" i="5"/>
  <c r="H107" i="5"/>
  <c r="H83" i="5"/>
  <c r="H59" i="5"/>
  <c r="H43" i="5"/>
  <c r="H26" i="5"/>
  <c r="H10" i="5"/>
  <c r="F109" i="5"/>
  <c r="F85" i="5"/>
  <c r="F72" i="5"/>
  <c r="F63" i="5"/>
  <c r="F47" i="5"/>
  <c r="F30" i="5"/>
  <c r="F14" i="5"/>
  <c r="N197" i="5"/>
  <c r="N181" i="5"/>
  <c r="N165" i="5"/>
  <c r="N149" i="5"/>
  <c r="L199" i="5"/>
  <c r="L183" i="5"/>
  <c r="L167" i="5"/>
  <c r="L151" i="5"/>
  <c r="J201" i="5"/>
  <c r="J185" i="5"/>
  <c r="J169" i="5"/>
  <c r="J153" i="5"/>
  <c r="H187" i="5"/>
  <c r="H171" i="5"/>
  <c r="H155" i="5"/>
  <c r="F205" i="5"/>
  <c r="R205" i="5" s="1"/>
  <c r="F189" i="5"/>
  <c r="F173" i="5"/>
  <c r="F157" i="5"/>
  <c r="N114" i="5"/>
  <c r="N97" i="5"/>
  <c r="N77" i="5"/>
  <c r="N52" i="5"/>
  <c r="N36" i="5"/>
  <c r="N19" i="5"/>
  <c r="L115" i="5"/>
  <c r="L78" i="5"/>
  <c r="L53" i="5"/>
  <c r="L37" i="5"/>
  <c r="L20" i="5"/>
  <c r="J102" i="5"/>
  <c r="J79" i="5"/>
  <c r="J67" i="5"/>
  <c r="J54" i="5"/>
  <c r="J38" i="5"/>
  <c r="J21" i="5"/>
  <c r="J5" i="5"/>
  <c r="H106" i="5"/>
  <c r="H82" i="5"/>
  <c r="H69" i="5"/>
  <c r="H58" i="5"/>
  <c r="H42" i="5"/>
  <c r="H25" i="5"/>
  <c r="H9" i="5"/>
  <c r="F108" i="5"/>
  <c r="F71" i="5"/>
  <c r="F62" i="5"/>
  <c r="F46" i="5"/>
  <c r="F29" i="5"/>
  <c r="F13" i="5"/>
  <c r="N196" i="5"/>
  <c r="N180" i="5"/>
  <c r="N164" i="5"/>
  <c r="N148" i="5"/>
  <c r="L198" i="5"/>
  <c r="L182" i="5"/>
  <c r="L166" i="5"/>
  <c r="L150" i="5"/>
  <c r="J200" i="5"/>
  <c r="J184" i="5"/>
  <c r="J168" i="5"/>
  <c r="J152" i="5"/>
  <c r="H202" i="5"/>
  <c r="H186" i="5"/>
  <c r="H170" i="5"/>
  <c r="H154" i="5"/>
  <c r="F204" i="5"/>
  <c r="R204" i="5" s="1"/>
  <c r="F188" i="5"/>
  <c r="F172" i="5"/>
  <c r="F156" i="5"/>
  <c r="N113" i="5"/>
  <c r="N76" i="5"/>
  <c r="N66" i="5"/>
  <c r="N51" i="5"/>
  <c r="N35" i="5"/>
  <c r="N18" i="5"/>
  <c r="L114" i="5"/>
  <c r="L97" i="5"/>
  <c r="L77" i="5"/>
  <c r="L52" i="5"/>
  <c r="L36" i="5"/>
  <c r="L19" i="5"/>
  <c r="J115" i="5"/>
  <c r="J78" i="5"/>
  <c r="J53" i="5"/>
  <c r="J37" i="5"/>
  <c r="J20" i="5"/>
  <c r="H105" i="5"/>
  <c r="H81" i="5"/>
  <c r="H57" i="5"/>
  <c r="H41" i="5"/>
  <c r="H24" i="5"/>
  <c r="H8" i="5"/>
  <c r="F84" i="5"/>
  <c r="F61" i="5"/>
  <c r="F45" i="5"/>
  <c r="F28" i="5"/>
  <c r="F12" i="5"/>
  <c r="N195" i="5"/>
  <c r="N179" i="5"/>
  <c r="N163" i="5"/>
  <c r="N147" i="5"/>
  <c r="L197" i="5"/>
  <c r="L181" i="5"/>
  <c r="L165" i="5"/>
  <c r="L149" i="5"/>
  <c r="J199" i="5"/>
  <c r="J183" i="5"/>
  <c r="J167" i="5"/>
  <c r="J151" i="5"/>
  <c r="H201" i="5"/>
  <c r="H185" i="5"/>
  <c r="H169" i="5"/>
  <c r="H153" i="5"/>
  <c r="F203" i="5"/>
  <c r="R203" i="5" s="1"/>
  <c r="F187" i="5"/>
  <c r="F171" i="5"/>
  <c r="F155" i="5"/>
  <c r="N112" i="5"/>
  <c r="N96" i="5"/>
  <c r="N75" i="5"/>
  <c r="N65" i="5"/>
  <c r="N50" i="5"/>
  <c r="N34" i="5"/>
  <c r="N17" i="5"/>
  <c r="L113" i="5"/>
  <c r="L76" i="5"/>
  <c r="L66" i="5"/>
  <c r="L51" i="5"/>
  <c r="L35" i="5"/>
  <c r="L18" i="5"/>
  <c r="J114" i="5"/>
  <c r="J97" i="5"/>
  <c r="J77" i="5"/>
  <c r="J52" i="5"/>
  <c r="J36" i="5"/>
  <c r="J19" i="5"/>
  <c r="H104" i="5"/>
  <c r="H80" i="5"/>
  <c r="H56" i="5"/>
  <c r="H40" i="5"/>
  <c r="H23" i="5"/>
  <c r="H7" i="5"/>
  <c r="F70" i="5"/>
  <c r="F60" i="5"/>
  <c r="F44" i="5"/>
  <c r="F27" i="5"/>
  <c r="F11" i="5"/>
  <c r="N194" i="5"/>
  <c r="N178" i="5"/>
  <c r="N162" i="5"/>
  <c r="N146" i="5"/>
  <c r="L196" i="5"/>
  <c r="L180" i="5"/>
  <c r="L164" i="5"/>
  <c r="L148" i="5"/>
  <c r="J198" i="5"/>
  <c r="J182" i="5"/>
  <c r="J166" i="5"/>
  <c r="J150" i="5"/>
  <c r="H200" i="5"/>
  <c r="H184" i="5"/>
  <c r="H168" i="5"/>
  <c r="H152" i="5"/>
  <c r="F202" i="5"/>
  <c r="F186" i="5"/>
  <c r="F170" i="5"/>
  <c r="F154" i="5"/>
  <c r="N111" i="5"/>
  <c r="N95" i="5"/>
  <c r="N74" i="5"/>
  <c r="N49" i="5"/>
  <c r="N32" i="5"/>
  <c r="N16" i="5"/>
  <c r="L112" i="5"/>
  <c r="L96" i="5"/>
  <c r="L75" i="5"/>
  <c r="L65" i="5"/>
  <c r="L50" i="5"/>
  <c r="L34" i="5"/>
  <c r="L17" i="5"/>
  <c r="J113" i="5"/>
  <c r="J76" i="5"/>
  <c r="J66" i="5"/>
  <c r="J51" i="5"/>
  <c r="J35" i="5"/>
  <c r="J18" i="5"/>
  <c r="H103" i="5"/>
  <c r="H68" i="5"/>
  <c r="H55" i="5"/>
  <c r="H39" i="5"/>
  <c r="H22" i="5"/>
  <c r="H6" i="5"/>
  <c r="F107" i="5"/>
  <c r="F83" i="5"/>
  <c r="F59" i="5"/>
  <c r="F43" i="5"/>
  <c r="F26" i="5"/>
  <c r="F10" i="5"/>
  <c r="H131" i="5" l="1"/>
  <c r="F131" i="5"/>
  <c r="N131" i="5"/>
  <c r="J131" i="5"/>
  <c r="L131" i="5"/>
  <c r="R110" i="5"/>
  <c r="R191" i="5"/>
  <c r="R15" i="5"/>
  <c r="R43" i="5"/>
  <c r="R127" i="5"/>
  <c r="R128" i="5"/>
  <c r="R129" i="5"/>
  <c r="R30" i="5"/>
  <c r="R26" i="5"/>
  <c r="R14" i="5"/>
  <c r="R157" i="5"/>
  <c r="R10" i="5"/>
  <c r="R109" i="5"/>
  <c r="R29" i="5"/>
  <c r="R31" i="5"/>
  <c r="R188" i="5"/>
  <c r="R13" i="5"/>
  <c r="R28" i="5"/>
  <c r="R175" i="5"/>
  <c r="R59" i="5"/>
  <c r="R70" i="5"/>
  <c r="R154" i="5"/>
  <c r="R160" i="5"/>
  <c r="R95" i="5"/>
  <c r="R193" i="5"/>
  <c r="R162" i="5"/>
  <c r="R181" i="5"/>
  <c r="R202" i="5"/>
  <c r="R171" i="5"/>
  <c r="R156" i="5"/>
  <c r="R11" i="5"/>
  <c r="R107" i="5"/>
  <c r="R44" i="5"/>
  <c r="R60" i="5"/>
  <c r="R12" i="5"/>
  <c r="R61" i="5"/>
  <c r="R159" i="5"/>
  <c r="R84" i="5"/>
  <c r="R62" i="5"/>
  <c r="R108" i="5"/>
  <c r="R72" i="5"/>
  <c r="R64" i="5"/>
  <c r="R85" i="5"/>
  <c r="R73" i="5"/>
  <c r="R180" i="5"/>
  <c r="R5" i="5"/>
  <c r="R166" i="5"/>
  <c r="R35" i="5"/>
  <c r="R65" i="5"/>
  <c r="R187" i="5"/>
  <c r="R172" i="5"/>
  <c r="R176" i="5"/>
  <c r="R161" i="5"/>
  <c r="R190" i="5"/>
  <c r="R47" i="5"/>
  <c r="R192" i="5"/>
  <c r="R173" i="5"/>
  <c r="R158" i="5"/>
  <c r="R74" i="5"/>
  <c r="R50" i="5"/>
  <c r="R177" i="5"/>
  <c r="R18" i="5"/>
  <c r="R146" i="5"/>
  <c r="R164" i="5"/>
  <c r="R165" i="5"/>
  <c r="R150" i="5"/>
  <c r="R106" i="5"/>
  <c r="R111" i="5"/>
  <c r="R75" i="5"/>
  <c r="R51" i="5"/>
  <c r="R178" i="5"/>
  <c r="R147" i="5"/>
  <c r="R196" i="5"/>
  <c r="R21" i="5"/>
  <c r="R197" i="5"/>
  <c r="R6" i="5"/>
  <c r="R182" i="5"/>
  <c r="R186" i="5"/>
  <c r="R155" i="5"/>
  <c r="R96" i="5"/>
  <c r="R66" i="5"/>
  <c r="R194" i="5"/>
  <c r="R19" i="5"/>
  <c r="R163" i="5"/>
  <c r="R38" i="5"/>
  <c r="R22" i="5"/>
  <c r="R198" i="5"/>
  <c r="R7" i="5"/>
  <c r="R151" i="5"/>
  <c r="R112" i="5"/>
  <c r="R76" i="5"/>
  <c r="R36" i="5"/>
  <c r="R179" i="5"/>
  <c r="R20" i="5"/>
  <c r="R54" i="5"/>
  <c r="R39" i="5"/>
  <c r="R23" i="5"/>
  <c r="R167" i="5"/>
  <c r="R170" i="5"/>
  <c r="R113" i="5"/>
  <c r="R52" i="5"/>
  <c r="R195" i="5"/>
  <c r="R37" i="5"/>
  <c r="R67" i="5"/>
  <c r="R55" i="5"/>
  <c r="R40" i="5"/>
  <c r="R183" i="5"/>
  <c r="R152" i="5"/>
  <c r="R83" i="5"/>
  <c r="R27" i="5"/>
  <c r="R77" i="5"/>
  <c r="R53" i="5"/>
  <c r="R79" i="5"/>
  <c r="R68" i="5"/>
  <c r="R56" i="5"/>
  <c r="R199" i="5"/>
  <c r="R8" i="5"/>
  <c r="R168" i="5"/>
  <c r="R97" i="5"/>
  <c r="R78" i="5"/>
  <c r="R102" i="5"/>
  <c r="R103" i="5"/>
  <c r="R80" i="5"/>
  <c r="R24" i="5"/>
  <c r="R184" i="5"/>
  <c r="R114" i="5"/>
  <c r="R115" i="5"/>
  <c r="R104" i="5"/>
  <c r="R41" i="5"/>
  <c r="R200" i="5"/>
  <c r="R57" i="5"/>
  <c r="R45" i="5"/>
  <c r="R189" i="5"/>
  <c r="R81" i="5"/>
  <c r="R9" i="5"/>
  <c r="R46" i="5"/>
  <c r="R174" i="5"/>
  <c r="R105" i="5"/>
  <c r="R25" i="5"/>
  <c r="R42" i="5"/>
  <c r="R153" i="5"/>
  <c r="R71" i="5"/>
  <c r="R16" i="5"/>
  <c r="R58" i="5"/>
  <c r="R169" i="5"/>
  <c r="R63" i="5"/>
  <c r="R48" i="5"/>
  <c r="R32" i="5"/>
  <c r="R17" i="5"/>
  <c r="R69" i="5"/>
  <c r="R185" i="5"/>
  <c r="R49" i="5"/>
  <c r="R34" i="5"/>
  <c r="R148" i="5"/>
  <c r="R149" i="5"/>
  <c r="R82" i="5"/>
  <c r="R201" i="5"/>
  <c r="H220" i="5"/>
  <c r="N220" i="5"/>
  <c r="J220" i="5"/>
  <c r="F220" i="5"/>
  <c r="L220" i="5"/>
  <c r="F123" i="5"/>
  <c r="L123" i="5"/>
  <c r="J123" i="5"/>
  <c r="N123" i="5"/>
  <c r="H123" i="5"/>
  <c r="H88" i="2"/>
  <c r="U227" i="1"/>
  <c r="U625" i="1"/>
  <c r="U309" i="1"/>
  <c r="U503" i="1"/>
  <c r="U311" i="1"/>
  <c r="U591" i="1"/>
  <c r="U577" i="1"/>
  <c r="U615" i="1"/>
  <c r="H95" i="2"/>
  <c r="U19" i="1"/>
  <c r="U163" i="1"/>
  <c r="U328" i="1"/>
  <c r="H258" i="2"/>
  <c r="H142" i="2"/>
  <c r="U269" i="1"/>
  <c r="U116" i="1"/>
  <c r="U34" i="1"/>
  <c r="H307" i="2"/>
  <c r="U58" i="1"/>
  <c r="H356" i="2"/>
  <c r="H305" i="2"/>
  <c r="U35" i="1"/>
  <c r="H387" i="2"/>
  <c r="U537" i="1"/>
  <c r="U366" i="1"/>
  <c r="H33" i="2"/>
  <c r="H388" i="2"/>
  <c r="U598" i="1"/>
  <c r="H56" i="2"/>
  <c r="H115" i="2"/>
  <c r="U127" i="1"/>
  <c r="U106" i="1"/>
  <c r="U612" i="1"/>
  <c r="H35" i="2"/>
  <c r="H210" i="2"/>
  <c r="H397" i="2"/>
  <c r="H354" i="2"/>
  <c r="U621" i="1"/>
  <c r="U622" i="1"/>
  <c r="U559" i="1"/>
  <c r="U629" i="1"/>
  <c r="U380" i="1"/>
  <c r="H309" i="2"/>
  <c r="R131" i="5" l="1"/>
  <c r="U589" i="1"/>
  <c r="H393" i="2"/>
  <c r="U557" i="1"/>
  <c r="H389" i="2"/>
  <c r="U473" i="1"/>
  <c r="U588" i="1"/>
  <c r="H372" i="2"/>
  <c r="H371" i="2"/>
  <c r="U578" i="1"/>
  <c r="H366" i="2"/>
  <c r="H368" i="2"/>
  <c r="H369" i="2"/>
  <c r="H367" i="2"/>
  <c r="U506" i="1"/>
  <c r="U570" i="1"/>
  <c r="U571" i="1"/>
  <c r="H396" i="2"/>
  <c r="H395" i="2"/>
  <c r="U630" i="1"/>
  <c r="U583" i="1"/>
  <c r="U584" i="1"/>
  <c r="U586" i="1"/>
  <c r="U585" i="1"/>
  <c r="U595" i="1"/>
  <c r="U593" i="1"/>
  <c r="U594" i="1"/>
  <c r="H383" i="2"/>
  <c r="U613" i="1"/>
  <c r="U611" i="1"/>
  <c r="U482" i="1"/>
  <c r="U605" i="1"/>
  <c r="U515" i="1"/>
  <c r="U580" i="1"/>
  <c r="U579" i="1"/>
  <c r="U575" i="1"/>
  <c r="U576" i="1"/>
  <c r="U572" i="1"/>
  <c r="U573" i="1"/>
  <c r="U574" i="1"/>
  <c r="U542" i="1"/>
  <c r="U608" i="1"/>
  <c r="U609" i="1"/>
  <c r="H398" i="2"/>
  <c r="H399" i="2"/>
  <c r="U145" i="1"/>
  <c r="U626" i="1"/>
  <c r="U529" i="1"/>
  <c r="U623" i="1"/>
  <c r="U617" i="1"/>
  <c r="U616" i="1"/>
  <c r="U618" i="1"/>
  <c r="U620" i="1"/>
  <c r="U555" i="1"/>
  <c r="U587" i="1"/>
  <c r="H365" i="2"/>
  <c r="H394" i="2"/>
  <c r="U561" i="1"/>
  <c r="U610" i="1"/>
  <c r="U543" i="1"/>
  <c r="H401" i="2"/>
  <c r="U568" i="1"/>
  <c r="U569" i="1"/>
  <c r="U581" i="1"/>
  <c r="U582" i="1"/>
  <c r="H382" i="2"/>
  <c r="H370" i="2"/>
  <c r="U597" i="1"/>
  <c r="H384" i="2"/>
  <c r="H386" i="2"/>
  <c r="U628" i="1"/>
  <c r="U627" i="1"/>
  <c r="H385" i="2"/>
  <c r="H392" i="2"/>
  <c r="H391" i="2"/>
  <c r="U558" i="1"/>
  <c r="U624" i="1"/>
  <c r="U478" i="1"/>
  <c r="U563" i="1"/>
  <c r="U564" i="1"/>
  <c r="U550" i="1"/>
  <c r="U619" i="1"/>
  <c r="U606" i="1"/>
  <c r="U607" i="1"/>
  <c r="U465" i="1"/>
  <c r="U596" i="1"/>
  <c r="U565" i="1"/>
  <c r="U566" i="1"/>
  <c r="H381" i="2"/>
  <c r="U601" i="1"/>
  <c r="U600" i="1"/>
  <c r="U599" i="1"/>
  <c r="H378" i="2"/>
  <c r="H374" i="2"/>
  <c r="H375" i="2"/>
  <c r="U603" i="1"/>
  <c r="H376" i="2"/>
  <c r="U604" i="1"/>
  <c r="H373" i="2"/>
  <c r="H380" i="2"/>
  <c r="H379" i="2"/>
  <c r="H377" i="2"/>
  <c r="R220" i="5"/>
  <c r="H318" i="2"/>
  <c r="U490" i="1"/>
  <c r="U489" i="1"/>
  <c r="U488" i="1"/>
  <c r="U495" i="1"/>
  <c r="U6" i="1"/>
  <c r="U560" i="1"/>
  <c r="U508" i="1"/>
  <c r="U509" i="1"/>
  <c r="U507" i="1"/>
  <c r="U483" i="1"/>
  <c r="U502" i="1"/>
  <c r="U484" i="1"/>
  <c r="U501" i="1"/>
  <c r="U191" i="1"/>
  <c r="U552" i="1"/>
  <c r="U540" i="1"/>
  <c r="U541" i="1"/>
  <c r="U534" i="1"/>
  <c r="U535" i="1"/>
  <c r="U525" i="1"/>
  <c r="U526" i="1"/>
  <c r="U548" i="1"/>
  <c r="U549" i="1"/>
  <c r="U415" i="1"/>
  <c r="U500" i="1"/>
  <c r="H114" i="2"/>
  <c r="U539" i="1"/>
  <c r="U492" i="1"/>
  <c r="U474" i="1"/>
  <c r="U516" i="1"/>
  <c r="U485" i="1"/>
  <c r="U499" i="1"/>
  <c r="U514" i="1"/>
  <c r="U513" i="1"/>
  <c r="U480" i="1"/>
  <c r="U505" i="1"/>
  <c r="H360" i="2"/>
  <c r="H364" i="2"/>
  <c r="H363" i="2"/>
  <c r="U533" i="1"/>
  <c r="U481" i="1"/>
  <c r="U504" i="1"/>
  <c r="U497" i="1"/>
  <c r="U546" i="1"/>
  <c r="U547" i="1"/>
  <c r="U523" i="1"/>
  <c r="U524" i="1"/>
  <c r="U522" i="1"/>
  <c r="U521" i="1"/>
  <c r="U518" i="1"/>
  <c r="U520" i="1"/>
  <c r="U519" i="1"/>
  <c r="H345" i="2"/>
  <c r="U498" i="1"/>
  <c r="U544" i="1"/>
  <c r="U545" i="1"/>
  <c r="H355" i="2"/>
  <c r="U538" i="1"/>
  <c r="U553" i="1"/>
  <c r="U554" i="1"/>
  <c r="U530" i="1"/>
  <c r="U531" i="1"/>
  <c r="U511" i="1"/>
  <c r="U512" i="1"/>
  <c r="U536" i="1"/>
  <c r="H321" i="2"/>
  <c r="U510" i="1"/>
  <c r="H267" i="2"/>
  <c r="H266" i="2"/>
  <c r="H337" i="2"/>
  <c r="H352" i="2"/>
  <c r="H343" i="2"/>
  <c r="H323" i="2"/>
  <c r="U395" i="1"/>
  <c r="U446" i="1"/>
  <c r="U461" i="1"/>
  <c r="H346" i="2"/>
  <c r="H314" i="2"/>
  <c r="H316" i="2"/>
  <c r="U462" i="1"/>
  <c r="H340" i="2"/>
  <c r="U374" i="1"/>
  <c r="H351" i="2"/>
  <c r="H333" i="2"/>
  <c r="H348" i="2"/>
  <c r="H347" i="2"/>
  <c r="U439" i="1"/>
  <c r="U438" i="1"/>
  <c r="U434" i="1"/>
  <c r="H357" i="2"/>
  <c r="H342" i="2"/>
  <c r="H330" i="2"/>
  <c r="H349" i="2"/>
  <c r="U142" i="1"/>
  <c r="H327" i="2"/>
  <c r="H329" i="2"/>
  <c r="U441" i="1"/>
  <c r="U442" i="1"/>
  <c r="H341" i="2"/>
  <c r="U479" i="1"/>
  <c r="H332" i="2"/>
  <c r="H338" i="2"/>
  <c r="U402" i="1"/>
  <c r="U430" i="1"/>
  <c r="U452" i="1"/>
  <c r="U450" i="1"/>
  <c r="U454" i="1"/>
  <c r="U456" i="1"/>
  <c r="U449" i="1"/>
  <c r="U451" i="1"/>
  <c r="U453" i="1"/>
  <c r="U455" i="1"/>
  <c r="H336" i="2"/>
  <c r="U463" i="1"/>
  <c r="H335" i="2"/>
  <c r="H358" i="2"/>
  <c r="U435" i="1"/>
  <c r="H324" i="2"/>
  <c r="H319" i="2"/>
  <c r="U464" i="1"/>
  <c r="H308" i="2"/>
  <c r="H350" i="2"/>
  <c r="H315" i="2"/>
  <c r="H322" i="2"/>
  <c r="H313" i="2"/>
  <c r="U280" i="1"/>
  <c r="U445" i="1"/>
  <c r="U475" i="1"/>
  <c r="U476" i="1"/>
  <c r="U457" i="1"/>
  <c r="H353" i="2"/>
  <c r="U466" i="1"/>
  <c r="U467" i="1"/>
  <c r="U377" i="1"/>
  <c r="U431" i="1"/>
  <c r="U436" i="1"/>
  <c r="U437" i="1"/>
  <c r="H320" i="2"/>
  <c r="H334" i="2"/>
  <c r="U470" i="1"/>
  <c r="U468" i="1"/>
  <c r="H326" i="2"/>
  <c r="U458" i="1"/>
  <c r="U469" i="1"/>
  <c r="H325" i="2"/>
  <c r="H317" i="2"/>
  <c r="U471" i="1"/>
  <c r="H328" i="2"/>
  <c r="U472" i="1"/>
  <c r="U346" i="1"/>
  <c r="U459" i="1"/>
  <c r="U460" i="1"/>
  <c r="U477" i="1"/>
  <c r="H331" i="2"/>
  <c r="U447" i="1"/>
  <c r="H339" i="2"/>
  <c r="H344" i="2"/>
  <c r="U448" i="1"/>
  <c r="U115" i="1"/>
  <c r="U178" i="1"/>
  <c r="U101" i="1"/>
  <c r="U205" i="1"/>
  <c r="U59" i="1"/>
  <c r="U149" i="1"/>
  <c r="U192" i="1"/>
  <c r="U175" i="1"/>
  <c r="U43" i="1"/>
  <c r="U7" i="1"/>
  <c r="U281" i="1"/>
  <c r="U282" i="1"/>
  <c r="U283" i="1"/>
  <c r="U32" i="1"/>
  <c r="U400" i="1"/>
  <c r="U61" i="1"/>
  <c r="U81" i="1"/>
  <c r="U314" i="1"/>
  <c r="U315" i="1"/>
  <c r="U238" i="1"/>
  <c r="U239" i="1"/>
  <c r="U410" i="1"/>
  <c r="U69" i="1"/>
  <c r="H2" i="2"/>
  <c r="U228" i="1"/>
  <c r="U307" i="1"/>
  <c r="U40" i="1"/>
  <c r="U406" i="1"/>
  <c r="U201" i="1"/>
  <c r="U306" i="1"/>
  <c r="U99" i="1"/>
  <c r="U2" i="1"/>
  <c r="U118" i="1"/>
  <c r="U98" i="1"/>
  <c r="U8" i="1"/>
  <c r="U79" i="1"/>
  <c r="U102" i="1"/>
  <c r="U271" i="1"/>
  <c r="U114" i="1"/>
  <c r="U272" i="1"/>
  <c r="U383" i="1"/>
  <c r="U354" i="1"/>
  <c r="U171" i="1"/>
  <c r="U273" i="1"/>
  <c r="U188" i="1"/>
  <c r="U355" i="1"/>
  <c r="U360" i="1"/>
  <c r="U62" i="1"/>
  <c r="U129" i="1"/>
  <c r="U150" i="1"/>
  <c r="U362" i="1"/>
  <c r="U351" i="1"/>
  <c r="U27" i="1"/>
  <c r="U132" i="1"/>
  <c r="U210" i="1"/>
  <c r="U51" i="1"/>
  <c r="U156" i="1"/>
  <c r="U352" i="1"/>
  <c r="U353" i="1"/>
  <c r="U83" i="1"/>
  <c r="U361" i="1"/>
  <c r="U16" i="1"/>
  <c r="U66" i="1"/>
  <c r="U217" i="1"/>
  <c r="U90" i="1"/>
  <c r="U356" i="1"/>
  <c r="U215" i="1"/>
  <c r="U220" i="1"/>
  <c r="U50" i="1"/>
  <c r="U165" i="1"/>
  <c r="U46" i="1"/>
  <c r="U357" i="1"/>
  <c r="U179" i="1"/>
  <c r="U358" i="1"/>
  <c r="U154" i="1"/>
  <c r="U180" i="1"/>
  <c r="U359" i="1"/>
  <c r="U225" i="1"/>
  <c r="U49" i="1"/>
  <c r="U52" i="1"/>
  <c r="U109" i="1"/>
  <c r="U206" i="1"/>
  <c r="U84" i="1"/>
  <c r="U124" i="1"/>
  <c r="U126" i="1"/>
  <c r="U263" i="1"/>
  <c r="U387" i="1"/>
  <c r="U89" i="1"/>
  <c r="U261" i="1"/>
  <c r="U262" i="1"/>
  <c r="U93" i="1"/>
  <c r="U340" i="1"/>
  <c r="U155" i="1"/>
  <c r="U182" i="1"/>
  <c r="U141" i="1"/>
  <c r="U3" i="1"/>
  <c r="U183" i="1"/>
  <c r="U36" i="1"/>
  <c r="U292" i="1"/>
  <c r="U187" i="1"/>
  <c r="U10" i="1"/>
  <c r="U293" i="1"/>
  <c r="U425" i="1"/>
  <c r="U371" i="1"/>
  <c r="U372" i="1"/>
  <c r="U151" i="1"/>
  <c r="U137" i="1"/>
  <c r="U177" i="1"/>
  <c r="U70" i="1"/>
  <c r="U222" i="1"/>
  <c r="U96" i="1"/>
  <c r="U381" i="1"/>
  <c r="U29" i="1"/>
  <c r="U91" i="1"/>
  <c r="U199" i="1"/>
  <c r="U303" i="1"/>
  <c r="U260" i="1"/>
  <c r="U67" i="1"/>
  <c r="U337" i="1"/>
  <c r="U414" i="1"/>
  <c r="U265" i="1"/>
  <c r="U236" i="1"/>
  <c r="U237" i="1"/>
  <c r="U390" i="1"/>
  <c r="U221" i="1"/>
  <c r="U120" i="1"/>
  <c r="U203" i="1"/>
  <c r="H293" i="2"/>
  <c r="U270" i="1"/>
  <c r="U348" i="1"/>
  <c r="U349" i="1"/>
  <c r="U350" i="1"/>
  <c r="U153" i="1"/>
  <c r="U212" i="1"/>
  <c r="U119" i="1"/>
  <c r="U417" i="1"/>
  <c r="U397" i="1"/>
  <c r="U4" i="1"/>
  <c r="U55" i="1"/>
  <c r="U312" i="1"/>
  <c r="U313" i="1"/>
  <c r="U20" i="1"/>
  <c r="U234" i="1"/>
  <c r="U164" i="1"/>
  <c r="U235" i="1"/>
  <c r="U423" i="1"/>
  <c r="U176" i="1"/>
  <c r="U196" i="1"/>
  <c r="U170" i="1"/>
  <c r="U389" i="1"/>
  <c r="H153" i="2"/>
  <c r="U291" i="1"/>
  <c r="U290" i="1"/>
  <c r="U117" i="1"/>
  <c r="U144" i="1"/>
  <c r="U347" i="1"/>
  <c r="U172" i="1"/>
  <c r="U152" i="1"/>
  <c r="U54" i="1"/>
  <c r="U166" i="1"/>
  <c r="U33" i="1"/>
  <c r="U125" i="1"/>
  <c r="U103" i="1"/>
  <c r="U252" i="1"/>
  <c r="U253" i="1"/>
  <c r="U68" i="1"/>
  <c r="U258" i="1"/>
  <c r="U11" i="1"/>
  <c r="U254" i="1"/>
  <c r="U332" i="1"/>
  <c r="U259" i="1"/>
  <c r="U13" i="1"/>
  <c r="U63" i="1"/>
  <c r="U213" i="1"/>
  <c r="U255" i="1"/>
  <c r="U333" i="1"/>
  <c r="U64" i="1"/>
  <c r="U256" i="1"/>
  <c r="U334" i="1"/>
  <c r="U386" i="1"/>
  <c r="U388" i="1"/>
  <c r="U219" i="1"/>
  <c r="U15" i="1"/>
  <c r="U133" i="1"/>
  <c r="U257" i="1"/>
  <c r="U335" i="1"/>
  <c r="U407" i="1"/>
  <c r="U28" i="1"/>
  <c r="U82" i="1"/>
  <c r="U211" i="1"/>
  <c r="U112" i="1"/>
  <c r="U336" i="1"/>
  <c r="U22" i="1"/>
  <c r="U121" i="1"/>
  <c r="U160" i="1"/>
  <c r="U56" i="1"/>
  <c r="U143" i="1"/>
  <c r="U399" i="1"/>
  <c r="U226" i="1"/>
  <c r="U305" i="1"/>
  <c r="U94" i="1"/>
  <c r="U48" i="1"/>
  <c r="U379" i="1"/>
  <c r="U413" i="1"/>
  <c r="U378" i="1"/>
  <c r="U24" i="1"/>
  <c r="U122" i="1"/>
  <c r="U289" i="1"/>
  <c r="U186" i="1"/>
  <c r="U288" i="1"/>
  <c r="U405" i="1"/>
  <c r="U14" i="1"/>
  <c r="U131" i="1"/>
  <c r="U223" i="1"/>
  <c r="U9" i="1"/>
  <c r="U123" i="1"/>
  <c r="U38" i="1"/>
  <c r="U296" i="1"/>
  <c r="U297" i="1"/>
  <c r="U295" i="1"/>
  <c r="U158" i="1"/>
  <c r="U47" i="1"/>
  <c r="U53" i="1"/>
  <c r="U404" i="1"/>
  <c r="U394" i="1"/>
  <c r="U321" i="1"/>
  <c r="U322" i="1"/>
  <c r="U251" i="1"/>
  <c r="U329" i="1"/>
  <c r="U330" i="1"/>
  <c r="U331" i="1"/>
  <c r="U193" i="1"/>
  <c r="U30" i="1"/>
  <c r="U17" i="1"/>
  <c r="U198" i="1"/>
  <c r="U95" i="1"/>
  <c r="U92" i="1"/>
  <c r="U224" i="1"/>
  <c r="U60" i="1"/>
  <c r="U37" i="1"/>
  <c r="U190" i="1"/>
  <c r="U195" i="1"/>
  <c r="U39" i="1"/>
  <c r="U246" i="1"/>
  <c r="U320" i="1"/>
  <c r="U104" i="1"/>
  <c r="U338" i="1"/>
  <c r="U339" i="1"/>
  <c r="U416" i="1"/>
  <c r="U248" i="1"/>
  <c r="U105" i="1"/>
  <c r="U136" i="1"/>
  <c r="U65" i="1"/>
  <c r="U325" i="1"/>
  <c r="U324" i="1"/>
  <c r="U247" i="1"/>
  <c r="U298" i="1"/>
  <c r="U299" i="1"/>
  <c r="U392" i="1"/>
  <c r="U375" i="1"/>
  <c r="U411" i="1"/>
  <c r="U363" i="1"/>
  <c r="U168" i="1"/>
  <c r="U364" i="1"/>
  <c r="U365" i="1"/>
  <c r="U184" i="1"/>
  <c r="U274" i="1"/>
  <c r="U21" i="1"/>
  <c r="U275" i="1"/>
  <c r="U276" i="1"/>
  <c r="U108" i="1"/>
  <c r="U111" i="1"/>
  <c r="U216" i="1"/>
  <c r="U139" i="1"/>
  <c r="U25" i="1"/>
  <c r="U382" i="1"/>
  <c r="U302" i="1"/>
  <c r="U159" i="1"/>
  <c r="U287" i="1"/>
  <c r="U279" i="1"/>
  <c r="U278" i="1"/>
  <c r="H23" i="2"/>
  <c r="U345" i="1"/>
  <c r="U344" i="1"/>
  <c r="U202" i="1"/>
  <c r="U181" i="1"/>
  <c r="U300" i="1"/>
  <c r="U319" i="1"/>
  <c r="U87" i="1"/>
  <c r="U245" i="1"/>
  <c r="U162" i="1"/>
  <c r="U310" i="1"/>
  <c r="U233" i="1"/>
  <c r="U138" i="1"/>
  <c r="U249" i="1"/>
  <c r="U208" i="1"/>
  <c r="U85" i="1"/>
  <c r="U173" i="1"/>
  <c r="U88" i="1"/>
  <c r="U197" i="1"/>
  <c r="U140" i="1"/>
  <c r="U326" i="1"/>
  <c r="U396" i="1"/>
  <c r="U420" i="1"/>
  <c r="U376" i="1"/>
  <c r="U419" i="1"/>
  <c r="U147" i="1"/>
  <c r="U207" i="1"/>
  <c r="U286" i="1"/>
  <c r="U194" i="1"/>
  <c r="U243" i="1"/>
  <c r="U5" i="1"/>
  <c r="U318" i="1"/>
  <c r="U418" i="1"/>
  <c r="U244" i="1"/>
  <c r="U323" i="1"/>
  <c r="U80" i="1"/>
  <c r="U113" i="1"/>
  <c r="U18" i="1"/>
  <c r="U385" i="1"/>
  <c r="U42" i="1"/>
  <c r="U409" i="1"/>
  <c r="U185" i="1"/>
  <c r="U403" i="1"/>
  <c r="U277" i="1"/>
  <c r="U391" i="1"/>
  <c r="H12" i="2"/>
  <c r="U189" i="1"/>
  <c r="U128" i="1"/>
  <c r="U218" i="1"/>
  <c r="U242" i="1"/>
  <c r="U26" i="1"/>
  <c r="U384" i="1"/>
  <c r="U421" i="1"/>
  <c r="U268" i="1"/>
  <c r="U342" i="1"/>
  <c r="U343" i="1"/>
  <c r="U266" i="1"/>
  <c r="U341" i="1"/>
  <c r="U267" i="1"/>
  <c r="U250" i="1"/>
  <c r="U148" i="1"/>
  <c r="U130" i="1"/>
  <c r="U214" i="1"/>
  <c r="U426" i="1"/>
  <c r="U427" i="1"/>
  <c r="U412" i="1"/>
  <c r="U327" i="1"/>
  <c r="U393" i="1"/>
  <c r="U232" i="1"/>
  <c r="U231" i="1"/>
  <c r="U367" i="1"/>
  <c r="U422" i="1"/>
  <c r="U370" i="1"/>
  <c r="U107" i="1"/>
  <c r="U368" i="1"/>
  <c r="U369" i="1"/>
  <c r="U284" i="1"/>
  <c r="U41" i="1"/>
  <c r="U424" i="1"/>
  <c r="U100" i="1"/>
  <c r="U285" i="1"/>
  <c r="H291" i="2"/>
  <c r="U31" i="1"/>
  <c r="U209" i="1"/>
  <c r="U301" i="1"/>
  <c r="U401" i="1"/>
  <c r="U57" i="1"/>
  <c r="U294" i="1"/>
  <c r="U134" i="1"/>
  <c r="U373" i="1"/>
  <c r="U97" i="1"/>
  <c r="H22" i="2"/>
  <c r="U264" i="1"/>
  <c r="U12" i="1"/>
  <c r="U146" i="1"/>
  <c r="U204" i="1"/>
  <c r="U316" i="1"/>
  <c r="U110" i="1"/>
  <c r="U174" i="1"/>
  <c r="U317" i="1"/>
  <c r="U408" i="1"/>
  <c r="U167" i="1"/>
  <c r="U240" i="1"/>
  <c r="U241" i="1"/>
  <c r="U398" i="1"/>
  <c r="U169" i="1"/>
  <c r="U229" i="1"/>
  <c r="U230" i="1"/>
  <c r="U23" i="1"/>
  <c r="U86" i="1"/>
  <c r="U308" i="1"/>
  <c r="U135" i="1"/>
  <c r="H65" i="2"/>
  <c r="H124" i="2"/>
  <c r="H50" i="2"/>
  <c r="H188" i="2"/>
  <c r="H235" i="2"/>
  <c r="H159" i="2"/>
  <c r="H160" i="2"/>
  <c r="H264" i="2"/>
  <c r="H218" i="2"/>
  <c r="H237" i="2"/>
  <c r="H136" i="2"/>
  <c r="H134" i="2"/>
  <c r="H135" i="2"/>
  <c r="H214" i="2"/>
  <c r="H158" i="2"/>
  <c r="H41" i="2"/>
  <c r="H272" i="2"/>
  <c r="H226" i="2"/>
  <c r="H304" i="2"/>
  <c r="H277" i="2"/>
  <c r="H191" i="2"/>
  <c r="H229" i="2"/>
  <c r="H72" i="2"/>
  <c r="H253" i="2"/>
  <c r="H190" i="2"/>
  <c r="H74" i="2"/>
  <c r="H175" i="2"/>
  <c r="H73" i="2"/>
  <c r="H176" i="2"/>
  <c r="H273" i="2"/>
  <c r="H192" i="2"/>
  <c r="H140" i="2"/>
  <c r="H203" i="2"/>
  <c r="H141" i="2"/>
  <c r="H204" i="2"/>
  <c r="H173" i="2"/>
  <c r="H284" i="2"/>
  <c r="H132" i="2"/>
  <c r="H133" i="2"/>
  <c r="H130" i="2"/>
  <c r="H198" i="2"/>
  <c r="H265" i="2"/>
  <c r="H131" i="2"/>
  <c r="H287" i="2"/>
  <c r="H49" i="2"/>
  <c r="H11" i="2"/>
  <c r="K134" i="5" s="1"/>
  <c r="K136" i="5" s="1"/>
  <c r="H10" i="2"/>
  <c r="H215" i="2"/>
  <c r="H155" i="2"/>
  <c r="H147" i="2"/>
  <c r="H148" i="2"/>
  <c r="H113" i="2"/>
  <c r="H257" i="2"/>
  <c r="H199" i="2"/>
  <c r="H174" i="2"/>
  <c r="H306" i="2"/>
  <c r="H240" i="2"/>
  <c r="H150" i="2"/>
  <c r="H193" i="2"/>
  <c r="H151" i="2"/>
  <c r="H42" i="2"/>
  <c r="H244" i="2"/>
  <c r="H8" i="2"/>
  <c r="H286" i="2"/>
  <c r="H63" i="2"/>
  <c r="H7" i="2"/>
  <c r="H9" i="2"/>
  <c r="H288" i="2"/>
  <c r="H64" i="2"/>
  <c r="H123" i="2"/>
  <c r="H60" i="2"/>
  <c r="H122" i="2"/>
  <c r="H61" i="2"/>
  <c r="H6" i="2"/>
  <c r="H62" i="2"/>
  <c r="H230" i="2"/>
  <c r="H3" i="2"/>
  <c r="H58" i="2"/>
  <c r="H89" i="2"/>
  <c r="H117" i="2"/>
  <c r="H222" i="2"/>
  <c r="H4" i="2"/>
  <c r="H90" i="2"/>
  <c r="H289" i="2"/>
  <c r="H118" i="2"/>
  <c r="H260" i="2"/>
  <c r="H283" i="2"/>
  <c r="H46" i="2"/>
  <c r="H225" i="2"/>
  <c r="H120" i="2"/>
  <c r="H231" i="2"/>
  <c r="H48" i="2"/>
  <c r="H91" i="2"/>
  <c r="H121" i="2"/>
  <c r="H278" i="2"/>
  <c r="H274" i="2"/>
  <c r="H245" i="2"/>
  <c r="H189" i="2"/>
  <c r="H43" i="2"/>
  <c r="H53" i="2"/>
  <c r="H44" i="2"/>
  <c r="H107" i="2"/>
  <c r="H26" i="2"/>
  <c r="H108" i="2"/>
  <c r="H54" i="2"/>
  <c r="H106" i="2"/>
  <c r="H27" i="2"/>
  <c r="H109" i="2"/>
  <c r="H28" i="2"/>
  <c r="H87" i="2"/>
  <c r="H52" i="2"/>
  <c r="H69" i="2"/>
  <c r="H200" i="2"/>
  <c r="H139" i="2"/>
  <c r="H207" i="2"/>
  <c r="H102" i="2"/>
  <c r="H70" i="2"/>
  <c r="H20" i="2"/>
  <c r="H213" i="2"/>
  <c r="H187" i="2"/>
  <c r="H103" i="2"/>
  <c r="H21" i="2"/>
  <c r="H71" i="2"/>
  <c r="H251" i="2"/>
  <c r="H194" i="2"/>
  <c r="H57" i="2"/>
  <c r="H238" i="2"/>
  <c r="H254" i="2"/>
  <c r="H224" i="2"/>
  <c r="H154" i="2"/>
  <c r="H256" i="2"/>
  <c r="H219" i="2"/>
  <c r="H180" i="2"/>
  <c r="H93" i="2"/>
  <c r="H129" i="2"/>
  <c r="H295" i="2"/>
  <c r="H94" i="2"/>
  <c r="H67" i="2"/>
  <c r="H202" i="2"/>
  <c r="H301" i="2"/>
  <c r="H228" i="2"/>
  <c r="H232" i="2"/>
  <c r="H280" i="2"/>
  <c r="H296" i="2"/>
  <c r="H29" i="2"/>
  <c r="H111" i="2"/>
  <c r="H179" i="2"/>
  <c r="H112" i="2"/>
  <c r="H30" i="2"/>
  <c r="H145" i="2"/>
  <c r="H146" i="2"/>
  <c r="H261" i="2"/>
  <c r="H110" i="2"/>
  <c r="H178" i="2"/>
  <c r="H236" i="2"/>
  <c r="H247" i="2"/>
  <c r="H227" i="2"/>
  <c r="H184" i="2"/>
  <c r="H149" i="2"/>
  <c r="H38" i="2"/>
  <c r="H40" i="2"/>
  <c r="H39" i="2"/>
  <c r="H197" i="2"/>
  <c r="H157" i="2"/>
  <c r="H24" i="2"/>
  <c r="H25" i="2"/>
  <c r="H105" i="2"/>
  <c r="H144" i="2"/>
  <c r="H104" i="2"/>
  <c r="H242" i="2"/>
  <c r="H128" i="2"/>
  <c r="H92" i="2"/>
  <c r="H13" i="2"/>
  <c r="H116" i="2"/>
  <c r="H195" i="2"/>
  <c r="H80" i="2"/>
  <c r="H156" i="2"/>
  <c r="H37" i="2"/>
  <c r="H275" i="2"/>
  <c r="H294" i="2"/>
  <c r="H186" i="2"/>
  <c r="H250" i="2"/>
  <c r="H262" i="2"/>
  <c r="H310" i="2"/>
  <c r="H259" i="2"/>
  <c r="H216" i="2"/>
  <c r="H185" i="2"/>
  <c r="H311" i="2"/>
  <c r="H300" i="2"/>
  <c r="H312" i="2"/>
  <c r="H220" i="2"/>
  <c r="H5" i="2"/>
  <c r="H177" i="2"/>
  <c r="H182" i="2"/>
  <c r="H100" i="2"/>
  <c r="H18" i="2"/>
  <c r="H101" i="2"/>
  <c r="H19" i="2"/>
  <c r="H206" i="2"/>
  <c r="H298" i="2"/>
  <c r="H299" i="2"/>
  <c r="H279" i="2"/>
  <c r="H290" i="2"/>
  <c r="H281" i="2"/>
  <c r="H119" i="2"/>
  <c r="H297" i="2"/>
  <c r="H205" i="2"/>
  <c r="H241" i="2"/>
  <c r="H252" i="2"/>
  <c r="H68" i="2"/>
  <c r="H271" i="2"/>
  <c r="H14" i="2"/>
  <c r="H276" i="2"/>
  <c r="H285" i="2"/>
  <c r="H15" i="2"/>
  <c r="H263" i="2"/>
  <c r="H282" i="2"/>
  <c r="H137" i="2"/>
  <c r="H97" i="2"/>
  <c r="H212" i="2"/>
  <c r="H16" i="2"/>
  <c r="H181" i="2"/>
  <c r="H98" i="2"/>
  <c r="H201" i="2"/>
  <c r="H138" i="2"/>
  <c r="H17" i="2"/>
  <c r="H99" i="2"/>
  <c r="H51" i="2"/>
  <c r="H249" i="2"/>
  <c r="H209" i="2"/>
  <c r="H47" i="2"/>
  <c r="H59" i="2"/>
  <c r="H221" i="2"/>
  <c r="H302" i="2"/>
  <c r="H45" i="2"/>
  <c r="H183" i="2"/>
  <c r="H79" i="2"/>
  <c r="H246" i="2"/>
  <c r="H303" i="2"/>
  <c r="H269" i="2"/>
  <c r="H36" i="2"/>
  <c r="H217" i="2"/>
  <c r="H270" i="2"/>
  <c r="H78" i="2"/>
  <c r="H152" i="2"/>
  <c r="H75" i="2"/>
  <c r="H76" i="2"/>
  <c r="H77" i="2"/>
  <c r="H34" i="2"/>
  <c r="H31" i="2"/>
  <c r="H32" i="2"/>
  <c r="H55" i="2"/>
  <c r="H143" i="2"/>
  <c r="H223" i="2"/>
  <c r="H163" i="2"/>
  <c r="H84" i="2"/>
  <c r="H168" i="2"/>
  <c r="H164" i="2"/>
  <c r="H243" i="2"/>
  <c r="H196" i="2"/>
  <c r="H165" i="2"/>
  <c r="H85" i="2"/>
  <c r="H169" i="2"/>
  <c r="H208" i="2"/>
  <c r="H81" i="2"/>
  <c r="H248" i="2"/>
  <c r="H171" i="2"/>
  <c r="H86" i="2"/>
  <c r="H161" i="2"/>
  <c r="H172" i="2"/>
  <c r="H82" i="2"/>
  <c r="H166" i="2"/>
  <c r="H233" i="2"/>
  <c r="H170" i="2"/>
  <c r="H162" i="2"/>
  <c r="H83" i="2"/>
  <c r="H167" i="2"/>
  <c r="H96" i="2"/>
  <c r="H292" i="2"/>
  <c r="H211" i="2"/>
  <c r="H127" i="2"/>
  <c r="H239" i="2"/>
  <c r="H125" i="2"/>
  <c r="H255" i="2"/>
  <c r="H66" i="2"/>
  <c r="H126" i="2"/>
  <c r="H234" i="2"/>
  <c r="E16" i="5" l="1"/>
  <c r="G78" i="5"/>
  <c r="K75" i="5"/>
  <c r="K63" i="5"/>
  <c r="M112" i="5"/>
  <c r="I41" i="5"/>
  <c r="G18" i="5"/>
  <c r="I67" i="5"/>
  <c r="M21" i="5"/>
  <c r="E69" i="5"/>
  <c r="E55" i="5"/>
  <c r="G106" i="5"/>
  <c r="E36" i="5"/>
  <c r="G19" i="5"/>
  <c r="I68" i="5"/>
  <c r="K55" i="5"/>
  <c r="M106" i="5"/>
  <c r="K36" i="5"/>
  <c r="K16" i="5"/>
  <c r="G31" i="5"/>
  <c r="E53" i="5"/>
  <c r="G104" i="5"/>
  <c r="G37" i="5"/>
  <c r="I80" i="5"/>
  <c r="I20" i="5"/>
  <c r="G64" i="5"/>
  <c r="K53" i="5"/>
  <c r="M104" i="5"/>
  <c r="K34" i="5"/>
  <c r="M78" i="5"/>
  <c r="K14" i="5"/>
  <c r="M65" i="5"/>
  <c r="K44" i="5"/>
  <c r="M85" i="5"/>
  <c r="I21" i="5"/>
  <c r="M49" i="5"/>
  <c r="I11" i="5"/>
  <c r="E25" i="5"/>
  <c r="E6" i="5"/>
  <c r="G58" i="5"/>
  <c r="G39" i="5"/>
  <c r="I82" i="5"/>
  <c r="I22" i="5"/>
  <c r="K69" i="5"/>
  <c r="K6" i="5"/>
  <c r="M58" i="5"/>
  <c r="E108" i="5"/>
  <c r="M39" i="5"/>
  <c r="E83" i="5"/>
  <c r="M19" i="5"/>
  <c r="K102" i="5"/>
  <c r="G56" i="5"/>
  <c r="I107" i="5"/>
  <c r="I40" i="5"/>
  <c r="K83" i="5"/>
  <c r="K23" i="5"/>
  <c r="M81" i="5"/>
  <c r="M56" i="5"/>
  <c r="M37" i="5"/>
  <c r="E81" i="5"/>
  <c r="M17" i="5"/>
  <c r="E67" i="5"/>
  <c r="M8" i="5"/>
  <c r="M47" i="5"/>
  <c r="K24" i="5"/>
  <c r="M70" i="5"/>
  <c r="M41" i="5"/>
  <c r="I52" i="5"/>
  <c r="I30" i="5"/>
  <c r="G28" i="5"/>
  <c r="I73" i="5"/>
  <c r="G9" i="5"/>
  <c r="I61" i="5"/>
  <c r="K110" i="5"/>
  <c r="I42" i="5"/>
  <c r="K84" i="5"/>
  <c r="K25" i="5"/>
  <c r="M9" i="5"/>
  <c r="E62" i="5"/>
  <c r="G111" i="5"/>
  <c r="E43" i="5"/>
  <c r="E23" i="5"/>
  <c r="G7" i="5"/>
  <c r="I59" i="5"/>
  <c r="K108" i="5"/>
  <c r="K43" i="5"/>
  <c r="M26" i="5"/>
  <c r="E72" i="5"/>
  <c r="M7" i="5"/>
  <c r="E60" i="5"/>
  <c r="G109" i="5"/>
  <c r="E41" i="5"/>
  <c r="E21" i="5"/>
  <c r="I51" i="5"/>
  <c r="E51" i="5"/>
  <c r="G102" i="5"/>
  <c r="M27" i="5"/>
  <c r="E73" i="5"/>
  <c r="I31" i="5"/>
  <c r="K76" i="5"/>
  <c r="I12" i="5"/>
  <c r="K64" i="5"/>
  <c r="M113" i="5"/>
  <c r="K45" i="5"/>
  <c r="M28" i="5"/>
  <c r="E74" i="5"/>
  <c r="E13" i="5"/>
  <c r="I114" i="5"/>
  <c r="G46" i="5"/>
  <c r="I95" i="5"/>
  <c r="G26" i="5"/>
  <c r="I71" i="5"/>
  <c r="I10" i="5"/>
  <c r="K62" i="5"/>
  <c r="M111" i="5"/>
  <c r="M46" i="5"/>
  <c r="E96" i="5"/>
  <c r="E30" i="5"/>
  <c r="G75" i="5"/>
  <c r="E11" i="5"/>
  <c r="G63" i="5"/>
  <c r="I112" i="5"/>
  <c r="G44" i="5"/>
  <c r="I85" i="5"/>
  <c r="G24" i="5"/>
  <c r="I70" i="5"/>
  <c r="I76" i="5"/>
  <c r="G54" i="5"/>
  <c r="I105" i="5"/>
  <c r="E31" i="5"/>
  <c r="G76" i="5"/>
  <c r="K77" i="5"/>
  <c r="K35" i="5"/>
  <c r="M79" i="5"/>
  <c r="K15" i="5"/>
  <c r="M66" i="5"/>
  <c r="G15" i="5"/>
  <c r="M48" i="5"/>
  <c r="E97" i="5"/>
  <c r="E32" i="5"/>
  <c r="G77" i="5"/>
  <c r="G16" i="5"/>
  <c r="K5" i="5"/>
  <c r="I49" i="5"/>
  <c r="K97" i="5"/>
  <c r="I29" i="5"/>
  <c r="K74" i="5"/>
  <c r="K13" i="5"/>
  <c r="E115" i="5"/>
  <c r="E50" i="5"/>
  <c r="G34" i="5"/>
  <c r="I78" i="5"/>
  <c r="G14" i="5"/>
  <c r="I65" i="5"/>
  <c r="K115" i="5"/>
  <c r="I47" i="5"/>
  <c r="K96" i="5"/>
  <c r="I27" i="5"/>
  <c r="K72" i="5"/>
  <c r="G5" i="5"/>
  <c r="I57" i="5"/>
  <c r="G35" i="5"/>
  <c r="I79" i="5"/>
  <c r="M38" i="5"/>
  <c r="E82" i="5"/>
  <c r="M18" i="5"/>
  <c r="E68" i="5"/>
  <c r="E61" i="5"/>
  <c r="E52" i="5"/>
  <c r="G103" i="5"/>
  <c r="G36" i="5"/>
  <c r="I19" i="5"/>
  <c r="K68" i="5"/>
  <c r="G48" i="5"/>
  <c r="K52" i="5"/>
  <c r="M103" i="5"/>
  <c r="K32" i="5"/>
  <c r="M77" i="5"/>
  <c r="M16" i="5"/>
  <c r="I35" i="5"/>
  <c r="G53" i="5"/>
  <c r="I104" i="5"/>
  <c r="I37" i="5"/>
  <c r="K80" i="5"/>
  <c r="I17" i="5"/>
  <c r="I18" i="5"/>
  <c r="K50" i="5"/>
  <c r="K30" i="5"/>
  <c r="M75" i="5"/>
  <c r="I8" i="5"/>
  <c r="K60" i="5"/>
  <c r="M109" i="5"/>
  <c r="I38" i="5"/>
  <c r="K81" i="5"/>
  <c r="E42" i="5"/>
  <c r="G84" i="5"/>
  <c r="E22" i="5"/>
  <c r="G69" i="5"/>
  <c r="I113" i="5"/>
  <c r="G55" i="5"/>
  <c r="I106" i="5"/>
  <c r="I39" i="5"/>
  <c r="K82" i="5"/>
  <c r="K22" i="5"/>
  <c r="M69" i="5"/>
  <c r="M105" i="5"/>
  <c r="M55" i="5"/>
  <c r="E107" i="5"/>
  <c r="M36" i="5"/>
  <c r="E80" i="5"/>
  <c r="E20" i="5"/>
  <c r="I56" i="5"/>
  <c r="K107" i="5"/>
  <c r="K40" i="5"/>
  <c r="M83" i="5"/>
  <c r="K20" i="5"/>
  <c r="I66" i="5"/>
  <c r="M53" i="5"/>
  <c r="E105" i="5"/>
  <c r="M34" i="5"/>
  <c r="E79" i="5"/>
  <c r="K11" i="5"/>
  <c r="M63" i="5"/>
  <c r="E113" i="5"/>
  <c r="K41" i="5"/>
  <c r="M51" i="5"/>
  <c r="K103" i="5"/>
  <c r="I50" i="5"/>
  <c r="M129" i="5"/>
  <c r="I127" i="5"/>
  <c r="M128" i="5"/>
  <c r="G129" i="5"/>
  <c r="M127" i="5"/>
  <c r="G128" i="5"/>
  <c r="K129" i="5"/>
  <c r="G127" i="5"/>
  <c r="K128" i="5"/>
  <c r="K127" i="5"/>
  <c r="E129" i="5"/>
  <c r="E128" i="5"/>
  <c r="I129" i="5"/>
  <c r="E127" i="5"/>
  <c r="I128" i="5"/>
  <c r="G45" i="5"/>
  <c r="G25" i="5"/>
  <c r="G6" i="5"/>
  <c r="I58" i="5"/>
  <c r="K42" i="5"/>
  <c r="M84" i="5"/>
  <c r="M25" i="5"/>
  <c r="E71" i="5"/>
  <c r="M6" i="5"/>
  <c r="E59" i="5"/>
  <c r="G108" i="5"/>
  <c r="E40" i="5"/>
  <c r="G83" i="5"/>
  <c r="G23" i="5"/>
  <c r="I7" i="5"/>
  <c r="K59" i="5"/>
  <c r="M108" i="5"/>
  <c r="M43" i="5"/>
  <c r="E85" i="5"/>
  <c r="M23" i="5"/>
  <c r="E70" i="5"/>
  <c r="K79" i="5"/>
  <c r="E57" i="5"/>
  <c r="E38" i="5"/>
  <c r="G81" i="5"/>
  <c r="M14" i="5"/>
  <c r="E66" i="5"/>
  <c r="M44" i="5"/>
  <c r="E103" i="5"/>
  <c r="M114" i="5"/>
  <c r="I48" i="5"/>
  <c r="I28" i="5"/>
  <c r="K73" i="5"/>
  <c r="I9" i="5"/>
  <c r="K61" i="5"/>
  <c r="M110" i="5"/>
  <c r="M45" i="5"/>
  <c r="E95" i="5"/>
  <c r="E29" i="5"/>
  <c r="G74" i="5"/>
  <c r="E10" i="5"/>
  <c r="G62" i="5"/>
  <c r="I111" i="5"/>
  <c r="G43" i="5"/>
  <c r="I26" i="5"/>
  <c r="K71" i="5"/>
  <c r="K10" i="5"/>
  <c r="M62" i="5"/>
  <c r="E112" i="5"/>
  <c r="E47" i="5"/>
  <c r="G96" i="5"/>
  <c r="E27" i="5"/>
  <c r="G72" i="5"/>
  <c r="E8" i="5"/>
  <c r="G60" i="5"/>
  <c r="I109" i="5"/>
  <c r="G41" i="5"/>
  <c r="E18" i="5"/>
  <c r="G67" i="5"/>
  <c r="M24" i="5"/>
  <c r="E48" i="5"/>
  <c r="K51" i="5"/>
  <c r="M102" i="5"/>
  <c r="K31" i="5"/>
  <c r="M76" i="5"/>
  <c r="K12" i="5"/>
  <c r="M64" i="5"/>
  <c r="E114" i="5"/>
  <c r="E49" i="5"/>
  <c r="G97" i="5"/>
  <c r="G32" i="5"/>
  <c r="I77" i="5"/>
  <c r="G13" i="5"/>
  <c r="K114" i="5"/>
  <c r="I46" i="5"/>
  <c r="K95" i="5"/>
  <c r="K29" i="5"/>
  <c r="M74" i="5"/>
  <c r="M13" i="5"/>
  <c r="E65" i="5"/>
  <c r="G115" i="5"/>
  <c r="G50" i="5"/>
  <c r="G30" i="5"/>
  <c r="I75" i="5"/>
  <c r="G11" i="5"/>
  <c r="I63" i="5"/>
  <c r="K112" i="5"/>
  <c r="I44" i="5"/>
  <c r="K85" i="5"/>
  <c r="G21" i="5"/>
  <c r="K67" i="5"/>
  <c r="G51" i="5"/>
  <c r="I102" i="5"/>
  <c r="E77" i="5"/>
  <c r="E34" i="5"/>
  <c r="E28" i="5"/>
  <c r="M54" i="5"/>
  <c r="E106" i="5"/>
  <c r="M35" i="5"/>
  <c r="M15" i="5"/>
  <c r="K38" i="5"/>
  <c r="G52" i="5"/>
  <c r="I103" i="5"/>
  <c r="I36" i="5"/>
  <c r="I16" i="5"/>
  <c r="K21" i="5"/>
  <c r="K49" i="5"/>
  <c r="M97" i="5"/>
  <c r="M32" i="5"/>
  <c r="E78" i="5"/>
  <c r="E17" i="5"/>
  <c r="E45" i="5"/>
  <c r="I53" i="5"/>
  <c r="K104" i="5"/>
  <c r="I34" i="5"/>
  <c r="K78" i="5"/>
  <c r="I14" i="5"/>
  <c r="K65" i="5"/>
  <c r="M115" i="5"/>
  <c r="K47" i="5"/>
  <c r="M96" i="5"/>
  <c r="I24" i="5"/>
  <c r="K70" i="5"/>
  <c r="I54" i="5"/>
  <c r="K105" i="5"/>
  <c r="M67" i="5"/>
  <c r="M57" i="5"/>
  <c r="G17" i="5"/>
  <c r="M5" i="5"/>
  <c r="E58" i="5"/>
  <c r="E39" i="5"/>
  <c r="G82" i="5"/>
  <c r="E19" i="5"/>
  <c r="G68" i="5"/>
  <c r="G110" i="5"/>
  <c r="I55" i="5"/>
  <c r="K106" i="5"/>
  <c r="K39" i="5"/>
  <c r="M82" i="5"/>
  <c r="K19" i="5"/>
  <c r="M68" i="5"/>
  <c r="M52" i="5"/>
  <c r="E104" i="5"/>
  <c r="E37" i="5"/>
  <c r="G80" i="5"/>
  <c r="G20" i="5"/>
  <c r="K56" i="5"/>
  <c r="M107" i="5"/>
  <c r="K37" i="5"/>
  <c r="M80" i="5"/>
  <c r="K17" i="5"/>
  <c r="K54" i="5"/>
  <c r="M50" i="5"/>
  <c r="E102" i="5"/>
  <c r="K27" i="5"/>
  <c r="M72" i="5"/>
  <c r="I5" i="5"/>
  <c r="K57" i="5"/>
  <c r="K18" i="5"/>
  <c r="I13" i="5"/>
  <c r="E9" i="5"/>
  <c r="G61" i="5"/>
  <c r="I110" i="5"/>
  <c r="G42" i="5"/>
  <c r="I84" i="5"/>
  <c r="G22" i="5"/>
  <c r="I69" i="5"/>
  <c r="I6" i="5"/>
  <c r="K58" i="5"/>
  <c r="M42" i="5"/>
  <c r="M22" i="5"/>
  <c r="E84" i="5"/>
  <c r="E56" i="5"/>
  <c r="G107" i="5"/>
  <c r="G40" i="5"/>
  <c r="I83" i="5"/>
  <c r="I23" i="5"/>
  <c r="K7" i="5"/>
  <c r="M59" i="5"/>
  <c r="E109" i="5"/>
  <c r="M40" i="5"/>
  <c r="M20" i="5"/>
  <c r="G73" i="5"/>
  <c r="E54" i="5"/>
  <c r="G105" i="5"/>
  <c r="M30" i="5"/>
  <c r="E76" i="5"/>
  <c r="K8" i="5"/>
  <c r="M60" i="5"/>
  <c r="E110" i="5"/>
  <c r="M31" i="5"/>
  <c r="I32" i="5"/>
  <c r="E12" i="5"/>
  <c r="G12" i="5"/>
  <c r="I64" i="5"/>
  <c r="K113" i="5"/>
  <c r="I45" i="5"/>
  <c r="I25" i="5"/>
  <c r="K9" i="5"/>
  <c r="M61" i="5"/>
  <c r="E111" i="5"/>
  <c r="E46" i="5"/>
  <c r="G95" i="5"/>
  <c r="E26" i="5"/>
  <c r="G71" i="5"/>
  <c r="E7" i="5"/>
  <c r="G59" i="5"/>
  <c r="I108" i="5"/>
  <c r="I43" i="5"/>
  <c r="K26" i="5"/>
  <c r="M71" i="5"/>
  <c r="M10" i="5"/>
  <c r="E63" i="5"/>
  <c r="G112" i="5"/>
  <c r="E44" i="5"/>
  <c r="G85" i="5"/>
  <c r="E24" i="5"/>
  <c r="G70" i="5"/>
  <c r="E5" i="5"/>
  <c r="G57" i="5"/>
  <c r="E35" i="5"/>
  <c r="G79" i="5"/>
  <c r="M11" i="5"/>
  <c r="E64" i="5"/>
  <c r="G113" i="5"/>
  <c r="I15" i="5"/>
  <c r="K66" i="5"/>
  <c r="K48" i="5"/>
  <c r="K28" i="5"/>
  <c r="M73" i="5"/>
  <c r="M12" i="5"/>
  <c r="G114" i="5"/>
  <c r="G49" i="5"/>
  <c r="I97" i="5"/>
  <c r="G29" i="5"/>
  <c r="I74" i="5"/>
  <c r="G10" i="5"/>
  <c r="I62" i="5"/>
  <c r="K111" i="5"/>
  <c r="K46" i="5"/>
  <c r="M95" i="5"/>
  <c r="M29" i="5"/>
  <c r="E75" i="5"/>
  <c r="E14" i="5"/>
  <c r="G65" i="5"/>
  <c r="I115" i="5"/>
  <c r="G47" i="5"/>
  <c r="I96" i="5"/>
  <c r="G27" i="5"/>
  <c r="I72" i="5"/>
  <c r="G8" i="5"/>
  <c r="I60" i="5"/>
  <c r="K109" i="5"/>
  <c r="G38" i="5"/>
  <c r="I81" i="5"/>
  <c r="E15" i="5"/>
  <c r="G66" i="5"/>
  <c r="E172" i="5"/>
  <c r="G172" i="5"/>
  <c r="I172" i="5"/>
  <c r="K172" i="5"/>
  <c r="M172" i="5"/>
  <c r="M168" i="5"/>
  <c r="M160" i="5"/>
  <c r="M193" i="5"/>
  <c r="G169" i="5"/>
  <c r="G201" i="5"/>
  <c r="I161" i="5"/>
  <c r="I194" i="5"/>
  <c r="K169" i="5"/>
  <c r="K201" i="5"/>
  <c r="M159" i="5"/>
  <c r="M192" i="5"/>
  <c r="G150" i="5"/>
  <c r="G183" i="5"/>
  <c r="I173" i="5"/>
  <c r="K146" i="5"/>
  <c r="K179" i="5"/>
  <c r="M162" i="5"/>
  <c r="M195" i="5"/>
  <c r="G171" i="5"/>
  <c r="I163" i="5"/>
  <c r="I196" i="5"/>
  <c r="K171" i="5"/>
  <c r="M161" i="5"/>
  <c r="M194" i="5"/>
  <c r="G152" i="5"/>
  <c r="G185" i="5"/>
  <c r="E206" i="5"/>
  <c r="Q206" i="5" s="1"/>
  <c r="I175" i="5"/>
  <c r="K148" i="5"/>
  <c r="K181" i="5"/>
  <c r="M164" i="5"/>
  <c r="M197" i="5"/>
  <c r="G174" i="5"/>
  <c r="I165" i="5"/>
  <c r="K174" i="5"/>
  <c r="M163" i="5"/>
  <c r="M196" i="5"/>
  <c r="G154" i="5"/>
  <c r="G187" i="5"/>
  <c r="I177" i="5"/>
  <c r="K150" i="5"/>
  <c r="K183" i="5"/>
  <c r="M166" i="5"/>
  <c r="M198" i="5"/>
  <c r="E205" i="5"/>
  <c r="Q205" i="5" s="1"/>
  <c r="G176" i="5"/>
  <c r="I167" i="5"/>
  <c r="I199" i="5"/>
  <c r="E203" i="5"/>
  <c r="Q203" i="5" s="1"/>
  <c r="K176" i="5"/>
  <c r="M165" i="5"/>
  <c r="G156" i="5"/>
  <c r="G189" i="5"/>
  <c r="I146" i="5"/>
  <c r="I179" i="5"/>
  <c r="K152" i="5"/>
  <c r="K185" i="5"/>
  <c r="M200" i="5"/>
  <c r="G178" i="5"/>
  <c r="I169" i="5"/>
  <c r="I201" i="5"/>
  <c r="K178" i="5"/>
  <c r="M167" i="5"/>
  <c r="M199" i="5"/>
  <c r="G158" i="5"/>
  <c r="G191" i="5"/>
  <c r="I148" i="5"/>
  <c r="I181" i="5"/>
  <c r="K154" i="5"/>
  <c r="K187" i="5"/>
  <c r="M170" i="5"/>
  <c r="M202" i="5"/>
  <c r="G147" i="5"/>
  <c r="G180" i="5"/>
  <c r="I171" i="5"/>
  <c r="K147" i="5"/>
  <c r="K180" i="5"/>
  <c r="M169" i="5"/>
  <c r="M201" i="5"/>
  <c r="G160" i="5"/>
  <c r="G193" i="5"/>
  <c r="I150" i="5"/>
  <c r="I183" i="5"/>
  <c r="K156" i="5"/>
  <c r="K189" i="5"/>
  <c r="M173" i="5"/>
  <c r="G149" i="5"/>
  <c r="G182" i="5"/>
  <c r="I174" i="5"/>
  <c r="K149" i="5"/>
  <c r="K182" i="5"/>
  <c r="M171" i="5"/>
  <c r="G162" i="5"/>
  <c r="G195" i="5"/>
  <c r="I152" i="5"/>
  <c r="I185" i="5"/>
  <c r="K158" i="5"/>
  <c r="K191" i="5"/>
  <c r="M175" i="5"/>
  <c r="G151" i="5"/>
  <c r="G184" i="5"/>
  <c r="E204" i="5"/>
  <c r="Q204" i="5" s="1"/>
  <c r="I176" i="5"/>
  <c r="K151" i="5"/>
  <c r="K184" i="5"/>
  <c r="M174" i="5"/>
  <c r="G164" i="5"/>
  <c r="G197" i="5"/>
  <c r="I154" i="5"/>
  <c r="I187" i="5"/>
  <c r="K160" i="5"/>
  <c r="K193" i="5"/>
  <c r="M177" i="5"/>
  <c r="G153" i="5"/>
  <c r="G186" i="5"/>
  <c r="I178" i="5"/>
  <c r="K153" i="5"/>
  <c r="K186" i="5"/>
  <c r="E202" i="5"/>
  <c r="M176" i="5"/>
  <c r="G166" i="5"/>
  <c r="G198" i="5"/>
  <c r="I156" i="5"/>
  <c r="I189" i="5"/>
  <c r="K162" i="5"/>
  <c r="K195" i="5"/>
  <c r="M146" i="5"/>
  <c r="M179" i="5"/>
  <c r="G155" i="5"/>
  <c r="G188" i="5"/>
  <c r="I147" i="5"/>
  <c r="I180" i="5"/>
  <c r="K155" i="5"/>
  <c r="K188" i="5"/>
  <c r="M178" i="5"/>
  <c r="G168" i="5"/>
  <c r="G200" i="5"/>
  <c r="I158" i="5"/>
  <c r="I191" i="5"/>
  <c r="K164" i="5"/>
  <c r="K197" i="5"/>
  <c r="M148" i="5"/>
  <c r="M181" i="5"/>
  <c r="G157" i="5"/>
  <c r="G190" i="5"/>
  <c r="I149" i="5"/>
  <c r="I182" i="5"/>
  <c r="K157" i="5"/>
  <c r="K190" i="5"/>
  <c r="M147" i="5"/>
  <c r="M180" i="5"/>
  <c r="G170" i="5"/>
  <c r="G202" i="5"/>
  <c r="I160" i="5"/>
  <c r="I193" i="5"/>
  <c r="E216" i="5"/>
  <c r="Q216" i="5" s="1"/>
  <c r="K166" i="5"/>
  <c r="K198" i="5"/>
  <c r="M150" i="5"/>
  <c r="M183" i="5"/>
  <c r="G159" i="5"/>
  <c r="G192" i="5"/>
  <c r="I151" i="5"/>
  <c r="I184" i="5"/>
  <c r="K159" i="5"/>
  <c r="K192" i="5"/>
  <c r="M149" i="5"/>
  <c r="M182" i="5"/>
  <c r="G173" i="5"/>
  <c r="I162" i="5"/>
  <c r="I195" i="5"/>
  <c r="K168" i="5"/>
  <c r="K200" i="5"/>
  <c r="M152" i="5"/>
  <c r="M185" i="5"/>
  <c r="G161" i="5"/>
  <c r="G194" i="5"/>
  <c r="I153" i="5"/>
  <c r="I186" i="5"/>
  <c r="K161" i="5"/>
  <c r="K194" i="5"/>
  <c r="M151" i="5"/>
  <c r="M184" i="5"/>
  <c r="E207" i="5"/>
  <c r="Q207" i="5" s="1"/>
  <c r="G175" i="5"/>
  <c r="I164" i="5"/>
  <c r="I197" i="5"/>
  <c r="K170" i="5"/>
  <c r="K202" i="5"/>
  <c r="M154" i="5"/>
  <c r="M187" i="5"/>
  <c r="G163" i="5"/>
  <c r="G196" i="5"/>
  <c r="I155" i="5"/>
  <c r="I188" i="5"/>
  <c r="K163" i="5"/>
  <c r="K196" i="5"/>
  <c r="M153" i="5"/>
  <c r="M186" i="5"/>
  <c r="G177" i="5"/>
  <c r="I166" i="5"/>
  <c r="I198" i="5"/>
  <c r="K173" i="5"/>
  <c r="M156" i="5"/>
  <c r="M189" i="5"/>
  <c r="G165" i="5"/>
  <c r="I157" i="5"/>
  <c r="I190" i="5"/>
  <c r="K165" i="5"/>
  <c r="M155" i="5"/>
  <c r="M188" i="5"/>
  <c r="G146" i="5"/>
  <c r="G179" i="5"/>
  <c r="I168" i="5"/>
  <c r="I200" i="5"/>
  <c r="K175" i="5"/>
  <c r="M158" i="5"/>
  <c r="M191" i="5"/>
  <c r="G167" i="5"/>
  <c r="G199" i="5"/>
  <c r="I159" i="5"/>
  <c r="I192" i="5"/>
  <c r="K167" i="5"/>
  <c r="K199" i="5"/>
  <c r="M157" i="5"/>
  <c r="M190" i="5"/>
  <c r="G148" i="5"/>
  <c r="G181" i="5"/>
  <c r="I170" i="5"/>
  <c r="I202" i="5"/>
  <c r="K177" i="5"/>
  <c r="E179" i="5"/>
  <c r="E157" i="5"/>
  <c r="E148" i="5"/>
  <c r="E147" i="5"/>
  <c r="E162" i="5"/>
  <c r="E163" i="5"/>
  <c r="E183" i="5"/>
  <c r="E146" i="5"/>
  <c r="E164" i="5"/>
  <c r="E192" i="5"/>
  <c r="E191" i="5"/>
  <c r="E200" i="5"/>
  <c r="E186" i="5"/>
  <c r="E166" i="5"/>
  <c r="E197" i="5"/>
  <c r="E176" i="5"/>
  <c r="E175" i="5"/>
  <c r="E187" i="5"/>
  <c r="E169" i="5"/>
  <c r="E199" i="5"/>
  <c r="E150" i="5"/>
  <c r="E182" i="5"/>
  <c r="E159" i="5"/>
  <c r="E158" i="5"/>
  <c r="E170" i="5"/>
  <c r="E153" i="5"/>
  <c r="E185" i="5"/>
  <c r="E165" i="5"/>
  <c r="E154" i="5"/>
  <c r="E168" i="5"/>
  <c r="E198" i="5"/>
  <c r="E149" i="5"/>
  <c r="E152" i="5"/>
  <c r="E184" i="5"/>
  <c r="E174" i="5"/>
  <c r="E167" i="5"/>
  <c r="E151" i="5"/>
  <c r="E194" i="5"/>
  <c r="E156" i="5"/>
  <c r="E178" i="5"/>
  <c r="E155" i="5"/>
  <c r="E161" i="5"/>
  <c r="E193" i="5"/>
  <c r="E201" i="5"/>
  <c r="E177" i="5"/>
  <c r="E189" i="5"/>
  <c r="E188" i="5"/>
  <c r="E196" i="5"/>
  <c r="E160" i="5"/>
  <c r="E190" i="5"/>
  <c r="E173" i="5"/>
  <c r="E171" i="5"/>
  <c r="E181" i="5"/>
  <c r="E180" i="5"/>
  <c r="E195" i="5"/>
  <c r="K131" i="5" l="1"/>
  <c r="G131" i="5"/>
  <c r="M131" i="5"/>
  <c r="E131" i="5"/>
  <c r="I131" i="5"/>
  <c r="Q56" i="5"/>
  <c r="Q35" i="5"/>
  <c r="Q201" i="5"/>
  <c r="Q63" i="5"/>
  <c r="Q171" i="5"/>
  <c r="Q169" i="5"/>
  <c r="Q152" i="5"/>
  <c r="Q15" i="5"/>
  <c r="Q64" i="5"/>
  <c r="Q154" i="5"/>
  <c r="Q44" i="5"/>
  <c r="Q158" i="5"/>
  <c r="Q187" i="5"/>
  <c r="Q7" i="5"/>
  <c r="Q104" i="5"/>
  <c r="Q189" i="5"/>
  <c r="Q193" i="5"/>
  <c r="Q167" i="5"/>
  <c r="Q175" i="5"/>
  <c r="Q177" i="5"/>
  <c r="Q165" i="5"/>
  <c r="Q129" i="5"/>
  <c r="Q153" i="5"/>
  <c r="Q170" i="5"/>
  <c r="Q84" i="5"/>
  <c r="Q185" i="5"/>
  <c r="Q191" i="5"/>
  <c r="Q54" i="5"/>
  <c r="Q79" i="5"/>
  <c r="Q51" i="5"/>
  <c r="Q62" i="5"/>
  <c r="Q108" i="5"/>
  <c r="Q192" i="5"/>
  <c r="Q29" i="5"/>
  <c r="Q38" i="5"/>
  <c r="Q71" i="5"/>
  <c r="Q67" i="5"/>
  <c r="Q195" i="5"/>
  <c r="Q178" i="5"/>
  <c r="Q180" i="5"/>
  <c r="Q156" i="5"/>
  <c r="Q183" i="5"/>
  <c r="Q194" i="5"/>
  <c r="Q150" i="5"/>
  <c r="Q162" i="5"/>
  <c r="Q149" i="5"/>
  <c r="Q176" i="5"/>
  <c r="Q26" i="5"/>
  <c r="Q160" i="5"/>
  <c r="Q196" i="5"/>
  <c r="Q197" i="5"/>
  <c r="Q5" i="5"/>
  <c r="Q198" i="5"/>
  <c r="Q76" i="5"/>
  <c r="Q102" i="5"/>
  <c r="Q186" i="5"/>
  <c r="Q200" i="5"/>
  <c r="Q202" i="5"/>
  <c r="Q10" i="5"/>
  <c r="Q59" i="5"/>
  <c r="Q161" i="5"/>
  <c r="Q155" i="5"/>
  <c r="Q164" i="5"/>
  <c r="Q8" i="5"/>
  <c r="Q95" i="5"/>
  <c r="Q57" i="5"/>
  <c r="Q105" i="5"/>
  <c r="Q32" i="5"/>
  <c r="Q21" i="5"/>
  <c r="Q36" i="5"/>
  <c r="Q146" i="5"/>
  <c r="Q14" i="5"/>
  <c r="Q19" i="5"/>
  <c r="Q49" i="5"/>
  <c r="Q97" i="5"/>
  <c r="Q13" i="5"/>
  <c r="Q41" i="5"/>
  <c r="Q81" i="5"/>
  <c r="Q159" i="5"/>
  <c r="Q75" i="5"/>
  <c r="Q109" i="5"/>
  <c r="Q114" i="5"/>
  <c r="Q27" i="5"/>
  <c r="Q70" i="5"/>
  <c r="Q74" i="5"/>
  <c r="Q55" i="5"/>
  <c r="Q181" i="5"/>
  <c r="Q182" i="5"/>
  <c r="Q163" i="5"/>
  <c r="Q172" i="5"/>
  <c r="Q39" i="5"/>
  <c r="Q52" i="5"/>
  <c r="Q60" i="5"/>
  <c r="Q69" i="5"/>
  <c r="Q151" i="5"/>
  <c r="Q58" i="5"/>
  <c r="Q106" i="5"/>
  <c r="Q47" i="5"/>
  <c r="Q85" i="5"/>
  <c r="Q61" i="5"/>
  <c r="Q11" i="5"/>
  <c r="Q173" i="5"/>
  <c r="Q199" i="5"/>
  <c r="Q147" i="5"/>
  <c r="Q12" i="5"/>
  <c r="Q9" i="5"/>
  <c r="Q112" i="5"/>
  <c r="Q68" i="5"/>
  <c r="Q72" i="5"/>
  <c r="Q174" i="5"/>
  <c r="Q148" i="5"/>
  <c r="Q37" i="5"/>
  <c r="Q45" i="5"/>
  <c r="Q28" i="5"/>
  <c r="Q65" i="5"/>
  <c r="Q50" i="5"/>
  <c r="Q30" i="5"/>
  <c r="Q6" i="5"/>
  <c r="Q190" i="5"/>
  <c r="Q184" i="5"/>
  <c r="Q157" i="5"/>
  <c r="Q17" i="5"/>
  <c r="Q34" i="5"/>
  <c r="Q22" i="5"/>
  <c r="Q82" i="5"/>
  <c r="Q115" i="5"/>
  <c r="Q96" i="5"/>
  <c r="Q25" i="5"/>
  <c r="Q179" i="5"/>
  <c r="Q110" i="5"/>
  <c r="Q78" i="5"/>
  <c r="Q77" i="5"/>
  <c r="Q53" i="5"/>
  <c r="Q48" i="5"/>
  <c r="Q103" i="5"/>
  <c r="Q127" i="5"/>
  <c r="Q20" i="5"/>
  <c r="Q42" i="5"/>
  <c r="Q188" i="5"/>
  <c r="Q80" i="5"/>
  <c r="Q31" i="5"/>
  <c r="Q168" i="5"/>
  <c r="Q166" i="5"/>
  <c r="Q46" i="5"/>
  <c r="Q40" i="5"/>
  <c r="Q128" i="5"/>
  <c r="Q113" i="5"/>
  <c r="Q73" i="5"/>
  <c r="Q23" i="5"/>
  <c r="Q24" i="5"/>
  <c r="Q111" i="5"/>
  <c r="Q18" i="5"/>
  <c r="Q66" i="5"/>
  <c r="Q107" i="5"/>
  <c r="Q43" i="5"/>
  <c r="Q83" i="5"/>
  <c r="Q16" i="5"/>
  <c r="E220" i="5"/>
  <c r="I220" i="5"/>
  <c r="M220" i="5"/>
  <c r="K220" i="5"/>
  <c r="G220" i="5"/>
  <c r="E123" i="5"/>
  <c r="K123" i="5"/>
  <c r="M123" i="5"/>
  <c r="I123" i="5"/>
  <c r="G123" i="5"/>
  <c r="Q131" i="5" l="1"/>
  <c r="Q220" i="5"/>
  <c r="Q123" i="5"/>
  <c r="R12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 David Martinez Osorio</author>
  </authors>
  <commentList>
    <comment ref="M168" authorId="0" shapeId="0" xr:uid="{A38BB518-A224-400C-BFEE-AA7783459D10}">
      <text>
        <r>
          <rPr>
            <b/>
            <sz val="9"/>
            <color indexed="81"/>
            <rFont val="Tahoma"/>
            <family val="2"/>
          </rPr>
          <t>Intercambio 
Doctorado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19" authorId="0" shapeId="0" xr:uid="{086E3E68-DC04-450D-A1CE-98BBB010C756}">
      <text>
        <r>
          <rPr>
            <b/>
            <sz val="9"/>
            <color indexed="81"/>
            <rFont val="Tahoma"/>
            <charset val="1"/>
          </rPr>
          <t>CINDA</t>
        </r>
      </text>
    </comment>
    <comment ref="M426" authorId="0" shapeId="0" xr:uid="{3A801E82-9D0A-4A0C-AB94-3FEAD0B19F2B}">
      <text>
        <r>
          <rPr>
            <b/>
            <sz val="9"/>
            <color indexed="81"/>
            <rFont val="Tahoma"/>
            <charset val="1"/>
          </rPr>
          <t>CINDA</t>
        </r>
      </text>
    </comment>
  </commentList>
</comments>
</file>

<file path=xl/sharedStrings.xml><?xml version="1.0" encoding="utf-8"?>
<sst xmlns="http://schemas.openxmlformats.org/spreadsheetml/2006/main" count="19553" uniqueCount="5040">
  <si>
    <t>Correo electrónico</t>
  </si>
  <si>
    <t>Código</t>
  </si>
  <si>
    <t>Código Uniandes</t>
  </si>
  <si>
    <t>Nombre</t>
  </si>
  <si>
    <t>First name</t>
  </si>
  <si>
    <t>Apellido</t>
  </si>
  <si>
    <t>Surname</t>
  </si>
  <si>
    <t>Nacionalidad</t>
  </si>
  <si>
    <t>Nombre completo</t>
  </si>
  <si>
    <t>Cuenta Alterna</t>
  </si>
  <si>
    <t>Programa1</t>
  </si>
  <si>
    <t>Cuenta Uniandes</t>
  </si>
  <si>
    <t>Facultad1</t>
  </si>
  <si>
    <t>Año</t>
  </si>
  <si>
    <t>Programa2</t>
  </si>
  <si>
    <t>Semestre de Movilidad</t>
  </si>
  <si>
    <t>Facultad2</t>
  </si>
  <si>
    <t>Universidad</t>
  </si>
  <si>
    <t>Año de Movilidad</t>
  </si>
  <si>
    <t>País</t>
  </si>
  <si>
    <t>Período de Movilidad</t>
  </si>
  <si>
    <t>Tipo de Movilidad</t>
  </si>
  <si>
    <t>Convocatoria</t>
  </si>
  <si>
    <t>Programa Nominación</t>
  </si>
  <si>
    <t>Nivel Nominación</t>
  </si>
  <si>
    <t>Nivel</t>
  </si>
  <si>
    <t>Programa Postulación</t>
  </si>
  <si>
    <t>Facultad de Postulación</t>
  </si>
  <si>
    <t>UNDERGRADUATED EXCHANGE</t>
  </si>
  <si>
    <t>Total</t>
  </si>
  <si>
    <t>Universidad KPIs</t>
  </si>
  <si>
    <t>Outgoing</t>
  </si>
  <si>
    <t>Incoming</t>
  </si>
  <si>
    <t>C O N V E N I O S    E S P E C Í F I C O S</t>
  </si>
  <si>
    <t>A.B. Freeman School of Business, Tulane University</t>
  </si>
  <si>
    <t>United States</t>
  </si>
  <si>
    <t>Aalto University</t>
  </si>
  <si>
    <t>Finland</t>
  </si>
  <si>
    <t>Aston University</t>
  </si>
  <si>
    <t>United Kingdom</t>
  </si>
  <si>
    <t>Audencia. École de Management</t>
  </si>
  <si>
    <t>France</t>
  </si>
  <si>
    <t>BI Norwegian Business School</t>
  </si>
  <si>
    <t>Norway</t>
  </si>
  <si>
    <t>Catolica Lisbon Business &amp; Economics. Universidade Católica Portuguesa</t>
  </si>
  <si>
    <t>Portugal</t>
  </si>
  <si>
    <t xml:space="preserve">CBS- Copenhagen Business School  </t>
  </si>
  <si>
    <t>Denmark</t>
  </si>
  <si>
    <t>City University of Hong Kong</t>
  </si>
  <si>
    <t>China</t>
  </si>
  <si>
    <t>EDHEC Business School</t>
  </si>
  <si>
    <t>EM Strasbourg</t>
  </si>
  <si>
    <t>ESADE</t>
  </si>
  <si>
    <t>Spain</t>
  </si>
  <si>
    <t>ESC Rouen (NEOMA)</t>
  </si>
  <si>
    <t>ESCP</t>
  </si>
  <si>
    <t>ESSEC</t>
  </si>
  <si>
    <t>Faculté des Sciences de l'Administration. FSA Laval</t>
  </si>
  <si>
    <t>Canada</t>
  </si>
  <si>
    <t>Frankfurt School of Finance and Management</t>
  </si>
  <si>
    <t>Germany</t>
  </si>
  <si>
    <t>Fundação Getulio Vargas</t>
  </si>
  <si>
    <t>Brazil</t>
  </si>
  <si>
    <t>Grenoble. École de Management</t>
  </si>
  <si>
    <t>HEC Lausanne</t>
  </si>
  <si>
    <t>Switzerland</t>
  </si>
  <si>
    <t>HEC Montréal</t>
  </si>
  <si>
    <t>HEC Paris</t>
  </si>
  <si>
    <t>ICN Business School - Institut Commercial de Nancy</t>
  </si>
  <si>
    <t>IE Instituto Empresa</t>
  </si>
  <si>
    <t>ITAM - Instituto Tecnológico Autónomo de México</t>
  </si>
  <si>
    <t>Mexico</t>
  </si>
  <si>
    <t>ITESM-EGADE -Instituto tecnológico y de estudios superiores de Monterrey</t>
  </si>
  <si>
    <t>JIBS Jönköping International Business School</t>
  </si>
  <si>
    <t>Sweden</t>
  </si>
  <si>
    <t>KLU Kühne Logistics University</t>
  </si>
  <si>
    <t>Koc University</t>
  </si>
  <si>
    <t>Türkiye</t>
  </si>
  <si>
    <t>Maastricht University</t>
  </si>
  <si>
    <t>Netherlands</t>
  </si>
  <si>
    <t>McGill University</t>
  </si>
  <si>
    <t>NCCU- National Chengchi University</t>
  </si>
  <si>
    <t>Taiwan</t>
  </si>
  <si>
    <t>Nova School of Business and Economics</t>
  </si>
  <si>
    <t>NUCB- Nagoya University of commerce and business</t>
  </si>
  <si>
    <t>Japan</t>
  </si>
  <si>
    <t>Politecnico di Milano</t>
  </si>
  <si>
    <t>Italy</t>
  </si>
  <si>
    <t>Queens University School of Business</t>
  </si>
  <si>
    <t>Queensland University of Technology</t>
  </si>
  <si>
    <t>Australia</t>
  </si>
  <si>
    <t>Toulouse Business School</t>
  </si>
  <si>
    <t>Universidad de Chile</t>
  </si>
  <si>
    <t>Chile</t>
  </si>
  <si>
    <t>Universidad de Tilburg</t>
  </si>
  <si>
    <t>Universidad del Pacífico</t>
  </si>
  <si>
    <t>Peru</t>
  </si>
  <si>
    <t>Università Commerciale Luigi Bocconi</t>
  </si>
  <si>
    <t>Universiteit Utrecht</t>
  </si>
  <si>
    <t>University of Exeter</t>
  </si>
  <si>
    <t>University of Glasgow</t>
  </si>
  <si>
    <t>University of Ljubljana</t>
  </si>
  <si>
    <t>Slovenia</t>
  </si>
  <si>
    <t>University of Mannheim Business School</t>
  </si>
  <si>
    <t>University of Melbourne</t>
  </si>
  <si>
    <t>University of Saint Gallen</t>
  </si>
  <si>
    <t>Universidad de San Andrés</t>
  </si>
  <si>
    <t>Argentina</t>
  </si>
  <si>
    <t>University of San Diego</t>
  </si>
  <si>
    <t>Athens University of Economics and Business</t>
  </si>
  <si>
    <t>Greece</t>
  </si>
  <si>
    <t>IIMA - Indian Institute of Management Ahmedabad</t>
  </si>
  <si>
    <t>India</t>
  </si>
  <si>
    <t>Kozminski University</t>
  </si>
  <si>
    <t>Warsaw</t>
  </si>
  <si>
    <t>London Business School</t>
  </si>
  <si>
    <t>Radbound Univerity</t>
  </si>
  <si>
    <t>Nijmegen</t>
  </si>
  <si>
    <t>Solvay Brussels School of Economics and Management</t>
  </si>
  <si>
    <t>Brussels</t>
  </si>
  <si>
    <t>University of Cologne</t>
  </si>
  <si>
    <t>University of Kaiserslautern</t>
  </si>
  <si>
    <t>Warsaw School of Economics</t>
  </si>
  <si>
    <t>C O N V E N I O S    G E N E E R A L E S</t>
  </si>
  <si>
    <t>American University of Central Asia</t>
  </si>
  <si>
    <t>Kyrgyzstan</t>
  </si>
  <si>
    <t>Amherst College</t>
  </si>
  <si>
    <t>Curtin University</t>
  </si>
  <si>
    <t>CY Cergy Paris Université</t>
  </si>
  <si>
    <t>FHNW Fachhochschule Nordwestschweiz</t>
  </si>
  <si>
    <t>Institut d’Etudes Politiques de Paris</t>
  </si>
  <si>
    <t>Johannes Gutemberg - Universität Mainz</t>
  </si>
  <si>
    <t>Northumbria University, Newcastle</t>
  </si>
  <si>
    <t>Pontificia Universidad Católica de Chile</t>
  </si>
  <si>
    <t>Pontificia Universidad Católica del Perú</t>
  </si>
  <si>
    <t>Pontificia Universidade Católica do Rio Grande do Sul (PUCRS)</t>
  </si>
  <si>
    <t>Roskilde University</t>
  </si>
  <si>
    <t>St. John's University</t>
  </si>
  <si>
    <t>Technische Universität München</t>
  </si>
  <si>
    <t>Technische Universität München (TUM)</t>
  </si>
  <si>
    <t>Universidad Carlos III de Madrid</t>
  </si>
  <si>
    <t>Universidad Católica Boliviana "San Pablo"</t>
  </si>
  <si>
    <t>Bolivia</t>
  </si>
  <si>
    <t>Universidad de Alicante</t>
  </si>
  <si>
    <t>Universidad de Cantabria</t>
  </si>
  <si>
    <t>Universidad de Málaga</t>
  </si>
  <si>
    <t>Universidad de Tarapacá</t>
  </si>
  <si>
    <t>Kanagawa University</t>
  </si>
  <si>
    <t>Newcastle University</t>
  </si>
  <si>
    <t>Swinburne University of Technology</t>
  </si>
  <si>
    <t>Universidad Jean Moulin Lyon 3</t>
  </si>
  <si>
    <t>Universidad Nacional Autonoma de México (UNAM)</t>
  </si>
  <si>
    <t>Universidad Peruana de Ciencias Aplicadas</t>
  </si>
  <si>
    <t>Universidade do Porto</t>
  </si>
  <si>
    <t>Università degli Studi 'Ca' Foscari' di Venezia</t>
  </si>
  <si>
    <t>Università degli Studi di Bologna 'Alma Mater Studiorum'</t>
  </si>
  <si>
    <t>Università degli Studi di Genova</t>
  </si>
  <si>
    <t>UniversitÃ  Ca' Foscari Venezia</t>
  </si>
  <si>
    <t>Universitat Politècnica de Catalunya</t>
  </si>
  <si>
    <t>Universitat Politecnica de Valencia</t>
  </si>
  <si>
    <t>Université de Bordeaux</t>
  </si>
  <si>
    <t>Université de Genève</t>
  </si>
  <si>
    <t>Université Paris-Dauphine</t>
  </si>
  <si>
    <t>University College London</t>
  </si>
  <si>
    <t>University of Bristol</t>
  </si>
  <si>
    <t>University of New South Wales</t>
  </si>
  <si>
    <t>University of Oklahoma</t>
  </si>
  <si>
    <t>University of Sussex</t>
  </si>
  <si>
    <t>Université Libre de Bruxelles</t>
  </si>
  <si>
    <t>Belgium</t>
  </si>
  <si>
    <t>Universität zu Köln</t>
  </si>
  <si>
    <t>Universidade do Minho</t>
  </si>
  <si>
    <t>Universidad del País Vasco / Euskal Herriko Unibertsitatea</t>
  </si>
  <si>
    <t>Aix-Marseille Université</t>
  </si>
  <si>
    <t>Victoria University of Wellington</t>
  </si>
  <si>
    <t>New Zealand</t>
  </si>
  <si>
    <t>Erasmus Universiteit Rotterdam</t>
  </si>
  <si>
    <t>TOTAL</t>
  </si>
  <si>
    <t>UNDERGRADUATED DOUBLE DEGREE</t>
  </si>
  <si>
    <t>FREE MOVER INCOMING</t>
  </si>
  <si>
    <t>PASANTÍA DE INVESTIGACIÓN OUTGOING</t>
  </si>
  <si>
    <t>Cornell University</t>
  </si>
  <si>
    <t>GRADUATED EXCHANGE</t>
  </si>
  <si>
    <t>Aalborg University</t>
  </si>
  <si>
    <t>Central European University</t>
  </si>
  <si>
    <t>Austria</t>
  </si>
  <si>
    <t>Norges Handelshøyskole</t>
  </si>
  <si>
    <t>Stockholms universitet</t>
  </si>
  <si>
    <t>Universidad Adolfo Ibáñez</t>
  </si>
  <si>
    <t>Università Ca' Foscari Venezia</t>
  </si>
  <si>
    <t>Université Catholique de Louvain</t>
  </si>
  <si>
    <t>University of the Witwatersrand</t>
  </si>
  <si>
    <t>South Africa</t>
  </si>
  <si>
    <t>Wirtschaftsuniversität Wien</t>
  </si>
  <si>
    <t>Universität Bayreuth</t>
  </si>
  <si>
    <t>GRADUATED RESEARCH INTERNSHIP</t>
  </si>
  <si>
    <t>Aarhus Universitet</t>
  </si>
  <si>
    <t>Central European University - Private University</t>
  </si>
  <si>
    <t>George Washington University</t>
  </si>
  <si>
    <t>USA</t>
  </si>
  <si>
    <t>Canadá</t>
  </si>
  <si>
    <t>Instituto Politécnico Nacional</t>
  </si>
  <si>
    <t>México</t>
  </si>
  <si>
    <t>The Artificial Intelligence Finance Institute’s New York (AIFI)</t>
  </si>
  <si>
    <t>Estados Unidos</t>
  </si>
  <si>
    <t>Universidad Ca Foscari de Venecia</t>
  </si>
  <si>
    <t>Italia</t>
  </si>
  <si>
    <t>Universidad de Sao Pablo</t>
  </si>
  <si>
    <t>Brasil</t>
  </si>
  <si>
    <t>Universidad Estatal de California</t>
  </si>
  <si>
    <t>Universidad Nacional de Rosario</t>
  </si>
  <si>
    <t>Université de Limoges, Francia</t>
  </si>
  <si>
    <t>Francia</t>
  </si>
  <si>
    <t>Intercambio Internacional</t>
  </si>
  <si>
    <t>Doble Titulación</t>
  </si>
  <si>
    <t>Pasantía de Investigación</t>
  </si>
  <si>
    <t>Administration Bsc</t>
  </si>
  <si>
    <t>International Accounting Bsc</t>
  </si>
  <si>
    <t>Master in Development Management and Practice</t>
  </si>
  <si>
    <t>Master in Supply Chain Management</t>
  </si>
  <si>
    <t>Part - Time MBA</t>
  </si>
  <si>
    <t>Master in Finance</t>
  </si>
  <si>
    <t>Master in Environmental Management</t>
  </si>
  <si>
    <t>Master in Strategic Management</t>
  </si>
  <si>
    <t>Doctoral Program in Administration</t>
  </si>
  <si>
    <t>Free Mover</t>
  </si>
  <si>
    <t>Pasantes de investigación</t>
  </si>
  <si>
    <t>Postgraduate / Master</t>
  </si>
  <si>
    <t>Full - Time MBA</t>
  </si>
  <si>
    <t>Doctorate</t>
  </si>
  <si>
    <t>Master in Marketing</t>
  </si>
  <si>
    <t>Master in International Management</t>
  </si>
  <si>
    <t>Master in Management</t>
  </si>
  <si>
    <t>Master in Research in Management</t>
  </si>
  <si>
    <t>Undergraduate / Bachelor</t>
  </si>
  <si>
    <t>Modalidad</t>
  </si>
  <si>
    <t>Tipo de Convenio</t>
  </si>
  <si>
    <t>Tipo Convenio</t>
  </si>
  <si>
    <t>Continente</t>
  </si>
  <si>
    <t>Fecha Inicio</t>
  </si>
  <si>
    <t>Fecha Finalización</t>
  </si>
  <si>
    <t>Duration (DD)</t>
  </si>
  <si>
    <t>m.arangoa@uniandes.edu.co</t>
  </si>
  <si>
    <t>Manuela</t>
  </si>
  <si>
    <t>Arango Angel</t>
  </si>
  <si>
    <t>Manuela Arango Angel</t>
  </si>
  <si>
    <t>School of Management</t>
  </si>
  <si>
    <t>Presencial</t>
  </si>
  <si>
    <t>Pregrado</t>
  </si>
  <si>
    <t>Exchange Student Undergraduate</t>
  </si>
  <si>
    <t>Europe</t>
  </si>
  <si>
    <t>am.ariza@uniandes.edu.co</t>
  </si>
  <si>
    <t>Ana</t>
  </si>
  <si>
    <t>Ariza Ramírez</t>
  </si>
  <si>
    <t>Ana Ariza Ramírez</t>
  </si>
  <si>
    <t>NEOMA Business School</t>
  </si>
  <si>
    <t>d.ballesterosn@uniandes.edu.co</t>
  </si>
  <si>
    <t>Daniela</t>
  </si>
  <si>
    <t>Ballesteros Novoa</t>
  </si>
  <si>
    <t>Daniela Ballesteros Novoa</t>
  </si>
  <si>
    <t>North America</t>
  </si>
  <si>
    <t>lv.baron@uniandes.edu.co</t>
  </si>
  <si>
    <t>LauraValentina</t>
  </si>
  <si>
    <t>Baron Galindo</t>
  </si>
  <si>
    <t>LauraValentina Baron Galindo</t>
  </si>
  <si>
    <t>South America</t>
  </si>
  <si>
    <t>f.barreto@uniandes.edu.co</t>
  </si>
  <si>
    <t>Felipe</t>
  </si>
  <si>
    <t>Barreto Castaño</t>
  </si>
  <si>
    <t>Felipe Barreto Castaño</t>
  </si>
  <si>
    <t>mc.bohorquez@uniandes.edu.co</t>
  </si>
  <si>
    <t>MariaCamila</t>
  </si>
  <si>
    <t>Bohorquez Salas</t>
  </si>
  <si>
    <t>MariaCamila Bohorquez Salas</t>
  </si>
  <si>
    <t>Universidade Católica Portuguesa</t>
  </si>
  <si>
    <t>mp.briceno@uniandes.edu.co</t>
  </si>
  <si>
    <t>MariaPaula</t>
  </si>
  <si>
    <t>Briceño Rovira</t>
  </si>
  <si>
    <t>MariaPaula Briceño Rovira</t>
  </si>
  <si>
    <t>TOULOUSE BUSINESS SCHOOL</t>
  </si>
  <si>
    <t>ia.bustos@uniandes.edu.co</t>
  </si>
  <si>
    <t>IvanAndres</t>
  </si>
  <si>
    <t>Bustos Gonzalez</t>
  </si>
  <si>
    <t>IvanAndres Bustos Gonzalez</t>
  </si>
  <si>
    <t>Université de Lausanne</t>
  </si>
  <si>
    <t>s.carbone@uniandes.edu.co</t>
  </si>
  <si>
    <t>Simon</t>
  </si>
  <si>
    <t>Carbone Bracht</t>
  </si>
  <si>
    <t>Simon Carbone Bracht</t>
  </si>
  <si>
    <t>Universitat Ramon Llull</t>
  </si>
  <si>
    <t>g.cleves@uniandes.edu.co</t>
  </si>
  <si>
    <t>Guillermo</t>
  </si>
  <si>
    <t>Cleves Valencia</t>
  </si>
  <si>
    <t>Guillermo Cleves Valencia</t>
  </si>
  <si>
    <t>s.del14@uniandes.edu.co</t>
  </si>
  <si>
    <t>Santiago</t>
  </si>
  <si>
    <t>Del Castillo Suescun</t>
  </si>
  <si>
    <t>Santiago Del Castillo Suescun</t>
  </si>
  <si>
    <t>ESSEC Business School</t>
  </si>
  <si>
    <t>j.diazc1@uniandes.edu.co</t>
  </si>
  <si>
    <t>Juliana</t>
  </si>
  <si>
    <t>Diaz Castillo</t>
  </si>
  <si>
    <t>Juliana Diaz Castillo</t>
  </si>
  <si>
    <t>a.eraso@uniandes.edu.co</t>
  </si>
  <si>
    <t>Alejandra</t>
  </si>
  <si>
    <t>Eraso Lasso</t>
  </si>
  <si>
    <t>Alejandra Eraso Lasso</t>
  </si>
  <si>
    <t>Universität Mannheim</t>
  </si>
  <si>
    <t>m.francol@uniandes.edu.co</t>
  </si>
  <si>
    <t>Melissa</t>
  </si>
  <si>
    <t>Franco Losada</t>
  </si>
  <si>
    <t>Melissa Franco Losada</t>
  </si>
  <si>
    <t>dc.garciah@uniandes.edu.co</t>
  </si>
  <si>
    <t>DianaCarolina</t>
  </si>
  <si>
    <t>Garcia Hernandez</t>
  </si>
  <si>
    <t>DianaCarolina Garcia Hernandez</t>
  </si>
  <si>
    <t>js.garcial@uniandes.edu.co</t>
  </si>
  <si>
    <t>JuanSebastian</t>
  </si>
  <si>
    <t>Garcia Luna</t>
  </si>
  <si>
    <t>JuanSebastian Garcia Luna</t>
  </si>
  <si>
    <t>Kühne Logistics University</t>
  </si>
  <si>
    <t>am.giraldo@uniandes.edu.co</t>
  </si>
  <si>
    <t>AngelicaMaria</t>
  </si>
  <si>
    <t>Giraldo Lozano</t>
  </si>
  <si>
    <t>AngelicaMaria Giraldo Lozano</t>
  </si>
  <si>
    <t>Università Commerciale 'Luigi Bocconi' di Milano</t>
  </si>
  <si>
    <t>n.gomezd@uniandes.edu.co</t>
  </si>
  <si>
    <t>Nicolas</t>
  </si>
  <si>
    <t>Gomez De La Cruz</t>
  </si>
  <si>
    <t>Nicolas Gomez De La Cruz</t>
  </si>
  <si>
    <t>Instituto Tecnológico Autónomo de México</t>
  </si>
  <si>
    <t>ad.gomezp@uniandes.edu.co</t>
  </si>
  <si>
    <t>AndresDavid</t>
  </si>
  <si>
    <t>Gomez Perez</t>
  </si>
  <si>
    <t>AndresDavid Gomez Perez</t>
  </si>
  <si>
    <t>Ecole des Hautes Etudes Commerciales (HEC) de Montréal</t>
  </si>
  <si>
    <t>dl.gonzalez1@uniandes.edu.co</t>
  </si>
  <si>
    <t>DianaLucia</t>
  </si>
  <si>
    <t>Gonzalez Rodriguez</t>
  </si>
  <si>
    <t>DianaLucia Gonzalez Rodriguez</t>
  </si>
  <si>
    <t>Double Degree Master</t>
  </si>
  <si>
    <t>Tulane University</t>
  </si>
  <si>
    <t>lf.guzman@uniandes.edu.co</t>
  </si>
  <si>
    <t>LuisFernando</t>
  </si>
  <si>
    <t>Guzman Martinez</t>
  </si>
  <si>
    <t>LuisFernando Guzman Martinez</t>
  </si>
  <si>
    <t>jp.hernandez12@uniandes.edu.co</t>
  </si>
  <si>
    <t>JeanPaul</t>
  </si>
  <si>
    <t>Hernandez Sierra</t>
  </si>
  <si>
    <t>JeanPaul Hernandez Sierra</t>
  </si>
  <si>
    <t>Audencia Business School</t>
  </si>
  <si>
    <t>s.hernandezv@uniandes.edu.co</t>
  </si>
  <si>
    <t>Hernandez Vega</t>
  </si>
  <si>
    <t>Santiago Hernandez Vega</t>
  </si>
  <si>
    <t>Oceania</t>
  </si>
  <si>
    <t>s.llano1@uniandes.edu.co</t>
  </si>
  <si>
    <t>Llano Giraldo</t>
  </si>
  <si>
    <t>Simon Llano Giraldo</t>
  </si>
  <si>
    <t>s.londonon@uniandes.edu.co</t>
  </si>
  <si>
    <t>Sergio</t>
  </si>
  <si>
    <t>Londoño Neira</t>
  </si>
  <si>
    <t>Sergio Londoño Neira</t>
  </si>
  <si>
    <t>Frankfurt School of Finance &amp; Management</t>
  </si>
  <si>
    <t>v.lopeze@uniandes.edu.co</t>
  </si>
  <si>
    <t>Valentina</t>
  </si>
  <si>
    <t>Lopez Estefan</t>
  </si>
  <si>
    <t>Valentina Lopez Estefan</t>
  </si>
  <si>
    <t>d.martinezc@uniandes.edu.co</t>
  </si>
  <si>
    <t>Martinez Castillo</t>
  </si>
  <si>
    <t>Daniela Martinez Castillo</t>
  </si>
  <si>
    <t>la.moreno13@uniandes.edu.co</t>
  </si>
  <si>
    <t>LauraAlejandra</t>
  </si>
  <si>
    <t>Moreno Rodriguez</t>
  </si>
  <si>
    <t>LauraAlejandra Moreno Rodriguez</t>
  </si>
  <si>
    <t>Univerza v Ljubljani</t>
  </si>
  <si>
    <t>s.noriega@uniandes.edu.co</t>
  </si>
  <si>
    <t>Sebastian</t>
  </si>
  <si>
    <t>Noriega Montañez</t>
  </si>
  <si>
    <t>Sebastian Noriega Montañez</t>
  </si>
  <si>
    <t>nm.osorio10@uniandes.edu.co</t>
  </si>
  <si>
    <t>NathalyMichelle</t>
  </si>
  <si>
    <t>Osorio Salazar</t>
  </si>
  <si>
    <t>NathalyMichelle Osorio Salazar</t>
  </si>
  <si>
    <t>Université Laval</t>
  </si>
  <si>
    <t>a.pardo1@uniandes.edu.co</t>
  </si>
  <si>
    <t>Andrea</t>
  </si>
  <si>
    <t>Pardo Quiroga</t>
  </si>
  <si>
    <t>Andrea Pardo Quiroga</t>
  </si>
  <si>
    <t>ESCP Europe</t>
  </si>
  <si>
    <t>ns.pardo@uniandes.edu.co</t>
  </si>
  <si>
    <t>NayibSantiago</t>
  </si>
  <si>
    <t>Pardo Shaker</t>
  </si>
  <si>
    <t>NayibSantiago Pardo Shaker</t>
  </si>
  <si>
    <t>jp.parra@uniandes.edu.co</t>
  </si>
  <si>
    <t>JuanPablo</t>
  </si>
  <si>
    <t>Parra Carrasco</t>
  </si>
  <si>
    <t>JuanPablo Parra Carrasco</t>
  </si>
  <si>
    <t>Roskilde Universitet</t>
  </si>
  <si>
    <t>v.perea@uniandes.edu.co</t>
  </si>
  <si>
    <t>Perea Silva</t>
  </si>
  <si>
    <t>Valentina Perea Silva</t>
  </si>
  <si>
    <t>Study Abroad</t>
  </si>
  <si>
    <t>m.quinterog@uniandes.edu.co</t>
  </si>
  <si>
    <t>Mariana</t>
  </si>
  <si>
    <t>Quintero Guevara</t>
  </si>
  <si>
    <t>Mariana Quintero Guevara</t>
  </si>
  <si>
    <t>jf.ibarra@uniandes.edu.co</t>
  </si>
  <si>
    <t>JuanFelipe</t>
  </si>
  <si>
    <t>Ibarra Kure</t>
  </si>
  <si>
    <t>JuanFelipe Ibarra Kure</t>
  </si>
  <si>
    <t>Handelshøjskolen i København</t>
  </si>
  <si>
    <t>d.rugec@uniandes.edu.co</t>
  </si>
  <si>
    <t>Ruge Contreras</t>
  </si>
  <si>
    <t>Daniela Ruge Contreras</t>
  </si>
  <si>
    <t>s.saad@uniandes.edu.co</t>
  </si>
  <si>
    <t>Saad Giovannetti</t>
  </si>
  <si>
    <t>Sebastian Saad Giovannetti</t>
  </si>
  <si>
    <t>jf.tobar@uniandes.edu.co</t>
  </si>
  <si>
    <t>Tobar Velandia</t>
  </si>
  <si>
    <t>JuanFelipe Tobar Velandia</t>
  </si>
  <si>
    <t>v.torres11@uniandes.edu.co</t>
  </si>
  <si>
    <t>Valeria</t>
  </si>
  <si>
    <t>Torres Rodriguez</t>
  </si>
  <si>
    <t>Valeria Torres Rodriguez</t>
  </si>
  <si>
    <t>Universidade Nova de Lisboa</t>
  </si>
  <si>
    <t>c.velasquezg@uniandes.edu.co</t>
  </si>
  <si>
    <t>Catalina</t>
  </si>
  <si>
    <t>Velasquez Garcia</t>
  </si>
  <si>
    <t>Catalina Velasquez Garcia</t>
  </si>
  <si>
    <t>n.velezq@uniandes.edu.co</t>
  </si>
  <si>
    <t>Nathalia</t>
  </si>
  <si>
    <t>Velez Quintero</t>
  </si>
  <si>
    <t>Nathalia Velez Quintero</t>
  </si>
  <si>
    <t>d.andradeg@uniandes.edu.co</t>
  </si>
  <si>
    <t>Daniel</t>
  </si>
  <si>
    <t>Andrade Gaitán</t>
  </si>
  <si>
    <t>Daniel Andrade Gaitán</t>
  </si>
  <si>
    <t>SURF</t>
  </si>
  <si>
    <t>jr.montenegro10@uniandes.edu.co</t>
  </si>
  <si>
    <t>JavierRicardo</t>
  </si>
  <si>
    <t>Montenegro Cortes</t>
  </si>
  <si>
    <t>JavierRicardo Montenegro Cortes</t>
  </si>
  <si>
    <t>n.adaime@uniandes.edu.co</t>
  </si>
  <si>
    <t>Natalia</t>
  </si>
  <si>
    <t>Adaime Cuellar</t>
  </si>
  <si>
    <t>Natalia Adaime Cuellar</t>
  </si>
  <si>
    <t>Double Degree</t>
  </si>
  <si>
    <t>la.forero@uniandes.edu.co</t>
  </si>
  <si>
    <t>LuisAlejandro</t>
  </si>
  <si>
    <t>Forero Silva</t>
  </si>
  <si>
    <t>LuisAlejandro Forero Silva</t>
  </si>
  <si>
    <t>af.galvis@uniandes.edu.co</t>
  </si>
  <si>
    <t>AndresFernando</t>
  </si>
  <si>
    <t>Galvis Correa</t>
  </si>
  <si>
    <t>AndresFernando Galvis Correa</t>
  </si>
  <si>
    <t>[no longer existing] Aalto-yliopisto</t>
  </si>
  <si>
    <t>nc.lozano@uniandes.edu.co</t>
  </si>
  <si>
    <t>NelsonCamilo</t>
  </si>
  <si>
    <t>Lozano Martinez</t>
  </si>
  <si>
    <t>NelsonCamilo Lozano Martinez</t>
  </si>
  <si>
    <t>Economics Bsc</t>
  </si>
  <si>
    <t>School of Economics</t>
  </si>
  <si>
    <t>dr.rachez@uniandes.edu.co</t>
  </si>
  <si>
    <t>David Ricardo</t>
  </si>
  <si>
    <t>Rachez Dueñas</t>
  </si>
  <si>
    <t>David Ricardo Rachez Dueñas</t>
  </si>
  <si>
    <t>Government and Public Policy Bsc</t>
  </si>
  <si>
    <t>Government School Alberto Lleras Camargo</t>
  </si>
  <si>
    <t>Juan Felipe</t>
  </si>
  <si>
    <t>Juan Felipe Ibarra Kure</t>
  </si>
  <si>
    <t/>
  </si>
  <si>
    <t>jf.zuleta@uniandes.edu.co</t>
  </si>
  <si>
    <t>Zuleta Pulido</t>
  </si>
  <si>
    <t>Juan Felipe Zuleta Pulido</t>
  </si>
  <si>
    <t>a.gutierrezp@uniandes.edu.co</t>
  </si>
  <si>
    <t>Alejandro</t>
  </si>
  <si>
    <t>Gutierrez Perico Ramirez</t>
  </si>
  <si>
    <t>Alejandro Gutierrez Perico Ramirez</t>
  </si>
  <si>
    <t>d.montoyar@uniandes.edu.co</t>
  </si>
  <si>
    <t>Montoya Robledo</t>
  </si>
  <si>
    <t>Daniela Montoya Robledo</t>
  </si>
  <si>
    <t>hs.ayala@uniandes.edu.co</t>
  </si>
  <si>
    <t>Hermes Steve</t>
  </si>
  <si>
    <t>Ayala Calvo</t>
  </si>
  <si>
    <t>Hermes Steve Ayala Calvo</t>
  </si>
  <si>
    <t>jc.restrepoc@uniandes.edu.co</t>
  </si>
  <si>
    <t>Juan Camilo</t>
  </si>
  <si>
    <t>Restrepo Camargo</t>
  </si>
  <si>
    <t>Juan Camilo Restrepo Camargo</t>
  </si>
  <si>
    <t>la.tamayot@uniandes.edu.co</t>
  </si>
  <si>
    <t>Leonardo Alberto</t>
  </si>
  <si>
    <t>Tamayo Tamayo</t>
  </si>
  <si>
    <t>Leonardo Alberto Tamayo Tamayo</t>
  </si>
  <si>
    <t>Universität St. Gallen</t>
  </si>
  <si>
    <t>ca.berdugo@uniandes.edu.co</t>
  </si>
  <si>
    <t>Camilo Andres</t>
  </si>
  <si>
    <t>Berdugo Roa</t>
  </si>
  <si>
    <t>Camilo Andres Berdugo Roa</t>
  </si>
  <si>
    <t>s.lopezw@uniandes.edu.co</t>
  </si>
  <si>
    <t>Stefania</t>
  </si>
  <si>
    <t>Lopez Wilches</t>
  </si>
  <si>
    <t>Stefania Lopez Wilches</t>
  </si>
  <si>
    <t>p.arango@uniandes.edu.co</t>
  </si>
  <si>
    <t>Pablo</t>
  </si>
  <si>
    <t>Arango Ramirez</t>
  </si>
  <si>
    <t>Pablo Arango Ramirez</t>
  </si>
  <si>
    <t>Systems and Computing Engineering Bsc</t>
  </si>
  <si>
    <t>School of Engineering</t>
  </si>
  <si>
    <t>s.duarter@uniandes.edu.co</t>
  </si>
  <si>
    <t>Sofia</t>
  </si>
  <si>
    <t>Duarte Rosas</t>
  </si>
  <si>
    <t>Sofia Duarte Rosas</t>
  </si>
  <si>
    <t>Design Bsc</t>
  </si>
  <si>
    <t>School of Architecture and Design</t>
  </si>
  <si>
    <t>s.escalante@uniandes.edu.co</t>
  </si>
  <si>
    <t>Escalante Lenis</t>
  </si>
  <si>
    <t>Simon Escalante Lenis</t>
  </si>
  <si>
    <t>m.freydell@uniandes.edu.co</t>
  </si>
  <si>
    <t>Freydell Lizcano</t>
  </si>
  <si>
    <t>Mariana Freydell Lizcano</t>
  </si>
  <si>
    <t>ej.gonzalezg@uniandes.edu.co</t>
  </si>
  <si>
    <t>Erick Julian</t>
  </si>
  <si>
    <t>Gonzalez Gonzalez</t>
  </si>
  <si>
    <t>Erick Julian Gonzalez Gonzalez</t>
  </si>
  <si>
    <t>jf.lopeze@uniandes.edu.co</t>
  </si>
  <si>
    <t>Juan Fernando</t>
  </si>
  <si>
    <t>Lopez Escobar</t>
  </si>
  <si>
    <t>Juan Fernando Lopez Escobar</t>
  </si>
  <si>
    <t>ICN Business School</t>
  </si>
  <si>
    <t>d.roav@uniandes.edu.co</t>
  </si>
  <si>
    <t>Roa Villa</t>
  </si>
  <si>
    <t>Daniel Roa Villa</t>
  </si>
  <si>
    <t>a.rodriguezc1@uniandes.edu.co</t>
  </si>
  <si>
    <t>Rodriguez Cordoba</t>
  </si>
  <si>
    <t>Alejandra Rodriguez Cordoba</t>
  </si>
  <si>
    <t>Virtual</t>
  </si>
  <si>
    <t>Nagoya University of Commerce and Business</t>
  </si>
  <si>
    <t>Asia</t>
  </si>
  <si>
    <t>gf.silva@uniandes.edu.co</t>
  </si>
  <si>
    <t>German Felipe</t>
  </si>
  <si>
    <t>Silva Baquero</t>
  </si>
  <si>
    <t>German Felipe Silva Baquero</t>
  </si>
  <si>
    <t>f.torrente@uniandes.edu.co</t>
  </si>
  <si>
    <t>Torrente Rodriguez</t>
  </si>
  <si>
    <t>Felipe Torrente Rodriguez</t>
  </si>
  <si>
    <t>j.zapatab@uniandes.edu.co</t>
  </si>
  <si>
    <t>Juanita</t>
  </si>
  <si>
    <t>Zapata Betancur</t>
  </si>
  <si>
    <t>Juanita Zapata Betancur</t>
  </si>
  <si>
    <t>jj.rojasm@uniandes.edu.co</t>
  </si>
  <si>
    <t>Juan Jaime</t>
  </si>
  <si>
    <t>Rojas Muñoz</t>
  </si>
  <si>
    <t>Juan Jaime Rojas Muñoz</t>
  </si>
  <si>
    <t>Pasantía de investigación</t>
  </si>
  <si>
    <t>jp.borda@uniandes.edu.co</t>
  </si>
  <si>
    <t>Juan Pablo</t>
  </si>
  <si>
    <t>Borda Kuhlmann</t>
  </si>
  <si>
    <t>Juan Pablo Borda Kuhlmann</t>
  </si>
  <si>
    <t>jp.figueroa@uniandes.edu.co</t>
  </si>
  <si>
    <t>Figueroa Morales</t>
  </si>
  <si>
    <t>Juan Pablo Figueroa Morales</t>
  </si>
  <si>
    <t>lj.vanegas@uniandes.edu.co</t>
  </si>
  <si>
    <t>Laura Juliana</t>
  </si>
  <si>
    <t>Vanegas Medina</t>
  </si>
  <si>
    <t>Laura Juliana Vanegas Medina</t>
  </si>
  <si>
    <t>m.bautista@uniandes.edu.co</t>
  </si>
  <si>
    <t>Bautista Castro</t>
  </si>
  <si>
    <t>Manuela Bautista Castro</t>
  </si>
  <si>
    <t>ma.perezj@uniandes.edu.co</t>
  </si>
  <si>
    <t>Maria Alejandra</t>
  </si>
  <si>
    <t>Perez Jurado</t>
  </si>
  <si>
    <t>Maria Alejandra Perez Jurado</t>
  </si>
  <si>
    <t>mj.aragon@uniandes.edu.co</t>
  </si>
  <si>
    <t>Mauricio Jose</t>
  </si>
  <si>
    <t>Aragon Ramirez</t>
  </si>
  <si>
    <t>Mauricio Jose Aragon Ramirez</t>
  </si>
  <si>
    <t>n.jaramilloe@uniandes.edu.co</t>
  </si>
  <si>
    <t xml:space="preserve">Jaramillo Erazo </t>
  </si>
  <si>
    <t xml:space="preserve">Natalia Jaramillo Erazo </t>
  </si>
  <si>
    <t>ma.bastidas@uniandes.edu.co</t>
  </si>
  <si>
    <t>Manuel Alejandro</t>
  </si>
  <si>
    <t>Bastidas Infante</t>
  </si>
  <si>
    <t>Manuel Alejandro Bastidas Infante</t>
  </si>
  <si>
    <t>m.olave@uniandes.edu.co</t>
  </si>
  <si>
    <t>Maria De Los Angeles</t>
  </si>
  <si>
    <t>Olave Solano</t>
  </si>
  <si>
    <t>Maria De Los Angeles Olave Solano</t>
  </si>
  <si>
    <t>Maestría</t>
  </si>
  <si>
    <t>Exchange Student Master</t>
  </si>
  <si>
    <t>Högskolan i Jönköping</t>
  </si>
  <si>
    <t>c.artunduaga@uniandes.edu.co</t>
  </si>
  <si>
    <t>Artunduaga Borda</t>
  </si>
  <si>
    <t>Catalina Artunduaga Borda</t>
  </si>
  <si>
    <t>c.samper@uniandes.edu.co</t>
  </si>
  <si>
    <t>Samper Murillo</t>
  </si>
  <si>
    <t>Catalina Samper Murillo</t>
  </si>
  <si>
    <t>ce.orozcos@uniandes.edu.co</t>
  </si>
  <si>
    <t>Cristian Elias</t>
  </si>
  <si>
    <t>Orozco Sicacha</t>
  </si>
  <si>
    <t>Cristian Elias Orozco Sicacha</t>
  </si>
  <si>
    <t>Mechanical Engineering Bsc</t>
  </si>
  <si>
    <t>df.arrieta@uniandes.edu.co</t>
  </si>
  <si>
    <t>Daniel Felipe</t>
  </si>
  <si>
    <t>Arrieta Castilla</t>
  </si>
  <si>
    <t>Daniel Felipe Arrieta Castilla</t>
  </si>
  <si>
    <t>df.pelaezk@uniandes.edu.co</t>
  </si>
  <si>
    <t>Pelaez Kwan</t>
  </si>
  <si>
    <t>Daniel Felipe Pelaez Kwan</t>
  </si>
  <si>
    <t>IE Universidad</t>
  </si>
  <si>
    <t>ed.ortegon@uniandes.edu.co</t>
  </si>
  <si>
    <t>Ericka Daniela</t>
  </si>
  <si>
    <t>Ortegon Ayala</t>
  </si>
  <si>
    <t>Ericka Daniela Ortegon Ayala</t>
  </si>
  <si>
    <t>Audencia Nantes - Ecole de Management</t>
  </si>
  <si>
    <t>f.ortiz@uniandes.edu.co</t>
  </si>
  <si>
    <t>Ortiz Quijano</t>
  </si>
  <si>
    <t>Felipe Ortiz Quijano</t>
  </si>
  <si>
    <t>Psychology Bsc</t>
  </si>
  <si>
    <t>School of Social Sciences</t>
  </si>
  <si>
    <t>Grenoble Ecole de Management</t>
  </si>
  <si>
    <t>fa.saenz@uniandes.edu.co</t>
  </si>
  <si>
    <t>Felipe Andres</t>
  </si>
  <si>
    <t>Saenz Leguizamo</t>
  </si>
  <si>
    <t>Felipe Andres Saenz Leguizamo</t>
  </si>
  <si>
    <t>g.uruena@uniandes.edu.co</t>
  </si>
  <si>
    <t>Gabriela</t>
  </si>
  <si>
    <t>Urueña Gaitan</t>
  </si>
  <si>
    <t>Gabriela Urueña Gaitan</t>
  </si>
  <si>
    <t>ja.perezr1@uniandes.edu.co</t>
  </si>
  <si>
    <t>Jessica Andrea</t>
  </si>
  <si>
    <t>Perez Rondon</t>
  </si>
  <si>
    <t>Jessica Andrea Perez Rondon</t>
  </si>
  <si>
    <t>jp.angel@uniandes.edu.co</t>
  </si>
  <si>
    <t>Angel Botero</t>
  </si>
  <si>
    <t>Juan Pablo Angel Botero</t>
  </si>
  <si>
    <t>a.bradford@uniandes.edu.co</t>
  </si>
  <si>
    <t>Andres</t>
  </si>
  <si>
    <t>Bradford Valero</t>
  </si>
  <si>
    <t>Andres Bradford Valero</t>
  </si>
  <si>
    <t>j.amador@uniandes.edu.co</t>
  </si>
  <si>
    <t>Amador Cuenca</t>
  </si>
  <si>
    <t>Juliana Amador Cuenca</t>
  </si>
  <si>
    <t>km.orozco@uniandes.edu.co</t>
  </si>
  <si>
    <t>Ketty Milena</t>
  </si>
  <si>
    <t>Orozco Serrano</t>
  </si>
  <si>
    <t>Ketty Milena Orozco Serrano</t>
  </si>
  <si>
    <t>Aalto-yliopisto</t>
  </si>
  <si>
    <t>jp.garces@uniandes.edu.co</t>
  </si>
  <si>
    <t>Garces Mejia</t>
  </si>
  <si>
    <t>Juan Pablo Garces Mejia</t>
  </si>
  <si>
    <t>m.penalosa@uniandes.edu.co</t>
  </si>
  <si>
    <t>María</t>
  </si>
  <si>
    <t>Peñalosa Concha</t>
  </si>
  <si>
    <t>María Peñalosa Concha</t>
  </si>
  <si>
    <t>ma.cuervo@uniandes.edu.co</t>
  </si>
  <si>
    <t>Maria Antonia</t>
  </si>
  <si>
    <t>Cuervo Calero</t>
  </si>
  <si>
    <t>Maria Antonia Cuervo Calero</t>
  </si>
  <si>
    <t>mc.ortiz@uniandes.edu.co</t>
  </si>
  <si>
    <t>Maria Camila</t>
  </si>
  <si>
    <t>Ortiz Gomez</t>
  </si>
  <si>
    <t>Maria Camila Ortiz Gomez</t>
  </si>
  <si>
    <t>mj.rodrigueza@uniandes.edu.co</t>
  </si>
  <si>
    <t>Maria Jose</t>
  </si>
  <si>
    <t>Rodriguez Araujo</t>
  </si>
  <si>
    <t>Maria Jose Rodriguez Araujo</t>
  </si>
  <si>
    <t>mp.marin@uniandes.edu.co</t>
  </si>
  <si>
    <t>Maria Paula</t>
  </si>
  <si>
    <t>Marin Araujo</t>
  </si>
  <si>
    <t>Maria Paula Marin Araujo</t>
  </si>
  <si>
    <t>m.moralesc@uniandes.edu.co</t>
  </si>
  <si>
    <t>Morales Caldas</t>
  </si>
  <si>
    <t>Mariana Morales Caldas</t>
  </si>
  <si>
    <t>lm.restrepo12@uniandes.edu.co</t>
  </si>
  <si>
    <t>Laura Maria</t>
  </si>
  <si>
    <t>Restrepo Grisales</t>
  </si>
  <si>
    <t>Laura Maria Restrepo Grisales</t>
  </si>
  <si>
    <t>ma.valenciae@uniandes.edu.co</t>
  </si>
  <si>
    <t>Mario Andres</t>
  </si>
  <si>
    <t>Valencia Escobar</t>
  </si>
  <si>
    <t>Mario Andres Valencia Escobar</t>
  </si>
  <si>
    <t>m.leibovich@uniandes.edu.co</t>
  </si>
  <si>
    <t>Maurice</t>
  </si>
  <si>
    <t>Leibovich Lopez</t>
  </si>
  <si>
    <t>Maurice Leibovich Lopez</t>
  </si>
  <si>
    <t>p.lozano@uniandes.edu.co</t>
  </si>
  <si>
    <t>Lozano Concha</t>
  </si>
  <si>
    <t>Pablo Lozano Concha</t>
  </si>
  <si>
    <t>a.ramirezp1@uniandes.edu.co</t>
  </si>
  <si>
    <t>Amalia</t>
  </si>
  <si>
    <t>Ramirez Perilla</t>
  </si>
  <si>
    <t>Amalia Ramirez Perilla</t>
  </si>
  <si>
    <t>s.ospinan@uniandes.edu.co</t>
  </si>
  <si>
    <t>Ospina Naranjo</t>
  </si>
  <si>
    <t>Santiago Ospina Naranjo</t>
  </si>
  <si>
    <t>s.gonzaleza1@uniandes.edu.co</t>
  </si>
  <si>
    <t>Gonzalez Acevedo</t>
  </si>
  <si>
    <t>Sebastian Gonzalez Acevedo</t>
  </si>
  <si>
    <t>sa.arciniegas@uniandes.edu.co</t>
  </si>
  <si>
    <t>Simon Andres</t>
  </si>
  <si>
    <t>Arciniegas Hurtado</t>
  </si>
  <si>
    <t>Simon Andres Arciniegas Hurtado</t>
  </si>
  <si>
    <t>t.giraldor@uniandes.edu.co</t>
  </si>
  <si>
    <t>Tomas</t>
  </si>
  <si>
    <t>Giraldo Restrepo</t>
  </si>
  <si>
    <t>Tomas Giraldo Restrepo</t>
  </si>
  <si>
    <t>v.vargasm@uniandes.edu.co</t>
  </si>
  <si>
    <t>Vargas Medina</t>
  </si>
  <si>
    <t>Valentina Vargas Medina</t>
  </si>
  <si>
    <t>v.sanchezl@uniandes.edu.co</t>
  </si>
  <si>
    <t>Sanchez Lastra</t>
  </si>
  <si>
    <t>Valentina Sanchez Lastra</t>
  </si>
  <si>
    <t>l.supelano@uniandes.edu.co</t>
  </si>
  <si>
    <t>Laura</t>
  </si>
  <si>
    <t>Supelano Tajc</t>
  </si>
  <si>
    <t>Laura Supelano Tajc</t>
  </si>
  <si>
    <t>m.varelar@uniandes.edu.co</t>
  </si>
  <si>
    <t>Varela Restrepo</t>
  </si>
  <si>
    <t>Mariana Varela Restrepo</t>
  </si>
  <si>
    <t>jj.ardilah@uniandes.edu.co</t>
  </si>
  <si>
    <t>Juan Jose</t>
  </si>
  <si>
    <t>Ardila Hidalgo</t>
  </si>
  <si>
    <t>Juan Jose Ardila Hidalgo</t>
  </si>
  <si>
    <t>ae.arenas@uniandes.edu.co</t>
  </si>
  <si>
    <t>Andres Enrique</t>
  </si>
  <si>
    <t>Arenas Restrepo</t>
  </si>
  <si>
    <t>Andres Enrique Arenas Restrepo</t>
  </si>
  <si>
    <t>a.arguello@uniandes.edu.co</t>
  </si>
  <si>
    <t>Andres Felipe</t>
  </si>
  <si>
    <t>Arguello Muñoz</t>
  </si>
  <si>
    <t>Andres Felipe Arguello Muñoz</t>
  </si>
  <si>
    <t>jd.arrazola@uniandes.edu.co</t>
  </si>
  <si>
    <t>Jose Daniel</t>
  </si>
  <si>
    <t>Arrazola Alviz</t>
  </si>
  <si>
    <t>Jose Daniel Arrazola Alviz</t>
  </si>
  <si>
    <t>s.arturof@uniandes.edu.co</t>
  </si>
  <si>
    <t>Arturo Forero</t>
  </si>
  <si>
    <t>Sebastian Arturo Forero</t>
  </si>
  <si>
    <t>Tilburg University</t>
  </si>
  <si>
    <t>ja.baron@uniandes.edu.co</t>
  </si>
  <si>
    <t>Juan Andres</t>
  </si>
  <si>
    <t>Baron Pastran</t>
  </si>
  <si>
    <t>Juan Andres Baron Pastran</t>
  </si>
  <si>
    <t>mp.bautistal@uniandes.edu.co</t>
  </si>
  <si>
    <t>Bautista Lopez</t>
  </si>
  <si>
    <t>Maria Paula Bautista Lopez</t>
  </si>
  <si>
    <t>nm.bermudez@uniandes.edu.co</t>
  </si>
  <si>
    <t>Nestor Mateo</t>
  </si>
  <si>
    <t>Bermudez Vargas</t>
  </si>
  <si>
    <t>Nestor Mateo Bermudez Vargas</t>
  </si>
  <si>
    <t>as.bernal@uniandes.edu.co</t>
  </si>
  <si>
    <t>Ana Sofia</t>
  </si>
  <si>
    <t>Bernal Bejarano</t>
  </si>
  <si>
    <t>Ana Sofia Bernal Bejarano</t>
  </si>
  <si>
    <t xml:space="preserve">Université de Lausanne </t>
  </si>
  <si>
    <t>jn.betancourt@uniandes.edu.co</t>
  </si>
  <si>
    <t>Jose Nicolas</t>
  </si>
  <si>
    <t>Betancourt Ferrucho</t>
  </si>
  <si>
    <t>Jose Nicolas Betancourt Ferrucho</t>
  </si>
  <si>
    <t>f.bocanegra@uniandes.edu.co</t>
  </si>
  <si>
    <t>Bocanegra Polanco</t>
  </si>
  <si>
    <t>Felipe Bocanegra Polanco</t>
  </si>
  <si>
    <t>v.calderong@uniandes.edu.co</t>
  </si>
  <si>
    <t>Calderon Gutierrez</t>
  </si>
  <si>
    <t>Valentina Calderon Gutierrez</t>
  </si>
  <si>
    <t>s.calderonh@uniandes.edu.co</t>
  </si>
  <si>
    <t>Susana</t>
  </si>
  <si>
    <t>Calderon Henao</t>
  </si>
  <si>
    <t>Susana Calderon Henao</t>
  </si>
  <si>
    <t>n.calderonv@uniandes.edu.co</t>
  </si>
  <si>
    <t>Calderon Vallejo</t>
  </si>
  <si>
    <t>Natalia Calderon Vallejo</t>
  </si>
  <si>
    <t>f.camargo@uniandes.edu.co</t>
  </si>
  <si>
    <t>Camargo Quintanilla</t>
  </si>
  <si>
    <t>Felipe Camargo Quintanilla</t>
  </si>
  <si>
    <t>da.campos@uniandes.edu.co</t>
  </si>
  <si>
    <t>Diego Alejandro</t>
  </si>
  <si>
    <t>Campos Mallungo</t>
  </si>
  <si>
    <t>Diego Alejandro Campos Mallungo</t>
  </si>
  <si>
    <t>Law Bsc</t>
  </si>
  <si>
    <t>School of Law</t>
  </si>
  <si>
    <t>Instituto Tecnológico y de Estudios Superiores de Monterrey (ITESM)</t>
  </si>
  <si>
    <t>s.carrenop@uniandes.edu.co</t>
  </si>
  <si>
    <t>Samuel</t>
  </si>
  <si>
    <t>Carreño Perez</t>
  </si>
  <si>
    <t>Samuel Carreño Perez</t>
  </si>
  <si>
    <t>lf.carrillop@uniandes.edu.co</t>
  </si>
  <si>
    <t>Luis Felipe</t>
  </si>
  <si>
    <t>Carrillo Pico</t>
  </si>
  <si>
    <t>Luis Felipe Carrillo Pico</t>
  </si>
  <si>
    <t>j.carvajalc@uniandes.edu.co</t>
  </si>
  <si>
    <t>Carvajal Carvajal</t>
  </si>
  <si>
    <t>Juliana Carvajal Carvajal</t>
  </si>
  <si>
    <t>c.castellanosv@uniandes.edu.co</t>
  </si>
  <si>
    <t>Castellanos Valero</t>
  </si>
  <si>
    <t>Catalina Castellanos Valero</t>
  </si>
  <si>
    <t>m.castrog@uniandes.edu.co</t>
  </si>
  <si>
    <t>Castro Giraldo</t>
  </si>
  <si>
    <t>Mariana Castro Giraldo</t>
  </si>
  <si>
    <t>va.castrop@uniandes.edu.co</t>
  </si>
  <si>
    <t>Vanessa Alexandra</t>
  </si>
  <si>
    <t>Castro Patiño</t>
  </si>
  <si>
    <t>Vanessa Alexandra Castro Patiño</t>
  </si>
  <si>
    <t>jm.castrop@uniandes.edu.co</t>
  </si>
  <si>
    <t>Juan Miguel Jose</t>
  </si>
  <si>
    <t>Castro Pepin</t>
  </si>
  <si>
    <t>Juan Miguel Jose Castro Pepin</t>
  </si>
  <si>
    <t>k.chacon@uniandes.edu.co</t>
  </si>
  <si>
    <t>Karen Valentina</t>
  </si>
  <si>
    <t>Chacon Padilla</t>
  </si>
  <si>
    <t>Karen Valentina Chacon Padilla</t>
  </si>
  <si>
    <t>pa.cordoba@uniandes.edu.co</t>
  </si>
  <si>
    <t>Pablo Alejandro</t>
  </si>
  <si>
    <t>Cordoba Ruiz</t>
  </si>
  <si>
    <t>Pablo Alejandro Cordoba Ruiz</t>
  </si>
  <si>
    <t>ma.correaa1@uniandes.edu.co</t>
  </si>
  <si>
    <t>Correa Acosta</t>
  </si>
  <si>
    <t>Maria Antonia Correa Acosta</t>
  </si>
  <si>
    <t>ja.cruzv@uniandes.edu.co</t>
  </si>
  <si>
    <t>Johan Alfonso</t>
  </si>
  <si>
    <t>Cruz Vega</t>
  </si>
  <si>
    <t>Johan Alfonso Cruz Vega</t>
  </si>
  <si>
    <t>sj.cuervo@uniandes.edu.co</t>
  </si>
  <si>
    <t>Sara Jimena</t>
  </si>
  <si>
    <t>Cuervo Villanueva</t>
  </si>
  <si>
    <t>Sara Jimena Cuervo Villanueva</t>
  </si>
  <si>
    <t>ja.durang@uniandes.edu.co</t>
  </si>
  <si>
    <t>Jorge Andres</t>
  </si>
  <si>
    <t>Duran Gasca</t>
  </si>
  <si>
    <t>Jorge Andres Duran Gasca</t>
  </si>
  <si>
    <t>a.ehrlich@uniandes.edu.co</t>
  </si>
  <si>
    <t>Antonio</t>
  </si>
  <si>
    <t>Ehrlich Martinez</t>
  </si>
  <si>
    <t>Antonio Ehrlich Martinez</t>
  </si>
  <si>
    <t>CINDA</t>
  </si>
  <si>
    <t>ce.fernandezv@uniandes.edu.co</t>
  </si>
  <si>
    <t>Carlos Eduardo</t>
  </si>
  <si>
    <t>Fernandez Vega</t>
  </si>
  <si>
    <t>Carlos Eduardo Fernandez Vega</t>
  </si>
  <si>
    <t>University of London</t>
  </si>
  <si>
    <t>af.garces@uniandes.edu.co</t>
  </si>
  <si>
    <t>Andres Felipe Garces Mejia</t>
  </si>
  <si>
    <t>tm.garcia@uniandes.edu.co</t>
  </si>
  <si>
    <t>Tania Marcela</t>
  </si>
  <si>
    <t>Garcia Gonzalez</t>
  </si>
  <si>
    <t>Tania Marcela Garcia Gonzalez</t>
  </si>
  <si>
    <t>s.giraldod@uniandes.edu.co</t>
  </si>
  <si>
    <t>Giraldo Duque</t>
  </si>
  <si>
    <t>Santiago Giraldo Duque</t>
  </si>
  <si>
    <t>d.giraldoq@uniandes.edu.co</t>
  </si>
  <si>
    <t>Giraldo Quintero</t>
  </si>
  <si>
    <t>Daniela Giraldo Quintero</t>
  </si>
  <si>
    <t>c.gomezg2@uniandes.edu.co</t>
  </si>
  <si>
    <t>Camilo</t>
  </si>
  <si>
    <t>Gomez Gomez</t>
  </si>
  <si>
    <t>Camilo Gomez Gomez</t>
  </si>
  <si>
    <t>n.gomezo@uniandes.edu.co</t>
  </si>
  <si>
    <t>Gomez Ocampo</t>
  </si>
  <si>
    <t>Nicolas Gomez Ocampo</t>
  </si>
  <si>
    <t>s.gomezr2@uniandes.edu.co</t>
  </si>
  <si>
    <t>Gomez Ramirez</t>
  </si>
  <si>
    <t>Sebastian Gomez Ramirez</t>
  </si>
  <si>
    <t>ma.gomezs@uniandes.edu.co</t>
  </si>
  <si>
    <t>Gomez Sepulveda</t>
  </si>
  <si>
    <t>Maria Alejandra Gomez Sepulveda</t>
  </si>
  <si>
    <t>i.gonzalezc1@uniandes.edu.co</t>
  </si>
  <si>
    <t>Isabella</t>
  </si>
  <si>
    <t>Gonzalez Cortes</t>
  </si>
  <si>
    <t>Isabella Gonzalez Cortes</t>
  </si>
  <si>
    <t>j.guerreros@uniandes.edu.co</t>
  </si>
  <si>
    <t>Juan David</t>
  </si>
  <si>
    <t>Guerrero Silva</t>
  </si>
  <si>
    <t>Juan David Guerrero Silva</t>
  </si>
  <si>
    <t>f.herrera11@uniandes.edu.co</t>
  </si>
  <si>
    <t>Federico</t>
  </si>
  <si>
    <t>Herrera Duran</t>
  </si>
  <si>
    <t>Federico Herrera Duran</t>
  </si>
  <si>
    <t>ds.herrera@uniandes.edu.co</t>
  </si>
  <si>
    <t>Daniel Santiago</t>
  </si>
  <si>
    <t>Herrera Quiroga</t>
  </si>
  <si>
    <t>Daniel Santiago Herrera Quiroga</t>
  </si>
  <si>
    <t>jp.izquierdo@uniandes.edu.co</t>
  </si>
  <si>
    <t>Izquierdo Camacho</t>
  </si>
  <si>
    <t>Juan Pablo Izquierdo Camacho</t>
  </si>
  <si>
    <t>Jaramillo Erazo</t>
  </si>
  <si>
    <t>Natalia Jaramillo Erazo</t>
  </si>
  <si>
    <t>jd.neira@uniandes.edu.co</t>
  </si>
  <si>
    <t>Neira Ahumada</t>
  </si>
  <si>
    <t>Neira Ahumada Juan David</t>
  </si>
  <si>
    <t>d.kalozdi@uniandes.edu.co</t>
  </si>
  <si>
    <t>Kalozdi Castro</t>
  </si>
  <si>
    <t>Daniel Kalozdi Castro</t>
  </si>
  <si>
    <t>Johannes Gutenberg-Universität Mainz</t>
  </si>
  <si>
    <t>v.ladino@uniandes.edu.co</t>
  </si>
  <si>
    <t>Ladino Piñeros</t>
  </si>
  <si>
    <t>Valentina Ladino Piñeros</t>
  </si>
  <si>
    <t>c.leon10@uniandes.edu.co</t>
  </si>
  <si>
    <t>Camila</t>
  </si>
  <si>
    <t>Leon Gil</t>
  </si>
  <si>
    <t>Camila Leon Gil</t>
  </si>
  <si>
    <t>sd.lobo251@uniandes.edu.co</t>
  </si>
  <si>
    <t>Sergio David</t>
  </si>
  <si>
    <t>Lobo Bolaño</t>
  </si>
  <si>
    <t>Sergio David Lobo Bolaño</t>
  </si>
  <si>
    <t>n.lombana@uniandes.edu.co</t>
  </si>
  <si>
    <t>Lombana Rodriguez</t>
  </si>
  <si>
    <t>Nicolas Lombana Rodriguez</t>
  </si>
  <si>
    <t>v.losada@uniandes.edu.co</t>
  </si>
  <si>
    <t>Losada Valderrama</t>
  </si>
  <si>
    <t>Valentina Losada Valderrama</t>
  </si>
  <si>
    <t>l.madero@uniandes.edu.co</t>
  </si>
  <si>
    <t>Laura Valentina</t>
  </si>
  <si>
    <t>Madero Olaya</t>
  </si>
  <si>
    <t>Laura Valentina Madero Olaya</t>
  </si>
  <si>
    <t>Université Jean Moulin Lyon 3</t>
  </si>
  <si>
    <t>l.madrinan@uniandes.edu.co</t>
  </si>
  <si>
    <t>Madriñan Serna</t>
  </si>
  <si>
    <t>Laura Madriñan Serna</t>
  </si>
  <si>
    <t>j.morales@uniandes.edu.co</t>
  </si>
  <si>
    <t>Morales Cardenas</t>
  </si>
  <si>
    <t>Juliana Morales Cardenas</t>
  </si>
  <si>
    <t>ac.munoz@uniandes.edu.co</t>
  </si>
  <si>
    <t>Andrea Catalina</t>
  </si>
  <si>
    <t>Muñoz Gomez</t>
  </si>
  <si>
    <t>Andrea Catalina Muñoz Gomez</t>
  </si>
  <si>
    <t>and-murc@uniandes.edu.co</t>
  </si>
  <si>
    <t>Andres Fernando</t>
  </si>
  <si>
    <t>Murcia Matallana</t>
  </si>
  <si>
    <t>Andres Fernando Murcia Matallana</t>
  </si>
  <si>
    <t>s.navasv@uniandes.edu.co</t>
  </si>
  <si>
    <t>Navas Vargas</t>
  </si>
  <si>
    <t>Santiago Navas Vargas</t>
  </si>
  <si>
    <t>ab.obregon10@uniandes.edu.co</t>
  </si>
  <si>
    <t>Andres Bernardo</t>
  </si>
  <si>
    <t>Obregon Ramirez</t>
  </si>
  <si>
    <t>Andres Bernardo Obregon Ramirez</t>
  </si>
  <si>
    <t>n.ome@uniandes.edu.co</t>
  </si>
  <si>
    <t>Ome Alvarez</t>
  </si>
  <si>
    <t>Nicolas Ome Alvarez</t>
  </si>
  <si>
    <t>j.ovalle@uniandes.edu.co</t>
  </si>
  <si>
    <t>Ovalle Gonzalez</t>
  </si>
  <si>
    <t>Juan Jose Ovalle Gonzalez</t>
  </si>
  <si>
    <t>j.parral@uniandes.edu.co</t>
  </si>
  <si>
    <t>Parra Lozada</t>
  </si>
  <si>
    <t>Jose Daniel Parra Lozada</t>
  </si>
  <si>
    <t>je.parral@uniandes.edu.co</t>
  </si>
  <si>
    <t>Juan Esteban</t>
  </si>
  <si>
    <t>Juan Esteban Parra Lozada</t>
  </si>
  <si>
    <t>i.parram@uniandes.edu.co</t>
  </si>
  <si>
    <t>Isabela</t>
  </si>
  <si>
    <t>Parra Mesa</t>
  </si>
  <si>
    <t>Isabela Parra Mesa</t>
  </si>
  <si>
    <t>Queen's University</t>
  </si>
  <si>
    <t>j.pava@uniandes.edu.co</t>
  </si>
  <si>
    <t>Pava Martinez</t>
  </si>
  <si>
    <t>Juanita Pava Martinez</t>
  </si>
  <si>
    <t>mc.pinzonp@uniandes.edu.co</t>
  </si>
  <si>
    <t>Pinzon Perez</t>
  </si>
  <si>
    <t>Maria Camila Pinzon Perez</t>
  </si>
  <si>
    <t>Industrial Engineering Bsc</t>
  </si>
  <si>
    <t>js.pulidob@uniandes.edu.co</t>
  </si>
  <si>
    <t>Juan Sebastian</t>
  </si>
  <si>
    <t>Pulido Becerra</t>
  </si>
  <si>
    <t>Juan Sebastian Pulido Becerra</t>
  </si>
  <si>
    <t>ls.pulidoo@uniandes.edu.co</t>
  </si>
  <si>
    <t>Laura Salome</t>
  </si>
  <si>
    <t>Pulido Ortiz</t>
  </si>
  <si>
    <t>Laura Salome Pulido Ortiz</t>
  </si>
  <si>
    <t>aa.quinteroa@uniandes.edu.co</t>
  </si>
  <si>
    <t>Alvaro Alejandro</t>
  </si>
  <si>
    <t>Quintero Alzate</t>
  </si>
  <si>
    <t>Alvaro Alejandro Quintero Alzate</t>
  </si>
  <si>
    <t>c.quinterom@uniandes.edu.co</t>
  </si>
  <si>
    <t>Quintero Martelo</t>
  </si>
  <si>
    <t>Camilo Quintero Martelo</t>
  </si>
  <si>
    <t>a.quirama@uniandes.edu.co</t>
  </si>
  <si>
    <t>Andrea Carolina</t>
  </si>
  <si>
    <t>Quirama Triana</t>
  </si>
  <si>
    <t>Andrea Carolina Quirama Triana</t>
  </si>
  <si>
    <t>ji.ramirezb@uniandes.edu.co</t>
  </si>
  <si>
    <t>Juanita Isabella</t>
  </si>
  <si>
    <t>Ramirez Barrera</t>
  </si>
  <si>
    <t>Juanita Isabella Ramirez Barrera</t>
  </si>
  <si>
    <t>af.rangel@uniandes.edu.co</t>
  </si>
  <si>
    <t>Rangel Mora</t>
  </si>
  <si>
    <t>Andres Felipe Rangel Mora</t>
  </si>
  <si>
    <t>s.realpe@uniandes.edu.co</t>
  </si>
  <si>
    <t>Santiago David</t>
  </si>
  <si>
    <t>Realpe Morillo</t>
  </si>
  <si>
    <t>Santiago David Realpe Morillo</t>
  </si>
  <si>
    <t>sm.restrepop@uniandes.edu.co</t>
  </si>
  <si>
    <t>Sara Manuela</t>
  </si>
  <si>
    <t>Restrepo Pachon</t>
  </si>
  <si>
    <t>Sara Manuela Restrepo Pachon</t>
  </si>
  <si>
    <t>Music Bsc</t>
  </si>
  <si>
    <t>School of Arts and Humanities</t>
  </si>
  <si>
    <t>x.rico@uniandes.edu.co</t>
  </si>
  <si>
    <t>Ximena Esperanza</t>
  </si>
  <si>
    <t>Rico Molano</t>
  </si>
  <si>
    <t>Ximena Esperanza Rico Molano</t>
  </si>
  <si>
    <t>d.robledo1@uniandes.edu.co</t>
  </si>
  <si>
    <t>Robledo Neira</t>
  </si>
  <si>
    <t>Daniela Robledo Neira</t>
  </si>
  <si>
    <t>j.roblesa@uniandes.edu.co</t>
  </si>
  <si>
    <t>Robles Arciniegas</t>
  </si>
  <si>
    <t>Juan Sebastian Robles Arciniegas</t>
  </si>
  <si>
    <t>af.rodrigueza1@uniandes.edu.co</t>
  </si>
  <si>
    <t>Rodriguez Alarcon</t>
  </si>
  <si>
    <t>Andres Felipe Rodriguez Alarcon</t>
  </si>
  <si>
    <t>sm.rodriguezc@uniandes.edu.co</t>
  </si>
  <si>
    <t>Sara Maria</t>
  </si>
  <si>
    <t>Rodriguez Ceron</t>
  </si>
  <si>
    <t>Sara Maria Rodriguez Ceron</t>
  </si>
  <si>
    <t>am.rodriguez30@uniandes.edu.co</t>
  </si>
  <si>
    <t>Ana Maria</t>
  </si>
  <si>
    <t>Rodriguez Sandoval</t>
  </si>
  <si>
    <t>Ana Maria Rodriguez Sandoval</t>
  </si>
  <si>
    <t>p.rubio@uniandes.edu.co</t>
  </si>
  <si>
    <t>Paula Daniela</t>
  </si>
  <si>
    <t>Rubio Daza</t>
  </si>
  <si>
    <t>Paula Daniela Rubio Daza</t>
  </si>
  <si>
    <t>s.saenza@uniandes.edu.co</t>
  </si>
  <si>
    <t>Saenz Ariza</t>
  </si>
  <si>
    <t>Santiago Saenz Ariza</t>
  </si>
  <si>
    <t>s.salazar6@uniandes.edu.co</t>
  </si>
  <si>
    <t>Salazar Meza</t>
  </si>
  <si>
    <t>Simon Salazar Meza</t>
  </si>
  <si>
    <t>da.salazars@uniandes.edu.co</t>
  </si>
  <si>
    <t>Daniel Alberto</t>
  </si>
  <si>
    <t>Salazar Sfeir</t>
  </si>
  <si>
    <t>Daniel Alberto Salazar Sfeir</t>
  </si>
  <si>
    <t>lc.sanabria@uniandes.edu.co</t>
  </si>
  <si>
    <t>Laura Catalina</t>
  </si>
  <si>
    <t>Sanabria Jimenez</t>
  </si>
  <si>
    <t>Laura Catalina Sanabria Jimenez</t>
  </si>
  <si>
    <t>n.sanchezr@uniandes.edu.co</t>
  </si>
  <si>
    <t>Sanchez Rodriguez</t>
  </si>
  <si>
    <t>Nicolas Sanchez Rodriguez</t>
  </si>
  <si>
    <t>Civil Engineering Bsc</t>
  </si>
  <si>
    <t>a.sandoval@uniandes.edu.co</t>
  </si>
  <si>
    <t>Antonia</t>
  </si>
  <si>
    <t>Sandoval Devis</t>
  </si>
  <si>
    <t>Antonia Sandoval Devis</t>
  </si>
  <si>
    <t>sa.cubillos@uniandes.edu.co</t>
  </si>
  <si>
    <t>Cubillos Delgado</t>
  </si>
  <si>
    <t>Santiago Alberto</t>
  </si>
  <si>
    <t>Cubillos Delgado Santiago Alberto</t>
  </si>
  <si>
    <t>d.sierrav@uniandes.edu.co</t>
  </si>
  <si>
    <t>Diego Andres</t>
  </si>
  <si>
    <t>Sierra Vargas</t>
  </si>
  <si>
    <t>Diego Andres Sierra Vargas</t>
  </si>
  <si>
    <t>mm.sotop@uniandes.edu.co</t>
  </si>
  <si>
    <t>Manuela Maria</t>
  </si>
  <si>
    <t>Soto Peñalosa</t>
  </si>
  <si>
    <t>Manuela Maria Soto Peñalosa</t>
  </si>
  <si>
    <t>mp.suarez20@uniandes.edu.co</t>
  </si>
  <si>
    <t>Suarez Bonilla</t>
  </si>
  <si>
    <t>Maria Paula Suarez Bonilla</t>
  </si>
  <si>
    <t>f.tellez@uniandes.edu.co</t>
  </si>
  <si>
    <t>Tellez Zuluaga</t>
  </si>
  <si>
    <t>Felipe Tellez Zuluaga</t>
  </si>
  <si>
    <t>n.toro@uniandes.edu.co</t>
  </si>
  <si>
    <t>Toro Sarmiento</t>
  </si>
  <si>
    <t>Nicolas Toro Sarmiento</t>
  </si>
  <si>
    <t>l.torresv@uniandes.edu.co</t>
  </si>
  <si>
    <t>Lucas</t>
  </si>
  <si>
    <t>Torres Villegas</t>
  </si>
  <si>
    <t>Lucas Torres Villegas</t>
  </si>
  <si>
    <t>g.trujillo@uniandes.edu.co</t>
  </si>
  <si>
    <t>Gabriel</t>
  </si>
  <si>
    <t>Trujillo Palacios</t>
  </si>
  <si>
    <t>Gabriel Trujillo Palacios</t>
  </si>
  <si>
    <t>t.trujillo@uniandes.edu.co</t>
  </si>
  <si>
    <t>Thomas</t>
  </si>
  <si>
    <t>Trujillo Velez</t>
  </si>
  <si>
    <t>Thomas Trujillo Velez</t>
  </si>
  <si>
    <t>s.umana@uniandes.edu.co</t>
  </si>
  <si>
    <t>Umaña Jimenez</t>
  </si>
  <si>
    <t>Sebastian Umaña Jimenez</t>
  </si>
  <si>
    <t>j.umanam@uniandes.edu.co</t>
  </si>
  <si>
    <t>Juan Antonio</t>
  </si>
  <si>
    <t>Umaña Malo</t>
  </si>
  <si>
    <t>Juan Antonio Umaña Malo</t>
  </si>
  <si>
    <t>Digital Narrative Bsc</t>
  </si>
  <si>
    <t>d.valenzuela@uniandes.edu.co</t>
  </si>
  <si>
    <t>Valenzuela Ariza</t>
  </si>
  <si>
    <t>Daniel Valenzuela Ariza</t>
  </si>
  <si>
    <t>ca.varela102@uniandes.edu.co</t>
  </si>
  <si>
    <t>Varela Garcia</t>
  </si>
  <si>
    <t>Camilo Andres Varela Garcia</t>
  </si>
  <si>
    <t>v.vargasr@uniandes.edu.co</t>
  </si>
  <si>
    <t>Vargas Rincon</t>
  </si>
  <si>
    <t>Valentina Vargas Rincon</t>
  </si>
  <si>
    <t>ds.vargasv@uniandes.edu.co</t>
  </si>
  <si>
    <t>Vargas Venegas</t>
  </si>
  <si>
    <t>Daniel Vargas Venegas</t>
  </si>
  <si>
    <t>dc.vasquezb@uniandes.edu.co</t>
  </si>
  <si>
    <t>Dana Catalina</t>
  </si>
  <si>
    <t>Vasquez Ballesteros</t>
  </si>
  <si>
    <t>Dana Catalina Vasquez Ballesteros</t>
  </si>
  <si>
    <t>av.vega@uniandes.edu.co</t>
  </si>
  <si>
    <t>Andrea Vanessa</t>
  </si>
  <si>
    <t>Vega Hernandez</t>
  </si>
  <si>
    <t>Andrea Vanessa Vega Hernandez</t>
  </si>
  <si>
    <t>a.velasquez@uniandes.edu.co</t>
  </si>
  <si>
    <t>Velasquez Acosta</t>
  </si>
  <si>
    <t>Andres Velasquez Acosta</t>
  </si>
  <si>
    <t>s.velasquezm@uniandes.edu.co</t>
  </si>
  <si>
    <t>Velasquez Mejia</t>
  </si>
  <si>
    <t>Sofia Velasquez Mejia</t>
  </si>
  <si>
    <t>j.villate@uniandes.edu.co</t>
  </si>
  <si>
    <t>Juana</t>
  </si>
  <si>
    <t>Villate Ricardo</t>
  </si>
  <si>
    <t>Juana Villate Ricardo</t>
  </si>
  <si>
    <t>c.martinez27@uniandes.edu.co</t>
  </si>
  <si>
    <t>Carlos Alberto</t>
  </si>
  <si>
    <t>Martinez Herrera</t>
  </si>
  <si>
    <t>Carlos Alberto Martinez Herrera</t>
  </si>
  <si>
    <t>s.figueroaj@uniandes.edu.co</t>
  </si>
  <si>
    <t>Figueroa Jaramillo</t>
  </si>
  <si>
    <t>Sofia Figueroa Jaramillo</t>
  </si>
  <si>
    <t>OSUN</t>
  </si>
  <si>
    <t>ks.reyes@uniandes.edu.co</t>
  </si>
  <si>
    <t>Kevin Steven</t>
  </si>
  <si>
    <t>Reyes Hernandez</t>
  </si>
  <si>
    <t>Kevin Steven Reyes Hernandez</t>
  </si>
  <si>
    <t>m.mejiag@uniandes.edu.co</t>
  </si>
  <si>
    <t>Miguel Angel</t>
  </si>
  <si>
    <t>Mejia Gomez</t>
  </si>
  <si>
    <t>Miguel Angel Mejia Gomez</t>
  </si>
  <si>
    <t>n.blancoa@uniandes.edu.co</t>
  </si>
  <si>
    <t>Natalia Maria</t>
  </si>
  <si>
    <t>Blanco Angulo</t>
  </si>
  <si>
    <t>Natalia Maria Blanco Angulo</t>
  </si>
  <si>
    <t>ca.martinezm1@uniandes.edu.co</t>
  </si>
  <si>
    <t>Cesar Andres</t>
  </si>
  <si>
    <t>Martinez Medina</t>
  </si>
  <si>
    <t>Cesar Andres Martinez Medina</t>
  </si>
  <si>
    <t>BI Handelshøyskolen</t>
  </si>
  <si>
    <t>c.puentesg@uniandes.edu.co</t>
  </si>
  <si>
    <t>Puentes Giraldo</t>
  </si>
  <si>
    <t>Catalina Puentes Giraldo</t>
  </si>
  <si>
    <t>m.jaramillom@uniandes.edu.co</t>
  </si>
  <si>
    <t>Miguel</t>
  </si>
  <si>
    <t>Jaramillo Molano</t>
  </si>
  <si>
    <t>Miguel Jaramillo Molano</t>
  </si>
  <si>
    <t>j.alzateo@uniandes.edu.co</t>
  </si>
  <si>
    <t>Alzate Ordoñez</t>
  </si>
  <si>
    <t>Juliana Alzate Ordoñez</t>
  </si>
  <si>
    <t>pa.tapia@uniandes.edu.co</t>
  </si>
  <si>
    <t>Paula Alejandra</t>
  </si>
  <si>
    <t>Tapia Esteban</t>
  </si>
  <si>
    <t>Paula Alejandra Tapia Esteban</t>
  </si>
  <si>
    <t>Lf.daniels@uniandes.edu.co</t>
  </si>
  <si>
    <t>Lina Fernanda</t>
  </si>
  <si>
    <t>Daniels Hernandez</t>
  </si>
  <si>
    <t>Lina Fernanda Daniels Hernandez</t>
  </si>
  <si>
    <t>j.paez2@uniandes.edu.co</t>
  </si>
  <si>
    <t>Paez Velez</t>
  </si>
  <si>
    <t>Juliana Paez Velez</t>
  </si>
  <si>
    <t>n.nino3@uniandes.edu.co</t>
  </si>
  <si>
    <t>Niño Gomez</t>
  </si>
  <si>
    <t>Nicolas Niño Gomez</t>
  </si>
  <si>
    <t>v.soler@uniandes.edu.co</t>
  </si>
  <si>
    <t>Soler Salomon</t>
  </si>
  <si>
    <t>Valentina Soler Salomon</t>
  </si>
  <si>
    <t>j.joleanis@uniandes.edu.co</t>
  </si>
  <si>
    <t>Joleanis Caycedo</t>
  </si>
  <si>
    <t>Juan Esteban Joleanis Caycedo</t>
  </si>
  <si>
    <t>m.penaa@uniandes.edu.co</t>
  </si>
  <si>
    <t>Peña Agudelo</t>
  </si>
  <si>
    <t>Maria Jose Peña Agudelo</t>
  </si>
  <si>
    <t>oc.mayorga@uniandes.edu.co</t>
  </si>
  <si>
    <t>Oscar Camilo</t>
  </si>
  <si>
    <t>Mayorga Segura</t>
  </si>
  <si>
    <t>Oscar Camilo Mayorga Segura</t>
  </si>
  <si>
    <t>j.arce@uniandes.edu.co</t>
  </si>
  <si>
    <t>Jenifer Alejandra</t>
  </si>
  <si>
    <t>Arce Caceres</t>
  </si>
  <si>
    <t>Jenifer Alejandra Arce Caceres</t>
  </si>
  <si>
    <t>s.bernal3@uniandes.edu.co</t>
  </si>
  <si>
    <t>Sabrina</t>
  </si>
  <si>
    <t>Bernal Gomez</t>
  </si>
  <si>
    <t>Sabrina Bernal Gomez</t>
  </si>
  <si>
    <t>jp.diazg1@uniandes.edu.co</t>
  </si>
  <si>
    <t>Diaz Gamboa</t>
  </si>
  <si>
    <t>Juan Pablo Diaz Gamboa</t>
  </si>
  <si>
    <t>bn.rivera11@uniandes.edu.co</t>
  </si>
  <si>
    <t>Brayan Nicolas</t>
  </si>
  <si>
    <t>Rivera Chiappe</t>
  </si>
  <si>
    <t>Brayan Nicolas Rivera Chiappe</t>
  </si>
  <si>
    <t>jp.gutierrezp1@uniandes.edu.co</t>
  </si>
  <si>
    <t>Gutierrez Pineda</t>
  </si>
  <si>
    <t>Juan Pablo Gutierrez Pineda</t>
  </si>
  <si>
    <t>d.romerom@uniandes.edu.co</t>
  </si>
  <si>
    <t>Romero Muriel</t>
  </si>
  <si>
    <t>Daniela Romero Muriel</t>
  </si>
  <si>
    <t>i.camejo@uniandes.edu.co</t>
  </si>
  <si>
    <t>Camejo Jaimes</t>
  </si>
  <si>
    <t>Isabella Camejo Jaimes</t>
  </si>
  <si>
    <t>af.blanco@uniandes.edu.co</t>
  </si>
  <si>
    <t>Blanco Ibarra</t>
  </si>
  <si>
    <t>Andres Felipe Blanco Ibarra</t>
  </si>
  <si>
    <t>j.robayoh@uniandes.edu.co</t>
  </si>
  <si>
    <t>Robayo Herrera</t>
  </si>
  <si>
    <t>Juanita Robayo Herrera</t>
  </si>
  <si>
    <t>jf.agudelo@uniandes.edu.co</t>
  </si>
  <si>
    <t>Agudelo Silva</t>
  </si>
  <si>
    <t>Juan Felipe Agudelo Silva</t>
  </si>
  <si>
    <t>m.aristizabalr@uniandes.edu.co</t>
  </si>
  <si>
    <t>Aristizabal Rojas</t>
  </si>
  <si>
    <t>Maria Alejandra Aristizabal Rojas</t>
  </si>
  <si>
    <t>n.clavijo@uniandes.edu.co</t>
  </si>
  <si>
    <t>Clavijo Valencia</t>
  </si>
  <si>
    <t>Nicolas Clavijo Valencia</t>
  </si>
  <si>
    <t>mj.contreras@uniandes.edu.co</t>
  </si>
  <si>
    <t>Marcos Jose</t>
  </si>
  <si>
    <t>Contreras Serrano</t>
  </si>
  <si>
    <t>Marcos Jose Contreras Serrano</t>
  </si>
  <si>
    <t>Architecture Bsc</t>
  </si>
  <si>
    <t>e.duquee@uniandes.edu.co</t>
  </si>
  <si>
    <t>Emilio</t>
  </si>
  <si>
    <t>Duque Escobar</t>
  </si>
  <si>
    <t>Emilio Duque Escobar</t>
  </si>
  <si>
    <t>Mj.hernandezp@uniandes.Edu.co</t>
  </si>
  <si>
    <t>Hernandez Perez</t>
  </si>
  <si>
    <t>Maria Jose Hernandez Perez</t>
  </si>
  <si>
    <t>dc.ortizr@uniandes.edu.co</t>
  </si>
  <si>
    <t>Diana Camila</t>
  </si>
  <si>
    <t>Ortiz Rocha</t>
  </si>
  <si>
    <t>Diana Camila Ortiz Rocha</t>
  </si>
  <si>
    <t>m.pardog@uniandes.edu.co</t>
  </si>
  <si>
    <t>Pardo Gaviria</t>
  </si>
  <si>
    <t>Mariana Pardo Gaviria</t>
  </si>
  <si>
    <t>s.maestre@uniandes.edu.co</t>
  </si>
  <si>
    <t>Maestre Toro</t>
  </si>
  <si>
    <t>Simon Maestre Toro</t>
  </si>
  <si>
    <t>js.lopezc1@uniandes.edu.co</t>
  </si>
  <si>
    <t>Lopez Cubillos</t>
  </si>
  <si>
    <t>Juan Sebastian Lopez Cubillos</t>
  </si>
  <si>
    <t>j.novoaw@uniandes.edu.co</t>
  </si>
  <si>
    <t>Novoa Wilches</t>
  </si>
  <si>
    <t>Juan Felipe Novoa Wilches</t>
  </si>
  <si>
    <t>j.rodriguezl@uniandes.edu.co</t>
  </si>
  <si>
    <t>Rodriguez Leon</t>
  </si>
  <si>
    <t>Juliana Rodriguez Leon</t>
  </si>
  <si>
    <t>ja.velasquez@uniandes.edu.co</t>
  </si>
  <si>
    <t>Velasquez Fierro</t>
  </si>
  <si>
    <t>Juan Andres Velasquez Fierro</t>
  </si>
  <si>
    <t>p.villegasq@uniandes.edu.co</t>
  </si>
  <si>
    <t>Villegas Quintana</t>
  </si>
  <si>
    <t>Pablo Villegas Quintana</t>
  </si>
  <si>
    <t>v.leon@uniandes.edu.co</t>
  </si>
  <si>
    <t>Leon Niño</t>
  </si>
  <si>
    <t>Valeria Leon Niño</t>
  </si>
  <si>
    <t>cc.mojica@uniandes.edu.co</t>
  </si>
  <si>
    <t>Cristhian Camilo</t>
  </si>
  <si>
    <t>Mojica Sandoval</t>
  </si>
  <si>
    <t>Cristhian Camilo Mojica Sandoval</t>
  </si>
  <si>
    <t>pa.quintana@uniandes.edu.co</t>
  </si>
  <si>
    <t>Quintana Amores</t>
  </si>
  <si>
    <t>Paula Alejandra Quintana Amores</t>
  </si>
  <si>
    <t>sa.pinerosg@uniandes.edu.co</t>
  </si>
  <si>
    <t>Santiago Alejandro</t>
  </si>
  <si>
    <t>Piñeros Guzman</t>
  </si>
  <si>
    <t>Santiago Alejandro Piñeros Guzman</t>
  </si>
  <si>
    <t>a.spadei@uniandes.edu.co</t>
  </si>
  <si>
    <t>Angelina</t>
  </si>
  <si>
    <t>Spadei Escalante</t>
  </si>
  <si>
    <t>Angelina Spadei Escalante</t>
  </si>
  <si>
    <t>v.cifuenteso@uniandes.edu.co</t>
  </si>
  <si>
    <t>Verónica</t>
  </si>
  <si>
    <t>Cifuentes Ortega</t>
  </si>
  <si>
    <t>Verónica Cifuentes Ortega</t>
  </si>
  <si>
    <t>s.torresc1@uniandes.edu.co</t>
  </si>
  <si>
    <t>Torres Carvajal</t>
  </si>
  <si>
    <t>Sebastian Torres Carvajal</t>
  </si>
  <si>
    <t>m.vacca@uniandes.edu.co</t>
  </si>
  <si>
    <t>Vacca Parada</t>
  </si>
  <si>
    <t>Maria Alejandra Vacca Parada</t>
  </si>
  <si>
    <t>s.fernandez4@uniandes.edu.co</t>
  </si>
  <si>
    <t>Sophie</t>
  </si>
  <si>
    <t>Fernandez Leal</t>
  </si>
  <si>
    <t>Sophie Fernandez Leal</t>
  </si>
  <si>
    <t>jd.osso@uniandes.edu.co</t>
  </si>
  <si>
    <t>Juan Diego</t>
  </si>
  <si>
    <t>Osso Rodriguez</t>
  </si>
  <si>
    <t>Juan Diego Osso Rodriguez</t>
  </si>
  <si>
    <t>a.pardoa@uniandes.edu.co</t>
  </si>
  <si>
    <t>Pardo Agudelo</t>
  </si>
  <si>
    <t>Andrea Catalina Pardo Agudelo</t>
  </si>
  <si>
    <t>lg.giraldo@uniandes.edu.co</t>
  </si>
  <si>
    <t>Luna Gabriela</t>
  </si>
  <si>
    <t>Giraldo Sabogal</t>
  </si>
  <si>
    <t>Luna Gabriela Giraldo Sabogal</t>
  </si>
  <si>
    <t>Arts Bsc</t>
  </si>
  <si>
    <t>t.camacho@uniandes.edu.co</t>
  </si>
  <si>
    <t>Camacho Bustamante</t>
  </si>
  <si>
    <t>Tomas Camacho Bustamante</t>
  </si>
  <si>
    <t>v.silvac@uniandes.edu.co</t>
  </si>
  <si>
    <t>Silva Coa</t>
  </si>
  <si>
    <t>Valentina Silva Coa</t>
  </si>
  <si>
    <t>m.nicholls@uniandes.edu.co</t>
  </si>
  <si>
    <t>Marianne</t>
  </si>
  <si>
    <t>Nicholls Franco</t>
  </si>
  <si>
    <t>Marianne Nicholls Franco</t>
  </si>
  <si>
    <t>Universidad del Pacífico, Lima</t>
  </si>
  <si>
    <t>j.arangod@uniandes.edu.co</t>
  </si>
  <si>
    <t>Arango Diaz</t>
  </si>
  <si>
    <t>Juliana Arango Diaz</t>
  </si>
  <si>
    <t>s.lopez1@uniandes.edu.co</t>
  </si>
  <si>
    <t>Lopez Orrego</t>
  </si>
  <si>
    <t>Simon Lopez Orrego</t>
  </si>
  <si>
    <t>s.tamayob@uniandes.edu.co</t>
  </si>
  <si>
    <t>Sara Alejandra</t>
  </si>
  <si>
    <t>Tamayo Barrios</t>
  </si>
  <si>
    <t>Sara Alejandra Tamayo Barrios</t>
  </si>
  <si>
    <t>j.ortizc@uniandes.edu.co</t>
  </si>
  <si>
    <t>Juanita Catalina</t>
  </si>
  <si>
    <t>Ortiz Caballero</t>
  </si>
  <si>
    <t>Juanita Catalina Ortiz Caballero</t>
  </si>
  <si>
    <t>m.vargas21@uniandes.edu.co</t>
  </si>
  <si>
    <t>Vargas Carrizosa</t>
  </si>
  <si>
    <t>Mariana Vargas Carrizosa</t>
  </si>
  <si>
    <t>a.villadiego@uniandes.edu.co</t>
  </si>
  <si>
    <t>Villadiego Barreto</t>
  </si>
  <si>
    <t>Alejandro Villadiego Barreto</t>
  </si>
  <si>
    <t>s.zuluagam@uniandes.edu.co</t>
  </si>
  <si>
    <t>Sofía</t>
  </si>
  <si>
    <t>Zuluaga Montoya</t>
  </si>
  <si>
    <t>Sofía Zuluaga Montoya</t>
  </si>
  <si>
    <t>m.gonzalez44@uniandes.edu.co</t>
  </si>
  <si>
    <t>Mateo</t>
  </si>
  <si>
    <t>González Granados</t>
  </si>
  <si>
    <t>Mateo González Granados</t>
  </si>
  <si>
    <t>l.millanp@uniandes.edu.co</t>
  </si>
  <si>
    <t>Laura Camila</t>
  </si>
  <si>
    <t>Millán Patiño</t>
  </si>
  <si>
    <t>Laura Camila Millán Patiño</t>
  </si>
  <si>
    <t>da.avilaa@uniandes.edu.co</t>
  </si>
  <si>
    <t>Avila Avila</t>
  </si>
  <si>
    <t>Diego Alejandro Avila Avila</t>
  </si>
  <si>
    <t>t.morenog@uniandes.edu.co</t>
  </si>
  <si>
    <t>Tomás</t>
  </si>
  <si>
    <t>Moreno Garces</t>
  </si>
  <si>
    <t>Tomás Moreno Garces</t>
  </si>
  <si>
    <t>a.portillao@uniandes.edu.co</t>
  </si>
  <si>
    <t>Andres Mauricio</t>
  </si>
  <si>
    <t>Portilla Ossa</t>
  </si>
  <si>
    <t>Andres Mauricio Portilla Ossa</t>
  </si>
  <si>
    <t>I.rodriguez5@uniandes.edu.co</t>
  </si>
  <si>
    <t>Rodriguez Padilla</t>
  </si>
  <si>
    <t>Isabela Rodriguez Padilla</t>
  </si>
  <si>
    <t>j.diaz39@uniandes.edu.co</t>
  </si>
  <si>
    <t>Diaz Riaño</t>
  </si>
  <si>
    <t>Juan Sebastian Diaz Riaño</t>
  </si>
  <si>
    <t>mc.angel@uniandes.edu.co</t>
  </si>
  <si>
    <t>Angel Jimenez</t>
  </si>
  <si>
    <t>Maria Camila Angel Jimenez</t>
  </si>
  <si>
    <t>p.estrada@uniandes.edu.co</t>
  </si>
  <si>
    <t>Estrada Chaves</t>
  </si>
  <si>
    <t>Pablo Estrada Chaves</t>
  </si>
  <si>
    <t>m.perdomoh@uniandes.edu.co</t>
  </si>
  <si>
    <t>Perdomo Henao</t>
  </si>
  <si>
    <t>Mariana Perdomo Henao</t>
  </si>
  <si>
    <t>c.arrazola@uniandes.edu.co</t>
  </si>
  <si>
    <t>Cristina</t>
  </si>
  <si>
    <t>Arrazola Davidson</t>
  </si>
  <si>
    <t>Cristina Arrazola Davidson</t>
  </si>
  <si>
    <t>Université de Strasbourg</t>
  </si>
  <si>
    <t>m.molinar@uniandes.edu.co</t>
  </si>
  <si>
    <t>Molina Restrepo</t>
  </si>
  <si>
    <t>Maria Camila Molina Restrepo</t>
  </si>
  <si>
    <t>ga.amado@uniandes.edu.co</t>
  </si>
  <si>
    <t>Gabriel Alonso</t>
  </si>
  <si>
    <t>Amado Carvajalino</t>
  </si>
  <si>
    <t>Gabriel Alonso Amado Carvajalino</t>
  </si>
  <si>
    <t>Université Grenoble Alpes</t>
  </si>
  <si>
    <t>me.palacio@uniandes.edu.co</t>
  </si>
  <si>
    <t>Mateo Esteban</t>
  </si>
  <si>
    <t>Palacio Martinez</t>
  </si>
  <si>
    <t>Mateo Esteban Palacio Martinez</t>
  </si>
  <si>
    <t>d.gomez29@uniandes.edu.co</t>
  </si>
  <si>
    <t>Gomez Vega</t>
  </si>
  <si>
    <t>Daniel Gomez Vega</t>
  </si>
  <si>
    <t>s.martinez39@uniandes.edu.co</t>
  </si>
  <si>
    <t>Martinez Hernandez</t>
  </si>
  <si>
    <t>Santiago Martinez Hernandez</t>
  </si>
  <si>
    <t>s.molinao@uniandes.edu.co</t>
  </si>
  <si>
    <t>Molina Ortiz</t>
  </si>
  <si>
    <t>Sebastian Molina Ortiz</t>
  </si>
  <si>
    <t>g.becerrag@uniandes.edu.co</t>
  </si>
  <si>
    <t>Gabriel Alejandro</t>
  </si>
  <si>
    <t>Becerra Giraldo</t>
  </si>
  <si>
    <t>Gabriel Alejandro Becerra Giraldo</t>
  </si>
  <si>
    <t>s.martinezt@uniandes.edu.co</t>
  </si>
  <si>
    <t>Martinez Talero</t>
  </si>
  <si>
    <t>Simon Andres Martinez Talero</t>
  </si>
  <si>
    <t>j.jimenez20@uniandes.edu.co</t>
  </si>
  <si>
    <t xml:space="preserve">Joaquín </t>
  </si>
  <si>
    <t>Jiménez Rubio</t>
  </si>
  <si>
    <t>Joaquín  Jiménez Rubio</t>
  </si>
  <si>
    <t>p.lopezz@uniandes.edu.co</t>
  </si>
  <si>
    <t>Paula Sophia</t>
  </si>
  <si>
    <t>Lopez Zaldua</t>
  </si>
  <si>
    <t>Paula Sophia Lopez Zaldua</t>
  </si>
  <si>
    <t>lj.pereza1@uniandes.edu.co</t>
  </si>
  <si>
    <t>Leydy Johana</t>
  </si>
  <si>
    <t>Perez Alzate</t>
  </si>
  <si>
    <t>Leydy Johana Perez Alzate</t>
  </si>
  <si>
    <t xml:space="preserve">Master in Supply Chain Management	</t>
  </si>
  <si>
    <t>s.vallejog@uniandes.edu.co</t>
  </si>
  <si>
    <t xml:space="preserve">Samuel </t>
  </si>
  <si>
    <t>Vallejo Gomez</t>
  </si>
  <si>
    <t>Samuel  Vallejo Gomez</t>
  </si>
  <si>
    <t>da.cotrino@uniandes.edu.co</t>
  </si>
  <si>
    <t>Daniela Antonia</t>
  </si>
  <si>
    <t>Cotrino Venegas</t>
  </si>
  <si>
    <t>Daniela Antonia Cotrino Venegas</t>
  </si>
  <si>
    <t>s.escobar20@uniandes.edu.co</t>
  </si>
  <si>
    <t xml:space="preserve">Stephania </t>
  </si>
  <si>
    <t>Escobar Mejia</t>
  </si>
  <si>
    <t>Stephania  Escobar Mejia</t>
  </si>
  <si>
    <t>s.garcia2@uniandes.edu.co</t>
  </si>
  <si>
    <t>Garcia Velasquez</t>
  </si>
  <si>
    <t>Santiago Garcia Velasquez</t>
  </si>
  <si>
    <t>v.munoz5@uniandes.edu.co</t>
  </si>
  <si>
    <t xml:space="preserve">Valentina </t>
  </si>
  <si>
    <t>Muñoz Moreno</t>
  </si>
  <si>
    <t>Valentina  Muñoz Moreno</t>
  </si>
  <si>
    <t>s.fonsecar@uniandes.edu.co</t>
  </si>
  <si>
    <t xml:space="preserve">Sofia </t>
  </si>
  <si>
    <t>Fonseca Rozo</t>
  </si>
  <si>
    <t>Sofia  Fonseca Rozo</t>
  </si>
  <si>
    <t>m.duperly@uniandes.edu.co</t>
  </si>
  <si>
    <t xml:space="preserve">Maria </t>
  </si>
  <si>
    <t>Duperly Bonilla</t>
  </si>
  <si>
    <t>Maria  Duperly Bonilla</t>
  </si>
  <si>
    <t>s.ortiz6@uniandes.edu.co</t>
  </si>
  <si>
    <t>Ortiz Prada</t>
  </si>
  <si>
    <t>Samuel  Ortiz Prada</t>
  </si>
  <si>
    <t>de.rojasr1@uniandes.edu.co</t>
  </si>
  <si>
    <t>Daniel Eduardo</t>
  </si>
  <si>
    <t>Rojas Rocha</t>
  </si>
  <si>
    <t>Daniel Eduardo Rojas Rocha</t>
  </si>
  <si>
    <t>lc.ortizb1@uniandes.edu.co</t>
  </si>
  <si>
    <t>Ortiz Betancourt</t>
  </si>
  <si>
    <t>Laura Camila Ortiz Betancourt</t>
  </si>
  <si>
    <t>j.aguirre@uniandes.edu.co</t>
  </si>
  <si>
    <t>Aguirre Colorado</t>
  </si>
  <si>
    <t>Juan Pablo Aguirre Colorado</t>
  </si>
  <si>
    <t>j.navia@uniandes.edu.co</t>
  </si>
  <si>
    <t>Navia Giraldo</t>
  </si>
  <si>
    <t>Juan Felipe Navia Giraldo</t>
  </si>
  <si>
    <t>HEC School of Management</t>
  </si>
  <si>
    <t>m.erdogan@uniandes.edu.co</t>
  </si>
  <si>
    <t>Melis Sofia</t>
  </si>
  <si>
    <t>Erdogan Rodriguez</t>
  </si>
  <si>
    <t>Melis Sofia Erdogan Rodriguez</t>
  </si>
  <si>
    <t>l.silvas@uniandes.edu.co</t>
  </si>
  <si>
    <t>Laura Alejandra</t>
  </si>
  <si>
    <t>Silva Sanchez</t>
  </si>
  <si>
    <t>Laura Alejandra Silva Sanchez</t>
  </si>
  <si>
    <t>v.gaitan@uniandes.edu.co</t>
  </si>
  <si>
    <t>Gaitan Amortegui</t>
  </si>
  <si>
    <t>Valentina  Gaitan Amortegui</t>
  </si>
  <si>
    <t>ja.cortesm1@uniandes.edu.co</t>
  </si>
  <si>
    <t>Cortes Muelle</t>
  </si>
  <si>
    <t>Juan Andres Cortes Muelle</t>
  </si>
  <si>
    <t>c.moores@uniandes.edu.co</t>
  </si>
  <si>
    <t xml:space="preserve">Christine </t>
  </si>
  <si>
    <t>Moore Santamaria</t>
  </si>
  <si>
    <t>Christine  Moore Santamaria</t>
  </si>
  <si>
    <t>m.ochoac@uniandes.edu.co</t>
  </si>
  <si>
    <t>Ochoa Castelblanco</t>
  </si>
  <si>
    <t>Miguel Angel Ochoa Castelblanco</t>
  </si>
  <si>
    <t>j.correal@uniandes.edu.co</t>
  </si>
  <si>
    <t>Correal Bohórquez</t>
  </si>
  <si>
    <t>Juan Camilo Correal Bohórquez</t>
  </si>
  <si>
    <t>j.arenasr@uniandes.edu.co</t>
  </si>
  <si>
    <t>Juan Emilio</t>
  </si>
  <si>
    <t>Arenas Rey</t>
  </si>
  <si>
    <t>Juan Emilio Arenas Rey</t>
  </si>
  <si>
    <t>p.cruzi@uniandes.edu.co</t>
  </si>
  <si>
    <t xml:space="preserve">Pablo </t>
  </si>
  <si>
    <t>Cruz Izquierdo</t>
  </si>
  <si>
    <t>Pablo  Cruz Izquierdo</t>
  </si>
  <si>
    <t>r.bermudezh@uniandes.edu.co</t>
  </si>
  <si>
    <t>Ricardo Jose</t>
  </si>
  <si>
    <t>Bermudez Henriquez</t>
  </si>
  <si>
    <t>Ricardo Jose Bermudez Henriquez</t>
  </si>
  <si>
    <t>Exchange Master Student</t>
  </si>
  <si>
    <t>s.alvaradom@uniandes.edu.co</t>
  </si>
  <si>
    <t>Alvarado Morales</t>
  </si>
  <si>
    <t>Sergio David Alvarado Morales</t>
  </si>
  <si>
    <t>d.arias2@uniandes.edu.co</t>
  </si>
  <si>
    <t xml:space="preserve">Daniela </t>
  </si>
  <si>
    <t>Arias Rayo</t>
  </si>
  <si>
    <t>Daniela  Arias Rayo</t>
  </si>
  <si>
    <t>m.bonivento@uniandes.edu.co</t>
  </si>
  <si>
    <t>Bonivento Cruz</t>
  </si>
  <si>
    <t>Maria Jose Bonivento Cruz</t>
  </si>
  <si>
    <t>m.libosa@uniandes.edu.co</t>
  </si>
  <si>
    <t>Libos Ardila</t>
  </si>
  <si>
    <t>Maria  Libos Ardila</t>
  </si>
  <si>
    <t>s.munozb@uniandes.edu.co</t>
  </si>
  <si>
    <t xml:space="preserve">Santiago </t>
  </si>
  <si>
    <t>Muñoz Beltran</t>
  </si>
  <si>
    <t>Santiago  Muñoz Beltran</t>
  </si>
  <si>
    <t>ja.garciag@uniandes.edu.co</t>
  </si>
  <si>
    <t>Jose Alfredo</t>
  </si>
  <si>
    <t>Garcia Golondrino</t>
  </si>
  <si>
    <t>Jose Alfredo Garcia Golondrino</t>
  </si>
  <si>
    <t>Nagoya University of Commerce and Business Administration</t>
  </si>
  <si>
    <t>a.mejia20@uniandes.edu.co</t>
  </si>
  <si>
    <t>Mejia Vasquez</t>
  </si>
  <si>
    <t>Andrea Mejia Vasquez</t>
  </si>
  <si>
    <t>National Chengchi University</t>
  </si>
  <si>
    <t>m.silvae@uniandes.edu.co</t>
  </si>
  <si>
    <t>Silva Escallon</t>
  </si>
  <si>
    <t>Manuela Silva Escallon</t>
  </si>
  <si>
    <t>a.santamaria@uniandes.edu.co</t>
  </si>
  <si>
    <t xml:space="preserve">Antonia </t>
  </si>
  <si>
    <t>Santamaría Rojas</t>
  </si>
  <si>
    <t>Antonia  Santamaría Rojas</t>
  </si>
  <si>
    <t>c.perdomo@uniandes.edu.co</t>
  </si>
  <si>
    <t>Catalina Maria</t>
  </si>
  <si>
    <t>Perdomo Garcia</t>
  </si>
  <si>
    <t>Catalina Maria Perdomo Garcia</t>
  </si>
  <si>
    <t>r.hernandezb@uniandes.edu.co</t>
  </si>
  <si>
    <t xml:space="preserve">Rachel </t>
  </si>
  <si>
    <t>Hernandez Barreto</t>
  </si>
  <si>
    <t>Rachel  Hernandez Barreto</t>
  </si>
  <si>
    <t>n.ramirezs@uniandes.edu.co</t>
  </si>
  <si>
    <t xml:space="preserve">Natalia </t>
  </si>
  <si>
    <t>Ramirez Suarez</t>
  </si>
  <si>
    <t>Natalia  Ramirez Suarez</t>
  </si>
  <si>
    <t>n.celise@uniandes.edu.co</t>
  </si>
  <si>
    <t>Nicolas David</t>
  </si>
  <si>
    <t>Celis Eslava</t>
  </si>
  <si>
    <t>Nicolas David Celis Eslava</t>
  </si>
  <si>
    <t>e.ramirezl@uniandes.edu.co</t>
  </si>
  <si>
    <t xml:space="preserve">Enrique </t>
  </si>
  <si>
    <t>Ramirez Londoño</t>
  </si>
  <si>
    <t>Enrique  Ramirez Londoño</t>
  </si>
  <si>
    <t>a.afanadorp@uniandes.edu.co</t>
  </si>
  <si>
    <t xml:space="preserve">Antonio </t>
  </si>
  <si>
    <t>Afanador Posada</t>
  </si>
  <si>
    <t>Antonio  Afanador Posada</t>
  </si>
  <si>
    <t>a.rodriguez64@uniandes.edu.co</t>
  </si>
  <si>
    <t xml:space="preserve">Alejandra </t>
  </si>
  <si>
    <t>Rodriguez Casallas</t>
  </si>
  <si>
    <t>Alejandra  Rodriguez Casallas</t>
  </si>
  <si>
    <t>g.montoyas@uniandes.edu.co</t>
  </si>
  <si>
    <t>Montoya Sanchez</t>
  </si>
  <si>
    <t>Gabriela Montoya Sanchez</t>
  </si>
  <si>
    <t>s.pardoa@uniandes.edu.co</t>
  </si>
  <si>
    <t>Pardo Abril</t>
  </si>
  <si>
    <t>Sofia Pardo Abril</t>
  </si>
  <si>
    <t>vj.parra@uniandes.edu.co</t>
  </si>
  <si>
    <t>Valery Johanna</t>
  </si>
  <si>
    <t>Parra Girata</t>
  </si>
  <si>
    <t>Valery Johanna Parra Girata</t>
  </si>
  <si>
    <t>mj.pachon1652@uniandes.edu.co</t>
  </si>
  <si>
    <t>Pachon Melo</t>
  </si>
  <si>
    <t>Maria Jose Pachon Melo</t>
  </si>
  <si>
    <t>jc.montenegro@uniandes.edu.co</t>
  </si>
  <si>
    <t>Montenegro Blanco</t>
  </si>
  <si>
    <t>Juan Camilo Montenegro Blanco</t>
  </si>
  <si>
    <t>j.torresr@uniandes.edu.co</t>
  </si>
  <si>
    <t xml:space="preserve">Juliette </t>
  </si>
  <si>
    <t>Juliette  Torres Rodriguez</t>
  </si>
  <si>
    <t>ca.ruizc@uniandes.edu.co</t>
  </si>
  <si>
    <t>CAMILO ANDRES</t>
  </si>
  <si>
    <t>RUIZ CASALLAS</t>
  </si>
  <si>
    <t>CAMILO ANDRES RUIZ CASALLAS</t>
  </si>
  <si>
    <t>t.ortizo@uniandes.edu.co</t>
  </si>
  <si>
    <t xml:space="preserve">Tomás </t>
  </si>
  <si>
    <t>Ortiz Ortiz</t>
  </si>
  <si>
    <t>Tomás  Ortiz Ortiz</t>
  </si>
  <si>
    <t>m.herrerar@uniandes.edu.co</t>
  </si>
  <si>
    <t>Herrera Rodriguez</t>
  </si>
  <si>
    <t>Maria Paula Herrera Rodriguez</t>
  </si>
  <si>
    <t>j.estupinan@uniandes.edu.co</t>
  </si>
  <si>
    <t>Estupiñan Ospina</t>
  </si>
  <si>
    <t>Juan Diego Estupiñan Ospina</t>
  </si>
  <si>
    <t>a.giraldos@uniandes.edu.co</t>
  </si>
  <si>
    <t>Ana María</t>
  </si>
  <si>
    <t>Giraldo Sánchez</t>
  </si>
  <si>
    <t>Ana María Giraldo Sánchez</t>
  </si>
  <si>
    <t>p.florezd@uniandes.edu.co</t>
  </si>
  <si>
    <t>Florez Dowse</t>
  </si>
  <si>
    <t>Pablo  Florez Dowse</t>
  </si>
  <si>
    <t>m.ruizl@uniandes.edu.co</t>
  </si>
  <si>
    <t xml:space="preserve">Mariana </t>
  </si>
  <si>
    <t>Ruiz Lopez</t>
  </si>
  <si>
    <t>Mariana  Ruiz Lopez</t>
  </si>
  <si>
    <t>m.quiroz@uniandes.edu.co</t>
  </si>
  <si>
    <t>Quiroz Cordoba</t>
  </si>
  <si>
    <t>Miguel Angel Quiroz Cordoba</t>
  </si>
  <si>
    <t>c.arevalom@uniandes.edu.co</t>
  </si>
  <si>
    <t xml:space="preserve">Camilo </t>
  </si>
  <si>
    <t>Arevalo Mejia</t>
  </si>
  <si>
    <t>Camilo  Arevalo Mejia</t>
  </si>
  <si>
    <t>d.fajardog@uniandes.edu.co</t>
  </si>
  <si>
    <t xml:space="preserve">Daniel </t>
  </si>
  <si>
    <t>Fajardo Gonzalez</t>
  </si>
  <si>
    <t>Daniel  Fajardo Gonzalez</t>
  </si>
  <si>
    <t>lm.ramirezc@uniandes.edu.co</t>
  </si>
  <si>
    <t>Ramirez Ceballos</t>
  </si>
  <si>
    <t>Laura Maria Ramirez Ceballos</t>
  </si>
  <si>
    <t>ne.gonzalezc1@uniandes.edu.co</t>
  </si>
  <si>
    <t>Nicole Estefania</t>
  </si>
  <si>
    <t>Nicole Estefania Gonzalez Cortes</t>
  </si>
  <si>
    <t>ca.castano11@uniandes.edu.co</t>
  </si>
  <si>
    <t>Camila Andrea</t>
  </si>
  <si>
    <t>Castaño Lozano</t>
  </si>
  <si>
    <t>Camila Andrea Castaño Lozano</t>
  </si>
  <si>
    <t>l.velezr@uniandes.edu.co</t>
  </si>
  <si>
    <t>Velez Roman</t>
  </si>
  <si>
    <t>Laura Maria Velez Roman</t>
  </si>
  <si>
    <t>m.venegas@uniandes.edu.co</t>
  </si>
  <si>
    <t>Venegas Pulido</t>
  </si>
  <si>
    <t>Mariana  Venegas Pulido</t>
  </si>
  <si>
    <t>m.sachica@uniandes.edu.co</t>
  </si>
  <si>
    <t>Sachica Kure</t>
  </si>
  <si>
    <t>Mariana  Sachica Kure</t>
  </si>
  <si>
    <t>v.navarroa@uniandes.edu.co</t>
  </si>
  <si>
    <t>Navarro Alvarez</t>
  </si>
  <si>
    <t>Valentina  Navarro Alvarez</t>
  </si>
  <si>
    <t>i.martin@uniandes.edu.co</t>
  </si>
  <si>
    <t xml:space="preserve">Isabella </t>
  </si>
  <si>
    <t>Martin Paez</t>
  </si>
  <si>
    <t>Isabella  Martin Paez</t>
  </si>
  <si>
    <t>dv.perez10@uniandes.edu.co</t>
  </si>
  <si>
    <t>Danna Valentina</t>
  </si>
  <si>
    <t>Perez Garcia</t>
  </si>
  <si>
    <t>Danna Valentina Perez Garcia</t>
  </si>
  <si>
    <t>l.aguirrem@uniandes.edu.co</t>
  </si>
  <si>
    <t>Luis Angel</t>
  </si>
  <si>
    <t>Aguirre Monroy</t>
  </si>
  <si>
    <t>Luis Angel Aguirre Monroy</t>
  </si>
  <si>
    <t>s.santander@uniandes.edu.co</t>
  </si>
  <si>
    <t>Salome Maria</t>
  </si>
  <si>
    <t>Santander Castillo</t>
  </si>
  <si>
    <t>Salome Maria Santander Castillo</t>
  </si>
  <si>
    <t>Education Bsc / Early Childhood</t>
  </si>
  <si>
    <t>School of Education</t>
  </si>
  <si>
    <t>p.rojasz@uniandes.edu.co</t>
  </si>
  <si>
    <t>Pablo Andres</t>
  </si>
  <si>
    <t>Rojas Zambrano</t>
  </si>
  <si>
    <t>Pablo Andres Rojas Zambrano</t>
  </si>
  <si>
    <t>j.jaramillo1@uniandes.edu.co</t>
  </si>
  <si>
    <t>John Paul</t>
  </si>
  <si>
    <t>Jaramillo Cubillos</t>
  </si>
  <si>
    <t>John Paul Jaramillo Cubillos</t>
  </si>
  <si>
    <t>r.cubillan@uniandes.edu.co</t>
  </si>
  <si>
    <t>Rafael Andres</t>
  </si>
  <si>
    <t>Cubillan Palma</t>
  </si>
  <si>
    <t>Rafael Andres Cubillan Palma</t>
  </si>
  <si>
    <t>m.ferrey@uniandes.edu.co</t>
  </si>
  <si>
    <t>Monica Alejandra</t>
  </si>
  <si>
    <t>Ferrey Mayorga</t>
  </si>
  <si>
    <t>Monica Alejandra Ferrey Mayorga</t>
  </si>
  <si>
    <t>Africa</t>
  </si>
  <si>
    <t>j.olmoss@uniandes.edu.co</t>
  </si>
  <si>
    <t>Olmos Salas</t>
  </si>
  <si>
    <t>Juan David Olmos Salas</t>
  </si>
  <si>
    <t>vva.sandovalsa@uniandes.edu.co</t>
  </si>
  <si>
    <t>Sandoval Quintero</t>
  </si>
  <si>
    <t>Valentina Sandoval Quintero</t>
  </si>
  <si>
    <t>sd.gaete@uniandes.edu.co</t>
  </si>
  <si>
    <t>Susan Daniela</t>
  </si>
  <si>
    <t>Gaete Carrillo</t>
  </si>
  <si>
    <t>Susan Daniela Gaete Carrillo</t>
  </si>
  <si>
    <t>sd.duqueg@uniandes.edu.co</t>
  </si>
  <si>
    <t>Sebastian Dario</t>
  </si>
  <si>
    <t>Duque Guzman</t>
  </si>
  <si>
    <t>Sebastian Dario Duque Guzman</t>
  </si>
  <si>
    <t>s.borrero3@uniandes.edu.co</t>
  </si>
  <si>
    <t>Borrero Pombo</t>
  </si>
  <si>
    <t>Sebastian Borrero Pombo</t>
  </si>
  <si>
    <t>s.schmalbach@uniandes.edu.co</t>
  </si>
  <si>
    <t>Scarlett</t>
  </si>
  <si>
    <t>Schmalbach Gomez</t>
  </si>
  <si>
    <t>Scarlett Schmalbach Gomez</t>
  </si>
  <si>
    <t>sm.patino@uniandes.edu.co</t>
  </si>
  <si>
    <t>Patiño Ayala</t>
  </si>
  <si>
    <t>Sara Maria Patiño Ayala</t>
  </si>
  <si>
    <t>s.parras@uniandes.edu.co</t>
  </si>
  <si>
    <t>Parra Suarez</t>
  </si>
  <si>
    <t>Santiago Parra Suarez</t>
  </si>
  <si>
    <t>s.herreraa@uniandes.edu.co</t>
  </si>
  <si>
    <t>Herrera Akers</t>
  </si>
  <si>
    <t>Santiago Herrera Akers</t>
  </si>
  <si>
    <t>s.porrass@uniandes.edu.co</t>
  </si>
  <si>
    <t>Santiago Andres</t>
  </si>
  <si>
    <t>Porras Salinas</t>
  </si>
  <si>
    <t>Santiago Andres Porras Salinas</t>
  </si>
  <si>
    <t>n.ortegon@uniandes.edu.co</t>
  </si>
  <si>
    <t>Ortegon Duarte</t>
  </si>
  <si>
    <t>Nicolas Ortegon Duarte</t>
  </si>
  <si>
    <t>n.lugo@uniandes.edu.co</t>
  </si>
  <si>
    <t>Lugo Duque</t>
  </si>
  <si>
    <t>Nicolas Lugo Duque</t>
  </si>
  <si>
    <t>n.pavajeau@uniandes.edu.co</t>
  </si>
  <si>
    <t>Nicolas Guillermo</t>
  </si>
  <si>
    <t>Pavajeau Fuentes</t>
  </si>
  <si>
    <t>Nicolas Guillermo Pavajeau Fuentes</t>
  </si>
  <si>
    <t>n.melol@uniandes.edu.co</t>
  </si>
  <si>
    <t>Natalia Andrea</t>
  </si>
  <si>
    <t>Melo Lozano</t>
  </si>
  <si>
    <t>Natalia Andrea Melo Lozano</t>
  </si>
  <si>
    <t>m.castiblancog@uniandes.edu.co</t>
  </si>
  <si>
    <t>Castiblanco Guerrero</t>
  </si>
  <si>
    <t>Mariana Castiblanco Guerrero</t>
  </si>
  <si>
    <t>m.bacca@uniandes.edu.co</t>
  </si>
  <si>
    <t>Bacca Baños</t>
  </si>
  <si>
    <t>Mariana Bacca Baños</t>
  </si>
  <si>
    <t>mp.buitragor@uniandes.edu.co</t>
  </si>
  <si>
    <t>Buitrago Renteria</t>
  </si>
  <si>
    <t>Maria Paula Buitrago Renteria</t>
  </si>
  <si>
    <t>mc.pelaezp@uniandes.edu.co</t>
  </si>
  <si>
    <t>Pelaez Pardo</t>
  </si>
  <si>
    <t>Maria Camila Pelaez Pardo</t>
  </si>
  <si>
    <t>m.jaimesb@uniandes.edu.co</t>
  </si>
  <si>
    <t>Jaimes Baron</t>
  </si>
  <si>
    <t>Maria Camila Jaimes Baron</t>
  </si>
  <si>
    <t>l.ibarrah@uniandes.edu.co</t>
  </si>
  <si>
    <t>Ibarra Hurtado</t>
  </si>
  <si>
    <t>Laura Alejandra Ibarra Hurtado</t>
  </si>
  <si>
    <t>k.angel@uniandes.edu.co</t>
  </si>
  <si>
    <t>Kevin Alejandro</t>
  </si>
  <si>
    <t>Angel Merchan</t>
  </si>
  <si>
    <t>Kevin Alejandro Angel Merchan</t>
  </si>
  <si>
    <t>jc.torresc1@uniandes.edu.co</t>
  </si>
  <si>
    <t>Julián Camilo</t>
  </si>
  <si>
    <t>Torres Cardozo</t>
  </si>
  <si>
    <t>Julián Camilo Torres Cardozo</t>
  </si>
  <si>
    <t>j.stanich@uniandes.edu.co</t>
  </si>
  <si>
    <t>Stanich Rebolledo</t>
  </si>
  <si>
    <t>Juan Sebastian Stanich Rebolledo</t>
  </si>
  <si>
    <t>jf.sanchezc@uniandes.edu.co</t>
  </si>
  <si>
    <t>Sanchez Cardona</t>
  </si>
  <si>
    <t>Juan Felipe Sanchez Cardona</t>
  </si>
  <si>
    <t>jf.gomezr12@uniandes.edu.co</t>
  </si>
  <si>
    <t>Gomez Ruiz</t>
  </si>
  <si>
    <t>Juan Felipe Gomez Ruiz</t>
  </si>
  <si>
    <t>j.ramirezt@uniandes.edu.co</t>
  </si>
  <si>
    <t>Ramirez Triana</t>
  </si>
  <si>
    <t>Juan Esteban Ramirez Triana</t>
  </si>
  <si>
    <t>j.cuadrosm@uniandes.edu.co</t>
  </si>
  <si>
    <t>Cuadros Mariño</t>
  </si>
  <si>
    <t>Juan Diego Cuadros Mariño</t>
  </si>
  <si>
    <t>j.ballenc@uniandes.edu.co</t>
  </si>
  <si>
    <t>Ballen Castañeda</t>
  </si>
  <si>
    <t>Juan David Ballen Castañeda</t>
  </si>
  <si>
    <t>j.escamilla@uniandes.edu.co</t>
  </si>
  <si>
    <t>Escamilla Atehortua</t>
  </si>
  <si>
    <t>Jose Daniel Escamilla Atehortua</t>
  </si>
  <si>
    <t>jd.mejiag1@uniandes.edu.co</t>
  </si>
  <si>
    <t>Jorge David</t>
  </si>
  <si>
    <t>Mejia Garcia</t>
  </si>
  <si>
    <t>Jorge David Mejia Garcia</t>
  </si>
  <si>
    <t>i.hernandezp1@uniandes.edu.co</t>
  </si>
  <si>
    <t>Hernandez Pinilla</t>
  </si>
  <si>
    <t>Isabella Hernandez Pinilla</t>
  </si>
  <si>
    <t>g.samper@uniandes.edu.co</t>
  </si>
  <si>
    <t>Samper Villegas</t>
  </si>
  <si>
    <t>Gabriela Samper Villegas</t>
  </si>
  <si>
    <t>ea.garay@uniandes.edu.co</t>
  </si>
  <si>
    <t>Edgar Andres</t>
  </si>
  <si>
    <t>Garay Ospina</t>
  </si>
  <si>
    <t>Edgar Andres Garay Ospina</t>
  </si>
  <si>
    <t>dj.martinezg1@uniandes.edu.co</t>
  </si>
  <si>
    <t>Dimas Jose</t>
  </si>
  <si>
    <t>Martinez Gomez</t>
  </si>
  <si>
    <t>Dimas Jose Martinez Gomez</t>
  </si>
  <si>
    <t>dc.arias@uniandes.edu.co</t>
  </si>
  <si>
    <t>Diana Carolina</t>
  </si>
  <si>
    <t>Arias Legarda</t>
  </si>
  <si>
    <t>Diana Carolina Arias Legarda</t>
  </si>
  <si>
    <t>d.soto@uniandes.edu.co</t>
  </si>
  <si>
    <t>Soto Grisales</t>
  </si>
  <si>
    <t>Daniela Soto Grisales</t>
  </si>
  <si>
    <t>d.lozanos@uniandes.edu.co</t>
  </si>
  <si>
    <t>Lozano Sánchez</t>
  </si>
  <si>
    <t>Daniel Santiago Lozano Sánchez</t>
  </si>
  <si>
    <t>de.ortegon@uniandes.edu.co</t>
  </si>
  <si>
    <t>Daniel Esteban</t>
  </si>
  <si>
    <t>Ortegon Barrera</t>
  </si>
  <si>
    <t>Daniel Esteban Ortegon Barrera</t>
  </si>
  <si>
    <t>Biology Bsc</t>
  </si>
  <si>
    <t>School of Sciences</t>
  </si>
  <si>
    <t>c.marquezt@uniandes.edu.co</t>
  </si>
  <si>
    <t>Marquez Tavera</t>
  </si>
  <si>
    <t>Cesar Andres Marquez Tavera</t>
  </si>
  <si>
    <t>c.rincons@uniandes.edu.co</t>
  </si>
  <si>
    <t>Camilo Alexander</t>
  </si>
  <si>
    <t>Rincon Santos</t>
  </si>
  <si>
    <t>Camilo Alexander Rincon Santos</t>
  </si>
  <si>
    <t>jc.celis@uniandes.edu.co</t>
  </si>
  <si>
    <t>Celis Rengifo</t>
  </si>
  <si>
    <t>Juan Camilo Celis Rengifo</t>
  </si>
  <si>
    <t>aj.salazarc1@uniandes.edu.co</t>
  </si>
  <si>
    <t>Alvaro Jose</t>
  </si>
  <si>
    <t>Salazar Cogollo</t>
  </si>
  <si>
    <t>Alvaro Jose Salazar Cogollo</t>
  </si>
  <si>
    <t>d.benjumea@uniandes.edu.co</t>
  </si>
  <si>
    <t>Daniel Jose</t>
  </si>
  <si>
    <t>Benjumea Silva</t>
  </si>
  <si>
    <t>Daniel Jose Benjumea Silva</t>
  </si>
  <si>
    <t>a.cuellarp@uniandes.edu.co</t>
  </si>
  <si>
    <t>Cuellar Paez</t>
  </si>
  <si>
    <t>Alejandra Cuellar Paez</t>
  </si>
  <si>
    <t>kd.quintero44@uniandes.edu.co</t>
  </si>
  <si>
    <t>Karol De La Paz</t>
  </si>
  <si>
    <t>Quintero Rodriguez</t>
  </si>
  <si>
    <t>Karol De La Paz Quintero Rodriguez</t>
  </si>
  <si>
    <t>Doctorado</t>
  </si>
  <si>
    <t>Triada</t>
  </si>
  <si>
    <t>y.francog@uniandes.edu.co</t>
  </si>
  <si>
    <t>Yuly Andrea</t>
  </si>
  <si>
    <t>Franco Gomez</t>
  </si>
  <si>
    <t>Yuly Andrea Franco Gomez</t>
  </si>
  <si>
    <t>Research Internship</t>
  </si>
  <si>
    <t>v.corredort@uniandes.edu.co</t>
  </si>
  <si>
    <t>Valeria Andrea</t>
  </si>
  <si>
    <t>Corredor Tovar</t>
  </si>
  <si>
    <t>Valeria Andrea Corredor Tovar</t>
  </si>
  <si>
    <t>l.anayaj@uniandes.edu.co</t>
  </si>
  <si>
    <t>Anaya Jimenez</t>
  </si>
  <si>
    <t>Laura Alejandra Anaya Jimenez</t>
  </si>
  <si>
    <t>s.velezs2@uniandes.edu.co</t>
  </si>
  <si>
    <t>Velez Stiefken</t>
  </si>
  <si>
    <t>Sofia Velez Stiefken</t>
  </si>
  <si>
    <t>m.sampedros@uniandes.edu.co</t>
  </si>
  <si>
    <t>Martin</t>
  </si>
  <si>
    <t>Sampedro Sanchez</t>
  </si>
  <si>
    <t>Martin Sampedro Sanchez</t>
  </si>
  <si>
    <t>n.duqueg@uniandes.edu.co</t>
  </si>
  <si>
    <t>Duque Gutierrez</t>
  </si>
  <si>
    <t>Natalia Duque Gutierrez</t>
  </si>
  <si>
    <t>ja.sanabriag1@uniandes.edu.co</t>
  </si>
  <si>
    <t>Sanabria Garcia</t>
  </si>
  <si>
    <t>Juan Andres Sanabria Garcia</t>
  </si>
  <si>
    <t>i.guillermety@uniandes.edu.co</t>
  </si>
  <si>
    <t>Isabel Maria</t>
  </si>
  <si>
    <t>Guillermety Cubillos</t>
  </si>
  <si>
    <t>Isabel Maria Guillermety Cubillos</t>
  </si>
  <si>
    <t>m.daunas@uniandes.edu.co</t>
  </si>
  <si>
    <t>María José</t>
  </si>
  <si>
    <t>Daunas Castro</t>
  </si>
  <si>
    <t>María José Daunas Castro</t>
  </si>
  <si>
    <t>h.martinezs@uniandes.edu.co</t>
  </si>
  <si>
    <t>Henry Alejandro</t>
  </si>
  <si>
    <t>Martinez Sanchez</t>
  </si>
  <si>
    <t>Henry Alejandro Martinez Sanchez</t>
  </si>
  <si>
    <t>s.higueraa@uniandes.edu.co</t>
  </si>
  <si>
    <t>Higuera Aristizabal</t>
  </si>
  <si>
    <t>Simon Andres Higuera Aristizabal</t>
  </si>
  <si>
    <t>i.mateuso2@uniandes.edu.co</t>
  </si>
  <si>
    <t>Isabella María</t>
  </si>
  <si>
    <t>Mateus Ortega</t>
  </si>
  <si>
    <t>Isabella María Mateus Ortega</t>
  </si>
  <si>
    <t>g.parrado@uniandes.edu.co</t>
  </si>
  <si>
    <t xml:space="preserve">Gabriela </t>
  </si>
  <si>
    <t xml:space="preserve">Parrado Beltran </t>
  </si>
  <si>
    <t xml:space="preserve">Gabriela  Parrado Beltran </t>
  </si>
  <si>
    <t>m.floresc@uniandes.edu.co</t>
  </si>
  <si>
    <t>Maria Corina</t>
  </si>
  <si>
    <t>Flores Calcaño</t>
  </si>
  <si>
    <t>Maria Corina Flores Calcaño</t>
  </si>
  <si>
    <t>a.rengifoc@uniandes.edu.co</t>
  </si>
  <si>
    <t>Rengifo Chaves</t>
  </si>
  <si>
    <t>Ana Sofia Rengifo Chaves</t>
  </si>
  <si>
    <t>ja.latorre@uniandes.edu.co</t>
  </si>
  <si>
    <t>Jairo Andres</t>
  </si>
  <si>
    <t>Latorre Vela</t>
  </si>
  <si>
    <t>Jairo Andres Latorre Vela</t>
  </si>
  <si>
    <t>j.romerol2@uniandes.edu.co</t>
  </si>
  <si>
    <t>Johana</t>
  </si>
  <si>
    <t>Romero Lopez</t>
  </si>
  <si>
    <t>Johana Romero Lopez</t>
  </si>
  <si>
    <t>d.zapatah@uniandes.edu.co</t>
  </si>
  <si>
    <t>David Alejandro</t>
  </si>
  <si>
    <t>Zapata Hernandez</t>
  </si>
  <si>
    <t>David Alejandro Zapata Hernandez</t>
  </si>
  <si>
    <t>jd.rodrigueza123@uniandes.edu.co</t>
  </si>
  <si>
    <t>Rodriguez Arango</t>
  </si>
  <si>
    <t>Juan Diego Rodriguez Arango</t>
  </si>
  <si>
    <t>a.lunas@uniandes.edu.co</t>
  </si>
  <si>
    <t>Luna Silva</t>
  </si>
  <si>
    <t>Alejandro Luna Silva</t>
  </si>
  <si>
    <t>d.rodriguezr2@uniandes.edu.co</t>
  </si>
  <si>
    <t>Rodriguez Rincon</t>
  </si>
  <si>
    <t>Daniel Rodriguez Rincon</t>
  </si>
  <si>
    <t>m.amadorg@uniandes.edu.co</t>
  </si>
  <si>
    <t>Maria Fernanda</t>
  </si>
  <si>
    <t>Amador Gonzalez</t>
  </si>
  <si>
    <t>Maria Fernanda Amador Gonzalez</t>
  </si>
  <si>
    <t>ma.camargoc@uniandes.edu.co</t>
  </si>
  <si>
    <t>Maria Angelica</t>
  </si>
  <si>
    <t>Camargo Cruz</t>
  </si>
  <si>
    <t>Maria Angelica Camargo Cruz</t>
  </si>
  <si>
    <t>l.clavijo@uniandes.edu.co</t>
  </si>
  <si>
    <t>Laura Ximena</t>
  </si>
  <si>
    <t>Clavijo Vanegas</t>
  </si>
  <si>
    <t>Laura Ximena Clavijo Vanegas</t>
  </si>
  <si>
    <t>s.gutierrez7@uniandes.edu.co</t>
  </si>
  <si>
    <t>Gutierrez Cuenca</t>
  </si>
  <si>
    <t>Sebastian Gutierrez Cuenca</t>
  </si>
  <si>
    <t>c.mejiaq@uniandes.edu.co</t>
  </si>
  <si>
    <t>Mejia Quintero</t>
  </si>
  <si>
    <t>Camilo Mejia Quintero</t>
  </si>
  <si>
    <t>da.reyesh@uniandes.edu.co</t>
  </si>
  <si>
    <t>Reyes Herrera</t>
  </si>
  <si>
    <t>Daniel Alberto Reyes Herrera</t>
  </si>
  <si>
    <t>j.tobona@uniandes.edu.co</t>
  </si>
  <si>
    <t>Tobon Arango</t>
  </si>
  <si>
    <t>Juan Jose Tobon Arango</t>
  </si>
  <si>
    <t>c.perez8@uniandes.edu.co</t>
  </si>
  <si>
    <t>Perez Bedoya</t>
  </si>
  <si>
    <t>Camilo Perez Bedoya</t>
  </si>
  <si>
    <t>y.penaa@uniandes.edu.co</t>
  </si>
  <si>
    <t>Yuli Paola</t>
  </si>
  <si>
    <t>Peña Aranguena</t>
  </si>
  <si>
    <t>Yuli Paola Peña Aranguena</t>
  </si>
  <si>
    <t>a.cuberos@uniandes.edu.co</t>
  </si>
  <si>
    <t>Alicia</t>
  </si>
  <si>
    <t>Cuberos Arboleda</t>
  </si>
  <si>
    <t>Alicia Cuberos Arboleda</t>
  </si>
  <si>
    <t>je.sanchezc1@uniandes.edu.co</t>
  </si>
  <si>
    <t>Sanchez Cruz</t>
  </si>
  <si>
    <t>Juan Esteban Sanchez Cruz</t>
  </si>
  <si>
    <t>j.lealm@uniandes.edu.co</t>
  </si>
  <si>
    <t>Leal Martinez</t>
  </si>
  <si>
    <t>Juanita Leal Martinez</t>
  </si>
  <si>
    <t>m.padillaj@uniandes.edu.co</t>
  </si>
  <si>
    <t>Padilla Jaimes</t>
  </si>
  <si>
    <t>Maria Fernanda Padilla Jaimes</t>
  </si>
  <si>
    <t>a.maldonadoc@uniandes.edu.co</t>
  </si>
  <si>
    <t>Maldonado Corredor</t>
  </si>
  <si>
    <t>Andres Felipe Maldonado Corredor</t>
  </si>
  <si>
    <t>n.magdalena@uniandes.edu.co</t>
  </si>
  <si>
    <t>Nicolás</t>
  </si>
  <si>
    <t>Magdalena Osorio</t>
  </si>
  <si>
    <t>Nicolás Magdalena Osorio</t>
  </si>
  <si>
    <t>s.vallejob@uniandes.edu.co</t>
  </si>
  <si>
    <t>Sara</t>
  </si>
  <si>
    <t>Vallejo Baena</t>
  </si>
  <si>
    <t>Sara Vallejo Baena</t>
  </si>
  <si>
    <t>l.corredorm@uniandes.edu.co</t>
  </si>
  <si>
    <t>Corredor Muñoz</t>
  </si>
  <si>
    <t>Laura Corredor Muñoz</t>
  </si>
  <si>
    <t>d.ferreira@uniandes.edu.co</t>
  </si>
  <si>
    <t>Ferreira Figueroa</t>
  </si>
  <si>
    <t>Daniel Ferreira Figueroa</t>
  </si>
  <si>
    <t>m.alzatec@uniandes.edu.co</t>
  </si>
  <si>
    <t>Alzate Cardenas</t>
  </si>
  <si>
    <t>Manuela Alzate Cardenas</t>
  </si>
  <si>
    <t>s.aparicioe@uniandes.edu.co</t>
  </si>
  <si>
    <t>Aparicio Escobar</t>
  </si>
  <si>
    <t>Santiago Aparicio Escobar</t>
  </si>
  <si>
    <t>m.road@uniandes.edu.co</t>
  </si>
  <si>
    <t>Roa Dueñas</t>
  </si>
  <si>
    <t>Maria Camila Roa Dueñas</t>
  </si>
  <si>
    <t>a.rosasm@uniandes.edu.co</t>
  </si>
  <si>
    <t>Rosas Moreno</t>
  </si>
  <si>
    <t>Andrea Rosas Moreno</t>
  </si>
  <si>
    <t>a.sagra@uniandes.edu.co</t>
  </si>
  <si>
    <t>Sagra Fuentes</t>
  </si>
  <si>
    <t>Andres Felipe Sagra Fuentes</t>
  </si>
  <si>
    <t>i.puccini@uniandes.edu.co</t>
  </si>
  <si>
    <t>Puccini Quintero</t>
  </si>
  <si>
    <t>Isabella Puccini Quintero</t>
  </si>
  <si>
    <t>l.pabona@uniandes.edu.co</t>
  </si>
  <si>
    <t>Pabon Avila</t>
  </si>
  <si>
    <t>Laura Pabon Avila</t>
  </si>
  <si>
    <t>ne.rincons1@uniandes.edu.co</t>
  </si>
  <si>
    <t>Nelson Esteban</t>
  </si>
  <si>
    <t>Rincon Sosa</t>
  </si>
  <si>
    <t>Nelson Esteban Rincon Sosa</t>
  </si>
  <si>
    <t>ma.rojasc1@uniandes.edu.co</t>
  </si>
  <si>
    <t>Mario Alejandro</t>
  </si>
  <si>
    <t>Rojas Cañon</t>
  </si>
  <si>
    <t>Mario Alejandro Rojas Cañon</t>
  </si>
  <si>
    <t>s.estradac2@uniandes.edu.co</t>
  </si>
  <si>
    <t>Estrada Carranza</t>
  </si>
  <si>
    <t>Sebastian Estrada Carranza</t>
  </si>
  <si>
    <t>a.bricenoc@uniandes.edu.co</t>
  </si>
  <si>
    <t>Briceño Carrillo</t>
  </si>
  <si>
    <t>Alejandro Briceño Carrillo</t>
  </si>
  <si>
    <t>m.martinezo@uniandes.edu.co</t>
  </si>
  <si>
    <t>Martinez Ojeda</t>
  </si>
  <si>
    <t>Maria Jose Martinez Ojeda</t>
  </si>
  <si>
    <t>jf.lopezg@uniandes.edu.co</t>
  </si>
  <si>
    <t>Lopez Gualdron</t>
  </si>
  <si>
    <t>Juan Felipe Lopez Gualdron</t>
  </si>
  <si>
    <t>m.maciasa@uniandes.edu.co</t>
  </si>
  <si>
    <t>Macias Acosta</t>
  </si>
  <si>
    <t>Maria Angelica Macias Acosta</t>
  </si>
  <si>
    <t>j.reye@uniandes.edu.co</t>
  </si>
  <si>
    <t>Rey Estupiñan</t>
  </si>
  <si>
    <t>Juanita Rey Estupiñan</t>
  </si>
  <si>
    <t>c.polaniaa@uniandes.edu.co</t>
  </si>
  <si>
    <t>Carolina</t>
  </si>
  <si>
    <t>Polania Ayala</t>
  </si>
  <si>
    <t>Carolina Polania Ayala</t>
  </si>
  <si>
    <t>d.rinconv@uniandes.edu.co</t>
  </si>
  <si>
    <t>Rincon Vega</t>
  </si>
  <si>
    <t>Daniel Rincon Vega</t>
  </si>
  <si>
    <t>n.garay@uniandes.edu.co</t>
  </si>
  <si>
    <t>Garay Mendez</t>
  </si>
  <si>
    <t>Nicolas Garay Mendez</t>
  </si>
  <si>
    <t>dc.andres10@uniandes.edu.co</t>
  </si>
  <si>
    <t>Andrés Fernando</t>
  </si>
  <si>
    <t>Durán Cortés </t>
  </si>
  <si>
    <t>Andrés Fernando Durán Cortés </t>
  </si>
  <si>
    <t>a.canoc2@uniandes.edu.co</t>
  </si>
  <si>
    <t>Adriano</t>
  </si>
  <si>
    <t>Cano</t>
  </si>
  <si>
    <t>Adriano Cano</t>
  </si>
  <si>
    <t>universidad Estatal de California</t>
  </si>
  <si>
    <t>sl.tovar@uniandes.edu.co</t>
  </si>
  <si>
    <t>Sandra Lorena</t>
  </si>
  <si>
    <t>Tovar Gasca</t>
  </si>
  <si>
    <t>Sandra Lorena Tovar Gasca</t>
  </si>
  <si>
    <t>EGADE Business School, sede Campus Santa Fe, Ciudad de México,</t>
  </si>
  <si>
    <t>l.santanav@uniandes.edu.co</t>
  </si>
  <si>
    <t>Leonardo</t>
  </si>
  <si>
    <t>Santana</t>
  </si>
  <si>
    <t>Leonardo Santana</t>
  </si>
  <si>
    <t>EGADE - Tecnológico de Monterrey</t>
  </si>
  <si>
    <t>ga.arevalo@uniandes.edu.co</t>
  </si>
  <si>
    <t>Guillermo Alejandro</t>
  </si>
  <si>
    <t>Arevalo</t>
  </si>
  <si>
    <t>Guillermo Alejandro Arevalo</t>
  </si>
  <si>
    <t>Campus Santa Fe del Instituto Tecnológico y de Estudios Superiores de Monterrey</t>
  </si>
  <si>
    <t>r.munozv@uniandes.edu.co</t>
  </si>
  <si>
    <t>Rosa Milena</t>
  </si>
  <si>
    <t>Muñoz</t>
  </si>
  <si>
    <t>Rosa Milena Muñoz</t>
  </si>
  <si>
    <t>ar.cruz@uniandes.edu.co</t>
  </si>
  <si>
    <t>Andres Raul</t>
  </si>
  <si>
    <t>Cruz Hernandez</t>
  </si>
  <si>
    <t>Andres Raul Cruz Hernandez</t>
  </si>
  <si>
    <t>Universidad Autonoma de Mexico</t>
  </si>
  <si>
    <t>en.vanegas34@uniandes.edu.co</t>
  </si>
  <si>
    <t>Esteban Nicolás</t>
  </si>
  <si>
    <t>Vanegas Herrera</t>
  </si>
  <si>
    <t>Esteban Nicolás Vanegas Herrera</t>
  </si>
  <si>
    <t>ja.perezl@uniandes.edu.co</t>
  </si>
  <si>
    <t>Jonathan Andrés</t>
  </si>
  <si>
    <t>Pérez López</t>
  </si>
  <si>
    <t>Jonathan Andrés Pérez López</t>
  </si>
  <si>
    <t>he.godoy@uniandes.edu.co</t>
  </si>
  <si>
    <t>Héctor Erlendy</t>
  </si>
  <si>
    <t>Godoy Hernández</t>
  </si>
  <si>
    <t>Héctor Erlendy Godoy Hernández</t>
  </si>
  <si>
    <t>ma.martinezp12@uniandes.edu.co</t>
  </si>
  <si>
    <t>Manuel Andrés</t>
  </si>
  <si>
    <t>Marínez Patiño</t>
  </si>
  <si>
    <t>Manuel Andrés Marínez Patiño</t>
  </si>
  <si>
    <t>da.rosales@uniandes.edu.co</t>
  </si>
  <si>
    <t>Daniela Andrea</t>
  </si>
  <si>
    <t>Rosales Díaz</t>
  </si>
  <si>
    <t>Daniela Andrea Rosales Díaz</t>
  </si>
  <si>
    <t>École des Hautes Études Commerciales, HEC de Montreal</t>
  </si>
  <si>
    <t>j.acevedop@uniandes.edu.co</t>
  </si>
  <si>
    <t>Acevedo Perez</t>
  </si>
  <si>
    <t>Juan Emilio Acevedo Perez</t>
  </si>
  <si>
    <t>Intercambio internacional</t>
  </si>
  <si>
    <t>p.canonc@uniandes.edu.co</t>
  </si>
  <si>
    <t>Paula Andrea</t>
  </si>
  <si>
    <t>Cañon Camelo</t>
  </si>
  <si>
    <t>Paula Andrea Cañon Camelo</t>
  </si>
  <si>
    <t>e.osorio11@uniandes.edu.co</t>
  </si>
  <si>
    <t>Osorio Angel</t>
  </si>
  <si>
    <t>Emilio Osorio Angel</t>
  </si>
  <si>
    <t>v.lopezu@uniandes.edu.co</t>
  </si>
  <si>
    <t>Lopez Urrutia</t>
  </si>
  <si>
    <t>Valeria Lopez Urrutia</t>
  </si>
  <si>
    <t>d.valdivieso@uniandes.edu.co</t>
  </si>
  <si>
    <t>Dionisio</t>
  </si>
  <si>
    <t>Valdivieso Wilches</t>
  </si>
  <si>
    <t>Dionisio Valdivieso Wilches</t>
  </si>
  <si>
    <t>e.ramirezp@uniandes.edu.co</t>
  </si>
  <si>
    <t>Emilio Ramirez Perilla</t>
  </si>
  <si>
    <t>n.gonzalezp@uniandes.edu.co</t>
  </si>
  <si>
    <t>Gonzalez Picon</t>
  </si>
  <si>
    <t>Nicolas Gonzalez Picon</t>
  </si>
  <si>
    <t>pj.vargas2@uniandes.edu.co</t>
  </si>
  <si>
    <t>Pablo José</t>
  </si>
  <si>
    <t>Vargas Rodríguez</t>
  </si>
  <si>
    <t>Pablo José Vargas Rodríguez</t>
  </si>
  <si>
    <t>i.guillen@uniandes.edu.co</t>
  </si>
  <si>
    <t>Guillén Uribe</t>
  </si>
  <si>
    <t>Isabela Guillén Uribe</t>
  </si>
  <si>
    <t>m.maring2@uniandes.edu.co</t>
  </si>
  <si>
    <t>Marin Galvis</t>
  </si>
  <si>
    <t>Manuela Marin Galvis</t>
  </si>
  <si>
    <t>s.salazarl@uniandes.edu.co</t>
  </si>
  <si>
    <t>Salazar Londoño</t>
  </si>
  <si>
    <t>Samuel Salazar Londoño</t>
  </si>
  <si>
    <t>g.bermudezw@uniandes.edu.co</t>
  </si>
  <si>
    <t>Bermudez Wuilleumier</t>
  </si>
  <si>
    <t>Gabriela Bermudez Wuilleumier</t>
  </si>
  <si>
    <t>m.galvez@uniandes.edu.co</t>
  </si>
  <si>
    <t>Galvez Jimenez</t>
  </si>
  <si>
    <t>Mariana Galvez Jimenez</t>
  </si>
  <si>
    <t>v.pinzon3@uniandes.edu.co</t>
  </si>
  <si>
    <t>Pinzon Sierra</t>
  </si>
  <si>
    <t>Valeria Pinzon Sierra</t>
  </si>
  <si>
    <t>as.montero@uniandes.edu.co</t>
  </si>
  <si>
    <t>Montero Angulo</t>
  </si>
  <si>
    <t>Ana Sofia Montero Angulo</t>
  </si>
  <si>
    <t>c.gomezt2@uniandes.edu.co</t>
  </si>
  <si>
    <t>Gomez Torres</t>
  </si>
  <si>
    <t>Catalina Gomez Torres</t>
  </si>
  <si>
    <t>m.isazal@uniandes.edu.co</t>
  </si>
  <si>
    <t>Isaza Londoño</t>
  </si>
  <si>
    <t>Mariana Isaza Londoño</t>
  </si>
  <si>
    <t>a.acunaq@uniandes.edu.co</t>
  </si>
  <si>
    <t>Arturo</t>
  </si>
  <si>
    <t>Acuña Quiroga</t>
  </si>
  <si>
    <t>Arturo Acuña Quiroga</t>
  </si>
  <si>
    <t>d.tafura@uniandes.edu.co</t>
  </si>
  <si>
    <t>Tafur Acosta</t>
  </si>
  <si>
    <t>Daniel Tafur Acosta</t>
  </si>
  <si>
    <t>a.stocker@uniandes.edu.co</t>
  </si>
  <si>
    <t>Stocker Tobler</t>
  </si>
  <si>
    <t>Alicia Stocker Tobler</t>
  </si>
  <si>
    <t>d.garciaf@uniandes.edu.co</t>
  </si>
  <si>
    <t>David</t>
  </si>
  <si>
    <t>Garcia Franco</t>
  </si>
  <si>
    <t>David Garcia Franco</t>
  </si>
  <si>
    <t>e.navas@uniandes.edu.co</t>
  </si>
  <si>
    <t>Eduardo</t>
  </si>
  <si>
    <t>Navas Cubides</t>
  </si>
  <si>
    <t>Eduardo Navas Cubides</t>
  </si>
  <si>
    <t>t.sabogal@uniandes.edu.co</t>
  </si>
  <si>
    <t>Thomas Alexander</t>
  </si>
  <si>
    <t>Sabogal Buitrago</t>
  </si>
  <si>
    <t>Thomas Alexander Sabogal Buitrago</t>
  </si>
  <si>
    <t>jd.hernandezh1@uniandes.edu.co</t>
  </si>
  <si>
    <t>Hernandez Hernandez</t>
  </si>
  <si>
    <t>Juan Diego Hernandez Hernandez</t>
  </si>
  <si>
    <t>m.pedrazag@uniandes.edu.co</t>
  </si>
  <si>
    <t>Pedraza Garcia</t>
  </si>
  <si>
    <t>Martin Pedraza Garcia</t>
  </si>
  <si>
    <t>m.galindo1@uniandes.edu.co</t>
  </si>
  <si>
    <t>Galindo Castro</t>
  </si>
  <si>
    <t>Mariana Galindo Castro</t>
  </si>
  <si>
    <t>a.beltrano@uniandes.edu.co</t>
  </si>
  <si>
    <t>Alejandra Maria</t>
  </si>
  <si>
    <t>Beltran Ortiz</t>
  </si>
  <si>
    <t>Alejandra Maria Beltran Ortiz</t>
  </si>
  <si>
    <t>a.menesesr@uniandes.edu.co</t>
  </si>
  <si>
    <t>Meneses Rodriguez</t>
  </si>
  <si>
    <t>Andres Felipe Meneses Rodriguez</t>
  </si>
  <si>
    <t>a.urrea@uniandes.edu.co</t>
  </si>
  <si>
    <t>Urrea Rodriguez</t>
  </si>
  <si>
    <t>Ana Sofia Urrea Rodriguez</t>
  </si>
  <si>
    <t>r.bochmann@uniandes.edu.co</t>
  </si>
  <si>
    <t>Renate</t>
  </si>
  <si>
    <t>Bochmann Cardenas</t>
  </si>
  <si>
    <t>Renate Bochmann Cardenas</t>
  </si>
  <si>
    <t>p.gutierrezc@uniandes.edu.co</t>
  </si>
  <si>
    <t>Gutierrez Chaves</t>
  </si>
  <si>
    <t>Pablo Gutierrez Chaves</t>
  </si>
  <si>
    <t>t.mejiar@uniandes.edu.co</t>
  </si>
  <si>
    <t>Mejia Riveros</t>
  </si>
  <si>
    <t>Tomas Mejia Riveros</t>
  </si>
  <si>
    <t>v.martinezr2@uniandes.edu.co</t>
  </si>
  <si>
    <t>Martinez Rozo</t>
  </si>
  <si>
    <t>Valentina Martinez Rozo</t>
  </si>
  <si>
    <t>e.rodriguezp@uniandes.edu.co</t>
  </si>
  <si>
    <t>Rodriguez Pico</t>
  </si>
  <si>
    <t>Emilio Rodriguez Pico</t>
  </si>
  <si>
    <t>a.garciar23@uniandes.edu.co</t>
  </si>
  <si>
    <t>Garcia Rojas</t>
  </si>
  <si>
    <t>Alejandro Garcia Rojas</t>
  </si>
  <si>
    <t>d.garciag2@uniandes.edu.co</t>
  </si>
  <si>
    <t>Garcia Garcia</t>
  </si>
  <si>
    <t>David Garcia Garcia</t>
  </si>
  <si>
    <t>j.gutierrez112@uniandes.edu.co</t>
  </si>
  <si>
    <t>Gutiérrez García</t>
  </si>
  <si>
    <t>Juanita Gutiérrez García</t>
  </si>
  <si>
    <t>i.acostam@uniandes.edu.co</t>
  </si>
  <si>
    <t>Acosta Moreno</t>
  </si>
  <si>
    <t>Isabella Acosta Moreno</t>
  </si>
  <si>
    <t>a.pinzonu@uniandes.edu.co</t>
  </si>
  <si>
    <t>Pinzon Useche</t>
  </si>
  <si>
    <t>Andres Pinzon Useche</t>
  </si>
  <si>
    <t>n.guzmanu@uniandes.edu.co</t>
  </si>
  <si>
    <t>Guzman Urueña</t>
  </si>
  <si>
    <t>Natalia Andrea Guzman Urueña</t>
  </si>
  <si>
    <t>dr.trujillo@uniandes.edu.co</t>
  </si>
  <si>
    <t>Daniel Raul</t>
  </si>
  <si>
    <t>Trujillo Marquez</t>
  </si>
  <si>
    <t>Daniel Raul Trujillo Marquez</t>
  </si>
  <si>
    <t>Maestría en Gerencia Estratégica</t>
  </si>
  <si>
    <t>Universidad Nacional Autónoma de México</t>
  </si>
  <si>
    <t>j.ruizg@uniandes.edu.co</t>
  </si>
  <si>
    <t>Ruiz Guayara</t>
  </si>
  <si>
    <t>Juanita Ruiz Guayara</t>
  </si>
  <si>
    <t>s.herrerap2@uniandes.edu.co</t>
  </si>
  <si>
    <t>Herrera Pereira</t>
  </si>
  <si>
    <t>Sofia Herrera Pereira</t>
  </si>
  <si>
    <t>e.tobo@uniandes.edu.co</t>
  </si>
  <si>
    <t>Estefania</t>
  </si>
  <si>
    <t>Tobo Hurtado</t>
  </si>
  <si>
    <t>Estefania Tobo Hurtado</t>
  </si>
  <si>
    <t>c.sanchezc2@uniandes.edu.co</t>
  </si>
  <si>
    <t>Sanchez Caro</t>
  </si>
  <si>
    <t>Camila Sanchez Caro</t>
  </si>
  <si>
    <t>v.salazars2@uniandes.edu.co</t>
  </si>
  <si>
    <t>Valentina Salazar Sfeir</t>
  </si>
  <si>
    <t>n.herrerag@uniandes.edu.co</t>
  </si>
  <si>
    <t>Herrera Gomez</t>
  </si>
  <si>
    <t>Nicolas Herrera Gomez</t>
  </si>
  <si>
    <t>jc.delgadov1@uniandes.edu.co</t>
  </si>
  <si>
    <t>Juan Carlos</t>
  </si>
  <si>
    <t>Delgado</t>
  </si>
  <si>
    <t>Juan Carlos Delgado</t>
  </si>
  <si>
    <t>m.delao@uniandes.edu.co</t>
  </si>
  <si>
    <t>Montserrat</t>
  </si>
  <si>
    <t>De La Ossa Jordan</t>
  </si>
  <si>
    <t>Montserrat De La Ossa Jordan</t>
  </si>
  <si>
    <t>p.glauser@uniandes.edu.co</t>
  </si>
  <si>
    <t>Philippe</t>
  </si>
  <si>
    <t>Glauser Wolff</t>
  </si>
  <si>
    <t>Philippe Glauser Wolff</t>
  </si>
  <si>
    <t>s.rinconr2@uniandes.edu.co</t>
  </si>
  <si>
    <t>Rincon Rojas</t>
  </si>
  <si>
    <t>Samuel Rincon Rojas</t>
  </si>
  <si>
    <t>a.bojaca@uniandes.edu.co</t>
  </si>
  <si>
    <t>Amelhi Sofia</t>
  </si>
  <si>
    <t>Bojaca Pinzon</t>
  </si>
  <si>
    <t>Amelhi Sofia Bojaca Pinzon</t>
  </si>
  <si>
    <t>s.mottae@uniandes.edu.co</t>
  </si>
  <si>
    <t>Motta Espinosa</t>
  </si>
  <si>
    <t>Santiago Motta Espinosa</t>
  </si>
  <si>
    <t>d.gomezn2@uniandes.edu.co</t>
  </si>
  <si>
    <t>Gómez Navarrete</t>
  </si>
  <si>
    <t>Daniela Gómez Navarrete</t>
  </si>
  <si>
    <t>s.camacho3@uniandes.edu.co</t>
  </si>
  <si>
    <t>Camacho Domínguez</t>
  </si>
  <si>
    <t>Samuel Camacho Domínguez</t>
  </si>
  <si>
    <t>ss.rodriguezf1@uniandes.edu.co</t>
  </si>
  <si>
    <t>Sara Sofia</t>
  </si>
  <si>
    <t>Rodriguez Fandiño</t>
  </si>
  <si>
    <t>Sara Sofia Rodriguez Fandiño</t>
  </si>
  <si>
    <t>ls.gonzalezg1@uniandes.edu.co</t>
  </si>
  <si>
    <t>Laura Sofia</t>
  </si>
  <si>
    <t>Gonzalez Garcia</t>
  </si>
  <si>
    <t>Laura Sofia Gonzalez Garcia</t>
  </si>
  <si>
    <t>d.santos1@uniandes.edu.co</t>
  </si>
  <si>
    <t>Santos Ardila</t>
  </si>
  <si>
    <t>Daniela Santos Ardila</t>
  </si>
  <si>
    <t>m.gomez112@uniandes.edu.co</t>
  </si>
  <si>
    <t>Gomez Hoyos</t>
  </si>
  <si>
    <t>Manuela Gomez Hoyos</t>
  </si>
  <si>
    <t>Université Paris Dauphine-PSL</t>
  </si>
  <si>
    <t>f.pinillos@uniandes.edu.co</t>
  </si>
  <si>
    <t>Pinillos Garces</t>
  </si>
  <si>
    <t>Felipe Pinillos Garces</t>
  </si>
  <si>
    <t>l.santosa2@uniandes.edu.co</t>
  </si>
  <si>
    <t>Lorenzo</t>
  </si>
  <si>
    <t>Santos Aparicio</t>
  </si>
  <si>
    <t>Lorenzo Santos Aparicio</t>
  </si>
  <si>
    <t>s.aristizabalm2@uniandes.edu.co</t>
  </si>
  <si>
    <t>Stephanie</t>
  </si>
  <si>
    <t>Aristizábal Mejía</t>
  </si>
  <si>
    <t>Stephanie Aristizábal Mejía</t>
  </si>
  <si>
    <t>jj.hernandezr1@uniandes.edu.co</t>
  </si>
  <si>
    <t>Hernandez Rojas</t>
  </si>
  <si>
    <t>Juan Jose Hernandez Rojas</t>
  </si>
  <si>
    <t>Grupo Banner</t>
  </si>
  <si>
    <t>Cruce de Programa</t>
  </si>
  <si>
    <t>Total Cursos</t>
  </si>
  <si>
    <t>Curso 1</t>
  </si>
  <si>
    <t>Curso 2</t>
  </si>
  <si>
    <t>Curso 3</t>
  </si>
  <si>
    <t>Curso 4</t>
  </si>
  <si>
    <t>Curso 5</t>
  </si>
  <si>
    <t>Curso 6</t>
  </si>
  <si>
    <t>Curso 7</t>
  </si>
  <si>
    <t>Curso 8</t>
  </si>
  <si>
    <t>Curso 9</t>
  </si>
  <si>
    <t>Curso 10</t>
  </si>
  <si>
    <t>Curso 11</t>
  </si>
  <si>
    <t>Curso 12</t>
  </si>
  <si>
    <t>Steve</t>
  </si>
  <si>
    <t>Guevara Marin</t>
  </si>
  <si>
    <t>s.guevaramarin1@gmail.com</t>
  </si>
  <si>
    <t>s.guevara2@uniandes.edu.co</t>
  </si>
  <si>
    <t>EGIN</t>
  </si>
  <si>
    <t>ESTUDIOS GENER.DE INTERCAMBIO</t>
  </si>
  <si>
    <t>ADMI-2301</t>
  </si>
  <si>
    <t>ADMI-2104</t>
  </si>
  <si>
    <t>ADMI-2605</t>
  </si>
  <si>
    <t>Armand Vincent</t>
  </si>
  <si>
    <t>Drouin</t>
  </si>
  <si>
    <t>armand.drouin@audencia.com</t>
  </si>
  <si>
    <t>av.drouin@uniandes.edu.co</t>
  </si>
  <si>
    <t>ADMI-3110</t>
  </si>
  <si>
    <t>ADMI-3502</t>
  </si>
  <si>
    <t>ADMI-3606</t>
  </si>
  <si>
    <t>ADMI-2557</t>
  </si>
  <si>
    <t>Yanis Aissa</t>
  </si>
  <si>
    <t>Khadir</t>
  </si>
  <si>
    <t>yanis.khadir@audencia.com</t>
  </si>
  <si>
    <t>y.khadir@uniandes.edu.co</t>
  </si>
  <si>
    <t>DEPO-1242</t>
  </si>
  <si>
    <t>Martial Jean-Claude</t>
  </si>
  <si>
    <t>Laguerre</t>
  </si>
  <si>
    <t>martial.laguerre@edhec.com</t>
  </si>
  <si>
    <t>m.laguerre@uniandes.edu.co</t>
  </si>
  <si>
    <t>ADMI-3139</t>
  </si>
  <si>
    <t>ADMI-3133</t>
  </si>
  <si>
    <t>ADMI-3503</t>
  </si>
  <si>
    <t>Karim</t>
  </si>
  <si>
    <t>Bouayad Amine</t>
  </si>
  <si>
    <t>karim.bouayadamine@essec.edu</t>
  </si>
  <si>
    <t>k.bouayad@uniandes.edu.co</t>
  </si>
  <si>
    <t>ADMI-2207</t>
  </si>
  <si>
    <t>ADMI-1603</t>
  </si>
  <si>
    <t>ADMI-3701</t>
  </si>
  <si>
    <t>Matthieu Kevin</t>
  </si>
  <si>
    <t>Dutreuil</t>
  </si>
  <si>
    <t>matthieu.dutreuil@essec.edu</t>
  </si>
  <si>
    <t>m.dutreuil@uniandes.edu.co</t>
  </si>
  <si>
    <t>EGMA</t>
  </si>
  <si>
    <t>ESTUD.GENER.INTERCAMB.MAESTRIA</t>
  </si>
  <si>
    <t>ARTE-1230</t>
  </si>
  <si>
    <t>MADM-4152</t>
  </si>
  <si>
    <t>MGPD-4444</t>
  </si>
  <si>
    <t>MADM-4701</t>
  </si>
  <si>
    <t>MMER-4337</t>
  </si>
  <si>
    <t>Auriane Elodie</t>
  </si>
  <si>
    <t>Jolivet</t>
  </si>
  <si>
    <t>auriane.j@gmail.com</t>
  </si>
  <si>
    <t>a.jolivet@uniandes.edu.co</t>
  </si>
  <si>
    <t>MGAP-4406</t>
  </si>
  <si>
    <t>MGAD-4602</t>
  </si>
  <si>
    <t>DEPO-1222</t>
  </si>
  <si>
    <t>DEPO-1260</t>
  </si>
  <si>
    <t>Benoît Louis Guillaume</t>
  </si>
  <si>
    <t>Martinez-Maure</t>
  </si>
  <si>
    <t>b00705397@essec.edu</t>
  </si>
  <si>
    <t>bl.martinez@uniandes.edu.co</t>
  </si>
  <si>
    <t>MADM-4653</t>
  </si>
  <si>
    <t>MFIN-4252</t>
  </si>
  <si>
    <t>MFIN-4208</t>
  </si>
  <si>
    <t>MADM-4051</t>
  </si>
  <si>
    <t>DEPO-1220</t>
  </si>
  <si>
    <t>Luc</t>
  </si>
  <si>
    <t>Dietrich</t>
  </si>
  <si>
    <t>luc.dietrich@gmx.ch</t>
  </si>
  <si>
    <t>l.dietrich@uniandes.edu.co</t>
  </si>
  <si>
    <t>CISO-1505</t>
  </si>
  <si>
    <t>LENG-1573</t>
  </si>
  <si>
    <t>Kevin Siva</t>
  </si>
  <si>
    <t>Kanagalingam</t>
  </si>
  <si>
    <t>kevin.kanagalingam@students.fhnw.ch</t>
  </si>
  <si>
    <t>k.kanagalingam@uniandes.edu.co</t>
  </si>
  <si>
    <t>EXTENSION</t>
  </si>
  <si>
    <t>ADMI-3431</t>
  </si>
  <si>
    <t>ADMI-2403</t>
  </si>
  <si>
    <t>Friedrich</t>
  </si>
  <si>
    <t>von Papen</t>
  </si>
  <si>
    <t>friedrichpapen@gmail.com</t>
  </si>
  <si>
    <t>f.von@uniandes.edu.co</t>
  </si>
  <si>
    <t>MADM-4303</t>
  </si>
  <si>
    <t>MADM-4652</t>
  </si>
  <si>
    <t>Edouard Jean-Francois Rene-Marie</t>
  </si>
  <si>
    <t>Gosselin</t>
  </si>
  <si>
    <t>gosselin.edouard@gmail.com</t>
  </si>
  <si>
    <t>e.gosselin@uniandes.edu.co</t>
  </si>
  <si>
    <t>ARTE-2454</t>
  </si>
  <si>
    <t>LENG-1572</t>
  </si>
  <si>
    <t>Maïva Viviane O</t>
  </si>
  <si>
    <t>Bastin</t>
  </si>
  <si>
    <t>mv.bastin@student.maastrichtuniversity.nl</t>
  </si>
  <si>
    <t>m.bastin@uniandes.edu.co</t>
  </si>
  <si>
    <t>ADMI-3407</t>
  </si>
  <si>
    <t>ADMI-1190</t>
  </si>
  <si>
    <t>Thomas Pascal Delphin</t>
  </si>
  <si>
    <t>Girard</t>
  </si>
  <si>
    <t>t.girard@student.maastrichtuniversity.nl</t>
  </si>
  <si>
    <t>t.girard@uniandes.edu.co</t>
  </si>
  <si>
    <t>EGOB-3113</t>
  </si>
  <si>
    <t>ADMI-3745</t>
  </si>
  <si>
    <t>Maximilien Laurent P</t>
  </si>
  <si>
    <t>Lob</t>
  </si>
  <si>
    <t>maximilien.lob@gmail.com</t>
  </si>
  <si>
    <t>m.lob@uniandes.edu.co</t>
  </si>
  <si>
    <t>INLE-</t>
  </si>
  <si>
    <t>LENG-2999</t>
  </si>
  <si>
    <t>Victoria Sophie</t>
  </si>
  <si>
    <t>Pfaff</t>
  </si>
  <si>
    <t>v.pfaff@student.maastrichtuniversity.nl</t>
  </si>
  <si>
    <t>v.pfaff@uniandes.edu.co</t>
  </si>
  <si>
    <t>ADMI-2206</t>
  </si>
  <si>
    <t>ADMI-3237</t>
  </si>
  <si>
    <t>ADMI-2106</t>
  </si>
  <si>
    <t xml:space="preserve">Guenola Christiane Marie </t>
  </si>
  <si>
    <t>Bouhier</t>
  </si>
  <si>
    <t>guenola.bouhier1999@gmail.com</t>
  </si>
  <si>
    <t>g.bouhier@uniandes.edu.co</t>
  </si>
  <si>
    <t>ADMI-2204</t>
  </si>
  <si>
    <t>Mateo Pierre</t>
  </si>
  <si>
    <t>Jeanneau</t>
  </si>
  <si>
    <t>mateo.jeanneau@gmail.com</t>
  </si>
  <si>
    <t>m.jeanneau@uniandes.edu.co</t>
  </si>
  <si>
    <t>ECON-2501</t>
  </si>
  <si>
    <t>ARTE-1105</t>
  </si>
  <si>
    <t>Coline</t>
  </si>
  <si>
    <t>AIRAUDO</t>
  </si>
  <si>
    <t>coline.airaudo.17@neoma-bs.com</t>
  </si>
  <si>
    <t>c.airaudo@uniandes.edu.co</t>
  </si>
  <si>
    <t>ADMI-3137</t>
  </si>
  <si>
    <t>Florine Lucile Marie</t>
  </si>
  <si>
    <t>Jacques-Jean</t>
  </si>
  <si>
    <t>jacquesjean.florine@gmail.com</t>
  </si>
  <si>
    <t>f.jacques@uniandes.edu.co</t>
  </si>
  <si>
    <t>MADM-4154</t>
  </si>
  <si>
    <t>Rufus Michael</t>
  </si>
  <si>
    <t>Langton-Gilks</t>
  </si>
  <si>
    <t>rufus.langton-gilks@northumbria.ac.uk</t>
  </si>
  <si>
    <t>r.langton@uniandes.edu.co</t>
  </si>
  <si>
    <t>CBCA-1037</t>
  </si>
  <si>
    <t>LITE-1621</t>
  </si>
  <si>
    <t>LENG-1701</t>
  </si>
  <si>
    <t>Euan Douglas</t>
  </si>
  <si>
    <t>Hannigan</t>
  </si>
  <si>
    <t>euan.hannigan@queensu.ca</t>
  </si>
  <si>
    <t>e.hannigan@uniandes.edu.co</t>
  </si>
  <si>
    <t>HIST-2211</t>
  </si>
  <si>
    <t>ADMI-3210</t>
  </si>
  <si>
    <t>DEPO-1240</t>
  </si>
  <si>
    <t>Camillo Kurt Harry</t>
  </si>
  <si>
    <t>Banfi</t>
  </si>
  <si>
    <t>camillo.banfi@gmail.com</t>
  </si>
  <si>
    <t>c.banfi@uniandes.edu.co</t>
  </si>
  <si>
    <t>Polina</t>
  </si>
  <si>
    <t>Fefelova</t>
  </si>
  <si>
    <t>ga92xag@mytum.de</t>
  </si>
  <si>
    <t>p.fefelova@uniandes.edu.co</t>
  </si>
  <si>
    <t>ADMI-2302</t>
  </si>
  <si>
    <t>Justine, Clémence</t>
  </si>
  <si>
    <t>Bourdeau</t>
  </si>
  <si>
    <t>j.bourdeau@tbs-education.org</t>
  </si>
  <si>
    <t>j.bourdeau@uniandes.edu.co</t>
  </si>
  <si>
    <t>ADMI-3601</t>
  </si>
  <si>
    <t>Camille Mohamed Nagui</t>
  </si>
  <si>
    <t>El Wakil</t>
  </si>
  <si>
    <t>c.el-wakil@tbs-education.org</t>
  </si>
  <si>
    <t>c.el@uniandes.edu.co</t>
  </si>
  <si>
    <t>HIST-3240</t>
  </si>
  <si>
    <t>ANTR-1106</t>
  </si>
  <si>
    <t>DEPO-1256</t>
  </si>
  <si>
    <t>DEPO-1218</t>
  </si>
  <si>
    <t>Guillaume Eric Alexandre</t>
  </si>
  <si>
    <t>Frat</t>
  </si>
  <si>
    <t>g.frat@tbs-education.org</t>
  </si>
  <si>
    <t>g.frat@uniandes.edu.co</t>
  </si>
  <si>
    <t>ADMI-3128</t>
  </si>
  <si>
    <t>LENG-1601</t>
  </si>
  <si>
    <t>Alec Joseph</t>
  </si>
  <si>
    <t>Devaprasad</t>
  </si>
  <si>
    <t>adevaprasad@tulane.edu</t>
  </si>
  <si>
    <t>a.devaprasad@uniandes.edu.co</t>
  </si>
  <si>
    <t>ADMI-3611</t>
  </si>
  <si>
    <t>Alyssa Danielle</t>
  </si>
  <si>
    <t>Greenfield</t>
  </si>
  <si>
    <t>agreenfield@tulane.edu</t>
  </si>
  <si>
    <t>a.greenfield@uniandes.edu.co</t>
  </si>
  <si>
    <t>ADMI-2556</t>
  </si>
  <si>
    <t>Vanessa</t>
  </si>
  <si>
    <t>Tejada</t>
  </si>
  <si>
    <t>vanessatejada25@gmail.com</t>
  </si>
  <si>
    <t>v.tejada@uniandes.edu.co</t>
  </si>
  <si>
    <t>MFIN-4253</t>
  </si>
  <si>
    <t>MMER-4341</t>
  </si>
  <si>
    <t>Kattia Fiorella</t>
  </si>
  <si>
    <t>Tenorio Perez</t>
  </si>
  <si>
    <t>kattiatenoriop@gmail.com</t>
  </si>
  <si>
    <t>k.tenorio@uniandes.edu.co</t>
  </si>
  <si>
    <t>MMER-4339</t>
  </si>
  <si>
    <t>Bianzi Clemencia</t>
  </si>
  <si>
    <t>Santos Mamani</t>
  </si>
  <si>
    <t>bianzysantos@gmail.com</t>
  </si>
  <si>
    <t>b.santosm@uniandes.edu.co</t>
  </si>
  <si>
    <t>ADMI-2107</t>
  </si>
  <si>
    <t>CBCA-1201</t>
  </si>
  <si>
    <t>Jonathan Friedrich</t>
  </si>
  <si>
    <t>Salzmann</t>
  </si>
  <si>
    <t>jonathansalzmann@gmail.com</t>
  </si>
  <si>
    <t>j.salzmann@uniandes.edu.co</t>
  </si>
  <si>
    <t>DEPO-1221</t>
  </si>
  <si>
    <t>MSCM-4030</t>
  </si>
  <si>
    <t>MSCM-4005</t>
  </si>
  <si>
    <t>Marvin Andrés</t>
  </si>
  <si>
    <t>Murillo Cabezas</t>
  </si>
  <si>
    <t>Universitat Politècnica de València</t>
  </si>
  <si>
    <t>Marbucho@gmail.com</t>
  </si>
  <si>
    <t>m.murillo@uniandes.edu.co</t>
  </si>
  <si>
    <t>DEPO-1231</t>
  </si>
  <si>
    <t>ADMI-3122</t>
  </si>
  <si>
    <t>Veit Julius</t>
  </si>
  <si>
    <t>Henneberger</t>
  </si>
  <si>
    <t>veit.henneberger@student.unisg.ch</t>
  </si>
  <si>
    <t>v.henneberger@uniandes.edu.co</t>
  </si>
  <si>
    <t>MFIN-4200</t>
  </si>
  <si>
    <t>MADM-4206</t>
  </si>
  <si>
    <t>DEPO-1214</t>
  </si>
  <si>
    <t>Théo Marin Jean</t>
  </si>
  <si>
    <t>Sibiodon</t>
  </si>
  <si>
    <t>theo.sibiodon@em-strasbourg.eu</t>
  </si>
  <si>
    <t>t.sibiodon@uniandes.edu.co</t>
  </si>
  <si>
    <t>LENG-1301</t>
  </si>
  <si>
    <t>ECON-2104</t>
  </si>
  <si>
    <t>ADMI-1203</t>
  </si>
  <si>
    <t>Camille Fanny</t>
  </si>
  <si>
    <t>HENQUINET</t>
  </si>
  <si>
    <t>henquinet.camille@gmail.com</t>
  </si>
  <si>
    <t>c.henquinet@uniandes.edu.co</t>
  </si>
  <si>
    <t>MUSI-1819</t>
  </si>
  <si>
    <t>Carlotta Marie Angele</t>
  </si>
  <si>
    <t>Henry</t>
  </si>
  <si>
    <t>carlotta.henry@hotmail.fr</t>
  </si>
  <si>
    <t>c.henry@uniandes.edu.co</t>
  </si>
  <si>
    <t>ADMI-1590</t>
  </si>
  <si>
    <t>Alexis Cheikhou</t>
  </si>
  <si>
    <t>Mbaye</t>
  </si>
  <si>
    <t>mbaye.alexis@gmail.com</t>
  </si>
  <si>
    <t>a.mbaye@uniandes.edu.co</t>
  </si>
  <si>
    <t>CBPC-1235</t>
  </si>
  <si>
    <t>CBCA-1112</t>
  </si>
  <si>
    <t>CPER-1701</t>
  </si>
  <si>
    <t>Capucine, Marie, Astrid</t>
  </si>
  <si>
    <t>Varnier</t>
  </si>
  <si>
    <t>capucinevarnier@hotmail.com</t>
  </si>
  <si>
    <t>c.varnier@uniandes.edu.co</t>
  </si>
  <si>
    <t>Rohan Russell</t>
  </si>
  <si>
    <t>Redican</t>
  </si>
  <si>
    <t>rr303@sussex.ac.uk</t>
  </si>
  <si>
    <t>r.redican@uniandes.edu.co</t>
  </si>
  <si>
    <t>CBCA-1144</t>
  </si>
  <si>
    <t>CBCA-1275</t>
  </si>
  <si>
    <t>Julie Liliane Annie</t>
  </si>
  <si>
    <t>Guez</t>
  </si>
  <si>
    <t>j.guez@tbs-education.org</t>
  </si>
  <si>
    <t>j.guez@uniandes.edu.co</t>
  </si>
  <si>
    <t>DERE-1300</t>
  </si>
  <si>
    <t>CBCO-1179</t>
  </si>
  <si>
    <t>CBCC-1177</t>
  </si>
  <si>
    <t>LENG-1511</t>
  </si>
  <si>
    <t>LITE-1622</t>
  </si>
  <si>
    <t>LENG-3999</t>
  </si>
  <si>
    <t>Timothée Paul</t>
  </si>
  <si>
    <t>Legré</t>
  </si>
  <si>
    <t>tim.legre@gmail.com</t>
  </si>
  <si>
    <t>t.legre@uniandes.edu.co</t>
  </si>
  <si>
    <t>CBCA-1250</t>
  </si>
  <si>
    <t>CBCO-1234</t>
  </si>
  <si>
    <t>Niklas</t>
  </si>
  <si>
    <t>Helineva</t>
  </si>
  <si>
    <t>niklas.helineva@aalto.fi</t>
  </si>
  <si>
    <t>n.helineva@uniandes.edu.co</t>
  </si>
  <si>
    <t>Victor</t>
  </si>
  <si>
    <t>Lambert</t>
  </si>
  <si>
    <t>victor.lambert97@audencia.com</t>
  </si>
  <si>
    <t>v.lambert@uniandes.edu.co</t>
  </si>
  <si>
    <t>ADMI-1102</t>
  </si>
  <si>
    <t>ADMI-3705</t>
  </si>
  <si>
    <t>luna</t>
  </si>
  <si>
    <t>paez</t>
  </si>
  <si>
    <t>lunapaez16@yahoo.com</t>
  </si>
  <si>
    <t>l.paezl@uniandes.edu.co</t>
  </si>
  <si>
    <t>LENG-1405</t>
  </si>
  <si>
    <t>LITE-1328</t>
  </si>
  <si>
    <t>Ezéchiel</t>
  </si>
  <si>
    <t>Le Guay</t>
  </si>
  <si>
    <t>ezechiel.le_guay@edu.escp.eu</t>
  </si>
  <si>
    <t>e.le@uniandes.edu.co</t>
  </si>
  <si>
    <t>MGAD-4401</t>
  </si>
  <si>
    <t>MGAP-4414</t>
  </si>
  <si>
    <t>Andreas</t>
  </si>
  <si>
    <t>Lustenberger</t>
  </si>
  <si>
    <t>andreas.lustenberger@students.fhnw.ch</t>
  </si>
  <si>
    <t>a.lustenberger@uniandes.edu.co</t>
  </si>
  <si>
    <t>LENG-1575</t>
  </si>
  <si>
    <t>Hugo</t>
  </si>
  <si>
    <t>VANNESSON</t>
  </si>
  <si>
    <t>hugo.vannesson@grenoble-em.com</t>
  </si>
  <si>
    <t>h.vanesson@uniandes.edu.co</t>
  </si>
  <si>
    <t>ADMI-2501</t>
  </si>
  <si>
    <t>ADMI-3341</t>
  </si>
  <si>
    <t>Diaz</t>
  </si>
  <si>
    <t>antidiazc@yahoo.de</t>
  </si>
  <si>
    <t>a.diazc2@uniandes.edu.co</t>
  </si>
  <si>
    <t>Claire-Marie</t>
  </si>
  <si>
    <t>COLIN</t>
  </si>
  <si>
    <t>claire-marie.colin.19@neoma-bs.com</t>
  </si>
  <si>
    <t>c.colin@uniandes.edu.co</t>
  </si>
  <si>
    <t>ADMI-1602</t>
  </si>
  <si>
    <t>ADMI-1401</t>
  </si>
  <si>
    <t>Célestine</t>
  </si>
  <si>
    <t>Prado</t>
  </si>
  <si>
    <t>c.prado@tbs-education.org</t>
  </si>
  <si>
    <t>c.prado@uniandes.edu.co</t>
  </si>
  <si>
    <t>Eleanor</t>
  </si>
  <si>
    <t>SOHIER</t>
  </si>
  <si>
    <t>eleanor.fly@gmail.com</t>
  </si>
  <si>
    <t>e.sohier@uniandes.edu.co</t>
  </si>
  <si>
    <t>Amaya Méndez</t>
  </si>
  <si>
    <t>vamayamendez@outlook.com</t>
  </si>
  <si>
    <t>v.amayam@uniandes.edu.co</t>
  </si>
  <si>
    <t>GEST-4039</t>
  </si>
  <si>
    <t>MADM-4929</t>
  </si>
  <si>
    <t>ROMEL YHON</t>
  </si>
  <si>
    <t>CHAVEZ QUISPE</t>
  </si>
  <si>
    <t>Rommel.07r@gmail.com</t>
  </si>
  <si>
    <t>r.chavezq@uniandes.edu.co</t>
  </si>
  <si>
    <t>Ada</t>
  </si>
  <si>
    <t>Perera</t>
  </si>
  <si>
    <t>ada.perera@alumni.esade.edu</t>
  </si>
  <si>
    <t>a.perera@uniandes.edu.co</t>
  </si>
  <si>
    <t>ADMI-3336</t>
  </si>
  <si>
    <t>Johann</t>
  </si>
  <si>
    <t>Maquignon</t>
  </si>
  <si>
    <t>johann.maquignon@audencia.com</t>
  </si>
  <si>
    <t>j.maquignon@uniandes.edu.co</t>
  </si>
  <si>
    <t>Pinson</t>
  </si>
  <si>
    <t>davidpinson77@gmail.com</t>
  </si>
  <si>
    <t>d.pinson@uniandes.edu.co</t>
  </si>
  <si>
    <t>CPOL-2152</t>
  </si>
  <si>
    <t>CPOL-1000</t>
  </si>
  <si>
    <t>LENG-2588</t>
  </si>
  <si>
    <t>Maylis</t>
  </si>
  <si>
    <t>de Bouët du Portal</t>
  </si>
  <si>
    <t>b00730040@essec.edu</t>
  </si>
  <si>
    <t>m.debouetdu@uniandes.edu.co</t>
  </si>
  <si>
    <t>ADMI-3211</t>
  </si>
  <si>
    <t>emmanuelle</t>
  </si>
  <si>
    <t>huet</t>
  </si>
  <si>
    <t>emmanuelle.huet@essec.edu</t>
  </si>
  <si>
    <t>e.huet@uniandes.edu.co</t>
  </si>
  <si>
    <t>MGAD-4103</t>
  </si>
  <si>
    <t>MGAP-4418</t>
  </si>
  <si>
    <t>MGAP-4434</t>
  </si>
  <si>
    <t>Lamia</t>
  </si>
  <si>
    <t>Ouederni</t>
  </si>
  <si>
    <t>lamia.ouederni@essec.edu</t>
  </si>
  <si>
    <t>l.ouederni@uniandes.edu.co</t>
  </si>
  <si>
    <t>MGPD-4446</t>
  </si>
  <si>
    <t>MGAD-4606</t>
  </si>
  <si>
    <t>Agathe</t>
  </si>
  <si>
    <t>Saulot</t>
  </si>
  <si>
    <t>agathe.saulot@gmail.com</t>
  </si>
  <si>
    <t>a.saulot@uniandes.edu.co</t>
  </si>
  <si>
    <t>Jean</t>
  </si>
  <si>
    <t>Tawil</t>
  </si>
  <si>
    <t>jean.tawil@essec.edu</t>
  </si>
  <si>
    <t>j.tawil@uniandes.edu.co</t>
  </si>
  <si>
    <t>MADM-4250</t>
  </si>
  <si>
    <t>MADM-4459</t>
  </si>
  <si>
    <t>MFIN-4261</t>
  </si>
  <si>
    <t>MFIN-4206</t>
  </si>
  <si>
    <t>Victoire</t>
  </si>
  <si>
    <t>Herbeau</t>
  </si>
  <si>
    <t>victoire.herbeau@grenoble-em.com</t>
  </si>
  <si>
    <t>v.herbeau@uniandes.edu.co</t>
  </si>
  <si>
    <t>Romeo Fernando Stig</t>
  </si>
  <si>
    <t>Moro-lin</t>
  </si>
  <si>
    <t>romo19ac@student.cbs.dk</t>
  </si>
  <si>
    <t>r.moro@uniandes.edu.co</t>
  </si>
  <si>
    <t>ADMI-2801</t>
  </si>
  <si>
    <t>Joseph</t>
  </si>
  <si>
    <t>Panijel</t>
  </si>
  <si>
    <t>jpanijel.ieu2018@student.ie.edu</t>
  </si>
  <si>
    <t>j.panijel@uniandes.edu.co</t>
  </si>
  <si>
    <t>Pinar</t>
  </si>
  <si>
    <t>Dönmüs</t>
  </si>
  <si>
    <t>pinardnms@hotmail.com</t>
  </si>
  <si>
    <t>p.donmus@uniandes.edu.co</t>
  </si>
  <si>
    <t>ADMI-3884</t>
  </si>
  <si>
    <t>Elsa</t>
  </si>
  <si>
    <t>Calleja</t>
  </si>
  <si>
    <t>elsa.2209@orange.fr</t>
  </si>
  <si>
    <t>e.calleja@uniandes.edu.co</t>
  </si>
  <si>
    <t>MFIN-4100</t>
  </si>
  <si>
    <t>MFIN-4216</t>
  </si>
  <si>
    <t>CBCO-1165</t>
  </si>
  <si>
    <t>Rayan</t>
  </si>
  <si>
    <t>Milotic</t>
  </si>
  <si>
    <t>R.Milotic@hotmail.com</t>
  </si>
  <si>
    <t>r.milotic@uniandes.edu.co</t>
  </si>
  <si>
    <t>MGIT-4104</t>
  </si>
  <si>
    <t>Pierre</t>
  </si>
  <si>
    <t>Pochet</t>
  </si>
  <si>
    <t>pierre.pochet.20@neoma-bs.com</t>
  </si>
  <si>
    <t>p.pochet@uniandes.edu.co</t>
  </si>
  <si>
    <t>MFIN-4256</t>
  </si>
  <si>
    <t>MGAP-4447</t>
  </si>
  <si>
    <t>MBIT-4211</t>
  </si>
  <si>
    <t>CONT-3114</t>
  </si>
  <si>
    <t>Mattia</t>
  </si>
  <si>
    <t>Del Treste</t>
  </si>
  <si>
    <t>mattia.deltreste@mail.polimi.it</t>
  </si>
  <si>
    <t>m.del@uniandes.edu.co</t>
  </si>
  <si>
    <t>MADM-4999</t>
  </si>
  <si>
    <t>MIFI-4004</t>
  </si>
  <si>
    <t>IIND-4406</t>
  </si>
  <si>
    <t>Flaminia</t>
  </si>
  <si>
    <t>Galeani</t>
  </si>
  <si>
    <t>flaminia.galeani@mail.polimi.it</t>
  </si>
  <si>
    <t>f.galeani@uniandes.edu.co</t>
  </si>
  <si>
    <t>MSCM-4014</t>
  </si>
  <si>
    <t>MSCM-4016</t>
  </si>
  <si>
    <t>MGIT-4103</t>
  </si>
  <si>
    <t>DEPO-3248</t>
  </si>
  <si>
    <t>Simone</t>
  </si>
  <si>
    <t>Gentili</t>
  </si>
  <si>
    <t>simone.gentili@mail.polimi.it</t>
  </si>
  <si>
    <t>s.gentili@uniandes.edu.co</t>
  </si>
  <si>
    <t>MIFI-4001</t>
  </si>
  <si>
    <t>MIFI-4002</t>
  </si>
  <si>
    <t>ADMI-3406</t>
  </si>
  <si>
    <t>MGLO-4005</t>
  </si>
  <si>
    <t>Franken Villa</t>
  </si>
  <si>
    <t>da.frankenvilla@gmail.com</t>
  </si>
  <si>
    <t>d.franken@uniandes.edu.co</t>
  </si>
  <si>
    <t>Heckmann</t>
  </si>
  <si>
    <t>nani.heckmann@gmail.com</t>
  </si>
  <si>
    <t>d.heckman@uniandes.edu.co</t>
  </si>
  <si>
    <t>ECON-1501</t>
  </si>
  <si>
    <t>Leon</t>
  </si>
  <si>
    <t>Seubert</t>
  </si>
  <si>
    <t>seubertleon@gmail.com</t>
  </si>
  <si>
    <t>l.seubert@uniandes.edu.co</t>
  </si>
  <si>
    <t>ADMI-3604</t>
  </si>
  <si>
    <t>ISIS-3710</t>
  </si>
  <si>
    <t>Paulina</t>
  </si>
  <si>
    <t>Sonntag</t>
  </si>
  <si>
    <t>psonntag@mail.uni-mannheim.de</t>
  </si>
  <si>
    <t>p.sonntag@uniandes.edu.co</t>
  </si>
  <si>
    <t>Markus Simon</t>
  </si>
  <si>
    <t>Mitterhofer</t>
  </si>
  <si>
    <t>markus.mitterhofer@student.unisg.ch</t>
  </si>
  <si>
    <t>m.mitterhofer@uniandes.edu.co</t>
  </si>
  <si>
    <t>CPOL-2247</t>
  </si>
  <si>
    <t>HIST-2210</t>
  </si>
  <si>
    <t>MFIN-4251</t>
  </si>
  <si>
    <t>MADM-4204</t>
  </si>
  <si>
    <t>DEPO-1229</t>
  </si>
  <si>
    <t>CHLOE</t>
  </si>
  <si>
    <t>ENDENE NDEMA</t>
  </si>
  <si>
    <t>chloe.endene-ndema@em-strasbourg.eu</t>
  </si>
  <si>
    <t>c.endene@uniandes.edu.co</t>
  </si>
  <si>
    <t>CBCO-1293</t>
  </si>
  <si>
    <t>CAROLINA</t>
  </si>
  <si>
    <t>ALZATE QUIROGA</t>
  </si>
  <si>
    <t>c.alzateq@uniandes.edu.co</t>
  </si>
  <si>
    <t>MGLO-4001</t>
  </si>
  <si>
    <t>MGLO-4003</t>
  </si>
  <si>
    <t>DANIEL</t>
  </si>
  <si>
    <t>D'ELIA DA COSTA</t>
  </si>
  <si>
    <t>d.delia@uniandes.edu.co</t>
  </si>
  <si>
    <t>NIKA</t>
  </si>
  <si>
    <t>DULEVICH</t>
  </si>
  <si>
    <t>n.dulevich@uniandes.edu.co</t>
  </si>
  <si>
    <t>NICOLAS</t>
  </si>
  <si>
    <t>LOPEZ CANO</t>
  </si>
  <si>
    <t>n.lopez3@uniandes.edu.co</t>
  </si>
  <si>
    <t>LUKAS</t>
  </si>
  <si>
    <t>TANZMAYR</t>
  </si>
  <si>
    <t>l.tanzmayr@uniandes.edu.co</t>
  </si>
  <si>
    <t>ELLA SOPHIE</t>
  </si>
  <si>
    <t>WEBER</t>
  </si>
  <si>
    <t>es.weber@uniandes.edu.co</t>
  </si>
  <si>
    <t>Soryane</t>
  </si>
  <si>
    <t>Thiam</t>
  </si>
  <si>
    <t>s.thiam@tbs-education.org</t>
  </si>
  <si>
    <t>CBCA-1234</t>
  </si>
  <si>
    <t>CBPC-1099</t>
  </si>
  <si>
    <t>Dominika Aleksandra</t>
  </si>
  <si>
    <t>Miazek</t>
  </si>
  <si>
    <t>Aalborg Universitet</t>
  </si>
  <si>
    <t>dominika.miazek@gmail.com</t>
  </si>
  <si>
    <t>d.miazek@uniandes.edu.co</t>
  </si>
  <si>
    <t>MADM-4930</t>
  </si>
  <si>
    <t>Charlotte Sylvie</t>
  </si>
  <si>
    <t>Paolantoni</t>
  </si>
  <si>
    <t>charlotte.paolantoni@audencia.com</t>
  </si>
  <si>
    <t>c.paolantoni@uniandes.edu.co</t>
  </si>
  <si>
    <t>Léa Angele</t>
  </si>
  <si>
    <t>Renaudin</t>
  </si>
  <si>
    <t>lea.renaudin@audencia.com</t>
  </si>
  <si>
    <t>l.renaudin@uniandes.edu.co</t>
  </si>
  <si>
    <t>Patrouillard</t>
  </si>
  <si>
    <t>nicolas.patrouillard@edu.escp.eu</t>
  </si>
  <si>
    <t>n.patrouillard@uniandes.edu.co</t>
  </si>
  <si>
    <t>MFIN-4210</t>
  </si>
  <si>
    <t>David Yavar</t>
  </si>
  <si>
    <t>Malet</t>
  </si>
  <si>
    <t>david.malet@myicn.fr</t>
  </si>
  <si>
    <t>d.malet@uniandes.edu.co</t>
  </si>
  <si>
    <t>Léopold Marie Yorick</t>
  </si>
  <si>
    <t>Domange</t>
  </si>
  <si>
    <t>ldomange.ieu2019@student.ie.edu</t>
  </si>
  <si>
    <t>l.domange@uniandes.edu.co</t>
  </si>
  <si>
    <t>ECON-2205</t>
  </si>
  <si>
    <t>ECON-3672</t>
  </si>
  <si>
    <t>LENG-2130</t>
  </si>
  <si>
    <t>Paul</t>
  </si>
  <si>
    <t>Westpfahl</t>
  </si>
  <si>
    <t>paulwfl@outlook.fr</t>
  </si>
  <si>
    <t>p.westpfahl@uniandes.edu.co</t>
  </si>
  <si>
    <t>Boris Lee F</t>
  </si>
  <si>
    <t>Regnault de Maulmin</t>
  </si>
  <si>
    <t>Boris.regnaultdemaulmin@sciencespo.fr</t>
  </si>
  <si>
    <t>b.regnault@uniandes.edu.co</t>
  </si>
  <si>
    <t>HIST-2800</t>
  </si>
  <si>
    <t>HIST-2111</t>
  </si>
  <si>
    <t>HIST-1110</t>
  </si>
  <si>
    <t>DEPO-3114</t>
  </si>
  <si>
    <t>Leon Patrick</t>
  </si>
  <si>
    <t>Methner</t>
  </si>
  <si>
    <t>l.methner@gmx.de</t>
  </si>
  <si>
    <t>l.methner@uniandes.edu.co</t>
  </si>
  <si>
    <t>Franziskus Lucius Constantin Jens</t>
  </si>
  <si>
    <t>Graf von Saurma-Jeltsch</t>
  </si>
  <si>
    <t>f.grafvonsaurma-jeltsch@student.maastrichtuniversity.nl</t>
  </si>
  <si>
    <t>f.graf@uniandes.edu.co</t>
  </si>
  <si>
    <t>CPOL-3203</t>
  </si>
  <si>
    <t>Delal</t>
  </si>
  <si>
    <t>Karabulut</t>
  </si>
  <si>
    <t>Delal.karabulut97@gmail.com</t>
  </si>
  <si>
    <t>d.karabulut@uniandes.edu.co</t>
  </si>
  <si>
    <t>EGOB-3541</t>
  </si>
  <si>
    <t>DERE-3601</t>
  </si>
  <si>
    <t>Louise Philippa</t>
  </si>
  <si>
    <t>Koenig</t>
  </si>
  <si>
    <t>lp.konig@student.maastrichtuniversity.nl</t>
  </si>
  <si>
    <t>l.koenig@uniandes.edu.co</t>
  </si>
  <si>
    <t>Gaspard Louis Marie</t>
  </si>
  <si>
    <t>Madelin</t>
  </si>
  <si>
    <t>gaspard.madelin@mail.mcgill.ca</t>
  </si>
  <si>
    <t>g.madelin@uniandes.edu.co</t>
  </si>
  <si>
    <t>MMER-4351</t>
  </si>
  <si>
    <t>Antoine Patrick H</t>
  </si>
  <si>
    <t>Vander Elst</t>
  </si>
  <si>
    <t>antoine.vde26@gmail.com</t>
  </si>
  <si>
    <t>a.vander@uniandes.edu.co</t>
  </si>
  <si>
    <t>ADMI-3208</t>
  </si>
  <si>
    <t>LENG-1574</t>
  </si>
  <si>
    <t>Lila Alice</t>
  </si>
  <si>
    <t>Claudot</t>
  </si>
  <si>
    <t>lila.claudot.19@neoma-bs.com</t>
  </si>
  <si>
    <t>l.claudot@uniandes.edu.co</t>
  </si>
  <si>
    <t>Lounis</t>
  </si>
  <si>
    <t>Hariche</t>
  </si>
  <si>
    <t>lounis.hariche@gmail.com</t>
  </si>
  <si>
    <t>l.hariche@uniandes.edu.co</t>
  </si>
  <si>
    <t>MFIN-4000</t>
  </si>
  <si>
    <t>ADMI-2205</t>
  </si>
  <si>
    <t>Andreas Sebastian</t>
  </si>
  <si>
    <t>Rank</t>
  </si>
  <si>
    <t>andreas.rank@tum.de</t>
  </si>
  <si>
    <t>a.rank@uniandes.edu.co</t>
  </si>
  <si>
    <t>MBIT-4102</t>
  </si>
  <si>
    <t>Joshua Martin</t>
  </si>
  <si>
    <t>Riederle</t>
  </si>
  <si>
    <t>joshua.riederle@tum.de</t>
  </si>
  <si>
    <t>j.riederle@uniandes.edu.co</t>
  </si>
  <si>
    <t>ARTE-1143</t>
  </si>
  <si>
    <t>ARTE-1141</t>
  </si>
  <si>
    <t>MMER-4009</t>
  </si>
  <si>
    <t>Romain Lionel Jules</t>
  </si>
  <si>
    <t>Berezaie</t>
  </si>
  <si>
    <t>r.berezaie@tbs-education.org</t>
  </si>
  <si>
    <t>r.berezaie@uniandes.edu.co</t>
  </si>
  <si>
    <t>ADMI-3241</t>
  </si>
  <si>
    <t>ADMI-3398</t>
  </si>
  <si>
    <t>ADMI-3405</t>
  </si>
  <si>
    <t>Noémie Johanna</t>
  </si>
  <si>
    <t>Forson</t>
  </si>
  <si>
    <t>n.forson@tbs-education.org</t>
  </si>
  <si>
    <t>n.forson@uniandes.edu.co</t>
  </si>
  <si>
    <t>Guillaume Eric Julien</t>
  </si>
  <si>
    <t>Germond</t>
  </si>
  <si>
    <t>g.germond@tbs-education.org</t>
  </si>
  <si>
    <t>g.germond@uniandes.edu.co</t>
  </si>
  <si>
    <t>Jade Lyliane Michele</t>
  </si>
  <si>
    <t>Moulin</t>
  </si>
  <si>
    <t>jade.moulin@tbs-education.org</t>
  </si>
  <si>
    <t>j.moulin@uniandes.edu.co</t>
  </si>
  <si>
    <t>Maxwell James</t>
  </si>
  <si>
    <t>Murphy</t>
  </si>
  <si>
    <t>mmurphy11@tulane.edu</t>
  </si>
  <si>
    <t>m.murphy@uniandes.edu.co</t>
  </si>
  <si>
    <t>Kelsey Ann</t>
  </si>
  <si>
    <t>Worley</t>
  </si>
  <si>
    <t>kworley@tulane.edu</t>
  </si>
  <si>
    <t>k.worley@uniandes.edu.co</t>
  </si>
  <si>
    <t>Paul Joseph</t>
  </si>
  <si>
    <t>Yermish</t>
  </si>
  <si>
    <t>pyermish@tulane.edu</t>
  </si>
  <si>
    <t>p.yermish@uniandes.edu.co</t>
  </si>
  <si>
    <t>Alejandria</t>
  </si>
  <si>
    <t>Caicedo Rivera</t>
  </si>
  <si>
    <t>Universidad Católica Boliviana 'San Pablo'</t>
  </si>
  <si>
    <t>alejandria.caicedo@ucb.edu.bo</t>
  </si>
  <si>
    <t>a.caicedor@uniandes.edu.co</t>
  </si>
  <si>
    <t>CHNA-1801</t>
  </si>
  <si>
    <t>LENG-1201</t>
  </si>
  <si>
    <t>DEPO-1230</t>
  </si>
  <si>
    <t>DEPO-1212</t>
  </si>
  <si>
    <t>Itzel Alexandra</t>
  </si>
  <si>
    <t>Hernández Garcia</t>
  </si>
  <si>
    <t>itzelalexahg63@gmail.com</t>
  </si>
  <si>
    <t>i.hernandezg@uniandes.edu.co</t>
  </si>
  <si>
    <t>CISO-4007</t>
  </si>
  <si>
    <t>CBPC-1281</t>
  </si>
  <si>
    <t>Romano</t>
  </si>
  <si>
    <t>lorenzoromano1511@gmail.com</t>
  </si>
  <si>
    <t>l.romano@uniandes.edu.co</t>
  </si>
  <si>
    <t>MMER-4300</t>
  </si>
  <si>
    <t>MMER-4302</t>
  </si>
  <si>
    <t>MMER-4307</t>
  </si>
  <si>
    <t>DEPO-1235</t>
  </si>
  <si>
    <t>ECON-1701</t>
  </si>
  <si>
    <t>CPOL-2255</t>
  </si>
  <si>
    <t>CPOL-2351</t>
  </si>
  <si>
    <t>Louise</t>
  </si>
  <si>
    <t>Dorin</t>
  </si>
  <si>
    <t>louise.dorin@audencia.com</t>
  </si>
  <si>
    <t>l.dorin@uniandes.edu.co</t>
  </si>
  <si>
    <t>MGAD-4609</t>
  </si>
  <si>
    <t>MGAD-4201</t>
  </si>
  <si>
    <t>Julia</t>
  </si>
  <si>
    <t>PERRIN</t>
  </si>
  <si>
    <t>juliamaria.perrin@audencia.com</t>
  </si>
  <si>
    <t>j.perrin@uniandes.edu.co</t>
  </si>
  <si>
    <t>Enzo</t>
  </si>
  <si>
    <t>Thorel Delille</t>
  </si>
  <si>
    <t>enzo.thorel-delille@hec.ca</t>
  </si>
  <si>
    <t>e.thorel@uniandes.edu.co</t>
  </si>
  <si>
    <t>Pietro Maria</t>
  </si>
  <si>
    <t>Rossi</t>
  </si>
  <si>
    <t>pietromrossi@gmail.com</t>
  </si>
  <si>
    <t>p.rossi@uniandes.edu.co</t>
  </si>
  <si>
    <t>MADM-4153</t>
  </si>
  <si>
    <t>MADM-4372</t>
  </si>
  <si>
    <t>Noemie</t>
  </si>
  <si>
    <t>SEH</t>
  </si>
  <si>
    <t>noemie.seh@edu.escp.eu</t>
  </si>
  <si>
    <t>n.seh@uniandes.edu.co</t>
  </si>
  <si>
    <t>MGPD-4454</t>
  </si>
  <si>
    <t>MGAD-4605</t>
  </si>
  <si>
    <t>MGAD-4302</t>
  </si>
  <si>
    <t>Tom</t>
  </si>
  <si>
    <t>DUCOURANT</t>
  </si>
  <si>
    <t>tom.ducourant@essec.edu</t>
  </si>
  <si>
    <t>t.ducourant@uniandes.edu.co</t>
  </si>
  <si>
    <t>Clement</t>
  </si>
  <si>
    <t>Flaherty</t>
  </si>
  <si>
    <t>b00773706@essec.edu</t>
  </si>
  <si>
    <t>c.flaherty@uniandes.edu.co</t>
  </si>
  <si>
    <t>MADM-4412</t>
  </si>
  <si>
    <t>Mathieu</t>
  </si>
  <si>
    <t>Cadet</t>
  </si>
  <si>
    <t>mathieu.cadet@grenoble-em.com</t>
  </si>
  <si>
    <t>m.cadet@uniandes.edu.co</t>
  </si>
  <si>
    <t>Johanne Juhl</t>
  </si>
  <si>
    <t>Jensen</t>
  </si>
  <si>
    <t>joje20ai@student.cbs.dk</t>
  </si>
  <si>
    <t>j.jensen@uniandes.edu.co</t>
  </si>
  <si>
    <t>GLOB-2300</t>
  </si>
  <si>
    <t>DERE-1202</t>
  </si>
  <si>
    <t>Rui</t>
  </si>
  <si>
    <t>Machado De Araujo</t>
  </si>
  <si>
    <t>rui.machado@hotmail.it</t>
  </si>
  <si>
    <t>r.machado@uniandes.edu.co</t>
  </si>
  <si>
    <t>Nielsen</t>
  </si>
  <si>
    <t>Sebastian Kim Bjerring</t>
  </si>
  <si>
    <t>seni20ab@student.cbs.dk</t>
  </si>
  <si>
    <t>s.nielsen@uniandes.edu.co</t>
  </si>
  <si>
    <t>Jessy-Jacques</t>
  </si>
  <si>
    <t>Mutombo</t>
  </si>
  <si>
    <t>jj.mutombo@outlook.fr</t>
  </si>
  <si>
    <t>j.mutombo@uniandes.edu.co</t>
  </si>
  <si>
    <t>LENG-1571</t>
  </si>
  <si>
    <t>Emma</t>
  </si>
  <si>
    <t>Gettliffe</t>
  </si>
  <si>
    <t>egettliffe.ieu2019@student.ie.edu</t>
  </si>
  <si>
    <t>e.gettliffe@uniandes.edu.co</t>
  </si>
  <si>
    <t>EGOB-3115</t>
  </si>
  <si>
    <t>CPOL-1300</t>
  </si>
  <si>
    <t>GLOB-3200</t>
  </si>
  <si>
    <t>Esmeralda</t>
  </si>
  <si>
    <t>Hernandez Contreras</t>
  </si>
  <si>
    <t>A01246519@tec.mx</t>
  </si>
  <si>
    <t>e.hernandezc2@uniandes.edu.co</t>
  </si>
  <si>
    <t>Jatziri Meylim</t>
  </si>
  <si>
    <t>Ortiz Trujillo</t>
  </si>
  <si>
    <t>A0142528@tec.mx</t>
  </si>
  <si>
    <t>jm.ortizt1@uniandes.edu.co</t>
  </si>
  <si>
    <t>Jesús</t>
  </si>
  <si>
    <t>Romero Rodríguez</t>
  </si>
  <si>
    <t>jesusr1204d@gmail.com</t>
  </si>
  <si>
    <t>j.romeror23@uniandes.edu.co</t>
  </si>
  <si>
    <t>DEPO-1207</t>
  </si>
  <si>
    <t>Fredi</t>
  </si>
  <si>
    <t>Toledo Villavicencio</t>
  </si>
  <si>
    <t>A01552592@tec.mx</t>
  </si>
  <si>
    <t>f.toledo@uniandes.edu.co</t>
  </si>
  <si>
    <t>ADMI-3205</t>
  </si>
  <si>
    <t>de Geus</t>
  </si>
  <si>
    <t>Jönköping University</t>
  </si>
  <si>
    <t>juliadegeus1999@live.nl</t>
  </si>
  <si>
    <t>j.deg@uniandes.edu.co</t>
  </si>
  <si>
    <t>Johannes</t>
  </si>
  <si>
    <t>Keil</t>
  </si>
  <si>
    <t>johannes.keil@aol.de</t>
  </si>
  <si>
    <t>j.keil@uniandes.edu.co</t>
  </si>
  <si>
    <t>Twan</t>
  </si>
  <si>
    <t>van den Heuvel</t>
  </si>
  <si>
    <t>twanheuvel@gmail.com</t>
  </si>
  <si>
    <t>t.vand@uniandes.edu.co</t>
  </si>
  <si>
    <t>Helena</t>
  </si>
  <si>
    <t>Back</t>
  </si>
  <si>
    <t>h.back@student.maastrichtuniversity.nl</t>
  </si>
  <si>
    <t>h.back@uniandes.edu.co</t>
  </si>
  <si>
    <t>Sacha</t>
  </si>
  <si>
    <t>Servais</t>
  </si>
  <si>
    <t>scsrvsacha@gmail.com</t>
  </si>
  <si>
    <t>s.servais@uniandes.edu.co</t>
  </si>
  <si>
    <t>MMER-4301</t>
  </si>
  <si>
    <t>MADM-4200</t>
  </si>
  <si>
    <t>MMER-4334</t>
  </si>
  <si>
    <t>MMER-4346</t>
  </si>
  <si>
    <t>Ramezani</t>
  </si>
  <si>
    <t>nicolas.ramezani.20@neoma-bs.com</t>
  </si>
  <si>
    <t>n.ramezani@uniandes.edu.co</t>
  </si>
  <si>
    <t>MMER-4354</t>
  </si>
  <si>
    <t>MFIN-4249</t>
  </si>
  <si>
    <t>Alessandro</t>
  </si>
  <si>
    <t>Campa</t>
  </si>
  <si>
    <t>alessandro1.campa@mail.polimi.it</t>
  </si>
  <si>
    <t>a.campa@uniandes.edu.co</t>
  </si>
  <si>
    <t>IALI-3111</t>
  </si>
  <si>
    <t>Rebecca</t>
  </si>
  <si>
    <t>Gennaccari</t>
  </si>
  <si>
    <t>rebecca.gennaccari@mail.polimi.it</t>
  </si>
  <si>
    <t>r.gennaccari@uniandes.edu.co</t>
  </si>
  <si>
    <t>Antonia Isidora</t>
  </si>
  <si>
    <t>Mena Quevedo</t>
  </si>
  <si>
    <t>menaantonia@uc.cl</t>
  </si>
  <si>
    <t>a.menaq@uniandes.edu.co</t>
  </si>
  <si>
    <t>MUSI-1139</t>
  </si>
  <si>
    <t>FILO-1063</t>
  </si>
  <si>
    <t>Caroline</t>
  </si>
  <si>
    <t>Lerdahl</t>
  </si>
  <si>
    <t>carolinekjedler@gmail.com</t>
  </si>
  <si>
    <t>c.lerdahl@uniandes.edu.co</t>
  </si>
  <si>
    <t>Felix Neo</t>
  </si>
  <si>
    <t>Rieder</t>
  </si>
  <si>
    <t>felix.rieder@tum.de</t>
  </si>
  <si>
    <t>f.rieder@uniandes.edu.co</t>
  </si>
  <si>
    <t>DEPO-1233</t>
  </si>
  <si>
    <t>Duffner</t>
  </si>
  <si>
    <t>sduffner@tulane.edu</t>
  </si>
  <si>
    <t>s.duffner@uniandes.edu.co</t>
  </si>
  <si>
    <t>Vaishnavi</t>
  </si>
  <si>
    <t>Kandala</t>
  </si>
  <si>
    <t>vkandala@tulane.edu</t>
  </si>
  <si>
    <t>v.kandala@uniandes.edu.co</t>
  </si>
  <si>
    <t>DERE-2601</t>
  </si>
  <si>
    <t>LITE-3108</t>
  </si>
  <si>
    <t>LENG-1202</t>
  </si>
  <si>
    <t>Paola Luz Fatima</t>
  </si>
  <si>
    <t>Medina Segovia</t>
  </si>
  <si>
    <t>paola.medina@ucb.edu.bo</t>
  </si>
  <si>
    <t>p.medinas@uniandes.edu.co</t>
  </si>
  <si>
    <t>Frederico Maria</t>
  </si>
  <si>
    <t>Correia de Barros Mendes de Almeida</t>
  </si>
  <si>
    <t>fredericoma2002@hotmail.com</t>
  </si>
  <si>
    <t>f.correia@uniandes.edu.co</t>
  </si>
  <si>
    <t>ECON-2107</t>
  </si>
  <si>
    <t>Gonçalo</t>
  </si>
  <si>
    <t>Ministro</t>
  </si>
  <si>
    <t>47106@novasbe.pt</t>
  </si>
  <si>
    <t>g.malho@uniandes.edu.co</t>
  </si>
  <si>
    <t>Maria do Mar</t>
  </si>
  <si>
    <t>Seabra</t>
  </si>
  <si>
    <t>mariadomarseabra@gmail.com</t>
  </si>
  <si>
    <t>m.sousa@uniandes.edu.co</t>
  </si>
  <si>
    <t>Rebekka</t>
  </si>
  <si>
    <t>Rasi</t>
  </si>
  <si>
    <t>rebekka.rasi@gmail.com</t>
  </si>
  <si>
    <t>r.rasi@uniandes.edu.co</t>
  </si>
  <si>
    <t>MADM-4450</t>
  </si>
  <si>
    <t>MMER-4362</t>
  </si>
  <si>
    <t>José Antonio</t>
  </si>
  <si>
    <t>Ramírez Valero</t>
  </si>
  <si>
    <t>jose.antonio.ramirez@euncet.es</t>
  </si>
  <si>
    <t>j.ramirezv@uniandes.edu.co</t>
  </si>
  <si>
    <t>ECON-2211</t>
  </si>
  <si>
    <t>Alice</t>
  </si>
  <si>
    <t>alicemariecharlotte.perrin@alumni.esade.edu</t>
  </si>
  <si>
    <t>a.perrin@uniandes.edu.co</t>
  </si>
  <si>
    <t>Shauna</t>
  </si>
  <si>
    <t>Rollier</t>
  </si>
  <si>
    <t>shauna.rollier@etu.unige.ch</t>
  </si>
  <si>
    <t>s.rollier@uniandes.edu.co</t>
  </si>
  <si>
    <t>Ines</t>
  </si>
  <si>
    <t>Zakoum</t>
  </si>
  <si>
    <t>ines.zakoum@gmail.com</t>
  </si>
  <si>
    <t>i.zakoum@uniandes.edu.co</t>
  </si>
  <si>
    <t>ARTE-1151</t>
  </si>
  <si>
    <t>CBCA-1024</t>
  </si>
  <si>
    <t>ARTE-1140</t>
  </si>
  <si>
    <t>Matthieu</t>
  </si>
  <si>
    <t>Delattre</t>
  </si>
  <si>
    <t>matthieu6969@icloud.com</t>
  </si>
  <si>
    <t>m.delattre@uniandes.edu.co</t>
  </si>
  <si>
    <t>Fleur</t>
  </si>
  <si>
    <t>Lajouanie</t>
  </si>
  <si>
    <t>fleur.lajouanie@dauphine.eu</t>
  </si>
  <si>
    <t>f.lajouanie@uniandes.edu.co</t>
  </si>
  <si>
    <t>DEPO-1245</t>
  </si>
  <si>
    <t>Daan</t>
  </si>
  <si>
    <t>Bozon</t>
  </si>
  <si>
    <t>d.a.h.bozon@students.uu.nl</t>
  </si>
  <si>
    <t>d.bozon@uniandes.edu.co</t>
  </si>
  <si>
    <t>Nout</t>
  </si>
  <si>
    <t>Gerhards</t>
  </si>
  <si>
    <t>ngerhards27@gmail.com</t>
  </si>
  <si>
    <t>n.gerhards@uniandes.edu.co</t>
  </si>
  <si>
    <t>MGLO-4004</t>
  </si>
  <si>
    <t>JONATHAN</t>
  </si>
  <si>
    <t>AMON</t>
  </si>
  <si>
    <t>jonny.amon@gmail.com</t>
  </si>
  <si>
    <t>j.amon@uniandes.edu.co</t>
  </si>
  <si>
    <t>MGLO-4006</t>
  </si>
  <si>
    <t>NATASHA</t>
  </si>
  <si>
    <t>BRIGUET</t>
  </si>
  <si>
    <t>2486004b@student.gla.ac.uk</t>
  </si>
  <si>
    <t>n.briguet@uniandes.edu.co</t>
  </si>
  <si>
    <t>JOSE GERARDO</t>
  </si>
  <si>
    <t>CASTILLO BERMUDEZ</t>
  </si>
  <si>
    <t>2449137c@student.gla.ac.uk</t>
  </si>
  <si>
    <t>jg.castillob1@uniandes.edu.co</t>
  </si>
  <si>
    <t>SZUTUNG</t>
  </si>
  <si>
    <t>CHEN</t>
  </si>
  <si>
    <t>szutungchen@gmail.com</t>
  </si>
  <si>
    <t>s.chen@uniandes.edu.co</t>
  </si>
  <si>
    <t>ALEJANDRA</t>
  </si>
  <si>
    <t>CRUZ FIGUEROA</t>
  </si>
  <si>
    <t>alejandra.cruzf@outlook.com</t>
  </si>
  <si>
    <t>a.cruzf2@uniandes.edu.co</t>
  </si>
  <si>
    <t>GABRIELA</t>
  </si>
  <si>
    <t>FERREIRA VAREJAO</t>
  </si>
  <si>
    <t>gf.varejao@gmail.com</t>
  </si>
  <si>
    <t>g.ferreirav@uniandes.edu.co</t>
  </si>
  <si>
    <t>MARIE DOMINIQUE E</t>
  </si>
  <si>
    <t>GILSON</t>
  </si>
  <si>
    <t>gilson.marie@hotmail.be</t>
  </si>
  <si>
    <t>m.gilson@uniandes.edu.co</t>
  </si>
  <si>
    <t>KEN OSKAR</t>
  </si>
  <si>
    <t>GOIGNER</t>
  </si>
  <si>
    <t>ken.goigner@gmail.com</t>
  </si>
  <si>
    <t>k.goigner@uniandes.edu.co</t>
  </si>
  <si>
    <t>KARLIJN LOUISE</t>
  </si>
  <si>
    <t>LOEVEN</t>
  </si>
  <si>
    <t>karlijnloeven@gmail.com</t>
  </si>
  <si>
    <t>k.loeven@uniandes.edu.co</t>
  </si>
  <si>
    <t>SPENCER TAMBLYN</t>
  </si>
  <si>
    <t>LONG</t>
  </si>
  <si>
    <t>spencerlong2018@gmail.com</t>
  </si>
  <si>
    <t>s.long@uniandes.edu.co</t>
  </si>
  <si>
    <t>Meszaros Ortiz</t>
  </si>
  <si>
    <t>Maria Lusia</t>
  </si>
  <si>
    <t>2684579M@student.gla.ac.uk</t>
  </si>
  <si>
    <t>m.meszaros@uniandes.edu.co</t>
  </si>
  <si>
    <t>CHAU CONG ANH</t>
  </si>
  <si>
    <t>NGUYEN</t>
  </si>
  <si>
    <t>conganh19991211@gmail.com</t>
  </si>
  <si>
    <t>c.nguyen@uniandes.edu.co</t>
  </si>
  <si>
    <t>Adams</t>
  </si>
  <si>
    <t>davidmichael.adams@mail.polimi.it</t>
  </si>
  <si>
    <t>d.adams@uniandes.edu.co</t>
  </si>
  <si>
    <t>Intercambio</t>
  </si>
  <si>
    <t>ADMI-3620</t>
  </si>
  <si>
    <t>LENG-1570</t>
  </si>
  <si>
    <t>Mariana Do Carmo</t>
  </si>
  <si>
    <t>Aguas Gomes Batalha</t>
  </si>
  <si>
    <t>46840@novasbe.pt</t>
  </si>
  <si>
    <t>m.aguas@uniandes.edu.co</t>
  </si>
  <si>
    <t>Filippo</t>
  </si>
  <si>
    <t>Badalotti</t>
  </si>
  <si>
    <t>filippo.badalotti@mail.polimi.it</t>
  </si>
  <si>
    <t>f.badalotti@uniandes.edu.co</t>
  </si>
  <si>
    <t>MSCM-4029</t>
  </si>
  <si>
    <t>MSCM-4027</t>
  </si>
  <si>
    <t>ADMI-3411</t>
  </si>
  <si>
    <t>IIND-3221</t>
  </si>
  <si>
    <t>IIND-4307</t>
  </si>
  <si>
    <t>IIND-3221T</t>
  </si>
  <si>
    <t>MMER-4348</t>
  </si>
  <si>
    <t>MSCM-4032</t>
  </si>
  <si>
    <t>DEPO-1206</t>
  </si>
  <si>
    <t>DEPO-1219</t>
  </si>
  <si>
    <t>DEPO-1258</t>
  </si>
  <si>
    <t>ECON-1305</t>
  </si>
  <si>
    <t>MADM-4340</t>
  </si>
  <si>
    <t>Mathilde Emma Julia Simone</t>
  </si>
  <si>
    <t>Beau</t>
  </si>
  <si>
    <t>mathilde.beau@edhec.com</t>
  </si>
  <si>
    <t>m.beau@uniandes.edu.co</t>
  </si>
  <si>
    <t>DERE-1301</t>
  </si>
  <si>
    <t>Alexander</t>
  </si>
  <si>
    <t>Belaire</t>
  </si>
  <si>
    <t>abelaire@tulane.edu</t>
  </si>
  <si>
    <t>a.belaire@uniandes.edu.co</t>
  </si>
  <si>
    <t>DEPO-1100</t>
  </si>
  <si>
    <t>DEPO-1200</t>
  </si>
  <si>
    <t>Joshua Michael</t>
  </si>
  <si>
    <t>Belew</t>
  </si>
  <si>
    <t>jbelew@tulane.edu</t>
  </si>
  <si>
    <t>j.belew@uniandes.edu.co</t>
  </si>
  <si>
    <t>Paul-Aaron Meyer Philippe</t>
  </si>
  <si>
    <t>Benharrouch</t>
  </si>
  <si>
    <t>pbenharrouch.ieu2020@student.ie.edu</t>
  </si>
  <si>
    <t>p.benharrouch@uniandes.edu.co</t>
  </si>
  <si>
    <t>Robert Francis</t>
  </si>
  <si>
    <t>Bermingham</t>
  </si>
  <si>
    <t>r.bermingham@student.maastrichtuniversity.nl</t>
  </si>
  <si>
    <t>r.bermingham@uniandes.edu.co</t>
  </si>
  <si>
    <t>Blanche Prune</t>
  </si>
  <si>
    <t>Blanchart</t>
  </si>
  <si>
    <t>blancheblanchart@gmail.com</t>
  </si>
  <si>
    <t>b.blanchart@uniandes.edu.co</t>
  </si>
  <si>
    <t>ECON-3620</t>
  </si>
  <si>
    <t>DERE-1101</t>
  </si>
  <si>
    <t xml:space="preserve">Silas Yannick </t>
  </si>
  <si>
    <t>BLEISCH</t>
  </si>
  <si>
    <t>silas.bleisch@gmail.com</t>
  </si>
  <si>
    <t>s.bleisch@uniandes.edu.co</t>
  </si>
  <si>
    <t>MIMC-4003</t>
  </si>
  <si>
    <t>MADM-4410</t>
  </si>
  <si>
    <t>MIMC-4002</t>
  </si>
  <si>
    <t>MIMC-4001</t>
  </si>
  <si>
    <t>MIMC-4004</t>
  </si>
  <si>
    <t>João</t>
  </si>
  <si>
    <t>Bruno Da Costa</t>
  </si>
  <si>
    <t>joaomariacosta11@Gmail.com</t>
  </si>
  <si>
    <t>j.marcal@uniandes.edu.co</t>
  </si>
  <si>
    <t>ECON-3212</t>
  </si>
  <si>
    <t>Paul Marie Martin</t>
  </si>
  <si>
    <t>Bustarret</t>
  </si>
  <si>
    <t>paul.bustarret@hec.edu</t>
  </si>
  <si>
    <t>p.bustarret@uniandes.edu.co</t>
  </si>
  <si>
    <t>ECON-3744</t>
  </si>
  <si>
    <t>Stefanie Katherine</t>
  </si>
  <si>
    <t>Cesti Palomino</t>
  </si>
  <si>
    <t>sk.cestip@alum.up.edu.pe</t>
  </si>
  <si>
    <t>s.cesti@uniandes.edu.co</t>
  </si>
  <si>
    <t>Solveig Manon Catherine</t>
  </si>
  <si>
    <t>Chaxel</t>
  </si>
  <si>
    <t>solveig.chaxel.20@neoma-bs.com</t>
  </si>
  <si>
    <t>s.chaxel@uniandes.edu.co</t>
  </si>
  <si>
    <t>Julie</t>
  </si>
  <si>
    <t>Cholley</t>
  </si>
  <si>
    <t>julie-cholley@hotmail.fr</t>
  </si>
  <si>
    <t>j.cholley@uniandes.edu.co</t>
  </si>
  <si>
    <t>MUSI-1017</t>
  </si>
  <si>
    <t>MUSI-1126</t>
  </si>
  <si>
    <t>Constantin</t>
  </si>
  <si>
    <t>Chryssostalis</t>
  </si>
  <si>
    <t>constantin.chryssostalis@edu.escp.eu</t>
  </si>
  <si>
    <t>c.chryssostalis@uniandes.edu.co</t>
  </si>
  <si>
    <t>MADM-4413</t>
  </si>
  <si>
    <t>MGAD-4454</t>
  </si>
  <si>
    <t>roan</t>
  </si>
  <si>
    <t>coli</t>
  </si>
  <si>
    <t>roan.coli@mail.polimi.it</t>
  </si>
  <si>
    <t>r.coli@uniandes.edu.co</t>
  </si>
  <si>
    <t>CBPC-1299</t>
  </si>
  <si>
    <t>ECON-3770</t>
  </si>
  <si>
    <t>Federico Maria</t>
  </si>
  <si>
    <t>Colombo</t>
  </si>
  <si>
    <t>f_colombo@studbocconi.it</t>
  </si>
  <si>
    <t>f.colombo@uniandes.edu.co</t>
  </si>
  <si>
    <t>MGLO-4002</t>
  </si>
  <si>
    <t>Andrea Lorenzo</t>
  </si>
  <si>
    <t>Conti</t>
  </si>
  <si>
    <t>andrealorenzo.conti@mail.polimi.it</t>
  </si>
  <si>
    <t>a.conti@uniandes.edu.co</t>
  </si>
  <si>
    <t>António Maria</t>
  </si>
  <si>
    <t>Da Cunha Jorge Payan Martins</t>
  </si>
  <si>
    <t>apayanmartins@gmail.com</t>
  </si>
  <si>
    <t>a.dac@uniandes.edu.co</t>
  </si>
  <si>
    <t>ADMI-3309</t>
  </si>
  <si>
    <t>Gaspard</t>
  </si>
  <si>
    <t>d'Arthuys</t>
  </si>
  <si>
    <t>gdarthuys@gmail.com</t>
  </si>
  <si>
    <t>g.d@uniandes.edu.co</t>
  </si>
  <si>
    <t>charlotte</t>
  </si>
  <si>
    <t>davau</t>
  </si>
  <si>
    <t>charliloute@gmail.com</t>
  </si>
  <si>
    <t>c.davau@uniandes.edu.co</t>
  </si>
  <si>
    <t>CISO-4029</t>
  </si>
  <si>
    <t>Maria Alejandra Miyuki</t>
  </si>
  <si>
    <t>Davila Nagamine</t>
  </si>
  <si>
    <t>2726163D@student.gla.ac.uk</t>
  </si>
  <si>
    <t>m.davilan@uniandes.edu.co</t>
  </si>
  <si>
    <t>GLOCAL</t>
  </si>
  <si>
    <t>Diaz Reyes</t>
  </si>
  <si>
    <t>danield75516@gmail.com</t>
  </si>
  <si>
    <t>d.diazr2@uniandes.edu.co</t>
  </si>
  <si>
    <t>Andreea-Monica</t>
  </si>
  <si>
    <t>DINKLAGE</t>
  </si>
  <si>
    <t>andreea.dinklage@gmail.com</t>
  </si>
  <si>
    <t>a.dinklage@uniandes.edu.co</t>
  </si>
  <si>
    <t>Rahmata</t>
  </si>
  <si>
    <t>DIOP</t>
  </si>
  <si>
    <t>rahmata.diop.21@neoma-bs.com</t>
  </si>
  <si>
    <t>r.diop@uniandes.edu.co</t>
  </si>
  <si>
    <t>Pierre Alexander</t>
  </si>
  <si>
    <t>East</t>
  </si>
  <si>
    <t>p.east@student.maastrichtuniversity.nl</t>
  </si>
  <si>
    <t>p.east@uniandes.edu.co</t>
  </si>
  <si>
    <t>Alexia Charlotte</t>
  </si>
  <si>
    <t>Farman-Perrin</t>
  </si>
  <si>
    <t>afarmanperri.ieu2020@student.ie.edu</t>
  </si>
  <si>
    <t>a.farman@uniandes.edu.co</t>
  </si>
  <si>
    <t>CBPC-1075</t>
  </si>
  <si>
    <t>Carlotta</t>
  </si>
  <si>
    <t>Fattarelli</t>
  </si>
  <si>
    <t>carlotta.fattarelli@mail.polimi.it</t>
  </si>
  <si>
    <t>c.fattarelli@uniandes.edu.co</t>
  </si>
  <si>
    <t>DEPO-1227</t>
  </si>
  <si>
    <t>Dennis</t>
  </si>
  <si>
    <t>Fischer</t>
  </si>
  <si>
    <t>dennis.fischer@student.maastrichtuniversity.nl</t>
  </si>
  <si>
    <t>d.fischer@uniandes.edu.co</t>
  </si>
  <si>
    <t>Thomas Bruno Laurent</t>
  </si>
  <si>
    <t>Garnier Usage Garnier - Tuck - Sherman</t>
  </si>
  <si>
    <t>thomas.garnier2@mail.mcgill.ca</t>
  </si>
  <si>
    <t>t.garnier@uniandes.edu.co</t>
  </si>
  <si>
    <t>Kévin</t>
  </si>
  <si>
    <t>Garriet</t>
  </si>
  <si>
    <t>kevin.garriet.21@neoma-bs.com</t>
  </si>
  <si>
    <t>k.garriet@uniandes.edu.co</t>
  </si>
  <si>
    <t>Leilt Assefa</t>
  </si>
  <si>
    <t>Gebeyehu</t>
  </si>
  <si>
    <t>2769982G@student.gla.ac.uk</t>
  </si>
  <si>
    <t>l.gebeyehu@uniandes.edu.co</t>
  </si>
  <si>
    <t>Alexandra</t>
  </si>
  <si>
    <t>Ghysen</t>
  </si>
  <si>
    <t>junioralexghysen@gmail.com</t>
  </si>
  <si>
    <t>a.ghysen@uniandes.edu.co</t>
  </si>
  <si>
    <t>Augustin Cédric Y</t>
  </si>
  <si>
    <t>Gilliot</t>
  </si>
  <si>
    <t>augustin.gilliot@gmail.com</t>
  </si>
  <si>
    <t>a.gilliot@uniandes.edu.co</t>
  </si>
  <si>
    <t>CEMS</t>
  </si>
  <si>
    <t>MIMC-4006</t>
  </si>
  <si>
    <t>MIMC-4007</t>
  </si>
  <si>
    <t>MIMC-4005</t>
  </si>
  <si>
    <t>Hendrik</t>
  </si>
  <si>
    <t>Götz</t>
  </si>
  <si>
    <t>hendrik.goetz@stud.the-klu.org</t>
  </si>
  <si>
    <t>h.gotz@uniandes.edu.co</t>
  </si>
  <si>
    <t>CBCA-1245</t>
  </si>
  <si>
    <t>Karolin</t>
  </si>
  <si>
    <t>Grunewald</t>
  </si>
  <si>
    <t>k.grunewald@student.maastrichtuniversity.nl</t>
  </si>
  <si>
    <t>k.grunewald@uniandes.edu.co</t>
  </si>
  <si>
    <t>Lola Alice Angéle</t>
  </si>
  <si>
    <t>Habran</t>
  </si>
  <si>
    <t>lola.habran.20.2@neoma-bs.com</t>
  </si>
  <si>
    <t>l.habran@uniandes.edu.co</t>
  </si>
  <si>
    <t>Anton</t>
  </si>
  <si>
    <t>Hahnewald</t>
  </si>
  <si>
    <t>anton.hahnewald@web.de</t>
  </si>
  <si>
    <t>a.hahnewald@uniandes.edu.co</t>
  </si>
  <si>
    <t>Dana</t>
  </si>
  <si>
    <t>Hammerich</t>
  </si>
  <si>
    <t>danahammerich@gmail.com</t>
  </si>
  <si>
    <t>d.hammerich@uniandes.edu.co</t>
  </si>
  <si>
    <t>Ambre Bertille Marie Sophie</t>
  </si>
  <si>
    <t>HENNION</t>
  </si>
  <si>
    <t>ambre.hennion@hec.edu</t>
  </si>
  <si>
    <t>a.hennion@uniandes.edu.co</t>
  </si>
  <si>
    <t>Alexandre</t>
  </si>
  <si>
    <t>Hess</t>
  </si>
  <si>
    <t>alexandre.hess@student.unisg.ch</t>
  </si>
  <si>
    <t>a.hess@uniandes.edu.co</t>
  </si>
  <si>
    <t>MIFI-4003</t>
  </si>
  <si>
    <t>MFIN-4203</t>
  </si>
  <si>
    <t>CBCO-1294</t>
  </si>
  <si>
    <t>CBCO-1411</t>
  </si>
  <si>
    <t>Hilgenga</t>
  </si>
  <si>
    <t>l.e.hilgenga@students.uu.nl</t>
  </si>
  <si>
    <t>l.hilgenga@uniandes.edu.co</t>
  </si>
  <si>
    <t>GEOC-1002</t>
  </si>
  <si>
    <t>Marta</t>
  </si>
  <si>
    <t>Inocéncio</t>
  </si>
  <si>
    <t>marta.inocencio@hotmail.com</t>
  </si>
  <si>
    <t>m.deoliveiramartins@uniandes.edu.co</t>
  </si>
  <si>
    <t>Jeanne</t>
  </si>
  <si>
    <t>Jestin</t>
  </si>
  <si>
    <t>jeanne.jestin@hec.edu</t>
  </si>
  <si>
    <t>j.jestin@uniandes.edu.co</t>
  </si>
  <si>
    <t>ECON-1001</t>
  </si>
  <si>
    <t>Iiro Aleksanteri</t>
  </si>
  <si>
    <t>Korhonen</t>
  </si>
  <si>
    <t>iiro.korhonen@aalto.fi</t>
  </si>
  <si>
    <t>i.korhonen@uniandes.edu.co</t>
  </si>
  <si>
    <t>GLOB-2101</t>
  </si>
  <si>
    <t>Julia Marguerite Cornélie</t>
  </si>
  <si>
    <t>kotlar</t>
  </si>
  <si>
    <t>julia.kotlar@audencia.com</t>
  </si>
  <si>
    <t>j.kotlar@uniandes.edu.co</t>
  </si>
  <si>
    <t>Lívia</t>
  </si>
  <si>
    <t>Lakatos</t>
  </si>
  <si>
    <t>livial@ruc.dk</t>
  </si>
  <si>
    <t>l.lakatos@uniandes.edu.co</t>
  </si>
  <si>
    <t>Rosana</t>
  </si>
  <si>
    <t>Lemaire</t>
  </si>
  <si>
    <t>rosanalmr@gmail.com</t>
  </si>
  <si>
    <t>r.lemaire@uniandes.edu.co</t>
  </si>
  <si>
    <t>Margot</t>
  </si>
  <si>
    <t>Lemoine</t>
  </si>
  <si>
    <t>margot.lemoine@audencia.com</t>
  </si>
  <si>
    <t>m.lemoine@uniandes.edu.co</t>
  </si>
  <si>
    <t>Nicola</t>
  </si>
  <si>
    <t>Letizia</t>
  </si>
  <si>
    <t>nicola.letizia@studbocconi.it</t>
  </si>
  <si>
    <t>n.letizia@uniandes.edu.co</t>
  </si>
  <si>
    <t>EGOB-1601</t>
  </si>
  <si>
    <t>Manuel</t>
  </si>
  <si>
    <t>Magalhães</t>
  </si>
  <si>
    <t>manuellimamagalhaes@gmail.com</t>
  </si>
  <si>
    <t>m.coutinho@uniandes.edu.co</t>
  </si>
  <si>
    <t>ECON-2112</t>
  </si>
  <si>
    <t>Zharkynai</t>
  </si>
  <si>
    <t>Maratbek kyzy</t>
  </si>
  <si>
    <t>maratbek_z@auca.kg</t>
  </si>
  <si>
    <t>z.maratbek@uniandes.edu.co</t>
  </si>
  <si>
    <t>Francesco Maria</t>
  </si>
  <si>
    <t>Messina</t>
  </si>
  <si>
    <t>francesco.messina2@studbocconi.it</t>
  </si>
  <si>
    <t>f.messina@uniandes.edu.co</t>
  </si>
  <si>
    <t>Juliette Suzanne Lisa</t>
  </si>
  <si>
    <t>Missioux</t>
  </si>
  <si>
    <t>juliette.missioux@audencia.com</t>
  </si>
  <si>
    <t>j.missioux@uniandes.edu.co</t>
  </si>
  <si>
    <t>Ahmed</t>
  </si>
  <si>
    <t>Mougou</t>
  </si>
  <si>
    <t>ahmed.mougou@edu.escp.eu</t>
  </si>
  <si>
    <t>a.mougou@uniandes.edu.co</t>
  </si>
  <si>
    <t>MADM-4338</t>
  </si>
  <si>
    <t>MADM-4113</t>
  </si>
  <si>
    <t>MADM-4936</t>
  </si>
  <si>
    <t>Amniya</t>
  </si>
  <si>
    <t>Muminshoeva</t>
  </si>
  <si>
    <t>muminshoeva_a@auca.kg</t>
  </si>
  <si>
    <t>a.muminshoeva@uniandes.edu.co</t>
  </si>
  <si>
    <t>CBPC-1435</t>
  </si>
  <si>
    <t>Neill</t>
  </si>
  <si>
    <t>lauraneill@live.co.uk</t>
  </si>
  <si>
    <t>l.neill@uniandes.edu.co</t>
  </si>
  <si>
    <t>Karl Axel</t>
  </si>
  <si>
    <t>NORDLIN</t>
  </si>
  <si>
    <t>axel@nordlin.com</t>
  </si>
  <si>
    <t>k.nordlin@uniandes.edu.co</t>
  </si>
  <si>
    <t>MADM-4939</t>
  </si>
  <si>
    <t>MADM-4462</t>
  </si>
  <si>
    <t>Pauline</t>
  </si>
  <si>
    <t>NUSSLE</t>
  </si>
  <si>
    <t>pauline.nussle@grenoble-em.com</t>
  </si>
  <si>
    <t>p.nussle@uniandes.edu.co</t>
  </si>
  <si>
    <t>ARTE-1144</t>
  </si>
  <si>
    <t>Mafalda</t>
  </si>
  <si>
    <t>Paixão</t>
  </si>
  <si>
    <t>paixaomafalda@gmail.com</t>
  </si>
  <si>
    <t>m.garciap23@uniandes.edu.co</t>
  </si>
  <si>
    <t>Plail</t>
  </si>
  <si>
    <t>plth22wq@student.ju.se</t>
  </si>
  <si>
    <t>t.plail@uniandes.edu.co</t>
  </si>
  <si>
    <t>Loay</t>
  </si>
  <si>
    <t>Rabky</t>
  </si>
  <si>
    <t>re.loay@gmail.com</t>
  </si>
  <si>
    <t>l.rabky@uniandes.edu.co</t>
  </si>
  <si>
    <t>ECON-1502</t>
  </si>
  <si>
    <t>Bennet</t>
  </si>
  <si>
    <t>Rauno</t>
  </si>
  <si>
    <t>raunobennet@gmail.com</t>
  </si>
  <si>
    <t>b.rauno@uniandes.edu.co</t>
  </si>
  <si>
    <t>Manuel Pedro</t>
  </si>
  <si>
    <t>Rufino Oliveira Machado Pimenta</t>
  </si>
  <si>
    <t>52167@novasbe.pt</t>
  </si>
  <si>
    <t>m.rufino@uniandes.edu.co</t>
  </si>
  <si>
    <t>Fynn</t>
  </si>
  <si>
    <t>Schaefer</t>
  </si>
  <si>
    <t>fynn@schaefer-moringen.de</t>
  </si>
  <si>
    <t>f.schaefer@uniandes.edu.co</t>
  </si>
  <si>
    <t>Lucie</t>
  </si>
  <si>
    <t>Schorderet</t>
  </si>
  <si>
    <t>lucie.schorderet@icn-artem.com</t>
  </si>
  <si>
    <t>l.schorderet@uniandes.edu.co</t>
  </si>
  <si>
    <t>Nadine</t>
  </si>
  <si>
    <t>Schuller</t>
  </si>
  <si>
    <t>nadine.schuller.art@gmail.com</t>
  </si>
  <si>
    <t>n.schuller@uniandes.edu.co</t>
  </si>
  <si>
    <t>Gypsy</t>
  </si>
  <si>
    <t>Scott</t>
  </si>
  <si>
    <t>gypsyscottany@gmail.com</t>
  </si>
  <si>
    <t>g.scott@uniandes.edu.co</t>
  </si>
  <si>
    <t>Lotfi</t>
  </si>
  <si>
    <t>Semmar</t>
  </si>
  <si>
    <t>lotfi.semmar@edu.escp.eu</t>
  </si>
  <si>
    <t>l.semmar@uniandes.edu.co</t>
  </si>
  <si>
    <t>Renzo Adriano</t>
  </si>
  <si>
    <t>STAUBLI</t>
  </si>
  <si>
    <t>renzo.staubli@student.unisg.ch</t>
  </si>
  <si>
    <t>r.staubli@uniandes.edu.co</t>
  </si>
  <si>
    <t>Guadalupe</t>
  </si>
  <si>
    <t>Tabot</t>
  </si>
  <si>
    <t>s-gtabot@ucp.pt</t>
  </si>
  <si>
    <t>g.zilhao@uniandes.edu.co</t>
  </si>
  <si>
    <t>Johanna</t>
  </si>
  <si>
    <t>Tesch</t>
  </si>
  <si>
    <t>2785604t@student.gla.ac.uk</t>
  </si>
  <si>
    <t>j.tesch@uniandes.edu.co</t>
  </si>
  <si>
    <t>Marie-Zoe Senta Rita</t>
  </si>
  <si>
    <t>Teschauer</t>
  </si>
  <si>
    <t>teschauermarie@gmail.com</t>
  </si>
  <si>
    <t>m.teschauer@uniandes.edu.co</t>
  </si>
  <si>
    <t>Apolline, Cassiopee, Marie</t>
  </si>
  <si>
    <t>Thaler</t>
  </si>
  <si>
    <t>apolline.thaler@hec.edu</t>
  </si>
  <si>
    <t>a.thaler@uniandes.edu.co</t>
  </si>
  <si>
    <t>Parchap</t>
  </si>
  <si>
    <t>thomas.parchap.21@neoma-bs.com</t>
  </si>
  <si>
    <t>t.parchap@uniandes.edu.co</t>
  </si>
  <si>
    <t>Emma Marie Benédicte</t>
  </si>
  <si>
    <t>Tiberghien</t>
  </si>
  <si>
    <t>emma.tiberghien@gmail.com</t>
  </si>
  <si>
    <t>e.tiberghien@uniandes.edu.co</t>
  </si>
  <si>
    <t>Carlo</t>
  </si>
  <si>
    <t>Tonoli</t>
  </si>
  <si>
    <t>carlo.tonoli@mail.polimi.it</t>
  </si>
  <si>
    <t>c.tonoli@uniandes.edu.co</t>
  </si>
  <si>
    <t>MGAP-4445</t>
  </si>
  <si>
    <t>Toulemonde</t>
  </si>
  <si>
    <t>paul.toulemonde@alumni.esade.edu</t>
  </si>
  <si>
    <t>p.toulemonde@uniandes.edu.co</t>
  </si>
  <si>
    <t>Andreas Erik</t>
  </si>
  <si>
    <t>Toustrup-Høegh</t>
  </si>
  <si>
    <t>anto19ac@student.cbs.dk</t>
  </si>
  <si>
    <t>a.toustrup@uniandes.edu.co</t>
  </si>
  <si>
    <t>TROUSSICOT</t>
  </si>
  <si>
    <t>paultroussicot@gmail.com</t>
  </si>
  <si>
    <t>p.troussicot@uniandes.edu.co</t>
  </si>
  <si>
    <t>Frederico</t>
  </si>
  <si>
    <t>Vale Pereira</t>
  </si>
  <si>
    <t>52056@novasbe.pt</t>
  </si>
  <si>
    <t>f.thumann@uniandes.edu.co</t>
  </si>
  <si>
    <t>Stijn Jan Christiaan</t>
  </si>
  <si>
    <t>VAN OORSCHOT</t>
  </si>
  <si>
    <t>stijn.v.oorschot@gmail.com</t>
  </si>
  <si>
    <t>s.vano@uniandes.edu.co</t>
  </si>
  <si>
    <t>Enguerrand Nicolas Marie</t>
  </si>
  <si>
    <t>Verspieren</t>
  </si>
  <si>
    <t>enguerrand.verspieren@hec.edu</t>
  </si>
  <si>
    <t>e.verspieren@uniandes.edu.co</t>
  </si>
  <si>
    <t>VIDAL</t>
  </si>
  <si>
    <t>samuel.vidal@audencia.com</t>
  </si>
  <si>
    <t>sf.vidal@uniandes.edu.co</t>
  </si>
  <si>
    <t>Ariana</t>
  </si>
  <si>
    <t>Virani</t>
  </si>
  <si>
    <t>avirani@tulane.edu</t>
  </si>
  <si>
    <t>a.virani@uniandes.edu.co</t>
  </si>
  <si>
    <t>Colin</t>
  </si>
  <si>
    <t>Vogel</t>
  </si>
  <si>
    <t>colin.vogel@hec.edu</t>
  </si>
  <si>
    <t>c.vogel@uniandes.edu.co</t>
  </si>
  <si>
    <t>Kim Lisa</t>
  </si>
  <si>
    <t>Voggel</t>
  </si>
  <si>
    <t>k.voggel@student.maastrichtuniversity.nl</t>
  </si>
  <si>
    <t>k.voggel@uniandes.edu.co</t>
  </si>
  <si>
    <t>Witteveen</t>
  </si>
  <si>
    <t>v.m.r.witteveen@students.uu.nl</t>
  </si>
  <si>
    <t>v.witteveen@uniandes.edu.co</t>
  </si>
  <si>
    <t>ARTE-1152</t>
  </si>
  <si>
    <t>Fatima</t>
  </si>
  <si>
    <t>Zarco</t>
  </si>
  <si>
    <t>A01640256@tec.mx</t>
  </si>
  <si>
    <t>f.zarco@uniandes.edu.co</t>
  </si>
  <si>
    <t>DEPO-2202</t>
  </si>
  <si>
    <t>Kesar</t>
  </si>
  <si>
    <t>Antonia Helena</t>
  </si>
  <si>
    <t>antoniakesar@gmail.com</t>
  </si>
  <si>
    <t>a.kesar@uniandes.edu.co</t>
  </si>
  <si>
    <t>Supply Chain Managment</t>
  </si>
  <si>
    <t>Toernqvist</t>
  </si>
  <si>
    <t>Maja Elin Margit</t>
  </si>
  <si>
    <t>maja.tornqvist@outlook.com</t>
  </si>
  <si>
    <t>m.toernqvist@uniandes.edu.co</t>
  </si>
  <si>
    <t>Roizarena</t>
  </si>
  <si>
    <t>roizarenasofia@gmail.com</t>
  </si>
  <si>
    <t>s.roizarena@uniandes.edu.co</t>
  </si>
  <si>
    <t>Salome Yael Sammie</t>
  </si>
  <si>
    <t>AESCHLIMANN</t>
  </si>
  <si>
    <t>salome.aeschlimann@student.unisg.ch</t>
  </si>
  <si>
    <t>s.aeschlimann@uniandes.edu.co</t>
  </si>
  <si>
    <t>EXTE</t>
  </si>
  <si>
    <t>CBCO-1013</t>
  </si>
  <si>
    <t>MGIT-4101</t>
  </si>
  <si>
    <t>CBCO-1032</t>
  </si>
  <si>
    <t>Lea</t>
  </si>
  <si>
    <t>BARTRAM</t>
  </si>
  <si>
    <t>lea@bartram-online.de</t>
  </si>
  <si>
    <t>l.bartram@uniandes.edu.co</t>
  </si>
  <si>
    <t>Michel Felix N</t>
  </si>
  <si>
    <t>BEHAGHEL DE BUEREN ECUYER</t>
  </si>
  <si>
    <t>m.behagheldebueren@student.maastrichtuniversity.nl</t>
  </si>
  <si>
    <t>m.behaghel@uniandes.edu.co</t>
  </si>
  <si>
    <t>DEPO-3502</t>
  </si>
  <si>
    <t>Sophie Ana Magdeleine</t>
  </si>
  <si>
    <t>CASTRO ROLDAN</t>
  </si>
  <si>
    <t>sophie.castro-roldan@dauphine.eu</t>
  </si>
  <si>
    <t>sa.castror1@uniandes.edu.co</t>
  </si>
  <si>
    <t>Lisa</t>
  </si>
  <si>
    <t>CORNACCHIA</t>
  </si>
  <si>
    <t>lisa.cornacchia@mail.polimi.it</t>
  </si>
  <si>
    <t>l.cornacchia@uniandes.edu.co</t>
  </si>
  <si>
    <t>Cyril</t>
  </si>
  <si>
    <t>COUDRAIS</t>
  </si>
  <si>
    <t>cyril.coudrais@edu.escp.eu</t>
  </si>
  <si>
    <t>c.coudrais@uniandes.edu.co</t>
  </si>
  <si>
    <t>DAVAU</t>
  </si>
  <si>
    <t>CISO-4887</t>
  </si>
  <si>
    <t>Caspar Leopold Albrecht Christian Maria</t>
  </si>
  <si>
    <t>FREIHERR VON MYLIUS</t>
  </si>
  <si>
    <t>c.vonmylius@student.maastrichtuniversity.nl</t>
  </si>
  <si>
    <t>c.freiherr@uniandes.edu.co</t>
  </si>
  <si>
    <t>Gabriele</t>
  </si>
  <si>
    <t>GERVASI</t>
  </si>
  <si>
    <t>gabrielegervasi2000@gmail.com</t>
  </si>
  <si>
    <t>g.gervasi@uniandes.edu.co</t>
  </si>
  <si>
    <t>CPOL-1100</t>
  </si>
  <si>
    <t>Briac Fernad Leon</t>
  </si>
  <si>
    <t>GISSEROT</t>
  </si>
  <si>
    <t>briacgisserot@yahoo.fr</t>
  </si>
  <si>
    <t>b.gisserot@uniandes.edu.co</t>
  </si>
  <si>
    <t>Alice Marie</t>
  </si>
  <si>
    <t>KERGALL</t>
  </si>
  <si>
    <t>alicekergall2003@gmail.com</t>
  </si>
  <si>
    <t>a.kergall@uniandes.edu.co</t>
  </si>
  <si>
    <t>ECON-3777</t>
  </si>
  <si>
    <t>Yujin</t>
  </si>
  <si>
    <t>KIM</t>
  </si>
  <si>
    <t>kim_y@auca.kg</t>
  </si>
  <si>
    <t>y.kim1@uniandes.edu.co</t>
  </si>
  <si>
    <t xml:space="preserve">Adrien Claude Gaston Marie Joseph </t>
  </si>
  <si>
    <t>LANGE</t>
  </si>
  <si>
    <t>adrien.lange@hec.ca</t>
  </si>
  <si>
    <t>a.lange@uniandes.edu.co</t>
  </si>
  <si>
    <t>Oscar</t>
  </si>
  <si>
    <t>Liegeois</t>
  </si>
  <si>
    <t>o.liegeois@student.maastrichtuniversity.nl</t>
  </si>
  <si>
    <t>o.liegeois@uniandes.edu.co</t>
  </si>
  <si>
    <t>Vanessa Elise Marie</t>
  </si>
  <si>
    <t>MARTIN</t>
  </si>
  <si>
    <t>vanessa.martin@audencia.com</t>
  </si>
  <si>
    <t>ve.martin@uniandes.edu.co</t>
  </si>
  <si>
    <t>MASSARI</t>
  </si>
  <si>
    <t>carlo.massari@mail.polimi.it</t>
  </si>
  <si>
    <t>c.massari@uniandes.edu.co</t>
  </si>
  <si>
    <t>Maurice Julien R</t>
  </si>
  <si>
    <t>MOT</t>
  </si>
  <si>
    <t>Mauricemot12@gmail.com</t>
  </si>
  <si>
    <t>m.mot@uniandes.edu.co</t>
  </si>
  <si>
    <t>Hector Francois Sebastien</t>
  </si>
  <si>
    <t>MOTTE</t>
  </si>
  <si>
    <t>hector.motte@gmail.com</t>
  </si>
  <si>
    <t>h.motte@uniandes.edu.co</t>
  </si>
  <si>
    <t>DEPO-1010</t>
  </si>
  <si>
    <t>DEPO-3103</t>
  </si>
  <si>
    <t>Joel Andrea</t>
  </si>
  <si>
    <t>MULLER</t>
  </si>
  <si>
    <t>joel.mueller1@students.fhnw.ch</t>
  </si>
  <si>
    <t>j.muller@uniandes.edu.co</t>
  </si>
  <si>
    <t>Antoine Patrice Jean Marie</t>
  </si>
  <si>
    <t>OLIVIERO</t>
  </si>
  <si>
    <t>antoine.oliviero@essec.edu</t>
  </si>
  <si>
    <t>a.oliviero@uniandes.edu.co</t>
  </si>
  <si>
    <t>Felix Andre Joseph</t>
  </si>
  <si>
    <t>PERRUCHOT TRIBOULET</t>
  </si>
  <si>
    <t>felix.perruchot@audencia.com</t>
  </si>
  <si>
    <t>f.perruchot@uniandes.edu.co</t>
  </si>
  <si>
    <t>PODOLSKY</t>
  </si>
  <si>
    <t>gabriel.podolsky@mail.mcgill.ca</t>
  </si>
  <si>
    <t>g.podolsky@uniandes.edu.co</t>
  </si>
  <si>
    <t>ADMI-3207</t>
  </si>
  <si>
    <t>Yente</t>
  </si>
  <si>
    <t>REYNS</t>
  </si>
  <si>
    <t>yentereyns@icloud.com</t>
  </si>
  <si>
    <t>y.reyns@uniandes.edu.co</t>
  </si>
  <si>
    <t>MMER-4366</t>
  </si>
  <si>
    <t xml:space="preserve">Niklas Esben </t>
  </si>
  <si>
    <t>ROHWER</t>
  </si>
  <si>
    <t>niklas.rohwer@stud.the-klu.org</t>
  </si>
  <si>
    <t>n.rohwer@uniandes.edu.co</t>
  </si>
  <si>
    <t xml:space="preserve">Federico Jose </t>
  </si>
  <si>
    <t>SPIERTZ</t>
  </si>
  <si>
    <t>federicospiertz@gmail.com</t>
  </si>
  <si>
    <t>f.spiertz@uniandes.edu.co</t>
  </si>
  <si>
    <t xml:space="preserve">Ana Lucia </t>
  </si>
  <si>
    <t>SUCLUPE MARTINEZ</t>
  </si>
  <si>
    <t>AL.SuclupeM@alum.up.edu.pe</t>
  </si>
  <si>
    <t>a.suclupe@uniandes.edu.co</t>
  </si>
  <si>
    <t>Gaspard Arthur Iban</t>
  </si>
  <si>
    <t>SUSINI</t>
  </si>
  <si>
    <t>gsusini.ieu2021@student.ie.edu</t>
  </si>
  <si>
    <t>g.susini@uniandes.edu.co</t>
  </si>
  <si>
    <t>Sabina</t>
  </si>
  <si>
    <t>TALANTBEK KYZY</t>
  </si>
  <si>
    <t>talantbek_s@auca.kg</t>
  </si>
  <si>
    <t>s.talantbek@uniandes.edu.co</t>
  </si>
  <si>
    <t>Alexander Christophe A</t>
  </si>
  <si>
    <t>VANDEPUTTE</t>
  </si>
  <si>
    <t>alexander-vandeputte@hotmail.com</t>
  </si>
  <si>
    <t>a.vandeputte@uniandes.edu.co</t>
  </si>
  <si>
    <t>VELASCO BOADA</t>
  </si>
  <si>
    <t>maria.velascoboada@mail.mcgill.ca</t>
  </si>
  <si>
    <t>m.velascob@uniandes.edu.co</t>
  </si>
  <si>
    <t>CPOL-2104</t>
  </si>
  <si>
    <t>LENG-2552</t>
  </si>
  <si>
    <t>Victor James Stephanie H</t>
  </si>
  <si>
    <t>VERHELST</t>
  </si>
  <si>
    <t>victor-james.verhelst@mail.mcgill.ca</t>
  </si>
  <si>
    <t>v.verhelst@uniandes.edu.co</t>
  </si>
  <si>
    <t>Capucine Louise</t>
  </si>
  <si>
    <t>capucinevidaal@gmail.com</t>
  </si>
  <si>
    <t>cl.vidal@uniandes.edu.co</t>
  </si>
  <si>
    <t>PSIG-1112</t>
  </si>
  <si>
    <t>Leopold Etienne Lucien</t>
  </si>
  <si>
    <t>VUCHOT REMY DE CAMPEAU</t>
  </si>
  <si>
    <t>leopold.vuchot@gmail.com</t>
  </si>
  <si>
    <t>l.vuchot@uniandes.edu.co</t>
  </si>
  <si>
    <t>Jaakko Matias</t>
  </si>
  <si>
    <t>VUORENKOSKI</t>
  </si>
  <si>
    <t>jaakko.vuorenkoski@gmail.com</t>
  </si>
  <si>
    <t>j.vuorenkoski@uniandes.edu.co</t>
  </si>
  <si>
    <t>GLOB-2007</t>
  </si>
  <si>
    <t>CBCA-1376</t>
  </si>
  <si>
    <t>CBCA-1000</t>
  </si>
  <si>
    <t>CASCAIS DA COSTA</t>
  </si>
  <si>
    <t>c.cascaisdacosta@gmail.com</t>
  </si>
  <si>
    <t>c.cascais@uniandes.edu.co</t>
  </si>
  <si>
    <t>MIMC-4008</t>
  </si>
  <si>
    <t>Giuliana</t>
  </si>
  <si>
    <t>DALESSANDRO</t>
  </si>
  <si>
    <t>giuliana.dalessandro@studbocconi.it</t>
  </si>
  <si>
    <t>g.dalessandro@uniandes.edu.co</t>
  </si>
  <si>
    <t>Natascha Yuki</t>
  </si>
  <si>
    <t>HAHN</t>
  </si>
  <si>
    <t>nataschayhahn@gmail.com</t>
  </si>
  <si>
    <t>n.hahn@uniandes.edu.co</t>
  </si>
  <si>
    <t>Mortiz Valentin</t>
  </si>
  <si>
    <t>HERWEH</t>
  </si>
  <si>
    <t>moritzherweh@t-online.de</t>
  </si>
  <si>
    <t>m.herweh@uniandes.edu.co</t>
  </si>
  <si>
    <t>Andre Jonathan</t>
  </si>
  <si>
    <t>OLSSON</t>
  </si>
  <si>
    <t>jonathanolsson1997@gmail.com</t>
  </si>
  <si>
    <t>a.olsson@uniandes.edu.co</t>
  </si>
  <si>
    <t>Valentin Leonard Jean Claude</t>
  </si>
  <si>
    <t>VAN WERSCH</t>
  </si>
  <si>
    <t>valentinvanwersch@hotmail.com</t>
  </si>
  <si>
    <t>v.van@uniandes.edu.co</t>
  </si>
  <si>
    <t>DEPO-1228</t>
  </si>
  <si>
    <t>Florian Rudolf</t>
  </si>
  <si>
    <t>WANDL</t>
  </si>
  <si>
    <t>Florian.wandl1@gmail.com</t>
  </si>
  <si>
    <t>f.wandl@uniandes.edu.co</t>
  </si>
  <si>
    <t>Pauline Suzanne Marie</t>
  </si>
  <si>
    <t>BITOUZET</t>
  </si>
  <si>
    <t>pauline.bitouzet@gmail.com</t>
  </si>
  <si>
    <t>p.bitouzet@uniandes.edu.co</t>
  </si>
  <si>
    <t>Myriam</t>
  </si>
  <si>
    <t>MSEDDI</t>
  </si>
  <si>
    <t>myriam.mseddi@hec.edu</t>
  </si>
  <si>
    <t>m.mseddi@uniandes.edu.co</t>
  </si>
  <si>
    <t>Lou Monique Gisele</t>
  </si>
  <si>
    <t>TORINEAU</t>
  </si>
  <si>
    <t>lou.torineau@hec.edu</t>
  </si>
  <si>
    <t>l.torineau@uniandes.edu.co</t>
  </si>
  <si>
    <t>Adel</t>
  </si>
  <si>
    <t>ADMED YAHIA</t>
  </si>
  <si>
    <t>adel.ay@hotmail.fr</t>
  </si>
  <si>
    <t>a.admed@uniandes.edu.co</t>
  </si>
  <si>
    <t>MMBA-4300</t>
  </si>
  <si>
    <t>MIMC-4021</t>
  </si>
  <si>
    <t>MMER-4360</t>
  </si>
  <si>
    <t>Giovanni</t>
  </si>
  <si>
    <t>ALETTI</t>
  </si>
  <si>
    <t>giovanni1.aletti@mail.polimi.it</t>
  </si>
  <si>
    <t>g.aletti@uniandes.edu.co</t>
  </si>
  <si>
    <t>Boldizsar</t>
  </si>
  <si>
    <t>BAKONYI</t>
  </si>
  <si>
    <t>bakonyi2017@gmail.com</t>
  </si>
  <si>
    <t>b.bakonyi@uniandes.edu.co</t>
  </si>
  <si>
    <t>DEPO-3110</t>
  </si>
  <si>
    <t>DEPO-3888</t>
  </si>
  <si>
    <t>Claudia</t>
  </si>
  <si>
    <t>BARATTO</t>
  </si>
  <si>
    <t>claudia.baratto@mail.polimi.it</t>
  </si>
  <si>
    <t>c.baratto@uniandes.edu.co</t>
  </si>
  <si>
    <t>Carlota</t>
  </si>
  <si>
    <t>BARTOLOME SEUMA</t>
  </si>
  <si>
    <t>bartolomecarlota1@gmail.com</t>
  </si>
  <si>
    <t>c.bartolome@uniandes.edu.co</t>
  </si>
  <si>
    <t>MIMC-4023</t>
  </si>
  <si>
    <t>GLOB-2104</t>
  </si>
  <si>
    <t>Litzy Cristina</t>
  </si>
  <si>
    <t>CASAS MUNOZ</t>
  </si>
  <si>
    <t>a01235903@tec.mx</t>
  </si>
  <si>
    <t>lc.casas@uniandes.edu.co</t>
  </si>
  <si>
    <t>Yin Chen</t>
  </si>
  <si>
    <t>CHIU</t>
  </si>
  <si>
    <t>109509319@g.nccu.edu.tw</t>
  </si>
  <si>
    <t>y.chiu@uniandes.edu.co</t>
  </si>
  <si>
    <t>LENG-1401</t>
  </si>
  <si>
    <t>Stijn Arthur Roy</t>
  </si>
  <si>
    <t>CLAASSENS</t>
  </si>
  <si>
    <t>s.claassens@student.maastrichtuniversity.nl</t>
  </si>
  <si>
    <t>s.claassens@uniandes.edu.co</t>
  </si>
  <si>
    <t>Clelia Nathalie</t>
  </si>
  <si>
    <t>CORDIER</t>
  </si>
  <si>
    <t>clelia.cordier@grenoble-em.com</t>
  </si>
  <si>
    <t>c.cordier@uniandes.edu.co</t>
  </si>
  <si>
    <t>Antton Marc</t>
  </si>
  <si>
    <t>COURTOIS</t>
  </si>
  <si>
    <t>antton.courtois@gmail.com</t>
  </si>
  <si>
    <t>a.courtois@uniandes.edu.co</t>
  </si>
  <si>
    <t>Edoardo Maurizio</t>
  </si>
  <si>
    <t>DE LEO</t>
  </si>
  <si>
    <t>edoardo.deleo2@studbocconi.it</t>
  </si>
  <si>
    <t>e.del@uniandes.edu.co</t>
  </si>
  <si>
    <t>ADMI-3236</t>
  </si>
  <si>
    <t>MADM-4151</t>
  </si>
  <si>
    <t>Romain Thomas Marie</t>
  </si>
  <si>
    <t>DELAIRE</t>
  </si>
  <si>
    <t>romaindelaire03@gmail.com</t>
  </si>
  <si>
    <t>r.delaire@uniandes.edu.co</t>
  </si>
  <si>
    <t>ECON-1001C</t>
  </si>
  <si>
    <t>Sami</t>
  </si>
  <si>
    <t>EL BOUSSELMI</t>
  </si>
  <si>
    <t>s.elbousselmi@student.maastrichtuniversity.nl</t>
  </si>
  <si>
    <t>s.el@uniandes.edu.co</t>
  </si>
  <si>
    <t>MGPD-4447</t>
  </si>
  <si>
    <t>MIIA-4400</t>
  </si>
  <si>
    <t>Karolina</t>
  </si>
  <si>
    <t>FREYER</t>
  </si>
  <si>
    <t>karolinka.freyer@gmail.com</t>
  </si>
  <si>
    <t>k.freyer@uniandes.edu.co</t>
  </si>
  <si>
    <t>Lou Mai Chi</t>
  </si>
  <si>
    <t>GANDOLPHE</t>
  </si>
  <si>
    <t>lou.gandolphe@dauphine.eu</t>
  </si>
  <si>
    <t>l.gandolphe@uniandes.edu.co</t>
  </si>
  <si>
    <t>Oskar</t>
  </si>
  <si>
    <t>GIEBICHENSTEIN</t>
  </si>
  <si>
    <t>o.giebichenstein@student.maastrichtuniversity.nl</t>
  </si>
  <si>
    <t>o.giebichenstein@uniandes.edu.co</t>
  </si>
  <si>
    <t>GOULAO RIBEIRO CRISPIM</t>
  </si>
  <si>
    <t>carolcrispim2004@gmail.com</t>
  </si>
  <si>
    <t>c.goulao@uniandes.edu.co</t>
  </si>
  <si>
    <t>Juliette Nicole Dominique</t>
  </si>
  <si>
    <t>HAMERY</t>
  </si>
  <si>
    <t>juliette.hamery@essec.edu</t>
  </si>
  <si>
    <t>j.hamery@uniandes.edu.co</t>
  </si>
  <si>
    <t>MGAD-4451</t>
  </si>
  <si>
    <t>Harry</t>
  </si>
  <si>
    <t>HELLBERG YANCI</t>
  </si>
  <si>
    <t>harryhellberg@outlook.com</t>
  </si>
  <si>
    <t>h.hellberg@uniandes.edu.co</t>
  </si>
  <si>
    <t>GLOB-1200</t>
  </si>
  <si>
    <t>Eugenie Marie</t>
  </si>
  <si>
    <t>HENAUT</t>
  </si>
  <si>
    <t>eugenie.henaut@edu.escp.eu</t>
  </si>
  <si>
    <t>e.henaut@uniandes.edu.co</t>
  </si>
  <si>
    <t>Teimo Tanaphorn</t>
  </si>
  <si>
    <t>ISARASAKDATIKUL</t>
  </si>
  <si>
    <t>teimo.isarasakdatikul@etu.unige.ch</t>
  </si>
  <si>
    <t>t.isarasakdatikul@uniandes.edu.co</t>
  </si>
  <si>
    <t>Tobias Leonard Hubert</t>
  </si>
  <si>
    <t>JACOBS</t>
  </si>
  <si>
    <t>tobiasjacobs02@gmail.com</t>
  </si>
  <si>
    <t>t.jacobs@uniandes.edu.co</t>
  </si>
  <si>
    <t>Ines Juliette Brigitte</t>
  </si>
  <si>
    <t>LARCENET</t>
  </si>
  <si>
    <t>ines.larcenet.22@neoma-bs.com</t>
  </si>
  <si>
    <t>i.larcenet@uniandes.edu.co</t>
  </si>
  <si>
    <t>Adelaïde Marie</t>
  </si>
  <si>
    <t>MADET USAGE MA</t>
  </si>
  <si>
    <t>adel.madet@gmail.com</t>
  </si>
  <si>
    <t>a.madet@uniandes.edu.co</t>
  </si>
  <si>
    <t>Giorgio</t>
  </si>
  <si>
    <t>MARINO</t>
  </si>
  <si>
    <t>giorgio.marino@studbocconi.it</t>
  </si>
  <si>
    <t>g.marino1@uniandes.edu.co</t>
  </si>
  <si>
    <t>Fiona Manon Benedicte</t>
  </si>
  <si>
    <t>fiona.martin@edu.escp.eu</t>
  </si>
  <si>
    <t>f.martin@uniandes.edu.co</t>
  </si>
  <si>
    <t>Charles True Barger</t>
  </si>
  <si>
    <t>MCGINLEY</t>
  </si>
  <si>
    <t>cmcginley@tulane.edu</t>
  </si>
  <si>
    <t>c.mcginley@uniandes.edu.co</t>
  </si>
  <si>
    <t>Francesco</t>
  </si>
  <si>
    <t>PATRIZI</t>
  </si>
  <si>
    <t>francesco.patrizi@mail.polimi.it</t>
  </si>
  <si>
    <t>f.patrizi@uniandes.edu.co</t>
  </si>
  <si>
    <t>DEPO-1255</t>
  </si>
  <si>
    <t>PORTUGAL COSTA TAVARES DOS REIS</t>
  </si>
  <si>
    <t>s-mpcreis@ucp.pt</t>
  </si>
  <si>
    <t>m.portugal@uniandes.edu.co</t>
  </si>
  <si>
    <t>Marine Cerise Philippine Zoe</t>
  </si>
  <si>
    <t>PRIETO</t>
  </si>
  <si>
    <t>b00806868@essec.edu</t>
  </si>
  <si>
    <t>mc.prieto23@uniandes.edu.co</t>
  </si>
  <si>
    <t>CISO-1303</t>
  </si>
  <si>
    <t>CBCA-1223</t>
  </si>
  <si>
    <t>CBCO-1080</t>
  </si>
  <si>
    <t>Jacopo Giulio Michele</t>
  </si>
  <si>
    <t>RASO</t>
  </si>
  <si>
    <t>jacopo.raso@outlook.it</t>
  </si>
  <si>
    <t>j.raso@uniandes.edu.co</t>
  </si>
  <si>
    <t>Alec James</t>
  </si>
  <si>
    <t>RILEY</t>
  </si>
  <si>
    <t>ariley5@tulane.edu</t>
  </si>
  <si>
    <t>a.riley@uniandes.edu.co</t>
  </si>
  <si>
    <t>CPOL-2448</t>
  </si>
  <si>
    <t>GLOB-2010</t>
  </si>
  <si>
    <t>CBCA-1465</t>
  </si>
  <si>
    <t>Saku Petteri</t>
  </si>
  <si>
    <t>RISTOLAINEN</t>
  </si>
  <si>
    <t>saku.ristolainen@aalto.fi</t>
  </si>
  <si>
    <t>s.ristolainen@uniandes.edu.co</t>
  </si>
  <si>
    <t>GEOC-3504</t>
  </si>
  <si>
    <t>Camillo</t>
  </si>
  <si>
    <t>ROSSETTI</t>
  </si>
  <si>
    <t>camillo1.rossetti@mail.polimi.it</t>
  </si>
  <si>
    <t>c.rossetti@uniandes.edu.co</t>
  </si>
  <si>
    <t>IIND-4200</t>
  </si>
  <si>
    <t>ROVIRA SCHMITT</t>
  </si>
  <si>
    <t>carolina.rovira@etu.unige.ch</t>
  </si>
  <si>
    <t>c.rovira@uniandes.edu.co</t>
  </si>
  <si>
    <t>MADM-4934</t>
  </si>
  <si>
    <t>ECON-3772</t>
  </si>
  <si>
    <t>ARTE-1142</t>
  </si>
  <si>
    <t>Defne</t>
  </si>
  <si>
    <t>SALLI</t>
  </si>
  <si>
    <t>defne.salli@etu.unige.ch</t>
  </si>
  <si>
    <t>d.salli@uniandes.edu.co</t>
  </si>
  <si>
    <t>EGOB-4006</t>
  </si>
  <si>
    <t>GEOC-1006</t>
  </si>
  <si>
    <t>Quentin Pierre Louis</t>
  </si>
  <si>
    <t>SOUBRANE</t>
  </si>
  <si>
    <t>quentin.soubrane@essec.edu</t>
  </si>
  <si>
    <t>q.soubrane@uniandes.edu.co</t>
  </si>
  <si>
    <t>Hana</t>
  </si>
  <si>
    <t>STOLLAROVA</t>
  </si>
  <si>
    <t>hanastollarova@gmail.com</t>
  </si>
  <si>
    <t>h.stollarova@uniandes.edu.co</t>
  </si>
  <si>
    <t>SYDOW</t>
  </si>
  <si>
    <t>lisa.sydow@etu.unige.ch</t>
  </si>
  <si>
    <t>l.sydow@uniandes.edu.co</t>
  </si>
  <si>
    <t>CIDE-4309</t>
  </si>
  <si>
    <t>CISO-4035</t>
  </si>
  <si>
    <t>CISO-4616</t>
  </si>
  <si>
    <t>Giulia</t>
  </si>
  <si>
    <t>TORNIAMENTI</t>
  </si>
  <si>
    <t>giulia.torniamenti2@studbocconi.it</t>
  </si>
  <si>
    <t>g.torniamenti@uniandes.edu.co</t>
  </si>
  <si>
    <t>IIND-3400</t>
  </si>
  <si>
    <t>Cas</t>
  </si>
  <si>
    <t>VAN BERKOM</t>
  </si>
  <si>
    <t>casvanberkom@gmail.com</t>
  </si>
  <si>
    <t>c.van@uniandes.edu.co</t>
  </si>
  <si>
    <t>Velislava Yosifova</t>
  </si>
  <si>
    <t>VASILEVA</t>
  </si>
  <si>
    <t>v.vasileva@uu.nl</t>
  </si>
  <si>
    <t>v.vasileva@uniandes.edu.co</t>
  </si>
  <si>
    <t>Maria Agustina</t>
  </si>
  <si>
    <t>VEGA</t>
  </si>
  <si>
    <t>vegam@udesa.edu.ar</t>
  </si>
  <si>
    <t>ma.vega2@uniandes.edu.co</t>
  </si>
  <si>
    <t>MMER-4335</t>
  </si>
  <si>
    <t>MMER-4345</t>
  </si>
  <si>
    <t>LENG-2107</t>
  </si>
  <si>
    <t>LENG-2109</t>
  </si>
  <si>
    <t>MMER-4200</t>
  </si>
  <si>
    <t>MMER-4370</t>
  </si>
  <si>
    <t>Luis Cedric</t>
  </si>
  <si>
    <t>VERING</t>
  </si>
  <si>
    <t>luis.vering@tum.de</t>
  </si>
  <si>
    <t>l.vering@uniandes.edu.co</t>
  </si>
  <si>
    <t>Noa Niclas</t>
  </si>
  <si>
    <t>WEDEKIND</t>
  </si>
  <si>
    <t>noaniclas.wedekind@student.unisg.ch</t>
  </si>
  <si>
    <t>n.wedekind@uniandes.edu.co</t>
  </si>
  <si>
    <t>ARTE-2242</t>
  </si>
  <si>
    <t>MBIT-4201</t>
  </si>
  <si>
    <t>MIMC-4022</t>
  </si>
  <si>
    <t>Anastasia Violetta</t>
  </si>
  <si>
    <t>WLASCHEK</t>
  </si>
  <si>
    <t>anastasiavioletta.wlaschek@alumni.esade.edu</t>
  </si>
  <si>
    <t>a.wlaschek@uniandes.edu.co</t>
  </si>
  <si>
    <t>Jorge Mario</t>
  </si>
  <si>
    <t>Caceres Rincon</t>
  </si>
  <si>
    <t>jorge@mgmt.au.dk</t>
  </si>
  <si>
    <t>jm.caceres@uniandes.edu.co</t>
  </si>
  <si>
    <t>Hedda Ingrid Louise</t>
  </si>
  <si>
    <t>Thomson EK</t>
  </si>
  <si>
    <t>hedda.thomson@mespom.eu</t>
  </si>
  <si>
    <t>h.thomson@uniandes.edu.co</t>
  </si>
  <si>
    <t>CODS - Centro de Desarrollo Sostenible para América Latina</t>
  </si>
  <si>
    <t>Dulsse Maria</t>
  </si>
  <si>
    <t>Luna Amigot</t>
  </si>
  <si>
    <t>dulsse.amigot@gmail.com</t>
  </si>
  <si>
    <t>d.lunaa@uniandes.edu.co</t>
  </si>
  <si>
    <t>Escuela de Posgrados</t>
  </si>
  <si>
    <t>Carter</t>
  </si>
  <si>
    <t>Joseph Timothy</t>
  </si>
  <si>
    <t>joseph.carter996@gmail.com</t>
  </si>
  <si>
    <t>j.carter@uniandes.edu.co</t>
  </si>
  <si>
    <t>Zlatar de Rossi</t>
  </si>
  <si>
    <t>Fiorenza Carolina</t>
  </si>
  <si>
    <t>fiorenza.zderossi@gmail.com</t>
  </si>
  <si>
    <t>f.zlatar@uniandes.edu.co</t>
  </si>
  <si>
    <t>Carla</t>
  </si>
  <si>
    <t>Amalou Usage Amalou Elmaleh</t>
  </si>
  <si>
    <t>carla.amalou@audencia.com</t>
  </si>
  <si>
    <t>c.amalou@uniandes.edu.co</t>
  </si>
  <si>
    <t>Mathis</t>
  </si>
  <si>
    <t>Bourguet</t>
  </si>
  <si>
    <t>mathis.bourguet@hec.edu</t>
  </si>
  <si>
    <t>m.bourguet@uniandes.edu.co</t>
  </si>
  <si>
    <t>CBCA-1406</t>
  </si>
  <si>
    <t>MDER-4503</t>
  </si>
  <si>
    <t>EGOB-4545</t>
  </si>
  <si>
    <t>CBPC-1380</t>
  </si>
  <si>
    <t>Jade Adèle Marie</t>
  </si>
  <si>
    <t>Lange</t>
  </si>
  <si>
    <t>jade.lange@hec.edu</t>
  </si>
  <si>
    <t>j.lange@uniandes.edu.co</t>
  </si>
  <si>
    <t>Lola Josiane</t>
  </si>
  <si>
    <t>Sberro</t>
  </si>
  <si>
    <t>lolasberro@yahoo.com</t>
  </si>
  <si>
    <t>l.sberro@uniandes.edu.co</t>
  </si>
  <si>
    <t>DEIN-4855</t>
  </si>
  <si>
    <t>Juliette Marie Helene</t>
  </si>
  <si>
    <t>Berthier</t>
  </si>
  <si>
    <t>juliette.berthier@hec.edu</t>
  </si>
  <si>
    <t>j.berthier@uniandes.edu.co</t>
  </si>
  <si>
    <t>Virginia</t>
  </si>
  <si>
    <t>Rodriguez Rodriguez</t>
  </si>
  <si>
    <t>a01737501@tec.mx</t>
  </si>
  <si>
    <t>v.rodriguezr@uniandes.edu.co</t>
  </si>
  <si>
    <t>ADMI-3109</t>
  </si>
  <si>
    <t>Illia</t>
  </si>
  <si>
    <t>Kazakov</t>
  </si>
  <si>
    <t>illia.kazakov@stud.klu.org</t>
  </si>
  <si>
    <t>i.kazakov@uniandes.edu.co</t>
  </si>
  <si>
    <t>Nikita</t>
  </si>
  <si>
    <t>Zaplavskyi</t>
  </si>
  <si>
    <t>nikita.zaplavskyi@stud.klu.org</t>
  </si>
  <si>
    <t>n.zaplavskyi@uniandes.edu.co</t>
  </si>
  <si>
    <t>Maximilien Philippe L</t>
  </si>
  <si>
    <t>Francois</t>
  </si>
  <si>
    <t>maxmaxfrancois@yahoo.com</t>
  </si>
  <si>
    <t>m.francois@uniandes.edu.co</t>
  </si>
  <si>
    <t>Nikolaus Wolf Ludwig Antonius</t>
  </si>
  <si>
    <t>Freiherr Von Salmuth</t>
  </si>
  <si>
    <t>n.freiherrvonsalmuth@student.maastrichtuniversity.nl</t>
  </si>
  <si>
    <t>n.freiherrv@uniandes.edu.co</t>
  </si>
  <si>
    <t>Luise Cecilie Margarethe</t>
  </si>
  <si>
    <t>Krawinkel</t>
  </si>
  <si>
    <t>l.krawinkel@student.maastrichtuniversity.nl</t>
  </si>
  <si>
    <t>l.krawinkel@uniandes.edu.co</t>
  </si>
  <si>
    <t>Chloé Anna Claude</t>
  </si>
  <si>
    <t>Leplâtre</t>
  </si>
  <si>
    <t>chloeleplatre@gmail.com</t>
  </si>
  <si>
    <t>c.leplatre@uniandes.edu.co</t>
  </si>
  <si>
    <t>Anaelle Ines Marielle</t>
  </si>
  <si>
    <t>Moreau</t>
  </si>
  <si>
    <t>anaellemoreau@orange.fr</t>
  </si>
  <si>
    <t>a.moreau@uniandes.edu.co</t>
  </si>
  <si>
    <t>Maximilian</t>
  </si>
  <si>
    <t>Paasen</t>
  </si>
  <si>
    <t>maximilian.paasen@student.maastrichtuniversity.nl</t>
  </si>
  <si>
    <t>m.paasen@uniandes.edu.co</t>
  </si>
  <si>
    <t>Jo Pauline</t>
  </si>
  <si>
    <t>Pfitzenmaier</t>
  </si>
  <si>
    <t>jo.pfitzenmaier@gmail.com</t>
  </si>
  <si>
    <t>j.pfitzenmaier@uniandes.edu.co</t>
  </si>
  <si>
    <t>Edouard Denis</t>
  </si>
  <si>
    <t>Vanesse</t>
  </si>
  <si>
    <t>edouard.vanesse@gmail.com</t>
  </si>
  <si>
    <t>e.vanesse@uniandes.edu.co</t>
  </si>
  <si>
    <t>Martin Jean Joseph</t>
  </si>
  <si>
    <t>Rouviere</t>
  </si>
  <si>
    <t>martin.rouviere@mail.mcgill.ca</t>
  </si>
  <si>
    <t>m.rouviere@uniandes.edu.co</t>
  </si>
  <si>
    <t>Lina Martine Madeleine</t>
  </si>
  <si>
    <t>Delion</t>
  </si>
  <si>
    <t>lina.delion2@gmail.com</t>
  </si>
  <si>
    <t>l.delion@uniandes.edu.co</t>
  </si>
  <si>
    <t>ADMI-3311</t>
  </si>
  <si>
    <t>Monticelli</t>
  </si>
  <si>
    <t>carlo1.monticelli@mail.polimi.it</t>
  </si>
  <si>
    <t>c.monticelli@uniandes.edu.co</t>
  </si>
  <si>
    <t>ADMI-2554</t>
  </si>
  <si>
    <t>Rebecca Bailey Maliwan</t>
  </si>
  <si>
    <t>Bollich</t>
  </si>
  <si>
    <t>rbollich1@tulane.edu</t>
  </si>
  <si>
    <t>r.bollich@uniandes.edu.co</t>
  </si>
  <si>
    <t>Ian David</t>
  </si>
  <si>
    <t>Carstairs</t>
  </si>
  <si>
    <t>icarstairs@tulane.edu</t>
  </si>
  <si>
    <t>i.carstairs@uniandes.edu.co</t>
  </si>
  <si>
    <t>Mitchell Ari</t>
  </si>
  <si>
    <t>Spector</t>
  </si>
  <si>
    <t>mspector2@tulane.edu</t>
  </si>
  <si>
    <t>m.spector@uniandes.edu.co</t>
  </si>
  <si>
    <t>HIST-3326</t>
  </si>
  <si>
    <t>PSIG-2304</t>
  </si>
  <si>
    <t>Llusco Mamani</t>
  </si>
  <si>
    <t>fatimalluscomamani@gmail.com</t>
  </si>
  <si>
    <t>f.llusco@uniandes.edu.co</t>
  </si>
  <si>
    <t>ADMI-3138</t>
  </si>
  <si>
    <t>Daniel Caleb</t>
  </si>
  <si>
    <t>Herrera Allca</t>
  </si>
  <si>
    <t>dc.herreraa@alum.up.edu.pe</t>
  </si>
  <si>
    <t>dc.herrera@uniandes.edu.co</t>
  </si>
  <si>
    <t>Inès Aurore</t>
  </si>
  <si>
    <t>Lecapitaine</t>
  </si>
  <si>
    <t>ines.lecapitaine@dauphine.eu</t>
  </si>
  <si>
    <t>i.lecapitaine@uniandes.edu.co</t>
  </si>
  <si>
    <t>Mohammad Faris Bin</t>
  </si>
  <si>
    <t>Mohd Fairusham</t>
  </si>
  <si>
    <t>farisfair@gmail.com</t>
  </si>
  <si>
    <t>f.fairusham@uniandes.edu.co</t>
  </si>
  <si>
    <t>DEPO-1243</t>
  </si>
  <si>
    <t>Clara Ruth Maria</t>
  </si>
  <si>
    <t>Ritzenhoff</t>
  </si>
  <si>
    <t>Zeppelin Universität</t>
  </si>
  <si>
    <t>c.ritzenhoff@zeppelin-university.net</t>
  </si>
  <si>
    <t>c.ritzenhoff@uniandes.edu.co</t>
  </si>
  <si>
    <t>Lorenz Carl Nicolaus  Maria Melchior Marcus</t>
  </si>
  <si>
    <t>Habsburg-Lothringen</t>
  </si>
  <si>
    <t>lorenz.vhbg@gmail.com</t>
  </si>
  <si>
    <t>l.habsburg@uniandes.edu.co</t>
  </si>
  <si>
    <t>Carl</t>
  </si>
  <si>
    <t>Jacobi</t>
  </si>
  <si>
    <t>carl.jacobi@students.uni-mannheim.de</t>
  </si>
  <si>
    <t>c.jacobi@uniandes.edu.co</t>
  </si>
  <si>
    <t>MFIN-4213</t>
  </si>
  <si>
    <t>MFIN-4218</t>
  </si>
  <si>
    <t>Robillard</t>
  </si>
  <si>
    <t>l.robillard@audencia.com</t>
  </si>
  <si>
    <t>l.robillard@uniandes.edu.co</t>
  </si>
  <si>
    <t>ADMI-1412</t>
  </si>
  <si>
    <t>Philippe Christian Andre Marie</t>
  </si>
  <si>
    <t>Boinet</t>
  </si>
  <si>
    <t>philippe.boinet@edu.escp.eu</t>
  </si>
  <si>
    <t>p.boinet@uniandes.edu.co</t>
  </si>
  <si>
    <t>MGPD-4448</t>
  </si>
  <si>
    <t>Esteban Paul Enzo</t>
  </si>
  <si>
    <t>Delahaye</t>
  </si>
  <si>
    <t>esteban.delahaye@edu.escp.eu</t>
  </si>
  <si>
    <t>e.delahaye@uniandes.edu.co</t>
  </si>
  <si>
    <t>Alan Gabriel</t>
  </si>
  <si>
    <t>Cheneval Escobar</t>
  </si>
  <si>
    <t>alan.chenevalescobar@gmail.com</t>
  </si>
  <si>
    <t>a.cheneval@uniandes.edu.co</t>
  </si>
  <si>
    <t>Nik</t>
  </si>
  <si>
    <t>Bartel</t>
  </si>
  <si>
    <t>57532@novasbe.pt</t>
  </si>
  <si>
    <t>n.bartel@uniandes.edu.co</t>
  </si>
  <si>
    <t>Piazzini</t>
  </si>
  <si>
    <t>lorenzopiazzini@icloud.com</t>
  </si>
  <si>
    <t>l.piazzini@uniandes.edu.co</t>
  </si>
  <si>
    <t>MMBA-4602</t>
  </si>
  <si>
    <t>MMBA-4503</t>
  </si>
  <si>
    <t>EGOB-4105</t>
  </si>
  <si>
    <t>Mohsin</t>
  </si>
  <si>
    <t>Abrar</t>
  </si>
  <si>
    <t>mohsin.abrar@uni-bayreuth.de</t>
  </si>
  <si>
    <t>m.abrar@uniandes.edu.co</t>
  </si>
  <si>
    <t>LENG-2613</t>
  </si>
  <si>
    <t>Elia</t>
  </si>
  <si>
    <t>Brambilla</t>
  </si>
  <si>
    <t>eliabrambilla27@gmail.com</t>
  </si>
  <si>
    <t>e.brambilla@uniandes.edu.co</t>
  </si>
  <si>
    <t>MMER-4303</t>
  </si>
  <si>
    <t>Conversión Nombres Universidades a KPIs</t>
  </si>
  <si>
    <t>Códigos de programas</t>
  </si>
  <si>
    <t>Pais</t>
  </si>
  <si>
    <t>Convenio</t>
  </si>
  <si>
    <t>Movilidad?</t>
  </si>
  <si>
    <t>ADMI</t>
  </si>
  <si>
    <t>Específico</t>
  </si>
  <si>
    <t>MADM</t>
  </si>
  <si>
    <t>MGAP</t>
  </si>
  <si>
    <t>MSCM</t>
  </si>
  <si>
    <t>MMER</t>
  </si>
  <si>
    <t>MFIN</t>
  </si>
  <si>
    <t>MIFI</t>
  </si>
  <si>
    <t>Master in International Finance</t>
  </si>
  <si>
    <t>MIMC</t>
  </si>
  <si>
    <t>Master in international Management</t>
  </si>
  <si>
    <t>MGPD</t>
  </si>
  <si>
    <t>MBAFT</t>
  </si>
  <si>
    <t>Centro de Investigación y Docencia Económicas</t>
  </si>
  <si>
    <t>Chung-Ang University</t>
  </si>
  <si>
    <t>Korea, Republic of</t>
  </si>
  <si>
    <t>MBA Part Time</t>
  </si>
  <si>
    <t>Fundação Dom Cabral</t>
  </si>
  <si>
    <t>MSM</t>
  </si>
  <si>
    <t>École nationale supérieure d’Arts et Métiers</t>
  </si>
  <si>
    <t>MIA</t>
  </si>
  <si>
    <t>Freie Universität Berlin</t>
  </si>
  <si>
    <t>IMT Atlantique</t>
  </si>
  <si>
    <t>Institut National Polytechnique de Toulouse</t>
  </si>
  <si>
    <t>Universidade Federal Rural de Rio de Janeiro</t>
  </si>
  <si>
    <t>Kungliga Tekniska högskolan (KTH)</t>
  </si>
  <si>
    <t>University of Nottingham</t>
  </si>
  <si>
    <t>University of Sofia</t>
  </si>
  <si>
    <t>Technische Universiteit Eindhoven</t>
  </si>
  <si>
    <t>Universidad de Lima</t>
  </si>
  <si>
    <t>Universidad de Monterrey</t>
  </si>
  <si>
    <t>Universidade de Lisboa</t>
  </si>
  <si>
    <t>Universität Potsdam</t>
  </si>
  <si>
    <t>Universität Stuttgart</t>
  </si>
  <si>
    <t>Université Bordeaux Montaigne</t>
  </si>
  <si>
    <t>Université de Fribourg</t>
  </si>
  <si>
    <t>Université de Montpellier</t>
  </si>
  <si>
    <t>University of California, Los Angeles</t>
  </si>
  <si>
    <t>Zeppelin University</t>
  </si>
  <si>
    <t>Undergraduate</t>
  </si>
  <si>
    <t>Pasaporte</t>
  </si>
  <si>
    <t>Pais Universidad</t>
  </si>
  <si>
    <t>Cuenta alterna</t>
  </si>
  <si>
    <t xml:space="preserve">Población </t>
  </si>
  <si>
    <t>Grupo banner</t>
  </si>
  <si>
    <t>Facultad</t>
  </si>
  <si>
    <t>Programa</t>
  </si>
  <si>
    <t>Profesor</t>
  </si>
  <si>
    <t>Mail profesor</t>
  </si>
  <si>
    <t>Fecha inicio</t>
  </si>
  <si>
    <t>Fecha Fin</t>
  </si>
  <si>
    <t>Duración (DD)</t>
  </si>
  <si>
    <t>Facultad de Administración</t>
  </si>
  <si>
    <t>Marcus Thiell</t>
  </si>
  <si>
    <t>elvira.kaneberg@ju.se</t>
  </si>
  <si>
    <t>N/A</t>
  </si>
  <si>
    <t>AA0145481</t>
  </si>
  <si>
    <t>a.valenciah2@uniandes.edu.co</t>
  </si>
  <si>
    <t>Valencia Hoyos</t>
  </si>
  <si>
    <t>Alejandro Valencia Hoyos</t>
  </si>
  <si>
    <t>i.blancor2@uniandes.edu.co</t>
  </si>
  <si>
    <t>Blanco Ramirez</t>
  </si>
  <si>
    <t>Isabella Blanco Ramirez</t>
  </si>
  <si>
    <t>g.castiblancoc@uniandes.edu.co</t>
  </si>
  <si>
    <t>German Alejandro</t>
  </si>
  <si>
    <t>Castiblanco Cano</t>
  </si>
  <si>
    <t>German Alejandro Castiblanco Cano</t>
  </si>
  <si>
    <t>i.cuadro@uniandes.edu.co</t>
  </si>
  <si>
    <t>Cuadro Sanchez</t>
  </si>
  <si>
    <t>Isabella Cuadro Sanchez</t>
  </si>
  <si>
    <t>m.klahr@uniandes.edu.co</t>
  </si>
  <si>
    <t>Maria</t>
  </si>
  <si>
    <t>Klahr Aragon</t>
  </si>
  <si>
    <t>Maria Klahr Aragon</t>
  </si>
  <si>
    <t>je.reyesr@uniandes.edu.co</t>
  </si>
  <si>
    <t>Reyes Rozo</t>
  </si>
  <si>
    <t>Juan Esteban Reyes Rozo</t>
  </si>
  <si>
    <t>Nankai University</t>
  </si>
  <si>
    <t>mp.ramirezp1@uniandes.edu.co</t>
  </si>
  <si>
    <t>Ramirez Pulido</t>
  </si>
  <si>
    <t>Maria Paula Ramirez Pulido</t>
  </si>
  <si>
    <t>a.villegasd@uniandes.edu.co</t>
  </si>
  <si>
    <t>Villegas De Pombo</t>
  </si>
  <si>
    <t>Antonio Villegas De Pombo</t>
  </si>
  <si>
    <t>c.turriago@uniandes.edu.co</t>
  </si>
  <si>
    <t>Turriago Saldarriaga</t>
  </si>
  <si>
    <t>Camilo Turriago Saldarriaga</t>
  </si>
  <si>
    <t>a.umanas@uniandes.edu.co</t>
  </si>
  <si>
    <t>Umaña Samper</t>
  </si>
  <si>
    <t>Andres Umaña Samper</t>
  </si>
  <si>
    <t>m.corredorg@uniandes.edu.co</t>
  </si>
  <si>
    <t>Corredor Garcia</t>
  </si>
  <si>
    <t>Maria Paula Corredor Garcia</t>
  </si>
  <si>
    <t>d.duarte1@uniandes.edu.co</t>
  </si>
  <si>
    <t>Duarte Fayad</t>
  </si>
  <si>
    <t>Daniel Duarte Fayad</t>
  </si>
  <si>
    <t>mj.pineda@uniandes.edu.co</t>
  </si>
  <si>
    <t>Maria Juliana</t>
  </si>
  <si>
    <t>Pineda Orduz</t>
  </si>
  <si>
    <t>Maria Juliana Pineda Orduz</t>
  </si>
  <si>
    <t>c.puentesg2@uniandes.edu.co</t>
  </si>
  <si>
    <t>Puentes Gomez</t>
  </si>
  <si>
    <t>Camila Puentes Gomez</t>
  </si>
  <si>
    <t>j.cruzo@uniandes.edu.co</t>
  </si>
  <si>
    <t>Cruz Olaya</t>
  </si>
  <si>
    <t>Juan Sebastian Cruz Olaya</t>
  </si>
  <si>
    <t>s.bustosr@uniandes.edu.co</t>
  </si>
  <si>
    <t>Bustos Ramirez</t>
  </si>
  <si>
    <t>Sebastian Bustos Ramirez</t>
  </si>
  <si>
    <t>j.caycedol@uniandes.edu.co</t>
  </si>
  <si>
    <t>Caycedo León</t>
  </si>
  <si>
    <t>Juan David Caycedo León</t>
  </si>
  <si>
    <t>ls.mendez@uniandes.edu.co</t>
  </si>
  <si>
    <t>Mendez Avellaneda</t>
  </si>
  <si>
    <t>Laura Sofia Mendez Avellaneda</t>
  </si>
  <si>
    <t>m.santiagop@uniandes.edu.co</t>
  </si>
  <si>
    <t>Santiago Patino</t>
  </si>
  <si>
    <t>Manuela Santiago Patino</t>
  </si>
  <si>
    <t>s.marin11@uniandes.edu.co</t>
  </si>
  <si>
    <t>Marin Tobon</t>
  </si>
  <si>
    <t>Samuel Marin Tobon</t>
  </si>
  <si>
    <t>j.fajardob@uniandes.edu.co</t>
  </si>
  <si>
    <t>Jeronimo</t>
  </si>
  <si>
    <t>Fajardo Baquero</t>
  </si>
  <si>
    <t>Jeronimo Fajardo Baquero</t>
  </si>
  <si>
    <t>mc.vasquezo1@uniandes.edu.co</t>
  </si>
  <si>
    <t>Vasquez Osma</t>
  </si>
  <si>
    <t>Maria Camila Vasquez Osma</t>
  </si>
  <si>
    <t>c.alarconl@uniandes.edu.co</t>
  </si>
  <si>
    <t>Alarcón López</t>
  </si>
  <si>
    <t>Catalina Alarcón López</t>
  </si>
  <si>
    <t>ja.leonm1@uniandes.edu.co</t>
  </si>
  <si>
    <t>Juan Andrés</t>
  </si>
  <si>
    <t>León Medina</t>
  </si>
  <si>
    <t>Juan Andrés León Medina</t>
  </si>
  <si>
    <t>jd.pena2@uniandes.edu.co</t>
  </si>
  <si>
    <t>Peña Orozco</t>
  </si>
  <si>
    <t>Juan Diego Peña Orozco</t>
  </si>
  <si>
    <t>a.orozcod@uniandes.edu.co</t>
  </si>
  <si>
    <t>Orozco Diaz</t>
  </si>
  <si>
    <t>Andres Felipe Orozco Diaz</t>
  </si>
  <si>
    <t>m.alvear@uniandes.edu.co</t>
  </si>
  <si>
    <t>Maria Andrea</t>
  </si>
  <si>
    <t>Alvear Zapata</t>
  </si>
  <si>
    <t>Maria Andrea Alvear Zapata</t>
  </si>
  <si>
    <t>l.carrenoz@uniandes.edu.co</t>
  </si>
  <si>
    <t>Carreño Zabaleta</t>
  </si>
  <si>
    <t>Laura Sofia Carreño Zabaleta</t>
  </si>
  <si>
    <t>m.lopezl23@uniandes.edu.co</t>
  </si>
  <si>
    <t>Lopez Ladron De Guevara</t>
  </si>
  <si>
    <t>Manuela Lopez Ladron De Guevara</t>
  </si>
  <si>
    <t>a.ramireze2@uniandes.edu.co</t>
  </si>
  <si>
    <t>Ramirez Enciso</t>
  </si>
  <si>
    <t>Arturo Ramirez Enciso</t>
  </si>
  <si>
    <t>s.ortizv2@uniandes.edu.co</t>
  </si>
  <si>
    <t>Ortiz Velasco</t>
  </si>
  <si>
    <t>Santiago Ortiz Velasco</t>
  </si>
  <si>
    <t>Universitas Gadjah Mada</t>
  </si>
  <si>
    <t>Indonesia</t>
  </si>
  <si>
    <t>mj.guevara@uniandes.edu.co</t>
  </si>
  <si>
    <t>Guevara Martinez</t>
  </si>
  <si>
    <t>Maria Jose Guevara Martinez</t>
  </si>
  <si>
    <t>s.hoyost@uniandes.edu.co</t>
  </si>
  <si>
    <t>Hoyos Tejada</t>
  </si>
  <si>
    <t>Samuel Hoyos Tejada</t>
  </si>
  <si>
    <t>pa.rodriguezg1@uniandes.edu.co</t>
  </si>
  <si>
    <t>Rodriguez Gomez</t>
  </si>
  <si>
    <t>Paula Andrea Rodriguez Gomez</t>
  </si>
  <si>
    <t>m.carvajalg2@uniandes.edu.co</t>
  </si>
  <si>
    <t>Carvajal Grajales</t>
  </si>
  <si>
    <t>Mateo Carvajal Grajales</t>
  </si>
  <si>
    <t>n.hortua@uniandes.edu.co</t>
  </si>
  <si>
    <t>Hortua Bayona</t>
  </si>
  <si>
    <t>Nicolas Hortua Bayona</t>
  </si>
  <si>
    <t>c.diazj@uniandes.edu.co</t>
  </si>
  <si>
    <t>Caren Alexandra</t>
  </si>
  <si>
    <t>Diaz Jerez</t>
  </si>
  <si>
    <t>Caren Alexandra Diaz Jerez</t>
  </si>
  <si>
    <t>mc.ariasa1@uniandes.edu.co</t>
  </si>
  <si>
    <t>Arias Arteaga</t>
  </si>
  <si>
    <t>Maria Camila Arias Arteaga</t>
  </si>
  <si>
    <t>j.carot2@uniandes.edu.co</t>
  </si>
  <si>
    <t>Caro Torrente</t>
  </si>
  <si>
    <t>Juliana Caro Torrente</t>
  </si>
  <si>
    <t>p.colmenaresj@uniandes.edu.co</t>
  </si>
  <si>
    <t>Paula</t>
  </si>
  <si>
    <t>Colmenares Jaramillo</t>
  </si>
  <si>
    <t>Paula Colmenares Jaramillo</t>
  </si>
  <si>
    <t>c.manriquec@uniandes.edu.co</t>
  </si>
  <si>
    <t>Manrique Cardenas</t>
  </si>
  <si>
    <t>Catalina Manrique Cardenas</t>
  </si>
  <si>
    <t>Radboud Universiteit Nijmegen</t>
  </si>
  <si>
    <t>m.mulett@uniandes.edu.co</t>
  </si>
  <si>
    <t>Miguel Alejandro</t>
  </si>
  <si>
    <t>Mulett Chaves</t>
  </si>
  <si>
    <t>Miguel Alejandro Mulett Chaves</t>
  </si>
  <si>
    <t>i.villalobos@uniandes.edu.co</t>
  </si>
  <si>
    <t>Villalobos Ramos</t>
  </si>
  <si>
    <t>Isabella Villalobos Ramos</t>
  </si>
  <si>
    <t>m.molinam2@uniandes.edu.co</t>
  </si>
  <si>
    <t>Molina Muñoz</t>
  </si>
  <si>
    <t>Mateo Molina Muñoz</t>
  </si>
  <si>
    <t>m.rodriguezp23@uniandes.edu.co</t>
  </si>
  <si>
    <t>Rodriguez Peña</t>
  </si>
  <si>
    <t>Manuela Rodriguez Peña</t>
  </si>
  <si>
    <t>s.velezv@uniandes.edu.co</t>
  </si>
  <si>
    <t>Silvia</t>
  </si>
  <si>
    <t>Velez Valenzuela</t>
  </si>
  <si>
    <t>Silvia Velez Valenzuela</t>
  </si>
  <si>
    <t>s.montoyap2@uniandes.edu.co</t>
  </si>
  <si>
    <t>Montoya Pulgarin</t>
  </si>
  <si>
    <t>Sara Montoya Pulgarin</t>
  </si>
  <si>
    <t>p.zarate@uniandes.edu.co</t>
  </si>
  <si>
    <t>Zarate Lozano</t>
  </si>
  <si>
    <t>Pablo Zarate Lozano</t>
  </si>
  <si>
    <t>a.llanoc@uniandes.edu.co</t>
  </si>
  <si>
    <t>Llano Caldas</t>
  </si>
  <si>
    <t>Antonio Llano Caldas</t>
  </si>
  <si>
    <t>a.erdogan@uniandes.edu.co</t>
  </si>
  <si>
    <t>Alara Emely</t>
  </si>
  <si>
    <t>Alara Emely Erdogan Rodriguez</t>
  </si>
  <si>
    <t>s.estradag@uniandes.edu.co</t>
  </si>
  <si>
    <t>Estrada Garcia</t>
  </si>
  <si>
    <t>Sofia Estrada Garcia</t>
  </si>
  <si>
    <t>f.gonzalezg2@uniandes.edu.co</t>
  </si>
  <si>
    <t>Felipe Gonzalez Garcia</t>
  </si>
  <si>
    <t>je.mosqueral1@uniandes.edu.co</t>
  </si>
  <si>
    <t>Jose Esteban</t>
  </si>
  <si>
    <t>Mosquera Lopez</t>
  </si>
  <si>
    <t>Jose Esteban Mosquera Lopez</t>
  </si>
  <si>
    <t>Universitat de Barcelona</t>
  </si>
  <si>
    <t>c.tovaru@uniandes.edu.co</t>
  </si>
  <si>
    <t>Tovar Uribe</t>
  </si>
  <si>
    <t>Cristina Tovar Uribe</t>
  </si>
  <si>
    <t>v.coy@uniandes.edu.co</t>
  </si>
  <si>
    <t>Coy Peña</t>
  </si>
  <si>
    <t>Valeria Coy Peña</t>
  </si>
  <si>
    <t>y.chavezp@uniandes.edu.co</t>
  </si>
  <si>
    <t>Yeily Daniela</t>
  </si>
  <si>
    <t>Chavez Pabuence</t>
  </si>
  <si>
    <t>Yeily Daniela Chavez Pabuence</t>
  </si>
  <si>
    <t>Erasmus Plus Students</t>
  </si>
  <si>
    <t>j.delab@uniandes.edu.co</t>
  </si>
  <si>
    <t>Julian</t>
  </si>
  <si>
    <t>De La Barrera Amaris</t>
  </si>
  <si>
    <t>Julian De La Barrera Amaris</t>
  </si>
  <si>
    <t>j.francor2@uniandes.edu.co</t>
  </si>
  <si>
    <t>Franco Rodriguez</t>
  </si>
  <si>
    <t>Jeronimo Franco Rodriguez</t>
  </si>
  <si>
    <t>i.salcedom@uniandes.edu.co</t>
  </si>
  <si>
    <t>Salcedo Morales</t>
  </si>
  <si>
    <t>Isabella Salcedo Morales</t>
  </si>
  <si>
    <t>j.amayav@uniandes.edu.co</t>
  </si>
  <si>
    <t>Amaya Valderrama</t>
  </si>
  <si>
    <t>Juanita Amaya Valderrama</t>
  </si>
  <si>
    <t>t.congote@uniandes.edu.co</t>
  </si>
  <si>
    <t>Congote Pulido</t>
  </si>
  <si>
    <t>Tomas Congote Pulido</t>
  </si>
  <si>
    <t>d.gaitanm@uniandes.edu.co</t>
  </si>
  <si>
    <t>Gaitan Martinez</t>
  </si>
  <si>
    <t>Daniela Gaitan Martinez</t>
  </si>
  <si>
    <t>j.ordonezj@uniandes.edu.co</t>
  </si>
  <si>
    <t>Ordoñez Jimenez</t>
  </si>
  <si>
    <t>Julian Ordoñez Jimenez</t>
  </si>
  <si>
    <t>s.velascog2@uniandes.edu.co</t>
  </si>
  <si>
    <t>Velasco Gomez</t>
  </si>
  <si>
    <t>Santiago Velasco Gomez</t>
  </si>
  <si>
    <t>d.rayo303@uniandes.edu.co</t>
  </si>
  <si>
    <t>Rayo Rodriguez</t>
  </si>
  <si>
    <t>Daniel Rayo Rodriguez</t>
  </si>
  <si>
    <t>Executive MBA</t>
  </si>
  <si>
    <t>m.trianal@uniandes.edu.co</t>
  </si>
  <si>
    <t>Triana Leguizamon</t>
  </si>
  <si>
    <t>Mariana Triana Leguizamon</t>
  </si>
  <si>
    <t>e.villegash@uniandes.edu.co</t>
  </si>
  <si>
    <t>Esteban</t>
  </si>
  <si>
    <t>Villegas Holguin</t>
  </si>
  <si>
    <t>Esteban Villegas Holguin</t>
  </si>
  <si>
    <t>Emerging Markets Institute - Cornell University</t>
  </si>
  <si>
    <t>s.acostac@uniandes.edu.co</t>
  </si>
  <si>
    <t>Acosta Casallas</t>
  </si>
  <si>
    <t>Sofia Acosta Casallas</t>
  </si>
  <si>
    <t>Gyeyoung</t>
  </si>
  <si>
    <t>Jeon</t>
  </si>
  <si>
    <t>gyeyoung88@naver.com</t>
  </si>
  <si>
    <t>g.jeon@uniandes.edu.co</t>
  </si>
  <si>
    <t>BA in Global knowledge management</t>
  </si>
  <si>
    <t>ADMI-1592</t>
  </si>
  <si>
    <t>Maëlys Mary</t>
  </si>
  <si>
    <t>Petitgas</t>
  </si>
  <si>
    <t>maelyspetitgas@gmail.com</t>
  </si>
  <si>
    <t>m.petitgas@uniandes.edu.co</t>
  </si>
  <si>
    <t>Economics, Business &amp; Society</t>
  </si>
  <si>
    <t>Kadijatou</t>
  </si>
  <si>
    <t>Bah</t>
  </si>
  <si>
    <t>kaba23ad@student.cbs.dk</t>
  </si>
  <si>
    <t>k.bah@uniandes.edu.co</t>
  </si>
  <si>
    <t>BSc in Business, Language and Culture (Spanish)</t>
  </si>
  <si>
    <t>MUSI-1034</t>
  </si>
  <si>
    <t>DEPO-1238</t>
  </si>
  <si>
    <t>Magnus Storm</t>
  </si>
  <si>
    <t>Ry</t>
  </si>
  <si>
    <t>magnusstormry@gmail.com</t>
  </si>
  <si>
    <t>m.ry@uniandes.edu.co</t>
  </si>
  <si>
    <t>BSc in International Business</t>
  </si>
  <si>
    <t>ADMI-1403</t>
  </si>
  <si>
    <t>Syver</t>
  </si>
  <si>
    <t>Spikseth</t>
  </si>
  <si>
    <t>syvspik@gmail.com</t>
  </si>
  <si>
    <t>s.spikseth@uniandes.edu.co</t>
  </si>
  <si>
    <t>BSc in Economics and Business Administration (HA Almen)</t>
  </si>
  <si>
    <t>Sebastian Konstantin</t>
  </si>
  <si>
    <t>Wadman</t>
  </si>
  <si>
    <t>swadman.ieu2022@student.ie.edu</t>
  </si>
  <si>
    <t>s.wadman@uniandes.edu.co</t>
  </si>
  <si>
    <t xml:space="preserve"> Bachelor in Business Administrations</t>
  </si>
  <si>
    <t>ARTE-1255</t>
  </si>
  <si>
    <t>HIST-3703</t>
  </si>
  <si>
    <t>Alexia</t>
  </si>
  <si>
    <t>Shallah or Challah</t>
  </si>
  <si>
    <t>alexiasellak@gmail.com</t>
  </si>
  <si>
    <t>a.shallah@uniandes.edu.co</t>
  </si>
  <si>
    <t xml:space="preserve">Degree of Business and Economics </t>
  </si>
  <si>
    <t>Mana</t>
  </si>
  <si>
    <t>Mitsutake</t>
  </si>
  <si>
    <t>r202202051xr@jindai.jp</t>
  </si>
  <si>
    <t>m.mitsutake@uniandes.edu.co</t>
  </si>
  <si>
    <t>Bachelor</t>
  </si>
  <si>
    <t>Tsubasa</t>
  </si>
  <si>
    <t>Hara</t>
  </si>
  <si>
    <t>r202302611kp@jindai.jp</t>
  </si>
  <si>
    <t>t.hara@uniandes.edu.co</t>
  </si>
  <si>
    <t>CBCA-1180</t>
  </si>
  <si>
    <t>CBPC-1480</t>
  </si>
  <si>
    <t>Gustaf Martin</t>
  </si>
  <si>
    <t>Svensson</t>
  </si>
  <si>
    <t>Lunds universitet</t>
  </si>
  <si>
    <t>gu3513sv-s@student.lu.se</t>
  </si>
  <si>
    <t>g.svensson@uniandes.edu.co</t>
  </si>
  <si>
    <t>BSc in Economics</t>
  </si>
  <si>
    <t>CBCO-1468</t>
  </si>
  <si>
    <t>ADMI-2456</t>
  </si>
  <si>
    <t>Josefien Sofie P</t>
  </si>
  <si>
    <t>Callens</t>
  </si>
  <si>
    <t>josefien.callens5@gmail.com</t>
  </si>
  <si>
    <t>j.callens@uniandes.edu.co</t>
  </si>
  <si>
    <t>B Business Engineering</t>
  </si>
  <si>
    <t>ECON-2107C</t>
  </si>
  <si>
    <t>ADMI-3412</t>
  </si>
  <si>
    <t>Stijn Antonius Dominicus</t>
  </si>
  <si>
    <t>Kerkhoffs</t>
  </si>
  <si>
    <t>s.kerkhoffs@student.maastrichtuniversity.nl</t>
  </si>
  <si>
    <t>s.kerkhoffs@uniandes.edu.co</t>
  </si>
  <si>
    <t>B International Business</t>
  </si>
  <si>
    <t>Václav</t>
  </si>
  <si>
    <t>Růžička</t>
  </si>
  <si>
    <t>v.ruzicka@student.maastrichtuniversity.nl</t>
  </si>
  <si>
    <t>v.ruzicka@uniandes.edu.co</t>
  </si>
  <si>
    <t>B Business Analytics</t>
  </si>
  <si>
    <t>Raphaël</t>
  </si>
  <si>
    <t>de LACGER CAMPLONG</t>
  </si>
  <si>
    <t>raphael.delacger.23@neoma-bs.com</t>
  </si>
  <si>
    <t>r.delacger@uniandes.edu.co</t>
  </si>
  <si>
    <t xml:space="preserve">CESEM </t>
  </si>
  <si>
    <t>ADMI-2604</t>
  </si>
  <si>
    <t>ADMI-2606</t>
  </si>
  <si>
    <t>RDOM</t>
  </si>
  <si>
    <t>RLEC</t>
  </si>
  <si>
    <t>Léo</t>
  </si>
  <si>
    <t>Montagnese</t>
  </si>
  <si>
    <t>leo.montagnese.23@neoma-bs.com</t>
  </si>
  <si>
    <t>l.montagnese@uniandes.edu.co</t>
  </si>
  <si>
    <t>Bruno</t>
  </si>
  <si>
    <t>Pallavicini</t>
  </si>
  <si>
    <t>bruno.pallavicini@mail.polimi.it</t>
  </si>
  <si>
    <t>b.pallavicini@uniandes.edu.co</t>
  </si>
  <si>
    <t>MANAGEMENT ENGINEERING</t>
  </si>
  <si>
    <t>Arrighi</t>
  </si>
  <si>
    <t>lorenzo.arrighi04@gmail.com</t>
  </si>
  <si>
    <t>l.arrighi@uniandes.edu.co</t>
  </si>
  <si>
    <t>Helen Dina</t>
  </si>
  <si>
    <t>Puma Vega</t>
  </si>
  <si>
    <t>nelehanid19@gmail.com</t>
  </si>
  <si>
    <t>h.puma@uniandes.edu.co</t>
  </si>
  <si>
    <t>Gestor</t>
  </si>
  <si>
    <t>Julia Anna</t>
  </si>
  <si>
    <t>Koenigshaus</t>
  </si>
  <si>
    <t>julia.koenigshaus@tum.de</t>
  </si>
  <si>
    <t>j.koenigshaus@uniandes.edu.co</t>
  </si>
  <si>
    <t>Bsc in Management &amp; Technology</t>
  </si>
  <si>
    <t>David Oliver</t>
  </si>
  <si>
    <t>Hocking</t>
  </si>
  <si>
    <t>dhocking@tulane.edu</t>
  </si>
  <si>
    <t>d.hocking@uniandes.edu.co</t>
  </si>
  <si>
    <t>Bachelors in Business Management - FInance Major</t>
  </si>
  <si>
    <t>CBCO-1291</t>
  </si>
  <si>
    <t>Zoe Margaret</t>
  </si>
  <si>
    <t>Morland</t>
  </si>
  <si>
    <t>zmorland@tulane.edu</t>
  </si>
  <si>
    <t>z.morland@uniandes.edu.co</t>
  </si>
  <si>
    <t>Kyle James</t>
  </si>
  <si>
    <t>kvogel4@tulane.edu</t>
  </si>
  <si>
    <t>k.vogel@uniandes.edu.co</t>
  </si>
  <si>
    <t>Betancur Henao</t>
  </si>
  <si>
    <t>Universidad de Granada</t>
  </si>
  <si>
    <t>cbetancurh@correo.ugr.es</t>
  </si>
  <si>
    <t>c.betancurh@uniandes.edu.co</t>
  </si>
  <si>
    <t>(PRE) GRADUADO EN FINANZAS Y CONTABILIDAD</t>
  </si>
  <si>
    <t>Zakaria</t>
  </si>
  <si>
    <t>Khallouk Guenoune</t>
  </si>
  <si>
    <t>zakaria17@correo.ugr.es</t>
  </si>
  <si>
    <t>z.khallouk@uniandes.edu.co</t>
  </si>
  <si>
    <t>Lucia Isabel</t>
  </si>
  <si>
    <t>Almora Novoa</t>
  </si>
  <si>
    <t>20220088@aloe.ulima.edu.pe</t>
  </si>
  <si>
    <t>l.almora@uniandes.edu.co</t>
  </si>
  <si>
    <t>Marketing</t>
  </si>
  <si>
    <t>Jimena Mercedes</t>
  </si>
  <si>
    <t>Stein Guzman</t>
  </si>
  <si>
    <t>u202220313@upc.edu.pe</t>
  </si>
  <si>
    <t>j.stein@uniandes.edu.co</t>
  </si>
  <si>
    <t>Licenciatura en Administración y Negocios Internacionales</t>
  </si>
  <si>
    <t>Maria Madalena</t>
  </si>
  <si>
    <t>Da Câmara Pereira de Almeida</t>
  </si>
  <si>
    <t>cpalmeidamadalena@gmail.com</t>
  </si>
  <si>
    <t>m.dac@uniandes.edu.co</t>
  </si>
  <si>
    <t>Undergraduate Degree in Business Administration</t>
  </si>
  <si>
    <t>Matilde</t>
  </si>
  <si>
    <t>Fonseca Ribeiro da Silva Ferreira</t>
  </si>
  <si>
    <t>matildersf@gmail.com</t>
  </si>
  <si>
    <t>m.fonsecar2@uniandes.edu.co</t>
  </si>
  <si>
    <t>Alice Maria</t>
  </si>
  <si>
    <t>Damasceno Monteiro da Costa Peixoto</t>
  </si>
  <si>
    <t>62830@novasbe.pt</t>
  </si>
  <si>
    <t>a.damasceno@uniandes.edu.co</t>
  </si>
  <si>
    <t>Bachelor in Business</t>
  </si>
  <si>
    <t>ECON-2122C</t>
  </si>
  <si>
    <t>ECON-2122</t>
  </si>
  <si>
    <t>Diego</t>
  </si>
  <si>
    <t>Morgante</t>
  </si>
  <si>
    <t>diego05.morgante@gmail.com</t>
  </si>
  <si>
    <t>d.morgante@uniandes.edu.co</t>
  </si>
  <si>
    <t>Bachelor's degree in Business Administration</t>
  </si>
  <si>
    <t>DEPO-1246</t>
  </si>
  <si>
    <t>Arsene, Alain, Rene</t>
  </si>
  <si>
    <t>Teurquetil</t>
  </si>
  <si>
    <t>arsenealainrene.teurquetil@alumni.esade.edu</t>
  </si>
  <si>
    <t>a.teurquetil@uniandes.edu.co</t>
  </si>
  <si>
    <t>Bachelor in Business Administration</t>
  </si>
  <si>
    <t>Sassi</t>
  </si>
  <si>
    <t>mattia.sassi@alumni.esade.edu</t>
  </si>
  <si>
    <t>m.sassi@uniandes.edu.co</t>
  </si>
  <si>
    <t>Vladimir, Dominique, Marie</t>
  </si>
  <si>
    <t>Paget</t>
  </si>
  <si>
    <t>vladimirdominiquemarie.paget@alumni.esade.edu</t>
  </si>
  <si>
    <t>v.paget@uniandes.edu.co</t>
  </si>
  <si>
    <t>Jan</t>
  </si>
  <si>
    <t>Buscail Moya</t>
  </si>
  <si>
    <t>buscailmoyajan@gmail.com</t>
  </si>
  <si>
    <t>j.buscail@uniandes.edu.co</t>
  </si>
  <si>
    <t>Inés</t>
  </si>
  <si>
    <t>Esteban Grammont</t>
  </si>
  <si>
    <t>inesestebangram@gmail.com</t>
  </si>
  <si>
    <t>i.esteban@uniandes.edu.co</t>
  </si>
  <si>
    <t>Blanc Alarcon</t>
  </si>
  <si>
    <t>lucas.blanc3@gmail.com</t>
  </si>
  <si>
    <t>l.blanc@uniandes.edu.co</t>
  </si>
  <si>
    <t>Tristin Miles</t>
  </si>
  <si>
    <t>Cathey</t>
  </si>
  <si>
    <t>tristin.m.cathey-1@ou.edu</t>
  </si>
  <si>
    <t>t.cathey@uniandes.edu.co</t>
  </si>
  <si>
    <t>Bachelor in Energy Management and Finance</t>
  </si>
  <si>
    <t>CBCA-1063</t>
  </si>
  <si>
    <t>Sebastian Alexis</t>
  </si>
  <si>
    <t>Berg</t>
  </si>
  <si>
    <t>sebastianalexis.berg@student.unisg.ch</t>
  </si>
  <si>
    <t>s.berg@uniandes.edu.co</t>
  </si>
  <si>
    <t>Accounting and Corporate Finance</t>
  </si>
  <si>
    <t>Martin, Fabien, Jean-Claude</t>
  </si>
  <si>
    <t>Ferrari</t>
  </si>
  <si>
    <t>martinferrari03@hotmail.com</t>
  </si>
  <si>
    <t>mf.ferrari@uniandes.edu.co</t>
  </si>
  <si>
    <t xml:space="preserve">Master </t>
  </si>
  <si>
    <t>MGAP-4626</t>
  </si>
  <si>
    <t>MGAP-4441</t>
  </si>
  <si>
    <t>Ann-Kathrin</t>
  </si>
  <si>
    <t>Messer</t>
  </si>
  <si>
    <t>a.messer@students.uu.nl</t>
  </si>
  <si>
    <t>a.messer@uniandes.edu.co</t>
  </si>
  <si>
    <t>MSc Sustainable Business and Innovation</t>
  </si>
  <si>
    <t>Marguerite, Margot, Victoria</t>
  </si>
  <si>
    <t>Verchère</t>
  </si>
  <si>
    <t>marguerite.verchere@grenoble-em.com</t>
  </si>
  <si>
    <t>m.verchere@uniandes.edu.co</t>
  </si>
  <si>
    <t>MSc in Management</t>
  </si>
  <si>
    <t>ADMI-3240</t>
  </si>
  <si>
    <t>ADMI-2421</t>
  </si>
  <si>
    <t>Anaëlle, Irene</t>
  </si>
  <si>
    <t>Jollivet</t>
  </si>
  <si>
    <t>b00807449@essec.edu</t>
  </si>
  <si>
    <t>a.jollivet@uniandes.edu.co</t>
  </si>
  <si>
    <t>Eléonore</t>
  </si>
  <si>
    <t>Melinette</t>
  </si>
  <si>
    <t>eleonore.melinette@edu.escp.eu</t>
  </si>
  <si>
    <t>e.melinette@uniandes.edu.co</t>
  </si>
  <si>
    <t>Management</t>
  </si>
  <si>
    <t>Yasin</t>
  </si>
  <si>
    <t>Naimi</t>
  </si>
  <si>
    <t>yasin.naimi@edu.escp.eu</t>
  </si>
  <si>
    <t>y.naimi@uniandes.edu.co</t>
  </si>
  <si>
    <t>MGAD-4625</t>
  </si>
  <si>
    <t>Madeleine, Marie, Jeanne</t>
  </si>
  <si>
    <t>Badin</t>
  </si>
  <si>
    <t>b00807206@essec.edu</t>
  </si>
  <si>
    <t>m.badin@uniandes.edu.co</t>
  </si>
  <si>
    <t>Portaleone</t>
  </si>
  <si>
    <t>66063@novasbe.pt</t>
  </si>
  <si>
    <t>n.portaleone@uniandes.edu.co</t>
  </si>
  <si>
    <t>Master's in Management</t>
  </si>
  <si>
    <t>GEST-4045</t>
  </si>
  <si>
    <t>MMBA-4302</t>
  </si>
  <si>
    <t>GEST-4057</t>
  </si>
  <si>
    <t>GEST-4058</t>
  </si>
  <si>
    <t>GEST-4056</t>
  </si>
  <si>
    <t>University</t>
  </si>
  <si>
    <t>Country</t>
  </si>
  <si>
    <t>Type of Agreement</t>
  </si>
  <si>
    <t>Masters</t>
  </si>
  <si>
    <t>X</t>
  </si>
  <si>
    <t>Exchange Agreement</t>
  </si>
  <si>
    <t>Istanbul</t>
  </si>
  <si>
    <t>The Netherlands</t>
  </si>
  <si>
    <t>Taiwan (R. O. China)</t>
  </si>
  <si>
    <t>Poland</t>
  </si>
  <si>
    <t>Memorandum of Understanding</t>
  </si>
  <si>
    <t>Bulgaria</t>
  </si>
  <si>
    <t>Universidad Pompeu Fabra</t>
  </si>
  <si>
    <t>Norwegian School of Economics</t>
  </si>
  <si>
    <t>MBA</t>
  </si>
  <si>
    <t>ESTADO</t>
  </si>
  <si>
    <t>CUPOS</t>
  </si>
  <si>
    <t>RENOVACIONES</t>
  </si>
  <si>
    <t>COMENTARIOS</t>
  </si>
  <si>
    <t>Contacto convenio</t>
  </si>
  <si>
    <t>SI</t>
  </si>
  <si>
    <t>NO</t>
  </si>
  <si>
    <t>PhD</t>
  </si>
  <si>
    <t>City</t>
  </si>
  <si>
    <t>ID</t>
  </si>
  <si>
    <t>New Orleans, LA</t>
  </si>
  <si>
    <t>Espoo</t>
  </si>
  <si>
    <t>Birmingham</t>
  </si>
  <si>
    <t>Athens</t>
  </si>
  <si>
    <t>Nantes</t>
  </si>
  <si>
    <t>Oslo</t>
  </si>
  <si>
    <t>Lisboa</t>
  </si>
  <si>
    <t>Hong Kong</t>
  </si>
  <si>
    <t>Frederiksberg</t>
  </si>
  <si>
    <t>Lille Nice</t>
  </si>
  <si>
    <t>Barcelona</t>
  </si>
  <si>
    <t>Paris</t>
  </si>
  <si>
    <t>Quebec</t>
  </si>
  <si>
    <t>Frankfurt</t>
  </si>
  <si>
    <t>São Paulo</t>
  </si>
  <si>
    <t>Grenoble</t>
  </si>
  <si>
    <t>Lausanne</t>
  </si>
  <si>
    <t>Montreal</t>
  </si>
  <si>
    <t>Nancy</t>
  </si>
  <si>
    <t>Madrid</t>
  </si>
  <si>
    <t>Ahmedabad, GJ</t>
  </si>
  <si>
    <t>México DF</t>
  </si>
  <si>
    <t>Monterrey</t>
  </si>
  <si>
    <t>Jonkoping</t>
  </si>
  <si>
    <t>Turkey</t>
  </si>
  <si>
    <t>Hamburg</t>
  </si>
  <si>
    <t>London</t>
  </si>
  <si>
    <t>Masstricht</t>
  </si>
  <si>
    <t>Nagoya</t>
  </si>
  <si>
    <t>Taipei City</t>
  </si>
  <si>
    <t>Rouen</t>
  </si>
  <si>
    <t>Lisbon</t>
  </si>
  <si>
    <t>Milano</t>
  </si>
  <si>
    <t>Kingston, ON</t>
  </si>
  <si>
    <t>Brisbane</t>
  </si>
  <si>
    <t>Toulouse</t>
  </si>
  <si>
    <t>Tilburg</t>
  </si>
  <si>
    <t>Lima</t>
  </si>
  <si>
    <t>Milan</t>
  </si>
  <si>
    <t>Utrecht</t>
  </si>
  <si>
    <t>Cologne</t>
  </si>
  <si>
    <t>Exeter</t>
  </si>
  <si>
    <t>Glasgow</t>
  </si>
  <si>
    <t>Kaiserslautern</t>
  </si>
  <si>
    <t>Ljubljana</t>
  </si>
  <si>
    <t>Manheim</t>
  </si>
  <si>
    <t>Melbourne, VIC</t>
  </si>
  <si>
    <t>St. Gallen</t>
  </si>
  <si>
    <t>Njmigen</t>
  </si>
  <si>
    <t>Nottingham</t>
  </si>
  <si>
    <t>Rio de Janeiro</t>
  </si>
  <si>
    <t>Sao Paulo</t>
  </si>
  <si>
    <t>Lund</t>
  </si>
  <si>
    <t>Bergen</t>
  </si>
  <si>
    <t>AACSB</t>
  </si>
  <si>
    <t>AMBA</t>
  </si>
  <si>
    <t>EQUIS</t>
  </si>
  <si>
    <t>INTERCAMBIO: 01/01/1996. Automático. renovado en 1999, 02, 05, 08, 11, 14, 17, 20.</t>
  </si>
  <si>
    <t>1999, 2002, 2005, 2008, 2011, 2014, 2017, 2020</t>
  </si>
  <si>
    <t>Automático</t>
  </si>
  <si>
    <t>8 estudiantes en cada sentido para el año académico 2020-2021</t>
  </si>
  <si>
    <t>UASM</t>
  </si>
  <si>
    <t xml:space="preserve">Mariette Thomas
Associate Director of Study Abroad &amp; International Programs
A. B. Freeman School of Business
Tulane University
Goldring/Woldenberg Business Complex, Suite 220
7 McAlister Dr. New Orleans, LA 70118
+1-504-865-5362
mthoma3@tulane.edu
http://freemanabroad.tulane.edu/ </t>
  </si>
  <si>
    <t>3 por semestre. 6 por año. Pregrado y EPOS</t>
  </si>
  <si>
    <t>-</t>
  </si>
  <si>
    <t>Se renovó el 26 noviembre 2021</t>
  </si>
  <si>
    <t>UASM &amp; OIA</t>
  </si>
  <si>
    <t>Florence RAMILLON
Director of International Relations &amp; Development | TBS International Relations | TBS
f.ramillon@tbs-education.fr</t>
  </si>
  <si>
    <t>DOBLE TÍTULO: 9 Febrero 2000 por tres años. Renovacion doble diploma en 2005.</t>
  </si>
  <si>
    <t>Carta de renovación doble titulo enviada en 2005</t>
  </si>
  <si>
    <t>Patricia Caballero escaneo archivos viejos Oficina CDA</t>
  </si>
  <si>
    <t>4 por año</t>
  </si>
  <si>
    <t>Renovado 2023</t>
  </si>
  <si>
    <t>No</t>
  </si>
  <si>
    <t>Ms Sanna Huovinen-Kiuru
Exchange Program Manager, 
Incoming students
Exchange Student Services
Aalto University
School of Business
P.O. Box 21210
(Runeberginkatu 14-16)
FIN-00076, AALTO, Finland
+358 40 3538 370
Email. sanna.huovinen-kiuru@aalto.fi, incoming-biz@aalto.fi</t>
  </si>
  <si>
    <t>(No se promociona MBA), 2 por semestre (4 año) Pregrado. 1 por semestre (2 año) EPOS</t>
  </si>
  <si>
    <t>Se firmó renovación 10 agosto 2022</t>
  </si>
  <si>
    <t>Se debe revisar anualmente, según convenio.</t>
  </si>
  <si>
    <t>Si. 6.2 Two places on the summer programme will be equivalent to one UASM Student to follow the undergraduate or Masters Programme at Aston for one teaching period/term. One Aston Student attending the summer programme at UASM will be able to take a maximum of three summer courses.</t>
  </si>
  <si>
    <t>Teeling, Selena &lt;S.Teeling@aston.ac.uk&gt;
Selena Teeling
International Relations Manager
Aston Business School</t>
  </si>
  <si>
    <t>3 por año.</t>
  </si>
  <si>
    <t>01/01/2007. Automático, renovado en 2009, 11, 13, 15, 17.</t>
  </si>
  <si>
    <t>2009, 2011, 2013, 2015, 2017</t>
  </si>
  <si>
    <t>Se firmó renovación 10 mayo 2022</t>
  </si>
  <si>
    <t>Convenio exclusivo para el MBA</t>
  </si>
  <si>
    <t>NO SÉ</t>
  </si>
  <si>
    <t>No tuve interacción con ellos</t>
  </si>
  <si>
    <t>4 por año Pregrado y EPOS. Pregrado usa los 4 cupos para outgoing a menos que se presente alguien del MBA.</t>
  </si>
  <si>
    <t>05/12/2011
16/11/2016</t>
  </si>
  <si>
    <t>Se firmó la renovación el 25 agosto 2021</t>
  </si>
  <si>
    <t>SCHMITT Desi &lt;dschmitt@audencia.com&gt;</t>
  </si>
  <si>
    <t>1 estudiante por semestre. Máx 2 por año</t>
  </si>
  <si>
    <t>Se firmó la rnovación el 10 de marzo 2022</t>
  </si>
  <si>
    <t>This agrrement also includes BI's and UASM's summer programme. In the case of this programme students are exchanged at a 2 to 1 rate: 2 summer programme places count as one student semester</t>
  </si>
  <si>
    <t>4 al año para pregrado y EPOS. 2 cada semestre en pregrado, 1 cada semestre en posgrado.</t>
  </si>
  <si>
    <t>Se renueva en 2024</t>
  </si>
  <si>
    <t>OIA</t>
  </si>
  <si>
    <t>Bárbara Soares Contact E-mail – internationalaffairs.clsbe@ucp.pt</t>
  </si>
  <si>
    <t>4 al año, 2 cada semestre</t>
  </si>
  <si>
    <t>Se firmó la renovación el 23 septiembre 2021</t>
  </si>
  <si>
    <t>2.4 Exchange students participating in the CBS International university summer program and UASM's international summer school will be counted on a two-to-one basis (2 exchange students at the summer programs are equivalent to 1 exchange student for a semester).</t>
  </si>
  <si>
    <t>Renovado 2024</t>
  </si>
  <si>
    <t>4 al año</t>
  </si>
  <si>
    <t>Se firmó renovación el 20/04/2023</t>
  </si>
  <si>
    <t>SIMARD Sophie &lt;Sophie.SIMARD@edhec.edu&gt;
Sophie Simard
Head of International Development
Tel.  +33 (0)4 93 18 32 48
www.edhec.edu</t>
  </si>
  <si>
    <t>2 estudiantes por un año, o 4 por un semestre, Pregrado y EPOS</t>
  </si>
  <si>
    <t>17/08/2011
16/01/2019</t>
  </si>
  <si>
    <t>Se renovó en 2023</t>
  </si>
  <si>
    <t>Nathalie MARC &lt;nathalie.marc@neoma-bs.fr&gt; International Relations Office</t>
  </si>
  <si>
    <t>4 unidades por año: 2 para EPOS y 2 para pregrado</t>
  </si>
  <si>
    <t>Se firmó la renovación 08.07.2022</t>
  </si>
  <si>
    <t>Article 2.5 The liaison officers of the two institutions will review the program annually to determine any imbalance in the number of exchange students in order to balance the number in each direction over a period of three years. Summer semesters count as 1/2 semester.</t>
  </si>
  <si>
    <t>Pascal ONRAED
Head of the International Partnerships
ESCP Europe
ponraed@escpeurope.eu</t>
  </si>
  <si>
    <t>2 por año</t>
  </si>
  <si>
    <t>15/01/2014. Renovado el 09/02/2018</t>
  </si>
  <si>
    <t>Renovado 24.04.2023</t>
  </si>
  <si>
    <t>Véronique Féré Study abroad coordinator - Outgoing exchanges and IBEA Program &lt;fere@essec.edu&gt;</t>
  </si>
  <si>
    <t>Mélany Tremblay-Analfio, MBA
Head of Development and International Relations department
Faculty of Business Administration – FSA ULaval
Université Laval</t>
  </si>
  <si>
    <t>2 estudiantes de pregrado o posgrado por año. Pueden ir 2 en un solo semestre o 1 todo el año.</t>
  </si>
  <si>
    <t>Se renovó el 04/03/2021</t>
  </si>
  <si>
    <t>De mandar más estudiantes que los estipulados en el convenio, cada estudiante adicional pagará 5.500€ por semestre. Mandar correo de renovación desde el 12/09/2020.  Se debe revisar anulamente, según convenio.</t>
  </si>
  <si>
    <t>Joana Rosenkranz
Head of International Student Recruitment
Frankfurt School of Finance &amp; Management gemeinnützige GmbH
Adickesallee 32-34, 60322 Frankfurt am Main
Germany
Tel:         +49 69 154008 – 578
Fax:        +49 69 154008 – 4578
Mobil:     +49 (0)1726373376
j.rosenkranz@fs.de</t>
  </si>
  <si>
    <t>2 por semestre de pregrado. 1 por semestre de EPOS.</t>
  </si>
  <si>
    <t>Se firmó la renovación el 21 octubre 2021</t>
  </si>
  <si>
    <t>Mandar correo de renovación desde 05/12/2018</t>
  </si>
  <si>
    <t>Larissa Lourenço
Outgoing Exchange Coordinator</t>
  </si>
  <si>
    <t>2 por semestre, 4 por año en pregrado o posgrado</t>
  </si>
  <si>
    <t>Son estrictos con la asignación de cupos, máximo 2 cupos por semestre</t>
  </si>
  <si>
    <t>Joelle Silvestre – Head of Exchange Programs</t>
  </si>
  <si>
    <t>2 por semestre, 4 por año</t>
  </si>
  <si>
    <t>Madeleine Linard de Guertechin - Head International Relations</t>
  </si>
  <si>
    <t>00/05/200. Renovado el 06/12/2011. 13/01/2017</t>
  </si>
  <si>
    <t>06/12/2011
13/01/2017</t>
  </si>
  <si>
    <t>Se renovó el 7 octubre 2021</t>
  </si>
  <si>
    <t>Carmen Brodeur
Agente-conseil – Programme de mobilité étudiante
Student Advisor – Student Mobility Program</t>
  </si>
  <si>
    <t xml:space="preserve"> 2 por año para pregrado y 2 por año posgrado.</t>
  </si>
  <si>
    <t>Renovado el 18/12/2006. 23/09/2011 y el 09/02/2018</t>
  </si>
  <si>
    <t>18/12/2006
23/09/2011
09/02/2018</t>
  </si>
  <si>
    <t>Se renovó el 16.11.2022</t>
  </si>
  <si>
    <t>Frédérique BOUTIN 
Head of International Relations</t>
  </si>
  <si>
    <t>4 por año de ADMI; DERE; CPOL; PSIC</t>
  </si>
  <si>
    <t>Específico: 01/10/2001
General: 01/01/2016</t>
  </si>
  <si>
    <t>01/09/2001. Sustituido por convenio macro de 01/01/2016.</t>
  </si>
  <si>
    <t>Se firmó renovación el 05/05/2020</t>
  </si>
  <si>
    <t>UASM posgrado está vencido</t>
  </si>
  <si>
    <t>01/03/2007, Renovado el 08/03/2011 y 23/04/2014</t>
  </si>
  <si>
    <t>08/03/2011
23/04/2014</t>
  </si>
  <si>
    <t>Se renovó el 8 mayo 2023</t>
  </si>
  <si>
    <t>Subham Majumder</t>
  </si>
  <si>
    <t>1 al año</t>
  </si>
  <si>
    <t>10/04/2002, Renovado el 05/11/2008, 05/11/2011 y el 29/05/2017</t>
  </si>
  <si>
    <t>Se renovó 27 febrero 2023</t>
  </si>
  <si>
    <t>Hay un convenio de intercambio Quiero estudiar de 2016 - 2021 2 estudiantes por año. Campus de Puebla y Monterrey. Es convenio general.</t>
  </si>
  <si>
    <t>1 por semestre Pregrado, 1 por semestre EPOS. 4 al año</t>
  </si>
  <si>
    <t>Se renovó 18 octubree 2023</t>
  </si>
  <si>
    <t>Fue mi primer convenio de intercambio pero no tengo registro de los mensajes enviados a esa universidad</t>
  </si>
  <si>
    <t>3 por año Pregrado y 3 por año EPOS</t>
  </si>
  <si>
    <t>04/11/2011. Renovado para maestría el 25/07/2014 (se incluyó pregrado) y el 02/02/2018.</t>
  </si>
  <si>
    <t>25/07/2014
02/02/2018</t>
  </si>
  <si>
    <t>Se firmó renovación septiembre 2022</t>
  </si>
  <si>
    <t>Ms. Ulrike Schulz, Head of International Office
• Contact E-mail: exchange@the-klu.org</t>
  </si>
  <si>
    <t>Convenio compartido con Derecho y Economía</t>
  </si>
  <si>
    <t>1 por semestre</t>
  </si>
  <si>
    <t>Renovado mayo 2023</t>
  </si>
  <si>
    <t>Intercambio: Agosto 2019 Mayo 2020</t>
  </si>
  <si>
    <t>Ragini Krishnadas | Programme Administrator | MBA Programme Office
London Business School | Regent's Park | London NW1 4SA | UK
D: +44 (0)20 7000 8378  | T: +44 (0)20 7000 7000
E: rkrishnadas@london.edu</t>
  </si>
  <si>
    <t>6 por semestre pregrado. 1 por semestre EPOS</t>
  </si>
  <si>
    <t>26/08/2008. Renovado el 1/04/2012 y el 01/09/2015</t>
  </si>
  <si>
    <t>01/04/2012
01/09/2015</t>
  </si>
  <si>
    <t>Renovado 14.06.22</t>
  </si>
  <si>
    <t>3 por año para ADMI. ·Más 3 por año de Uniandes</t>
  </si>
  <si>
    <t>Se renovó Diciembre 2023</t>
  </si>
  <si>
    <t>Tiene major en accounting</t>
  </si>
  <si>
    <t>2 estudiantes por semestre, 4 al año.</t>
  </si>
  <si>
    <t>22/10/2012. Renovado el 11/05/2016</t>
  </si>
  <si>
    <t>Se renovó Julio 2024</t>
  </si>
  <si>
    <t>Cherry Huang 
Senior Manager
Office of International Programs (OIP) | College of Commerce | National Chengchi University
64, Zhi-Nan Rd., Sec. 2, Wenshan 11605 Taipei, TAIWAN
Email: crhuang@nccu.edu.tw</t>
  </si>
  <si>
    <t>Agreement: 18/03/2013
MoU: 25/03/2014</t>
  </si>
  <si>
    <t>18/03/2013. Renovado el 07/04/2017</t>
  </si>
  <si>
    <t>4 (no explícito)</t>
  </si>
  <si>
    <t>Renovado 04.10.22</t>
  </si>
  <si>
    <t>Es un MoU y antes se tenìa acuerdo de intercambio.</t>
  </si>
  <si>
    <t>Aunque me cuesta creerlo, no tuve contacto directo con ellos por convenio</t>
  </si>
  <si>
    <t>01/01/2013. Renovado el 16/03/2017</t>
  </si>
  <si>
    <t>Se firmó la renovación el 14 ocyubre 2021</t>
  </si>
  <si>
    <t>Melissa Bonnaud
Coordinator - Incoming Exchange
NUCB
4-4 Sagamine
Nisshin Aichi, Japan 470-0193
Tel:  +81 56 17 32 111
Fax: +81 56 17 31 202 
Email: melissa_bonnaud@nucba.ac.jp</t>
  </si>
  <si>
    <t>Renovado abril 2023</t>
  </si>
  <si>
    <t>Es un convenio con la Facultad de Ingenieria</t>
  </si>
  <si>
    <t>01/09/2012. 25/09/2017</t>
  </si>
  <si>
    <t>01/09/2012
25/09/2017</t>
  </si>
  <si>
    <t>Se firmó la renovación 22.10.22</t>
  </si>
  <si>
    <t>2+ estudiantes por año</t>
  </si>
  <si>
    <t>Ian McFadden
Director, QUT Global
GPO Box 2434, Brisbane, QLD 4001, Australia
partneragreement@qut.edu.au</t>
  </si>
  <si>
    <t>10 por año</t>
  </si>
  <si>
    <t>04/02/2000. Renovado el 17/12/2014. Renovado 23 Abril 2009</t>
  </si>
  <si>
    <t>Se renovó el 7 marzo 2022</t>
  </si>
  <si>
    <t>LA RENOVACIÓN DEL 2009 NO LA TENGO EN SICUA</t>
  </si>
  <si>
    <t>2 estudiantes por semestre Pregrado y EPOS. 4 al año</t>
  </si>
  <si>
    <t>MoU: 29/07/2009
Agreement: 29/07/2009</t>
  </si>
  <si>
    <t>Se firma renovación 31 mayo 2022</t>
  </si>
  <si>
    <t>Stephanie Dazin (sdazin@fen.uchile.cl) y Erich Spencer (espencer@fen.uchile.cl), quienes son la Jefa de la Oficina Internacional y el Director de Relaciones Internacionales de la Facultad</t>
  </si>
  <si>
    <t>2 por semestre. 4 por año. ADMI y ECON.</t>
  </si>
  <si>
    <t>23/05/2005. Renovado el 24/02/2009. 21/06/2012. 10/05/2017.</t>
  </si>
  <si>
    <t>24/02/2009
21/06/2012
10/05/2017</t>
  </si>
  <si>
    <t>Se firmo la renovación el 5 agosto 2022</t>
  </si>
  <si>
    <t>Convenio Macro. Mandar correo de renovación desde 01/05/2021.</t>
  </si>
  <si>
    <t>Ms. Linda van der Tuijn MA
International Project Manager / Policy Advisor</t>
  </si>
  <si>
    <t>3 por semestre, 6 por año</t>
  </si>
  <si>
    <t>Se firma renovación 5 julio 2023</t>
  </si>
  <si>
    <t xml:space="preserve">"El presente convenio entrará en vigor a partir de la fecha de su firma y tendrá una vigencia de tres años, QUE PODRÁN SER RENOVADOS AUTOMÁTICAMENTE" Texto original convenio específico. </t>
  </si>
  <si>
    <t>Maria Fernanda Moscoso Zevallos &lt;mf.moscosoz@up.edu.pe&gt;</t>
  </si>
  <si>
    <t>MoU: 15/03/2007
Agreement: 15/03/2007</t>
  </si>
  <si>
    <t xml:space="preserve">26/03/2007. </t>
  </si>
  <si>
    <t>Renovado en julio 2023</t>
  </si>
  <si>
    <t>Acuerdos de COOPERACIÓN de: 15/03/2007-13/12/2010-14/02/2014. Durante el año académico 2019-2020 vendrán a la facultad 6 estudiantes por semestre. 2 de pregrado y 4 de posgrado. Correo del 23 de enero de 2019 de Natalia Rubio.
Para 2019-2020 recibirán 5 en total uniandes y en 2020-2021, 6 en total uniandes.
Para 2020-20: 2 cupos para ADMI, 1 cupo para EPOS. Tener en cuenta para 2021-10</t>
  </si>
  <si>
    <t>Erika Zancan. Partner University Relations Director</t>
  </si>
  <si>
    <t>3 estudiantes por año. 2 pre y 2 pos al año (Mínimo 1 semsetre max 2 semestres)</t>
  </si>
  <si>
    <t xml:space="preserve"> 23/05/2014</t>
  </si>
  <si>
    <t>Es un convenio con la Facultad de Geociencias</t>
  </si>
  <si>
    <t xml:space="preserve">Mirjam van Deutekom
Mirjam van Deutekom | Student affairs &amp; International Office | Faculty of Geosciences | Utrecht University | KBG kamer 1.20, Budapestlaan 4a-b, 3584CD Utrecht, the Netherlands | Studiepunt Geowetenschappen | T: +31 (0)30-2539559 | E: international.geo@uu.nl </t>
  </si>
  <si>
    <t>Pendiente pasar a convenio. Exeter (Rachel Jones) confirmó que nos presentaría por correo a la persona encargada del trámite de convenios en Exeter</t>
  </si>
  <si>
    <t>Rachel Jones
Head of International Partnerships
University of Exeter Business School
Tel: +44(0) 1392 725107</t>
  </si>
  <si>
    <t>Jo Power,
International Recruitment Manager, Middle East, Africa &amp; Latin America
External Relations
71 Southpark Avenue
University of Glasgow
Glasgow G12 8QQ
Tel: +44 (0) 141 330 8780
Mobile: +44 7734 371583
E-mail: jo.power@glasgow.ac.uk</t>
  </si>
  <si>
    <t>17/03//2006
03/10/2012
05/11/2015</t>
  </si>
  <si>
    <t>Se firmó la renovación el 8 septiembre 2021</t>
  </si>
  <si>
    <t>1 por semestre Pregrado. 1 por semestre EPOS. 4 por año</t>
  </si>
  <si>
    <t>31/03/2008. Renovado el 21/06/2011, el 01/04/2012. el 18/12/2014 (MoU)</t>
  </si>
  <si>
    <t>21/06/2011
01/04/2012
MoU: 18/12/2014</t>
  </si>
  <si>
    <t>Se firmó la renovación en agosto 2024</t>
  </si>
  <si>
    <t>Mirzad Brkić
Služba za mednarodno sodelovanje 
Poletni in kratkoročni programi
Dvojne diplome
International Relations Office  
Summer &amp; Short programmes 
Double Degree</t>
  </si>
  <si>
    <t>1 por semestre pregrado.1 por semestre EPOS. 4 por año</t>
  </si>
  <si>
    <t>MoU: 26/02/2009
Agreement: 08/09/2009</t>
  </si>
  <si>
    <t>08/09/2009. Renovado el 12/11/2012 y el 30/05/2016</t>
  </si>
  <si>
    <t>12/11/2012
30/05/2016</t>
  </si>
  <si>
    <t>Se firmó la renovación el 30 agosto 2021</t>
  </si>
  <si>
    <t xml:space="preserve">Yvonne A. Hall 
Head of International Affairs 
University of Mannheim | Business School 
L 5, 5 | 68131 Mannheim | Germany | Phone +49 621 181-1474 | Fax +49 621 181-1471 
Email: hall@bwl.uni-mannheim.de </t>
  </si>
  <si>
    <t>2 por semestre Pregrado y EPOS. 4 al año</t>
  </si>
  <si>
    <t>MoU general: 29/06/2006
General agreement: 11/02/2011
UASM agreement: 11/02/2011</t>
  </si>
  <si>
    <t>11/02/2011. Renovado el 17/10/2012</t>
  </si>
  <si>
    <t>Renovado agosto 2023</t>
  </si>
  <si>
    <t>Sí. Article 4.2. Four places on the summer program will be equivalent to one UASM Student to follow the Undergraduate or Masters Program at Melbourne for one teaching period/term. One Melbourne Student attending the summer program  at UASM will be able to take a maximum of two summer courses.</t>
  </si>
  <si>
    <t>Clare Dunne  |  International Agreements Officer (Tues, Thurs, Fri)
Academic and International | Chancellery | The University of Melbourne
Level 2, 32 Lincoln Square North
Carlton, Victoria 3053 Australia
T: +61 3 9035 3314  | E: clare.dunne@unimelb.edu.au</t>
  </si>
  <si>
    <t>1 por año</t>
  </si>
  <si>
    <t>16/04/2007. Renovado el 15/11/2010 y el 16/01/2014</t>
  </si>
  <si>
    <t>15/11/2010
16/01/2014
27/09/2018</t>
  </si>
  <si>
    <t>Renovado en 2023</t>
  </si>
  <si>
    <t>Bettina Trachsel
Assistant to Dean
Availability: Mo-Thu
External Relations I University of St.Gallen 
Office 58-316 | Tellstrasse 2 | 9000 St.Gallen
Switzerland
Tel: +41 (0)71 224 34 15
bettina.trachsel@unisg.ch</t>
  </si>
  <si>
    <t>MoU firmado por solicitud de Veneta</t>
  </si>
  <si>
    <t>Undergraduate2</t>
  </si>
  <si>
    <t>Accreditation</t>
  </si>
  <si>
    <t>FECHA FIRMA INICIAL</t>
  </si>
  <si>
    <t>FECHA INICIO CONVENIO</t>
  </si>
  <si>
    <t>VIGENCIA EN AÑOS</t>
  </si>
  <si>
    <t>FECHA FIN CONVENIO</t>
  </si>
  <si>
    <t>ÚLTIMA RENOVACIÓN</t>
  </si>
  <si>
    <t>CLAUSULA EIV</t>
  </si>
  <si>
    <t>LADO</t>
  </si>
  <si>
    <t>4 intercambio semestre</t>
  </si>
  <si>
    <t>CONVENIO: 2 estudiantes por año para doble titulación.</t>
  </si>
  <si>
    <t>20/12/2017 - 10/05/2022</t>
  </si>
  <si>
    <t>05/11/2008
05/11/2011
29/05/2017
5/11/2021</t>
  </si>
  <si>
    <t>Validar renovación</t>
  </si>
  <si>
    <t>Florence RAMILLON
Director of International Relations &amp; Development | TBS International Relations | TBS
f.ramillon@tbs-education.fr
Marie-Hélène HEIT
Head of International Mobility | Bachelor and Master’s Programs | TBS
mh.heit@tbs-education.fr</t>
  </si>
  <si>
    <t>Validar</t>
  </si>
  <si>
    <t>MBA Online</t>
  </si>
  <si>
    <t>MRDS</t>
  </si>
  <si>
    <t>MAGF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</si>
</sst>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b/>
      <sz val="11"/>
      <color theme="1"/>
      <name val="Aptos Narrow"/>
      <family val="2"/>
      <scheme val="minor"/>
    </font>
    <font>
      <sz val="11"/>
      <color theme="9" tint="-0.499984740745262"/>
      <name val="Aptos Narrow"/>
      <family val="2"/>
      <scheme val="minor"/>
    </font>
    <font>
      <sz val="11"/>
      <color theme="8"/>
      <name val="Aptos Narrow"/>
      <family val="2"/>
      <scheme val="minor"/>
    </font>
    <font>
      <b/>
      <sz val="16"/>
      <color theme="1"/>
      <name val="Aptos Narrow"/>
      <family val="2"/>
      <scheme val="minor"/>
    </font>
    <font>
      <b/>
      <sz val="9"/>
      <color indexed="81"/>
      <name val="Tahoma"/>
      <family val="2"/>
    </font>
    <font>
      <b/>
      <sz val="14"/>
      <color theme="1"/>
      <name val="Aptos Narrow"/>
      <family val="2"/>
      <scheme val="minor"/>
    </font>
    <font>
      <sz val="11"/>
      <color rgb="FF242424"/>
      <name val="Inherit"/>
    </font>
    <font>
      <b/>
      <sz val="9"/>
      <color indexed="81"/>
      <name val="Tahoma"/>
      <charset val="1"/>
    </font>
    <font>
      <sz val="12"/>
      <color theme="1"/>
      <name val="Aptos Narrow"/>
      <family val="2"/>
      <scheme val="minor"/>
    </font>
    <font>
      <sz val="12"/>
      <color rgb="FF000000"/>
      <name val="Arial"/>
      <family val="2"/>
    </font>
  </fonts>
  <fills count="21">
    <fill>
      <patternFill patternType="none"/>
    </fill>
    <fill>
      <patternFill patternType="gray125"/>
    </fill>
    <fill>
      <patternFill patternType="solid">
        <fgColor theme="9"/>
      </patternFill>
    </fill>
    <fill>
      <patternFill patternType="solid">
        <fgColor theme="4"/>
        <bgColor theme="4"/>
      </patternFill>
    </fill>
    <fill>
      <patternFill patternType="solid">
        <fgColor theme="6"/>
        <bgColor indexed="64"/>
      </patternFill>
    </fill>
    <fill>
      <patternFill patternType="solid">
        <fgColor theme="7"/>
        <bgColor indexed="64"/>
      </patternFill>
    </fill>
    <fill>
      <patternFill patternType="solid">
        <fgColor theme="0" tint="-0.14999847407452621"/>
        <bgColor theme="0" tint="-0.14999847407452621"/>
      </patternFill>
    </fill>
    <fill>
      <patternFill patternType="solid">
        <fgColor theme="8"/>
        <bgColor theme="8"/>
      </patternFill>
    </fill>
    <fill>
      <patternFill patternType="solid">
        <fgColor theme="8" tint="0.59999389629810485"/>
        <bgColor indexed="64"/>
      </patternFill>
    </fill>
    <fill>
      <patternFill patternType="solid">
        <fgColor theme="9"/>
        <bgColor theme="8"/>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3" tint="0.89999084444715716"/>
        <bgColor theme="0" tint="-0.14999847407452621"/>
      </patternFill>
    </fill>
    <fill>
      <patternFill patternType="solid">
        <fgColor theme="0"/>
        <bgColor theme="0" tint="-0.14999847407452621"/>
      </patternFill>
    </fill>
    <fill>
      <patternFill patternType="solid">
        <fgColor theme="9" tint="0.79998168889431442"/>
        <bgColor indexed="64"/>
      </patternFill>
    </fill>
    <fill>
      <patternFill patternType="solid">
        <fgColor theme="8" tint="0.79998168889431442"/>
        <bgColor theme="0" tint="-0.14999847407452621"/>
      </patternFill>
    </fill>
    <fill>
      <patternFill patternType="solid">
        <fgColor theme="2" tint="-9.9978637043366805E-2"/>
        <bgColor indexed="64"/>
      </patternFill>
    </fill>
    <fill>
      <patternFill patternType="solid">
        <fgColor theme="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00"/>
        <bgColor theme="0" tint="-0.14999847407452621"/>
      </patternFill>
    </fill>
  </fills>
  <borders count="79">
    <border>
      <left/>
      <right/>
      <top/>
      <bottom/>
      <diagonal/>
    </border>
    <border>
      <left/>
      <right/>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thin">
        <color theme="4" tint="0.39997558519241921"/>
      </left>
      <right/>
      <top/>
      <bottom/>
      <diagonal/>
    </border>
    <border>
      <left/>
      <right/>
      <top style="medium">
        <color theme="1"/>
      </top>
      <bottom/>
      <diagonal/>
    </border>
    <border>
      <left style="thin">
        <color theme="4" tint="0.39997558519241921"/>
      </left>
      <right/>
      <top style="medium">
        <color theme="1"/>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style="medium">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left>
      <right/>
      <top style="medium">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style="medium">
        <color theme="1"/>
      </bottom>
      <diagonal/>
    </border>
    <border>
      <left style="medium">
        <color theme="1"/>
      </left>
      <right style="medium">
        <color theme="1"/>
      </right>
      <top style="medium">
        <color theme="1"/>
      </top>
      <bottom/>
      <diagonal/>
    </border>
    <border>
      <left style="medium">
        <color indexed="64"/>
      </left>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theme="1"/>
      </left>
      <right style="thin">
        <color theme="1"/>
      </right>
      <top style="thin">
        <color theme="1"/>
      </top>
      <bottom/>
      <diagonal/>
    </border>
    <border>
      <left style="thin">
        <color theme="1"/>
      </left>
      <right style="medium">
        <color theme="1"/>
      </right>
      <top style="thin">
        <color theme="1"/>
      </top>
      <bottom/>
      <diagonal/>
    </border>
    <border>
      <left/>
      <right style="thin">
        <color indexed="64"/>
      </right>
      <top/>
      <bottom style="medium">
        <color indexed="64"/>
      </bottom>
      <diagonal/>
    </border>
    <border>
      <left style="medium">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medium">
        <color theme="1"/>
      </left>
      <right/>
      <top/>
      <bottom/>
      <diagonal/>
    </border>
    <border>
      <left style="medium">
        <color theme="1"/>
      </left>
      <right/>
      <top/>
      <bottom style="medium">
        <color theme="1"/>
      </bottom>
      <diagonal/>
    </border>
    <border>
      <left style="medium">
        <color theme="1"/>
      </left>
      <right/>
      <top style="medium">
        <color theme="1"/>
      </top>
      <bottom/>
      <diagonal/>
    </border>
    <border>
      <left style="medium">
        <color indexed="64"/>
      </left>
      <right style="thin">
        <color indexed="64"/>
      </right>
      <top/>
      <bottom style="medium">
        <color theme="1"/>
      </bottom>
      <diagonal/>
    </border>
    <border>
      <left style="thin">
        <color indexed="64"/>
      </left>
      <right style="medium">
        <color theme="1"/>
      </right>
      <top/>
      <bottom style="medium">
        <color theme="1"/>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bottom style="thin">
        <color indexed="64"/>
      </bottom>
      <diagonal/>
    </border>
  </borders>
  <cellStyleXfs count="2">
    <xf numFmtId="0" fontId="0" fillId="0" borderId="0"/>
    <xf numFmtId="0" fontId="2" fillId="2" borderId="0" applyNumberFormat="0" applyBorder="0" applyAlignment="0" applyProtection="0"/>
  </cellStyleXfs>
  <cellXfs count="199">
    <xf numFmtId="0" fontId="0" fillId="0" borderId="0" xfId="0"/>
    <xf numFmtId="0" fontId="0" fillId="6" borderId="0" xfId="0" applyFill="1"/>
    <xf numFmtId="14" fontId="0" fillId="0" borderId="0" xfId="0" applyNumberFormat="1"/>
    <xf numFmtId="0" fontId="1" fillId="3" borderId="1" xfId="0" applyFont="1" applyFill="1" applyBorder="1"/>
    <xf numFmtId="0" fontId="1" fillId="4" borderId="1" xfId="1" applyFont="1" applyFill="1" applyBorder="1"/>
    <xf numFmtId="14" fontId="1" fillId="5" borderId="1" xfId="1" applyNumberFormat="1" applyFont="1" applyFill="1" applyBorder="1"/>
    <xf numFmtId="0" fontId="1" fillId="5" borderId="1" xfId="1" applyFont="1" applyFill="1" applyBorder="1"/>
    <xf numFmtId="0" fontId="1" fillId="7" borderId="1" xfId="0" applyFont="1" applyFill="1" applyBorder="1"/>
    <xf numFmtId="0" fontId="0" fillId="10" borderId="0" xfId="0" applyFill="1"/>
    <xf numFmtId="0" fontId="0" fillId="0" borderId="2" xfId="0" applyBorder="1"/>
    <xf numFmtId="0" fontId="0" fillId="0" borderId="6" xfId="0" applyBorder="1"/>
    <xf numFmtId="0" fontId="0" fillId="0" borderId="7" xfId="0" applyBorder="1"/>
    <xf numFmtId="0" fontId="0" fillId="0" borderId="10" xfId="0" applyBorder="1"/>
    <xf numFmtId="0" fontId="4" fillId="0" borderId="11" xfId="0" applyFont="1" applyBorder="1"/>
    <xf numFmtId="0" fontId="4" fillId="0" borderId="12" xfId="0" applyFont="1" applyBorder="1"/>
    <xf numFmtId="0" fontId="4" fillId="0" borderId="11" xfId="0" applyFont="1" applyBorder="1" applyAlignment="1">
      <alignment horizontal="center"/>
    </xf>
    <xf numFmtId="0" fontId="0" fillId="11" borderId="6" xfId="0" applyFill="1" applyBorder="1"/>
    <xf numFmtId="0" fontId="0" fillId="10" borderId="0" xfId="0" applyFill="1" applyAlignment="1">
      <alignment vertical="center"/>
    </xf>
    <xf numFmtId="0" fontId="4" fillId="16" borderId="2" xfId="0" applyFont="1" applyFill="1" applyBorder="1"/>
    <xf numFmtId="0" fontId="1" fillId="9" borderId="0" xfId="0" applyFont="1" applyFill="1"/>
    <xf numFmtId="0" fontId="0" fillId="0" borderId="20" xfId="0" applyBorder="1"/>
    <xf numFmtId="0" fontId="0" fillId="0" borderId="17" xfId="0" applyBorder="1"/>
    <xf numFmtId="0" fontId="4" fillId="14" borderId="11" xfId="0" applyFont="1" applyFill="1" applyBorder="1" applyAlignment="1">
      <alignment horizontal="center"/>
    </xf>
    <xf numFmtId="0" fontId="0" fillId="17" borderId="2" xfId="0" applyFill="1" applyBorder="1"/>
    <xf numFmtId="0" fontId="0" fillId="13" borderId="2" xfId="0" applyFill="1" applyBorder="1"/>
    <xf numFmtId="0" fontId="0" fillId="0" borderId="8" xfId="0" applyBorder="1"/>
    <xf numFmtId="0" fontId="0" fillId="0" borderId="3" xfId="0" applyBorder="1"/>
    <xf numFmtId="0" fontId="4" fillId="0" borderId="24" xfId="0" applyFont="1" applyBorder="1" applyAlignment="1">
      <alignment horizontal="center"/>
    </xf>
    <xf numFmtId="0" fontId="0" fillId="11" borderId="11" xfId="0" applyFill="1" applyBorder="1"/>
    <xf numFmtId="0" fontId="0" fillId="0" borderId="27" xfId="0" applyBorder="1"/>
    <xf numFmtId="0" fontId="0" fillId="0" borderId="26" xfId="0" applyBorder="1"/>
    <xf numFmtId="0" fontId="0" fillId="0" borderId="11" xfId="0" applyBorder="1"/>
    <xf numFmtId="0" fontId="0" fillId="0" borderId="9" xfId="0" applyBorder="1"/>
    <xf numFmtId="0" fontId="0" fillId="11" borderId="7" xfId="0" applyFill="1" applyBorder="1"/>
    <xf numFmtId="0" fontId="4" fillId="0" borderId="30" xfId="0" applyFont="1" applyBorder="1" applyAlignment="1">
      <alignment horizontal="center"/>
    </xf>
    <xf numFmtId="0" fontId="7" fillId="10" borderId="0" xfId="0" applyFont="1" applyFill="1" applyAlignment="1">
      <alignment horizontal="center" vertical="center"/>
    </xf>
    <xf numFmtId="0" fontId="0" fillId="11" borderId="3" xfId="0" applyFill="1" applyBorder="1"/>
    <xf numFmtId="0" fontId="4" fillId="0" borderId="35" xfId="0" applyFont="1" applyBorder="1" applyAlignment="1">
      <alignment horizontal="center"/>
    </xf>
    <xf numFmtId="0" fontId="0" fillId="11" borderId="13" xfId="0" applyFill="1" applyBorder="1"/>
    <xf numFmtId="0" fontId="0" fillId="14" borderId="20" xfId="0" applyFill="1" applyBorder="1"/>
    <xf numFmtId="0" fontId="0" fillId="14" borderId="17" xfId="0" applyFill="1" applyBorder="1"/>
    <xf numFmtId="0" fontId="0" fillId="14" borderId="6" xfId="0" applyFill="1" applyBorder="1"/>
    <xf numFmtId="0" fontId="0" fillId="14" borderId="7" xfId="0" applyFill="1" applyBorder="1"/>
    <xf numFmtId="0" fontId="0" fillId="18" borderId="6" xfId="0" applyFill="1" applyBorder="1"/>
    <xf numFmtId="0" fontId="0" fillId="18" borderId="7" xfId="0" applyFill="1" applyBorder="1"/>
    <xf numFmtId="0" fontId="0" fillId="18" borderId="11" xfId="0" applyFill="1" applyBorder="1"/>
    <xf numFmtId="0" fontId="0" fillId="18" borderId="12" xfId="0" applyFill="1" applyBorder="1"/>
    <xf numFmtId="0" fontId="0" fillId="14" borderId="8" xfId="0" applyFill="1" applyBorder="1"/>
    <xf numFmtId="0" fontId="0" fillId="14" borderId="9" xfId="0" applyFill="1" applyBorder="1"/>
    <xf numFmtId="0" fontId="0" fillId="14" borderId="34" xfId="0" applyFill="1" applyBorder="1"/>
    <xf numFmtId="0" fontId="4" fillId="14" borderId="12" xfId="0" applyFont="1" applyFill="1" applyBorder="1" applyAlignment="1">
      <alignment horizontal="center"/>
    </xf>
    <xf numFmtId="0" fontId="4" fillId="14" borderId="24" xfId="0" applyFont="1" applyFill="1" applyBorder="1" applyAlignment="1">
      <alignment horizontal="center"/>
    </xf>
    <xf numFmtId="0" fontId="4" fillId="14" borderId="35" xfId="0" applyFont="1" applyFill="1" applyBorder="1" applyAlignment="1">
      <alignment horizontal="center"/>
    </xf>
    <xf numFmtId="0" fontId="6" fillId="15" borderId="0" xfId="0" applyFont="1" applyFill="1"/>
    <xf numFmtId="0" fontId="0" fillId="8" borderId="0" xfId="0" applyFill="1"/>
    <xf numFmtId="14" fontId="0" fillId="6" borderId="0" xfId="0" applyNumberFormat="1" applyFill="1"/>
    <xf numFmtId="0" fontId="0" fillId="14" borderId="0" xfId="0" applyFill="1"/>
    <xf numFmtId="0" fontId="7" fillId="10" borderId="0" xfId="0" applyFont="1" applyFill="1" applyAlignment="1">
      <alignment vertical="center"/>
    </xf>
    <xf numFmtId="0" fontId="0" fillId="0" borderId="19" xfId="0" applyBorder="1"/>
    <xf numFmtId="0" fontId="0" fillId="0" borderId="33" xfId="0" applyBorder="1"/>
    <xf numFmtId="0" fontId="0" fillId="14" borderId="25" xfId="0" applyFill="1" applyBorder="1"/>
    <xf numFmtId="0" fontId="0" fillId="14" borderId="29" xfId="0" applyFill="1" applyBorder="1"/>
    <xf numFmtId="0" fontId="0" fillId="14" borderId="11" xfId="0" applyFill="1" applyBorder="1"/>
    <xf numFmtId="0" fontId="0" fillId="14" borderId="12" xfId="0" applyFill="1" applyBorder="1"/>
    <xf numFmtId="0" fontId="0" fillId="6" borderId="39" xfId="0" applyFill="1" applyBorder="1"/>
    <xf numFmtId="0" fontId="0" fillId="6" borderId="38" xfId="0" applyFill="1" applyBorder="1"/>
    <xf numFmtId="14" fontId="0" fillId="6" borderId="38" xfId="0" applyNumberFormat="1" applyFill="1" applyBorder="1"/>
    <xf numFmtId="0" fontId="0" fillId="0" borderId="37" xfId="0" applyBorder="1"/>
    <xf numFmtId="0" fontId="0" fillId="6" borderId="37" xfId="0" applyFill="1" applyBorder="1"/>
    <xf numFmtId="0" fontId="5" fillId="14" borderId="38" xfId="0" applyFont="1" applyFill="1" applyBorder="1"/>
    <xf numFmtId="0" fontId="5" fillId="14" borderId="0" xfId="0" applyFont="1" applyFill="1"/>
    <xf numFmtId="0" fontId="0" fillId="17" borderId="0" xfId="0" applyFill="1"/>
    <xf numFmtId="0" fontId="0" fillId="0" borderId="41" xfId="0" applyBorder="1"/>
    <xf numFmtId="0" fontId="0" fillId="17" borderId="17" xfId="0" applyFill="1" applyBorder="1"/>
    <xf numFmtId="0" fontId="0" fillId="6" borderId="6" xfId="0" applyFill="1" applyBorder="1"/>
    <xf numFmtId="0" fontId="0" fillId="17" borderId="7" xfId="0" applyFill="1" applyBorder="1"/>
    <xf numFmtId="0" fontId="0" fillId="6" borderId="8" xfId="0" applyFill="1" applyBorder="1"/>
    <xf numFmtId="0" fontId="0" fillId="0" borderId="42" xfId="0" applyBorder="1"/>
    <xf numFmtId="0" fontId="0" fillId="17" borderId="9" xfId="0" applyFill="1" applyBorder="1"/>
    <xf numFmtId="0" fontId="0" fillId="6" borderId="20" xfId="0" applyFill="1" applyBorder="1"/>
    <xf numFmtId="0" fontId="1" fillId="4" borderId="0" xfId="1" applyFont="1" applyFill="1" applyBorder="1"/>
    <xf numFmtId="0" fontId="0" fillId="14" borderId="38" xfId="0" applyFill="1" applyBorder="1"/>
    <xf numFmtId="0" fontId="0" fillId="14" borderId="5" xfId="0" applyFill="1" applyBorder="1"/>
    <xf numFmtId="0" fontId="0" fillId="14" borderId="44" xfId="0" applyFill="1" applyBorder="1"/>
    <xf numFmtId="0" fontId="0" fillId="0" borderId="46" xfId="0" applyBorder="1"/>
    <xf numFmtId="0" fontId="0" fillId="0" borderId="47" xfId="0" applyBorder="1"/>
    <xf numFmtId="0" fontId="0" fillId="0" borderId="48" xfId="0" applyBorder="1"/>
    <xf numFmtId="0" fontId="0" fillId="0" borderId="57" xfId="0" applyBorder="1"/>
    <xf numFmtId="0" fontId="0" fillId="0" borderId="5" xfId="0" applyBorder="1"/>
    <xf numFmtId="0" fontId="0" fillId="0" borderId="58" xfId="0" applyBorder="1"/>
    <xf numFmtId="0" fontId="0" fillId="11" borderId="5" xfId="0" applyFill="1" applyBorder="1"/>
    <xf numFmtId="0" fontId="4" fillId="0" borderId="24" xfId="0" applyFont="1" applyBorder="1"/>
    <xf numFmtId="0" fontId="4" fillId="0" borderId="30" xfId="0" applyFont="1" applyBorder="1"/>
    <xf numFmtId="0" fontId="0" fillId="0" borderId="49" xfId="0" applyBorder="1"/>
    <xf numFmtId="0" fontId="0" fillId="12" borderId="48" xfId="0" applyFill="1" applyBorder="1"/>
    <xf numFmtId="0" fontId="0" fillId="12" borderId="49" xfId="0" applyFill="1" applyBorder="1"/>
    <xf numFmtId="0" fontId="0" fillId="12" borderId="50" xfId="0" applyFill="1" applyBorder="1"/>
    <xf numFmtId="0" fontId="0" fillId="12" borderId="51" xfId="0" applyFill="1" applyBorder="1"/>
    <xf numFmtId="0" fontId="0" fillId="0" borderId="59" xfId="0" applyBorder="1"/>
    <xf numFmtId="0" fontId="0" fillId="0" borderId="60" xfId="0" applyBorder="1"/>
    <xf numFmtId="0" fontId="0" fillId="12" borderId="46" xfId="0" applyFill="1" applyBorder="1"/>
    <xf numFmtId="0" fontId="0" fillId="12" borderId="47" xfId="0" applyFill="1" applyBorder="1"/>
    <xf numFmtId="0" fontId="0" fillId="0" borderId="25" xfId="0" applyBorder="1"/>
    <xf numFmtId="0" fontId="0" fillId="0" borderId="29" xfId="0" applyBorder="1"/>
    <xf numFmtId="0" fontId="0" fillId="12" borderId="52" xfId="0" applyFill="1" applyBorder="1"/>
    <xf numFmtId="0" fontId="0" fillId="12" borderId="53" xfId="0" applyFill="1" applyBorder="1"/>
    <xf numFmtId="0" fontId="0" fillId="12" borderId="54" xfId="0" applyFill="1" applyBorder="1"/>
    <xf numFmtId="0" fontId="0" fillId="0" borderId="43" xfId="0" applyBorder="1"/>
    <xf numFmtId="0" fontId="0" fillId="18" borderId="33" xfId="0" applyFill="1" applyBorder="1"/>
    <xf numFmtId="0" fontId="0" fillId="11" borderId="46" xfId="0" applyFill="1" applyBorder="1"/>
    <xf numFmtId="0" fontId="0" fillId="18" borderId="47" xfId="0" applyFill="1" applyBorder="1"/>
    <xf numFmtId="0" fontId="0" fillId="11" borderId="48" xfId="0" applyFill="1" applyBorder="1"/>
    <xf numFmtId="0" fontId="0" fillId="18" borderId="49" xfId="0" applyFill="1" applyBorder="1"/>
    <xf numFmtId="0" fontId="0" fillId="11" borderId="50" xfId="0" applyFill="1" applyBorder="1"/>
    <xf numFmtId="0" fontId="0" fillId="18" borderId="51" xfId="0" applyFill="1" applyBorder="1"/>
    <xf numFmtId="0" fontId="0" fillId="18" borderId="61" xfId="0" applyFill="1" applyBorder="1"/>
    <xf numFmtId="0" fontId="0" fillId="11" borderId="62" xfId="0" applyFill="1" applyBorder="1"/>
    <xf numFmtId="0" fontId="0" fillId="11" borderId="63" xfId="0" applyFill="1" applyBorder="1"/>
    <xf numFmtId="0" fontId="0" fillId="11" borderId="47" xfId="0" applyFill="1" applyBorder="1"/>
    <xf numFmtId="0" fontId="0" fillId="11" borderId="49" xfId="0" applyFill="1" applyBorder="1"/>
    <xf numFmtId="0" fontId="0" fillId="11" borderId="51" xfId="0" applyFill="1" applyBorder="1"/>
    <xf numFmtId="0" fontId="0" fillId="11" borderId="67" xfId="0" applyFill="1" applyBorder="1"/>
    <xf numFmtId="0" fontId="0" fillId="11" borderId="68" xfId="0" applyFill="1" applyBorder="1"/>
    <xf numFmtId="0" fontId="0" fillId="18" borderId="46" xfId="0" applyFill="1" applyBorder="1"/>
    <xf numFmtId="0" fontId="0" fillId="18" borderId="48" xfId="0" applyFill="1" applyBorder="1"/>
    <xf numFmtId="0" fontId="0" fillId="18" borderId="50" xfId="0" applyFill="1" applyBorder="1"/>
    <xf numFmtId="0" fontId="10" fillId="0" borderId="0" xfId="0" applyFont="1" applyAlignment="1">
      <alignment vertical="center" wrapText="1"/>
    </xf>
    <xf numFmtId="0" fontId="0" fillId="17" borderId="20" xfId="0" applyFill="1" applyBorder="1"/>
    <xf numFmtId="0" fontId="0" fillId="17" borderId="6" xfId="0" applyFill="1" applyBorder="1"/>
    <xf numFmtId="0" fontId="0" fillId="13" borderId="6" xfId="0" applyFill="1" applyBorder="1"/>
    <xf numFmtId="0" fontId="4" fillId="0" borderId="16" xfId="0" applyFont="1" applyBorder="1" applyAlignment="1">
      <alignment horizontal="center" vertical="center"/>
    </xf>
    <xf numFmtId="0" fontId="4" fillId="14" borderId="55" xfId="0" applyFont="1" applyFill="1" applyBorder="1" applyAlignment="1">
      <alignment horizontal="center" vertical="center"/>
    </xf>
    <xf numFmtId="0" fontId="0" fillId="0" borderId="13" xfId="0" applyBorder="1"/>
    <xf numFmtId="0" fontId="0" fillId="14" borderId="15" xfId="0" applyFill="1" applyBorder="1"/>
    <xf numFmtId="0" fontId="0" fillId="17" borderId="23" xfId="0" applyFill="1" applyBorder="1"/>
    <xf numFmtId="0" fontId="0" fillId="12" borderId="59" xfId="0" applyFill="1" applyBorder="1"/>
    <xf numFmtId="0" fontId="0" fillId="12" borderId="60" xfId="0" applyFill="1" applyBorder="1"/>
    <xf numFmtId="0" fontId="0" fillId="12" borderId="70" xfId="0" applyFill="1" applyBorder="1"/>
    <xf numFmtId="0" fontId="0" fillId="17" borderId="27" xfId="0" applyFill="1" applyBorder="1"/>
    <xf numFmtId="0" fontId="0" fillId="17" borderId="3" xfId="0" applyFill="1" applyBorder="1"/>
    <xf numFmtId="0" fontId="0" fillId="17" borderId="26" xfId="0" applyFill="1" applyBorder="1"/>
    <xf numFmtId="0" fontId="0" fillId="11" borderId="19" xfId="0" applyFill="1" applyBorder="1"/>
    <xf numFmtId="0" fontId="0" fillId="11" borderId="33" xfId="0" applyFill="1" applyBorder="1"/>
    <xf numFmtId="0" fontId="0" fillId="17" borderId="8" xfId="0" applyFill="1" applyBorder="1"/>
    <xf numFmtId="0" fontId="0" fillId="14" borderId="71" xfId="0" applyFill="1" applyBorder="1"/>
    <xf numFmtId="0" fontId="0" fillId="20" borderId="0" xfId="0" applyFill="1"/>
    <xf numFmtId="0" fontId="4" fillId="17" borderId="16" xfId="0" applyFont="1" applyFill="1" applyBorder="1" applyAlignment="1">
      <alignment horizontal="center" vertical="center"/>
    </xf>
    <xf numFmtId="0" fontId="4" fillId="14" borderId="21" xfId="0" applyFont="1" applyFill="1" applyBorder="1" applyAlignment="1">
      <alignment horizontal="center" vertical="center"/>
    </xf>
    <xf numFmtId="0" fontId="0" fillId="17" borderId="72" xfId="0" applyFill="1" applyBorder="1"/>
    <xf numFmtId="0" fontId="0" fillId="17" borderId="73" xfId="0" applyFill="1" applyBorder="1"/>
    <xf numFmtId="0" fontId="0" fillId="14" borderId="74" xfId="0" applyFill="1" applyBorder="1"/>
    <xf numFmtId="0" fontId="0" fillId="14" borderId="75" xfId="0" applyFill="1" applyBorder="1"/>
    <xf numFmtId="0" fontId="0" fillId="17" borderId="76" xfId="0" applyFill="1" applyBorder="1"/>
    <xf numFmtId="0" fontId="0" fillId="17" borderId="77" xfId="0" applyFill="1" applyBorder="1"/>
    <xf numFmtId="0" fontId="0" fillId="0" borderId="23" xfId="0" applyBorder="1"/>
    <xf numFmtId="0" fontId="12" fillId="0" borderId="0" xfId="0" applyFont="1" applyAlignment="1">
      <alignment vertical="center"/>
    </xf>
    <xf numFmtId="0" fontId="12" fillId="0" borderId="0" xfId="0" applyFont="1" applyAlignment="1">
      <alignment vertical="center" wrapText="1"/>
    </xf>
    <xf numFmtId="14" fontId="12" fillId="0" borderId="0" xfId="0" applyNumberFormat="1" applyFont="1" applyAlignment="1">
      <alignment vertical="center"/>
    </xf>
    <xf numFmtId="0" fontId="12" fillId="0" borderId="0" xfId="0" applyFont="1" applyAlignment="1">
      <alignment horizontal="center" vertical="center"/>
    </xf>
    <xf numFmtId="14" fontId="12" fillId="0" borderId="0" xfId="0" applyNumberFormat="1" applyFont="1" applyAlignment="1">
      <alignment vertical="center" wrapText="1"/>
    </xf>
    <xf numFmtId="14" fontId="13" fillId="0" borderId="0" xfId="0" applyNumberFormat="1" applyFont="1" applyAlignment="1">
      <alignment vertical="center"/>
    </xf>
    <xf numFmtId="0" fontId="12" fillId="19" borderId="0" xfId="0" applyFont="1" applyFill="1" applyAlignment="1">
      <alignment vertical="center"/>
    </xf>
    <xf numFmtId="0" fontId="12" fillId="19" borderId="0" xfId="0" applyFont="1" applyFill="1" applyAlignment="1">
      <alignment vertical="center" wrapText="1"/>
    </xf>
    <xf numFmtId="0" fontId="12" fillId="19" borderId="0" xfId="0" applyFont="1" applyFill="1" applyAlignment="1">
      <alignment horizontal="center" vertical="center"/>
    </xf>
    <xf numFmtId="14" fontId="12" fillId="19" borderId="0" xfId="0" applyNumberFormat="1" applyFont="1" applyFill="1" applyAlignment="1">
      <alignment vertical="center" wrapText="1"/>
    </xf>
    <xf numFmtId="14" fontId="12" fillId="19" borderId="0" xfId="0" applyNumberFormat="1" applyFont="1" applyFill="1" applyAlignment="1">
      <alignment vertical="center"/>
    </xf>
    <xf numFmtId="0" fontId="4" fillId="14" borderId="16" xfId="0" applyFont="1" applyFill="1" applyBorder="1" applyAlignment="1">
      <alignment horizontal="center"/>
    </xf>
    <xf numFmtId="0" fontId="4" fillId="14" borderId="32" xfId="0" applyFont="1" applyFill="1" applyBorder="1" applyAlignment="1">
      <alignment horizontal="center"/>
    </xf>
    <xf numFmtId="0" fontId="4" fillId="11" borderId="18" xfId="0" applyFont="1" applyFill="1" applyBorder="1" applyAlignment="1">
      <alignment horizontal="right" indent="5"/>
    </xf>
    <xf numFmtId="0" fontId="4" fillId="11" borderId="45" xfId="0" applyFont="1" applyFill="1" applyBorder="1" applyAlignment="1">
      <alignment horizontal="right" indent="5"/>
    </xf>
    <xf numFmtId="0" fontId="7" fillId="10" borderId="0" xfId="0" applyFont="1" applyFill="1" applyAlignment="1">
      <alignment horizontal="center" vertical="center"/>
    </xf>
    <xf numFmtId="0" fontId="4" fillId="0" borderId="16" xfId="0" applyFont="1" applyBorder="1" applyAlignment="1">
      <alignment horizontal="center"/>
    </xf>
    <xf numFmtId="0" fontId="4" fillId="0" borderId="32" xfId="0" applyFont="1" applyBorder="1" applyAlignment="1">
      <alignment horizont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4" xfId="0" applyFont="1" applyBorder="1" applyAlignment="1">
      <alignment horizontal="center"/>
    </xf>
    <xf numFmtId="0" fontId="4" fillId="0" borderId="31" xfId="0" applyFont="1" applyBorder="1" applyAlignment="1">
      <alignment horizontal="center"/>
    </xf>
    <xf numFmtId="0" fontId="4" fillId="0" borderId="15" xfId="0" applyFont="1" applyBorder="1" applyAlignment="1">
      <alignment horizontal="center"/>
    </xf>
    <xf numFmtId="0" fontId="4" fillId="11" borderId="66" xfId="0" applyFont="1" applyFill="1" applyBorder="1" applyAlignment="1">
      <alignment horizontal="center" vertical="center" textRotation="90" wrapText="1"/>
    </xf>
    <xf numFmtId="0" fontId="4" fillId="11" borderId="64" xfId="0" applyFont="1" applyFill="1" applyBorder="1" applyAlignment="1">
      <alignment horizontal="center" vertical="center" textRotation="90" wrapText="1"/>
    </xf>
    <xf numFmtId="0" fontId="4" fillId="11" borderId="65" xfId="0" applyFont="1" applyFill="1" applyBorder="1" applyAlignment="1">
      <alignment horizontal="center" vertical="center" textRotation="90" wrapText="1"/>
    </xf>
    <xf numFmtId="0" fontId="4" fillId="14" borderId="36" xfId="0" applyFont="1" applyFill="1" applyBorder="1" applyAlignment="1">
      <alignment horizontal="center"/>
    </xf>
    <xf numFmtId="0" fontId="4" fillId="17" borderId="16" xfId="0" applyFont="1" applyFill="1" applyBorder="1" applyAlignment="1">
      <alignment horizontal="center" vertical="center" textRotation="90" wrapText="1"/>
    </xf>
    <xf numFmtId="0" fontId="4" fillId="17" borderId="56" xfId="0" applyFont="1" applyFill="1" applyBorder="1" applyAlignment="1">
      <alignment horizontal="center" vertical="center" textRotation="90" wrapText="1"/>
    </xf>
    <xf numFmtId="0" fontId="4" fillId="17" borderId="21" xfId="0" applyFont="1" applyFill="1" applyBorder="1" applyAlignment="1">
      <alignment horizontal="center" vertical="center" textRotation="90" wrapText="1"/>
    </xf>
    <xf numFmtId="0" fontId="4" fillId="17" borderId="22" xfId="0" applyFont="1" applyFill="1" applyBorder="1" applyAlignment="1">
      <alignment horizontal="center" vertical="center" textRotation="90" wrapText="1"/>
    </xf>
    <xf numFmtId="0" fontId="4" fillId="0" borderId="14" xfId="0" applyFont="1" applyBorder="1" applyAlignment="1">
      <alignment horizontal="right" indent="5"/>
    </xf>
    <xf numFmtId="0" fontId="4" fillId="0" borderId="28" xfId="0" applyFont="1" applyBorder="1" applyAlignment="1">
      <alignment horizontal="right" indent="5"/>
    </xf>
    <xf numFmtId="0" fontId="4" fillId="14" borderId="14" xfId="0" applyFont="1" applyFill="1" applyBorder="1" applyAlignment="1">
      <alignment horizontal="center" vertical="center"/>
    </xf>
    <xf numFmtId="0" fontId="4" fillId="14" borderId="15" xfId="0" applyFont="1" applyFill="1" applyBorder="1" applyAlignment="1">
      <alignment horizontal="center" vertical="center"/>
    </xf>
    <xf numFmtId="0" fontId="7" fillId="17" borderId="3" xfId="0" applyFont="1" applyFill="1" applyBorder="1" applyAlignment="1">
      <alignment horizontal="center"/>
    </xf>
    <xf numFmtId="0" fontId="7" fillId="17" borderId="4" xfId="0" applyFont="1" applyFill="1" applyBorder="1" applyAlignment="1">
      <alignment horizontal="center"/>
    </xf>
    <xf numFmtId="0" fontId="7" fillId="17" borderId="5" xfId="0" applyFont="1" applyFill="1" applyBorder="1" applyAlignment="1">
      <alignment horizontal="center"/>
    </xf>
    <xf numFmtId="0" fontId="9" fillId="17" borderId="40" xfId="0" applyFont="1" applyFill="1" applyBorder="1" applyAlignment="1">
      <alignment horizontal="center"/>
    </xf>
    <xf numFmtId="0" fontId="4" fillId="10" borderId="57" xfId="0" applyFont="1" applyFill="1" applyBorder="1"/>
    <xf numFmtId="0" fontId="4" fillId="10" borderId="69" xfId="0" applyFont="1" applyFill="1" applyBorder="1"/>
    <xf numFmtId="0" fontId="4" fillId="10" borderId="78" xfId="0" applyFont="1" applyFill="1" applyBorder="1"/>
    <xf numFmtId="0" fontId="0" fillId="0" borderId="44" xfId="0" applyBorder="1"/>
    <xf numFmtId="0" fontId="0" fillId="0" borderId="40" xfId="0" applyBorder="1"/>
  </cellXfs>
  <cellStyles count="2">
    <cellStyle name="Énfasis6" xfId="1" builtinId="49"/>
    <cellStyle name="Normal" xfId="0" builtinId="0"/>
  </cellStyles>
  <dxfs count="110">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ont>
        <color theme="8" tint="-0.499984740745262"/>
      </font>
      <fill>
        <patternFill>
          <bgColor theme="8" tint="0.79998168889431442"/>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ont>
        <color rgb="FFFF0000"/>
      </font>
      <fill>
        <patternFill>
          <bgColor rgb="FFFFCCCC"/>
        </patternFill>
      </fill>
    </dxf>
    <dxf>
      <font>
        <b/>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9" formatCode="d/mm/yyyy"/>
    </dxf>
    <dxf>
      <numFmt numFmtId="19" formatCode="d/mm/yyyy"/>
    </dxf>
    <dxf>
      <numFmt numFmtId="0" formatCode="General"/>
      <fill>
        <patternFill patternType="solid">
          <fgColor indexed="64"/>
          <bgColor theme="9" tint="0.79998168889431442"/>
        </patternFill>
      </fill>
      <border diagonalUp="0" diagonalDown="0" outline="0">
        <left/>
        <right style="thin">
          <color indexed="64"/>
        </right>
        <top style="thin">
          <color indexed="64"/>
        </top>
        <bottom style="thin">
          <color indexed="64"/>
        </bottom>
      </border>
    </dxf>
    <dxf>
      <numFmt numFmtId="0" formatCode="General"/>
      <fill>
        <patternFill patternType="solid">
          <fgColor indexed="64"/>
          <bgColor theme="9" tint="0.79998168889431442"/>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indexed="64"/>
          <bgColor theme="8" tint="0.59999389629810485"/>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val="0"/>
        <i val="0"/>
        <strike val="0"/>
        <condense val="0"/>
        <extend val="0"/>
        <outline val="0"/>
        <shadow val="0"/>
        <u val="none"/>
        <vertAlign val="baseline"/>
        <sz val="11"/>
        <color theme="8"/>
        <name val="Aptos Narrow"/>
        <family val="2"/>
        <scheme val="minor"/>
      </font>
      <numFmt numFmtId="0" formatCode="General"/>
      <fill>
        <patternFill patternType="solid">
          <fgColor theme="0" tint="-0.14999847407452621"/>
          <bgColor theme="8" tint="0.79998168889431442"/>
        </patternFill>
      </fill>
    </dxf>
    <dxf>
      <font>
        <strike val="0"/>
        <outline val="0"/>
        <shadow val="0"/>
        <u val="none"/>
        <vertAlign val="baseline"/>
        <sz val="11"/>
        <color theme="8"/>
        <name val="Aptos Narrow"/>
        <family val="2"/>
        <scheme val="minor"/>
      </font>
      <numFmt numFmtId="0" formatCode="General"/>
      <fill>
        <patternFill patternType="solid">
          <fgColor theme="0" tint="-0.14999847407452621"/>
          <bgColor theme="8" tint="0.79998168889431442"/>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medium">
          <color theme="1"/>
        </top>
      </border>
    </dxf>
    <dxf>
      <fill>
        <patternFill patternType="solid">
          <fgColor theme="0" tint="-0.14999847407452621"/>
          <bgColor theme="0" tint="-0.14999847407452621"/>
        </patternFill>
      </fill>
    </dxf>
    <dxf>
      <border outline="0">
        <bottom style="medium">
          <color theme="1"/>
        </bottom>
      </border>
    </dxf>
    <dxf>
      <font>
        <b/>
        <i val="0"/>
        <strike val="0"/>
        <condense val="0"/>
        <extend val="0"/>
        <outline val="0"/>
        <shadow val="0"/>
        <u val="none"/>
        <vertAlign val="baseline"/>
        <sz val="11"/>
        <color theme="0"/>
        <name val="Aptos Narrow"/>
        <family val="2"/>
        <scheme val="minor"/>
      </font>
      <fill>
        <patternFill patternType="solid">
          <fgColor theme="8"/>
          <bgColor theme="8"/>
        </patternFill>
      </fill>
    </dxf>
    <dxf>
      <numFmt numFmtId="19" formatCode="d/mm/yyyy"/>
    </dxf>
    <dxf>
      <numFmt numFmtId="19" formatCode="d/mm/yyyy"/>
    </dxf>
    <dxf>
      <font>
        <b val="0"/>
        <i val="0"/>
        <strike val="0"/>
        <condense val="0"/>
        <extend val="0"/>
        <outline val="0"/>
        <shadow val="0"/>
        <u val="none"/>
        <vertAlign val="baseline"/>
        <sz val="11"/>
        <color theme="9" tint="-0.499984740745262"/>
        <name val="Aptos Narrow"/>
        <family val="2"/>
        <scheme val="minor"/>
      </font>
      <numFmt numFmtId="0" formatCode="General"/>
      <fill>
        <patternFill patternType="solid">
          <fgColor indexed="64"/>
          <bgColor theme="9" tint="0.79998168889431442"/>
        </patternFill>
      </fill>
    </dxf>
    <dxf>
      <font>
        <strike val="0"/>
        <outline val="0"/>
        <shadow val="0"/>
        <u val="none"/>
        <vertAlign val="baseline"/>
        <sz val="11"/>
        <color theme="9" tint="-0.499984740745262"/>
        <name val="Aptos Narrow"/>
        <family val="2"/>
        <scheme val="minor"/>
      </font>
      <numFmt numFmtId="0" formatCode="General"/>
      <fill>
        <patternFill patternType="solid">
          <fgColor indexed="64"/>
          <bgColor theme="9" tint="0.79998168889431442"/>
        </patternFill>
      </fill>
    </dxf>
    <dxf>
      <border outline="0">
        <left style="thin">
          <color theme="4" tint="0.39997558519241921"/>
        </left>
        <top style="thin">
          <color rgb="FF000000"/>
        </top>
        <bottom style="thin">
          <color theme="4" tint="0.39997558519241921"/>
        </bottom>
      </border>
    </dxf>
    <dxf>
      <border outline="0">
        <bottom style="medium">
          <color theme="1"/>
        </bottom>
      </border>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numFmt numFmtId="19" formatCode="d/mm/yyyy"/>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numFmt numFmtId="19" formatCode="d/mm/yyyy"/>
      <alignment vertical="center" textRotation="0" indent="0" justifyLastLine="0" shrinkToFit="0" readingOrder="0"/>
    </dxf>
    <dxf>
      <font>
        <strike val="0"/>
        <outline val="0"/>
        <shadow val="0"/>
        <u val="none"/>
        <vertAlign val="baseline"/>
        <sz val="12"/>
      </font>
      <numFmt numFmtId="19" formatCode="d/mm/yyyy"/>
      <alignment vertical="center" textRotation="0" indent="0" justifyLastLine="0" shrinkToFit="0" readingOrder="0"/>
    </dxf>
    <dxf>
      <font>
        <strike val="0"/>
        <outline val="0"/>
        <shadow val="0"/>
        <u val="none"/>
        <vertAlign val="baseline"/>
        <sz val="12"/>
      </font>
      <numFmt numFmtId="19" formatCode="d/mm/yyyy"/>
      <alignment vertical="center" textRotation="0" indent="0" justifyLastLine="0" shrinkToFit="0" readingOrder="0"/>
    </dxf>
    <dxf>
      <font>
        <strike val="0"/>
        <outline val="0"/>
        <shadow val="0"/>
        <u val="none"/>
        <vertAlign val="baseline"/>
        <sz val="12"/>
      </font>
      <alignment horizontal="general" vertical="center" textRotation="0" wrapText="1"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horizontal="center" vertical="center" textRotation="0" wrapText="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horizontal="general" vertical="center" textRotation="0" wrapText="1"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
      <font>
        <strike val="0"/>
        <outline val="0"/>
        <shadow val="0"/>
        <u val="none"/>
        <vertAlign val="baseline"/>
        <sz val="12"/>
      </font>
      <alignment vertical="center" textRotation="0" indent="0" justifyLastLine="0" shrinkToFit="0" readingOrder="0"/>
    </dxf>
  </dxfs>
  <tableStyles count="0" defaultTableStyle="TableStyleMedium2" defaultPivotStyle="PivotStyleLight16"/>
  <colors>
    <mruColors>
      <color rgb="FFE8E8E8"/>
      <color rgb="FFBBDFFD"/>
      <color rgb="FFE8D7E9"/>
      <color rgb="FFD8EDEE"/>
      <color rgb="FFCCCCFF"/>
      <color rgb="FFCCFFFF"/>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0F850E-48D6-4884-93A5-F2D26F61F2D1}" name="Tabla15" displayName="Tabla15" ref="A1:AE73" totalsRowShown="0" headerRowDxfId="109" dataDxfId="108">
  <autoFilter ref="A1:AE73" xr:uid="{AE0F850E-48D6-4884-93A5-F2D26F61F2D1}"/>
  <tableColumns count="31">
    <tableColumn id="1" xr3:uid="{8E4C6039-CFFB-4232-B71C-49B82D436763}" name="ID" dataDxfId="107"/>
    <tableColumn id="2" xr3:uid="{06D0C031-A213-4882-9AEE-633768651362}" name="University" dataDxfId="106"/>
    <tableColumn id="3" xr3:uid="{571B00FF-4EBE-4F47-80C9-C0F505B88D48}" name="Country" dataDxfId="105"/>
    <tableColumn id="4" xr3:uid="{197DA2B0-124A-41B1-AC07-5EA7E7816FEC}" name="City" dataDxfId="104"/>
    <tableColumn id="5" xr3:uid="{E2DE9EFC-4FEF-49A0-8BC8-BD330F1A69AB}" name="Exchange Agreement" dataDxfId="103"/>
    <tableColumn id="6" xr3:uid="{E34FD913-7BE8-4483-9BD9-3D23F4EC76DC}" name="Undergraduate" dataDxfId="102"/>
    <tableColumn id="7" xr3:uid="{C80CE860-52E1-4B6B-BFC7-1372B0D6A69F}" name="Masters" dataDxfId="101"/>
    <tableColumn id="33" xr3:uid="{ED416AB1-6921-4940-B6BA-1F7A584741D5}" name="MBA Online" dataDxfId="100"/>
    <tableColumn id="34" xr3:uid="{4948ED2C-06EF-46E4-B56B-FAF61D0C8122}" name="MRDS" dataDxfId="99"/>
    <tableColumn id="35" xr3:uid="{FEA02306-28CF-4FAE-A62D-083BA73CAD34}" name="MAGF" dataDxfId="98"/>
    <tableColumn id="8" xr3:uid="{8F07DDAF-14FA-4A47-A2AF-2232AF1E11AE}" name="PhD" dataDxfId="97"/>
    <tableColumn id="9" xr3:uid="{3925579D-146B-4C02-A065-227D0569666B}" name="Double Degree" dataDxfId="96"/>
    <tableColumn id="10" xr3:uid="{D3262546-6056-44D5-86A7-6DCAFAC4C007}" name="Undergraduate2" dataDxfId="95"/>
    <tableColumn id="11" xr3:uid="{9BC30AB6-38BB-469C-853A-96B07ECB20CC}" name="MBA" dataDxfId="94"/>
    <tableColumn id="12" xr3:uid="{66D56F03-0B84-468D-A3FB-287AEFF49D06}" name="Type of Agreement" dataDxfId="93"/>
    <tableColumn id="13" xr3:uid="{60A7396E-AD5A-4811-9433-A260CE4109E6}" name="Accreditation" dataDxfId="92"/>
    <tableColumn id="14" xr3:uid="{242D123C-DE54-48FF-BB57-650EC740810B}" name="AACSB" dataDxfId="91"/>
    <tableColumn id="15" xr3:uid="{159737B6-90EB-4B53-A318-7DF3CA2B3EB0}" name="AMBA" dataDxfId="90"/>
    <tableColumn id="16" xr3:uid="{F1AB1843-0B92-4685-8F1D-C134C9FE5ECD}" name="EQUIS" dataDxfId="89"/>
    <tableColumn id="17" xr3:uid="{3368038F-B94F-4668-8756-5DA54BC97179}" name="ESTADO" dataDxfId="88">
      <calculatedColumnFormula>IF(Tabla15[[#This Row],[FECHA FIN CONVENIO]]&gt;TODAY(),"Vigente","Vencido")</calculatedColumnFormula>
    </tableColumn>
    <tableColumn id="18" xr3:uid="{058F61AE-9FD9-46FB-BCC0-92CD0047C1C4}" name="CUPOS" dataDxfId="87"/>
    <tableColumn id="19" xr3:uid="{02DC7E6C-4C2B-4181-90B8-1737595CDC52}" name="FECHA FIRMA INICIAL" dataDxfId="86"/>
    <tableColumn id="20" xr3:uid="{ECFC8CBB-14BA-48F7-81E3-B3A19E5AD3E4}" name="FECHA INICIO CONVENIO" dataDxfId="85"/>
    <tableColumn id="21" xr3:uid="{C71AB24C-FEA3-4CB4-8890-46AE4080C9EE}" name="RENOVACIONES" dataDxfId="84"/>
    <tableColumn id="22" xr3:uid="{FB44028B-5A4C-4BEB-BF38-DDF6C42108B7}" name="VIGENCIA EN AÑOS" dataDxfId="83"/>
    <tableColumn id="23" xr3:uid="{4EE43F6E-9EE9-4070-9284-FD58ED8F4D8D}" name="FECHA FIN CONVENIO" dataDxfId="82"/>
    <tableColumn id="24" xr3:uid="{5C93BC11-4332-4C46-846C-9B87EE67DE58}" name="ÚLTIMA RENOVACIÓN" dataDxfId="81"/>
    <tableColumn id="25" xr3:uid="{59DE16EA-7A27-4A95-9932-1E582EBE3368}" name="COMENTARIOS" dataDxfId="80"/>
    <tableColumn id="26" xr3:uid="{1C5C4640-EC50-4794-BACD-C471C62F3735}" name="CLAUSULA EIV" dataDxfId="79"/>
    <tableColumn id="27" xr3:uid="{6BA48797-FF3B-4587-B04E-853710097D37}" name="LADO" dataDxfId="78"/>
    <tableColumn id="28" xr3:uid="{7F2F571A-B6E3-4681-B250-2C415BF581E4}" name="Contacto convenio" dataDxfId="7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FECEF0-8EB8-42E4-AD5E-47CFF515967F}" name="Tabla5" displayName="Tabla5" ref="A1:D58" totalsRowShown="0" headerRowDxfId="27" headerRowBorderDxfId="33" tableBorderDxfId="34" totalsRowBorderDxfId="32">
  <autoFilter ref="A1:D58" xr:uid="{22FECEF0-8EB8-42E4-AD5E-47CFF515967F}"/>
  <tableColumns count="4">
    <tableColumn id="1" xr3:uid="{755003DC-12E8-4746-BECD-7BDEB617236C}" name="Año" dataDxfId="31"/>
    <tableColumn id="2" xr3:uid="{B6166A55-21A5-4886-9AFD-A690146B6C26}" name="Universidad KPIs" dataDxfId="30"/>
    <tableColumn id="3" xr3:uid="{D2348ABB-F6E3-4F2D-84A4-307C82E2AA6C}" name="Movilidad?" dataDxfId="29"/>
    <tableColumn id="4" xr3:uid="{6DD344E2-AC5F-4EDD-8768-B077FCA33789}" name="Convenio" dataDxfId="2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CFBB8-889F-4C32-8924-AC628472F0BF}" name="Tabla1" displayName="Tabla1" ref="A1:Z633" totalsRowShown="0" headerRowBorderDxfId="76" tableBorderDxfId="75">
  <autoFilter ref="A1:Z633" xr:uid="{128CFBB8-889F-4C32-8924-AC628472F0BF}"/>
  <tableColumns count="26">
    <tableColumn id="1" xr3:uid="{CA15FE3F-12ED-4D03-9CD3-54DC61EB051F}" name="Correo electrónico"/>
    <tableColumn id="2" xr3:uid="{41A5DE30-659B-447B-90D4-196DA523FD20}" name="Código Uniandes"/>
    <tableColumn id="3" xr3:uid="{14BD8460-1B84-435D-B18E-5CB0E3DB8A87}" name="First name"/>
    <tableColumn id="4" xr3:uid="{A006936D-7771-443E-B675-21418C530EDC}" name="Surname"/>
    <tableColumn id="5" xr3:uid="{1C26BF3F-8251-4B01-9ED3-4074B54A6BC6}" name="Nombre completo"/>
    <tableColumn id="6" xr3:uid="{2A84DC2C-A3A6-4BD1-9D08-19347CB5E76D}" name="Programa1"/>
    <tableColumn id="7" xr3:uid="{BDF5B6A8-A13A-4975-BC0D-4B914B2DBADD}" name="Facultad1"/>
    <tableColumn id="8" xr3:uid="{A743A97B-DB61-4F45-81D0-3FAD72B448A5}" name="Programa2"/>
    <tableColumn id="9" xr3:uid="{65AE6F29-7350-43E7-9E18-A848CFC06871}" name="Facultad2"/>
    <tableColumn id="10" xr3:uid="{3805B832-57E6-429F-BED8-26724F172F7C}" name="Modalidad"/>
    <tableColumn id="11" xr3:uid="{367E088C-B0E5-4E4C-97EE-5812584289C5}" name="Año de Movilidad"/>
    <tableColumn id="12" xr3:uid="{B772DDE7-78D7-420C-B339-4BC340D82069}" name="Período de Movilidad"/>
    <tableColumn id="13" xr3:uid="{EB19322A-A325-4342-AECB-4D284107F319}" name="Convocatoria"/>
    <tableColumn id="14" xr3:uid="{08508063-768F-432C-B172-4CC877BB01AD}" name="Nivel"/>
    <tableColumn id="15" xr3:uid="{98E9C558-D112-4A11-8EB0-966BDD142DCF}" name="Tipo de Movilidad"/>
    <tableColumn id="16" xr3:uid="{4E5C9D78-B3D1-48E6-835C-FF3CC89D8149}" name="Tipo de Convenio"/>
    <tableColumn id="17" xr3:uid="{49A6FAC5-33D9-490B-8457-20978E075A8F}" name="Programa Postulación"/>
    <tableColumn id="18" xr3:uid="{15774FE6-1209-4B5F-9B4B-D38585FE387D}" name="Facultad de Postulación"/>
    <tableColumn id="19" xr3:uid="{A6EB102D-0388-42C2-A49B-BB7A475398E0}" name="Universidad"/>
    <tableColumn id="25" xr3:uid="{D556F75F-DA66-4B79-ABA8-A6BA3BDD69FA}" name="Universidad KPIs" dataDxfId="74">
      <calculatedColumnFormula>_xlfn.XLOOKUP(Tabla1[[#This Row],[Universidad]],Conversiones!$B:$B,Conversiones!$C:$C)</calculatedColumnFormula>
    </tableColumn>
    <tableColumn id="26" xr3:uid="{A56A4B44-1F52-4AC2-804D-B7340BC7209A}" name="Tipo Convenio" dataDxfId="73">
      <calculatedColumnFormula>_xlfn.XLOOKUP(Tabla1[[#This Row],[Universidad KPIs]],Conversiones!$C:$C,Conversiones!$E:$E)</calculatedColumnFormula>
    </tableColumn>
    <tableColumn id="20" xr3:uid="{EAA6ABC5-5941-46C3-B524-7961A0162D0F}" name="País"/>
    <tableColumn id="21" xr3:uid="{00825A40-1EF8-48AD-B5A1-8AD6145F03A7}" name="Continente"/>
    <tableColumn id="22" xr3:uid="{BF285E05-E594-4F4C-B8E5-91773CDEF15B}" name="Fecha Inicio" dataDxfId="72"/>
    <tableColumn id="23" xr3:uid="{D29D5B4D-C30F-4FCD-8BC9-E5CB5F21B598}" name="Fecha Finalización" dataDxfId="71"/>
    <tableColumn id="24" xr3:uid="{9FDEE4C4-20FD-449B-BD57-B68385A2F763}" name="Duration (DD)"/>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9378F4-2F20-4997-BF0E-742807A2C9D7}" name="Tabla2" displayName="Tabla2" ref="A1:AD447" totalsRowShown="0" headerRowDxfId="70" dataDxfId="68" headerRowBorderDxfId="69" tableBorderDxfId="67">
  <autoFilter ref="A1:AD447" xr:uid="{889378F4-2F20-4997-BF0E-742807A2C9D7}"/>
  <tableColumns count="30">
    <tableColumn id="1" xr3:uid="{DD3E5FFD-BE60-496C-B8A0-1BF2C6E73BFC}" name="Año" dataDxfId="66"/>
    <tableColumn id="2" xr3:uid="{55F6E6D6-7657-4649-8620-223D354E2284}" name="Semestre de Movilidad" dataDxfId="65"/>
    <tableColumn id="3" xr3:uid="{1E320D95-E80B-45DA-8F71-52590C7435ED}" name="Código" dataDxfId="64"/>
    <tableColumn id="4" xr3:uid="{0D075CD6-6B8D-48B5-A040-24361F555D77}" name="Nombre" dataDxfId="63"/>
    <tableColumn id="5" xr3:uid="{4BE3EECB-C825-4786-953C-D789A0598459}" name="Apellido" dataDxfId="62"/>
    <tableColumn id="6" xr3:uid="{B07AC7DD-7E2F-4611-A0E8-7CD30277F1DA}" name="Universidad" dataDxfId="61"/>
    <tableColumn id="12" xr3:uid="{D122D50A-93F7-4E47-9BFF-07EA5AC4C7BE}" name="Universidad KPIs" dataDxfId="60">
      <calculatedColumnFormula>_xlfn.XLOOKUP(Tabla2[[#This Row],[Universidad]],Conversiones!$B:$B,Conversiones!$C:$C)</calculatedColumnFormula>
    </tableColumn>
    <tableColumn id="51" xr3:uid="{7AAE1420-1BFB-470A-BF89-243CE81AADA9}" name="Tipo Convenio" dataDxfId="59">
      <calculatedColumnFormula>_xlfn.XLOOKUP(Tabla2[[#This Row],[Universidad KPIs]],Conversiones!$C:$C,Conversiones!$E:$E)</calculatedColumnFormula>
    </tableColumn>
    <tableColumn id="7" xr3:uid="{C6B44C60-3F53-4DFF-8635-1488E513E1E2}" name="País" dataDxfId="58"/>
    <tableColumn id="8" xr3:uid="{312BE321-3080-49FF-A837-E4DB14AEFCDF}" name="Continente" dataDxfId="57"/>
    <tableColumn id="9" xr3:uid="{AD91680A-26C3-4461-95E2-9822D483FABD}" name="Cuenta Alterna" dataDxfId="56"/>
    <tableColumn id="10" xr3:uid="{28CECA34-5D44-481A-A859-938F0F34512A}" name="Cuenta Uniandes" dataDxfId="55"/>
    <tableColumn id="11" xr3:uid="{1E9C5EC3-92B9-4E31-B44C-08A3C6D7108C}" name="Tipo de Movilidad" dataDxfId="54"/>
    <tableColumn id="14" xr3:uid="{449C4788-E2A5-4E37-A42C-DFA88098F790}" name="Grupo Banner" dataDxfId="53"/>
    <tableColumn id="15" xr3:uid="{FC68D487-5A04-422B-9E20-0AA5508E5C80}" name="Cruce de Programa" dataDxfId="52"/>
    <tableColumn id="16" xr3:uid="{98FF4C23-1B94-4616-85B5-4B740D625A1B}" name="Total Cursos" dataDxfId="51"/>
    <tableColumn id="17" xr3:uid="{47013F73-9327-4178-849C-DB291CC394E3}" name="Curso 1" dataDxfId="50"/>
    <tableColumn id="18" xr3:uid="{7B1B706C-0E12-4225-AA72-A229421B4FDD}" name="Curso 2" dataDxfId="49"/>
    <tableColumn id="19" xr3:uid="{3DF04B12-E611-4F21-9651-F8A46C5936A4}" name="Curso 3" dataDxfId="48"/>
    <tableColumn id="20" xr3:uid="{D16C5D9C-1561-4401-888D-2DC619F9C89C}" name="Curso 4" dataDxfId="47"/>
    <tableColumn id="21" xr3:uid="{63DE0C98-8CAD-4EE5-AA4C-EBE2C47CA33E}" name="Curso 5" dataDxfId="46"/>
    <tableColumn id="22" xr3:uid="{660D4573-E7B5-441B-BC52-3D52A3175F41}" name="Curso 6" dataDxfId="45"/>
    <tableColumn id="23" xr3:uid="{6EE927BE-002A-47B5-9E73-F6DC500F37EB}" name="Curso 7" dataDxfId="44"/>
    <tableColumn id="24" xr3:uid="{D8A5E1B7-20AD-4CC8-8D7D-417DC4CD500A}" name="Curso 8" dataDxfId="43"/>
    <tableColumn id="25" xr3:uid="{3B348E63-E3EB-4C97-98AF-6B92C6ED41E1}" name="Curso 9" dataDxfId="42"/>
    <tableColumn id="26" xr3:uid="{5001DE5F-803C-432A-83BD-185D77D303A8}" name="Curso 10" dataDxfId="41"/>
    <tableColumn id="27" xr3:uid="{E3BE44B2-A75C-4412-BCD5-2D4203DCAEED}" name="Curso 11" dataDxfId="40"/>
    <tableColumn id="28" xr3:uid="{9FE34A03-24D1-4EBC-BB93-6EDEE8B493C5}" name="Curso 12" dataDxfId="39"/>
    <tableColumn id="48" xr3:uid="{07DBF801-71DD-4FEB-9AA2-9175DFEF61E5}" name="Programa Nominación" dataDxfId="38"/>
    <tableColumn id="46" xr3:uid="{822AF008-0303-44B3-9884-EFA1F013F638}" name="Nivel Nominación" dataDxfId="37">
      <calculatedColumnFormula>IF(AND(#REF!&gt;0,#REF!=0),"Pregrado","Maestría")</calculatedColumnFormula>
    </tableColumn>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0AFD54-B626-4496-8E60-CC28E8CFABA4}" name="Tabla3" displayName="Tabla3" ref="A1:V3" totalsRowShown="0">
  <autoFilter ref="A1:V3" xr:uid="{3D0AFD54-B626-4496-8E60-CC28E8CFABA4}"/>
  <tableColumns count="22">
    <tableColumn id="1" xr3:uid="{80945C2E-20BD-4BF7-8885-6BBDF503DC12}" name="Año"/>
    <tableColumn id="2" xr3:uid="{F81F224A-944F-4BBB-8C95-E5F83397CC92}" name="Código"/>
    <tableColumn id="3" xr3:uid="{6247AE74-8BC2-42D5-8A9B-F3E4E0DFB410}" name="Pasaporte"/>
    <tableColumn id="4" xr3:uid="{F9BA31D0-A057-4C8C-A5E1-935D952E7A9C}" name="Apellido"/>
    <tableColumn id="5" xr3:uid="{12B7829A-3D36-4AF1-8591-3A2BBA7A9433}" name="Nombre"/>
    <tableColumn id="6" xr3:uid="{133AD151-53E7-4D39-88A6-4CFC9528A416}" name="Nacionalidad"/>
    <tableColumn id="7" xr3:uid="{38CB2F12-47E9-4F84-B81C-E656C757B6C2}" name="Pais Universidad"/>
    <tableColumn id="8" xr3:uid="{294CDFF2-80F6-4FC0-BA41-BE567F2D1353}" name="Universidad"/>
    <tableColumn id="9" xr3:uid="{79BBA0FD-FB2C-4AD3-8FE0-70C378C1FF91}" name="País"/>
    <tableColumn id="10" xr3:uid="{26FF013B-C31C-421B-8658-DDCD75993849}" name="Cuenta alterna"/>
    <tableColumn id="11" xr3:uid="{A7E16859-80E6-4090-B785-E64A5C6BDF80}" name="Cuenta Uniandes"/>
    <tableColumn id="12" xr3:uid="{3AA12C1D-EE62-418B-B0D1-B5B278C0E4D1}" name="Población "/>
    <tableColumn id="13" xr3:uid="{4C0924C4-E1C6-4714-AB7C-05378C5F3BBD}" name="Grupo banner"/>
    <tableColumn id="14" xr3:uid="{EBBCBBF2-4E38-45AB-A53F-A7DBEE13162E}" name="Nivel"/>
    <tableColumn id="15" xr3:uid="{EA193FA7-9193-4DB4-B2F3-0D14619985C7}" name="Facultad"/>
    <tableColumn id="16" xr3:uid="{5EB11114-2A1E-4E75-95D0-F9EA472034E1}" name="Programa"/>
    <tableColumn id="17" xr3:uid="{5553FB28-018C-47B1-AA6D-4B7D8235AD52}" name="Profesor"/>
    <tableColumn id="18" xr3:uid="{98C6865C-34DB-46EB-9A92-E0A1699BEFDB}" name="Mail profesor"/>
    <tableColumn id="19" xr3:uid="{4354D836-ECFB-4423-B289-865D3ECD3177}" name="Convenio"/>
    <tableColumn id="20" xr3:uid="{BEB574C5-479D-4008-9BB8-47FE83AF2A90}" name="Fecha inicio" dataDxfId="36"/>
    <tableColumn id="21" xr3:uid="{E5B9D41E-B54A-4E3A-8E48-B0758B894345}" name="Fecha Fin" dataDxfId="35"/>
    <tableColumn id="22" xr3:uid="{98E1C385-1B1B-49BF-862D-3CCA72CA23B3}" name="Duración (DD)"/>
  </tableColumns>
  <tableStyleInfo name="TableStyleMedium2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mailto:n.jaramilloe@uniandes.edu.co"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8271-3AA9-4812-A59D-8237927172CC}">
  <sheetPr>
    <tabColor theme="9" tint="0.79998168889431442"/>
  </sheetPr>
  <dimension ref="B1:R241"/>
  <sheetViews>
    <sheetView tabSelected="1" zoomScale="85" zoomScaleNormal="85" workbookViewId="0">
      <selection activeCell="C39" sqref="C39"/>
    </sheetView>
  </sheetViews>
  <sheetFormatPr baseColWidth="10" defaultColWidth="11.42578125" defaultRowHeight="15"/>
  <cols>
    <col min="1" max="2" width="7.85546875" style="8" customWidth="1"/>
    <col min="3" max="3" width="67" style="8" bestFit="1" customWidth="1"/>
    <col min="4" max="4" width="17.140625" style="8" bestFit="1" customWidth="1"/>
    <col min="5" max="18" width="12.140625" style="8" customWidth="1"/>
    <col min="19" max="16384" width="11.42578125" style="8"/>
  </cols>
  <sheetData>
    <row r="1" spans="2:18" ht="9.75" customHeight="1"/>
    <row r="2" spans="2:18" s="17" customFormat="1" ht="27" customHeight="1" thickBot="1">
      <c r="C2" s="170" t="s">
        <v>28</v>
      </c>
      <c r="D2" s="170"/>
      <c r="E2" s="170"/>
      <c r="F2" s="170"/>
      <c r="G2" s="170"/>
      <c r="H2" s="170"/>
      <c r="I2" s="170"/>
      <c r="J2" s="170"/>
      <c r="K2" s="170"/>
      <c r="L2" s="170"/>
      <c r="M2" s="170"/>
      <c r="N2" s="170"/>
      <c r="O2" s="170"/>
      <c r="P2" s="170"/>
      <c r="Q2" s="170"/>
      <c r="R2" s="35"/>
    </row>
    <row r="3" spans="2:18" ht="15.75" thickBot="1">
      <c r="E3" s="171">
        <v>2020</v>
      </c>
      <c r="F3" s="172"/>
      <c r="G3" s="171">
        <v>2021</v>
      </c>
      <c r="H3" s="172"/>
      <c r="I3" s="171">
        <v>2022</v>
      </c>
      <c r="J3" s="172"/>
      <c r="K3" s="171">
        <v>2023</v>
      </c>
      <c r="L3" s="172"/>
      <c r="M3" s="171">
        <v>2024</v>
      </c>
      <c r="N3" s="172"/>
      <c r="O3" s="171">
        <v>2025</v>
      </c>
      <c r="P3" s="172"/>
      <c r="Q3" s="166" t="s">
        <v>29</v>
      </c>
      <c r="R3" s="181"/>
    </row>
    <row r="4" spans="2:18" ht="15.75" thickBot="1">
      <c r="C4" s="91" t="s">
        <v>30</v>
      </c>
      <c r="D4" s="92" t="s">
        <v>19</v>
      </c>
      <c r="E4" s="15" t="s">
        <v>31</v>
      </c>
      <c r="F4" s="37" t="s">
        <v>32</v>
      </c>
      <c r="G4" s="15" t="s">
        <v>31</v>
      </c>
      <c r="H4" s="37" t="s">
        <v>32</v>
      </c>
      <c r="I4" s="15" t="s">
        <v>31</v>
      </c>
      <c r="J4" s="37" t="s">
        <v>32</v>
      </c>
      <c r="K4" s="15" t="s">
        <v>31</v>
      </c>
      <c r="L4" s="37" t="s">
        <v>32</v>
      </c>
      <c r="M4" s="15" t="s">
        <v>31</v>
      </c>
      <c r="N4" s="34" t="s">
        <v>32</v>
      </c>
      <c r="O4" s="15" t="s">
        <v>31</v>
      </c>
      <c r="P4" s="34" t="s">
        <v>32</v>
      </c>
      <c r="Q4" s="51" t="s">
        <v>31</v>
      </c>
      <c r="R4" s="52" t="s">
        <v>32</v>
      </c>
    </row>
    <row r="5" spans="2:18">
      <c r="B5" s="182" t="s">
        <v>33</v>
      </c>
      <c r="C5" s="84" t="s">
        <v>34</v>
      </c>
      <c r="D5" s="85" t="s">
        <v>35</v>
      </c>
      <c r="E5" s="87">
        <f>COUNTIFS(Tabla1[Tipo de Movilidad],"Intercambio*",Tabla1[Universidad KPIs],'Utilización Convenios'!$C5,Tabla1[Año de Movilidad],'Utilización Convenios'!E$3,Tabla1[Nivel],"Pregrado")</f>
        <v>1</v>
      </c>
      <c r="F5" s="21">
        <f>COUNTIFS(Tabla2[Tipo de Movilidad],"Intercambio*",Tabla2[Universidad KPIs],'Utilización Convenios'!$C5,Tabla2[Año],'Utilización Convenios'!E$3,Tabla2[Nivel Nominación],"Undergraduate / Bachelor")</f>
        <v>2</v>
      </c>
      <c r="G5" s="12">
        <f>COUNTIFS(Tabla1[Tipo de Movilidad],"Intercambio*",Tabla1[Universidad KPIs],'Utilización Convenios'!$C5,Tabla1[Año de Movilidad],'Utilización Convenios'!G$3,Tabla1[Nivel],"Pregrado")</f>
        <v>2</v>
      </c>
      <c r="H5" s="21">
        <f>COUNTIFS(Tabla2[Tipo de Movilidad],"Intercambio*",Tabla2[Universidad KPIs],'Utilización Convenios'!$C5,Tabla2[Año],'Utilización Convenios'!G$3,Tabla2[Nivel Nominación],"Undergraduate / Bachelor")</f>
        <v>0</v>
      </c>
      <c r="I5" s="12">
        <f>COUNTIFS(Tabla1[Tipo de Movilidad],"Intercambio*",Tabla1[Universidad KPIs],'Utilización Convenios'!$C5,Tabla1[Año de Movilidad],'Utilización Convenios'!I$3,Tabla1[Nivel],"Pregrado")</f>
        <v>4</v>
      </c>
      <c r="J5" s="21">
        <f>COUNTIFS(Tabla2[Tipo de Movilidad],"Intercambio*",Tabla2[Universidad KPIs],'Utilización Convenios'!$C5,Tabla2[Año],'Utilización Convenios'!I$3,Tabla2[Nivel Nominación],"Undergraduate / Bachelor")</f>
        <v>5</v>
      </c>
      <c r="K5" s="12">
        <f>COUNTIFS(Tabla1[Tipo de Movilidad],"Intercambio*",Tabla1[Universidad KPIs],'Utilización Convenios'!$C5,Tabla1[Año de Movilidad],'Utilización Convenios'!K$3,Tabla1[Nivel],"Pregrado")</f>
        <v>5</v>
      </c>
      <c r="L5" s="21">
        <f>COUNTIFS(Tabla2[Tipo de Movilidad],"Intercambio*",Tabla2[Universidad KPIs],'Utilización Convenios'!$C5,Tabla2[Año],'Utilización Convenios'!K$3,Tabla2[Nivel Nominación],"Undergraduate / Bachelor")</f>
        <v>3</v>
      </c>
      <c r="M5" s="12">
        <f>COUNTIFS(Tabla1[Tipo de Movilidad],"Intercambio*",Tabla1[Universidad KPIs],'Utilización Convenios'!$C5,Tabla1[Año de Movilidad],'Utilización Convenios'!M$3,Tabla1[Nivel],"Pregrado")</f>
        <v>1</v>
      </c>
      <c r="N5" s="29">
        <f>COUNTIFS(Tabla2[Tipo de Movilidad],"Intercambio*",Tabla2[Universidad KPIs],'Utilización Convenios'!$C5,Tabla2[Año],'Utilización Convenios'!M$3,Tabla2[Nivel Nominación],"Undergraduate / Bachelor")</f>
        <v>2</v>
      </c>
      <c r="O5" s="12">
        <f>COUNTIFS(Tabla1[Tipo de Movilidad],"Intercambio*",Tabla1[Universidad KPIs],'Utilización Convenios'!$C5,Tabla1[Año de Movilidad],'Utilización Convenios'!O$3,Tabla1[Nivel],"Pregrado")</f>
        <v>1</v>
      </c>
      <c r="P5" s="29">
        <f>COUNTIFS(Tabla2[Tipo de Movilidad],"Intercambio*",Tabla2[Universidad KPIs],'Utilización Convenios'!$C5,Tabla2[Año],'Utilización Convenios'!O$3,Tabla2[Nivel Nominación],"Undergraduate / Bachelor")</f>
        <v>6</v>
      </c>
      <c r="Q5" s="39">
        <f>SUMIF($E$4:$P$4,Q$4,$E5:$P5)</f>
        <v>14</v>
      </c>
      <c r="R5" s="40">
        <f>SUMIF($E$4:$P$4,R$4,$E5:$P5)</f>
        <v>18</v>
      </c>
    </row>
    <row r="6" spans="2:18">
      <c r="B6" s="183"/>
      <c r="C6" s="86" t="s">
        <v>36</v>
      </c>
      <c r="D6" s="93" t="s">
        <v>37</v>
      </c>
      <c r="E6" s="88">
        <f>COUNTIFS(Tabla1[Tipo de Movilidad],"Intercambio*",Tabla1[Universidad KPIs],'Utilización Convenios'!$C6,Tabla1[Año de Movilidad],'Utilización Convenios'!E$3,Tabla1[Nivel],"Pregrado")</f>
        <v>1</v>
      </c>
      <c r="F6" s="11">
        <f>COUNTIFS(Tabla2[Tipo de Movilidad],"Intercambio*",Tabla2[Universidad KPIs],'Utilización Convenios'!$C6,Tabla2[Año],'Utilización Convenios'!E$3,Tabla2[Nivel Nominación],"Undergraduate / Bachelor")</f>
        <v>0</v>
      </c>
      <c r="G6" s="10">
        <f>COUNTIFS(Tabla1[Tipo de Movilidad],"Intercambio*",Tabla1[Universidad KPIs],'Utilización Convenios'!$C6,Tabla1[Año de Movilidad],'Utilización Convenios'!G$3,Tabla1[Nivel],"Pregrado")</f>
        <v>1</v>
      </c>
      <c r="H6" s="11">
        <f>COUNTIFS(Tabla2[Tipo de Movilidad],"Intercambio*",Tabla2[Universidad KPIs],'Utilización Convenios'!$C6,Tabla2[Año],'Utilización Convenios'!G$3,Tabla2[Nivel Nominación],"Undergraduate / Bachelor")</f>
        <v>1</v>
      </c>
      <c r="I6" s="10">
        <f>COUNTIFS(Tabla1[Tipo de Movilidad],"Intercambio*",Tabla1[Universidad KPIs],'Utilización Convenios'!$C6,Tabla1[Año de Movilidad],'Utilización Convenios'!I$3,Tabla1[Nivel],"Pregrado")</f>
        <v>0</v>
      </c>
      <c r="J6" s="11">
        <f>COUNTIFS(Tabla2[Tipo de Movilidad],"Intercambio*",Tabla2[Universidad KPIs],'Utilización Convenios'!$C6,Tabla2[Año],'Utilización Convenios'!I$3,Tabla2[Nivel Nominación],"Undergraduate / Bachelor")</f>
        <v>0</v>
      </c>
      <c r="K6" s="10">
        <f>COUNTIFS(Tabla1[Tipo de Movilidad],"Intercambio*",Tabla1[Universidad KPIs],'Utilización Convenios'!$C6,Tabla1[Año de Movilidad],'Utilización Convenios'!K$3,Tabla1[Nivel],"Pregrado")</f>
        <v>2</v>
      </c>
      <c r="L6" s="11">
        <f>COUNTIFS(Tabla2[Tipo de Movilidad],"Intercambio*",Tabla2[Universidad KPIs],'Utilización Convenios'!$C6,Tabla2[Año],'Utilización Convenios'!K$3,Tabla2[Nivel Nominación],"Undergraduate / Bachelor")</f>
        <v>1</v>
      </c>
      <c r="M6" s="10">
        <f>COUNTIFS(Tabla1[Tipo de Movilidad],"Intercambio*",Tabla1[Universidad KPIs],'Utilización Convenios'!$C6,Tabla1[Año de Movilidad],'Utilización Convenios'!M$3,Tabla1[Nivel],"Pregrado")</f>
        <v>0</v>
      </c>
      <c r="N6" s="26">
        <f>COUNTIFS(Tabla2[Tipo de Movilidad],"Intercambio*",Tabla2[Universidad KPIs],'Utilización Convenios'!$C6,Tabla2[Año],'Utilización Convenios'!M$3,Tabla2[Nivel Nominación],"Undergraduate / Bachelor")</f>
        <v>1</v>
      </c>
      <c r="O6" s="10">
        <f>COUNTIFS(Tabla1[Tipo de Movilidad],"Intercambio*",Tabla1[Universidad KPIs],'Utilización Convenios'!$C6,Tabla1[Año de Movilidad],'Utilización Convenios'!O$3,Tabla1[Nivel],"Pregrado")</f>
        <v>1</v>
      </c>
      <c r="P6" s="26">
        <f>COUNTIFS(Tabla2[Tipo de Movilidad],"Intercambio*",Tabla2[Universidad KPIs],'Utilización Convenios'!$C6,Tabla2[Año],'Utilización Convenios'!O$3,Tabla2[Nivel Nominación],"Undergraduate / Bachelor")</f>
        <v>0</v>
      </c>
      <c r="Q6" s="41">
        <f t="shared" ref="Q6:R38" si="0">SUMIF($E$4:$P$4,Q$4,$E6:$P6)</f>
        <v>5</v>
      </c>
      <c r="R6" s="42">
        <f t="shared" si="0"/>
        <v>3</v>
      </c>
    </row>
    <row r="7" spans="2:18">
      <c r="B7" s="183"/>
      <c r="C7" s="86" t="s">
        <v>38</v>
      </c>
      <c r="D7" s="93" t="s">
        <v>39</v>
      </c>
      <c r="E7" s="88">
        <f>COUNTIFS(Tabla1[Tipo de Movilidad],"Intercambio*",Tabla1[Universidad KPIs],'Utilización Convenios'!$C7,Tabla1[Año de Movilidad],'Utilización Convenios'!E$3,Tabla1[Nivel],"Pregrado")</f>
        <v>2</v>
      </c>
      <c r="F7" s="11">
        <f>COUNTIFS(Tabla2[Tipo de Movilidad],"Intercambio*",Tabla2[Universidad KPIs],'Utilización Convenios'!$C7,Tabla2[Año],'Utilización Convenios'!E$3,Tabla2[Nivel Nominación],"Undergraduate / Bachelor")</f>
        <v>1</v>
      </c>
      <c r="G7" s="10">
        <f>COUNTIFS(Tabla1[Tipo de Movilidad],"Intercambio*",Tabla1[Universidad KPIs],'Utilización Convenios'!$C7,Tabla1[Año de Movilidad],'Utilización Convenios'!G$3,Tabla1[Nivel],"Pregrado")</f>
        <v>2</v>
      </c>
      <c r="H7" s="11">
        <f>COUNTIFS(Tabla2[Tipo de Movilidad],"Intercambio*",Tabla2[Universidad KPIs],'Utilización Convenios'!$C7,Tabla2[Año],'Utilización Convenios'!G$3,Tabla2[Nivel Nominación],"Undergraduate / Bachelor")</f>
        <v>0</v>
      </c>
      <c r="I7" s="10">
        <f>COUNTIFS(Tabla1[Tipo de Movilidad],"Intercambio*",Tabla1[Universidad KPIs],'Utilización Convenios'!$C7,Tabla1[Año de Movilidad],'Utilización Convenios'!I$3,Tabla1[Nivel],"Pregrado")</f>
        <v>2</v>
      </c>
      <c r="J7" s="11">
        <f>COUNTIFS(Tabla2[Tipo de Movilidad],"Intercambio*",Tabla2[Universidad KPIs],'Utilización Convenios'!$C7,Tabla2[Año],'Utilización Convenios'!I$3,Tabla2[Nivel Nominación],"Undergraduate / Bachelor")</f>
        <v>0</v>
      </c>
      <c r="K7" s="10">
        <f>COUNTIFS(Tabla1[Tipo de Movilidad],"Intercambio*",Tabla1[Universidad KPIs],'Utilización Convenios'!$C7,Tabla1[Año de Movilidad],'Utilización Convenios'!K$3,Tabla1[Nivel],"Pregrado")</f>
        <v>3</v>
      </c>
      <c r="L7" s="11">
        <f>COUNTIFS(Tabla2[Tipo de Movilidad],"Intercambio*",Tabla2[Universidad KPIs],'Utilización Convenios'!$C7,Tabla2[Año],'Utilización Convenios'!K$3,Tabla2[Nivel Nominación],"Undergraduate / Bachelor")</f>
        <v>0</v>
      </c>
      <c r="M7" s="10">
        <f>COUNTIFS(Tabla1[Tipo de Movilidad],"Intercambio*",Tabla1[Universidad KPIs],'Utilización Convenios'!$C7,Tabla1[Año de Movilidad],'Utilización Convenios'!M$3,Tabla1[Nivel],"Pregrado")</f>
        <v>2</v>
      </c>
      <c r="N7" s="26">
        <f>COUNTIFS(Tabla2[Tipo de Movilidad],"Intercambio*",Tabla2[Universidad KPIs],'Utilización Convenios'!$C7,Tabla2[Año],'Utilización Convenios'!M$3,Tabla2[Nivel Nominación],"Undergraduate / Bachelor")</f>
        <v>0</v>
      </c>
      <c r="O7" s="10">
        <f>COUNTIFS(Tabla1[Tipo de Movilidad],"Intercambio*",Tabla1[Universidad KPIs],'Utilización Convenios'!$C7,Tabla1[Año de Movilidad],'Utilización Convenios'!O$3,Tabla1[Nivel],"Pregrado")</f>
        <v>2</v>
      </c>
      <c r="P7" s="26">
        <f>COUNTIFS(Tabla2[Tipo de Movilidad],"Intercambio*",Tabla2[Universidad KPIs],'Utilización Convenios'!$C7,Tabla2[Año],'Utilización Convenios'!O$3,Tabla2[Nivel Nominación],"Undergraduate / Bachelor")</f>
        <v>0</v>
      </c>
      <c r="Q7" s="41">
        <f t="shared" si="0"/>
        <v>13</v>
      </c>
      <c r="R7" s="42">
        <f t="shared" si="0"/>
        <v>1</v>
      </c>
    </row>
    <row r="8" spans="2:18">
      <c r="B8" s="183"/>
      <c r="C8" s="86" t="s">
        <v>40</v>
      </c>
      <c r="D8" s="93" t="s">
        <v>41</v>
      </c>
      <c r="E8" s="88">
        <f>COUNTIFS(Tabla1[Tipo de Movilidad],"Intercambio*",Tabla1[Universidad KPIs],'Utilización Convenios'!$C8,Tabla1[Año de Movilidad],'Utilización Convenios'!E$3,Tabla1[Nivel],"Pregrado")</f>
        <v>1</v>
      </c>
      <c r="F8" s="11">
        <f>COUNTIFS(Tabla2[Tipo de Movilidad],"Intercambio*",Tabla2[Universidad KPIs],'Utilización Convenios'!$C8,Tabla2[Año],'Utilización Convenios'!E$3,Tabla2[Nivel Nominación],"Undergraduate / Bachelor")</f>
        <v>2</v>
      </c>
      <c r="G8" s="10">
        <f>COUNTIFS(Tabla1[Tipo de Movilidad],"Intercambio*",Tabla1[Universidad KPIs],'Utilización Convenios'!$C8,Tabla1[Año de Movilidad],'Utilización Convenios'!G$3,Tabla1[Nivel],"Pregrado")</f>
        <v>1</v>
      </c>
      <c r="H8" s="11">
        <f>COUNTIFS(Tabla2[Tipo de Movilidad],"Intercambio*",Tabla2[Universidad KPIs],'Utilización Convenios'!$C8,Tabla2[Año],'Utilización Convenios'!G$3,Tabla2[Nivel Nominación],"Undergraduate / Bachelor")</f>
        <v>1</v>
      </c>
      <c r="I8" s="10">
        <f>COUNTIFS(Tabla1[Tipo de Movilidad],"Intercambio*",Tabla1[Universidad KPIs],'Utilización Convenios'!$C8,Tabla1[Año de Movilidad],'Utilización Convenios'!I$3,Tabla1[Nivel],"Pregrado")</f>
        <v>2</v>
      </c>
      <c r="J8" s="11">
        <f>COUNTIFS(Tabla2[Tipo de Movilidad],"Intercambio*",Tabla2[Universidad KPIs],'Utilización Convenios'!$C8,Tabla2[Año],'Utilización Convenios'!I$3,Tabla2[Nivel Nominación],"Undergraduate / Bachelor")</f>
        <v>3</v>
      </c>
      <c r="K8" s="10">
        <f>COUNTIFS(Tabla1[Tipo de Movilidad],"Intercambio*",Tabla1[Universidad KPIs],'Utilización Convenios'!$C8,Tabla1[Año de Movilidad],'Utilización Convenios'!K$3,Tabla1[Nivel],"Pregrado")</f>
        <v>3</v>
      </c>
      <c r="L8" s="11">
        <f>COUNTIFS(Tabla2[Tipo de Movilidad],"Intercambio*",Tabla2[Universidad KPIs],'Utilización Convenios'!$C8,Tabla2[Año],'Utilización Convenios'!K$3,Tabla2[Nivel Nominación],"Undergraduate / Bachelor")</f>
        <v>4</v>
      </c>
      <c r="M8" s="10">
        <f>COUNTIFS(Tabla1[Tipo de Movilidad],"Intercambio*",Tabla1[Universidad KPIs],'Utilización Convenios'!$C8,Tabla1[Año de Movilidad],'Utilización Convenios'!M$3,Tabla1[Nivel],"Pregrado")</f>
        <v>1</v>
      </c>
      <c r="N8" s="26">
        <f>COUNTIFS(Tabla2[Tipo de Movilidad],"Intercambio*",Tabla2[Universidad KPIs],'Utilización Convenios'!$C8,Tabla2[Año],'Utilización Convenios'!M$3,Tabla2[Nivel Nominación],"Undergraduate / Bachelor")</f>
        <v>2</v>
      </c>
      <c r="O8" s="10">
        <f>COUNTIFS(Tabla1[Tipo de Movilidad],"Intercambio*",Tabla1[Universidad KPIs],'Utilización Convenios'!$C8,Tabla1[Año de Movilidad],'Utilización Convenios'!O$3,Tabla1[Nivel],"Pregrado")</f>
        <v>1</v>
      </c>
      <c r="P8" s="26">
        <f>COUNTIFS(Tabla2[Tipo de Movilidad],"Intercambio*",Tabla2[Universidad KPIs],'Utilización Convenios'!$C8,Tabla2[Año],'Utilización Convenios'!O$3,Tabla2[Nivel Nominación],"Undergraduate / Bachelor")</f>
        <v>1</v>
      </c>
      <c r="Q8" s="41">
        <f t="shared" si="0"/>
        <v>9</v>
      </c>
      <c r="R8" s="42">
        <f t="shared" si="0"/>
        <v>13</v>
      </c>
    </row>
    <row r="9" spans="2:18">
      <c r="B9" s="183"/>
      <c r="C9" s="86" t="s">
        <v>42</v>
      </c>
      <c r="D9" s="93" t="s">
        <v>43</v>
      </c>
      <c r="E9" s="88">
        <f>COUNTIFS(Tabla1[Tipo de Movilidad],"Intercambio*",Tabla1[Universidad KPIs],'Utilización Convenios'!$C9,Tabla1[Año de Movilidad],'Utilización Convenios'!E$3,Tabla1[Nivel],"Pregrado")</f>
        <v>0</v>
      </c>
      <c r="F9" s="11">
        <f>COUNTIFS(Tabla2[Tipo de Movilidad],"Intercambio*",Tabla2[Universidad KPIs],'Utilización Convenios'!$C9,Tabla2[Año],'Utilización Convenios'!E$3,Tabla2[Nivel Nominación],"Undergraduate / Bachelor")</f>
        <v>0</v>
      </c>
      <c r="G9" s="10">
        <f>COUNTIFS(Tabla1[Tipo de Movilidad],"Intercambio*",Tabla1[Universidad KPIs],'Utilización Convenios'!$C9,Tabla1[Año de Movilidad],'Utilización Convenios'!G$3,Tabla1[Nivel],"Pregrado")</f>
        <v>0</v>
      </c>
      <c r="H9" s="11">
        <f>COUNTIFS(Tabla2[Tipo de Movilidad],"Intercambio*",Tabla2[Universidad KPIs],'Utilización Convenios'!$C9,Tabla2[Año],'Utilización Convenios'!G$3,Tabla2[Nivel Nominación],"Undergraduate / Bachelor")</f>
        <v>0</v>
      </c>
      <c r="I9" s="10">
        <f>COUNTIFS(Tabla1[Tipo de Movilidad],"Intercambio*",Tabla1[Universidad KPIs],'Utilización Convenios'!$C9,Tabla1[Año de Movilidad],'Utilización Convenios'!I$3,Tabla1[Nivel],"Pregrado")</f>
        <v>0</v>
      </c>
      <c r="J9" s="11">
        <f>COUNTIFS(Tabla2[Tipo de Movilidad],"Intercambio*",Tabla2[Universidad KPIs],'Utilización Convenios'!$C9,Tabla2[Año],'Utilización Convenios'!I$3,Tabla2[Nivel Nominación],"Undergraduate / Bachelor")</f>
        <v>0</v>
      </c>
      <c r="K9" s="10">
        <f>COUNTIFS(Tabla1[Tipo de Movilidad],"Intercambio*",Tabla1[Universidad KPIs],'Utilización Convenios'!$C9,Tabla1[Año de Movilidad],'Utilización Convenios'!K$3,Tabla1[Nivel],"Pregrado")</f>
        <v>2</v>
      </c>
      <c r="L9" s="11">
        <f>COUNTIFS(Tabla2[Tipo de Movilidad],"Intercambio*",Tabla2[Universidad KPIs],'Utilización Convenios'!$C9,Tabla2[Año],'Utilización Convenios'!K$3,Tabla2[Nivel Nominación],"Undergraduate / Bachelor")</f>
        <v>0</v>
      </c>
      <c r="M9" s="10">
        <f>COUNTIFS(Tabla1[Tipo de Movilidad],"Intercambio*",Tabla1[Universidad KPIs],'Utilización Convenios'!$C9,Tabla1[Año de Movilidad],'Utilización Convenios'!M$3,Tabla1[Nivel],"Pregrado")</f>
        <v>2</v>
      </c>
      <c r="N9" s="26">
        <f>COUNTIFS(Tabla2[Tipo de Movilidad],"Intercambio*",Tabla2[Universidad KPIs],'Utilización Convenios'!$C9,Tabla2[Año],'Utilización Convenios'!M$3,Tabla2[Nivel Nominación],"Undergraduate / Bachelor")</f>
        <v>0</v>
      </c>
      <c r="O9" s="10">
        <f>COUNTIFS(Tabla1[Tipo de Movilidad],"Intercambio*",Tabla1[Universidad KPIs],'Utilización Convenios'!$C9,Tabla1[Año de Movilidad],'Utilización Convenios'!O$3,Tabla1[Nivel],"Pregrado")</f>
        <v>1</v>
      </c>
      <c r="P9" s="26">
        <f>COUNTIFS(Tabla2[Tipo de Movilidad],"Intercambio*",Tabla2[Universidad KPIs],'Utilización Convenios'!$C9,Tabla2[Año],'Utilización Convenios'!O$3,Tabla2[Nivel Nominación],"Undergraduate / Bachelor")</f>
        <v>0</v>
      </c>
      <c r="Q9" s="41">
        <f t="shared" si="0"/>
        <v>5</v>
      </c>
      <c r="R9" s="42">
        <f t="shared" si="0"/>
        <v>0</v>
      </c>
    </row>
    <row r="10" spans="2:18">
      <c r="B10" s="183"/>
      <c r="C10" s="86" t="s">
        <v>44</v>
      </c>
      <c r="D10" s="93" t="s">
        <v>45</v>
      </c>
      <c r="E10" s="88">
        <f>COUNTIFS(Tabla1[Tipo de Movilidad],"Intercambio*",Tabla1[Universidad KPIs],'Utilización Convenios'!$C10,Tabla1[Año de Movilidad],'Utilización Convenios'!E$3,Tabla1[Nivel],"Pregrado")</f>
        <v>2</v>
      </c>
      <c r="F10" s="11">
        <f>COUNTIFS(Tabla2[Tipo de Movilidad],"Intercambio*",Tabla2[Universidad KPIs],'Utilización Convenios'!$C10,Tabla2[Año],'Utilización Convenios'!E$3,Tabla2[Nivel Nominación],"Undergraduate / Bachelor")</f>
        <v>0</v>
      </c>
      <c r="G10" s="10">
        <f>COUNTIFS(Tabla1[Tipo de Movilidad],"Intercambio*",Tabla1[Universidad KPIs],'Utilización Convenios'!$C10,Tabla1[Año de Movilidad],'Utilización Convenios'!G$3,Tabla1[Nivel],"Pregrado")</f>
        <v>2</v>
      </c>
      <c r="H10" s="11">
        <f>COUNTIFS(Tabla2[Tipo de Movilidad],"Intercambio*",Tabla2[Universidad KPIs],'Utilización Convenios'!$C10,Tabla2[Año],'Utilización Convenios'!G$3,Tabla2[Nivel Nominación],"Undergraduate / Bachelor")</f>
        <v>0</v>
      </c>
      <c r="I10" s="10">
        <f>COUNTIFS(Tabla1[Tipo de Movilidad],"Intercambio*",Tabla1[Universidad KPIs],'Utilización Convenios'!$C10,Tabla1[Año de Movilidad],'Utilización Convenios'!I$3,Tabla1[Nivel],"Pregrado")</f>
        <v>4</v>
      </c>
      <c r="J10" s="11">
        <f>COUNTIFS(Tabla2[Tipo de Movilidad],"Intercambio*",Tabla2[Universidad KPIs],'Utilización Convenios'!$C10,Tabla2[Año],'Utilización Convenios'!I$3,Tabla2[Nivel Nominación],"Undergraduate / Bachelor")</f>
        <v>1</v>
      </c>
      <c r="K10" s="10">
        <f>COUNTIFS(Tabla1[Tipo de Movilidad],"Intercambio*",Tabla1[Universidad KPIs],'Utilización Convenios'!$C10,Tabla1[Año de Movilidad],'Utilización Convenios'!K$3,Tabla1[Nivel],"Pregrado")</f>
        <v>3</v>
      </c>
      <c r="L10" s="11">
        <f>COUNTIFS(Tabla2[Tipo de Movilidad],"Intercambio*",Tabla2[Universidad KPIs],'Utilización Convenios'!$C10,Tabla2[Año],'Utilización Convenios'!K$3,Tabla2[Nivel Nominación],"Undergraduate / Bachelor")</f>
        <v>4</v>
      </c>
      <c r="M10" s="10">
        <f>COUNTIFS(Tabla1[Tipo de Movilidad],"Intercambio*",Tabla1[Universidad KPIs],'Utilización Convenios'!$C10,Tabla1[Año de Movilidad],'Utilización Convenios'!M$3,Tabla1[Nivel],"Pregrado")</f>
        <v>2</v>
      </c>
      <c r="N10" s="26">
        <f>COUNTIFS(Tabla2[Tipo de Movilidad],"Intercambio*",Tabla2[Universidad KPIs],'Utilización Convenios'!$C10,Tabla2[Año],'Utilización Convenios'!M$3,Tabla2[Nivel Nominación],"Undergraduate / Bachelor")</f>
        <v>2</v>
      </c>
      <c r="O10" s="10">
        <f>COUNTIFS(Tabla1[Tipo de Movilidad],"Intercambio*",Tabla1[Universidad KPIs],'Utilización Convenios'!$C10,Tabla1[Año de Movilidad],'Utilización Convenios'!O$3,Tabla1[Nivel],"Pregrado")</f>
        <v>4</v>
      </c>
      <c r="P10" s="26">
        <f>COUNTIFS(Tabla2[Tipo de Movilidad],"Intercambio*",Tabla2[Universidad KPIs],'Utilización Convenios'!$C10,Tabla2[Año],'Utilización Convenios'!O$3,Tabla2[Nivel Nominación],"Undergraduate / Bachelor")</f>
        <v>2</v>
      </c>
      <c r="Q10" s="41">
        <f t="shared" si="0"/>
        <v>17</v>
      </c>
      <c r="R10" s="42">
        <f t="shared" si="0"/>
        <v>9</v>
      </c>
    </row>
    <row r="11" spans="2:18">
      <c r="B11" s="183"/>
      <c r="C11" s="86" t="s">
        <v>46</v>
      </c>
      <c r="D11" s="93" t="s">
        <v>47</v>
      </c>
      <c r="E11" s="88">
        <f>COUNTIFS(Tabla1[Tipo de Movilidad],"Intercambio*",Tabla1[Universidad KPIs],'Utilización Convenios'!$C11,Tabla1[Año de Movilidad],'Utilización Convenios'!E$3,Tabla1[Nivel],"Pregrado")</f>
        <v>2</v>
      </c>
      <c r="F11" s="11">
        <f>COUNTIFS(Tabla2[Tipo de Movilidad],"Intercambio*",Tabla2[Universidad KPIs],'Utilización Convenios'!$C11,Tabla2[Año],'Utilización Convenios'!E$3,Tabla2[Nivel Nominación],"Undergraduate / Bachelor")</f>
        <v>0</v>
      </c>
      <c r="G11" s="10">
        <f>COUNTIFS(Tabla1[Tipo de Movilidad],"Intercambio*",Tabla1[Universidad KPIs],'Utilización Convenios'!$C11,Tabla1[Año de Movilidad],'Utilización Convenios'!G$3,Tabla1[Nivel],"Pregrado")</f>
        <v>2</v>
      </c>
      <c r="H11" s="11">
        <f>COUNTIFS(Tabla2[Tipo de Movilidad],"Intercambio*",Tabla2[Universidad KPIs],'Utilización Convenios'!$C11,Tabla2[Año],'Utilización Convenios'!G$3,Tabla2[Nivel Nominación],"Undergraduate / Bachelor")</f>
        <v>1</v>
      </c>
      <c r="I11" s="10">
        <f>COUNTIFS(Tabla1[Tipo de Movilidad],"Intercambio*",Tabla1[Universidad KPIs],'Utilización Convenios'!$C11,Tabla1[Año de Movilidad],'Utilización Convenios'!I$3,Tabla1[Nivel],"Pregrado")</f>
        <v>2</v>
      </c>
      <c r="J11" s="11">
        <f>COUNTIFS(Tabla2[Tipo de Movilidad],"Intercambio*",Tabla2[Universidad KPIs],'Utilización Convenios'!$C11,Tabla2[Año],'Utilización Convenios'!I$3,Tabla2[Nivel Nominación],"Undergraduate / Bachelor")</f>
        <v>3</v>
      </c>
      <c r="K11" s="10">
        <f>COUNTIFS(Tabla1[Tipo de Movilidad],"Intercambio*",Tabla1[Universidad KPIs],'Utilización Convenios'!$C11,Tabla1[Año de Movilidad],'Utilización Convenios'!K$3,Tabla1[Nivel],"Pregrado")</f>
        <v>2</v>
      </c>
      <c r="L11" s="11">
        <f>COUNTIFS(Tabla2[Tipo de Movilidad],"Intercambio*",Tabla2[Universidad KPIs],'Utilización Convenios'!$C11,Tabla2[Año],'Utilización Convenios'!K$3,Tabla2[Nivel Nominación],"Undergraduate / Bachelor")</f>
        <v>2</v>
      </c>
      <c r="M11" s="10">
        <f>COUNTIFS(Tabla1[Tipo de Movilidad],"Intercambio*",Tabla1[Universidad KPIs],'Utilización Convenios'!$C11,Tabla1[Año de Movilidad],'Utilización Convenios'!M$3,Tabla1[Nivel],"Pregrado")</f>
        <v>1</v>
      </c>
      <c r="N11" s="26">
        <f>COUNTIFS(Tabla2[Tipo de Movilidad],"Intercambio*",Tabla2[Universidad KPIs],'Utilización Convenios'!$C11,Tabla2[Año],'Utilización Convenios'!M$3,Tabla2[Nivel Nominación],"Undergraduate / Bachelor")</f>
        <v>1</v>
      </c>
      <c r="O11" s="10">
        <f>COUNTIFS(Tabla1[Tipo de Movilidad],"Intercambio*",Tabla1[Universidad KPIs],'Utilización Convenios'!$C11,Tabla1[Año de Movilidad],'Utilización Convenios'!O$3,Tabla1[Nivel],"Pregrado")</f>
        <v>2</v>
      </c>
      <c r="P11" s="26">
        <f>COUNTIFS(Tabla2[Tipo de Movilidad],"Intercambio*",Tabla2[Universidad KPIs],'Utilización Convenios'!$C11,Tabla2[Año],'Utilización Convenios'!O$3,Tabla2[Nivel Nominación],"Undergraduate / Bachelor")</f>
        <v>3</v>
      </c>
      <c r="Q11" s="41">
        <f t="shared" si="0"/>
        <v>11</v>
      </c>
      <c r="R11" s="42">
        <f t="shared" si="0"/>
        <v>10</v>
      </c>
    </row>
    <row r="12" spans="2:18">
      <c r="B12" s="183"/>
      <c r="C12" s="86" t="s">
        <v>48</v>
      </c>
      <c r="D12" s="93" t="s">
        <v>49</v>
      </c>
      <c r="E12" s="88">
        <f>COUNTIFS(Tabla1[Tipo de Movilidad],"Intercambio*",Tabla1[Universidad KPIs],'Utilización Convenios'!$C12,Tabla1[Año de Movilidad],'Utilización Convenios'!E$3,Tabla1[Nivel],"Pregrado")</f>
        <v>0</v>
      </c>
      <c r="F12" s="11">
        <f>COUNTIFS(Tabla2[Tipo de Movilidad],"Intercambio*",Tabla2[Universidad KPIs],'Utilización Convenios'!$C12,Tabla2[Año],'Utilización Convenios'!E$3,Tabla2[Nivel Nominación],"Undergraduate / Bachelor")</f>
        <v>0</v>
      </c>
      <c r="G12" s="10">
        <f>COUNTIFS(Tabla1[Tipo de Movilidad],"Intercambio*",Tabla1[Universidad KPIs],'Utilización Convenios'!$C12,Tabla1[Año de Movilidad],'Utilización Convenios'!G$3,Tabla1[Nivel],"Pregrado")</f>
        <v>0</v>
      </c>
      <c r="H12" s="11">
        <f>COUNTIFS(Tabla2[Tipo de Movilidad],"Intercambio*",Tabla2[Universidad KPIs],'Utilización Convenios'!$C12,Tabla2[Año],'Utilización Convenios'!G$3,Tabla2[Nivel Nominación],"Undergraduate / Bachelor")</f>
        <v>0</v>
      </c>
      <c r="I12" s="10">
        <f>COUNTIFS(Tabla1[Tipo de Movilidad],"Intercambio*",Tabla1[Universidad KPIs],'Utilización Convenios'!$C12,Tabla1[Año de Movilidad],'Utilización Convenios'!I$3,Tabla1[Nivel],"Pregrado")</f>
        <v>1</v>
      </c>
      <c r="J12" s="11">
        <f>COUNTIFS(Tabla2[Tipo de Movilidad],"Intercambio*",Tabla2[Universidad KPIs],'Utilización Convenios'!$C12,Tabla2[Año],'Utilización Convenios'!I$3,Tabla2[Nivel Nominación],"Undergraduate / Bachelor")</f>
        <v>0</v>
      </c>
      <c r="K12" s="10">
        <f>COUNTIFS(Tabla1[Tipo de Movilidad],"Intercambio*",Tabla1[Universidad KPIs],'Utilización Convenios'!$C12,Tabla1[Año de Movilidad],'Utilización Convenios'!K$3,Tabla1[Nivel],"Pregrado")</f>
        <v>2</v>
      </c>
      <c r="L12" s="11">
        <f>COUNTIFS(Tabla2[Tipo de Movilidad],"Intercambio*",Tabla2[Universidad KPIs],'Utilización Convenios'!$C12,Tabla2[Año],'Utilización Convenios'!K$3,Tabla2[Nivel Nominación],"Undergraduate / Bachelor")</f>
        <v>0</v>
      </c>
      <c r="M12" s="10">
        <f>COUNTIFS(Tabla1[Tipo de Movilidad],"Intercambio*",Tabla1[Universidad KPIs],'Utilización Convenios'!$C12,Tabla1[Año de Movilidad],'Utilización Convenios'!M$3,Tabla1[Nivel],"Pregrado")</f>
        <v>0</v>
      </c>
      <c r="N12" s="26">
        <f>COUNTIFS(Tabla2[Tipo de Movilidad],"Intercambio*",Tabla2[Universidad KPIs],'Utilización Convenios'!$C12,Tabla2[Año],'Utilización Convenios'!M$3,Tabla2[Nivel Nominación],"Undergraduate / Bachelor")</f>
        <v>0</v>
      </c>
      <c r="O12" s="10">
        <f>COUNTIFS(Tabla1[Tipo de Movilidad],"Intercambio*",Tabla1[Universidad KPIs],'Utilización Convenios'!$C12,Tabla1[Año de Movilidad],'Utilización Convenios'!O$3,Tabla1[Nivel],"Pregrado")</f>
        <v>1</v>
      </c>
      <c r="P12" s="26">
        <f>COUNTIFS(Tabla2[Tipo de Movilidad],"Intercambio*",Tabla2[Universidad KPIs],'Utilización Convenios'!$C12,Tabla2[Año],'Utilización Convenios'!O$3,Tabla2[Nivel Nominación],"Undergraduate / Bachelor")</f>
        <v>0</v>
      </c>
      <c r="Q12" s="41">
        <f t="shared" si="0"/>
        <v>4</v>
      </c>
      <c r="R12" s="42">
        <f t="shared" si="0"/>
        <v>0</v>
      </c>
    </row>
    <row r="13" spans="2:18">
      <c r="B13" s="183"/>
      <c r="C13" s="86" t="s">
        <v>50</v>
      </c>
      <c r="D13" s="93" t="s">
        <v>41</v>
      </c>
      <c r="E13" s="88">
        <f>COUNTIFS(Tabla1[Tipo de Movilidad],"Intercambio*",Tabla1[Universidad KPIs],'Utilización Convenios'!$C13,Tabla1[Año de Movilidad],'Utilización Convenios'!E$3,Tabla1[Nivel],"Pregrado")</f>
        <v>0</v>
      </c>
      <c r="F13" s="11">
        <f>COUNTIFS(Tabla2[Tipo de Movilidad],"Intercambio*",Tabla2[Universidad KPIs],'Utilización Convenios'!$C13,Tabla2[Año],'Utilización Convenios'!E$3,Tabla2[Nivel Nominación],"Undergraduate / Bachelor")</f>
        <v>1</v>
      </c>
      <c r="G13" s="10">
        <f>COUNTIFS(Tabla1[Tipo de Movilidad],"Intercambio*",Tabla1[Universidad KPIs],'Utilización Convenios'!$C13,Tabla1[Año de Movilidad],'Utilización Convenios'!G$3,Tabla1[Nivel],"Pregrado")</f>
        <v>0</v>
      </c>
      <c r="H13" s="11">
        <f>COUNTIFS(Tabla2[Tipo de Movilidad],"Intercambio*",Tabla2[Universidad KPIs],'Utilización Convenios'!$C13,Tabla2[Año],'Utilización Convenios'!G$3,Tabla2[Nivel Nominación],"Undergraduate / Bachelor")</f>
        <v>0</v>
      </c>
      <c r="I13" s="10">
        <f>COUNTIFS(Tabla1[Tipo de Movilidad],"Intercambio*",Tabla1[Universidad KPIs],'Utilización Convenios'!$C13,Tabla1[Año de Movilidad],'Utilización Convenios'!I$3,Tabla1[Nivel],"Pregrado")</f>
        <v>3</v>
      </c>
      <c r="J13" s="11">
        <f>COUNTIFS(Tabla2[Tipo de Movilidad],"Intercambio*",Tabla2[Universidad KPIs],'Utilización Convenios'!$C13,Tabla2[Año],'Utilización Convenios'!I$3,Tabla2[Nivel Nominación],"Undergraduate / Bachelor")</f>
        <v>0</v>
      </c>
      <c r="K13" s="10">
        <f>COUNTIFS(Tabla1[Tipo de Movilidad],"Intercambio*",Tabla1[Universidad KPIs],'Utilización Convenios'!$C13,Tabla1[Año de Movilidad],'Utilización Convenios'!K$3,Tabla1[Nivel],"Pregrado")</f>
        <v>2</v>
      </c>
      <c r="L13" s="11">
        <f>COUNTIFS(Tabla2[Tipo de Movilidad],"Intercambio*",Tabla2[Universidad KPIs],'Utilización Convenios'!$C13,Tabla2[Año],'Utilización Convenios'!K$3,Tabla2[Nivel Nominación],"Undergraduate / Bachelor")</f>
        <v>2</v>
      </c>
      <c r="M13" s="10">
        <f>COUNTIFS(Tabla1[Tipo de Movilidad],"Intercambio*",Tabla1[Universidad KPIs],'Utilización Convenios'!$C13,Tabla1[Año de Movilidad],'Utilización Convenios'!M$3,Tabla1[Nivel],"Pregrado")</f>
        <v>2</v>
      </c>
      <c r="N13" s="26">
        <f>COUNTIFS(Tabla2[Tipo de Movilidad],"Intercambio*",Tabla2[Universidad KPIs],'Utilización Convenios'!$C13,Tabla2[Año],'Utilización Convenios'!M$3,Tabla2[Nivel Nominación],"Undergraduate / Bachelor")</f>
        <v>0</v>
      </c>
      <c r="O13" s="10">
        <f>COUNTIFS(Tabla1[Tipo de Movilidad],"Intercambio*",Tabla1[Universidad KPIs],'Utilización Convenios'!$C13,Tabla1[Año de Movilidad],'Utilización Convenios'!O$3,Tabla1[Nivel],"Pregrado")</f>
        <v>3</v>
      </c>
      <c r="P13" s="26">
        <f>COUNTIFS(Tabla2[Tipo de Movilidad],"Intercambio*",Tabla2[Universidad KPIs],'Utilización Convenios'!$C13,Tabla2[Año],'Utilización Convenios'!O$3,Tabla2[Nivel Nominación],"Undergraduate / Bachelor")</f>
        <v>0</v>
      </c>
      <c r="Q13" s="41">
        <f t="shared" si="0"/>
        <v>10</v>
      </c>
      <c r="R13" s="42">
        <f t="shared" si="0"/>
        <v>3</v>
      </c>
    </row>
    <row r="14" spans="2:18">
      <c r="B14" s="183"/>
      <c r="C14" s="86" t="s">
        <v>51</v>
      </c>
      <c r="D14" s="93" t="s">
        <v>41</v>
      </c>
      <c r="E14" s="88">
        <f>COUNTIFS(Tabla1[Tipo de Movilidad],"Intercambio*",Tabla1[Universidad KPIs],'Utilización Convenios'!$C14,Tabla1[Año de Movilidad],'Utilización Convenios'!E$3,Tabla1[Nivel],"Pregrado")</f>
        <v>0</v>
      </c>
      <c r="F14" s="11">
        <f>COUNTIFS(Tabla2[Tipo de Movilidad],"Intercambio*",Tabla2[Universidad KPIs],'Utilización Convenios'!$C14,Tabla2[Año],'Utilización Convenios'!E$3,Tabla2[Nivel Nominación],"Undergraduate / Bachelor")</f>
        <v>1</v>
      </c>
      <c r="G14" s="10">
        <f>COUNTIFS(Tabla1[Tipo de Movilidad],"Intercambio*",Tabla1[Universidad KPIs],'Utilización Convenios'!$C14,Tabla1[Año de Movilidad],'Utilización Convenios'!G$3,Tabla1[Nivel],"Pregrado")</f>
        <v>0</v>
      </c>
      <c r="H14" s="11">
        <f>COUNTIFS(Tabla2[Tipo de Movilidad],"Intercambio*",Tabla2[Universidad KPIs],'Utilización Convenios'!$C14,Tabla2[Año],'Utilización Convenios'!G$3,Tabla2[Nivel Nominación],"Undergraduate / Bachelor")</f>
        <v>1</v>
      </c>
      <c r="I14" s="10">
        <f>COUNTIFS(Tabla1[Tipo de Movilidad],"Intercambio*",Tabla1[Universidad KPIs],'Utilización Convenios'!$C14,Tabla1[Año de Movilidad],'Utilización Convenios'!I$3,Tabla1[Nivel],"Pregrado")</f>
        <v>0</v>
      </c>
      <c r="J14" s="11">
        <f>COUNTIFS(Tabla2[Tipo de Movilidad],"Intercambio*",Tabla2[Universidad KPIs],'Utilización Convenios'!$C14,Tabla2[Año],'Utilización Convenios'!I$3,Tabla2[Nivel Nominación],"Undergraduate / Bachelor")</f>
        <v>1</v>
      </c>
      <c r="K14" s="10">
        <f>COUNTIFS(Tabla1[Tipo de Movilidad],"Intercambio*",Tabla1[Universidad KPIs],'Utilización Convenios'!$C14,Tabla1[Año de Movilidad],'Utilización Convenios'!K$3,Tabla1[Nivel],"Pregrado")</f>
        <v>3</v>
      </c>
      <c r="L14" s="11">
        <f>COUNTIFS(Tabla2[Tipo de Movilidad],"Intercambio*",Tabla2[Universidad KPIs],'Utilización Convenios'!$C14,Tabla2[Año],'Utilización Convenios'!K$3,Tabla2[Nivel Nominación],"Undergraduate / Bachelor")</f>
        <v>1</v>
      </c>
      <c r="M14" s="10">
        <f>COUNTIFS(Tabla1[Tipo de Movilidad],"Intercambio*",Tabla1[Universidad KPIs],'Utilización Convenios'!$C14,Tabla1[Año de Movilidad],'Utilización Convenios'!M$3,Tabla1[Nivel],"Pregrado")</f>
        <v>2</v>
      </c>
      <c r="N14" s="26">
        <f>COUNTIFS(Tabla2[Tipo de Movilidad],"Intercambio*",Tabla2[Universidad KPIs],'Utilización Convenios'!$C14,Tabla2[Año],'Utilización Convenios'!M$3,Tabla2[Nivel Nominación],"Undergraduate / Bachelor")</f>
        <v>1</v>
      </c>
      <c r="O14" s="10">
        <f>COUNTIFS(Tabla1[Tipo de Movilidad],"Intercambio*",Tabla1[Universidad KPIs],'Utilización Convenios'!$C14,Tabla1[Año de Movilidad],'Utilización Convenios'!O$3,Tabla1[Nivel],"Pregrado")</f>
        <v>2</v>
      </c>
      <c r="P14" s="26">
        <f>COUNTIFS(Tabla2[Tipo de Movilidad],"Intercambio*",Tabla2[Universidad KPIs],'Utilización Convenios'!$C14,Tabla2[Año],'Utilización Convenios'!O$3,Tabla2[Nivel Nominación],"Undergraduate / Bachelor")</f>
        <v>0</v>
      </c>
      <c r="Q14" s="41">
        <f t="shared" si="0"/>
        <v>7</v>
      </c>
      <c r="R14" s="42">
        <f t="shared" si="0"/>
        <v>5</v>
      </c>
    </row>
    <row r="15" spans="2:18">
      <c r="B15" s="183"/>
      <c r="C15" s="86" t="s">
        <v>52</v>
      </c>
      <c r="D15" s="93" t="s">
        <v>53</v>
      </c>
      <c r="E15" s="88">
        <f>COUNTIFS(Tabla1[Tipo de Movilidad],"Intercambio*",Tabla1[Universidad KPIs],'Utilización Convenios'!$C15,Tabla1[Año de Movilidad],'Utilización Convenios'!E$3,Tabla1[Nivel],"Pregrado")</f>
        <v>2</v>
      </c>
      <c r="F15" s="11">
        <f>COUNTIFS(Tabla2[Tipo de Movilidad],"Intercambio*",Tabla2[Universidad KPIs],'Utilización Convenios'!$C15,Tabla2[Año],'Utilización Convenios'!E$3,Tabla2[Nivel Nominación],"Undergraduate / Bachelor")</f>
        <v>0</v>
      </c>
      <c r="G15" s="10">
        <f>COUNTIFS(Tabla1[Tipo de Movilidad],"Intercambio*",Tabla1[Universidad KPIs],'Utilización Convenios'!$C15,Tabla1[Año de Movilidad],'Utilización Convenios'!G$3,Tabla1[Nivel],"Pregrado")</f>
        <v>2</v>
      </c>
      <c r="H15" s="11">
        <f>COUNTIFS(Tabla2[Tipo de Movilidad],"Intercambio*",Tabla2[Universidad KPIs],'Utilización Convenios'!$C15,Tabla2[Año],'Utilización Convenios'!G$3,Tabla2[Nivel Nominación],"Undergraduate / Bachelor")</f>
        <v>1</v>
      </c>
      <c r="I15" s="10">
        <f>COUNTIFS(Tabla1[Tipo de Movilidad],"Intercambio*",Tabla1[Universidad KPIs],'Utilización Convenios'!$C15,Tabla1[Año de Movilidad],'Utilización Convenios'!I$3,Tabla1[Nivel],"Pregrado")</f>
        <v>6</v>
      </c>
      <c r="J15" s="11">
        <f>COUNTIFS(Tabla2[Tipo de Movilidad],"Intercambio*",Tabla2[Universidad KPIs],'Utilización Convenios'!$C15,Tabla2[Año],'Utilización Convenios'!I$3,Tabla2[Nivel Nominación],"Undergraduate / Bachelor")</f>
        <v>1</v>
      </c>
      <c r="K15" s="10">
        <f>COUNTIFS(Tabla1[Tipo de Movilidad],"Intercambio*",Tabla1[Universidad KPIs],'Utilización Convenios'!$C15,Tabla1[Año de Movilidad],'Utilización Convenios'!K$3,Tabla1[Nivel],"Pregrado")</f>
        <v>4</v>
      </c>
      <c r="L15" s="11">
        <f>COUNTIFS(Tabla2[Tipo de Movilidad],"Intercambio*",Tabla2[Universidad KPIs],'Utilización Convenios'!$C15,Tabla2[Año],'Utilización Convenios'!K$3,Tabla2[Nivel Nominación],"Undergraduate / Bachelor")</f>
        <v>5</v>
      </c>
      <c r="M15" s="10">
        <f>COUNTIFS(Tabla1[Tipo de Movilidad],"Intercambio*",Tabla1[Universidad KPIs],'Utilización Convenios'!$C15,Tabla1[Año de Movilidad],'Utilización Convenios'!M$3,Tabla1[Nivel],"Pregrado")</f>
        <v>2</v>
      </c>
      <c r="N15" s="26">
        <f>COUNTIFS(Tabla2[Tipo de Movilidad],"Intercambio*",Tabla2[Universidad KPIs],'Utilización Convenios'!$C15,Tabla2[Año],'Utilización Convenios'!M$3,Tabla2[Nivel Nominación],"Undergraduate / Bachelor")</f>
        <v>2</v>
      </c>
      <c r="O15" s="10">
        <f>COUNTIFS(Tabla1[Tipo de Movilidad],"Intercambio*",Tabla1[Universidad KPIs],'Utilización Convenios'!$C15,Tabla1[Año de Movilidad],'Utilización Convenios'!O$3,Tabla1[Nivel],"Pregrado")</f>
        <v>4</v>
      </c>
      <c r="P15" s="26">
        <f>COUNTIFS(Tabla2[Tipo de Movilidad],"Intercambio*",Tabla2[Universidad KPIs],'Utilización Convenios'!$C15,Tabla2[Año],'Utilización Convenios'!O$3,Tabla2[Nivel Nominación],"Undergraduate / Bachelor")</f>
        <v>6</v>
      </c>
      <c r="Q15" s="41">
        <f t="shared" si="0"/>
        <v>20</v>
      </c>
      <c r="R15" s="42">
        <f t="shared" si="0"/>
        <v>15</v>
      </c>
    </row>
    <row r="16" spans="2:18">
      <c r="B16" s="183"/>
      <c r="C16" s="86" t="s">
        <v>54</v>
      </c>
      <c r="D16" s="93" t="s">
        <v>41</v>
      </c>
      <c r="E16" s="88">
        <f>COUNTIFS(Tabla1[Tipo de Movilidad],"Intercambio*",Tabla1[Universidad KPIs],'Utilización Convenios'!$C16,Tabla1[Año de Movilidad],'Utilización Convenios'!E$3,Tabla1[Nivel],"Pregrado")</f>
        <v>1</v>
      </c>
      <c r="F16" s="11">
        <f>COUNTIFS(Tabla2[Tipo de Movilidad],"Intercambio*",Tabla2[Universidad KPIs],'Utilización Convenios'!$C16,Tabla2[Año],'Utilización Convenios'!E$3,Tabla2[Nivel Nominación],"Undergraduate / Bachelor")</f>
        <v>0</v>
      </c>
      <c r="G16" s="10">
        <f>COUNTIFS(Tabla1[Tipo de Movilidad],"Intercambio*",Tabla1[Universidad KPIs],'Utilización Convenios'!$C16,Tabla1[Año de Movilidad],'Utilización Convenios'!G$3,Tabla1[Nivel],"Pregrado")</f>
        <v>4</v>
      </c>
      <c r="H16" s="11">
        <f>COUNTIFS(Tabla2[Tipo de Movilidad],"Intercambio*",Tabla2[Universidad KPIs],'Utilización Convenios'!$C16,Tabla2[Año],'Utilización Convenios'!G$3,Tabla2[Nivel Nominación],"Undergraduate / Bachelor")</f>
        <v>0</v>
      </c>
      <c r="I16" s="10">
        <f>COUNTIFS(Tabla1[Tipo de Movilidad],"Intercambio*",Tabla1[Universidad KPIs],'Utilización Convenios'!$C16,Tabla1[Año de Movilidad],'Utilización Convenios'!I$3,Tabla1[Nivel],"Pregrado")</f>
        <v>6</v>
      </c>
      <c r="J16" s="11">
        <f>COUNTIFS(Tabla2[Tipo de Movilidad],"Intercambio*",Tabla2[Universidad KPIs],'Utilización Convenios'!$C16,Tabla2[Año],'Utilización Convenios'!I$3,Tabla2[Nivel Nominación],"Undergraduate / Bachelor")</f>
        <v>0</v>
      </c>
      <c r="K16" s="10">
        <f>COUNTIFS(Tabla1[Tipo de Movilidad],"Intercambio*",Tabla1[Universidad KPIs],'Utilización Convenios'!$C16,Tabla1[Año de Movilidad],'Utilización Convenios'!K$3,Tabla1[Nivel],"Pregrado")</f>
        <v>4</v>
      </c>
      <c r="L16" s="11">
        <f>COUNTIFS(Tabla2[Tipo de Movilidad],"Intercambio*",Tabla2[Universidad KPIs],'Utilización Convenios'!$C16,Tabla2[Año],'Utilización Convenios'!K$3,Tabla2[Nivel Nominación],"Undergraduate / Bachelor")</f>
        <v>3</v>
      </c>
      <c r="M16" s="10">
        <f>COUNTIFS(Tabla1[Tipo de Movilidad],"Intercambio*",Tabla1[Universidad KPIs],'Utilización Convenios'!$C16,Tabla1[Año de Movilidad],'Utilización Convenios'!M$3,Tabla1[Nivel],"Pregrado")</f>
        <v>2</v>
      </c>
      <c r="N16" s="26">
        <f>COUNTIFS(Tabla2[Tipo de Movilidad],"Intercambio*",Tabla2[Universidad KPIs],'Utilización Convenios'!$C16,Tabla2[Año],'Utilización Convenios'!M$3,Tabla2[Nivel Nominación],"Undergraduate / Bachelor")</f>
        <v>0</v>
      </c>
      <c r="O16" s="10">
        <f>COUNTIFS(Tabla1[Tipo de Movilidad],"Intercambio*",Tabla1[Universidad KPIs],'Utilización Convenios'!$C16,Tabla1[Año de Movilidad],'Utilización Convenios'!O$3,Tabla1[Nivel],"Pregrado")</f>
        <v>2</v>
      </c>
      <c r="P16" s="26">
        <f>COUNTIFS(Tabla2[Tipo de Movilidad],"Intercambio*",Tabla2[Universidad KPIs],'Utilización Convenios'!$C16,Tabla2[Año],'Utilización Convenios'!O$3,Tabla2[Nivel Nominación],"Undergraduate / Bachelor")</f>
        <v>2</v>
      </c>
      <c r="Q16" s="41">
        <f t="shared" si="0"/>
        <v>19</v>
      </c>
      <c r="R16" s="42">
        <f t="shared" si="0"/>
        <v>5</v>
      </c>
    </row>
    <row r="17" spans="2:18">
      <c r="B17" s="183"/>
      <c r="C17" s="86" t="s">
        <v>55</v>
      </c>
      <c r="D17" s="93" t="s">
        <v>41</v>
      </c>
      <c r="E17" s="88">
        <f>COUNTIFS(Tabla1[Tipo de Movilidad],"Intercambio*",Tabla1[Universidad KPIs],'Utilización Convenios'!$C17,Tabla1[Año de Movilidad],'Utilización Convenios'!E$3,Tabla1[Nivel],"Pregrado")</f>
        <v>1</v>
      </c>
      <c r="F17" s="11">
        <f>COUNTIFS(Tabla2[Tipo de Movilidad],"Intercambio*",Tabla2[Universidad KPIs],'Utilización Convenios'!$C17,Tabla2[Año],'Utilización Convenios'!E$3,Tabla2[Nivel Nominación],"Undergraduate / Bachelor")</f>
        <v>0</v>
      </c>
      <c r="G17" s="10">
        <f>COUNTIFS(Tabla1[Tipo de Movilidad],"Intercambio*",Tabla1[Universidad KPIs],'Utilización Convenios'!$C17,Tabla1[Año de Movilidad],'Utilización Convenios'!G$3,Tabla1[Nivel],"Pregrado")</f>
        <v>3</v>
      </c>
      <c r="H17" s="11">
        <f>COUNTIFS(Tabla2[Tipo de Movilidad],"Intercambio*",Tabla2[Universidad KPIs],'Utilización Convenios'!$C17,Tabla2[Año],'Utilización Convenios'!G$3,Tabla2[Nivel Nominación],"Undergraduate / Bachelor")</f>
        <v>0</v>
      </c>
      <c r="I17" s="10">
        <f>COUNTIFS(Tabla1[Tipo de Movilidad],"Intercambio*",Tabla1[Universidad KPIs],'Utilización Convenios'!$C17,Tabla1[Año de Movilidad],'Utilización Convenios'!I$3,Tabla1[Nivel],"Pregrado")</f>
        <v>0</v>
      </c>
      <c r="J17" s="11">
        <f>COUNTIFS(Tabla2[Tipo de Movilidad],"Intercambio*",Tabla2[Universidad KPIs],'Utilización Convenios'!$C17,Tabla2[Año],'Utilización Convenios'!I$3,Tabla2[Nivel Nominación],"Undergraduate / Bachelor")</f>
        <v>0</v>
      </c>
      <c r="K17" s="10">
        <f>COUNTIFS(Tabla1[Tipo de Movilidad],"Intercambio*",Tabla1[Universidad KPIs],'Utilización Convenios'!$C17,Tabla1[Año de Movilidad],'Utilización Convenios'!K$3,Tabla1[Nivel],"Pregrado")</f>
        <v>4</v>
      </c>
      <c r="L17" s="11">
        <f>COUNTIFS(Tabla2[Tipo de Movilidad],"Intercambio*",Tabla2[Universidad KPIs],'Utilización Convenios'!$C17,Tabla2[Año],'Utilización Convenios'!K$3,Tabla2[Nivel Nominación],"Undergraduate / Bachelor")</f>
        <v>0</v>
      </c>
      <c r="M17" s="10">
        <f>COUNTIFS(Tabla1[Tipo de Movilidad],"Intercambio*",Tabla1[Universidad KPIs],'Utilización Convenios'!$C17,Tabla1[Año de Movilidad],'Utilización Convenios'!M$3,Tabla1[Nivel],"Pregrado")</f>
        <v>3</v>
      </c>
      <c r="N17" s="26">
        <f>COUNTIFS(Tabla2[Tipo de Movilidad],"Intercambio*",Tabla2[Universidad KPIs],'Utilización Convenios'!$C17,Tabla2[Año],'Utilización Convenios'!M$3,Tabla2[Nivel Nominación],"Undergraduate / Bachelor")</f>
        <v>1</v>
      </c>
      <c r="O17" s="10">
        <f>COUNTIFS(Tabla1[Tipo de Movilidad],"Intercambio*",Tabla1[Universidad KPIs],'Utilización Convenios'!$C17,Tabla1[Año de Movilidad],'Utilización Convenios'!O$3,Tabla1[Nivel],"Pregrado")</f>
        <v>3</v>
      </c>
      <c r="P17" s="26">
        <f>COUNTIFS(Tabla2[Tipo de Movilidad],"Intercambio*",Tabla2[Universidad KPIs],'Utilización Convenios'!$C17,Tabla2[Año],'Utilización Convenios'!O$3,Tabla2[Nivel Nominación],"Undergraduate / Bachelor")</f>
        <v>0</v>
      </c>
      <c r="Q17" s="41">
        <f t="shared" si="0"/>
        <v>14</v>
      </c>
      <c r="R17" s="42">
        <f t="shared" si="0"/>
        <v>1</v>
      </c>
    </row>
    <row r="18" spans="2:18">
      <c r="B18" s="183"/>
      <c r="C18" s="86" t="s">
        <v>56</v>
      </c>
      <c r="D18" s="93" t="s">
        <v>41</v>
      </c>
      <c r="E18" s="88">
        <f>COUNTIFS(Tabla1[Tipo de Movilidad],"Intercambio*",Tabla1[Universidad KPIs],'Utilización Convenios'!$C18,Tabla1[Año de Movilidad],'Utilización Convenios'!E$3,Tabla1[Nivel],"Pregrado")</f>
        <v>1</v>
      </c>
      <c r="F18" s="11">
        <f>COUNTIFS(Tabla2[Tipo de Movilidad],"Intercambio*",Tabla2[Universidad KPIs],'Utilización Convenios'!$C18,Tabla2[Año],'Utilización Convenios'!E$3,Tabla2[Nivel Nominación],"Undergraduate / Bachelor")</f>
        <v>1</v>
      </c>
      <c r="G18" s="10">
        <f>COUNTIFS(Tabla1[Tipo de Movilidad],"Intercambio*",Tabla1[Universidad KPIs],'Utilización Convenios'!$C18,Tabla1[Año de Movilidad],'Utilización Convenios'!G$3,Tabla1[Nivel],"Pregrado")</f>
        <v>1</v>
      </c>
      <c r="H18" s="11">
        <f>COUNTIFS(Tabla2[Tipo de Movilidad],"Intercambio*",Tabla2[Universidad KPIs],'Utilización Convenios'!$C18,Tabla2[Año],'Utilización Convenios'!G$3,Tabla2[Nivel Nominación],"Undergraduate / Bachelor")</f>
        <v>2</v>
      </c>
      <c r="I18" s="10">
        <f>COUNTIFS(Tabla1[Tipo de Movilidad],"Intercambio*",Tabla1[Universidad KPIs],'Utilización Convenios'!$C18,Tabla1[Año de Movilidad],'Utilización Convenios'!I$3,Tabla1[Nivel],"Pregrado")</f>
        <v>2</v>
      </c>
      <c r="J18" s="11">
        <f>COUNTIFS(Tabla2[Tipo de Movilidad],"Intercambio*",Tabla2[Universidad KPIs],'Utilización Convenios'!$C18,Tabla2[Año],'Utilización Convenios'!I$3,Tabla2[Nivel Nominación],"Undergraduate / Bachelor")</f>
        <v>1</v>
      </c>
      <c r="K18" s="10">
        <f>COUNTIFS(Tabla1[Tipo de Movilidad],"Intercambio*",Tabla1[Universidad KPIs],'Utilización Convenios'!$C18,Tabla1[Año de Movilidad],'Utilización Convenios'!K$3,Tabla1[Nivel],"Pregrado")</f>
        <v>4</v>
      </c>
      <c r="L18" s="11">
        <f>COUNTIFS(Tabla2[Tipo de Movilidad],"Intercambio*",Tabla2[Universidad KPIs],'Utilización Convenios'!$C18,Tabla2[Año],'Utilización Convenios'!K$3,Tabla2[Nivel Nominación],"Undergraduate / Bachelor")</f>
        <v>0</v>
      </c>
      <c r="M18" s="10">
        <f>COUNTIFS(Tabla1[Tipo de Movilidad],"Intercambio*",Tabla1[Universidad KPIs],'Utilización Convenios'!$C18,Tabla1[Año de Movilidad],'Utilización Convenios'!M$3,Tabla1[Nivel],"Pregrado")</f>
        <v>2</v>
      </c>
      <c r="N18" s="26">
        <f>COUNTIFS(Tabla2[Tipo de Movilidad],"Intercambio*",Tabla2[Universidad KPIs],'Utilización Convenios'!$C18,Tabla2[Año],'Utilización Convenios'!M$3,Tabla2[Nivel Nominación],"Undergraduate / Bachelor")</f>
        <v>1</v>
      </c>
      <c r="O18" s="10">
        <f>COUNTIFS(Tabla1[Tipo de Movilidad],"Intercambio*",Tabla1[Universidad KPIs],'Utilización Convenios'!$C18,Tabla1[Año de Movilidad],'Utilización Convenios'!O$3,Tabla1[Nivel],"Pregrado")</f>
        <v>7</v>
      </c>
      <c r="P18" s="26">
        <f>COUNTIFS(Tabla2[Tipo de Movilidad],"Intercambio*",Tabla2[Universidad KPIs],'Utilización Convenios'!$C18,Tabla2[Año],'Utilización Convenios'!O$3,Tabla2[Nivel Nominación],"Undergraduate / Bachelor")</f>
        <v>0</v>
      </c>
      <c r="Q18" s="41">
        <f t="shared" si="0"/>
        <v>17</v>
      </c>
      <c r="R18" s="42">
        <f t="shared" si="0"/>
        <v>5</v>
      </c>
    </row>
    <row r="19" spans="2:18">
      <c r="B19" s="183"/>
      <c r="C19" s="86" t="s">
        <v>57</v>
      </c>
      <c r="D19" s="93" t="s">
        <v>58</v>
      </c>
      <c r="E19" s="88">
        <f>COUNTIFS(Tabla1[Tipo de Movilidad],"Intercambio*",Tabla1[Universidad KPIs],'Utilización Convenios'!$C19,Tabla1[Año de Movilidad],'Utilización Convenios'!E$3,Tabla1[Nivel],"Pregrado")</f>
        <v>1</v>
      </c>
      <c r="F19" s="11">
        <f>COUNTIFS(Tabla2[Tipo de Movilidad],"Intercambio*",Tabla2[Universidad KPIs],'Utilización Convenios'!$C19,Tabla2[Año],'Utilización Convenios'!E$3,Tabla2[Nivel Nominación],"Undergraduate / Bachelor")</f>
        <v>0</v>
      </c>
      <c r="G19" s="10">
        <f>COUNTIFS(Tabla1[Tipo de Movilidad],"Intercambio*",Tabla1[Universidad KPIs],'Utilización Convenios'!$C19,Tabla1[Año de Movilidad],'Utilización Convenios'!G$3,Tabla1[Nivel],"Pregrado")</f>
        <v>0</v>
      </c>
      <c r="H19" s="11">
        <f>COUNTIFS(Tabla2[Tipo de Movilidad],"Intercambio*",Tabla2[Universidad KPIs],'Utilización Convenios'!$C19,Tabla2[Año],'Utilización Convenios'!G$3,Tabla2[Nivel Nominación],"Undergraduate / Bachelor")</f>
        <v>0</v>
      </c>
      <c r="I19" s="10">
        <f>COUNTIFS(Tabla1[Tipo de Movilidad],"Intercambio*",Tabla1[Universidad KPIs],'Utilización Convenios'!$C19,Tabla1[Año de Movilidad],'Utilización Convenios'!I$3,Tabla1[Nivel],"Pregrado")</f>
        <v>1</v>
      </c>
      <c r="J19" s="11">
        <f>COUNTIFS(Tabla2[Tipo de Movilidad],"Intercambio*",Tabla2[Universidad KPIs],'Utilización Convenios'!$C19,Tabla2[Año],'Utilización Convenios'!I$3,Tabla2[Nivel Nominación],"Undergraduate / Bachelor")</f>
        <v>0</v>
      </c>
      <c r="K19" s="10">
        <f>COUNTIFS(Tabla1[Tipo de Movilidad],"Intercambio*",Tabla1[Universidad KPIs],'Utilización Convenios'!$C19,Tabla1[Año de Movilidad],'Utilización Convenios'!K$3,Tabla1[Nivel],"Pregrado")</f>
        <v>1</v>
      </c>
      <c r="L19" s="11">
        <f>COUNTIFS(Tabla2[Tipo de Movilidad],"Intercambio*",Tabla2[Universidad KPIs],'Utilización Convenios'!$C19,Tabla2[Año],'Utilización Convenios'!K$3,Tabla2[Nivel Nominación],"Undergraduate / Bachelor")</f>
        <v>0</v>
      </c>
      <c r="M19" s="10">
        <f>COUNTIFS(Tabla1[Tipo de Movilidad],"Intercambio*",Tabla1[Universidad KPIs],'Utilización Convenios'!$C19,Tabla1[Año de Movilidad],'Utilización Convenios'!M$3,Tabla1[Nivel],"Pregrado")</f>
        <v>0</v>
      </c>
      <c r="N19" s="26">
        <f>COUNTIFS(Tabla2[Tipo de Movilidad],"Intercambio*",Tabla2[Universidad KPIs],'Utilización Convenios'!$C19,Tabla2[Año],'Utilización Convenios'!M$3,Tabla2[Nivel Nominación],"Undergraduate / Bachelor")</f>
        <v>0</v>
      </c>
      <c r="O19" s="10">
        <f>COUNTIFS(Tabla1[Tipo de Movilidad],"Intercambio*",Tabla1[Universidad KPIs],'Utilización Convenios'!$C19,Tabla1[Año de Movilidad],'Utilización Convenios'!O$3,Tabla1[Nivel],"Pregrado")</f>
        <v>0</v>
      </c>
      <c r="P19" s="26">
        <f>COUNTIFS(Tabla2[Tipo de Movilidad],"Intercambio*",Tabla2[Universidad KPIs],'Utilización Convenios'!$C19,Tabla2[Año],'Utilización Convenios'!O$3,Tabla2[Nivel Nominación],"Undergraduate / Bachelor")</f>
        <v>0</v>
      </c>
      <c r="Q19" s="41">
        <f t="shared" si="0"/>
        <v>3</v>
      </c>
      <c r="R19" s="42">
        <f t="shared" si="0"/>
        <v>0</v>
      </c>
    </row>
    <row r="20" spans="2:18">
      <c r="B20" s="183"/>
      <c r="C20" s="86" t="s">
        <v>59</v>
      </c>
      <c r="D20" s="93" t="s">
        <v>60</v>
      </c>
      <c r="E20" s="88">
        <f>COUNTIFS(Tabla1[Tipo de Movilidad],"Intercambio*",Tabla1[Universidad KPIs],'Utilización Convenios'!$C20,Tabla1[Año de Movilidad],'Utilización Convenios'!E$3,Tabla1[Nivel],"Pregrado")</f>
        <v>1</v>
      </c>
      <c r="F20" s="11">
        <f>COUNTIFS(Tabla2[Tipo de Movilidad],"Intercambio*",Tabla2[Universidad KPIs],'Utilización Convenios'!$C20,Tabla2[Año],'Utilización Convenios'!E$3,Tabla2[Nivel Nominación],"Undergraduate / Bachelor")</f>
        <v>0</v>
      </c>
      <c r="G20" s="10">
        <f>COUNTIFS(Tabla1[Tipo de Movilidad],"Intercambio*",Tabla1[Universidad KPIs],'Utilización Convenios'!$C20,Tabla1[Año de Movilidad],'Utilización Convenios'!G$3,Tabla1[Nivel],"Pregrado")</f>
        <v>0</v>
      </c>
      <c r="H20" s="11">
        <f>COUNTIFS(Tabla2[Tipo de Movilidad],"Intercambio*",Tabla2[Universidad KPIs],'Utilización Convenios'!$C20,Tabla2[Año],'Utilización Convenios'!G$3,Tabla2[Nivel Nominación],"Undergraduate / Bachelor")</f>
        <v>0</v>
      </c>
      <c r="I20" s="10">
        <f>COUNTIFS(Tabla1[Tipo de Movilidad],"Intercambio*",Tabla1[Universidad KPIs],'Utilización Convenios'!$C20,Tabla1[Año de Movilidad],'Utilización Convenios'!I$3,Tabla1[Nivel],"Pregrado")</f>
        <v>2</v>
      </c>
      <c r="J20" s="11">
        <f>COUNTIFS(Tabla2[Tipo de Movilidad],"Intercambio*",Tabla2[Universidad KPIs],'Utilización Convenios'!$C20,Tabla2[Año],'Utilización Convenios'!I$3,Tabla2[Nivel Nominación],"Undergraduate / Bachelor")</f>
        <v>0</v>
      </c>
      <c r="K20" s="10">
        <f>COUNTIFS(Tabla1[Tipo de Movilidad],"Intercambio*",Tabla1[Universidad KPIs],'Utilización Convenios'!$C20,Tabla1[Año de Movilidad],'Utilización Convenios'!K$3,Tabla1[Nivel],"Pregrado")</f>
        <v>1</v>
      </c>
      <c r="L20" s="11">
        <f>COUNTIFS(Tabla2[Tipo de Movilidad],"Intercambio*",Tabla2[Universidad KPIs],'Utilización Convenios'!$C20,Tabla2[Año],'Utilización Convenios'!K$3,Tabla2[Nivel Nominación],"Undergraduate / Bachelor")</f>
        <v>0</v>
      </c>
      <c r="M20" s="10">
        <f>COUNTIFS(Tabla1[Tipo de Movilidad],"Intercambio*",Tabla1[Universidad KPIs],'Utilización Convenios'!$C20,Tabla1[Año de Movilidad],'Utilización Convenios'!M$3,Tabla1[Nivel],"Pregrado")</f>
        <v>0</v>
      </c>
      <c r="N20" s="26">
        <f>COUNTIFS(Tabla2[Tipo de Movilidad],"Intercambio*",Tabla2[Universidad KPIs],'Utilización Convenios'!$C20,Tabla2[Año],'Utilización Convenios'!M$3,Tabla2[Nivel Nominación],"Undergraduate / Bachelor")</f>
        <v>0</v>
      </c>
      <c r="O20" s="10">
        <f>COUNTIFS(Tabla1[Tipo de Movilidad],"Intercambio*",Tabla1[Universidad KPIs],'Utilización Convenios'!$C20,Tabla1[Año de Movilidad],'Utilización Convenios'!O$3,Tabla1[Nivel],"Pregrado")</f>
        <v>1</v>
      </c>
      <c r="P20" s="26">
        <f>COUNTIFS(Tabla2[Tipo de Movilidad],"Intercambio*",Tabla2[Universidad KPIs],'Utilización Convenios'!$C20,Tabla2[Año],'Utilización Convenios'!O$3,Tabla2[Nivel Nominación],"Undergraduate / Bachelor")</f>
        <v>0</v>
      </c>
      <c r="Q20" s="41">
        <f t="shared" si="0"/>
        <v>5</v>
      </c>
      <c r="R20" s="42">
        <f t="shared" si="0"/>
        <v>0</v>
      </c>
    </row>
    <row r="21" spans="2:18">
      <c r="B21" s="183"/>
      <c r="C21" s="86" t="s">
        <v>61</v>
      </c>
      <c r="D21" s="93" t="s">
        <v>62</v>
      </c>
      <c r="E21" s="88">
        <f>COUNTIFS(Tabla1[Tipo de Movilidad],"Intercambio*",Tabla1[Universidad KPIs],'Utilización Convenios'!$C21,Tabla1[Año de Movilidad],'Utilización Convenios'!E$3,Tabla1[Nivel],"Pregrado")</f>
        <v>1</v>
      </c>
      <c r="F21" s="11">
        <f>COUNTIFS(Tabla2[Tipo de Movilidad],"Intercambio*",Tabla2[Universidad KPIs],'Utilización Convenios'!$C21,Tabla2[Año],'Utilización Convenios'!E$3,Tabla2[Nivel Nominación],"Undergraduate / Bachelor")</f>
        <v>0</v>
      </c>
      <c r="G21" s="10">
        <f>COUNTIFS(Tabla1[Tipo de Movilidad],"Intercambio*",Tabla1[Universidad KPIs],'Utilización Convenios'!$C21,Tabla1[Año de Movilidad],'Utilización Convenios'!G$3,Tabla1[Nivel],"Pregrado")</f>
        <v>0</v>
      </c>
      <c r="H21" s="11">
        <f>COUNTIFS(Tabla2[Tipo de Movilidad],"Intercambio*",Tabla2[Universidad KPIs],'Utilización Convenios'!$C21,Tabla2[Año],'Utilización Convenios'!G$3,Tabla2[Nivel Nominación],"Undergraduate / Bachelor")</f>
        <v>0</v>
      </c>
      <c r="I21" s="10">
        <f>COUNTIFS(Tabla1[Tipo de Movilidad],"Intercambio*",Tabla1[Universidad KPIs],'Utilización Convenios'!$C21,Tabla1[Año de Movilidad],'Utilización Convenios'!I$3,Tabla1[Nivel],"Pregrado")</f>
        <v>0</v>
      </c>
      <c r="J21" s="11">
        <f>COUNTIFS(Tabla2[Tipo de Movilidad],"Intercambio*",Tabla2[Universidad KPIs],'Utilización Convenios'!$C21,Tabla2[Año],'Utilización Convenios'!I$3,Tabla2[Nivel Nominación],"Undergraduate / Bachelor")</f>
        <v>0</v>
      </c>
      <c r="K21" s="10">
        <f>COUNTIFS(Tabla1[Tipo de Movilidad],"Intercambio*",Tabla1[Universidad KPIs],'Utilización Convenios'!$C21,Tabla1[Año de Movilidad],'Utilización Convenios'!K$3,Tabla1[Nivel],"Pregrado")</f>
        <v>3</v>
      </c>
      <c r="L21" s="11">
        <f>COUNTIFS(Tabla2[Tipo de Movilidad],"Intercambio*",Tabla2[Universidad KPIs],'Utilización Convenios'!$C21,Tabla2[Año],'Utilización Convenios'!K$3,Tabla2[Nivel Nominación],"Undergraduate / Bachelor")</f>
        <v>0</v>
      </c>
      <c r="M21" s="10">
        <f>COUNTIFS(Tabla1[Tipo de Movilidad],"Intercambio*",Tabla1[Universidad KPIs],'Utilización Convenios'!$C21,Tabla1[Año de Movilidad],'Utilización Convenios'!M$3,Tabla1[Nivel],"Pregrado")</f>
        <v>2</v>
      </c>
      <c r="N21" s="26">
        <f>COUNTIFS(Tabla2[Tipo de Movilidad],"Intercambio*",Tabla2[Universidad KPIs],'Utilización Convenios'!$C21,Tabla2[Año],'Utilización Convenios'!M$3,Tabla2[Nivel Nominación],"Undergraduate / Bachelor")</f>
        <v>0</v>
      </c>
      <c r="O21" s="10">
        <f>COUNTIFS(Tabla1[Tipo de Movilidad],"Intercambio*",Tabla1[Universidad KPIs],'Utilización Convenios'!$C21,Tabla1[Año de Movilidad],'Utilización Convenios'!O$3,Tabla1[Nivel],"Pregrado")</f>
        <v>2</v>
      </c>
      <c r="P21" s="26">
        <f>COUNTIFS(Tabla2[Tipo de Movilidad],"Intercambio*",Tabla2[Universidad KPIs],'Utilización Convenios'!$C21,Tabla2[Año],'Utilización Convenios'!O$3,Tabla2[Nivel Nominación],"Undergraduate / Bachelor")</f>
        <v>0</v>
      </c>
      <c r="Q21" s="41">
        <f t="shared" si="0"/>
        <v>8</v>
      </c>
      <c r="R21" s="42">
        <f t="shared" si="0"/>
        <v>0</v>
      </c>
    </row>
    <row r="22" spans="2:18">
      <c r="B22" s="183"/>
      <c r="C22" s="86" t="s">
        <v>63</v>
      </c>
      <c r="D22" s="93" t="s">
        <v>41</v>
      </c>
      <c r="E22" s="88">
        <f>COUNTIFS(Tabla1[Tipo de Movilidad],"Intercambio*",Tabla1[Universidad KPIs],'Utilización Convenios'!$C22,Tabla1[Año de Movilidad],'Utilización Convenios'!E$3,Tabla1[Nivel],"Pregrado")</f>
        <v>0</v>
      </c>
      <c r="F22" s="11">
        <f>COUNTIFS(Tabla2[Tipo de Movilidad],"Intercambio*",Tabla2[Universidad KPIs],'Utilización Convenios'!$C22,Tabla2[Año],'Utilización Convenios'!E$3,Tabla2[Nivel Nominación],"Undergraduate / Bachelor")</f>
        <v>0</v>
      </c>
      <c r="G22" s="10">
        <f>COUNTIFS(Tabla1[Tipo de Movilidad],"Intercambio*",Tabla1[Universidad KPIs],'Utilización Convenios'!$C22,Tabla1[Año de Movilidad],'Utilización Convenios'!G$3,Tabla1[Nivel],"Pregrado")</f>
        <v>1</v>
      </c>
      <c r="H22" s="11">
        <f>COUNTIFS(Tabla2[Tipo de Movilidad],"Intercambio*",Tabla2[Universidad KPIs],'Utilización Convenios'!$C22,Tabla2[Año],'Utilización Convenios'!G$3,Tabla2[Nivel Nominación],"Undergraduate / Bachelor")</f>
        <v>0</v>
      </c>
      <c r="I22" s="10">
        <f>COUNTIFS(Tabla1[Tipo de Movilidad],"Intercambio*",Tabla1[Universidad KPIs],'Utilización Convenios'!$C22,Tabla1[Año de Movilidad],'Utilización Convenios'!I$3,Tabla1[Nivel],"Pregrado")</f>
        <v>1</v>
      </c>
      <c r="J22" s="11">
        <f>COUNTIFS(Tabla2[Tipo de Movilidad],"Intercambio*",Tabla2[Universidad KPIs],'Utilización Convenios'!$C22,Tabla2[Año],'Utilización Convenios'!I$3,Tabla2[Nivel Nominación],"Undergraduate / Bachelor")</f>
        <v>0</v>
      </c>
      <c r="K22" s="10">
        <f>COUNTIFS(Tabla1[Tipo de Movilidad],"Intercambio*",Tabla1[Universidad KPIs],'Utilización Convenios'!$C22,Tabla1[Año de Movilidad],'Utilización Convenios'!K$3,Tabla1[Nivel],"Pregrado")</f>
        <v>3</v>
      </c>
      <c r="L22" s="11">
        <f>COUNTIFS(Tabla2[Tipo de Movilidad],"Intercambio*",Tabla2[Universidad KPIs],'Utilización Convenios'!$C22,Tabla2[Año],'Utilización Convenios'!K$3,Tabla2[Nivel Nominación],"Undergraduate / Bachelor")</f>
        <v>0</v>
      </c>
      <c r="M22" s="10">
        <f>COUNTIFS(Tabla1[Tipo de Movilidad],"Intercambio*",Tabla1[Universidad KPIs],'Utilización Convenios'!$C22,Tabla1[Año de Movilidad],'Utilización Convenios'!M$3,Tabla1[Nivel],"Pregrado")</f>
        <v>0</v>
      </c>
      <c r="N22" s="26">
        <f>COUNTIFS(Tabla2[Tipo de Movilidad],"Intercambio*",Tabla2[Universidad KPIs],'Utilización Convenios'!$C22,Tabla2[Año],'Utilización Convenios'!M$3,Tabla2[Nivel Nominación],"Undergraduate / Bachelor")</f>
        <v>0</v>
      </c>
      <c r="O22" s="10">
        <f>COUNTIFS(Tabla1[Tipo de Movilidad],"Intercambio*",Tabla1[Universidad KPIs],'Utilización Convenios'!$C22,Tabla1[Año de Movilidad],'Utilización Convenios'!O$3,Tabla1[Nivel],"Pregrado")</f>
        <v>2</v>
      </c>
      <c r="P22" s="26">
        <f>COUNTIFS(Tabla2[Tipo de Movilidad],"Intercambio*",Tabla2[Universidad KPIs],'Utilización Convenios'!$C22,Tabla2[Año],'Utilización Convenios'!O$3,Tabla2[Nivel Nominación],"Undergraduate / Bachelor")</f>
        <v>0</v>
      </c>
      <c r="Q22" s="41">
        <f t="shared" si="0"/>
        <v>7</v>
      </c>
      <c r="R22" s="42">
        <f t="shared" si="0"/>
        <v>0</v>
      </c>
    </row>
    <row r="23" spans="2:18">
      <c r="B23" s="183"/>
      <c r="C23" s="86" t="s">
        <v>64</v>
      </c>
      <c r="D23" s="93" t="s">
        <v>65</v>
      </c>
      <c r="E23" s="88">
        <f>COUNTIFS(Tabla1[Tipo de Movilidad],"Intercambio*",Tabla1[Universidad KPIs],'Utilización Convenios'!$C23,Tabla1[Año de Movilidad],'Utilización Convenios'!E$3,Tabla1[Nivel],"Pregrado")</f>
        <v>3</v>
      </c>
      <c r="F23" s="11">
        <f>COUNTIFS(Tabla2[Tipo de Movilidad],"Intercambio*",Tabla2[Universidad KPIs],'Utilización Convenios'!$C23,Tabla2[Año],'Utilización Convenios'!E$3,Tabla2[Nivel Nominación],"Undergraduate / Bachelor")</f>
        <v>0</v>
      </c>
      <c r="G23" s="10">
        <f>COUNTIFS(Tabla1[Tipo de Movilidad],"Intercambio*",Tabla1[Universidad KPIs],'Utilización Convenios'!$C23,Tabla1[Año de Movilidad],'Utilización Convenios'!G$3,Tabla1[Nivel],"Pregrado")</f>
        <v>1</v>
      </c>
      <c r="H23" s="11">
        <f>COUNTIFS(Tabla2[Tipo de Movilidad],"Intercambio*",Tabla2[Universidad KPIs],'Utilización Convenios'!$C23,Tabla2[Año],'Utilización Convenios'!G$3,Tabla2[Nivel Nominación],"Undergraduate / Bachelor")</f>
        <v>0</v>
      </c>
      <c r="I23" s="10">
        <f>COUNTIFS(Tabla1[Tipo de Movilidad],"Intercambio*",Tabla1[Universidad KPIs],'Utilización Convenios'!$C23,Tabla1[Año de Movilidad],'Utilización Convenios'!I$3,Tabla1[Nivel],"Pregrado")</f>
        <v>2</v>
      </c>
      <c r="J23" s="11">
        <f>COUNTIFS(Tabla2[Tipo de Movilidad],"Intercambio*",Tabla2[Universidad KPIs],'Utilización Convenios'!$C23,Tabla2[Año],'Utilización Convenios'!I$3,Tabla2[Nivel Nominación],"Undergraduate / Bachelor")</f>
        <v>0</v>
      </c>
      <c r="K23" s="10">
        <f>COUNTIFS(Tabla1[Tipo de Movilidad],"Intercambio*",Tabla1[Universidad KPIs],'Utilización Convenios'!$C23,Tabla1[Año de Movilidad],'Utilización Convenios'!K$3,Tabla1[Nivel],"Pregrado")</f>
        <v>3</v>
      </c>
      <c r="L23" s="11">
        <f>COUNTIFS(Tabla2[Tipo de Movilidad],"Intercambio*",Tabla2[Universidad KPIs],'Utilización Convenios'!$C23,Tabla2[Año],'Utilización Convenios'!K$3,Tabla2[Nivel Nominación],"Undergraduate / Bachelor")</f>
        <v>0</v>
      </c>
      <c r="M23" s="10">
        <f>COUNTIFS(Tabla1[Tipo de Movilidad],"Intercambio*",Tabla1[Universidad KPIs],'Utilización Convenios'!$C23,Tabla1[Año de Movilidad],'Utilización Convenios'!M$3,Tabla1[Nivel],"Pregrado")</f>
        <v>0</v>
      </c>
      <c r="N23" s="26">
        <f>COUNTIFS(Tabla2[Tipo de Movilidad],"Intercambio*",Tabla2[Universidad KPIs],'Utilización Convenios'!$C23,Tabla2[Año],'Utilización Convenios'!M$3,Tabla2[Nivel Nominación],"Undergraduate / Bachelor")</f>
        <v>0</v>
      </c>
      <c r="O23" s="10">
        <f>COUNTIFS(Tabla1[Tipo de Movilidad],"Intercambio*",Tabla1[Universidad KPIs],'Utilización Convenios'!$C23,Tabla1[Año de Movilidad],'Utilización Convenios'!O$3,Tabla1[Nivel],"Pregrado")</f>
        <v>4</v>
      </c>
      <c r="P23" s="26">
        <f>COUNTIFS(Tabla2[Tipo de Movilidad],"Intercambio*",Tabla2[Universidad KPIs],'Utilización Convenios'!$C23,Tabla2[Año],'Utilización Convenios'!O$3,Tabla2[Nivel Nominación],"Undergraduate / Bachelor")</f>
        <v>0</v>
      </c>
      <c r="Q23" s="41">
        <f t="shared" si="0"/>
        <v>13</v>
      </c>
      <c r="R23" s="42">
        <f t="shared" si="0"/>
        <v>0</v>
      </c>
    </row>
    <row r="24" spans="2:18">
      <c r="B24" s="183"/>
      <c r="C24" s="86" t="s">
        <v>66</v>
      </c>
      <c r="D24" s="93" t="s">
        <v>58</v>
      </c>
      <c r="E24" s="88">
        <f>COUNTIFS(Tabla1[Tipo de Movilidad],"Intercambio*",Tabla1[Universidad KPIs],'Utilización Convenios'!$C24,Tabla1[Año de Movilidad],'Utilización Convenios'!E$3,Tabla1[Nivel],"Pregrado")</f>
        <v>1</v>
      </c>
      <c r="F24" s="11">
        <f>COUNTIFS(Tabla2[Tipo de Movilidad],"Intercambio*",Tabla2[Universidad KPIs],'Utilización Convenios'!$C24,Tabla2[Año],'Utilización Convenios'!E$3,Tabla2[Nivel Nominación],"Undergraduate / Bachelor")</f>
        <v>0</v>
      </c>
      <c r="G24" s="10">
        <f>COUNTIFS(Tabla1[Tipo de Movilidad],"Intercambio*",Tabla1[Universidad KPIs],'Utilización Convenios'!$C24,Tabla1[Año de Movilidad],'Utilización Convenios'!G$3,Tabla1[Nivel],"Pregrado")</f>
        <v>1</v>
      </c>
      <c r="H24" s="11">
        <f>COUNTIFS(Tabla2[Tipo de Movilidad],"Intercambio*",Tabla2[Universidad KPIs],'Utilización Convenios'!$C24,Tabla2[Año],'Utilización Convenios'!G$3,Tabla2[Nivel Nominación],"Undergraduate / Bachelor")</f>
        <v>0</v>
      </c>
      <c r="I24" s="10">
        <f>COUNTIFS(Tabla1[Tipo de Movilidad],"Intercambio*",Tabla1[Universidad KPIs],'Utilización Convenios'!$C24,Tabla1[Año de Movilidad],'Utilización Convenios'!I$3,Tabla1[Nivel],"Pregrado")</f>
        <v>3</v>
      </c>
      <c r="J24" s="11">
        <f>COUNTIFS(Tabla2[Tipo de Movilidad],"Intercambio*",Tabla2[Universidad KPIs],'Utilización Convenios'!$C24,Tabla2[Año],'Utilización Convenios'!I$3,Tabla2[Nivel Nominación],"Undergraduate / Bachelor")</f>
        <v>1</v>
      </c>
      <c r="K24" s="10">
        <f>COUNTIFS(Tabla1[Tipo de Movilidad],"Intercambio*",Tabla1[Universidad KPIs],'Utilización Convenios'!$C24,Tabla1[Año de Movilidad],'Utilización Convenios'!K$3,Tabla1[Nivel],"Pregrado")</f>
        <v>4</v>
      </c>
      <c r="L24" s="11">
        <f>COUNTIFS(Tabla2[Tipo de Movilidad],"Intercambio*",Tabla2[Universidad KPIs],'Utilización Convenios'!$C24,Tabla2[Año],'Utilización Convenios'!K$3,Tabla2[Nivel Nominación],"Undergraduate / Bachelor")</f>
        <v>0</v>
      </c>
      <c r="M24" s="10">
        <f>COUNTIFS(Tabla1[Tipo de Movilidad],"Intercambio*",Tabla1[Universidad KPIs],'Utilización Convenios'!$C24,Tabla1[Año de Movilidad],'Utilización Convenios'!M$3,Tabla1[Nivel],"Pregrado")</f>
        <v>2</v>
      </c>
      <c r="N24" s="26">
        <f>COUNTIFS(Tabla2[Tipo de Movilidad],"Intercambio*",Tabla2[Universidad KPIs],'Utilización Convenios'!$C24,Tabla2[Año],'Utilización Convenios'!M$3,Tabla2[Nivel Nominación],"Undergraduate / Bachelor")</f>
        <v>1</v>
      </c>
      <c r="O24" s="10">
        <f>COUNTIFS(Tabla1[Tipo de Movilidad],"Intercambio*",Tabla1[Universidad KPIs],'Utilización Convenios'!$C24,Tabla1[Año de Movilidad],'Utilización Convenios'!O$3,Tabla1[Nivel],"Pregrado")</f>
        <v>1</v>
      </c>
      <c r="P24" s="26">
        <f>COUNTIFS(Tabla2[Tipo de Movilidad],"Intercambio*",Tabla2[Universidad KPIs],'Utilización Convenios'!$C24,Tabla2[Año],'Utilización Convenios'!O$3,Tabla2[Nivel Nominación],"Undergraduate / Bachelor")</f>
        <v>0</v>
      </c>
      <c r="Q24" s="41">
        <f t="shared" si="0"/>
        <v>12</v>
      </c>
      <c r="R24" s="42">
        <f t="shared" si="0"/>
        <v>2</v>
      </c>
    </row>
    <row r="25" spans="2:18">
      <c r="B25" s="183"/>
      <c r="C25" s="86" t="s">
        <v>67</v>
      </c>
      <c r="D25" s="93" t="s">
        <v>41</v>
      </c>
      <c r="E25" s="88">
        <f>COUNTIFS(Tabla1[Tipo de Movilidad],"Intercambio*",Tabla1[Universidad KPIs],'Utilización Convenios'!$C25,Tabla1[Año de Movilidad],'Utilización Convenios'!E$3,Tabla1[Nivel],"Pregrado")</f>
        <v>0</v>
      </c>
      <c r="F25" s="11">
        <f>COUNTIFS(Tabla2[Tipo de Movilidad],"Intercambio*",Tabla2[Universidad KPIs],'Utilización Convenios'!$C25,Tabla2[Año],'Utilización Convenios'!E$3,Tabla2[Nivel Nominación],"Undergraduate / Bachelor")</f>
        <v>0</v>
      </c>
      <c r="G25" s="10">
        <f>COUNTIFS(Tabla1[Tipo de Movilidad],"Intercambio*",Tabla1[Universidad KPIs],'Utilización Convenios'!$C25,Tabla1[Año de Movilidad],'Utilización Convenios'!G$3,Tabla1[Nivel],"Pregrado")</f>
        <v>0</v>
      </c>
      <c r="H25" s="11">
        <f>COUNTIFS(Tabla2[Tipo de Movilidad],"Intercambio*",Tabla2[Universidad KPIs],'Utilización Convenios'!$C25,Tabla2[Año],'Utilización Convenios'!G$3,Tabla2[Nivel Nominación],"Undergraduate / Bachelor")</f>
        <v>0</v>
      </c>
      <c r="I25" s="10">
        <f>COUNTIFS(Tabla1[Tipo de Movilidad],"Intercambio*",Tabla1[Universidad KPIs],'Utilización Convenios'!$C25,Tabla1[Año de Movilidad],'Utilización Convenios'!I$3,Tabla1[Nivel],"Pregrado")</f>
        <v>0</v>
      </c>
      <c r="J25" s="11">
        <f>COUNTIFS(Tabla2[Tipo de Movilidad],"Intercambio*",Tabla2[Universidad KPIs],'Utilización Convenios'!$C25,Tabla2[Año],'Utilización Convenios'!I$3,Tabla2[Nivel Nominación],"Undergraduate / Bachelor")</f>
        <v>0</v>
      </c>
      <c r="K25" s="10">
        <f>COUNTIFS(Tabla1[Tipo de Movilidad],"Intercambio*",Tabla1[Universidad KPIs],'Utilización Convenios'!$C25,Tabla1[Año de Movilidad],'Utilización Convenios'!K$3,Tabla1[Nivel],"Pregrado")</f>
        <v>2</v>
      </c>
      <c r="L25" s="11">
        <f>COUNTIFS(Tabla2[Tipo de Movilidad],"Intercambio*",Tabla2[Universidad KPIs],'Utilización Convenios'!$C25,Tabla2[Año],'Utilización Convenios'!K$3,Tabla2[Nivel Nominación],"Undergraduate / Bachelor")</f>
        <v>4</v>
      </c>
      <c r="M25" s="10">
        <f>COUNTIFS(Tabla1[Tipo de Movilidad],"Intercambio*",Tabla1[Universidad KPIs],'Utilización Convenios'!$C25,Tabla1[Año de Movilidad],'Utilización Convenios'!M$3,Tabla1[Nivel],"Pregrado")</f>
        <v>4</v>
      </c>
      <c r="N25" s="26">
        <f>COUNTIFS(Tabla2[Tipo de Movilidad],"Intercambio*",Tabla2[Universidad KPIs],'Utilización Convenios'!$C25,Tabla2[Año],'Utilización Convenios'!M$3,Tabla2[Nivel Nominación],"Undergraduate / Bachelor")</f>
        <v>4</v>
      </c>
      <c r="O25" s="10">
        <f>COUNTIFS(Tabla1[Tipo de Movilidad],"Intercambio*",Tabla1[Universidad KPIs],'Utilización Convenios'!$C25,Tabla1[Año de Movilidad],'Utilización Convenios'!O$3,Tabla1[Nivel],"Pregrado")</f>
        <v>3</v>
      </c>
      <c r="P25" s="26">
        <f>COUNTIFS(Tabla2[Tipo de Movilidad],"Intercambio*",Tabla2[Universidad KPIs],'Utilización Convenios'!$C25,Tabla2[Año],'Utilización Convenios'!O$3,Tabla2[Nivel Nominación],"Undergraduate / Bachelor")</f>
        <v>4</v>
      </c>
      <c r="Q25" s="41">
        <f t="shared" si="0"/>
        <v>9</v>
      </c>
      <c r="R25" s="42">
        <f t="shared" si="0"/>
        <v>12</v>
      </c>
    </row>
    <row r="26" spans="2:18">
      <c r="B26" s="183"/>
      <c r="C26" s="86" t="s">
        <v>68</v>
      </c>
      <c r="D26" s="93" t="s">
        <v>41</v>
      </c>
      <c r="E26" s="88">
        <f>COUNTIFS(Tabla1[Tipo de Movilidad],"Intercambio*",Tabla1[Universidad KPIs],'Utilización Convenios'!$C26,Tabla1[Año de Movilidad],'Utilización Convenios'!E$3,Tabla1[Nivel],"Pregrado")</f>
        <v>0</v>
      </c>
      <c r="F26" s="11">
        <f>COUNTIFS(Tabla2[Tipo de Movilidad],"Intercambio*",Tabla2[Universidad KPIs],'Utilización Convenios'!$C26,Tabla2[Año],'Utilización Convenios'!E$3,Tabla2[Nivel Nominación],"Undergraduate / Bachelor")</f>
        <v>1</v>
      </c>
      <c r="G26" s="10">
        <f>COUNTIFS(Tabla1[Tipo de Movilidad],"Intercambio*",Tabla1[Universidad KPIs],'Utilización Convenios'!$C26,Tabla1[Año de Movilidad],'Utilización Convenios'!G$3,Tabla1[Nivel],"Pregrado")</f>
        <v>2</v>
      </c>
      <c r="H26" s="11">
        <f>COUNTIFS(Tabla2[Tipo de Movilidad],"Intercambio*",Tabla2[Universidad KPIs],'Utilización Convenios'!$C26,Tabla2[Año],'Utilización Convenios'!G$3,Tabla2[Nivel Nominación],"Undergraduate / Bachelor")</f>
        <v>0</v>
      </c>
      <c r="I26" s="10">
        <f>COUNTIFS(Tabla1[Tipo de Movilidad],"Intercambio*",Tabla1[Universidad KPIs],'Utilización Convenios'!$C26,Tabla1[Año de Movilidad],'Utilización Convenios'!I$3,Tabla1[Nivel],"Pregrado")</f>
        <v>1</v>
      </c>
      <c r="J26" s="11">
        <f>COUNTIFS(Tabla2[Tipo de Movilidad],"Intercambio*",Tabla2[Universidad KPIs],'Utilización Convenios'!$C26,Tabla2[Año],'Utilización Convenios'!I$3,Tabla2[Nivel Nominación],"Undergraduate / Bachelor")</f>
        <v>2</v>
      </c>
      <c r="K26" s="10">
        <f>COUNTIFS(Tabla1[Tipo de Movilidad],"Intercambio*",Tabla1[Universidad KPIs],'Utilización Convenios'!$C26,Tabla1[Año de Movilidad],'Utilización Convenios'!K$3,Tabla1[Nivel],"Pregrado")</f>
        <v>4</v>
      </c>
      <c r="L26" s="11">
        <f>COUNTIFS(Tabla2[Tipo de Movilidad],"Intercambio*",Tabla2[Universidad KPIs],'Utilización Convenios'!$C26,Tabla2[Año],'Utilización Convenios'!K$3,Tabla2[Nivel Nominación],"Undergraduate / Bachelor")</f>
        <v>1</v>
      </c>
      <c r="M26" s="10">
        <f>COUNTIFS(Tabla1[Tipo de Movilidad],"Intercambio*",Tabla1[Universidad KPIs],'Utilización Convenios'!$C26,Tabla1[Año de Movilidad],'Utilización Convenios'!M$3,Tabla1[Nivel],"Pregrado")</f>
        <v>1</v>
      </c>
      <c r="N26" s="26">
        <f>COUNTIFS(Tabla2[Tipo de Movilidad],"Intercambio*",Tabla2[Universidad KPIs],'Utilización Convenios'!$C26,Tabla2[Año],'Utilización Convenios'!M$3,Tabla2[Nivel Nominación],"Undergraduate / Bachelor")</f>
        <v>0</v>
      </c>
      <c r="O26" s="10">
        <f>COUNTIFS(Tabla1[Tipo de Movilidad],"Intercambio*",Tabla1[Universidad KPIs],'Utilización Convenios'!$C26,Tabla1[Año de Movilidad],'Utilización Convenios'!O$3,Tabla1[Nivel],"Pregrado")</f>
        <v>3</v>
      </c>
      <c r="P26" s="26">
        <f>COUNTIFS(Tabla2[Tipo de Movilidad],"Intercambio*",Tabla2[Universidad KPIs],'Utilización Convenios'!$C26,Tabla2[Año],'Utilización Convenios'!O$3,Tabla2[Nivel Nominación],"Undergraduate / Bachelor")</f>
        <v>0</v>
      </c>
      <c r="Q26" s="41">
        <f t="shared" si="0"/>
        <v>11</v>
      </c>
      <c r="R26" s="42">
        <f t="shared" si="0"/>
        <v>4</v>
      </c>
    </row>
    <row r="27" spans="2:18">
      <c r="B27" s="183"/>
      <c r="C27" s="86" t="s">
        <v>69</v>
      </c>
      <c r="D27" s="93" t="s">
        <v>53</v>
      </c>
      <c r="E27" s="88">
        <f>COUNTIFS(Tabla1[Tipo de Movilidad],"Intercambio*",Tabla1[Universidad KPIs],'Utilización Convenios'!$C27,Tabla1[Año de Movilidad],'Utilización Convenios'!E$3,Tabla1[Nivel],"Pregrado")</f>
        <v>0</v>
      </c>
      <c r="F27" s="11">
        <f>COUNTIFS(Tabla2[Tipo de Movilidad],"Intercambio*",Tabla2[Universidad KPIs],'Utilización Convenios'!$C27,Tabla2[Año],'Utilización Convenios'!E$3,Tabla2[Nivel Nominación],"Undergraduate / Bachelor")</f>
        <v>0</v>
      </c>
      <c r="G27" s="10">
        <f>COUNTIFS(Tabla1[Tipo de Movilidad],"Intercambio*",Tabla1[Universidad KPIs],'Utilización Convenios'!$C27,Tabla1[Año de Movilidad],'Utilización Convenios'!G$3,Tabla1[Nivel],"Pregrado")</f>
        <v>2</v>
      </c>
      <c r="H27" s="11">
        <f>COUNTIFS(Tabla2[Tipo de Movilidad],"Intercambio*",Tabla2[Universidad KPIs],'Utilización Convenios'!$C27,Tabla2[Año],'Utilización Convenios'!G$3,Tabla2[Nivel Nominación],"Undergraduate / Bachelor")</f>
        <v>1</v>
      </c>
      <c r="I27" s="10">
        <f>COUNTIFS(Tabla1[Tipo de Movilidad],"Intercambio*",Tabla1[Universidad KPIs],'Utilización Convenios'!$C27,Tabla1[Año de Movilidad],'Utilización Convenios'!I$3,Tabla1[Nivel],"Pregrado")</f>
        <v>4</v>
      </c>
      <c r="J27" s="11">
        <f>COUNTIFS(Tabla2[Tipo de Movilidad],"Intercambio*",Tabla2[Universidad KPIs],'Utilización Convenios'!$C27,Tabla2[Año],'Utilización Convenios'!I$3,Tabla2[Nivel Nominación],"Undergraduate / Bachelor")</f>
        <v>3</v>
      </c>
      <c r="K27" s="10">
        <f>COUNTIFS(Tabla1[Tipo de Movilidad],"Intercambio*",Tabla1[Universidad KPIs],'Utilización Convenios'!$C27,Tabla1[Año de Movilidad],'Utilización Convenios'!K$3,Tabla1[Nivel],"Pregrado")</f>
        <v>2</v>
      </c>
      <c r="L27" s="11">
        <f>COUNTIFS(Tabla2[Tipo de Movilidad],"Intercambio*",Tabla2[Universidad KPIs],'Utilización Convenios'!$C27,Tabla2[Año],'Utilización Convenios'!K$3,Tabla2[Nivel Nominación],"Undergraduate / Bachelor")</f>
        <v>2</v>
      </c>
      <c r="M27" s="10">
        <f>COUNTIFS(Tabla1[Tipo de Movilidad],"Intercambio*",Tabla1[Universidad KPIs],'Utilización Convenios'!$C27,Tabla1[Año de Movilidad],'Utilización Convenios'!M$3,Tabla1[Nivel],"Pregrado")</f>
        <v>2</v>
      </c>
      <c r="N27" s="26">
        <f>COUNTIFS(Tabla2[Tipo de Movilidad],"Intercambio*",Tabla2[Universidad KPIs],'Utilización Convenios'!$C27,Tabla2[Año],'Utilización Convenios'!M$3,Tabla2[Nivel Nominación],"Undergraduate / Bachelor")</f>
        <v>2</v>
      </c>
      <c r="O27" s="10">
        <f>COUNTIFS(Tabla1[Tipo de Movilidad],"Intercambio*",Tabla1[Universidad KPIs],'Utilización Convenios'!$C27,Tabla1[Año de Movilidad],'Utilización Convenios'!O$3,Tabla1[Nivel],"Pregrado")</f>
        <v>2</v>
      </c>
      <c r="P27" s="26">
        <f>COUNTIFS(Tabla2[Tipo de Movilidad],"Intercambio*",Tabla2[Universidad KPIs],'Utilización Convenios'!$C27,Tabla2[Año],'Utilización Convenios'!O$3,Tabla2[Nivel Nominación],"Undergraduate / Bachelor")</f>
        <v>1</v>
      </c>
      <c r="Q27" s="41">
        <f t="shared" si="0"/>
        <v>12</v>
      </c>
      <c r="R27" s="42">
        <f t="shared" si="0"/>
        <v>9</v>
      </c>
    </row>
    <row r="28" spans="2:18">
      <c r="B28" s="183"/>
      <c r="C28" s="86" t="s">
        <v>70</v>
      </c>
      <c r="D28" s="93" t="s">
        <v>71</v>
      </c>
      <c r="E28" s="88">
        <f>COUNTIFS(Tabla1[Tipo de Movilidad],"Intercambio*",Tabla1[Universidad KPIs],'Utilización Convenios'!$C28,Tabla1[Año de Movilidad],'Utilización Convenios'!E$3,Tabla1[Nivel],"Pregrado")</f>
        <v>1</v>
      </c>
      <c r="F28" s="11">
        <f>COUNTIFS(Tabla2[Tipo de Movilidad],"Intercambio*",Tabla2[Universidad KPIs],'Utilización Convenios'!$C28,Tabla2[Año],'Utilización Convenios'!E$3,Tabla2[Nivel Nominación],"Undergraduate / Bachelor")</f>
        <v>0</v>
      </c>
      <c r="G28" s="10">
        <f>COUNTIFS(Tabla1[Tipo de Movilidad],"Intercambio*",Tabla1[Universidad KPIs],'Utilización Convenios'!$C28,Tabla1[Año de Movilidad],'Utilización Convenios'!G$3,Tabla1[Nivel],"Pregrado")</f>
        <v>0</v>
      </c>
      <c r="H28" s="11">
        <f>COUNTIFS(Tabla2[Tipo de Movilidad],"Intercambio*",Tabla2[Universidad KPIs],'Utilización Convenios'!$C28,Tabla2[Año],'Utilización Convenios'!G$3,Tabla2[Nivel Nominación],"Undergraduate / Bachelor")</f>
        <v>0</v>
      </c>
      <c r="I28" s="10">
        <f>COUNTIFS(Tabla1[Tipo de Movilidad],"Intercambio*",Tabla1[Universidad KPIs],'Utilización Convenios'!$C28,Tabla1[Año de Movilidad],'Utilización Convenios'!I$3,Tabla1[Nivel],"Pregrado")</f>
        <v>0</v>
      </c>
      <c r="J28" s="11">
        <f>COUNTIFS(Tabla2[Tipo de Movilidad],"Intercambio*",Tabla2[Universidad KPIs],'Utilización Convenios'!$C28,Tabla2[Año],'Utilización Convenios'!I$3,Tabla2[Nivel Nominación],"Undergraduate / Bachelor")</f>
        <v>0</v>
      </c>
      <c r="K28" s="10">
        <f>COUNTIFS(Tabla1[Tipo de Movilidad],"Intercambio*",Tabla1[Universidad KPIs],'Utilización Convenios'!$C28,Tabla1[Año de Movilidad],'Utilización Convenios'!K$3,Tabla1[Nivel],"Pregrado")</f>
        <v>0</v>
      </c>
      <c r="L28" s="11">
        <f>COUNTIFS(Tabla2[Tipo de Movilidad],"Intercambio*",Tabla2[Universidad KPIs],'Utilización Convenios'!$C28,Tabla2[Año],'Utilización Convenios'!K$3,Tabla2[Nivel Nominación],"Undergraduate / Bachelor")</f>
        <v>0</v>
      </c>
      <c r="M28" s="10">
        <f>COUNTIFS(Tabla1[Tipo de Movilidad],"Intercambio*",Tabla1[Universidad KPIs],'Utilización Convenios'!$C28,Tabla1[Año de Movilidad],'Utilización Convenios'!M$3,Tabla1[Nivel],"Pregrado")</f>
        <v>0</v>
      </c>
      <c r="N28" s="26">
        <f>COUNTIFS(Tabla2[Tipo de Movilidad],"Intercambio*",Tabla2[Universidad KPIs],'Utilización Convenios'!$C28,Tabla2[Año],'Utilización Convenios'!M$3,Tabla2[Nivel Nominación],"Undergraduate / Bachelor")</f>
        <v>0</v>
      </c>
      <c r="O28" s="10">
        <f>COUNTIFS(Tabla1[Tipo de Movilidad],"Intercambio*",Tabla1[Universidad KPIs],'Utilización Convenios'!$C28,Tabla1[Año de Movilidad],'Utilización Convenios'!O$3,Tabla1[Nivel],"Pregrado")</f>
        <v>0</v>
      </c>
      <c r="P28" s="26">
        <f>COUNTIFS(Tabla2[Tipo de Movilidad],"Intercambio*",Tabla2[Universidad KPIs],'Utilización Convenios'!$C28,Tabla2[Año],'Utilización Convenios'!O$3,Tabla2[Nivel Nominación],"Undergraduate / Bachelor")</f>
        <v>0</v>
      </c>
      <c r="Q28" s="41">
        <f t="shared" si="0"/>
        <v>1</v>
      </c>
      <c r="R28" s="42">
        <f t="shared" si="0"/>
        <v>0</v>
      </c>
    </row>
    <row r="29" spans="2:18">
      <c r="B29" s="183"/>
      <c r="C29" s="86" t="s">
        <v>72</v>
      </c>
      <c r="D29" s="93" t="s">
        <v>71</v>
      </c>
      <c r="E29" s="88">
        <f>COUNTIFS(Tabla1[Tipo de Movilidad],"Intercambio*",Tabla1[Universidad KPIs],'Utilización Convenios'!$C29,Tabla1[Año de Movilidad],'Utilización Convenios'!E$3,Tabla1[Nivel],"Pregrado")</f>
        <v>0</v>
      </c>
      <c r="F29" s="11">
        <f>COUNTIFS(Tabla2[Tipo de Movilidad],"Intercambio*",Tabla2[Universidad KPIs],'Utilización Convenios'!$C29,Tabla2[Año],'Utilización Convenios'!E$3,Tabla2[Nivel Nominación],"Undergraduate / Bachelor")</f>
        <v>0</v>
      </c>
      <c r="G29" s="10">
        <f>COUNTIFS(Tabla1[Tipo de Movilidad],"Intercambio*",Tabla1[Universidad KPIs],'Utilización Convenios'!$C29,Tabla1[Año de Movilidad],'Utilización Convenios'!G$3,Tabla1[Nivel],"Pregrado")</f>
        <v>0</v>
      </c>
      <c r="H29" s="11">
        <f>COUNTIFS(Tabla2[Tipo de Movilidad],"Intercambio*",Tabla2[Universidad KPIs],'Utilización Convenios'!$C29,Tabla2[Año],'Utilización Convenios'!G$3,Tabla2[Nivel Nominación],"Undergraduate / Bachelor")</f>
        <v>0</v>
      </c>
      <c r="I29" s="10">
        <f>COUNTIFS(Tabla1[Tipo de Movilidad],"Intercambio*",Tabla1[Universidad KPIs],'Utilización Convenios'!$C29,Tabla1[Año de Movilidad],'Utilización Convenios'!I$3,Tabla1[Nivel],"Pregrado")</f>
        <v>3</v>
      </c>
      <c r="J29" s="11">
        <f>COUNTIFS(Tabla2[Tipo de Movilidad],"Intercambio*",Tabla2[Universidad KPIs],'Utilización Convenios'!$C29,Tabla2[Año],'Utilización Convenios'!I$3,Tabla2[Nivel Nominación],"Undergraduate / Bachelor")</f>
        <v>4</v>
      </c>
      <c r="K29" s="10">
        <f>COUNTIFS(Tabla1[Tipo de Movilidad],"Intercambio*",Tabla1[Universidad KPIs],'Utilización Convenios'!$C29,Tabla1[Año de Movilidad],'Utilización Convenios'!K$3,Tabla1[Nivel],"Pregrado")</f>
        <v>2</v>
      </c>
      <c r="L29" s="11">
        <f>COUNTIFS(Tabla2[Tipo de Movilidad],"Intercambio*",Tabla2[Universidad KPIs],'Utilización Convenios'!$C29,Tabla2[Año],'Utilización Convenios'!K$3,Tabla2[Nivel Nominación],"Undergraduate / Bachelor")</f>
        <v>2</v>
      </c>
      <c r="M29" s="10">
        <f>COUNTIFS(Tabla1[Tipo de Movilidad],"Intercambio*",Tabla1[Universidad KPIs],'Utilización Convenios'!$C29,Tabla1[Año de Movilidad],'Utilización Convenios'!M$3,Tabla1[Nivel],"Pregrado")</f>
        <v>2</v>
      </c>
      <c r="N29" s="26">
        <f>COUNTIFS(Tabla2[Tipo de Movilidad],"Intercambio*",Tabla2[Universidad KPIs],'Utilización Convenios'!$C29,Tabla2[Año],'Utilización Convenios'!M$3,Tabla2[Nivel Nominación],"Undergraduate / Bachelor")</f>
        <v>1</v>
      </c>
      <c r="O29" s="10">
        <f>COUNTIFS(Tabla1[Tipo de Movilidad],"Intercambio*",Tabla1[Universidad KPIs],'Utilización Convenios'!$C29,Tabla1[Año de Movilidad],'Utilización Convenios'!O$3,Tabla1[Nivel],"Pregrado")</f>
        <v>1</v>
      </c>
      <c r="P29" s="26">
        <f>COUNTIFS(Tabla2[Tipo de Movilidad],"Intercambio*",Tabla2[Universidad KPIs],'Utilización Convenios'!$C29,Tabla2[Año],'Utilización Convenios'!O$3,Tabla2[Nivel Nominación],"Undergraduate / Bachelor")</f>
        <v>1</v>
      </c>
      <c r="Q29" s="41">
        <f t="shared" si="0"/>
        <v>8</v>
      </c>
      <c r="R29" s="42">
        <f t="shared" si="0"/>
        <v>8</v>
      </c>
    </row>
    <row r="30" spans="2:18">
      <c r="B30" s="183"/>
      <c r="C30" s="86" t="s">
        <v>73</v>
      </c>
      <c r="D30" s="93" t="s">
        <v>74</v>
      </c>
      <c r="E30" s="88">
        <f>COUNTIFS(Tabla1[Tipo de Movilidad],"Intercambio*",Tabla1[Universidad KPIs],'Utilización Convenios'!$C30,Tabla1[Año de Movilidad],'Utilización Convenios'!E$3,Tabla1[Nivel],"Pregrado")</f>
        <v>0</v>
      </c>
      <c r="F30" s="11">
        <f>COUNTIFS(Tabla2[Tipo de Movilidad],"Intercambio*",Tabla2[Universidad KPIs],'Utilización Convenios'!$C30,Tabla2[Año],'Utilización Convenios'!E$3,Tabla2[Nivel Nominación],"Undergraduate / Bachelor")</f>
        <v>0</v>
      </c>
      <c r="G30" s="10">
        <f>COUNTIFS(Tabla1[Tipo de Movilidad],"Intercambio*",Tabla1[Universidad KPIs],'Utilización Convenios'!$C30,Tabla1[Año de Movilidad],'Utilización Convenios'!G$3,Tabla1[Nivel],"Pregrado")</f>
        <v>0</v>
      </c>
      <c r="H30" s="11">
        <f>COUNTIFS(Tabla2[Tipo de Movilidad],"Intercambio*",Tabla2[Universidad KPIs],'Utilización Convenios'!$C30,Tabla2[Año],'Utilización Convenios'!G$3,Tabla2[Nivel Nominación],"Undergraduate / Bachelor")</f>
        <v>0</v>
      </c>
      <c r="I30" s="10">
        <f>COUNTIFS(Tabla1[Tipo de Movilidad],"Intercambio*",Tabla1[Universidad KPIs],'Utilización Convenios'!$C30,Tabla1[Año de Movilidad],'Utilización Convenios'!I$3,Tabla1[Nivel],"Pregrado")</f>
        <v>0</v>
      </c>
      <c r="J30" s="11">
        <f>COUNTIFS(Tabla2[Tipo de Movilidad],"Intercambio*",Tabla2[Universidad KPIs],'Utilización Convenios'!$C30,Tabla2[Año],'Utilización Convenios'!I$3,Tabla2[Nivel Nominación],"Undergraduate / Bachelor")</f>
        <v>1</v>
      </c>
      <c r="K30" s="10">
        <f>COUNTIFS(Tabla1[Tipo de Movilidad],"Intercambio*",Tabla1[Universidad KPIs],'Utilización Convenios'!$C30,Tabla1[Año de Movilidad],'Utilización Convenios'!K$3,Tabla1[Nivel],"Pregrado")</f>
        <v>1</v>
      </c>
      <c r="L30" s="11">
        <f>COUNTIFS(Tabla2[Tipo de Movilidad],"Intercambio*",Tabla2[Universidad KPIs],'Utilización Convenios'!$C30,Tabla2[Año],'Utilización Convenios'!K$3,Tabla2[Nivel Nominación],"Undergraduate / Bachelor")</f>
        <v>2</v>
      </c>
      <c r="M30" s="10">
        <f>COUNTIFS(Tabla1[Tipo de Movilidad],"Intercambio*",Tabla1[Universidad KPIs],'Utilización Convenios'!$C30,Tabla1[Año de Movilidad],'Utilización Convenios'!M$3,Tabla1[Nivel],"Pregrado")</f>
        <v>0</v>
      </c>
      <c r="N30" s="26">
        <f>COUNTIFS(Tabla2[Tipo de Movilidad],"Intercambio*",Tabla2[Universidad KPIs],'Utilización Convenios'!$C30,Tabla2[Año],'Utilización Convenios'!M$3,Tabla2[Nivel Nominación],"Undergraduate / Bachelor")</f>
        <v>0</v>
      </c>
      <c r="O30" s="10">
        <f>COUNTIFS(Tabla1[Tipo de Movilidad],"Intercambio*",Tabla1[Universidad KPIs],'Utilización Convenios'!$C30,Tabla1[Año de Movilidad],'Utilización Convenios'!O$3,Tabla1[Nivel],"Pregrado")</f>
        <v>2</v>
      </c>
      <c r="P30" s="26">
        <f>COUNTIFS(Tabla2[Tipo de Movilidad],"Intercambio*",Tabla2[Universidad KPIs],'Utilización Convenios'!$C30,Tabla2[Año],'Utilización Convenios'!O$3,Tabla2[Nivel Nominación],"Undergraduate / Bachelor")</f>
        <v>1</v>
      </c>
      <c r="Q30" s="41">
        <f t="shared" si="0"/>
        <v>3</v>
      </c>
      <c r="R30" s="42">
        <f t="shared" si="0"/>
        <v>4</v>
      </c>
    </row>
    <row r="31" spans="2:18">
      <c r="B31" s="183"/>
      <c r="C31" s="86" t="s">
        <v>75</v>
      </c>
      <c r="D31" s="93" t="s">
        <v>60</v>
      </c>
      <c r="E31" s="88">
        <f>COUNTIFS(Tabla1[Tipo de Movilidad],"Intercambio*",Tabla1[Universidad KPIs],'Utilización Convenios'!$C31,Tabla1[Año de Movilidad],'Utilización Convenios'!E$3,Tabla1[Nivel],"Pregrado")</f>
        <v>2</v>
      </c>
      <c r="F31" s="11">
        <f>COUNTIFS(Tabla2[Tipo de Movilidad],"Intercambio*",Tabla2[Universidad KPIs],'Utilización Convenios'!$C31,Tabla2[Año],'Utilización Convenios'!E$3,Tabla2[Nivel Nominación],"Undergraduate / Bachelor")</f>
        <v>0</v>
      </c>
      <c r="G31" s="10">
        <f>COUNTIFS(Tabla1[Tipo de Movilidad],"Intercambio*",Tabla1[Universidad KPIs],'Utilización Convenios'!$C31,Tabla1[Año de Movilidad],'Utilización Convenios'!G$3,Tabla1[Nivel],"Pregrado")</f>
        <v>2</v>
      </c>
      <c r="H31" s="11">
        <f>COUNTIFS(Tabla2[Tipo de Movilidad],"Intercambio*",Tabla2[Universidad KPIs],'Utilización Convenios'!$C31,Tabla2[Año],'Utilización Convenios'!G$3,Tabla2[Nivel Nominación],"Undergraduate / Bachelor")</f>
        <v>0</v>
      </c>
      <c r="I31" s="10">
        <f>COUNTIFS(Tabla1[Tipo de Movilidad],"Intercambio*",Tabla1[Universidad KPIs],'Utilización Convenios'!$C31,Tabla1[Año de Movilidad],'Utilización Convenios'!I$3,Tabla1[Nivel],"Pregrado")</f>
        <v>2</v>
      </c>
      <c r="J31" s="11">
        <f>COUNTIFS(Tabla2[Tipo de Movilidad],"Intercambio*",Tabla2[Universidad KPIs],'Utilización Convenios'!$C31,Tabla2[Año],'Utilización Convenios'!I$3,Tabla2[Nivel Nominación],"Undergraduate / Bachelor")</f>
        <v>1</v>
      </c>
      <c r="K31" s="10">
        <f>COUNTIFS(Tabla1[Tipo de Movilidad],"Intercambio*",Tabla1[Universidad KPIs],'Utilización Convenios'!$C31,Tabla1[Año de Movilidad],'Utilización Convenios'!K$3,Tabla1[Nivel],"Pregrado")</f>
        <v>3</v>
      </c>
      <c r="L31" s="11">
        <f>COUNTIFS(Tabla2[Tipo de Movilidad],"Intercambio*",Tabla2[Universidad KPIs],'Utilización Convenios'!$C31,Tabla2[Año],'Utilización Convenios'!K$3,Tabla2[Nivel Nominación],"Undergraduate / Bachelor")</f>
        <v>0</v>
      </c>
      <c r="M31" s="10">
        <f>COUNTIFS(Tabla1[Tipo de Movilidad],"Intercambio*",Tabla1[Universidad KPIs],'Utilización Convenios'!$C31,Tabla1[Año de Movilidad],'Utilización Convenios'!M$3,Tabla1[Nivel],"Pregrado")</f>
        <v>1</v>
      </c>
      <c r="N31" s="26">
        <f>COUNTIFS(Tabla2[Tipo de Movilidad],"Intercambio*",Tabla2[Universidad KPIs],'Utilización Convenios'!$C31,Tabla2[Año],'Utilización Convenios'!M$3,Tabla2[Nivel Nominación],"Undergraduate / Bachelor")</f>
        <v>1</v>
      </c>
      <c r="O31" s="10">
        <f>COUNTIFS(Tabla1[Tipo de Movilidad],"Intercambio*",Tabla1[Universidad KPIs],'Utilización Convenios'!$C31,Tabla1[Año de Movilidad],'Utilización Convenios'!O$3,Tabla1[Nivel],"Pregrado")</f>
        <v>1</v>
      </c>
      <c r="P31" s="26">
        <f>COUNTIFS(Tabla2[Tipo de Movilidad],"Intercambio*",Tabla2[Universidad KPIs],'Utilización Convenios'!$C31,Tabla2[Año],'Utilización Convenios'!O$3,Tabla2[Nivel Nominación],"Undergraduate / Bachelor")</f>
        <v>2</v>
      </c>
      <c r="Q31" s="41">
        <f t="shared" si="0"/>
        <v>11</v>
      </c>
      <c r="R31" s="42">
        <f t="shared" si="0"/>
        <v>4</v>
      </c>
    </row>
    <row r="32" spans="2:18">
      <c r="B32" s="183"/>
      <c r="C32" s="86" t="s">
        <v>76</v>
      </c>
      <c r="D32" s="93" t="s">
        <v>77</v>
      </c>
      <c r="E32" s="88">
        <f>COUNTIFS(Tabla1[Tipo de Movilidad],"Intercambio*",Tabla1[Universidad KPIs],'Utilización Convenios'!$C32,Tabla1[Año de Movilidad],'Utilización Convenios'!E$3,Tabla1[Nivel],"Pregrado")</f>
        <v>0</v>
      </c>
      <c r="F32" s="11">
        <f>COUNTIFS(Tabla2[Tipo de Movilidad],"Intercambio*",Tabla2[Universidad KPIs],'Utilización Convenios'!$C32,Tabla2[Año],'Utilización Convenios'!E$3,Tabla2[Nivel Nominación],"Undergraduate / Bachelor")</f>
        <v>0</v>
      </c>
      <c r="G32" s="10">
        <f>COUNTIFS(Tabla1[Tipo de Movilidad],"Intercambio*",Tabla1[Universidad KPIs],'Utilización Convenios'!$C32,Tabla1[Año de Movilidad],'Utilización Convenios'!G$3,Tabla1[Nivel],"Pregrado")</f>
        <v>0</v>
      </c>
      <c r="H32" s="11">
        <f>COUNTIFS(Tabla2[Tipo de Movilidad],"Intercambio*",Tabla2[Universidad KPIs],'Utilización Convenios'!$C32,Tabla2[Año],'Utilización Convenios'!G$3,Tabla2[Nivel Nominación],"Undergraduate / Bachelor")</f>
        <v>0</v>
      </c>
      <c r="I32" s="10">
        <f>COUNTIFS(Tabla1[Tipo de Movilidad],"Intercambio*",Tabla1[Universidad KPIs],'Utilización Convenios'!$C32,Tabla1[Año de Movilidad],'Utilización Convenios'!I$3,Tabla1[Nivel],"Pregrado")</f>
        <v>0</v>
      </c>
      <c r="J32" s="11">
        <f>COUNTIFS(Tabla2[Tipo de Movilidad],"Intercambio*",Tabla2[Universidad KPIs],'Utilización Convenios'!$C32,Tabla2[Año],'Utilización Convenios'!I$3,Tabla2[Nivel Nominación],"Undergraduate / Bachelor")</f>
        <v>0</v>
      </c>
      <c r="K32" s="10">
        <f>COUNTIFS(Tabla1[Tipo de Movilidad],"Intercambio*",Tabla1[Universidad KPIs],'Utilización Convenios'!$C32,Tabla1[Año de Movilidad],'Utilización Convenios'!K$3,Tabla1[Nivel],"Pregrado")</f>
        <v>1</v>
      </c>
      <c r="L32" s="11">
        <f>COUNTIFS(Tabla2[Tipo de Movilidad],"Intercambio*",Tabla2[Universidad KPIs],'Utilización Convenios'!$C32,Tabla2[Año],'Utilización Convenios'!K$3,Tabla2[Nivel Nominación],"Undergraduate / Bachelor")</f>
        <v>0</v>
      </c>
      <c r="M32" s="10">
        <f>COUNTIFS(Tabla1[Tipo de Movilidad],"Intercambio*",Tabla1[Universidad KPIs],'Utilización Convenios'!$C32,Tabla1[Año de Movilidad],'Utilización Convenios'!M$3,Tabla1[Nivel],"Pregrado")</f>
        <v>0</v>
      </c>
      <c r="N32" s="26">
        <f>COUNTIFS(Tabla2[Tipo de Movilidad],"Intercambio*",Tabla2[Universidad KPIs],'Utilización Convenios'!$C32,Tabla2[Año],'Utilización Convenios'!M$3,Tabla2[Nivel Nominación],"Undergraduate / Bachelor")</f>
        <v>0</v>
      </c>
      <c r="O32" s="10">
        <f>COUNTIFS(Tabla1[Tipo de Movilidad],"Intercambio*",Tabla1[Universidad KPIs],'Utilización Convenios'!$C32,Tabla1[Año de Movilidad],'Utilización Convenios'!O$3,Tabla1[Nivel],"Pregrado")</f>
        <v>0</v>
      </c>
      <c r="P32" s="26">
        <f>COUNTIFS(Tabla2[Tipo de Movilidad],"Intercambio*",Tabla2[Universidad KPIs],'Utilización Convenios'!$C32,Tabla2[Año],'Utilización Convenios'!O$3,Tabla2[Nivel Nominación],"Undergraduate / Bachelor")</f>
        <v>0</v>
      </c>
      <c r="Q32" s="41">
        <f t="shared" si="0"/>
        <v>1</v>
      </c>
      <c r="R32" s="42">
        <f t="shared" si="0"/>
        <v>0</v>
      </c>
    </row>
    <row r="33" spans="2:18">
      <c r="B33" s="183"/>
      <c r="C33" s="86" t="s">
        <v>4560</v>
      </c>
      <c r="D33" s="93" t="s">
        <v>74</v>
      </c>
      <c r="E33" s="88">
        <f>COUNTIFS(Tabla1[Tipo de Movilidad],"Intercambio*",Tabla1[Universidad KPIs],'Utilización Convenios'!$C33,Tabla1[Año de Movilidad],'Utilización Convenios'!E$3,Tabla1[Nivel],"Pregrado")</f>
        <v>0</v>
      </c>
      <c r="F33" s="11">
        <f>COUNTIFS(Tabla2[Tipo de Movilidad],"Intercambio*",Tabla2[Universidad KPIs],'Utilización Convenios'!$C33,Tabla2[Año],'Utilización Convenios'!E$3,Tabla2[Nivel Nominación],"Undergraduate / Bachelor")</f>
        <v>0</v>
      </c>
      <c r="G33" s="10">
        <f>COUNTIFS(Tabla1[Tipo de Movilidad],"Intercambio*",Tabla1[Universidad KPIs],'Utilización Convenios'!$C33,Tabla1[Año de Movilidad],'Utilización Convenios'!G$3,Tabla1[Nivel],"Pregrado")</f>
        <v>0</v>
      </c>
      <c r="H33" s="11">
        <f>COUNTIFS(Tabla2[Tipo de Movilidad],"Intercambio*",Tabla2[Universidad KPIs],'Utilización Convenios'!$C33,Tabla2[Año],'Utilización Convenios'!G$3,Tabla2[Nivel Nominación],"Undergraduate / Bachelor")</f>
        <v>0</v>
      </c>
      <c r="I33" s="10">
        <f>COUNTIFS(Tabla1[Tipo de Movilidad],"Intercambio*",Tabla1[Universidad KPIs],'Utilización Convenios'!$C33,Tabla1[Año de Movilidad],'Utilización Convenios'!I$3,Tabla1[Nivel],"Pregrado")</f>
        <v>0</v>
      </c>
      <c r="J33" s="11">
        <f>COUNTIFS(Tabla2[Tipo de Movilidad],"Intercambio*",Tabla2[Universidad KPIs],'Utilización Convenios'!$C33,Tabla2[Año],'Utilización Convenios'!I$3,Tabla2[Nivel Nominación],"Undergraduate / Bachelor")</f>
        <v>0</v>
      </c>
      <c r="K33" s="10">
        <f>COUNTIFS(Tabla1[Tipo de Movilidad],"Intercambio*",Tabla1[Universidad KPIs],'Utilización Convenios'!$C33,Tabla1[Año de Movilidad],'Utilización Convenios'!K$3,Tabla1[Nivel],"Pregrado")</f>
        <v>0</v>
      </c>
      <c r="L33" s="11">
        <f>COUNTIFS(Tabla2[Tipo de Movilidad],"Intercambio*",Tabla2[Universidad KPIs],'Utilización Convenios'!$C33,Tabla2[Año],'Utilización Convenios'!K$3,Tabla2[Nivel Nominación],"Undergraduate / Bachelor")</f>
        <v>0</v>
      </c>
      <c r="M33" s="10">
        <f>COUNTIFS(Tabla1[Tipo de Movilidad],"Intercambio*",Tabla1[Universidad KPIs],'Utilización Convenios'!$C33,Tabla1[Año de Movilidad],'Utilización Convenios'!M$3,Tabla1[Nivel],"Pregrado")</f>
        <v>0</v>
      </c>
      <c r="N33" s="26">
        <f>COUNTIFS(Tabla2[Tipo de Movilidad],"Intercambio*",Tabla2[Universidad KPIs],'Utilización Convenios'!$C33,Tabla2[Año],'Utilización Convenios'!M$3,Tabla2[Nivel Nominación],"Undergraduate / Bachelor")</f>
        <v>0</v>
      </c>
      <c r="O33" s="10">
        <f>COUNTIFS(Tabla1[Tipo de Movilidad],"Intercambio*",Tabla1[Universidad KPIs],'Utilización Convenios'!$C33,Tabla1[Año de Movilidad],'Utilización Convenios'!O$3,Tabla1[Nivel],"Pregrado")</f>
        <v>0</v>
      </c>
      <c r="P33" s="26">
        <f>COUNTIFS(Tabla2[Tipo de Movilidad],"Intercambio*",Tabla2[Universidad KPIs],'Utilización Convenios'!$C33,Tabla2[Año],'Utilización Convenios'!O$3,Tabla2[Nivel Nominación],"Undergraduate / Bachelor")</f>
        <v>1</v>
      </c>
      <c r="Q33" s="41">
        <f t="shared" si="0"/>
        <v>0</v>
      </c>
      <c r="R33" s="42">
        <f t="shared" si="0"/>
        <v>1</v>
      </c>
    </row>
    <row r="34" spans="2:18">
      <c r="B34" s="183"/>
      <c r="C34" s="86" t="s">
        <v>78</v>
      </c>
      <c r="D34" s="93" t="s">
        <v>79</v>
      </c>
      <c r="E34" s="88">
        <f>COUNTIFS(Tabla1[Tipo de Movilidad],"Intercambio*",Tabla1[Universidad KPIs],'Utilización Convenios'!$C34,Tabla1[Año de Movilidad],'Utilización Convenios'!E$3,Tabla1[Nivel],"Pregrado")</f>
        <v>6</v>
      </c>
      <c r="F34" s="11">
        <f>COUNTIFS(Tabla2[Tipo de Movilidad],"Intercambio*",Tabla2[Universidad KPIs],'Utilización Convenios'!$C34,Tabla2[Año],'Utilización Convenios'!E$3,Tabla2[Nivel Nominación],"Undergraduate / Bachelor")</f>
        <v>4</v>
      </c>
      <c r="G34" s="10">
        <f>COUNTIFS(Tabla1[Tipo de Movilidad],"Intercambio*",Tabla1[Universidad KPIs],'Utilización Convenios'!$C34,Tabla1[Año de Movilidad],'Utilización Convenios'!G$3,Tabla1[Nivel],"Pregrado")</f>
        <v>8</v>
      </c>
      <c r="H34" s="11">
        <f>COUNTIFS(Tabla2[Tipo de Movilidad],"Intercambio*",Tabla2[Universidad KPIs],'Utilización Convenios'!$C34,Tabla2[Año],'Utilización Convenios'!G$3,Tabla2[Nivel Nominación],"Undergraduate / Bachelor")</f>
        <v>2</v>
      </c>
      <c r="I34" s="10">
        <f>COUNTIFS(Tabla1[Tipo de Movilidad],"Intercambio*",Tabla1[Universidad KPIs],'Utilización Convenios'!$C34,Tabla1[Año de Movilidad],'Utilización Convenios'!I$3,Tabla1[Nivel],"Pregrado")</f>
        <v>8</v>
      </c>
      <c r="J34" s="11">
        <f>COUNTIFS(Tabla2[Tipo de Movilidad],"Intercambio*",Tabla2[Universidad KPIs],'Utilización Convenios'!$C34,Tabla2[Año],'Utilización Convenios'!I$3,Tabla2[Nivel Nominación],"Undergraduate / Bachelor")</f>
        <v>4</v>
      </c>
      <c r="K34" s="10">
        <f>COUNTIFS(Tabla1[Tipo de Movilidad],"Intercambio*",Tabla1[Universidad KPIs],'Utilización Convenios'!$C34,Tabla1[Año de Movilidad],'Utilización Convenios'!K$3,Tabla1[Nivel],"Pregrado")</f>
        <v>13</v>
      </c>
      <c r="L34" s="11">
        <f>COUNTIFS(Tabla2[Tipo de Movilidad],"Intercambio*",Tabla2[Universidad KPIs],'Utilización Convenios'!$C34,Tabla2[Año],'Utilización Convenios'!K$3,Tabla2[Nivel Nominación],"Undergraduate / Bachelor")</f>
        <v>9</v>
      </c>
      <c r="M34" s="10">
        <f>COUNTIFS(Tabla1[Tipo de Movilidad],"Intercambio*",Tabla1[Universidad KPIs],'Utilización Convenios'!$C34,Tabla1[Año de Movilidad],'Utilización Convenios'!M$3,Tabla1[Nivel],"Pregrado")</f>
        <v>9</v>
      </c>
      <c r="N34" s="26">
        <f>COUNTIFS(Tabla2[Tipo de Movilidad],"Intercambio*",Tabla2[Universidad KPIs],'Utilización Convenios'!$C34,Tabla2[Año],'Utilización Convenios'!M$3,Tabla2[Nivel Nominación],"Undergraduate / Bachelor")</f>
        <v>10</v>
      </c>
      <c r="O34" s="10">
        <f>COUNTIFS(Tabla1[Tipo de Movilidad],"Intercambio*",Tabla1[Universidad KPIs],'Utilización Convenios'!$C34,Tabla1[Año de Movilidad],'Utilización Convenios'!O$3,Tabla1[Nivel],"Pregrado")</f>
        <v>12</v>
      </c>
      <c r="P34" s="26">
        <f>COUNTIFS(Tabla2[Tipo de Movilidad],"Intercambio*",Tabla2[Universidad KPIs],'Utilización Convenios'!$C34,Tabla2[Año],'Utilización Convenios'!O$3,Tabla2[Nivel Nominación],"Undergraduate / Bachelor")</f>
        <v>11</v>
      </c>
      <c r="Q34" s="41">
        <f t="shared" si="0"/>
        <v>56</v>
      </c>
      <c r="R34" s="42">
        <f t="shared" si="0"/>
        <v>40</v>
      </c>
    </row>
    <row r="35" spans="2:18">
      <c r="B35" s="183"/>
      <c r="C35" s="86" t="s">
        <v>80</v>
      </c>
      <c r="D35" s="93" t="s">
        <v>58</v>
      </c>
      <c r="E35" s="88">
        <f>COUNTIFS(Tabla1[Tipo de Movilidad],"Intercambio*",Tabla1[Universidad KPIs],'Utilización Convenios'!$C35,Tabla1[Año de Movilidad],'Utilización Convenios'!E$3,Tabla1[Nivel],"Pregrado")</f>
        <v>1</v>
      </c>
      <c r="F35" s="11">
        <f>COUNTIFS(Tabla2[Tipo de Movilidad],"Intercambio*",Tabla2[Universidad KPIs],'Utilización Convenios'!$C35,Tabla2[Año],'Utilización Convenios'!E$3,Tabla2[Nivel Nominación],"Undergraduate / Bachelor")</f>
        <v>2</v>
      </c>
      <c r="G35" s="10">
        <f>COUNTIFS(Tabla1[Tipo de Movilidad],"Intercambio*",Tabla1[Universidad KPIs],'Utilización Convenios'!$C35,Tabla1[Año de Movilidad],'Utilización Convenios'!G$3,Tabla1[Nivel],"Pregrado")</f>
        <v>0</v>
      </c>
      <c r="H35" s="11">
        <f>COUNTIFS(Tabla2[Tipo de Movilidad],"Intercambio*",Tabla2[Universidad KPIs],'Utilización Convenios'!$C35,Tabla2[Año],'Utilización Convenios'!G$3,Tabla2[Nivel Nominación],"Undergraduate / Bachelor")</f>
        <v>0</v>
      </c>
      <c r="I35" s="10">
        <f>COUNTIFS(Tabla1[Tipo de Movilidad],"Intercambio*",Tabla1[Universidad KPIs],'Utilización Convenios'!$C35,Tabla1[Año de Movilidad],'Utilización Convenios'!I$3,Tabla1[Nivel],"Pregrado")</f>
        <v>0</v>
      </c>
      <c r="J35" s="11">
        <f>COUNTIFS(Tabla2[Tipo de Movilidad],"Intercambio*",Tabla2[Universidad KPIs],'Utilización Convenios'!$C35,Tabla2[Año],'Utilización Convenios'!I$3,Tabla2[Nivel Nominación],"Undergraduate / Bachelor")</f>
        <v>2</v>
      </c>
      <c r="K35" s="10">
        <f>COUNTIFS(Tabla1[Tipo de Movilidad],"Intercambio*",Tabla1[Universidad KPIs],'Utilización Convenios'!$C35,Tabla1[Año de Movilidad],'Utilización Convenios'!K$3,Tabla1[Nivel],"Pregrado")</f>
        <v>0</v>
      </c>
      <c r="L35" s="11">
        <f>COUNTIFS(Tabla2[Tipo de Movilidad],"Intercambio*",Tabla2[Universidad KPIs],'Utilización Convenios'!$C35,Tabla2[Año],'Utilización Convenios'!K$3,Tabla2[Nivel Nominación],"Undergraduate / Bachelor")</f>
        <v>1</v>
      </c>
      <c r="M35" s="10">
        <f>COUNTIFS(Tabla1[Tipo de Movilidad],"Intercambio*",Tabla1[Universidad KPIs],'Utilización Convenios'!$C35,Tabla1[Año de Movilidad],'Utilización Convenios'!M$3,Tabla1[Nivel],"Pregrado")</f>
        <v>4</v>
      </c>
      <c r="N35" s="26">
        <f>COUNTIFS(Tabla2[Tipo de Movilidad],"Intercambio*",Tabla2[Universidad KPIs],'Utilización Convenios'!$C35,Tabla2[Año],'Utilización Convenios'!M$3,Tabla2[Nivel Nominación],"Undergraduate / Bachelor")</f>
        <v>4</v>
      </c>
      <c r="O35" s="10">
        <f>COUNTIFS(Tabla1[Tipo de Movilidad],"Intercambio*",Tabla1[Universidad KPIs],'Utilización Convenios'!$C35,Tabla1[Año de Movilidad],'Utilización Convenios'!O$3,Tabla1[Nivel],"Pregrado")</f>
        <v>2</v>
      </c>
      <c r="P35" s="26">
        <f>COUNTIFS(Tabla2[Tipo de Movilidad],"Intercambio*",Tabla2[Universidad KPIs],'Utilización Convenios'!$C35,Tabla2[Año],'Utilización Convenios'!O$3,Tabla2[Nivel Nominación],"Undergraduate / Bachelor")</f>
        <v>1</v>
      </c>
      <c r="Q35" s="41">
        <f t="shared" si="0"/>
        <v>7</v>
      </c>
      <c r="R35" s="42">
        <f t="shared" si="0"/>
        <v>10</v>
      </c>
    </row>
    <row r="36" spans="2:18">
      <c r="B36" s="183"/>
      <c r="C36" s="86" t="s">
        <v>81</v>
      </c>
      <c r="D36" s="93" t="s">
        <v>82</v>
      </c>
      <c r="E36" s="88">
        <f>COUNTIFS(Tabla1[Tipo de Movilidad],"Intercambio*",Tabla1[Universidad KPIs],'Utilización Convenios'!$C36,Tabla1[Año de Movilidad],'Utilización Convenios'!E$3,Tabla1[Nivel],"Pregrado")</f>
        <v>0</v>
      </c>
      <c r="F36" s="11">
        <f>COUNTIFS(Tabla2[Tipo de Movilidad],"Intercambio*",Tabla2[Universidad KPIs],'Utilización Convenios'!$C36,Tabla2[Año],'Utilización Convenios'!E$3,Tabla2[Nivel Nominación],"Undergraduate / Bachelor")</f>
        <v>0</v>
      </c>
      <c r="G36" s="10">
        <f>COUNTIFS(Tabla1[Tipo de Movilidad],"Intercambio*",Tabla1[Universidad KPIs],'Utilización Convenios'!$C36,Tabla1[Año de Movilidad],'Utilización Convenios'!G$3,Tabla1[Nivel],"Pregrado")</f>
        <v>0</v>
      </c>
      <c r="H36" s="11">
        <f>COUNTIFS(Tabla2[Tipo de Movilidad],"Intercambio*",Tabla2[Universidad KPIs],'Utilización Convenios'!$C36,Tabla2[Año],'Utilización Convenios'!G$3,Tabla2[Nivel Nominación],"Undergraduate / Bachelor")</f>
        <v>0</v>
      </c>
      <c r="I36" s="10">
        <f>COUNTIFS(Tabla1[Tipo de Movilidad],"Intercambio*",Tabla1[Universidad KPIs],'Utilización Convenios'!$C36,Tabla1[Año de Movilidad],'Utilización Convenios'!I$3,Tabla1[Nivel],"Pregrado")</f>
        <v>0</v>
      </c>
      <c r="J36" s="11">
        <f>COUNTIFS(Tabla2[Tipo de Movilidad],"Intercambio*",Tabla2[Universidad KPIs],'Utilización Convenios'!$C36,Tabla2[Año],'Utilización Convenios'!I$3,Tabla2[Nivel Nominación],"Undergraduate / Bachelor")</f>
        <v>0</v>
      </c>
      <c r="K36" s="10">
        <f>COUNTIFS(Tabla1[Tipo de Movilidad],"Intercambio*",Tabla1[Universidad KPIs],'Utilización Convenios'!$C36,Tabla1[Año de Movilidad],'Utilización Convenios'!K$3,Tabla1[Nivel],"Pregrado")</f>
        <v>2</v>
      </c>
      <c r="L36" s="11">
        <f>COUNTIFS(Tabla2[Tipo de Movilidad],"Intercambio*",Tabla2[Universidad KPIs],'Utilización Convenios'!$C36,Tabla2[Año],'Utilización Convenios'!K$3,Tabla2[Nivel Nominación],"Undergraduate / Bachelor")</f>
        <v>0</v>
      </c>
      <c r="M36" s="10">
        <f>COUNTIFS(Tabla1[Tipo de Movilidad],"Intercambio*",Tabla1[Universidad KPIs],'Utilización Convenios'!$C36,Tabla1[Año de Movilidad],'Utilización Convenios'!M$3,Tabla1[Nivel],"Pregrado")</f>
        <v>1</v>
      </c>
      <c r="N36" s="26">
        <f>COUNTIFS(Tabla2[Tipo de Movilidad],"Intercambio*",Tabla2[Universidad KPIs],'Utilización Convenios'!$C36,Tabla2[Año],'Utilización Convenios'!M$3,Tabla2[Nivel Nominación],"Undergraduate / Bachelor")</f>
        <v>1</v>
      </c>
      <c r="O36" s="10">
        <f>COUNTIFS(Tabla1[Tipo de Movilidad],"Intercambio*",Tabla1[Universidad KPIs],'Utilización Convenios'!$C36,Tabla1[Año de Movilidad],'Utilización Convenios'!O$3,Tabla1[Nivel],"Pregrado")</f>
        <v>0</v>
      </c>
      <c r="P36" s="26">
        <f>COUNTIFS(Tabla2[Tipo de Movilidad],"Intercambio*",Tabla2[Universidad KPIs],'Utilización Convenios'!$C36,Tabla2[Año],'Utilización Convenios'!O$3,Tabla2[Nivel Nominación],"Undergraduate / Bachelor")</f>
        <v>0</v>
      </c>
      <c r="Q36" s="41">
        <f t="shared" si="0"/>
        <v>3</v>
      </c>
      <c r="R36" s="42">
        <f t="shared" si="0"/>
        <v>1</v>
      </c>
    </row>
    <row r="37" spans="2:18">
      <c r="B37" s="183"/>
      <c r="C37" s="86" t="s">
        <v>83</v>
      </c>
      <c r="D37" s="93" t="s">
        <v>45</v>
      </c>
      <c r="E37" s="88">
        <f>COUNTIFS(Tabla1[Tipo de Movilidad],"Intercambio*",Tabla1[Universidad KPIs],'Utilización Convenios'!$C37,Tabla1[Año de Movilidad],'Utilización Convenios'!E$3,Tabla1[Nivel],"Pregrado")</f>
        <v>1</v>
      </c>
      <c r="F37" s="11">
        <f>COUNTIFS(Tabla2[Tipo de Movilidad],"Intercambio*",Tabla2[Universidad KPIs],'Utilización Convenios'!$C37,Tabla2[Año],'Utilización Convenios'!E$3,Tabla2[Nivel Nominación],"Undergraduate / Bachelor")</f>
        <v>0</v>
      </c>
      <c r="G37" s="10">
        <f>COUNTIFS(Tabla1[Tipo de Movilidad],"Intercambio*",Tabla1[Universidad KPIs],'Utilización Convenios'!$C37,Tabla1[Año de Movilidad],'Utilización Convenios'!G$3,Tabla1[Nivel],"Pregrado")</f>
        <v>2</v>
      </c>
      <c r="H37" s="11">
        <f>COUNTIFS(Tabla2[Tipo de Movilidad],"Intercambio*",Tabla2[Universidad KPIs],'Utilización Convenios'!$C37,Tabla2[Año],'Utilización Convenios'!G$3,Tabla2[Nivel Nominación],"Undergraduate / Bachelor")</f>
        <v>0</v>
      </c>
      <c r="I37" s="10">
        <f>COUNTIFS(Tabla1[Tipo de Movilidad],"Intercambio*",Tabla1[Universidad KPIs],'Utilización Convenios'!$C37,Tabla1[Año de Movilidad],'Utilización Convenios'!I$3,Tabla1[Nivel],"Pregrado")</f>
        <v>0</v>
      </c>
      <c r="J37" s="11">
        <f>COUNTIFS(Tabla2[Tipo de Movilidad],"Intercambio*",Tabla2[Universidad KPIs],'Utilización Convenios'!$C37,Tabla2[Año],'Utilización Convenios'!I$3,Tabla2[Nivel Nominación],"Undergraduate / Bachelor")</f>
        <v>2</v>
      </c>
      <c r="K37" s="10">
        <f>COUNTIFS(Tabla1[Tipo de Movilidad],"Intercambio*",Tabla1[Universidad KPIs],'Utilización Convenios'!$C37,Tabla1[Año de Movilidad],'Utilización Convenios'!K$3,Tabla1[Nivel],"Pregrado")</f>
        <v>4</v>
      </c>
      <c r="L37" s="11">
        <f>COUNTIFS(Tabla2[Tipo de Movilidad],"Intercambio*",Tabla2[Universidad KPIs],'Utilización Convenios'!$C37,Tabla2[Año],'Utilización Convenios'!K$3,Tabla2[Nivel Nominación],"Undergraduate / Bachelor")</f>
        <v>4</v>
      </c>
      <c r="M37" s="10">
        <f>COUNTIFS(Tabla1[Tipo de Movilidad],"Intercambio*",Tabla1[Universidad KPIs],'Utilización Convenios'!$C37,Tabla1[Año de Movilidad],'Utilización Convenios'!M$3,Tabla1[Nivel],"Pregrado")</f>
        <v>3</v>
      </c>
      <c r="N37" s="26">
        <f>COUNTIFS(Tabla2[Tipo de Movilidad],"Intercambio*",Tabla2[Universidad KPIs],'Utilización Convenios'!$C37,Tabla2[Año],'Utilización Convenios'!M$3,Tabla2[Nivel Nominación],"Undergraduate / Bachelor")</f>
        <v>0</v>
      </c>
      <c r="O37" s="10">
        <f>COUNTIFS(Tabla1[Tipo de Movilidad],"Intercambio*",Tabla1[Universidad KPIs],'Utilización Convenios'!$C37,Tabla1[Año de Movilidad],'Utilización Convenios'!O$3,Tabla1[Nivel],"Pregrado")</f>
        <v>3</v>
      </c>
      <c r="P37" s="26">
        <f>COUNTIFS(Tabla2[Tipo de Movilidad],"Intercambio*",Tabla2[Universidad KPIs],'Utilización Convenios'!$C37,Tabla2[Año],'Utilización Convenios'!O$3,Tabla2[Nivel Nominación],"Undergraduate / Bachelor")</f>
        <v>1</v>
      </c>
      <c r="Q37" s="41">
        <f t="shared" si="0"/>
        <v>13</v>
      </c>
      <c r="R37" s="42">
        <f t="shared" si="0"/>
        <v>7</v>
      </c>
    </row>
    <row r="38" spans="2:18">
      <c r="B38" s="183"/>
      <c r="C38" s="86" t="s">
        <v>84</v>
      </c>
      <c r="D38" s="93" t="s">
        <v>85</v>
      </c>
      <c r="E38" s="88">
        <f>COUNTIFS(Tabla1[Tipo de Movilidad],"Intercambio*",Tabla1[Universidad KPIs],'Utilización Convenios'!$C38,Tabla1[Año de Movilidad],'Utilización Convenios'!E$3,Tabla1[Nivel],"Pregrado")</f>
        <v>0</v>
      </c>
      <c r="F38" s="11">
        <f>COUNTIFS(Tabla2[Tipo de Movilidad],"Intercambio*",Tabla2[Universidad KPIs],'Utilización Convenios'!$C38,Tabla2[Año],'Utilización Convenios'!E$3,Tabla2[Nivel Nominación],"Undergraduate / Bachelor")</f>
        <v>0</v>
      </c>
      <c r="G38" s="10">
        <f>COUNTIFS(Tabla1[Tipo de Movilidad],"Intercambio*",Tabla1[Universidad KPIs],'Utilización Convenios'!$C38,Tabla1[Año de Movilidad],'Utilización Convenios'!G$3,Tabla1[Nivel],"Pregrado")</f>
        <v>1</v>
      </c>
      <c r="H38" s="11">
        <f>COUNTIFS(Tabla2[Tipo de Movilidad],"Intercambio*",Tabla2[Universidad KPIs],'Utilización Convenios'!$C38,Tabla2[Año],'Utilización Convenios'!G$3,Tabla2[Nivel Nominación],"Undergraduate / Bachelor")</f>
        <v>0</v>
      </c>
      <c r="I38" s="10">
        <f>COUNTIFS(Tabla1[Tipo de Movilidad],"Intercambio*",Tabla1[Universidad KPIs],'Utilización Convenios'!$C38,Tabla1[Año de Movilidad],'Utilización Convenios'!I$3,Tabla1[Nivel],"Pregrado")</f>
        <v>0</v>
      </c>
      <c r="J38" s="11">
        <f>COUNTIFS(Tabla2[Tipo de Movilidad],"Intercambio*",Tabla2[Universidad KPIs],'Utilización Convenios'!$C38,Tabla2[Año],'Utilización Convenios'!I$3,Tabla2[Nivel Nominación],"Undergraduate / Bachelor")</f>
        <v>0</v>
      </c>
      <c r="K38" s="10">
        <f>COUNTIFS(Tabla1[Tipo de Movilidad],"Intercambio*",Tabla1[Universidad KPIs],'Utilización Convenios'!$C38,Tabla1[Año de Movilidad],'Utilización Convenios'!K$3,Tabla1[Nivel],"Pregrado")</f>
        <v>3</v>
      </c>
      <c r="L38" s="11">
        <f>COUNTIFS(Tabla2[Tipo de Movilidad],"Intercambio*",Tabla2[Universidad KPIs],'Utilización Convenios'!$C38,Tabla2[Año],'Utilización Convenios'!K$3,Tabla2[Nivel Nominación],"Undergraduate / Bachelor")</f>
        <v>0</v>
      </c>
      <c r="M38" s="10">
        <f>COUNTIFS(Tabla1[Tipo de Movilidad],"Intercambio*",Tabla1[Universidad KPIs],'Utilización Convenios'!$C38,Tabla1[Año de Movilidad],'Utilización Convenios'!M$3,Tabla1[Nivel],"Pregrado")</f>
        <v>2</v>
      </c>
      <c r="N38" s="26">
        <f>COUNTIFS(Tabla2[Tipo de Movilidad],"Intercambio*",Tabla2[Universidad KPIs],'Utilización Convenios'!$C38,Tabla2[Año],'Utilización Convenios'!M$3,Tabla2[Nivel Nominación],"Undergraduate / Bachelor")</f>
        <v>0</v>
      </c>
      <c r="O38" s="10">
        <f>COUNTIFS(Tabla1[Tipo de Movilidad],"Intercambio*",Tabla1[Universidad KPIs],'Utilización Convenios'!$C38,Tabla1[Año de Movilidad],'Utilización Convenios'!O$3,Tabla1[Nivel],"Pregrado")</f>
        <v>1</v>
      </c>
      <c r="P38" s="26">
        <f>COUNTIFS(Tabla2[Tipo de Movilidad],"Intercambio*",Tabla2[Universidad KPIs],'Utilización Convenios'!$C38,Tabla2[Año],'Utilización Convenios'!O$3,Tabla2[Nivel Nominación],"Undergraduate / Bachelor")</f>
        <v>0</v>
      </c>
      <c r="Q38" s="41">
        <f t="shared" si="0"/>
        <v>7</v>
      </c>
      <c r="R38" s="42">
        <f t="shared" si="0"/>
        <v>0</v>
      </c>
    </row>
    <row r="39" spans="2:18">
      <c r="B39" s="183"/>
      <c r="C39" s="86" t="s">
        <v>86</v>
      </c>
      <c r="D39" s="93" t="s">
        <v>87</v>
      </c>
      <c r="E39" s="88">
        <f>COUNTIFS(Tabla1[Tipo de Movilidad],"Intercambio*",Tabla1[Universidad KPIs],'Utilización Convenios'!$C39,Tabla1[Año de Movilidad],'Utilización Convenios'!E$3,Tabla1[Nivel],"Pregrado")</f>
        <v>0</v>
      </c>
      <c r="F39" s="11">
        <f>COUNTIFS(Tabla2[Tipo de Movilidad],"Intercambio*",Tabla2[Universidad KPIs],'Utilización Convenios'!$C39,Tabla2[Año],'Utilización Convenios'!E$3,Tabla2[Nivel Nominación],"Undergraduate / Bachelor")</f>
        <v>0</v>
      </c>
      <c r="G39" s="10">
        <f>COUNTIFS(Tabla1[Tipo de Movilidad],"Intercambio*",Tabla1[Universidad KPIs],'Utilización Convenios'!$C39,Tabla1[Año de Movilidad],'Utilización Convenios'!G$3,Tabla1[Nivel],"Pregrado")</f>
        <v>0</v>
      </c>
      <c r="H39" s="11">
        <f>COUNTIFS(Tabla2[Tipo de Movilidad],"Intercambio*",Tabla2[Universidad KPIs],'Utilización Convenios'!$C39,Tabla2[Año],'Utilización Convenios'!G$3,Tabla2[Nivel Nominación],"Undergraduate / Bachelor")</f>
        <v>1</v>
      </c>
      <c r="I39" s="10">
        <f>COUNTIFS(Tabla1[Tipo de Movilidad],"Intercambio*",Tabla1[Universidad KPIs],'Utilización Convenios'!$C39,Tabla1[Año de Movilidad],'Utilización Convenios'!I$3,Tabla1[Nivel],"Pregrado")</f>
        <v>0</v>
      </c>
      <c r="J39" s="11">
        <f>COUNTIFS(Tabla2[Tipo de Movilidad],"Intercambio*",Tabla2[Universidad KPIs],'Utilización Convenios'!$C39,Tabla2[Año],'Utilización Convenios'!I$3,Tabla2[Nivel Nominación],"Undergraduate / Bachelor")</f>
        <v>1</v>
      </c>
      <c r="K39" s="10">
        <f>COUNTIFS(Tabla1[Tipo de Movilidad],"Intercambio*",Tabla1[Universidad KPIs],'Utilización Convenios'!$C39,Tabla1[Año de Movilidad],'Utilización Convenios'!K$3,Tabla1[Nivel],"Pregrado")</f>
        <v>6</v>
      </c>
      <c r="L39" s="11">
        <f>COUNTIFS(Tabla2[Tipo de Movilidad],"Intercambio*",Tabla2[Universidad KPIs],'Utilización Convenios'!$C39,Tabla2[Año],'Utilización Convenios'!K$3,Tabla2[Nivel Nominación],"Undergraduate / Bachelor")</f>
        <v>1</v>
      </c>
      <c r="M39" s="10">
        <f>COUNTIFS(Tabla1[Tipo de Movilidad],"Intercambio*",Tabla1[Universidad KPIs],'Utilización Convenios'!$C39,Tabla1[Año de Movilidad],'Utilización Convenios'!M$3,Tabla1[Nivel],"Pregrado")</f>
        <v>4</v>
      </c>
      <c r="N39" s="26">
        <f>COUNTIFS(Tabla2[Tipo de Movilidad],"Intercambio*",Tabla2[Universidad KPIs],'Utilización Convenios'!$C39,Tabla2[Año],'Utilización Convenios'!M$3,Tabla2[Nivel Nominación],"Undergraduate / Bachelor")</f>
        <v>2</v>
      </c>
      <c r="O39" s="10">
        <f>COUNTIFS(Tabla1[Tipo de Movilidad],"Intercambio*",Tabla1[Universidad KPIs],'Utilización Convenios'!$C39,Tabla1[Año de Movilidad],'Utilización Convenios'!O$3,Tabla1[Nivel],"Pregrado")</f>
        <v>3</v>
      </c>
      <c r="P39" s="26">
        <f>COUNTIFS(Tabla2[Tipo de Movilidad],"Intercambio*",Tabla2[Universidad KPIs],'Utilización Convenios'!$C39,Tabla2[Año],'Utilización Convenios'!O$3,Tabla2[Nivel Nominación],"Undergraduate / Bachelor")</f>
        <v>3</v>
      </c>
      <c r="Q39" s="41">
        <f t="shared" ref="Q39:R70" si="1">SUMIF($E$4:$P$4,Q$4,$E39:$P39)</f>
        <v>13</v>
      </c>
      <c r="R39" s="42">
        <f t="shared" si="1"/>
        <v>8</v>
      </c>
    </row>
    <row r="40" spans="2:18">
      <c r="B40" s="183"/>
      <c r="C40" s="86" t="s">
        <v>88</v>
      </c>
      <c r="D40" s="93" t="s">
        <v>58</v>
      </c>
      <c r="E40" s="88">
        <f>COUNTIFS(Tabla1[Tipo de Movilidad],"Intercambio*",Tabla1[Universidad KPIs],'Utilización Convenios'!$C40,Tabla1[Año de Movilidad],'Utilización Convenios'!E$3,Tabla1[Nivel],"Pregrado")</f>
        <v>0</v>
      </c>
      <c r="F40" s="11">
        <f>COUNTIFS(Tabla2[Tipo de Movilidad],"Intercambio*",Tabla2[Universidad KPIs],'Utilización Convenios'!$C40,Tabla2[Año],'Utilización Convenios'!E$3,Tabla2[Nivel Nominación],"Undergraduate / Bachelor")</f>
        <v>1</v>
      </c>
      <c r="G40" s="10">
        <f>COUNTIFS(Tabla1[Tipo de Movilidad],"Intercambio*",Tabla1[Universidad KPIs],'Utilización Convenios'!$C40,Tabla1[Año de Movilidad],'Utilización Convenios'!G$3,Tabla1[Nivel],"Pregrado")</f>
        <v>0</v>
      </c>
      <c r="H40" s="11">
        <f>COUNTIFS(Tabla2[Tipo de Movilidad],"Intercambio*",Tabla2[Universidad KPIs],'Utilización Convenios'!$C40,Tabla2[Año],'Utilización Convenios'!G$3,Tabla2[Nivel Nominación],"Undergraduate / Bachelor")</f>
        <v>0</v>
      </c>
      <c r="I40" s="10">
        <f>COUNTIFS(Tabla1[Tipo de Movilidad],"Intercambio*",Tabla1[Universidad KPIs],'Utilización Convenios'!$C40,Tabla1[Año de Movilidad],'Utilización Convenios'!I$3,Tabla1[Nivel],"Pregrado")</f>
        <v>2</v>
      </c>
      <c r="J40" s="11">
        <f>COUNTIFS(Tabla2[Tipo de Movilidad],"Intercambio*",Tabla2[Universidad KPIs],'Utilización Convenios'!$C40,Tabla2[Año],'Utilización Convenios'!I$3,Tabla2[Nivel Nominación],"Undergraduate / Bachelor")</f>
        <v>0</v>
      </c>
      <c r="K40" s="10">
        <f>COUNTIFS(Tabla1[Tipo de Movilidad],"Intercambio*",Tabla1[Universidad KPIs],'Utilización Convenios'!$C40,Tabla1[Año de Movilidad],'Utilización Convenios'!K$3,Tabla1[Nivel],"Pregrado")</f>
        <v>2</v>
      </c>
      <c r="L40" s="11">
        <f>COUNTIFS(Tabla2[Tipo de Movilidad],"Intercambio*",Tabla2[Universidad KPIs],'Utilización Convenios'!$C40,Tabla2[Año],'Utilización Convenios'!K$3,Tabla2[Nivel Nominación],"Undergraduate / Bachelor")</f>
        <v>0</v>
      </c>
      <c r="M40" s="10">
        <f>COUNTIFS(Tabla1[Tipo de Movilidad],"Intercambio*",Tabla1[Universidad KPIs],'Utilización Convenios'!$C40,Tabla1[Año de Movilidad],'Utilización Convenios'!M$3,Tabla1[Nivel],"Pregrado")</f>
        <v>0</v>
      </c>
      <c r="N40" s="26">
        <f>COUNTIFS(Tabla2[Tipo de Movilidad],"Intercambio*",Tabla2[Universidad KPIs],'Utilización Convenios'!$C40,Tabla2[Año],'Utilización Convenios'!M$3,Tabla2[Nivel Nominación],"Undergraduate / Bachelor")</f>
        <v>0</v>
      </c>
      <c r="O40" s="10">
        <f>COUNTIFS(Tabla1[Tipo de Movilidad],"Intercambio*",Tabla1[Universidad KPIs],'Utilización Convenios'!$C40,Tabla1[Año de Movilidad],'Utilización Convenios'!O$3,Tabla1[Nivel],"Pregrado")</f>
        <v>0</v>
      </c>
      <c r="P40" s="26">
        <f>COUNTIFS(Tabla2[Tipo de Movilidad],"Intercambio*",Tabla2[Universidad KPIs],'Utilización Convenios'!$C40,Tabla2[Año],'Utilización Convenios'!O$3,Tabla2[Nivel Nominación],"Undergraduate / Bachelor")</f>
        <v>0</v>
      </c>
      <c r="Q40" s="41">
        <f t="shared" si="1"/>
        <v>4</v>
      </c>
      <c r="R40" s="42">
        <f t="shared" si="1"/>
        <v>1</v>
      </c>
    </row>
    <row r="41" spans="2:18">
      <c r="B41" s="183"/>
      <c r="C41" s="86" t="s">
        <v>89</v>
      </c>
      <c r="D41" s="93" t="s">
        <v>90</v>
      </c>
      <c r="E41" s="88">
        <f>COUNTIFS(Tabla1[Tipo de Movilidad],"Intercambio*",Tabla1[Universidad KPIs],'Utilización Convenios'!$C41,Tabla1[Año de Movilidad],'Utilización Convenios'!E$3,Tabla1[Nivel],"Pregrado")</f>
        <v>0</v>
      </c>
      <c r="F41" s="11">
        <f>COUNTIFS(Tabla2[Tipo de Movilidad],"Intercambio*",Tabla2[Universidad KPIs],'Utilización Convenios'!$C41,Tabla2[Año],'Utilización Convenios'!E$3,Tabla2[Nivel Nominación],"Undergraduate / Bachelor")</f>
        <v>0</v>
      </c>
      <c r="G41" s="10">
        <f>COUNTIFS(Tabla1[Tipo de Movilidad],"Intercambio*",Tabla1[Universidad KPIs],'Utilización Convenios'!$C41,Tabla1[Año de Movilidad],'Utilización Convenios'!G$3,Tabla1[Nivel],"Pregrado")</f>
        <v>0</v>
      </c>
      <c r="H41" s="11">
        <f>COUNTIFS(Tabla2[Tipo de Movilidad],"Intercambio*",Tabla2[Universidad KPIs],'Utilización Convenios'!$C41,Tabla2[Año],'Utilización Convenios'!G$3,Tabla2[Nivel Nominación],"Undergraduate / Bachelor")</f>
        <v>0</v>
      </c>
      <c r="I41" s="10">
        <f>COUNTIFS(Tabla1[Tipo de Movilidad],"Intercambio*",Tabla1[Universidad KPIs],'Utilización Convenios'!$C41,Tabla1[Año de Movilidad],'Utilización Convenios'!I$3,Tabla1[Nivel],"Pregrado")</f>
        <v>0</v>
      </c>
      <c r="J41" s="11">
        <f>COUNTIFS(Tabla2[Tipo de Movilidad],"Intercambio*",Tabla2[Universidad KPIs],'Utilización Convenios'!$C41,Tabla2[Año],'Utilización Convenios'!I$3,Tabla2[Nivel Nominación],"Undergraduate / Bachelor")</f>
        <v>0</v>
      </c>
      <c r="K41" s="10">
        <f>COUNTIFS(Tabla1[Tipo de Movilidad],"Intercambio*",Tabla1[Universidad KPIs],'Utilización Convenios'!$C41,Tabla1[Año de Movilidad],'Utilización Convenios'!K$3,Tabla1[Nivel],"Pregrado")</f>
        <v>1</v>
      </c>
      <c r="L41" s="11">
        <f>COUNTIFS(Tabla2[Tipo de Movilidad],"Intercambio*",Tabla2[Universidad KPIs],'Utilización Convenios'!$C41,Tabla2[Año],'Utilización Convenios'!K$3,Tabla2[Nivel Nominación],"Undergraduate / Bachelor")</f>
        <v>0</v>
      </c>
      <c r="M41" s="10">
        <f>COUNTIFS(Tabla1[Tipo de Movilidad],"Intercambio*",Tabla1[Universidad KPIs],'Utilización Convenios'!$C41,Tabla1[Año de Movilidad],'Utilización Convenios'!M$3,Tabla1[Nivel],"Pregrado")</f>
        <v>2</v>
      </c>
      <c r="N41" s="26">
        <f>COUNTIFS(Tabla2[Tipo de Movilidad],"Intercambio*",Tabla2[Universidad KPIs],'Utilización Convenios'!$C41,Tabla2[Año],'Utilización Convenios'!M$3,Tabla2[Nivel Nominación],"Undergraduate / Bachelor")</f>
        <v>0</v>
      </c>
      <c r="O41" s="10">
        <f>COUNTIFS(Tabla1[Tipo de Movilidad],"Intercambio*",Tabla1[Universidad KPIs],'Utilización Convenios'!$C41,Tabla1[Año de Movilidad],'Utilización Convenios'!O$3,Tabla1[Nivel],"Pregrado")</f>
        <v>2</v>
      </c>
      <c r="P41" s="26">
        <f>COUNTIFS(Tabla2[Tipo de Movilidad],"Intercambio*",Tabla2[Universidad KPIs],'Utilización Convenios'!$C41,Tabla2[Año],'Utilización Convenios'!O$3,Tabla2[Nivel Nominación],"Undergraduate / Bachelor")</f>
        <v>0</v>
      </c>
      <c r="Q41" s="41">
        <f t="shared" si="1"/>
        <v>5</v>
      </c>
      <c r="R41" s="42">
        <f t="shared" si="1"/>
        <v>0</v>
      </c>
    </row>
    <row r="42" spans="2:18">
      <c r="B42" s="183"/>
      <c r="C42" s="86" t="s">
        <v>91</v>
      </c>
      <c r="D42" s="93" t="s">
        <v>41</v>
      </c>
      <c r="E42" s="88">
        <f>COUNTIFS(Tabla1[Tipo de Movilidad],"Intercambio*",Tabla1[Universidad KPIs],'Utilización Convenios'!$C42,Tabla1[Año de Movilidad],'Utilización Convenios'!E$3,Tabla1[Nivel],"Pregrado")</f>
        <v>3</v>
      </c>
      <c r="F42" s="11">
        <f>COUNTIFS(Tabla2[Tipo de Movilidad],"Intercambio*",Tabla2[Universidad KPIs],'Utilización Convenios'!$C42,Tabla2[Año],'Utilización Convenios'!E$3,Tabla2[Nivel Nominación],"Undergraduate / Bachelor")</f>
        <v>3</v>
      </c>
      <c r="G42" s="10">
        <f>COUNTIFS(Tabla1[Tipo de Movilidad],"Intercambio*",Tabla1[Universidad KPIs],'Utilización Convenios'!$C42,Tabla1[Año de Movilidad],'Utilización Convenios'!G$3,Tabla1[Nivel],"Pregrado")</f>
        <v>2</v>
      </c>
      <c r="H42" s="11">
        <f>COUNTIFS(Tabla2[Tipo de Movilidad],"Intercambio*",Tabla2[Universidad KPIs],'Utilización Convenios'!$C42,Tabla2[Año],'Utilización Convenios'!G$3,Tabla2[Nivel Nominación],"Undergraduate / Bachelor")</f>
        <v>2</v>
      </c>
      <c r="I42" s="10">
        <f>COUNTIFS(Tabla1[Tipo de Movilidad],"Intercambio*",Tabla1[Universidad KPIs],'Utilización Convenios'!$C42,Tabla1[Año de Movilidad],'Utilización Convenios'!I$3,Tabla1[Nivel],"Pregrado")</f>
        <v>5</v>
      </c>
      <c r="J42" s="11">
        <f>COUNTIFS(Tabla2[Tipo de Movilidad],"Intercambio*",Tabla2[Universidad KPIs],'Utilización Convenios'!$C42,Tabla2[Año],'Utilización Convenios'!I$3,Tabla2[Nivel Nominación],"Undergraduate / Bachelor")</f>
        <v>4</v>
      </c>
      <c r="K42" s="10">
        <f>COUNTIFS(Tabla1[Tipo de Movilidad],"Intercambio*",Tabla1[Universidad KPIs],'Utilización Convenios'!$C42,Tabla1[Año de Movilidad],'Utilización Convenios'!K$3,Tabla1[Nivel],"Pregrado")</f>
        <v>5</v>
      </c>
      <c r="L42" s="11">
        <f>COUNTIFS(Tabla2[Tipo de Movilidad],"Intercambio*",Tabla2[Universidad KPIs],'Utilización Convenios'!$C42,Tabla2[Año],'Utilización Convenios'!K$3,Tabla2[Nivel Nominación],"Undergraduate / Bachelor")</f>
        <v>0</v>
      </c>
      <c r="M42" s="10">
        <f>COUNTIFS(Tabla1[Tipo de Movilidad],"Intercambio*",Tabla1[Universidad KPIs],'Utilización Convenios'!$C42,Tabla1[Año de Movilidad],'Utilización Convenios'!M$3,Tabla1[Nivel],"Pregrado")</f>
        <v>3</v>
      </c>
      <c r="N42" s="26">
        <f>COUNTIFS(Tabla2[Tipo de Movilidad],"Intercambio*",Tabla2[Universidad KPIs],'Utilización Convenios'!$C42,Tabla2[Año],'Utilización Convenios'!M$3,Tabla2[Nivel Nominación],"Undergraduate / Bachelor")</f>
        <v>0</v>
      </c>
      <c r="O42" s="10">
        <f>COUNTIFS(Tabla1[Tipo de Movilidad],"Intercambio*",Tabla1[Universidad KPIs],'Utilización Convenios'!$C42,Tabla1[Año de Movilidad],'Utilización Convenios'!O$3,Tabla1[Nivel],"Pregrado")</f>
        <v>3</v>
      </c>
      <c r="P42" s="26">
        <f>COUNTIFS(Tabla2[Tipo de Movilidad],"Intercambio*",Tabla2[Universidad KPIs],'Utilización Convenios'!$C42,Tabla2[Año],'Utilización Convenios'!O$3,Tabla2[Nivel Nominación],"Undergraduate / Bachelor")</f>
        <v>0</v>
      </c>
      <c r="Q42" s="41">
        <f t="shared" si="1"/>
        <v>21</v>
      </c>
      <c r="R42" s="42">
        <f t="shared" si="1"/>
        <v>9</v>
      </c>
    </row>
    <row r="43" spans="2:18">
      <c r="B43" s="183"/>
      <c r="C43" s="86" t="s">
        <v>92</v>
      </c>
      <c r="D43" s="93" t="s">
        <v>93</v>
      </c>
      <c r="E43" s="88">
        <f>COUNTIFS(Tabla1[Tipo de Movilidad],"Intercambio*",Tabla1[Universidad KPIs],'Utilización Convenios'!$C43,Tabla1[Año de Movilidad],'Utilización Convenios'!E$3,Tabla1[Nivel],"Pregrado")</f>
        <v>0</v>
      </c>
      <c r="F43" s="11">
        <f>COUNTIFS(Tabla2[Tipo de Movilidad],"Intercambio*",Tabla2[Universidad KPIs],'Utilización Convenios'!$C43,Tabla2[Año],'Utilización Convenios'!E$3,Tabla2[Nivel Nominación],"Undergraduate / Bachelor")</f>
        <v>0</v>
      </c>
      <c r="G43" s="10">
        <f>COUNTIFS(Tabla1[Tipo de Movilidad],"Intercambio*",Tabla1[Universidad KPIs],'Utilización Convenios'!$C43,Tabla1[Año de Movilidad],'Utilización Convenios'!G$3,Tabla1[Nivel],"Pregrado")</f>
        <v>0</v>
      </c>
      <c r="H43" s="11">
        <f>COUNTIFS(Tabla2[Tipo de Movilidad],"Intercambio*",Tabla2[Universidad KPIs],'Utilización Convenios'!$C43,Tabla2[Año],'Utilización Convenios'!G$3,Tabla2[Nivel Nominación],"Undergraduate / Bachelor")</f>
        <v>0</v>
      </c>
      <c r="I43" s="10">
        <f>COUNTIFS(Tabla1[Tipo de Movilidad],"Intercambio*",Tabla1[Universidad KPIs],'Utilización Convenios'!$C43,Tabla1[Año de Movilidad],'Utilización Convenios'!I$3,Tabla1[Nivel],"Pregrado")</f>
        <v>0</v>
      </c>
      <c r="J43" s="11">
        <f>COUNTIFS(Tabla2[Tipo de Movilidad],"Intercambio*",Tabla2[Universidad KPIs],'Utilización Convenios'!$C43,Tabla2[Año],'Utilización Convenios'!I$3,Tabla2[Nivel Nominación],"Undergraduate / Bachelor")</f>
        <v>0</v>
      </c>
      <c r="K43" s="10">
        <f>COUNTIFS(Tabla1[Tipo de Movilidad],"Intercambio*",Tabla1[Universidad KPIs],'Utilización Convenios'!$C43,Tabla1[Año de Movilidad],'Utilización Convenios'!K$3,Tabla1[Nivel],"Pregrado")</f>
        <v>1</v>
      </c>
      <c r="L43" s="11">
        <f>COUNTIFS(Tabla2[Tipo de Movilidad],"Intercambio*",Tabla2[Universidad KPIs],'Utilización Convenios'!$C43,Tabla2[Año],'Utilización Convenios'!K$3,Tabla2[Nivel Nominación],"Undergraduate / Bachelor")</f>
        <v>0</v>
      </c>
      <c r="M43" s="10">
        <f>COUNTIFS(Tabla1[Tipo de Movilidad],"Intercambio*",Tabla1[Universidad KPIs],'Utilización Convenios'!$C43,Tabla1[Año de Movilidad],'Utilización Convenios'!M$3,Tabla1[Nivel],"Pregrado")</f>
        <v>0</v>
      </c>
      <c r="N43" s="26">
        <f>COUNTIFS(Tabla2[Tipo de Movilidad],"Intercambio*",Tabla2[Universidad KPIs],'Utilización Convenios'!$C43,Tabla2[Año],'Utilización Convenios'!M$3,Tabla2[Nivel Nominación],"Undergraduate / Bachelor")</f>
        <v>0</v>
      </c>
      <c r="O43" s="10">
        <f>COUNTIFS(Tabla1[Tipo de Movilidad],"Intercambio*",Tabla1[Universidad KPIs],'Utilización Convenios'!$C43,Tabla1[Año de Movilidad],'Utilización Convenios'!O$3,Tabla1[Nivel],"Pregrado")</f>
        <v>0</v>
      </c>
      <c r="P43" s="26">
        <f>COUNTIFS(Tabla2[Tipo de Movilidad],"Intercambio*",Tabla2[Universidad KPIs],'Utilización Convenios'!$C43,Tabla2[Año],'Utilización Convenios'!O$3,Tabla2[Nivel Nominación],"Undergraduate / Bachelor")</f>
        <v>0</v>
      </c>
      <c r="Q43" s="41">
        <f t="shared" si="1"/>
        <v>1</v>
      </c>
      <c r="R43" s="42">
        <f t="shared" si="1"/>
        <v>0</v>
      </c>
    </row>
    <row r="44" spans="2:18">
      <c r="B44" s="183"/>
      <c r="C44" s="86" t="s">
        <v>94</v>
      </c>
      <c r="D44" s="93" t="s">
        <v>79</v>
      </c>
      <c r="E44" s="88">
        <f>COUNTIFS(Tabla1[Tipo de Movilidad],"Intercambio*",Tabla1[Universidad KPIs],'Utilización Convenios'!$C44,Tabla1[Año de Movilidad],'Utilización Convenios'!E$3,Tabla1[Nivel],"Pregrado")</f>
        <v>0</v>
      </c>
      <c r="F44" s="11">
        <f>COUNTIFS(Tabla2[Tipo de Movilidad],"Intercambio*",Tabla2[Universidad KPIs],'Utilización Convenios'!$C44,Tabla2[Año],'Utilización Convenios'!E$3,Tabla2[Nivel Nominación],"Undergraduate / Bachelor")</f>
        <v>0</v>
      </c>
      <c r="G44" s="10">
        <f>COUNTIFS(Tabla1[Tipo de Movilidad],"Intercambio*",Tabla1[Universidad KPIs],'Utilización Convenios'!$C44,Tabla1[Año de Movilidad],'Utilización Convenios'!G$3,Tabla1[Nivel],"Pregrado")</f>
        <v>0</v>
      </c>
      <c r="H44" s="11">
        <f>COUNTIFS(Tabla2[Tipo de Movilidad],"Intercambio*",Tabla2[Universidad KPIs],'Utilización Convenios'!$C44,Tabla2[Año],'Utilización Convenios'!G$3,Tabla2[Nivel Nominación],"Undergraduate / Bachelor")</f>
        <v>0</v>
      </c>
      <c r="I44" s="10">
        <f>COUNTIFS(Tabla1[Tipo de Movilidad],"Intercambio*",Tabla1[Universidad KPIs],'Utilización Convenios'!$C44,Tabla1[Año de Movilidad],'Utilización Convenios'!I$3,Tabla1[Nivel],"Pregrado")</f>
        <v>1</v>
      </c>
      <c r="J44" s="11">
        <f>COUNTIFS(Tabla2[Tipo de Movilidad],"Intercambio*",Tabla2[Universidad KPIs],'Utilización Convenios'!$C44,Tabla2[Año],'Utilización Convenios'!I$3,Tabla2[Nivel Nominación],"Undergraduate / Bachelor")</f>
        <v>0</v>
      </c>
      <c r="K44" s="10">
        <f>COUNTIFS(Tabla1[Tipo de Movilidad],"Intercambio*",Tabla1[Universidad KPIs],'Utilización Convenios'!$C44,Tabla1[Año de Movilidad],'Utilización Convenios'!K$3,Tabla1[Nivel],"Pregrado")</f>
        <v>2</v>
      </c>
      <c r="L44" s="11">
        <f>COUNTIFS(Tabla2[Tipo de Movilidad],"Intercambio*",Tabla2[Universidad KPIs],'Utilización Convenios'!$C44,Tabla2[Año],'Utilización Convenios'!K$3,Tabla2[Nivel Nominación],"Undergraduate / Bachelor")</f>
        <v>0</v>
      </c>
      <c r="M44" s="10">
        <f>COUNTIFS(Tabla1[Tipo de Movilidad],"Intercambio*",Tabla1[Universidad KPIs],'Utilización Convenios'!$C44,Tabla1[Año de Movilidad],'Utilización Convenios'!M$3,Tabla1[Nivel],"Pregrado")</f>
        <v>0</v>
      </c>
      <c r="N44" s="26">
        <f>COUNTIFS(Tabla2[Tipo de Movilidad],"Intercambio*",Tabla2[Universidad KPIs],'Utilización Convenios'!$C44,Tabla2[Año],'Utilización Convenios'!M$3,Tabla2[Nivel Nominación],"Undergraduate / Bachelor")</f>
        <v>2</v>
      </c>
      <c r="O44" s="10">
        <f>COUNTIFS(Tabla1[Tipo de Movilidad],"Intercambio*",Tabla1[Universidad KPIs],'Utilización Convenios'!$C44,Tabla1[Año de Movilidad],'Utilización Convenios'!O$3,Tabla1[Nivel],"Pregrado")</f>
        <v>1</v>
      </c>
      <c r="P44" s="26">
        <f>COUNTIFS(Tabla2[Tipo de Movilidad],"Intercambio*",Tabla2[Universidad KPIs],'Utilización Convenios'!$C44,Tabla2[Año],'Utilización Convenios'!O$3,Tabla2[Nivel Nominación],"Undergraduate / Bachelor")</f>
        <v>0</v>
      </c>
      <c r="Q44" s="41">
        <f t="shared" si="1"/>
        <v>4</v>
      </c>
      <c r="R44" s="42">
        <f t="shared" si="1"/>
        <v>2</v>
      </c>
    </row>
    <row r="45" spans="2:18">
      <c r="B45" s="183"/>
      <c r="C45" s="86" t="s">
        <v>95</v>
      </c>
      <c r="D45" s="93" t="s">
        <v>96</v>
      </c>
      <c r="E45" s="88">
        <f>COUNTIFS(Tabla1[Tipo de Movilidad],"Intercambio*",Tabla1[Universidad KPIs],'Utilización Convenios'!$C45,Tabla1[Año de Movilidad],'Utilización Convenios'!E$3,Tabla1[Nivel],"Pregrado")</f>
        <v>0</v>
      </c>
      <c r="F45" s="11">
        <f>COUNTIFS(Tabla2[Tipo de Movilidad],"Intercambio*",Tabla2[Universidad KPIs],'Utilización Convenios'!$C45,Tabla2[Año],'Utilización Convenios'!E$3,Tabla2[Nivel Nominación],"Undergraduate / Bachelor")</f>
        <v>0</v>
      </c>
      <c r="G45" s="10">
        <f>COUNTIFS(Tabla1[Tipo de Movilidad],"Intercambio*",Tabla1[Universidad KPIs],'Utilización Convenios'!$C45,Tabla1[Año de Movilidad],'Utilización Convenios'!G$3,Tabla1[Nivel],"Pregrado")</f>
        <v>0</v>
      </c>
      <c r="H45" s="11">
        <f>COUNTIFS(Tabla2[Tipo de Movilidad],"Intercambio*",Tabla2[Universidad KPIs],'Utilización Convenios'!$C45,Tabla2[Año],'Utilización Convenios'!G$3,Tabla2[Nivel Nominación],"Undergraduate / Bachelor")</f>
        <v>0</v>
      </c>
      <c r="I45" s="10">
        <f>COUNTIFS(Tabla1[Tipo de Movilidad],"Intercambio*",Tabla1[Universidad KPIs],'Utilización Convenios'!$C45,Tabla1[Año de Movilidad],'Utilización Convenios'!I$3,Tabla1[Nivel],"Pregrado")</f>
        <v>0</v>
      </c>
      <c r="J45" s="11">
        <f>COUNTIFS(Tabla2[Tipo de Movilidad],"Intercambio*",Tabla2[Universidad KPIs],'Utilización Convenios'!$C45,Tabla2[Año],'Utilización Convenios'!I$3,Tabla2[Nivel Nominación],"Undergraduate / Bachelor")</f>
        <v>0</v>
      </c>
      <c r="K45" s="10">
        <f>COUNTIFS(Tabla1[Tipo de Movilidad],"Intercambio*",Tabla1[Universidad KPIs],'Utilización Convenios'!$C45,Tabla1[Año de Movilidad],'Utilización Convenios'!K$3,Tabla1[Nivel],"Pregrado")</f>
        <v>1</v>
      </c>
      <c r="L45" s="11">
        <f>COUNTIFS(Tabla2[Tipo de Movilidad],"Intercambio*",Tabla2[Universidad KPIs],'Utilización Convenios'!$C45,Tabla2[Año],'Utilización Convenios'!K$3,Tabla2[Nivel Nominación],"Undergraduate / Bachelor")</f>
        <v>1</v>
      </c>
      <c r="M45" s="10">
        <f>COUNTIFS(Tabla1[Tipo de Movilidad],"Intercambio*",Tabla1[Universidad KPIs],'Utilización Convenios'!$C45,Tabla1[Año de Movilidad],'Utilización Convenios'!M$3,Tabla1[Nivel],"Pregrado")</f>
        <v>0</v>
      </c>
      <c r="N45" s="26">
        <f>COUNTIFS(Tabla2[Tipo de Movilidad],"Intercambio*",Tabla2[Universidad KPIs],'Utilización Convenios'!$C45,Tabla2[Año],'Utilización Convenios'!M$3,Tabla2[Nivel Nominación],"Undergraduate / Bachelor")</f>
        <v>1</v>
      </c>
      <c r="O45" s="10">
        <f>COUNTIFS(Tabla1[Tipo de Movilidad],"Intercambio*",Tabla1[Universidad KPIs],'Utilización Convenios'!$C45,Tabla1[Año de Movilidad],'Utilización Convenios'!O$3,Tabla1[Nivel],"Pregrado")</f>
        <v>0</v>
      </c>
      <c r="P45" s="26">
        <f>COUNTIFS(Tabla2[Tipo de Movilidad],"Intercambio*",Tabla2[Universidad KPIs],'Utilización Convenios'!$C45,Tabla2[Año],'Utilización Convenios'!O$3,Tabla2[Nivel Nominación],"Undergraduate / Bachelor")</f>
        <v>1</v>
      </c>
      <c r="Q45" s="41">
        <f t="shared" si="1"/>
        <v>1</v>
      </c>
      <c r="R45" s="42">
        <f t="shared" si="1"/>
        <v>3</v>
      </c>
    </row>
    <row r="46" spans="2:18">
      <c r="B46" s="183"/>
      <c r="C46" s="86" t="s">
        <v>97</v>
      </c>
      <c r="D46" s="93" t="s">
        <v>87</v>
      </c>
      <c r="E46" s="88">
        <f>COUNTIFS(Tabla1[Tipo de Movilidad],"Intercambio*",Tabla1[Universidad KPIs],'Utilización Convenios'!$C46,Tabla1[Año de Movilidad],'Utilización Convenios'!E$3,Tabla1[Nivel],"Pregrado")</f>
        <v>2</v>
      </c>
      <c r="F46" s="11">
        <f>COUNTIFS(Tabla2[Tipo de Movilidad],"Intercambio*",Tabla2[Universidad KPIs],'Utilización Convenios'!$C46,Tabla2[Año],'Utilización Convenios'!E$3,Tabla2[Nivel Nominación],"Undergraduate / Bachelor")</f>
        <v>0</v>
      </c>
      <c r="G46" s="10">
        <f>COUNTIFS(Tabla1[Tipo de Movilidad],"Intercambio*",Tabla1[Universidad KPIs],'Utilización Convenios'!$C46,Tabla1[Año de Movilidad],'Utilización Convenios'!G$3,Tabla1[Nivel],"Pregrado")</f>
        <v>0</v>
      </c>
      <c r="H46" s="11">
        <f>COUNTIFS(Tabla2[Tipo de Movilidad],"Intercambio*",Tabla2[Universidad KPIs],'Utilización Convenios'!$C46,Tabla2[Año],'Utilización Convenios'!G$3,Tabla2[Nivel Nominación],"Undergraduate / Bachelor")</f>
        <v>0</v>
      </c>
      <c r="I46" s="10">
        <f>COUNTIFS(Tabla1[Tipo de Movilidad],"Intercambio*",Tabla1[Universidad KPIs],'Utilización Convenios'!$C46,Tabla1[Año de Movilidad],'Utilización Convenios'!I$3,Tabla1[Nivel],"Pregrado")</f>
        <v>0</v>
      </c>
      <c r="J46" s="11">
        <f>COUNTIFS(Tabla2[Tipo de Movilidad],"Intercambio*",Tabla2[Universidad KPIs],'Utilización Convenios'!$C46,Tabla2[Año],'Utilización Convenios'!I$3,Tabla2[Nivel Nominación],"Undergraduate / Bachelor")</f>
        <v>0</v>
      </c>
      <c r="K46" s="10">
        <f>COUNTIFS(Tabla1[Tipo de Movilidad],"Intercambio*",Tabla1[Universidad KPIs],'Utilización Convenios'!$C46,Tabla1[Año de Movilidad],'Utilización Convenios'!K$3,Tabla1[Nivel],"Pregrado")</f>
        <v>0</v>
      </c>
      <c r="L46" s="11">
        <f>COUNTIFS(Tabla2[Tipo de Movilidad],"Intercambio*",Tabla2[Universidad KPIs],'Utilización Convenios'!$C46,Tabla2[Año],'Utilización Convenios'!K$3,Tabla2[Nivel Nominación],"Undergraduate / Bachelor")</f>
        <v>2</v>
      </c>
      <c r="M46" s="10">
        <f>COUNTIFS(Tabla1[Tipo de Movilidad],"Intercambio*",Tabla1[Universidad KPIs],'Utilización Convenios'!$C46,Tabla1[Año de Movilidad],'Utilización Convenios'!M$3,Tabla1[Nivel],"Pregrado")</f>
        <v>2</v>
      </c>
      <c r="N46" s="26">
        <f>COUNTIFS(Tabla2[Tipo de Movilidad],"Intercambio*",Tabla2[Universidad KPIs],'Utilización Convenios'!$C46,Tabla2[Año],'Utilización Convenios'!M$3,Tabla2[Nivel Nominación],"Undergraduate / Bachelor")</f>
        <v>3</v>
      </c>
      <c r="O46" s="10">
        <f>COUNTIFS(Tabla1[Tipo de Movilidad],"Intercambio*",Tabla1[Universidad KPIs],'Utilización Convenios'!$C46,Tabla1[Año de Movilidad],'Utilización Convenios'!O$3,Tabla1[Nivel],"Pregrado")</f>
        <v>1</v>
      </c>
      <c r="P46" s="26">
        <f>COUNTIFS(Tabla2[Tipo de Movilidad],"Intercambio*",Tabla2[Universidad KPIs],'Utilización Convenios'!$C46,Tabla2[Año],'Utilización Convenios'!O$3,Tabla2[Nivel Nominación],"Undergraduate / Bachelor")</f>
        <v>0</v>
      </c>
      <c r="Q46" s="41">
        <f t="shared" si="1"/>
        <v>5</v>
      </c>
      <c r="R46" s="42">
        <f t="shared" si="1"/>
        <v>5</v>
      </c>
    </row>
    <row r="47" spans="2:18">
      <c r="B47" s="183"/>
      <c r="C47" s="86" t="s">
        <v>98</v>
      </c>
      <c r="D47" s="93" t="s">
        <v>79</v>
      </c>
      <c r="E47" s="88">
        <f>COUNTIFS(Tabla1[Tipo de Movilidad],"Intercambio*",Tabla1[Universidad KPIs],'Utilización Convenios'!$C47,Tabla1[Año de Movilidad],'Utilización Convenios'!E$3,Tabla1[Nivel],"Pregrado")</f>
        <v>0</v>
      </c>
      <c r="F47" s="11">
        <f>COUNTIFS(Tabla2[Tipo de Movilidad],"Intercambio*",Tabla2[Universidad KPIs],'Utilización Convenios'!$C47,Tabla2[Año],'Utilización Convenios'!E$3,Tabla2[Nivel Nominación],"Undergraduate / Bachelor")</f>
        <v>0</v>
      </c>
      <c r="G47" s="10">
        <f>COUNTIFS(Tabla1[Tipo de Movilidad],"Intercambio*",Tabla1[Universidad KPIs],'Utilización Convenios'!$C47,Tabla1[Año de Movilidad],'Utilización Convenios'!G$3,Tabla1[Nivel],"Pregrado")</f>
        <v>0</v>
      </c>
      <c r="H47" s="11">
        <f>COUNTIFS(Tabla2[Tipo de Movilidad],"Intercambio*",Tabla2[Universidad KPIs],'Utilización Convenios'!$C47,Tabla2[Año],'Utilización Convenios'!G$3,Tabla2[Nivel Nominación],"Undergraduate / Bachelor")</f>
        <v>0</v>
      </c>
      <c r="I47" s="10">
        <f>COUNTIFS(Tabla1[Tipo de Movilidad],"Intercambio*",Tabla1[Universidad KPIs],'Utilización Convenios'!$C47,Tabla1[Año de Movilidad],'Utilización Convenios'!I$3,Tabla1[Nivel],"Pregrado")</f>
        <v>0</v>
      </c>
      <c r="J47" s="11">
        <f>COUNTIFS(Tabla2[Tipo de Movilidad],"Intercambio*",Tabla2[Universidad KPIs],'Utilización Convenios'!$C47,Tabla2[Año],'Utilización Convenios'!I$3,Tabla2[Nivel Nominación],"Undergraduate / Bachelor")</f>
        <v>1</v>
      </c>
      <c r="K47" s="10">
        <f>COUNTIFS(Tabla1[Tipo de Movilidad],"Intercambio*",Tabla1[Universidad KPIs],'Utilización Convenios'!$C47,Tabla1[Año de Movilidad],'Utilización Convenios'!K$3,Tabla1[Nivel],"Pregrado")</f>
        <v>0</v>
      </c>
      <c r="L47" s="11">
        <f>COUNTIFS(Tabla2[Tipo de Movilidad],"Intercambio*",Tabla2[Universidad KPIs],'Utilización Convenios'!$C47,Tabla2[Año],'Utilización Convenios'!K$3,Tabla2[Nivel Nominación],"Undergraduate / Bachelor")</f>
        <v>1</v>
      </c>
      <c r="M47" s="10">
        <f>COUNTIFS(Tabla1[Tipo de Movilidad],"Intercambio*",Tabla1[Universidad KPIs],'Utilización Convenios'!$C47,Tabla1[Año de Movilidad],'Utilización Convenios'!M$3,Tabla1[Nivel],"Pregrado")</f>
        <v>0</v>
      </c>
      <c r="N47" s="26">
        <f>COUNTIFS(Tabla2[Tipo de Movilidad],"Intercambio*",Tabla2[Universidad KPIs],'Utilización Convenios'!$C47,Tabla2[Año],'Utilización Convenios'!M$3,Tabla2[Nivel Nominación],"Undergraduate / Bachelor")</f>
        <v>0</v>
      </c>
      <c r="O47" s="10">
        <f>COUNTIFS(Tabla1[Tipo de Movilidad],"Intercambio*",Tabla1[Universidad KPIs],'Utilización Convenios'!$C47,Tabla1[Año de Movilidad],'Utilización Convenios'!O$3,Tabla1[Nivel],"Pregrado")</f>
        <v>0</v>
      </c>
      <c r="P47" s="26">
        <f>COUNTIFS(Tabla2[Tipo de Movilidad],"Intercambio*",Tabla2[Universidad KPIs],'Utilización Convenios'!$C47,Tabla2[Año],'Utilización Convenios'!O$3,Tabla2[Nivel Nominación],"Undergraduate / Bachelor")</f>
        <v>0</v>
      </c>
      <c r="Q47" s="41">
        <f t="shared" si="1"/>
        <v>0</v>
      </c>
      <c r="R47" s="42">
        <f t="shared" si="1"/>
        <v>2</v>
      </c>
    </row>
    <row r="48" spans="2:18">
      <c r="B48" s="183"/>
      <c r="C48" s="86" t="s">
        <v>99</v>
      </c>
      <c r="D48" s="93" t="s">
        <v>39</v>
      </c>
      <c r="E48" s="88">
        <f>COUNTIFS(Tabla1[Tipo de Movilidad],"Intercambio*",Tabla1[Universidad KPIs],'Utilización Convenios'!$C48,Tabla1[Año de Movilidad],'Utilización Convenios'!E$3,Tabla1[Nivel],"Pregrado")</f>
        <v>0</v>
      </c>
      <c r="F48" s="11">
        <f>COUNTIFS(Tabla2[Tipo de Movilidad],"Intercambio*",Tabla2[Universidad KPIs],'Utilización Convenios'!$C48,Tabla2[Año],'Utilización Convenios'!E$3,Tabla2[Nivel Nominación],"Undergraduate / Bachelor")</f>
        <v>0</v>
      </c>
      <c r="G48" s="10">
        <f>COUNTIFS(Tabla1[Tipo de Movilidad],"Intercambio*",Tabla1[Universidad KPIs],'Utilización Convenios'!$C48,Tabla1[Año de Movilidad],'Utilización Convenios'!G$3,Tabla1[Nivel],"Pregrado")</f>
        <v>0</v>
      </c>
      <c r="H48" s="11">
        <f>COUNTIFS(Tabla2[Tipo de Movilidad],"Intercambio*",Tabla2[Universidad KPIs],'Utilización Convenios'!$C48,Tabla2[Año],'Utilización Convenios'!G$3,Tabla2[Nivel Nominación],"Undergraduate / Bachelor")</f>
        <v>0</v>
      </c>
      <c r="I48" s="10">
        <f>COUNTIFS(Tabla1[Tipo de Movilidad],"Intercambio*",Tabla1[Universidad KPIs],'Utilización Convenios'!$C48,Tabla1[Año de Movilidad],'Utilización Convenios'!I$3,Tabla1[Nivel],"Pregrado")</f>
        <v>0</v>
      </c>
      <c r="J48" s="11">
        <f>COUNTIFS(Tabla2[Tipo de Movilidad],"Intercambio*",Tabla2[Universidad KPIs],'Utilización Convenios'!$C48,Tabla2[Año],'Utilización Convenios'!I$3,Tabla2[Nivel Nominación],"Undergraduate / Bachelor")</f>
        <v>0</v>
      </c>
      <c r="K48" s="10">
        <f>COUNTIFS(Tabla1[Tipo de Movilidad],"Intercambio*",Tabla1[Universidad KPIs],'Utilización Convenios'!$C48,Tabla1[Año de Movilidad],'Utilización Convenios'!K$3,Tabla1[Nivel],"Pregrado")</f>
        <v>1</v>
      </c>
      <c r="L48" s="11">
        <f>COUNTIFS(Tabla2[Tipo de Movilidad],"Intercambio*",Tabla2[Universidad KPIs],'Utilización Convenios'!$C48,Tabla2[Año],'Utilización Convenios'!K$3,Tabla2[Nivel Nominación],"Undergraduate / Bachelor")</f>
        <v>0</v>
      </c>
      <c r="M48" s="10">
        <f>COUNTIFS(Tabla1[Tipo de Movilidad],"Intercambio*",Tabla1[Universidad KPIs],'Utilización Convenios'!$C48,Tabla1[Año de Movilidad],'Utilización Convenios'!M$3,Tabla1[Nivel],"Pregrado")</f>
        <v>1</v>
      </c>
      <c r="N48" s="26">
        <f>COUNTIFS(Tabla2[Tipo de Movilidad],"Intercambio*",Tabla2[Universidad KPIs],'Utilización Convenios'!$C48,Tabla2[Año],'Utilización Convenios'!M$3,Tabla2[Nivel Nominación],"Undergraduate / Bachelor")</f>
        <v>0</v>
      </c>
      <c r="O48" s="10">
        <f>COUNTIFS(Tabla1[Tipo de Movilidad],"Intercambio*",Tabla1[Universidad KPIs],'Utilización Convenios'!$C48,Tabla1[Año de Movilidad],'Utilización Convenios'!O$3,Tabla1[Nivel],"Pregrado")</f>
        <v>2</v>
      </c>
      <c r="P48" s="26">
        <f>COUNTIFS(Tabla2[Tipo de Movilidad],"Intercambio*",Tabla2[Universidad KPIs],'Utilización Convenios'!$C48,Tabla2[Año],'Utilización Convenios'!O$3,Tabla2[Nivel Nominación],"Undergraduate / Bachelor")</f>
        <v>0</v>
      </c>
      <c r="Q48" s="41">
        <f t="shared" si="1"/>
        <v>4</v>
      </c>
      <c r="R48" s="42">
        <f t="shared" si="1"/>
        <v>0</v>
      </c>
    </row>
    <row r="49" spans="2:18">
      <c r="B49" s="183"/>
      <c r="C49" s="86" t="s">
        <v>100</v>
      </c>
      <c r="D49" s="93" t="s">
        <v>39</v>
      </c>
      <c r="E49" s="88">
        <f>COUNTIFS(Tabla1[Tipo de Movilidad],"Intercambio*",Tabla1[Universidad KPIs],'Utilización Convenios'!$C49,Tabla1[Año de Movilidad],'Utilización Convenios'!E$3,Tabla1[Nivel],"Pregrado")</f>
        <v>0</v>
      </c>
      <c r="F49" s="11">
        <f>COUNTIFS(Tabla2[Tipo de Movilidad],"Intercambio*",Tabla2[Universidad KPIs],'Utilización Convenios'!$C49,Tabla2[Año],'Utilización Convenios'!E$3,Tabla2[Nivel Nominación],"Undergraduate / Bachelor")</f>
        <v>0</v>
      </c>
      <c r="G49" s="10">
        <f>COUNTIFS(Tabla1[Tipo de Movilidad],"Intercambio*",Tabla1[Universidad KPIs],'Utilización Convenios'!$C49,Tabla1[Año de Movilidad],'Utilización Convenios'!G$3,Tabla1[Nivel],"Pregrado")</f>
        <v>0</v>
      </c>
      <c r="H49" s="11">
        <f>COUNTIFS(Tabla2[Tipo de Movilidad],"Intercambio*",Tabla2[Universidad KPIs],'Utilización Convenios'!$C49,Tabla2[Año],'Utilización Convenios'!G$3,Tabla2[Nivel Nominación],"Undergraduate / Bachelor")</f>
        <v>0</v>
      </c>
      <c r="I49" s="10">
        <f>COUNTIFS(Tabla1[Tipo de Movilidad],"Intercambio*",Tabla1[Universidad KPIs],'Utilización Convenios'!$C49,Tabla1[Año de Movilidad],'Utilización Convenios'!I$3,Tabla1[Nivel],"Pregrado")</f>
        <v>0</v>
      </c>
      <c r="J49" s="11">
        <f>COUNTIFS(Tabla2[Tipo de Movilidad],"Intercambio*",Tabla2[Universidad KPIs],'Utilización Convenios'!$C49,Tabla2[Año],'Utilización Convenios'!I$3,Tabla2[Nivel Nominación],"Undergraduate / Bachelor")</f>
        <v>0</v>
      </c>
      <c r="K49" s="10">
        <f>COUNTIFS(Tabla1[Tipo de Movilidad],"Intercambio*",Tabla1[Universidad KPIs],'Utilización Convenios'!$C49,Tabla1[Año de Movilidad],'Utilización Convenios'!K$3,Tabla1[Nivel],"Pregrado")</f>
        <v>0</v>
      </c>
      <c r="L49" s="11">
        <f>COUNTIFS(Tabla2[Tipo de Movilidad],"Intercambio*",Tabla2[Universidad KPIs],'Utilización Convenios'!$C49,Tabla2[Año],'Utilización Convenios'!K$3,Tabla2[Nivel Nominación],"Undergraduate / Bachelor")</f>
        <v>0</v>
      </c>
      <c r="M49" s="10">
        <f>COUNTIFS(Tabla1[Tipo de Movilidad],"Intercambio*",Tabla1[Universidad KPIs],'Utilización Convenios'!$C49,Tabla1[Año de Movilidad],'Utilización Convenios'!M$3,Tabla1[Nivel],"Pregrado")</f>
        <v>0</v>
      </c>
      <c r="N49" s="26">
        <f>COUNTIFS(Tabla2[Tipo de Movilidad],"Intercambio*",Tabla2[Universidad KPIs],'Utilización Convenios'!$C49,Tabla2[Año],'Utilización Convenios'!M$3,Tabla2[Nivel Nominación],"Undergraduate / Bachelor")</f>
        <v>0</v>
      </c>
      <c r="O49" s="10">
        <f>COUNTIFS(Tabla1[Tipo de Movilidad],"Intercambio*",Tabla1[Universidad KPIs],'Utilización Convenios'!$C49,Tabla1[Año de Movilidad],'Utilización Convenios'!O$3,Tabla1[Nivel],"Pregrado")</f>
        <v>0</v>
      </c>
      <c r="P49" s="26">
        <f>COUNTIFS(Tabla2[Tipo de Movilidad],"Intercambio*",Tabla2[Universidad KPIs],'Utilización Convenios'!$C49,Tabla2[Año],'Utilización Convenios'!O$3,Tabla2[Nivel Nominación],"Undergraduate / Bachelor")</f>
        <v>0</v>
      </c>
      <c r="Q49" s="41">
        <f t="shared" si="1"/>
        <v>0</v>
      </c>
      <c r="R49" s="42">
        <f t="shared" si="1"/>
        <v>0</v>
      </c>
    </row>
    <row r="50" spans="2:18">
      <c r="B50" s="183"/>
      <c r="C50" s="86" t="s">
        <v>101</v>
      </c>
      <c r="D50" s="93" t="s">
        <v>102</v>
      </c>
      <c r="E50" s="88">
        <f>COUNTIFS(Tabla1[Tipo de Movilidad],"Intercambio*",Tabla1[Universidad KPIs],'Utilización Convenios'!$C50,Tabla1[Año de Movilidad],'Utilización Convenios'!E$3,Tabla1[Nivel],"Pregrado")</f>
        <v>1</v>
      </c>
      <c r="F50" s="11">
        <f>COUNTIFS(Tabla2[Tipo de Movilidad],"Intercambio*",Tabla2[Universidad KPIs],'Utilización Convenios'!$C50,Tabla2[Año],'Utilización Convenios'!E$3,Tabla2[Nivel Nominación],"Undergraduate / Bachelor")</f>
        <v>0</v>
      </c>
      <c r="G50" s="10">
        <f>COUNTIFS(Tabla1[Tipo de Movilidad],"Intercambio*",Tabla1[Universidad KPIs],'Utilización Convenios'!$C50,Tabla1[Año de Movilidad],'Utilización Convenios'!G$3,Tabla1[Nivel],"Pregrado")</f>
        <v>1</v>
      </c>
      <c r="H50" s="11">
        <f>COUNTIFS(Tabla2[Tipo de Movilidad],"Intercambio*",Tabla2[Universidad KPIs],'Utilización Convenios'!$C50,Tabla2[Año],'Utilización Convenios'!G$3,Tabla2[Nivel Nominación],"Undergraduate / Bachelor")</f>
        <v>0</v>
      </c>
      <c r="I50" s="10">
        <f>COUNTIFS(Tabla1[Tipo de Movilidad],"Intercambio*",Tabla1[Universidad KPIs],'Utilización Convenios'!$C50,Tabla1[Año de Movilidad],'Utilización Convenios'!I$3,Tabla1[Nivel],"Pregrado")</f>
        <v>1</v>
      </c>
      <c r="J50" s="11">
        <f>COUNTIFS(Tabla2[Tipo de Movilidad],"Intercambio*",Tabla2[Universidad KPIs],'Utilización Convenios'!$C50,Tabla2[Año],'Utilización Convenios'!I$3,Tabla2[Nivel Nominación],"Undergraduate / Bachelor")</f>
        <v>0</v>
      </c>
      <c r="K50" s="10">
        <f>COUNTIFS(Tabla1[Tipo de Movilidad],"Intercambio*",Tabla1[Universidad KPIs],'Utilización Convenios'!$C50,Tabla1[Año de Movilidad],'Utilización Convenios'!K$3,Tabla1[Nivel],"Pregrado")</f>
        <v>2</v>
      </c>
      <c r="L50" s="11">
        <f>COUNTIFS(Tabla2[Tipo de Movilidad],"Intercambio*",Tabla2[Universidad KPIs],'Utilización Convenios'!$C50,Tabla2[Año],'Utilización Convenios'!K$3,Tabla2[Nivel Nominación],"Undergraduate / Bachelor")</f>
        <v>0</v>
      </c>
      <c r="M50" s="10">
        <f>COUNTIFS(Tabla1[Tipo de Movilidad],"Intercambio*",Tabla1[Universidad KPIs],'Utilización Convenios'!$C50,Tabla1[Año de Movilidad],'Utilización Convenios'!M$3,Tabla1[Nivel],"Pregrado")</f>
        <v>0</v>
      </c>
      <c r="N50" s="26">
        <f>COUNTIFS(Tabla2[Tipo de Movilidad],"Intercambio*",Tabla2[Universidad KPIs],'Utilización Convenios'!$C50,Tabla2[Año],'Utilización Convenios'!M$3,Tabla2[Nivel Nominación],"Undergraduate / Bachelor")</f>
        <v>0</v>
      </c>
      <c r="O50" s="10">
        <f>COUNTIFS(Tabla1[Tipo de Movilidad],"Intercambio*",Tabla1[Universidad KPIs],'Utilización Convenios'!$C50,Tabla1[Año de Movilidad],'Utilización Convenios'!O$3,Tabla1[Nivel],"Pregrado")</f>
        <v>2</v>
      </c>
      <c r="P50" s="26">
        <f>COUNTIFS(Tabla2[Tipo de Movilidad],"Intercambio*",Tabla2[Universidad KPIs],'Utilización Convenios'!$C50,Tabla2[Año],'Utilización Convenios'!O$3,Tabla2[Nivel Nominación],"Undergraduate / Bachelor")</f>
        <v>0</v>
      </c>
      <c r="Q50" s="41">
        <f t="shared" si="1"/>
        <v>7</v>
      </c>
      <c r="R50" s="42">
        <f t="shared" si="1"/>
        <v>0</v>
      </c>
    </row>
    <row r="51" spans="2:18">
      <c r="B51" s="183"/>
      <c r="C51" s="86" t="s">
        <v>103</v>
      </c>
      <c r="D51" s="93" t="s">
        <v>60</v>
      </c>
      <c r="E51" s="88">
        <f>COUNTIFS(Tabla1[Tipo de Movilidad],"Intercambio*",Tabla1[Universidad KPIs],'Utilización Convenios'!$C51,Tabla1[Año de Movilidad],'Utilización Convenios'!E$3,Tabla1[Nivel],"Pregrado")</f>
        <v>1</v>
      </c>
      <c r="F51" s="11">
        <f>COUNTIFS(Tabla2[Tipo de Movilidad],"Intercambio*",Tabla2[Universidad KPIs],'Utilización Convenios'!$C51,Tabla2[Año],'Utilización Convenios'!E$3,Tabla2[Nivel Nominación],"Undergraduate / Bachelor")</f>
        <v>0</v>
      </c>
      <c r="G51" s="10">
        <f>COUNTIFS(Tabla1[Tipo de Movilidad],"Intercambio*",Tabla1[Universidad KPIs],'Utilización Convenios'!$C51,Tabla1[Año de Movilidad],'Utilización Convenios'!G$3,Tabla1[Nivel],"Pregrado")</f>
        <v>0</v>
      </c>
      <c r="H51" s="11">
        <f>COUNTIFS(Tabla2[Tipo de Movilidad],"Intercambio*",Tabla2[Universidad KPIs],'Utilización Convenios'!$C51,Tabla2[Año],'Utilización Convenios'!G$3,Tabla2[Nivel Nominación],"Undergraduate / Bachelor")</f>
        <v>3</v>
      </c>
      <c r="I51" s="10">
        <f>COUNTIFS(Tabla1[Tipo de Movilidad],"Intercambio*",Tabla1[Universidad KPIs],'Utilización Convenios'!$C51,Tabla1[Año de Movilidad],'Utilización Convenios'!I$3,Tabla1[Nivel],"Pregrado")</f>
        <v>4</v>
      </c>
      <c r="J51" s="11">
        <f>COUNTIFS(Tabla2[Tipo de Movilidad],"Intercambio*",Tabla2[Universidad KPIs],'Utilización Convenios'!$C51,Tabla2[Año],'Utilización Convenios'!I$3,Tabla2[Nivel Nominación],"Undergraduate / Bachelor")</f>
        <v>0</v>
      </c>
      <c r="K51" s="10">
        <f>COUNTIFS(Tabla1[Tipo de Movilidad],"Intercambio*",Tabla1[Universidad KPIs],'Utilización Convenios'!$C51,Tabla1[Año de Movilidad],'Utilización Convenios'!K$3,Tabla1[Nivel],"Pregrado")</f>
        <v>2</v>
      </c>
      <c r="L51" s="11">
        <f>COUNTIFS(Tabla2[Tipo de Movilidad],"Intercambio*",Tabla2[Universidad KPIs],'Utilización Convenios'!$C51,Tabla2[Año],'Utilización Convenios'!K$3,Tabla2[Nivel Nominación],"Undergraduate / Bachelor")</f>
        <v>0</v>
      </c>
      <c r="M51" s="10">
        <f>COUNTIFS(Tabla1[Tipo de Movilidad],"Intercambio*",Tabla1[Universidad KPIs],'Utilización Convenios'!$C51,Tabla1[Año de Movilidad],'Utilización Convenios'!M$3,Tabla1[Nivel],"Pregrado")</f>
        <v>1</v>
      </c>
      <c r="N51" s="26">
        <f>COUNTIFS(Tabla2[Tipo de Movilidad],"Intercambio*",Tabla2[Universidad KPIs],'Utilización Convenios'!$C51,Tabla2[Año],'Utilización Convenios'!M$3,Tabla2[Nivel Nominación],"Undergraduate / Bachelor")</f>
        <v>0</v>
      </c>
      <c r="O51" s="10">
        <f>COUNTIFS(Tabla1[Tipo de Movilidad],"Intercambio*",Tabla1[Universidad KPIs],'Utilización Convenios'!$C51,Tabla1[Año de Movilidad],'Utilización Convenios'!O$3,Tabla1[Nivel],"Pregrado")</f>
        <v>3</v>
      </c>
      <c r="P51" s="26">
        <f>COUNTIFS(Tabla2[Tipo de Movilidad],"Intercambio*",Tabla2[Universidad KPIs],'Utilización Convenios'!$C51,Tabla2[Año],'Utilización Convenios'!O$3,Tabla2[Nivel Nominación],"Undergraduate / Bachelor")</f>
        <v>0</v>
      </c>
      <c r="Q51" s="41">
        <f t="shared" si="1"/>
        <v>11</v>
      </c>
      <c r="R51" s="42">
        <f t="shared" si="1"/>
        <v>3</v>
      </c>
    </row>
    <row r="52" spans="2:18">
      <c r="B52" s="183"/>
      <c r="C52" s="86" t="s">
        <v>104</v>
      </c>
      <c r="D52" s="93" t="s">
        <v>90</v>
      </c>
      <c r="E52" s="88">
        <f>COUNTIFS(Tabla1[Tipo de Movilidad],"Intercambio*",Tabla1[Universidad KPIs],'Utilización Convenios'!$C52,Tabla1[Año de Movilidad],'Utilización Convenios'!E$3,Tabla1[Nivel],"Pregrado")</f>
        <v>1</v>
      </c>
      <c r="F52" s="11">
        <f>COUNTIFS(Tabla2[Tipo de Movilidad],"Intercambio*",Tabla2[Universidad KPIs],'Utilización Convenios'!$C52,Tabla2[Año],'Utilización Convenios'!E$3,Tabla2[Nivel Nominación],"Undergraduate / Bachelor")</f>
        <v>0</v>
      </c>
      <c r="G52" s="10">
        <f>COUNTIFS(Tabla1[Tipo de Movilidad],"Intercambio*",Tabla1[Universidad KPIs],'Utilización Convenios'!$C52,Tabla1[Año de Movilidad],'Utilización Convenios'!G$3,Tabla1[Nivel],"Pregrado")</f>
        <v>0</v>
      </c>
      <c r="H52" s="11">
        <f>COUNTIFS(Tabla2[Tipo de Movilidad],"Intercambio*",Tabla2[Universidad KPIs],'Utilización Convenios'!$C52,Tabla2[Año],'Utilización Convenios'!G$3,Tabla2[Nivel Nominación],"Undergraduate / Bachelor")</f>
        <v>0</v>
      </c>
      <c r="I52" s="10">
        <f>COUNTIFS(Tabla1[Tipo de Movilidad],"Intercambio*",Tabla1[Universidad KPIs],'Utilización Convenios'!$C52,Tabla1[Año de Movilidad],'Utilización Convenios'!I$3,Tabla1[Nivel],"Pregrado")</f>
        <v>0</v>
      </c>
      <c r="J52" s="11">
        <f>COUNTIFS(Tabla2[Tipo de Movilidad],"Intercambio*",Tabla2[Universidad KPIs],'Utilización Convenios'!$C52,Tabla2[Año],'Utilización Convenios'!I$3,Tabla2[Nivel Nominación],"Undergraduate / Bachelor")</f>
        <v>0</v>
      </c>
      <c r="K52" s="10">
        <f>COUNTIFS(Tabla1[Tipo de Movilidad],"Intercambio*",Tabla1[Universidad KPIs],'Utilización Convenios'!$C52,Tabla1[Año de Movilidad],'Utilización Convenios'!K$3,Tabla1[Nivel],"Pregrado")</f>
        <v>2</v>
      </c>
      <c r="L52" s="11">
        <f>COUNTIFS(Tabla2[Tipo de Movilidad],"Intercambio*",Tabla2[Universidad KPIs],'Utilización Convenios'!$C52,Tabla2[Año],'Utilización Convenios'!K$3,Tabla2[Nivel Nominación],"Undergraduate / Bachelor")</f>
        <v>0</v>
      </c>
      <c r="M52" s="10">
        <f>COUNTIFS(Tabla1[Tipo de Movilidad],"Intercambio*",Tabla1[Universidad KPIs],'Utilización Convenios'!$C52,Tabla1[Año de Movilidad],'Utilización Convenios'!M$3,Tabla1[Nivel],"Pregrado")</f>
        <v>1</v>
      </c>
      <c r="N52" s="26">
        <f>COUNTIFS(Tabla2[Tipo de Movilidad],"Intercambio*",Tabla2[Universidad KPIs],'Utilización Convenios'!$C52,Tabla2[Año],'Utilización Convenios'!M$3,Tabla2[Nivel Nominación],"Undergraduate / Bachelor")</f>
        <v>0</v>
      </c>
      <c r="O52" s="10">
        <f>COUNTIFS(Tabla1[Tipo de Movilidad],"Intercambio*",Tabla1[Universidad KPIs],'Utilización Convenios'!$C52,Tabla1[Año de Movilidad],'Utilización Convenios'!O$3,Tabla1[Nivel],"Pregrado")</f>
        <v>0</v>
      </c>
      <c r="P52" s="26">
        <f>COUNTIFS(Tabla2[Tipo de Movilidad],"Intercambio*",Tabla2[Universidad KPIs],'Utilización Convenios'!$C52,Tabla2[Año],'Utilización Convenios'!O$3,Tabla2[Nivel Nominación],"Undergraduate / Bachelor")</f>
        <v>0</v>
      </c>
      <c r="Q52" s="41">
        <f t="shared" si="1"/>
        <v>4</v>
      </c>
      <c r="R52" s="42">
        <f t="shared" si="1"/>
        <v>0</v>
      </c>
    </row>
    <row r="53" spans="2:18">
      <c r="B53" s="183"/>
      <c r="C53" s="86" t="s">
        <v>105</v>
      </c>
      <c r="D53" s="93" t="s">
        <v>65</v>
      </c>
      <c r="E53" s="88">
        <f>COUNTIFS(Tabla1[Tipo de Movilidad],"Intercambio*",Tabla1[Universidad KPIs],'Utilización Convenios'!$C53,Tabla1[Año de Movilidad],'Utilización Convenios'!E$3,Tabla1[Nivel],"Pregrado")</f>
        <v>0</v>
      </c>
      <c r="F53" s="11">
        <f>COUNTIFS(Tabla2[Tipo de Movilidad],"Intercambio*",Tabla2[Universidad KPIs],'Utilización Convenios'!$C53,Tabla2[Año],'Utilización Convenios'!E$3,Tabla2[Nivel Nominación],"Undergraduate / Bachelor")</f>
        <v>0</v>
      </c>
      <c r="G53" s="10">
        <f>COUNTIFS(Tabla1[Tipo de Movilidad],"Intercambio*",Tabla1[Universidad KPIs],'Utilización Convenios'!$C53,Tabla1[Año de Movilidad],'Utilización Convenios'!G$3,Tabla1[Nivel],"Pregrado")</f>
        <v>2</v>
      </c>
      <c r="H53" s="11">
        <f>COUNTIFS(Tabla2[Tipo de Movilidad],"Intercambio*",Tabla2[Universidad KPIs],'Utilización Convenios'!$C53,Tabla2[Año],'Utilización Convenios'!G$3,Tabla2[Nivel Nominación],"Undergraduate / Bachelor")</f>
        <v>0</v>
      </c>
      <c r="I53" s="10">
        <f>COUNTIFS(Tabla1[Tipo de Movilidad],"Intercambio*",Tabla1[Universidad KPIs],'Utilización Convenios'!$C53,Tabla1[Año de Movilidad],'Utilización Convenios'!I$3,Tabla1[Nivel],"Pregrado")</f>
        <v>1</v>
      </c>
      <c r="J53" s="11">
        <f>COUNTIFS(Tabla2[Tipo de Movilidad],"Intercambio*",Tabla2[Universidad KPIs],'Utilización Convenios'!$C53,Tabla2[Año],'Utilización Convenios'!I$3,Tabla2[Nivel Nominación],"Undergraduate / Bachelor")</f>
        <v>0</v>
      </c>
      <c r="K53" s="10">
        <f>COUNTIFS(Tabla1[Tipo de Movilidad],"Intercambio*",Tabla1[Universidad KPIs],'Utilización Convenios'!$C53,Tabla1[Año de Movilidad],'Utilización Convenios'!K$3,Tabla1[Nivel],"Pregrado")</f>
        <v>2</v>
      </c>
      <c r="L53" s="11">
        <f>COUNTIFS(Tabla2[Tipo de Movilidad],"Intercambio*",Tabla2[Universidad KPIs],'Utilización Convenios'!$C53,Tabla2[Año],'Utilización Convenios'!K$3,Tabla2[Nivel Nominación],"Undergraduate / Bachelor")</f>
        <v>1</v>
      </c>
      <c r="M53" s="10">
        <f>COUNTIFS(Tabla1[Tipo de Movilidad],"Intercambio*",Tabla1[Universidad KPIs],'Utilización Convenios'!$C53,Tabla1[Año de Movilidad],'Utilización Convenios'!M$3,Tabla1[Nivel],"Pregrado")</f>
        <v>2</v>
      </c>
      <c r="N53" s="26">
        <f>COUNTIFS(Tabla2[Tipo de Movilidad],"Intercambio*",Tabla2[Universidad KPIs],'Utilización Convenios'!$C53,Tabla2[Año],'Utilización Convenios'!M$3,Tabla2[Nivel Nominación],"Undergraduate / Bachelor")</f>
        <v>0</v>
      </c>
      <c r="O53" s="10">
        <f>COUNTIFS(Tabla1[Tipo de Movilidad],"Intercambio*",Tabla1[Universidad KPIs],'Utilización Convenios'!$C53,Tabla1[Año de Movilidad],'Utilización Convenios'!O$3,Tabla1[Nivel],"Pregrado")</f>
        <v>2</v>
      </c>
      <c r="P53" s="26">
        <f>COUNTIFS(Tabla2[Tipo de Movilidad],"Intercambio*",Tabla2[Universidad KPIs],'Utilización Convenios'!$C53,Tabla2[Año],'Utilización Convenios'!O$3,Tabla2[Nivel Nominación],"Undergraduate / Bachelor")</f>
        <v>0</v>
      </c>
      <c r="Q53" s="41">
        <f t="shared" si="1"/>
        <v>9</v>
      </c>
      <c r="R53" s="42">
        <f t="shared" si="1"/>
        <v>1</v>
      </c>
    </row>
    <row r="54" spans="2:18">
      <c r="B54" s="183"/>
      <c r="C54" s="86" t="s">
        <v>106</v>
      </c>
      <c r="D54" s="93" t="s">
        <v>107</v>
      </c>
      <c r="E54" s="88">
        <f>COUNTIFS(Tabla1[Tipo de Movilidad],"Intercambio*",Tabla1[Universidad KPIs],'Utilización Convenios'!$C54,Tabla1[Año de Movilidad],'Utilización Convenios'!E$3,Tabla1[Nivel],"Pregrado")</f>
        <v>0</v>
      </c>
      <c r="F54" s="11">
        <f>COUNTIFS(Tabla2[Tipo de Movilidad],"Intercambio*",Tabla2[Universidad KPIs],'Utilización Convenios'!$C54,Tabla2[Año],'Utilización Convenios'!E$3,Tabla2[Nivel Nominación],"Undergraduate / Bachelor")</f>
        <v>0</v>
      </c>
      <c r="G54" s="10">
        <f>COUNTIFS(Tabla1[Tipo de Movilidad],"Intercambio*",Tabla1[Universidad KPIs],'Utilización Convenios'!$C54,Tabla1[Año de Movilidad],'Utilización Convenios'!G$3,Tabla1[Nivel],"Pregrado")</f>
        <v>0</v>
      </c>
      <c r="H54" s="11">
        <f>COUNTIFS(Tabla2[Tipo de Movilidad],"Intercambio*",Tabla2[Universidad KPIs],'Utilización Convenios'!$C54,Tabla2[Año],'Utilización Convenios'!G$3,Tabla2[Nivel Nominación],"Undergraduate / Bachelor")</f>
        <v>0</v>
      </c>
      <c r="I54" s="10">
        <f>COUNTIFS(Tabla1[Tipo de Movilidad],"Intercambio*",Tabla1[Universidad KPIs],'Utilización Convenios'!$C54,Tabla1[Año de Movilidad],'Utilización Convenios'!I$3,Tabla1[Nivel],"Pregrado")</f>
        <v>0</v>
      </c>
      <c r="J54" s="11">
        <f>COUNTIFS(Tabla2[Tipo de Movilidad],"Intercambio*",Tabla2[Universidad KPIs],'Utilización Convenios'!$C54,Tabla2[Año],'Utilización Convenios'!I$3,Tabla2[Nivel Nominación],"Undergraduate / Bachelor")</f>
        <v>0</v>
      </c>
      <c r="K54" s="10">
        <f>COUNTIFS(Tabla1[Tipo de Movilidad],"Intercambio*",Tabla1[Universidad KPIs],'Utilización Convenios'!$C54,Tabla1[Año de Movilidad],'Utilización Convenios'!K$3,Tabla1[Nivel],"Pregrado")</f>
        <v>0</v>
      </c>
      <c r="L54" s="11">
        <f>COUNTIFS(Tabla2[Tipo de Movilidad],"Intercambio*",Tabla2[Universidad KPIs],'Utilización Convenios'!$C54,Tabla2[Año],'Utilización Convenios'!K$3,Tabla2[Nivel Nominación],"Undergraduate / Bachelor")</f>
        <v>0</v>
      </c>
      <c r="M54" s="10">
        <f>COUNTIFS(Tabla1[Tipo de Movilidad],"Intercambio*",Tabla1[Universidad KPIs],'Utilización Convenios'!$C54,Tabla1[Año de Movilidad],'Utilización Convenios'!M$3,Tabla1[Nivel],"Pregrado")</f>
        <v>0</v>
      </c>
      <c r="N54" s="26">
        <f>COUNTIFS(Tabla2[Tipo de Movilidad],"Intercambio*",Tabla2[Universidad KPIs],'Utilización Convenios'!$C54,Tabla2[Año],'Utilización Convenios'!M$3,Tabla2[Nivel Nominación],"Undergraduate / Bachelor")</f>
        <v>0</v>
      </c>
      <c r="O54" s="10">
        <f>COUNTIFS(Tabla1[Tipo de Movilidad],"Intercambio*",Tabla1[Universidad KPIs],'Utilización Convenios'!$C54,Tabla1[Año de Movilidad],'Utilización Convenios'!O$3,Tabla1[Nivel],"Pregrado")</f>
        <v>1</v>
      </c>
      <c r="P54" s="26">
        <f>COUNTIFS(Tabla2[Tipo de Movilidad],"Intercambio*",Tabla2[Universidad KPIs],'Utilización Convenios'!$C54,Tabla2[Año],'Utilización Convenios'!O$3,Tabla2[Nivel Nominación],"Undergraduate / Bachelor")</f>
        <v>0</v>
      </c>
      <c r="Q54" s="41">
        <f t="shared" si="1"/>
        <v>1</v>
      </c>
      <c r="R54" s="42">
        <f t="shared" si="1"/>
        <v>0</v>
      </c>
    </row>
    <row r="55" spans="2:18">
      <c r="B55" s="183"/>
      <c r="C55" s="86" t="s">
        <v>108</v>
      </c>
      <c r="D55" s="93" t="s">
        <v>35</v>
      </c>
      <c r="E55" s="88">
        <f>COUNTIFS(Tabla1[Tipo de Movilidad],"Intercambio*",Tabla1[Universidad KPIs],'Utilización Convenios'!$C55,Tabla1[Año de Movilidad],'Utilización Convenios'!E$3,Tabla1[Nivel],"Pregrado")</f>
        <v>1</v>
      </c>
      <c r="F55" s="11">
        <f>COUNTIFS(Tabla2[Tipo de Movilidad],"Intercambio*",Tabla2[Universidad KPIs],'Utilización Convenios'!$C55,Tabla2[Año],'Utilización Convenios'!E$3,Tabla2[Nivel Nominación],"Undergraduate / Bachelor")</f>
        <v>0</v>
      </c>
      <c r="G55" s="10">
        <f>COUNTIFS(Tabla1[Tipo de Movilidad],"Intercambio*",Tabla1[Universidad KPIs],'Utilización Convenios'!$C55,Tabla1[Año de Movilidad],'Utilización Convenios'!G$3,Tabla1[Nivel],"Pregrado")</f>
        <v>0</v>
      </c>
      <c r="H55" s="11">
        <f>COUNTIFS(Tabla2[Tipo de Movilidad],"Intercambio*",Tabla2[Universidad KPIs],'Utilización Convenios'!$C55,Tabla2[Año],'Utilización Convenios'!G$3,Tabla2[Nivel Nominación],"Undergraduate / Bachelor")</f>
        <v>0</v>
      </c>
      <c r="I55" s="10">
        <f>COUNTIFS(Tabla1[Tipo de Movilidad],"Intercambio*",Tabla1[Universidad KPIs],'Utilización Convenios'!$C55,Tabla1[Año de Movilidad],'Utilización Convenios'!I$3,Tabla1[Nivel],"Pregrado")</f>
        <v>0</v>
      </c>
      <c r="J55" s="11">
        <f>COUNTIFS(Tabla2[Tipo de Movilidad],"Intercambio*",Tabla2[Universidad KPIs],'Utilización Convenios'!$C55,Tabla2[Año],'Utilización Convenios'!I$3,Tabla2[Nivel Nominación],"Undergraduate / Bachelor")</f>
        <v>0</v>
      </c>
      <c r="K55" s="10">
        <f>COUNTIFS(Tabla1[Tipo de Movilidad],"Intercambio*",Tabla1[Universidad KPIs],'Utilización Convenios'!$C55,Tabla1[Año de Movilidad],'Utilización Convenios'!K$3,Tabla1[Nivel],"Pregrado")</f>
        <v>0</v>
      </c>
      <c r="L55" s="11">
        <f>COUNTIFS(Tabla2[Tipo de Movilidad],"Intercambio*",Tabla2[Universidad KPIs],'Utilización Convenios'!$C55,Tabla2[Año],'Utilización Convenios'!K$3,Tabla2[Nivel Nominación],"Undergraduate / Bachelor")</f>
        <v>0</v>
      </c>
      <c r="M55" s="10">
        <f>COUNTIFS(Tabla1[Tipo de Movilidad],"Intercambio*",Tabla1[Universidad KPIs],'Utilización Convenios'!$C55,Tabla1[Año de Movilidad],'Utilización Convenios'!M$3,Tabla1[Nivel],"Pregrado")</f>
        <v>0</v>
      </c>
      <c r="N55" s="26">
        <f>COUNTIFS(Tabla2[Tipo de Movilidad],"Intercambio*",Tabla2[Universidad KPIs],'Utilización Convenios'!$C55,Tabla2[Año],'Utilización Convenios'!M$3,Tabla2[Nivel Nominación],"Undergraduate / Bachelor")</f>
        <v>0</v>
      </c>
      <c r="O55" s="10">
        <f>COUNTIFS(Tabla1[Tipo de Movilidad],"Intercambio*",Tabla1[Universidad KPIs],'Utilización Convenios'!$C55,Tabla1[Año de Movilidad],'Utilización Convenios'!O$3,Tabla1[Nivel],"Pregrado")</f>
        <v>2</v>
      </c>
      <c r="P55" s="26">
        <f>COUNTIFS(Tabla2[Tipo de Movilidad],"Intercambio*",Tabla2[Universidad KPIs],'Utilización Convenios'!$C55,Tabla2[Año],'Utilización Convenios'!O$3,Tabla2[Nivel Nominación],"Undergraduate / Bachelor")</f>
        <v>0</v>
      </c>
      <c r="Q55" s="41">
        <f t="shared" si="1"/>
        <v>3</v>
      </c>
      <c r="R55" s="42">
        <f t="shared" si="1"/>
        <v>0</v>
      </c>
    </row>
    <row r="56" spans="2:18">
      <c r="B56" s="183"/>
      <c r="C56" s="86" t="s">
        <v>109</v>
      </c>
      <c r="D56" s="93" t="s">
        <v>110</v>
      </c>
      <c r="E56" s="88">
        <f>COUNTIFS(Tabla1[Tipo de Movilidad],"Intercambio*",Tabla1[Universidad KPIs],'Utilización Convenios'!$C56,Tabla1[Año de Movilidad],'Utilización Convenios'!E$3,Tabla1[Nivel],"Pregrado")</f>
        <v>0</v>
      </c>
      <c r="F56" s="11">
        <f>COUNTIFS(Tabla2[Tipo de Movilidad],"Intercambio*",Tabla2[Universidad KPIs],'Utilización Convenios'!$C56,Tabla2[Año],'Utilización Convenios'!E$3,Tabla2[Nivel Nominación],"Undergraduate / Bachelor")</f>
        <v>0</v>
      </c>
      <c r="G56" s="10">
        <f>COUNTIFS(Tabla1[Tipo de Movilidad],"Intercambio*",Tabla1[Universidad KPIs],'Utilización Convenios'!$C56,Tabla1[Año de Movilidad],'Utilización Convenios'!G$3,Tabla1[Nivel],"Pregrado")</f>
        <v>0</v>
      </c>
      <c r="H56" s="11">
        <f>COUNTIFS(Tabla2[Tipo de Movilidad],"Intercambio*",Tabla2[Universidad KPIs],'Utilización Convenios'!$C56,Tabla2[Año],'Utilización Convenios'!G$3,Tabla2[Nivel Nominación],"Undergraduate / Bachelor")</f>
        <v>0</v>
      </c>
      <c r="I56" s="10">
        <f>COUNTIFS(Tabla1[Tipo de Movilidad],"Intercambio*",Tabla1[Universidad KPIs],'Utilización Convenios'!$C56,Tabla1[Año de Movilidad],'Utilización Convenios'!I$3,Tabla1[Nivel],"Pregrado")</f>
        <v>0</v>
      </c>
      <c r="J56" s="11">
        <f>COUNTIFS(Tabla2[Tipo de Movilidad],"Intercambio*",Tabla2[Universidad KPIs],'Utilización Convenios'!$C56,Tabla2[Año],'Utilización Convenios'!I$3,Tabla2[Nivel Nominación],"Undergraduate / Bachelor")</f>
        <v>0</v>
      </c>
      <c r="K56" s="10">
        <f>COUNTIFS(Tabla1[Tipo de Movilidad],"Intercambio*",Tabla1[Universidad KPIs],'Utilización Convenios'!$C56,Tabla1[Año de Movilidad],'Utilización Convenios'!K$3,Tabla1[Nivel],"Pregrado")</f>
        <v>0</v>
      </c>
      <c r="L56" s="11">
        <f>COUNTIFS(Tabla2[Tipo de Movilidad],"Intercambio*",Tabla2[Universidad KPIs],'Utilización Convenios'!$C56,Tabla2[Año],'Utilización Convenios'!K$3,Tabla2[Nivel Nominación],"Undergraduate / Bachelor")</f>
        <v>0</v>
      </c>
      <c r="M56" s="10">
        <f>COUNTIFS(Tabla1[Tipo de Movilidad],"Intercambio*",Tabla1[Universidad KPIs],'Utilización Convenios'!$C56,Tabla1[Año de Movilidad],'Utilización Convenios'!M$3,Tabla1[Nivel],"Pregrado")</f>
        <v>0</v>
      </c>
      <c r="N56" s="26">
        <f>COUNTIFS(Tabla2[Tipo de Movilidad],"Intercambio*",Tabla2[Universidad KPIs],'Utilización Convenios'!$C56,Tabla2[Año],'Utilización Convenios'!M$3,Tabla2[Nivel Nominación],"Undergraduate / Bachelor")</f>
        <v>0</v>
      </c>
      <c r="O56" s="10">
        <f>COUNTIFS(Tabla1[Tipo de Movilidad],"Intercambio*",Tabla1[Universidad KPIs],'Utilización Convenios'!$C56,Tabla1[Año de Movilidad],'Utilización Convenios'!O$3,Tabla1[Nivel],"Pregrado")</f>
        <v>0</v>
      </c>
      <c r="P56" s="26">
        <f>COUNTIFS(Tabla2[Tipo de Movilidad],"Intercambio*",Tabla2[Universidad KPIs],'Utilización Convenios'!$C56,Tabla2[Año],'Utilización Convenios'!O$3,Tabla2[Nivel Nominación],"Undergraduate / Bachelor")</f>
        <v>0</v>
      </c>
      <c r="Q56" s="41">
        <f t="shared" si="1"/>
        <v>0</v>
      </c>
      <c r="R56" s="42">
        <f t="shared" si="1"/>
        <v>0</v>
      </c>
    </row>
    <row r="57" spans="2:18">
      <c r="B57" s="183"/>
      <c r="C57" s="86" t="s">
        <v>111</v>
      </c>
      <c r="D57" s="93" t="s">
        <v>112</v>
      </c>
      <c r="E57" s="88">
        <f>COUNTIFS(Tabla1[Tipo de Movilidad],"Intercambio*",Tabla1[Universidad KPIs],'Utilización Convenios'!$C57,Tabla1[Año de Movilidad],'Utilización Convenios'!E$3,Tabla1[Nivel],"Pregrado")</f>
        <v>0</v>
      </c>
      <c r="F57" s="11">
        <f>COUNTIFS(Tabla2[Tipo de Movilidad],"Intercambio*",Tabla2[Universidad KPIs],'Utilización Convenios'!$C57,Tabla2[Año],'Utilización Convenios'!E$3,Tabla2[Nivel Nominación],"Undergraduate / Bachelor")</f>
        <v>0</v>
      </c>
      <c r="G57" s="10">
        <f>COUNTIFS(Tabla1[Tipo de Movilidad],"Intercambio*",Tabla1[Universidad KPIs],'Utilización Convenios'!$C57,Tabla1[Año de Movilidad],'Utilización Convenios'!G$3,Tabla1[Nivel],"Pregrado")</f>
        <v>0</v>
      </c>
      <c r="H57" s="11">
        <f>COUNTIFS(Tabla2[Tipo de Movilidad],"Intercambio*",Tabla2[Universidad KPIs],'Utilización Convenios'!$C57,Tabla2[Año],'Utilización Convenios'!G$3,Tabla2[Nivel Nominación],"Undergraduate / Bachelor")</f>
        <v>0</v>
      </c>
      <c r="I57" s="10">
        <f>COUNTIFS(Tabla1[Tipo de Movilidad],"Intercambio*",Tabla1[Universidad KPIs],'Utilización Convenios'!$C57,Tabla1[Año de Movilidad],'Utilización Convenios'!I$3,Tabla1[Nivel],"Pregrado")</f>
        <v>0</v>
      </c>
      <c r="J57" s="11">
        <f>COUNTIFS(Tabla2[Tipo de Movilidad],"Intercambio*",Tabla2[Universidad KPIs],'Utilización Convenios'!$C57,Tabla2[Año],'Utilización Convenios'!I$3,Tabla2[Nivel Nominación],"Undergraduate / Bachelor")</f>
        <v>0</v>
      </c>
      <c r="K57" s="10">
        <f>COUNTIFS(Tabla1[Tipo de Movilidad],"Intercambio*",Tabla1[Universidad KPIs],'Utilización Convenios'!$C57,Tabla1[Año de Movilidad],'Utilización Convenios'!K$3,Tabla1[Nivel],"Pregrado")</f>
        <v>0</v>
      </c>
      <c r="L57" s="11">
        <f>COUNTIFS(Tabla2[Tipo de Movilidad],"Intercambio*",Tabla2[Universidad KPIs],'Utilización Convenios'!$C57,Tabla2[Año],'Utilización Convenios'!K$3,Tabla2[Nivel Nominación],"Undergraduate / Bachelor")</f>
        <v>0</v>
      </c>
      <c r="M57" s="10">
        <f>COUNTIFS(Tabla1[Tipo de Movilidad],"Intercambio*",Tabla1[Universidad KPIs],'Utilización Convenios'!$C57,Tabla1[Año de Movilidad],'Utilización Convenios'!M$3,Tabla1[Nivel],"Pregrado")</f>
        <v>0</v>
      </c>
      <c r="N57" s="26">
        <f>COUNTIFS(Tabla2[Tipo de Movilidad],"Intercambio*",Tabla2[Universidad KPIs],'Utilización Convenios'!$C57,Tabla2[Año],'Utilización Convenios'!M$3,Tabla2[Nivel Nominación],"Undergraduate / Bachelor")</f>
        <v>0</v>
      </c>
      <c r="O57" s="10">
        <f>COUNTIFS(Tabla1[Tipo de Movilidad],"Intercambio*",Tabla1[Universidad KPIs],'Utilización Convenios'!$C57,Tabla1[Año de Movilidad],'Utilización Convenios'!O$3,Tabla1[Nivel],"Pregrado")</f>
        <v>0</v>
      </c>
      <c r="P57" s="26">
        <f>COUNTIFS(Tabla2[Tipo de Movilidad],"Intercambio*",Tabla2[Universidad KPIs],'Utilización Convenios'!$C57,Tabla2[Año],'Utilización Convenios'!O$3,Tabla2[Nivel Nominación],"Undergraduate / Bachelor")</f>
        <v>0</v>
      </c>
      <c r="Q57" s="41">
        <f t="shared" si="1"/>
        <v>0</v>
      </c>
      <c r="R57" s="42">
        <f t="shared" si="1"/>
        <v>0</v>
      </c>
    </row>
    <row r="58" spans="2:18">
      <c r="B58" s="183"/>
      <c r="C58" s="86" t="s">
        <v>113</v>
      </c>
      <c r="D58" s="93" t="s">
        <v>114</v>
      </c>
      <c r="E58" s="88">
        <f>COUNTIFS(Tabla1[Tipo de Movilidad],"Intercambio*",Tabla1[Universidad KPIs],'Utilización Convenios'!$C58,Tabla1[Año de Movilidad],'Utilización Convenios'!E$3,Tabla1[Nivel],"Pregrado")</f>
        <v>0</v>
      </c>
      <c r="F58" s="11">
        <f>COUNTIFS(Tabla2[Tipo de Movilidad],"Intercambio*",Tabla2[Universidad KPIs],'Utilización Convenios'!$C58,Tabla2[Año],'Utilización Convenios'!E$3,Tabla2[Nivel Nominación],"Undergraduate / Bachelor")</f>
        <v>0</v>
      </c>
      <c r="G58" s="10">
        <f>COUNTIFS(Tabla1[Tipo de Movilidad],"Intercambio*",Tabla1[Universidad KPIs],'Utilización Convenios'!$C58,Tabla1[Año de Movilidad],'Utilización Convenios'!G$3,Tabla1[Nivel],"Pregrado")</f>
        <v>0</v>
      </c>
      <c r="H58" s="11">
        <f>COUNTIFS(Tabla2[Tipo de Movilidad],"Intercambio*",Tabla2[Universidad KPIs],'Utilización Convenios'!$C58,Tabla2[Año],'Utilización Convenios'!G$3,Tabla2[Nivel Nominación],"Undergraduate / Bachelor")</f>
        <v>0</v>
      </c>
      <c r="I58" s="10">
        <f>COUNTIFS(Tabla1[Tipo de Movilidad],"Intercambio*",Tabla1[Universidad KPIs],'Utilización Convenios'!$C58,Tabla1[Año de Movilidad],'Utilización Convenios'!I$3,Tabla1[Nivel],"Pregrado")</f>
        <v>0</v>
      </c>
      <c r="J58" s="11">
        <f>COUNTIFS(Tabla2[Tipo de Movilidad],"Intercambio*",Tabla2[Universidad KPIs],'Utilización Convenios'!$C58,Tabla2[Año],'Utilización Convenios'!I$3,Tabla2[Nivel Nominación],"Undergraduate / Bachelor")</f>
        <v>0</v>
      </c>
      <c r="K58" s="10">
        <f>COUNTIFS(Tabla1[Tipo de Movilidad],"Intercambio*",Tabla1[Universidad KPIs],'Utilización Convenios'!$C58,Tabla1[Año de Movilidad],'Utilización Convenios'!K$3,Tabla1[Nivel],"Pregrado")</f>
        <v>0</v>
      </c>
      <c r="L58" s="11">
        <f>COUNTIFS(Tabla2[Tipo de Movilidad],"Intercambio*",Tabla2[Universidad KPIs],'Utilización Convenios'!$C58,Tabla2[Año],'Utilización Convenios'!K$3,Tabla2[Nivel Nominación],"Undergraduate / Bachelor")</f>
        <v>0</v>
      </c>
      <c r="M58" s="10">
        <f>COUNTIFS(Tabla1[Tipo de Movilidad],"Intercambio*",Tabla1[Universidad KPIs],'Utilización Convenios'!$C58,Tabla1[Año de Movilidad],'Utilización Convenios'!M$3,Tabla1[Nivel],"Pregrado")</f>
        <v>0</v>
      </c>
      <c r="N58" s="26">
        <f>COUNTIFS(Tabla2[Tipo de Movilidad],"Intercambio*",Tabla2[Universidad KPIs],'Utilización Convenios'!$C58,Tabla2[Año],'Utilización Convenios'!M$3,Tabla2[Nivel Nominación],"Undergraduate / Bachelor")</f>
        <v>0</v>
      </c>
      <c r="O58" s="10">
        <f>COUNTIFS(Tabla1[Tipo de Movilidad],"Intercambio*",Tabla1[Universidad KPIs],'Utilización Convenios'!$C58,Tabla1[Año de Movilidad],'Utilización Convenios'!O$3,Tabla1[Nivel],"Pregrado")</f>
        <v>0</v>
      </c>
      <c r="P58" s="26">
        <f>COUNTIFS(Tabla2[Tipo de Movilidad],"Intercambio*",Tabla2[Universidad KPIs],'Utilización Convenios'!$C58,Tabla2[Año],'Utilización Convenios'!O$3,Tabla2[Nivel Nominación],"Undergraduate / Bachelor")</f>
        <v>0</v>
      </c>
      <c r="Q58" s="41">
        <f t="shared" si="1"/>
        <v>0</v>
      </c>
      <c r="R58" s="42">
        <f t="shared" si="1"/>
        <v>0</v>
      </c>
    </row>
    <row r="59" spans="2:18">
      <c r="B59" s="183"/>
      <c r="C59" s="86" t="s">
        <v>115</v>
      </c>
      <c r="D59" s="93" t="s">
        <v>39</v>
      </c>
      <c r="E59" s="88">
        <f>COUNTIFS(Tabla1[Tipo de Movilidad],"Intercambio*",Tabla1[Universidad KPIs],'Utilización Convenios'!$C59,Tabla1[Año de Movilidad],'Utilización Convenios'!E$3,Tabla1[Nivel],"Pregrado")</f>
        <v>0</v>
      </c>
      <c r="F59" s="11">
        <f>COUNTIFS(Tabla2[Tipo de Movilidad],"Intercambio*",Tabla2[Universidad KPIs],'Utilización Convenios'!$C59,Tabla2[Año],'Utilización Convenios'!E$3,Tabla2[Nivel Nominación],"Undergraduate / Bachelor")</f>
        <v>0</v>
      </c>
      <c r="G59" s="10">
        <f>COUNTIFS(Tabla1[Tipo de Movilidad],"Intercambio*",Tabla1[Universidad KPIs],'Utilización Convenios'!$C59,Tabla1[Año de Movilidad],'Utilización Convenios'!G$3,Tabla1[Nivel],"Pregrado")</f>
        <v>0</v>
      </c>
      <c r="H59" s="11">
        <f>COUNTIFS(Tabla2[Tipo de Movilidad],"Intercambio*",Tabla2[Universidad KPIs],'Utilización Convenios'!$C59,Tabla2[Año],'Utilización Convenios'!G$3,Tabla2[Nivel Nominación],"Undergraduate / Bachelor")</f>
        <v>0</v>
      </c>
      <c r="I59" s="10">
        <f>COUNTIFS(Tabla1[Tipo de Movilidad],"Intercambio*",Tabla1[Universidad KPIs],'Utilización Convenios'!$C59,Tabla1[Año de Movilidad],'Utilización Convenios'!I$3,Tabla1[Nivel],"Pregrado")</f>
        <v>0</v>
      </c>
      <c r="J59" s="11">
        <f>COUNTIFS(Tabla2[Tipo de Movilidad],"Intercambio*",Tabla2[Universidad KPIs],'Utilización Convenios'!$C59,Tabla2[Año],'Utilización Convenios'!I$3,Tabla2[Nivel Nominación],"Undergraduate / Bachelor")</f>
        <v>0</v>
      </c>
      <c r="K59" s="10">
        <f>COUNTIFS(Tabla1[Tipo de Movilidad],"Intercambio*",Tabla1[Universidad KPIs],'Utilización Convenios'!$C59,Tabla1[Año de Movilidad],'Utilización Convenios'!K$3,Tabla1[Nivel],"Pregrado")</f>
        <v>0</v>
      </c>
      <c r="L59" s="11">
        <f>COUNTIFS(Tabla2[Tipo de Movilidad],"Intercambio*",Tabla2[Universidad KPIs],'Utilización Convenios'!$C59,Tabla2[Año],'Utilización Convenios'!K$3,Tabla2[Nivel Nominación],"Undergraduate / Bachelor")</f>
        <v>0</v>
      </c>
      <c r="M59" s="10">
        <f>COUNTIFS(Tabla1[Tipo de Movilidad],"Intercambio*",Tabla1[Universidad KPIs],'Utilización Convenios'!$C59,Tabla1[Año de Movilidad],'Utilización Convenios'!M$3,Tabla1[Nivel],"Pregrado")</f>
        <v>0</v>
      </c>
      <c r="N59" s="26">
        <f>COUNTIFS(Tabla2[Tipo de Movilidad],"Intercambio*",Tabla2[Universidad KPIs],'Utilización Convenios'!$C59,Tabla2[Año],'Utilización Convenios'!M$3,Tabla2[Nivel Nominación],"Undergraduate / Bachelor")</f>
        <v>0</v>
      </c>
      <c r="O59" s="10">
        <f>COUNTIFS(Tabla1[Tipo de Movilidad],"Intercambio*",Tabla1[Universidad KPIs],'Utilización Convenios'!$C59,Tabla1[Año de Movilidad],'Utilización Convenios'!O$3,Tabla1[Nivel],"Pregrado")</f>
        <v>0</v>
      </c>
      <c r="P59" s="26">
        <f>COUNTIFS(Tabla2[Tipo de Movilidad],"Intercambio*",Tabla2[Universidad KPIs],'Utilización Convenios'!$C59,Tabla2[Año],'Utilización Convenios'!O$3,Tabla2[Nivel Nominación],"Undergraduate / Bachelor")</f>
        <v>0</v>
      </c>
      <c r="Q59" s="41">
        <f t="shared" si="1"/>
        <v>0</v>
      </c>
      <c r="R59" s="42">
        <f t="shared" si="1"/>
        <v>0</v>
      </c>
    </row>
    <row r="60" spans="2:18">
      <c r="B60" s="183"/>
      <c r="C60" s="86" t="s">
        <v>116</v>
      </c>
      <c r="D60" s="93" t="s">
        <v>117</v>
      </c>
      <c r="E60" s="88">
        <f>COUNTIFS(Tabla1[Tipo de Movilidad],"Intercambio*",Tabla1[Universidad KPIs],'Utilización Convenios'!$C60,Tabla1[Año de Movilidad],'Utilización Convenios'!E$3,Tabla1[Nivel],"Pregrado")</f>
        <v>0</v>
      </c>
      <c r="F60" s="11">
        <f>COUNTIFS(Tabla2[Tipo de Movilidad],"Intercambio*",Tabla2[Universidad KPIs],'Utilización Convenios'!$C60,Tabla2[Año],'Utilización Convenios'!E$3,Tabla2[Nivel Nominación],"Undergraduate / Bachelor")</f>
        <v>0</v>
      </c>
      <c r="G60" s="10">
        <f>COUNTIFS(Tabla1[Tipo de Movilidad],"Intercambio*",Tabla1[Universidad KPIs],'Utilización Convenios'!$C60,Tabla1[Año de Movilidad],'Utilización Convenios'!G$3,Tabla1[Nivel],"Pregrado")</f>
        <v>0</v>
      </c>
      <c r="H60" s="11">
        <f>COUNTIFS(Tabla2[Tipo de Movilidad],"Intercambio*",Tabla2[Universidad KPIs],'Utilización Convenios'!$C60,Tabla2[Año],'Utilización Convenios'!G$3,Tabla2[Nivel Nominación],"Undergraduate / Bachelor")</f>
        <v>0</v>
      </c>
      <c r="I60" s="10">
        <f>COUNTIFS(Tabla1[Tipo de Movilidad],"Intercambio*",Tabla1[Universidad KPIs],'Utilización Convenios'!$C60,Tabla1[Año de Movilidad],'Utilización Convenios'!I$3,Tabla1[Nivel],"Pregrado")</f>
        <v>0</v>
      </c>
      <c r="J60" s="11">
        <f>COUNTIFS(Tabla2[Tipo de Movilidad],"Intercambio*",Tabla2[Universidad KPIs],'Utilización Convenios'!$C60,Tabla2[Año],'Utilización Convenios'!I$3,Tabla2[Nivel Nominación],"Undergraduate / Bachelor")</f>
        <v>0</v>
      </c>
      <c r="K60" s="10">
        <f>COUNTIFS(Tabla1[Tipo de Movilidad],"Intercambio*",Tabla1[Universidad KPIs],'Utilización Convenios'!$C60,Tabla1[Año de Movilidad],'Utilización Convenios'!K$3,Tabla1[Nivel],"Pregrado")</f>
        <v>0</v>
      </c>
      <c r="L60" s="11">
        <f>COUNTIFS(Tabla2[Tipo de Movilidad],"Intercambio*",Tabla2[Universidad KPIs],'Utilización Convenios'!$C60,Tabla2[Año],'Utilización Convenios'!K$3,Tabla2[Nivel Nominación],"Undergraduate / Bachelor")</f>
        <v>0</v>
      </c>
      <c r="M60" s="10">
        <f>COUNTIFS(Tabla1[Tipo de Movilidad],"Intercambio*",Tabla1[Universidad KPIs],'Utilización Convenios'!$C60,Tabla1[Año de Movilidad],'Utilización Convenios'!M$3,Tabla1[Nivel],"Pregrado")</f>
        <v>0</v>
      </c>
      <c r="N60" s="26">
        <f>COUNTIFS(Tabla2[Tipo de Movilidad],"Intercambio*",Tabla2[Universidad KPIs],'Utilización Convenios'!$C60,Tabla2[Año],'Utilización Convenios'!M$3,Tabla2[Nivel Nominación],"Undergraduate / Bachelor")</f>
        <v>0</v>
      </c>
      <c r="O60" s="10">
        <f>COUNTIFS(Tabla1[Tipo de Movilidad],"Intercambio*",Tabla1[Universidad KPIs],'Utilización Convenios'!$C60,Tabla1[Año de Movilidad],'Utilización Convenios'!O$3,Tabla1[Nivel],"Pregrado")</f>
        <v>0</v>
      </c>
      <c r="P60" s="26">
        <f>COUNTIFS(Tabla2[Tipo de Movilidad],"Intercambio*",Tabla2[Universidad KPIs],'Utilización Convenios'!$C60,Tabla2[Año],'Utilización Convenios'!O$3,Tabla2[Nivel Nominación],"Undergraduate / Bachelor")</f>
        <v>0</v>
      </c>
      <c r="Q60" s="41">
        <f t="shared" si="1"/>
        <v>0</v>
      </c>
      <c r="R60" s="42">
        <f t="shared" si="1"/>
        <v>0</v>
      </c>
    </row>
    <row r="61" spans="2:18">
      <c r="B61" s="183"/>
      <c r="C61" s="86" t="s">
        <v>118</v>
      </c>
      <c r="D61" s="93" t="s">
        <v>119</v>
      </c>
      <c r="E61" s="88">
        <f>COUNTIFS(Tabla1[Tipo de Movilidad],"Intercambio*",Tabla1[Universidad KPIs],'Utilización Convenios'!$C61,Tabla1[Año de Movilidad],'Utilización Convenios'!E$3,Tabla1[Nivel],"Pregrado")</f>
        <v>0</v>
      </c>
      <c r="F61" s="11">
        <f>COUNTIFS(Tabla2[Tipo de Movilidad],"Intercambio*",Tabla2[Universidad KPIs],'Utilización Convenios'!$C61,Tabla2[Año],'Utilización Convenios'!E$3,Tabla2[Nivel Nominación],"Undergraduate / Bachelor")</f>
        <v>0</v>
      </c>
      <c r="G61" s="10">
        <f>COUNTIFS(Tabla1[Tipo de Movilidad],"Intercambio*",Tabla1[Universidad KPIs],'Utilización Convenios'!$C61,Tabla1[Año de Movilidad],'Utilización Convenios'!G$3,Tabla1[Nivel],"Pregrado")</f>
        <v>0</v>
      </c>
      <c r="H61" s="11">
        <f>COUNTIFS(Tabla2[Tipo de Movilidad],"Intercambio*",Tabla2[Universidad KPIs],'Utilización Convenios'!$C61,Tabla2[Año],'Utilización Convenios'!G$3,Tabla2[Nivel Nominación],"Undergraduate / Bachelor")</f>
        <v>0</v>
      </c>
      <c r="I61" s="10">
        <f>COUNTIFS(Tabla1[Tipo de Movilidad],"Intercambio*",Tabla1[Universidad KPIs],'Utilización Convenios'!$C61,Tabla1[Año de Movilidad],'Utilización Convenios'!I$3,Tabla1[Nivel],"Pregrado")</f>
        <v>0</v>
      </c>
      <c r="J61" s="11">
        <f>COUNTIFS(Tabla2[Tipo de Movilidad],"Intercambio*",Tabla2[Universidad KPIs],'Utilización Convenios'!$C61,Tabla2[Año],'Utilización Convenios'!I$3,Tabla2[Nivel Nominación],"Undergraduate / Bachelor")</f>
        <v>0</v>
      </c>
      <c r="K61" s="10">
        <f>COUNTIFS(Tabla1[Tipo de Movilidad],"Intercambio*",Tabla1[Universidad KPIs],'Utilización Convenios'!$C61,Tabla1[Año de Movilidad],'Utilización Convenios'!K$3,Tabla1[Nivel],"Pregrado")</f>
        <v>0</v>
      </c>
      <c r="L61" s="11">
        <f>COUNTIFS(Tabla2[Tipo de Movilidad],"Intercambio*",Tabla2[Universidad KPIs],'Utilización Convenios'!$C61,Tabla2[Año],'Utilización Convenios'!K$3,Tabla2[Nivel Nominación],"Undergraduate / Bachelor")</f>
        <v>0</v>
      </c>
      <c r="M61" s="10">
        <f>COUNTIFS(Tabla1[Tipo de Movilidad],"Intercambio*",Tabla1[Universidad KPIs],'Utilización Convenios'!$C61,Tabla1[Año de Movilidad],'Utilización Convenios'!M$3,Tabla1[Nivel],"Pregrado")</f>
        <v>0</v>
      </c>
      <c r="N61" s="26">
        <f>COUNTIFS(Tabla2[Tipo de Movilidad],"Intercambio*",Tabla2[Universidad KPIs],'Utilización Convenios'!$C61,Tabla2[Año],'Utilización Convenios'!M$3,Tabla2[Nivel Nominación],"Undergraduate / Bachelor")</f>
        <v>0</v>
      </c>
      <c r="O61" s="10">
        <f>COUNTIFS(Tabla1[Tipo de Movilidad],"Intercambio*",Tabla1[Universidad KPIs],'Utilización Convenios'!$C61,Tabla1[Año de Movilidad],'Utilización Convenios'!O$3,Tabla1[Nivel],"Pregrado")</f>
        <v>0</v>
      </c>
      <c r="P61" s="26">
        <f>COUNTIFS(Tabla2[Tipo de Movilidad],"Intercambio*",Tabla2[Universidad KPIs],'Utilización Convenios'!$C61,Tabla2[Año],'Utilización Convenios'!O$3,Tabla2[Nivel Nominación],"Undergraduate / Bachelor")</f>
        <v>0</v>
      </c>
      <c r="Q61" s="41">
        <f t="shared" si="1"/>
        <v>0</v>
      </c>
      <c r="R61" s="42">
        <f t="shared" si="1"/>
        <v>0</v>
      </c>
    </row>
    <row r="62" spans="2:18">
      <c r="B62" s="183"/>
      <c r="C62" s="86" t="s">
        <v>120</v>
      </c>
      <c r="D62" s="93" t="s">
        <v>60</v>
      </c>
      <c r="E62" s="88">
        <f>COUNTIFS(Tabla1[Tipo de Movilidad],"Intercambio*",Tabla1[Universidad KPIs],'Utilización Convenios'!$C62,Tabla1[Año de Movilidad],'Utilización Convenios'!E$3,Tabla1[Nivel],"Pregrado")</f>
        <v>0</v>
      </c>
      <c r="F62" s="11">
        <f>COUNTIFS(Tabla2[Tipo de Movilidad],"Intercambio*",Tabla2[Universidad KPIs],'Utilización Convenios'!$C62,Tabla2[Año],'Utilización Convenios'!E$3,Tabla2[Nivel Nominación],"Undergraduate / Bachelor")</f>
        <v>0</v>
      </c>
      <c r="G62" s="10">
        <f>COUNTIFS(Tabla1[Tipo de Movilidad],"Intercambio*",Tabla1[Universidad KPIs],'Utilización Convenios'!$C62,Tabla1[Año de Movilidad],'Utilización Convenios'!G$3,Tabla1[Nivel],"Pregrado")</f>
        <v>0</v>
      </c>
      <c r="H62" s="11">
        <f>COUNTIFS(Tabla2[Tipo de Movilidad],"Intercambio*",Tabla2[Universidad KPIs],'Utilización Convenios'!$C62,Tabla2[Año],'Utilización Convenios'!G$3,Tabla2[Nivel Nominación],"Undergraduate / Bachelor")</f>
        <v>0</v>
      </c>
      <c r="I62" s="10">
        <f>COUNTIFS(Tabla1[Tipo de Movilidad],"Intercambio*",Tabla1[Universidad KPIs],'Utilización Convenios'!$C62,Tabla1[Año de Movilidad],'Utilización Convenios'!I$3,Tabla1[Nivel],"Pregrado")</f>
        <v>0</v>
      </c>
      <c r="J62" s="11">
        <f>COUNTIFS(Tabla2[Tipo de Movilidad],"Intercambio*",Tabla2[Universidad KPIs],'Utilización Convenios'!$C62,Tabla2[Año],'Utilización Convenios'!I$3,Tabla2[Nivel Nominación],"Undergraduate / Bachelor")</f>
        <v>0</v>
      </c>
      <c r="K62" s="10">
        <f>COUNTIFS(Tabla1[Tipo de Movilidad],"Intercambio*",Tabla1[Universidad KPIs],'Utilización Convenios'!$C62,Tabla1[Año de Movilidad],'Utilización Convenios'!K$3,Tabla1[Nivel],"Pregrado")</f>
        <v>0</v>
      </c>
      <c r="L62" s="11">
        <f>COUNTIFS(Tabla2[Tipo de Movilidad],"Intercambio*",Tabla2[Universidad KPIs],'Utilización Convenios'!$C62,Tabla2[Año],'Utilización Convenios'!K$3,Tabla2[Nivel Nominación],"Undergraduate / Bachelor")</f>
        <v>0</v>
      </c>
      <c r="M62" s="10">
        <f>COUNTIFS(Tabla1[Tipo de Movilidad],"Intercambio*",Tabla1[Universidad KPIs],'Utilización Convenios'!$C62,Tabla1[Año de Movilidad],'Utilización Convenios'!M$3,Tabla1[Nivel],"Pregrado")</f>
        <v>0</v>
      </c>
      <c r="N62" s="26">
        <f>COUNTIFS(Tabla2[Tipo de Movilidad],"Intercambio*",Tabla2[Universidad KPIs],'Utilización Convenios'!$C62,Tabla2[Año],'Utilización Convenios'!M$3,Tabla2[Nivel Nominación],"Undergraduate / Bachelor")</f>
        <v>0</v>
      </c>
      <c r="O62" s="10">
        <f>COUNTIFS(Tabla1[Tipo de Movilidad],"Intercambio*",Tabla1[Universidad KPIs],'Utilización Convenios'!$C62,Tabla1[Año de Movilidad],'Utilización Convenios'!O$3,Tabla1[Nivel],"Pregrado")</f>
        <v>0</v>
      </c>
      <c r="P62" s="26">
        <f>COUNTIFS(Tabla2[Tipo de Movilidad],"Intercambio*",Tabla2[Universidad KPIs],'Utilización Convenios'!$C62,Tabla2[Año],'Utilización Convenios'!O$3,Tabla2[Nivel Nominación],"Undergraduate / Bachelor")</f>
        <v>0</v>
      </c>
      <c r="Q62" s="41">
        <f t="shared" si="1"/>
        <v>0</v>
      </c>
      <c r="R62" s="42">
        <f t="shared" si="1"/>
        <v>0</v>
      </c>
    </row>
    <row r="63" spans="2:18">
      <c r="B63" s="183"/>
      <c r="C63" s="86" t="s">
        <v>121</v>
      </c>
      <c r="D63" s="93" t="s">
        <v>60</v>
      </c>
      <c r="E63" s="88">
        <f>COUNTIFS(Tabla1[Tipo de Movilidad],"Intercambio*",Tabla1[Universidad KPIs],'Utilización Convenios'!$C63,Tabla1[Año de Movilidad],'Utilización Convenios'!E$3,Tabla1[Nivel],"Pregrado")</f>
        <v>0</v>
      </c>
      <c r="F63" s="11">
        <f>COUNTIFS(Tabla2[Tipo de Movilidad],"Intercambio*",Tabla2[Universidad KPIs],'Utilización Convenios'!$C63,Tabla2[Año],'Utilización Convenios'!E$3,Tabla2[Nivel Nominación],"Undergraduate / Bachelor")</f>
        <v>0</v>
      </c>
      <c r="G63" s="10">
        <f>COUNTIFS(Tabla1[Tipo de Movilidad],"Intercambio*",Tabla1[Universidad KPIs],'Utilización Convenios'!$C63,Tabla1[Año de Movilidad],'Utilización Convenios'!G$3,Tabla1[Nivel],"Pregrado")</f>
        <v>0</v>
      </c>
      <c r="H63" s="11">
        <f>COUNTIFS(Tabla2[Tipo de Movilidad],"Intercambio*",Tabla2[Universidad KPIs],'Utilización Convenios'!$C63,Tabla2[Año],'Utilización Convenios'!G$3,Tabla2[Nivel Nominación],"Undergraduate / Bachelor")</f>
        <v>0</v>
      </c>
      <c r="I63" s="10">
        <f>COUNTIFS(Tabla1[Tipo de Movilidad],"Intercambio*",Tabla1[Universidad KPIs],'Utilización Convenios'!$C63,Tabla1[Año de Movilidad],'Utilización Convenios'!I$3,Tabla1[Nivel],"Pregrado")</f>
        <v>0</v>
      </c>
      <c r="J63" s="11">
        <f>COUNTIFS(Tabla2[Tipo de Movilidad],"Intercambio*",Tabla2[Universidad KPIs],'Utilización Convenios'!$C63,Tabla2[Año],'Utilización Convenios'!I$3,Tabla2[Nivel Nominación],"Undergraduate / Bachelor")</f>
        <v>0</v>
      </c>
      <c r="K63" s="10">
        <f>COUNTIFS(Tabla1[Tipo de Movilidad],"Intercambio*",Tabla1[Universidad KPIs],'Utilización Convenios'!$C63,Tabla1[Año de Movilidad],'Utilización Convenios'!K$3,Tabla1[Nivel],"Pregrado")</f>
        <v>0</v>
      </c>
      <c r="L63" s="11">
        <f>COUNTIFS(Tabla2[Tipo de Movilidad],"Intercambio*",Tabla2[Universidad KPIs],'Utilización Convenios'!$C63,Tabla2[Año],'Utilización Convenios'!K$3,Tabla2[Nivel Nominación],"Undergraduate / Bachelor")</f>
        <v>0</v>
      </c>
      <c r="M63" s="10">
        <f>COUNTIFS(Tabla1[Tipo de Movilidad],"Intercambio*",Tabla1[Universidad KPIs],'Utilización Convenios'!$C63,Tabla1[Año de Movilidad],'Utilización Convenios'!M$3,Tabla1[Nivel],"Pregrado")</f>
        <v>0</v>
      </c>
      <c r="N63" s="26">
        <f>COUNTIFS(Tabla2[Tipo de Movilidad],"Intercambio*",Tabla2[Universidad KPIs],'Utilización Convenios'!$C63,Tabla2[Año],'Utilización Convenios'!M$3,Tabla2[Nivel Nominación],"Undergraduate / Bachelor")</f>
        <v>0</v>
      </c>
      <c r="O63" s="10">
        <f>COUNTIFS(Tabla1[Tipo de Movilidad],"Intercambio*",Tabla1[Universidad KPIs],'Utilización Convenios'!$C63,Tabla1[Año de Movilidad],'Utilización Convenios'!O$3,Tabla1[Nivel],"Pregrado")</f>
        <v>0</v>
      </c>
      <c r="P63" s="26">
        <f>COUNTIFS(Tabla2[Tipo de Movilidad],"Intercambio*",Tabla2[Universidad KPIs],'Utilización Convenios'!$C63,Tabla2[Año],'Utilización Convenios'!O$3,Tabla2[Nivel Nominación],"Undergraduate / Bachelor")</f>
        <v>0</v>
      </c>
      <c r="Q63" s="41">
        <f t="shared" si="1"/>
        <v>0</v>
      </c>
      <c r="R63" s="42">
        <f t="shared" si="1"/>
        <v>0</v>
      </c>
    </row>
    <row r="64" spans="2:18" ht="15.75" thickBot="1">
      <c r="B64" s="183"/>
      <c r="C64" s="98" t="s">
        <v>122</v>
      </c>
      <c r="D64" s="99" t="s">
        <v>114</v>
      </c>
      <c r="E64" s="89">
        <f>COUNTIFS(Tabla1[Tipo de Movilidad],"Intercambio*",Tabla1[Universidad KPIs],'Utilización Convenios'!$C64,Tabla1[Año de Movilidad],'Utilización Convenios'!E$3,Tabla1[Nivel],"Pregrado")</f>
        <v>0</v>
      </c>
      <c r="F64" s="32">
        <f>COUNTIFS(Tabla2[Tipo de Movilidad],"Intercambio*",Tabla2[Universidad KPIs],'Utilización Convenios'!$C64,Tabla2[Año],'Utilización Convenios'!E$3,Tabla2[Nivel Nominación],"Undergraduate / Bachelor")</f>
        <v>0</v>
      </c>
      <c r="G64" s="25">
        <f>COUNTIFS(Tabla1[Tipo de Movilidad],"Intercambio*",Tabla1[Universidad KPIs],'Utilización Convenios'!$C64,Tabla1[Año de Movilidad],'Utilización Convenios'!G$3,Tabla1[Nivel],"Pregrado")</f>
        <v>0</v>
      </c>
      <c r="H64" s="32">
        <f>COUNTIFS(Tabla2[Tipo de Movilidad],"Intercambio*",Tabla2[Universidad KPIs],'Utilización Convenios'!$C64,Tabla2[Año],'Utilización Convenios'!G$3,Tabla2[Nivel Nominación],"Undergraduate / Bachelor")</f>
        <v>0</v>
      </c>
      <c r="I64" s="25">
        <f>COUNTIFS(Tabla1[Tipo de Movilidad],"Intercambio*",Tabla1[Universidad KPIs],'Utilización Convenios'!$C64,Tabla1[Año de Movilidad],'Utilización Convenios'!I$3,Tabla1[Nivel],"Pregrado")</f>
        <v>0</v>
      </c>
      <c r="J64" s="32">
        <f>COUNTIFS(Tabla2[Tipo de Movilidad],"Intercambio*",Tabla2[Universidad KPIs],'Utilización Convenios'!$C64,Tabla2[Año],'Utilización Convenios'!I$3,Tabla2[Nivel Nominación],"Undergraduate / Bachelor")</f>
        <v>0</v>
      </c>
      <c r="K64" s="25">
        <f>COUNTIFS(Tabla1[Tipo de Movilidad],"Intercambio*",Tabla1[Universidad KPIs],'Utilización Convenios'!$C64,Tabla1[Año de Movilidad],'Utilización Convenios'!K$3,Tabla1[Nivel],"Pregrado")</f>
        <v>0</v>
      </c>
      <c r="L64" s="32">
        <f>COUNTIFS(Tabla2[Tipo de Movilidad],"Intercambio*",Tabla2[Universidad KPIs],'Utilización Convenios'!$C64,Tabla2[Año],'Utilización Convenios'!K$3,Tabla2[Nivel Nominación],"Undergraduate / Bachelor")</f>
        <v>0</v>
      </c>
      <c r="M64" s="25">
        <f>COUNTIFS(Tabla1[Tipo de Movilidad],"Intercambio*",Tabla1[Universidad KPIs],'Utilización Convenios'!$C64,Tabla1[Año de Movilidad],'Utilización Convenios'!M$3,Tabla1[Nivel],"Pregrado")</f>
        <v>0</v>
      </c>
      <c r="N64" s="30">
        <f>COUNTIFS(Tabla2[Tipo de Movilidad],"Intercambio*",Tabla2[Universidad KPIs],'Utilización Convenios'!$C64,Tabla2[Año],'Utilización Convenios'!M$3,Tabla2[Nivel Nominación],"Undergraduate / Bachelor")</f>
        <v>0</v>
      </c>
      <c r="O64" s="25">
        <f>COUNTIFS(Tabla1[Tipo de Movilidad],"Intercambio*",Tabla1[Universidad KPIs],'Utilización Convenios'!$C64,Tabla1[Año de Movilidad],'Utilización Convenios'!O$3,Tabla1[Nivel],"Pregrado")</f>
        <v>0</v>
      </c>
      <c r="P64" s="30">
        <f>COUNTIFS(Tabla2[Tipo de Movilidad],"Intercambio*",Tabla2[Universidad KPIs],'Utilización Convenios'!$C64,Tabla2[Año],'Utilización Convenios'!O$3,Tabla2[Nivel Nominación],"Undergraduate / Bachelor")</f>
        <v>0</v>
      </c>
      <c r="Q64" s="47">
        <f t="shared" si="1"/>
        <v>0</v>
      </c>
      <c r="R64" s="48">
        <f t="shared" si="1"/>
        <v>0</v>
      </c>
    </row>
    <row r="65" spans="2:18" ht="15" customHeight="1">
      <c r="B65" s="178" t="s">
        <v>123</v>
      </c>
      <c r="C65" s="100" t="s">
        <v>124</v>
      </c>
      <c r="D65" s="101" t="s">
        <v>125</v>
      </c>
      <c r="E65" s="90">
        <f>COUNTIFS(Tabla1[Tipo de Movilidad],"Intercambio*",Tabla1[Universidad KPIs],'Utilización Convenios'!$C65,Tabla1[Año de Movilidad],'Utilización Convenios'!E$3,Tabla1[Nivel],"Pregrado")</f>
        <v>0</v>
      </c>
      <c r="F65" s="33">
        <f>COUNTIFS(Tabla2[Tipo de Movilidad],"Intercambio*",Tabla2[Universidad KPIs],'Utilización Convenios'!$C65,Tabla2[Año],'Utilización Convenios'!E$3,Tabla2[Nivel Nominación],"Undergraduate / Bachelor")</f>
        <v>0</v>
      </c>
      <c r="G65" s="16">
        <f>COUNTIFS(Tabla1[Tipo de Movilidad],"Intercambio*",Tabla1[Universidad KPIs],'Utilización Convenios'!$C65,Tabla1[Año de Movilidad],'Utilización Convenios'!G$3,Tabla1[Nivel],"Pregrado")</f>
        <v>0</v>
      </c>
      <c r="H65" s="33">
        <f>COUNTIFS(Tabla2[Tipo de Movilidad],"Intercambio*",Tabla2[Universidad KPIs],'Utilización Convenios'!$C65,Tabla2[Año],'Utilización Convenios'!G$3,Tabla2[Nivel Nominación],"Undergraduate / Bachelor")</f>
        <v>0</v>
      </c>
      <c r="I65" s="16">
        <f>COUNTIFS(Tabla1[Tipo de Movilidad],"Intercambio*",Tabla1[Universidad KPIs],'Utilización Convenios'!$C65,Tabla1[Año de Movilidad],'Utilización Convenios'!I$3,Tabla1[Nivel],"Pregrado")</f>
        <v>0</v>
      </c>
      <c r="J65" s="33">
        <f>COUNTIFS(Tabla2[Tipo de Movilidad],"Intercambio*",Tabla2[Universidad KPIs],'Utilización Convenios'!$C65,Tabla2[Año],'Utilización Convenios'!I$3,Tabla2[Nivel Nominación],"Undergraduate / Bachelor")</f>
        <v>0</v>
      </c>
      <c r="K65" s="16">
        <f>COUNTIFS(Tabla1[Tipo de Movilidad],"Intercambio*",Tabla1[Universidad KPIs],'Utilización Convenios'!$C65,Tabla1[Año de Movilidad],'Utilización Convenios'!K$3,Tabla1[Nivel],"Pregrado")</f>
        <v>1</v>
      </c>
      <c r="L65" s="33">
        <f>COUNTIFS(Tabla2[Tipo de Movilidad],"Intercambio*",Tabla2[Universidad KPIs],'Utilización Convenios'!$C65,Tabla2[Año],'Utilización Convenios'!K$3,Tabla2[Nivel Nominación],"Undergraduate / Bachelor")</f>
        <v>2</v>
      </c>
      <c r="M65" s="16">
        <f>COUNTIFS(Tabla1[Tipo de Movilidad],"Intercambio*",Tabla1[Universidad KPIs],'Utilización Convenios'!$C65,Tabla1[Año de Movilidad],'Utilización Convenios'!M$3,Tabla1[Nivel],"Pregrado")</f>
        <v>0</v>
      </c>
      <c r="N65" s="36">
        <f>COUNTIFS(Tabla2[Tipo de Movilidad],"Intercambio*",Tabla2[Universidad KPIs],'Utilización Convenios'!$C65,Tabla2[Año],'Utilización Convenios'!M$3,Tabla2[Nivel Nominación],"Undergraduate / Bachelor")</f>
        <v>2</v>
      </c>
      <c r="O65" s="16">
        <f>COUNTIFS(Tabla1[Tipo de Movilidad],"Intercambio*",Tabla1[Universidad KPIs],'Utilización Convenios'!$C65,Tabla1[Año de Movilidad],'Utilización Convenios'!O$3,Tabla1[Nivel],"Pregrado")</f>
        <v>0</v>
      </c>
      <c r="P65" s="36">
        <f>COUNTIFS(Tabla2[Tipo de Movilidad],"Intercambio*",Tabla2[Universidad KPIs],'Utilización Convenios'!$C65,Tabla2[Año],'Utilización Convenios'!O$3,Tabla2[Nivel Nominación],"Undergraduate / Bachelor")</f>
        <v>0</v>
      </c>
      <c r="Q65" s="43">
        <f t="shared" si="1"/>
        <v>1</v>
      </c>
      <c r="R65" s="44">
        <f t="shared" si="1"/>
        <v>4</v>
      </c>
    </row>
    <row r="66" spans="2:18">
      <c r="B66" s="179"/>
      <c r="C66" s="94" t="s">
        <v>126</v>
      </c>
      <c r="D66" s="95" t="s">
        <v>35</v>
      </c>
      <c r="E66" s="90">
        <f>COUNTIFS(Tabla1[Tipo de Movilidad],"Intercambio*",Tabla1[Universidad KPIs],'Utilización Convenios'!$C66,Tabla1[Año de Movilidad],'Utilización Convenios'!E$3,Tabla1[Nivel],"Pregrado")</f>
        <v>0</v>
      </c>
      <c r="F66" s="33">
        <f>COUNTIFS(Tabla2[Tipo de Movilidad],"Intercambio*",Tabla2[Universidad KPIs],'Utilización Convenios'!$C66,Tabla2[Año],'Utilización Convenios'!E$3,Tabla2[Nivel Nominación],"Undergraduate / Bachelor")</f>
        <v>0</v>
      </c>
      <c r="G66" s="16">
        <f>COUNTIFS(Tabla1[Tipo de Movilidad],"Intercambio*",Tabla1[Universidad KPIs],'Utilización Convenios'!$C66,Tabla1[Año de Movilidad],'Utilización Convenios'!G$3,Tabla1[Nivel],"Pregrado")</f>
        <v>0</v>
      </c>
      <c r="H66" s="33">
        <f>COUNTIFS(Tabla2[Tipo de Movilidad],"Intercambio*",Tabla2[Universidad KPIs],'Utilización Convenios'!$C66,Tabla2[Año],'Utilización Convenios'!G$3,Tabla2[Nivel Nominación],"Undergraduate / Bachelor")</f>
        <v>0</v>
      </c>
      <c r="I66" s="16">
        <f>COUNTIFS(Tabla1[Tipo de Movilidad],"Intercambio*",Tabla1[Universidad KPIs],'Utilización Convenios'!$C66,Tabla1[Año de Movilidad],'Utilización Convenios'!I$3,Tabla1[Nivel],"Pregrado")</f>
        <v>0</v>
      </c>
      <c r="J66" s="33">
        <f>COUNTIFS(Tabla2[Tipo de Movilidad],"Intercambio*",Tabla2[Universidad KPIs],'Utilización Convenios'!$C66,Tabla2[Año],'Utilización Convenios'!I$3,Tabla2[Nivel Nominación],"Undergraduate / Bachelor")</f>
        <v>0</v>
      </c>
      <c r="K66" s="16">
        <f>COUNTIFS(Tabla1[Tipo de Movilidad],"Intercambio*",Tabla1[Universidad KPIs],'Utilización Convenios'!$C66,Tabla1[Año de Movilidad],'Utilización Convenios'!K$3,Tabla1[Nivel],"Pregrado")</f>
        <v>0</v>
      </c>
      <c r="L66" s="33">
        <f>COUNTIFS(Tabla2[Tipo de Movilidad],"Intercambio*",Tabla2[Universidad KPIs],'Utilización Convenios'!$C66,Tabla2[Año],'Utilización Convenios'!K$3,Tabla2[Nivel Nominación],"Undergraduate / Bachelor")</f>
        <v>0</v>
      </c>
      <c r="M66" s="16">
        <f>COUNTIFS(Tabla1[Tipo de Movilidad],"Intercambio*",Tabla1[Universidad KPIs],'Utilización Convenios'!$C66,Tabla1[Año de Movilidad],'Utilización Convenios'!M$3,Tabla1[Nivel],"Pregrado")</f>
        <v>1</v>
      </c>
      <c r="N66" s="36">
        <f>COUNTIFS(Tabla2[Tipo de Movilidad],"Intercambio*",Tabla2[Universidad KPIs],'Utilización Convenios'!$C66,Tabla2[Año],'Utilización Convenios'!M$3,Tabla2[Nivel Nominación],"Undergraduate / Bachelor")</f>
        <v>0</v>
      </c>
      <c r="O66" s="16">
        <f>COUNTIFS(Tabla1[Tipo de Movilidad],"Intercambio*",Tabla1[Universidad KPIs],'Utilización Convenios'!$C66,Tabla1[Año de Movilidad],'Utilización Convenios'!O$3,Tabla1[Nivel],"Pregrado")</f>
        <v>1</v>
      </c>
      <c r="P66" s="36">
        <f>COUNTIFS(Tabla2[Tipo de Movilidad],"Intercambio*",Tabla2[Universidad KPIs],'Utilización Convenios'!$C66,Tabla2[Año],'Utilización Convenios'!O$3,Tabla2[Nivel Nominación],"Undergraduate / Bachelor")</f>
        <v>0</v>
      </c>
      <c r="Q66" s="43">
        <f t="shared" si="1"/>
        <v>2</v>
      </c>
      <c r="R66" s="44">
        <f t="shared" si="1"/>
        <v>0</v>
      </c>
    </row>
    <row r="67" spans="2:18">
      <c r="B67" s="179"/>
      <c r="C67" s="94" t="s">
        <v>127</v>
      </c>
      <c r="D67" s="95" t="s">
        <v>90</v>
      </c>
      <c r="E67" s="90">
        <f>COUNTIFS(Tabla1[Tipo de Movilidad],"Intercambio*",Tabla1[Universidad KPIs],'Utilización Convenios'!$C67,Tabla1[Año de Movilidad],'Utilización Convenios'!E$3,Tabla1[Nivel],"Pregrado")</f>
        <v>0</v>
      </c>
      <c r="F67" s="33">
        <f>COUNTIFS(Tabla2[Tipo de Movilidad],"Intercambio*",Tabla2[Universidad KPIs],'Utilización Convenios'!$C67,Tabla2[Año],'Utilización Convenios'!E$3,Tabla2[Nivel Nominación],"Undergraduate / Bachelor")</f>
        <v>0</v>
      </c>
      <c r="G67" s="16">
        <f>COUNTIFS(Tabla1[Tipo de Movilidad],"Intercambio*",Tabla1[Universidad KPIs],'Utilización Convenios'!$C67,Tabla1[Año de Movilidad],'Utilización Convenios'!G$3,Tabla1[Nivel],"Pregrado")</f>
        <v>0</v>
      </c>
      <c r="H67" s="33">
        <f>COUNTIFS(Tabla2[Tipo de Movilidad],"Intercambio*",Tabla2[Universidad KPIs],'Utilización Convenios'!$C67,Tabla2[Año],'Utilización Convenios'!G$3,Tabla2[Nivel Nominación],"Undergraduate / Bachelor")</f>
        <v>0</v>
      </c>
      <c r="I67" s="16">
        <f>COUNTIFS(Tabla1[Tipo de Movilidad],"Intercambio*",Tabla1[Universidad KPIs],'Utilización Convenios'!$C67,Tabla1[Año de Movilidad],'Utilización Convenios'!I$3,Tabla1[Nivel],"Pregrado")</f>
        <v>0</v>
      </c>
      <c r="J67" s="33">
        <f>COUNTIFS(Tabla2[Tipo de Movilidad],"Intercambio*",Tabla2[Universidad KPIs],'Utilización Convenios'!$C67,Tabla2[Año],'Utilización Convenios'!I$3,Tabla2[Nivel Nominación],"Undergraduate / Bachelor")</f>
        <v>0</v>
      </c>
      <c r="K67" s="16">
        <f>COUNTIFS(Tabla1[Tipo de Movilidad],"Intercambio*",Tabla1[Universidad KPIs],'Utilización Convenios'!$C67,Tabla1[Año de Movilidad],'Utilización Convenios'!K$3,Tabla1[Nivel],"Pregrado")</f>
        <v>1</v>
      </c>
      <c r="L67" s="33">
        <f>COUNTIFS(Tabla2[Tipo de Movilidad],"Intercambio*",Tabla2[Universidad KPIs],'Utilización Convenios'!$C67,Tabla2[Año],'Utilización Convenios'!K$3,Tabla2[Nivel Nominación],"Undergraduate / Bachelor")</f>
        <v>0</v>
      </c>
      <c r="M67" s="16">
        <f>COUNTIFS(Tabla1[Tipo de Movilidad],"Intercambio*",Tabla1[Universidad KPIs],'Utilización Convenios'!$C67,Tabla1[Año de Movilidad],'Utilización Convenios'!M$3,Tabla1[Nivel],"Pregrado")</f>
        <v>0</v>
      </c>
      <c r="N67" s="36">
        <f>COUNTIFS(Tabla2[Tipo de Movilidad],"Intercambio*",Tabla2[Universidad KPIs],'Utilización Convenios'!$C67,Tabla2[Año],'Utilización Convenios'!M$3,Tabla2[Nivel Nominación],"Undergraduate / Bachelor")</f>
        <v>0</v>
      </c>
      <c r="O67" s="16">
        <f>COUNTIFS(Tabla1[Tipo de Movilidad],"Intercambio*",Tabla1[Universidad KPIs],'Utilización Convenios'!$C67,Tabla1[Año de Movilidad],'Utilización Convenios'!O$3,Tabla1[Nivel],"Pregrado")</f>
        <v>0</v>
      </c>
      <c r="P67" s="36">
        <f>COUNTIFS(Tabla2[Tipo de Movilidad],"Intercambio*",Tabla2[Universidad KPIs],'Utilización Convenios'!$C67,Tabla2[Año],'Utilización Convenios'!O$3,Tabla2[Nivel Nominación],"Undergraduate / Bachelor")</f>
        <v>0</v>
      </c>
      <c r="Q67" s="43">
        <f t="shared" si="1"/>
        <v>1</v>
      </c>
      <c r="R67" s="44">
        <f t="shared" si="1"/>
        <v>0</v>
      </c>
    </row>
    <row r="68" spans="2:18">
      <c r="B68" s="179"/>
      <c r="C68" s="94" t="s">
        <v>128</v>
      </c>
      <c r="D68" s="95" t="s">
        <v>41</v>
      </c>
      <c r="E68" s="90">
        <f>COUNTIFS(Tabla1[Tipo de Movilidad],"Intercambio*",Tabla1[Universidad KPIs],'Utilización Convenios'!$C68,Tabla1[Año de Movilidad],'Utilización Convenios'!E$3,Tabla1[Nivel],"Pregrado")</f>
        <v>0</v>
      </c>
      <c r="F68" s="33">
        <f>COUNTIFS(Tabla2[Tipo de Movilidad],"Intercambio*",Tabla2[Universidad KPIs],'Utilización Convenios'!$C68,Tabla2[Año],'Utilización Convenios'!E$3,Tabla2[Nivel Nominación],"Undergraduate / Bachelor")</f>
        <v>0</v>
      </c>
      <c r="G68" s="16">
        <f>COUNTIFS(Tabla1[Tipo de Movilidad],"Intercambio*",Tabla1[Universidad KPIs],'Utilización Convenios'!$C68,Tabla1[Año de Movilidad],'Utilización Convenios'!G$3,Tabla1[Nivel],"Pregrado")</f>
        <v>0</v>
      </c>
      <c r="H68" s="33">
        <f>COUNTIFS(Tabla2[Tipo de Movilidad],"Intercambio*",Tabla2[Universidad KPIs],'Utilización Convenios'!$C68,Tabla2[Año],'Utilización Convenios'!G$3,Tabla2[Nivel Nominación],"Undergraduate / Bachelor")</f>
        <v>2</v>
      </c>
      <c r="I68" s="16">
        <f>COUNTIFS(Tabla1[Tipo de Movilidad],"Intercambio*",Tabla1[Universidad KPIs],'Utilización Convenios'!$C68,Tabla1[Año de Movilidad],'Utilización Convenios'!I$3,Tabla1[Nivel],"Pregrado")</f>
        <v>0</v>
      </c>
      <c r="J68" s="33">
        <f>COUNTIFS(Tabla2[Tipo de Movilidad],"Intercambio*",Tabla2[Universidad KPIs],'Utilización Convenios'!$C68,Tabla2[Año],'Utilización Convenios'!I$3,Tabla2[Nivel Nominación],"Undergraduate / Bachelor")</f>
        <v>0</v>
      </c>
      <c r="K68" s="16">
        <f>COUNTIFS(Tabla1[Tipo de Movilidad],"Intercambio*",Tabla1[Universidad KPIs],'Utilización Convenios'!$C68,Tabla1[Año de Movilidad],'Utilización Convenios'!K$3,Tabla1[Nivel],"Pregrado")</f>
        <v>0</v>
      </c>
      <c r="L68" s="33">
        <f>COUNTIFS(Tabla2[Tipo de Movilidad],"Intercambio*",Tabla2[Universidad KPIs],'Utilización Convenios'!$C68,Tabla2[Año],'Utilización Convenios'!K$3,Tabla2[Nivel Nominación],"Undergraduate / Bachelor")</f>
        <v>0</v>
      </c>
      <c r="M68" s="16">
        <f>COUNTIFS(Tabla1[Tipo de Movilidad],"Intercambio*",Tabla1[Universidad KPIs],'Utilización Convenios'!$C68,Tabla1[Año de Movilidad],'Utilización Convenios'!M$3,Tabla1[Nivel],"Pregrado")</f>
        <v>0</v>
      </c>
      <c r="N68" s="36">
        <f>COUNTIFS(Tabla2[Tipo de Movilidad],"Intercambio*",Tabla2[Universidad KPIs],'Utilización Convenios'!$C68,Tabla2[Año],'Utilización Convenios'!M$3,Tabla2[Nivel Nominación],"Undergraduate / Bachelor")</f>
        <v>0</v>
      </c>
      <c r="O68" s="16">
        <f>COUNTIFS(Tabla1[Tipo de Movilidad],"Intercambio*",Tabla1[Universidad KPIs],'Utilización Convenios'!$C68,Tabla1[Año de Movilidad],'Utilización Convenios'!O$3,Tabla1[Nivel],"Pregrado")</f>
        <v>0</v>
      </c>
      <c r="P68" s="36">
        <f>COUNTIFS(Tabla2[Tipo de Movilidad],"Intercambio*",Tabla2[Universidad KPIs],'Utilización Convenios'!$C68,Tabla2[Año],'Utilización Convenios'!O$3,Tabla2[Nivel Nominación],"Undergraduate / Bachelor")</f>
        <v>0</v>
      </c>
      <c r="Q68" s="43">
        <f t="shared" si="1"/>
        <v>0</v>
      </c>
      <c r="R68" s="44">
        <f t="shared" si="1"/>
        <v>2</v>
      </c>
    </row>
    <row r="69" spans="2:18">
      <c r="B69" s="179"/>
      <c r="C69" s="94" t="s">
        <v>129</v>
      </c>
      <c r="D69" s="95" t="s">
        <v>65</v>
      </c>
      <c r="E69" s="90">
        <f>COUNTIFS(Tabla1[Tipo de Movilidad],"Intercambio*",Tabla1[Universidad KPIs],'Utilización Convenios'!$C69,Tabla1[Año de Movilidad],'Utilización Convenios'!E$3,Tabla1[Nivel],"Pregrado")</f>
        <v>0</v>
      </c>
      <c r="F69" s="33">
        <f>COUNTIFS(Tabla2[Tipo de Movilidad],"Intercambio*",Tabla2[Universidad KPIs],'Utilización Convenios'!$C69,Tabla2[Año],'Utilización Convenios'!E$3,Tabla2[Nivel Nominación],"Undergraduate / Bachelor")</f>
        <v>1</v>
      </c>
      <c r="G69" s="16">
        <f>COUNTIFS(Tabla1[Tipo de Movilidad],"Intercambio*",Tabla1[Universidad KPIs],'Utilización Convenios'!$C69,Tabla1[Año de Movilidad],'Utilización Convenios'!G$3,Tabla1[Nivel],"Pregrado")</f>
        <v>0</v>
      </c>
      <c r="H69" s="33">
        <f>COUNTIFS(Tabla2[Tipo de Movilidad],"Intercambio*",Tabla2[Universidad KPIs],'Utilización Convenios'!$C69,Tabla2[Año],'Utilización Convenios'!G$3,Tabla2[Nivel Nominación],"Undergraduate / Bachelor")</f>
        <v>1</v>
      </c>
      <c r="I69" s="16">
        <f>COUNTIFS(Tabla1[Tipo de Movilidad],"Intercambio*",Tabla1[Universidad KPIs],'Utilización Convenios'!$C69,Tabla1[Año de Movilidad],'Utilización Convenios'!I$3,Tabla1[Nivel],"Pregrado")</f>
        <v>0</v>
      </c>
      <c r="J69" s="33">
        <f>COUNTIFS(Tabla2[Tipo de Movilidad],"Intercambio*",Tabla2[Universidad KPIs],'Utilización Convenios'!$C69,Tabla2[Año],'Utilización Convenios'!I$3,Tabla2[Nivel Nominación],"Undergraduate / Bachelor")</f>
        <v>0</v>
      </c>
      <c r="K69" s="16">
        <f>COUNTIFS(Tabla1[Tipo de Movilidad],"Intercambio*",Tabla1[Universidad KPIs],'Utilización Convenios'!$C69,Tabla1[Año de Movilidad],'Utilización Convenios'!K$3,Tabla1[Nivel],"Pregrado")</f>
        <v>0</v>
      </c>
      <c r="L69" s="33">
        <f>COUNTIFS(Tabla2[Tipo de Movilidad],"Intercambio*",Tabla2[Universidad KPIs],'Utilización Convenios'!$C69,Tabla2[Año],'Utilización Convenios'!K$3,Tabla2[Nivel Nominación],"Undergraduate / Bachelor")</f>
        <v>0</v>
      </c>
      <c r="M69" s="16">
        <f>COUNTIFS(Tabla1[Tipo de Movilidad],"Intercambio*",Tabla1[Universidad KPIs],'Utilización Convenios'!$C69,Tabla1[Año de Movilidad],'Utilización Convenios'!M$3,Tabla1[Nivel],"Pregrado")</f>
        <v>0</v>
      </c>
      <c r="N69" s="36">
        <f>COUNTIFS(Tabla2[Tipo de Movilidad],"Intercambio*",Tabla2[Universidad KPIs],'Utilización Convenios'!$C69,Tabla2[Año],'Utilización Convenios'!M$3,Tabla2[Nivel Nominación],"Undergraduate / Bachelor")</f>
        <v>1</v>
      </c>
      <c r="O69" s="16">
        <f>COUNTIFS(Tabla1[Tipo de Movilidad],"Intercambio*",Tabla1[Universidad KPIs],'Utilización Convenios'!$C69,Tabla1[Año de Movilidad],'Utilización Convenios'!O$3,Tabla1[Nivel],"Pregrado")</f>
        <v>0</v>
      </c>
      <c r="P69" s="36">
        <f>COUNTIFS(Tabla2[Tipo de Movilidad],"Intercambio*",Tabla2[Universidad KPIs],'Utilización Convenios'!$C69,Tabla2[Año],'Utilización Convenios'!O$3,Tabla2[Nivel Nominación],"Undergraduate / Bachelor")</f>
        <v>0</v>
      </c>
      <c r="Q69" s="43">
        <f t="shared" si="1"/>
        <v>0</v>
      </c>
      <c r="R69" s="44">
        <f t="shared" si="1"/>
        <v>3</v>
      </c>
    </row>
    <row r="70" spans="2:18">
      <c r="B70" s="179"/>
      <c r="C70" s="94" t="s">
        <v>130</v>
      </c>
      <c r="D70" s="95" t="s">
        <v>41</v>
      </c>
      <c r="E70" s="90">
        <f>COUNTIFS(Tabla1[Tipo de Movilidad],"Intercambio*",Tabla1[Universidad KPIs],'Utilización Convenios'!$C70,Tabla1[Año de Movilidad],'Utilización Convenios'!E$3,Tabla1[Nivel],"Pregrado")</f>
        <v>0</v>
      </c>
      <c r="F70" s="33">
        <f>COUNTIFS(Tabla2[Tipo de Movilidad],"Intercambio*",Tabla2[Universidad KPIs],'Utilización Convenios'!$C70,Tabla2[Año],'Utilización Convenios'!E$3,Tabla2[Nivel Nominación],"Undergraduate / Bachelor")</f>
        <v>0</v>
      </c>
      <c r="G70" s="16">
        <f>COUNTIFS(Tabla1[Tipo de Movilidad],"Intercambio*",Tabla1[Universidad KPIs],'Utilización Convenios'!$C70,Tabla1[Año de Movilidad],'Utilización Convenios'!G$3,Tabla1[Nivel],"Pregrado")</f>
        <v>0</v>
      </c>
      <c r="H70" s="33">
        <f>COUNTIFS(Tabla2[Tipo de Movilidad],"Intercambio*",Tabla2[Universidad KPIs],'Utilización Convenios'!$C70,Tabla2[Año],'Utilización Convenios'!G$3,Tabla2[Nivel Nominación],"Undergraduate / Bachelor")</f>
        <v>0</v>
      </c>
      <c r="I70" s="16">
        <f>COUNTIFS(Tabla1[Tipo de Movilidad],"Intercambio*",Tabla1[Universidad KPIs],'Utilización Convenios'!$C70,Tabla1[Año de Movilidad],'Utilización Convenios'!I$3,Tabla1[Nivel],"Pregrado")</f>
        <v>0</v>
      </c>
      <c r="J70" s="33">
        <f>COUNTIFS(Tabla2[Tipo de Movilidad],"Intercambio*",Tabla2[Universidad KPIs],'Utilización Convenios'!$C70,Tabla2[Año],'Utilización Convenios'!I$3,Tabla2[Nivel Nominación],"Undergraduate / Bachelor")</f>
        <v>1</v>
      </c>
      <c r="K70" s="16">
        <f>COUNTIFS(Tabla1[Tipo de Movilidad],"Intercambio*",Tabla1[Universidad KPIs],'Utilización Convenios'!$C70,Tabla1[Año de Movilidad],'Utilización Convenios'!K$3,Tabla1[Nivel],"Pregrado")</f>
        <v>0</v>
      </c>
      <c r="L70" s="33">
        <f>COUNTIFS(Tabla2[Tipo de Movilidad],"Intercambio*",Tabla2[Universidad KPIs],'Utilización Convenios'!$C70,Tabla2[Año],'Utilización Convenios'!K$3,Tabla2[Nivel Nominación],"Undergraduate / Bachelor")</f>
        <v>0</v>
      </c>
      <c r="M70" s="16">
        <f>COUNTIFS(Tabla1[Tipo de Movilidad],"Intercambio*",Tabla1[Universidad KPIs],'Utilización Convenios'!$C70,Tabla1[Año de Movilidad],'Utilización Convenios'!M$3,Tabla1[Nivel],"Pregrado")</f>
        <v>0</v>
      </c>
      <c r="N70" s="36">
        <f>COUNTIFS(Tabla2[Tipo de Movilidad],"Intercambio*",Tabla2[Universidad KPIs],'Utilización Convenios'!$C70,Tabla2[Año],'Utilización Convenios'!M$3,Tabla2[Nivel Nominación],"Undergraduate / Bachelor")</f>
        <v>0</v>
      </c>
      <c r="O70" s="16">
        <f>COUNTIFS(Tabla1[Tipo de Movilidad],"Intercambio*",Tabla1[Universidad KPIs],'Utilización Convenios'!$C70,Tabla1[Año de Movilidad],'Utilización Convenios'!O$3,Tabla1[Nivel],"Pregrado")</f>
        <v>0</v>
      </c>
      <c r="P70" s="36">
        <f>COUNTIFS(Tabla2[Tipo de Movilidad],"Intercambio*",Tabla2[Universidad KPIs],'Utilización Convenios'!$C70,Tabla2[Año],'Utilización Convenios'!O$3,Tabla2[Nivel Nominación],"Undergraduate / Bachelor")</f>
        <v>0</v>
      </c>
      <c r="Q70" s="43">
        <f t="shared" si="1"/>
        <v>0</v>
      </c>
      <c r="R70" s="44">
        <f t="shared" si="1"/>
        <v>1</v>
      </c>
    </row>
    <row r="71" spans="2:18">
      <c r="B71" s="179"/>
      <c r="C71" s="94" t="s">
        <v>131</v>
      </c>
      <c r="D71" s="95" t="s">
        <v>60</v>
      </c>
      <c r="E71" s="90">
        <f>COUNTIFS(Tabla1[Tipo de Movilidad],"Intercambio*",Tabla1[Universidad KPIs],'Utilización Convenios'!$C71,Tabla1[Año de Movilidad],'Utilización Convenios'!E$3,Tabla1[Nivel],"Pregrado")</f>
        <v>0</v>
      </c>
      <c r="F71" s="33">
        <f>COUNTIFS(Tabla2[Tipo de Movilidad],"Intercambio*",Tabla2[Universidad KPIs],'Utilización Convenios'!$C71,Tabla2[Año],'Utilización Convenios'!E$3,Tabla2[Nivel Nominación],"Undergraduate / Bachelor")</f>
        <v>0</v>
      </c>
      <c r="G71" s="16">
        <f>COUNTIFS(Tabla1[Tipo de Movilidad],"Intercambio*",Tabla1[Universidad KPIs],'Utilización Convenios'!$C71,Tabla1[Año de Movilidad],'Utilización Convenios'!G$3,Tabla1[Nivel],"Pregrado")</f>
        <v>0</v>
      </c>
      <c r="H71" s="33">
        <f>COUNTIFS(Tabla2[Tipo de Movilidad],"Intercambio*",Tabla2[Universidad KPIs],'Utilización Convenios'!$C71,Tabla2[Año],'Utilización Convenios'!G$3,Tabla2[Nivel Nominación],"Undergraduate / Bachelor")</f>
        <v>0</v>
      </c>
      <c r="I71" s="16">
        <f>COUNTIFS(Tabla1[Tipo de Movilidad],"Intercambio*",Tabla1[Universidad KPIs],'Utilización Convenios'!$C71,Tabla1[Año de Movilidad],'Utilización Convenios'!I$3,Tabla1[Nivel],"Pregrado")</f>
        <v>1</v>
      </c>
      <c r="J71" s="33">
        <f>COUNTIFS(Tabla2[Tipo de Movilidad],"Intercambio*",Tabla2[Universidad KPIs],'Utilización Convenios'!$C71,Tabla2[Año],'Utilización Convenios'!I$3,Tabla2[Nivel Nominación],"Undergraduate / Bachelor")</f>
        <v>0</v>
      </c>
      <c r="K71" s="16">
        <f>COUNTIFS(Tabla1[Tipo de Movilidad],"Intercambio*",Tabla1[Universidad KPIs],'Utilización Convenios'!$C71,Tabla1[Año de Movilidad],'Utilización Convenios'!K$3,Tabla1[Nivel],"Pregrado")</f>
        <v>0</v>
      </c>
      <c r="L71" s="33">
        <f>COUNTIFS(Tabla2[Tipo de Movilidad],"Intercambio*",Tabla2[Universidad KPIs],'Utilización Convenios'!$C71,Tabla2[Año],'Utilización Convenios'!K$3,Tabla2[Nivel Nominación],"Undergraduate / Bachelor")</f>
        <v>0</v>
      </c>
      <c r="M71" s="16">
        <f>COUNTIFS(Tabla1[Tipo de Movilidad],"Intercambio*",Tabla1[Universidad KPIs],'Utilización Convenios'!$C71,Tabla1[Año de Movilidad],'Utilización Convenios'!M$3,Tabla1[Nivel],"Pregrado")</f>
        <v>0</v>
      </c>
      <c r="N71" s="36">
        <f>COUNTIFS(Tabla2[Tipo de Movilidad],"Intercambio*",Tabla2[Universidad KPIs],'Utilización Convenios'!$C71,Tabla2[Año],'Utilización Convenios'!M$3,Tabla2[Nivel Nominación],"Undergraduate / Bachelor")</f>
        <v>0</v>
      </c>
      <c r="O71" s="16">
        <f>COUNTIFS(Tabla1[Tipo de Movilidad],"Intercambio*",Tabla1[Universidad KPIs],'Utilización Convenios'!$C71,Tabla1[Año de Movilidad],'Utilización Convenios'!O$3,Tabla1[Nivel],"Pregrado")</f>
        <v>0</v>
      </c>
      <c r="P71" s="36">
        <f>COUNTIFS(Tabla2[Tipo de Movilidad],"Intercambio*",Tabla2[Universidad KPIs],'Utilización Convenios'!$C71,Tabla2[Año],'Utilización Convenios'!O$3,Tabla2[Nivel Nominación],"Undergraduate / Bachelor")</f>
        <v>0</v>
      </c>
      <c r="Q71" s="43">
        <f t="shared" ref="Q71:R122" si="2">SUMIF($E$4:$P$4,Q$4,$E71:$P71)</f>
        <v>1</v>
      </c>
      <c r="R71" s="44">
        <f t="shared" si="2"/>
        <v>0</v>
      </c>
    </row>
    <row r="72" spans="2:18">
      <c r="B72" s="179"/>
      <c r="C72" s="94" t="s">
        <v>132</v>
      </c>
      <c r="D72" s="95" t="s">
        <v>39</v>
      </c>
      <c r="E72" s="90">
        <f>COUNTIFS(Tabla1[Tipo de Movilidad],"Intercambio*",Tabla1[Universidad KPIs],'Utilización Convenios'!$C72,Tabla1[Año de Movilidad],'Utilización Convenios'!E$3,Tabla1[Nivel],"Pregrado")</f>
        <v>0</v>
      </c>
      <c r="F72" s="33">
        <f>COUNTIFS(Tabla2[Tipo de Movilidad],"Intercambio*",Tabla2[Universidad KPIs],'Utilización Convenios'!$C72,Tabla2[Año],'Utilización Convenios'!E$3,Tabla2[Nivel Nominación],"Undergraduate / Bachelor")</f>
        <v>1</v>
      </c>
      <c r="G72" s="16">
        <f>COUNTIFS(Tabla1[Tipo de Movilidad],"Intercambio*",Tabla1[Universidad KPIs],'Utilización Convenios'!$C72,Tabla1[Año de Movilidad],'Utilización Convenios'!G$3,Tabla1[Nivel],"Pregrado")</f>
        <v>0</v>
      </c>
      <c r="H72" s="33">
        <f>COUNTIFS(Tabla2[Tipo de Movilidad],"Intercambio*",Tabla2[Universidad KPIs],'Utilización Convenios'!$C72,Tabla2[Año],'Utilización Convenios'!G$3,Tabla2[Nivel Nominación],"Undergraduate / Bachelor")</f>
        <v>0</v>
      </c>
      <c r="I72" s="16">
        <f>COUNTIFS(Tabla1[Tipo de Movilidad],"Intercambio*",Tabla1[Universidad KPIs],'Utilización Convenios'!$C72,Tabla1[Año de Movilidad],'Utilización Convenios'!I$3,Tabla1[Nivel],"Pregrado")</f>
        <v>0</v>
      </c>
      <c r="J72" s="33">
        <f>COUNTIFS(Tabla2[Tipo de Movilidad],"Intercambio*",Tabla2[Universidad KPIs],'Utilización Convenios'!$C72,Tabla2[Año],'Utilización Convenios'!I$3,Tabla2[Nivel Nominación],"Undergraduate / Bachelor")</f>
        <v>0</v>
      </c>
      <c r="K72" s="16">
        <f>COUNTIFS(Tabla1[Tipo de Movilidad],"Intercambio*",Tabla1[Universidad KPIs],'Utilización Convenios'!$C72,Tabla1[Año de Movilidad],'Utilización Convenios'!K$3,Tabla1[Nivel],"Pregrado")</f>
        <v>1</v>
      </c>
      <c r="L72" s="33">
        <f>COUNTIFS(Tabla2[Tipo de Movilidad],"Intercambio*",Tabla2[Universidad KPIs],'Utilización Convenios'!$C72,Tabla2[Año],'Utilización Convenios'!K$3,Tabla2[Nivel Nominación],"Undergraduate / Bachelor")</f>
        <v>0</v>
      </c>
      <c r="M72" s="16">
        <f>COUNTIFS(Tabla1[Tipo de Movilidad],"Intercambio*",Tabla1[Universidad KPIs],'Utilización Convenios'!$C72,Tabla1[Año de Movilidad],'Utilización Convenios'!M$3,Tabla1[Nivel],"Pregrado")</f>
        <v>0</v>
      </c>
      <c r="N72" s="36">
        <f>COUNTIFS(Tabla2[Tipo de Movilidad],"Intercambio*",Tabla2[Universidad KPIs],'Utilización Convenios'!$C72,Tabla2[Año],'Utilización Convenios'!M$3,Tabla2[Nivel Nominación],"Undergraduate / Bachelor")</f>
        <v>0</v>
      </c>
      <c r="O72" s="16">
        <f>COUNTIFS(Tabla1[Tipo de Movilidad],"Intercambio*",Tabla1[Universidad KPIs],'Utilización Convenios'!$C72,Tabla1[Año de Movilidad],'Utilización Convenios'!O$3,Tabla1[Nivel],"Pregrado")</f>
        <v>2</v>
      </c>
      <c r="P72" s="36">
        <f>COUNTIFS(Tabla2[Tipo de Movilidad],"Intercambio*",Tabla2[Universidad KPIs],'Utilización Convenios'!$C72,Tabla2[Año],'Utilización Convenios'!O$3,Tabla2[Nivel Nominación],"Undergraduate / Bachelor")</f>
        <v>0</v>
      </c>
      <c r="Q72" s="43">
        <f t="shared" si="2"/>
        <v>3</v>
      </c>
      <c r="R72" s="44">
        <f t="shared" si="2"/>
        <v>1</v>
      </c>
    </row>
    <row r="73" spans="2:18">
      <c r="B73" s="179"/>
      <c r="C73" s="94" t="s">
        <v>133</v>
      </c>
      <c r="D73" s="95" t="s">
        <v>93</v>
      </c>
      <c r="E73" s="90">
        <f>COUNTIFS(Tabla1[Tipo de Movilidad],"Intercambio*",Tabla1[Universidad KPIs],'Utilización Convenios'!$C73,Tabla1[Año de Movilidad],'Utilización Convenios'!E$3,Tabla1[Nivel],"Pregrado")</f>
        <v>0</v>
      </c>
      <c r="F73" s="33">
        <f>COUNTIFS(Tabla2[Tipo de Movilidad],"Intercambio*",Tabla2[Universidad KPIs],'Utilización Convenios'!$C73,Tabla2[Año],'Utilización Convenios'!E$3,Tabla2[Nivel Nominación],"Undergraduate / Bachelor")</f>
        <v>0</v>
      </c>
      <c r="G73" s="16">
        <f>COUNTIFS(Tabla1[Tipo de Movilidad],"Intercambio*",Tabla1[Universidad KPIs],'Utilización Convenios'!$C73,Tabla1[Año de Movilidad],'Utilización Convenios'!G$3,Tabla1[Nivel],"Pregrado")</f>
        <v>0</v>
      </c>
      <c r="H73" s="33">
        <f>COUNTIFS(Tabla2[Tipo de Movilidad],"Intercambio*",Tabla2[Universidad KPIs],'Utilización Convenios'!$C73,Tabla2[Año],'Utilización Convenios'!G$3,Tabla2[Nivel Nominación],"Undergraduate / Bachelor")</f>
        <v>0</v>
      </c>
      <c r="I73" s="16">
        <f>COUNTIFS(Tabla1[Tipo de Movilidad],"Intercambio*",Tabla1[Universidad KPIs],'Utilización Convenios'!$C73,Tabla1[Año de Movilidad],'Utilización Convenios'!I$3,Tabla1[Nivel],"Pregrado")</f>
        <v>0</v>
      </c>
      <c r="J73" s="33">
        <f>COUNTIFS(Tabla2[Tipo de Movilidad],"Intercambio*",Tabla2[Universidad KPIs],'Utilización Convenios'!$C73,Tabla2[Año],'Utilización Convenios'!I$3,Tabla2[Nivel Nominación],"Undergraduate / Bachelor")</f>
        <v>1</v>
      </c>
      <c r="K73" s="16">
        <f>COUNTIFS(Tabla1[Tipo de Movilidad],"Intercambio*",Tabla1[Universidad KPIs],'Utilización Convenios'!$C73,Tabla1[Año de Movilidad],'Utilización Convenios'!K$3,Tabla1[Nivel],"Pregrado")</f>
        <v>0</v>
      </c>
      <c r="L73" s="33">
        <f>COUNTIFS(Tabla2[Tipo de Movilidad],"Intercambio*",Tabla2[Universidad KPIs],'Utilización Convenios'!$C73,Tabla2[Año],'Utilización Convenios'!K$3,Tabla2[Nivel Nominación],"Undergraduate / Bachelor")</f>
        <v>0</v>
      </c>
      <c r="M73" s="16">
        <f>COUNTIFS(Tabla1[Tipo de Movilidad],"Intercambio*",Tabla1[Universidad KPIs],'Utilización Convenios'!$C73,Tabla1[Año de Movilidad],'Utilización Convenios'!M$3,Tabla1[Nivel],"Pregrado")</f>
        <v>0</v>
      </c>
      <c r="N73" s="36">
        <f>COUNTIFS(Tabla2[Tipo de Movilidad],"Intercambio*",Tabla2[Universidad KPIs],'Utilización Convenios'!$C73,Tabla2[Año],'Utilización Convenios'!M$3,Tabla2[Nivel Nominación],"Undergraduate / Bachelor")</f>
        <v>0</v>
      </c>
      <c r="O73" s="16">
        <f>COUNTIFS(Tabla1[Tipo de Movilidad],"Intercambio*",Tabla1[Universidad KPIs],'Utilización Convenios'!$C73,Tabla1[Año de Movilidad],'Utilización Convenios'!O$3,Tabla1[Nivel],"Pregrado")</f>
        <v>0</v>
      </c>
      <c r="P73" s="36">
        <f>COUNTIFS(Tabla2[Tipo de Movilidad],"Intercambio*",Tabla2[Universidad KPIs],'Utilización Convenios'!$C73,Tabla2[Año],'Utilización Convenios'!O$3,Tabla2[Nivel Nominación],"Undergraduate / Bachelor")</f>
        <v>0</v>
      </c>
      <c r="Q73" s="43">
        <f t="shared" si="2"/>
        <v>0</v>
      </c>
      <c r="R73" s="44">
        <f t="shared" si="2"/>
        <v>1</v>
      </c>
    </row>
    <row r="74" spans="2:18">
      <c r="B74" s="179"/>
      <c r="C74" s="94" t="s">
        <v>134</v>
      </c>
      <c r="D74" s="95" t="s">
        <v>96</v>
      </c>
      <c r="E74" s="90">
        <f>COUNTIFS(Tabla1[Tipo de Movilidad],"Intercambio*",Tabla1[Universidad KPIs],'Utilización Convenios'!$C74,Tabla1[Año de Movilidad],'Utilización Convenios'!E$3,Tabla1[Nivel],"Pregrado")</f>
        <v>0</v>
      </c>
      <c r="F74" s="33">
        <f>COUNTIFS(Tabla2[Tipo de Movilidad],"Intercambio*",Tabla2[Universidad KPIs],'Utilización Convenios'!$C74,Tabla2[Año],'Utilización Convenios'!E$3,Tabla2[Nivel Nominación],"Undergraduate / Bachelor")</f>
        <v>0</v>
      </c>
      <c r="G74" s="16">
        <f>COUNTIFS(Tabla1[Tipo de Movilidad],"Intercambio*",Tabla1[Universidad KPIs],'Utilización Convenios'!$C74,Tabla1[Año de Movilidad],'Utilización Convenios'!G$3,Tabla1[Nivel],"Pregrado")</f>
        <v>0</v>
      </c>
      <c r="H74" s="33">
        <f>COUNTIFS(Tabla2[Tipo de Movilidad],"Intercambio*",Tabla2[Universidad KPIs],'Utilización Convenios'!$C74,Tabla2[Año],'Utilización Convenios'!G$3,Tabla2[Nivel Nominación],"Undergraduate / Bachelor")</f>
        <v>0</v>
      </c>
      <c r="I74" s="16">
        <f>COUNTIFS(Tabla1[Tipo de Movilidad],"Intercambio*",Tabla1[Universidad KPIs],'Utilización Convenios'!$C74,Tabla1[Año de Movilidad],'Utilización Convenios'!I$3,Tabla1[Nivel],"Pregrado")</f>
        <v>0</v>
      </c>
      <c r="J74" s="33">
        <f>COUNTIFS(Tabla2[Tipo de Movilidad],"Intercambio*",Tabla2[Universidad KPIs],'Utilización Convenios'!$C74,Tabla2[Año],'Utilización Convenios'!I$3,Tabla2[Nivel Nominación],"Undergraduate / Bachelor")</f>
        <v>0</v>
      </c>
      <c r="K74" s="16">
        <f>COUNTIFS(Tabla1[Tipo de Movilidad],"Intercambio*",Tabla1[Universidad KPIs],'Utilización Convenios'!$C74,Tabla1[Año de Movilidad],'Utilización Convenios'!K$3,Tabla1[Nivel],"Pregrado")</f>
        <v>1</v>
      </c>
      <c r="L74" s="33">
        <f>COUNTIFS(Tabla2[Tipo de Movilidad],"Intercambio*",Tabla2[Universidad KPIs],'Utilización Convenios'!$C74,Tabla2[Año],'Utilización Convenios'!K$3,Tabla2[Nivel Nominación],"Undergraduate / Bachelor")</f>
        <v>0</v>
      </c>
      <c r="M74" s="16">
        <f>COUNTIFS(Tabla1[Tipo de Movilidad],"Intercambio*",Tabla1[Universidad KPIs],'Utilización Convenios'!$C74,Tabla1[Año de Movilidad],'Utilización Convenios'!M$3,Tabla1[Nivel],"Pregrado")</f>
        <v>0</v>
      </c>
      <c r="N74" s="36">
        <f>COUNTIFS(Tabla2[Tipo de Movilidad],"Intercambio*",Tabla2[Universidad KPIs],'Utilización Convenios'!$C74,Tabla2[Año],'Utilización Convenios'!M$3,Tabla2[Nivel Nominación],"Undergraduate / Bachelor")</f>
        <v>0</v>
      </c>
      <c r="O74" s="16">
        <f>COUNTIFS(Tabla1[Tipo de Movilidad],"Intercambio*",Tabla1[Universidad KPIs],'Utilización Convenios'!$C74,Tabla1[Año de Movilidad],'Utilización Convenios'!O$3,Tabla1[Nivel],"Pregrado")</f>
        <v>0</v>
      </c>
      <c r="P74" s="36">
        <f>COUNTIFS(Tabla2[Tipo de Movilidad],"Intercambio*",Tabla2[Universidad KPIs],'Utilización Convenios'!$C74,Tabla2[Año],'Utilización Convenios'!O$3,Tabla2[Nivel Nominación],"Undergraduate / Bachelor")</f>
        <v>1</v>
      </c>
      <c r="Q74" s="43">
        <f t="shared" si="2"/>
        <v>1</v>
      </c>
      <c r="R74" s="44">
        <f t="shared" si="2"/>
        <v>1</v>
      </c>
    </row>
    <row r="75" spans="2:18">
      <c r="B75" s="179"/>
      <c r="C75" s="94" t="s">
        <v>135</v>
      </c>
      <c r="D75" s="95" t="s">
        <v>62</v>
      </c>
      <c r="E75" s="90">
        <f>COUNTIFS(Tabla1[Tipo de Movilidad],"Intercambio*",Tabla1[Universidad KPIs],'Utilización Convenios'!$C75,Tabla1[Año de Movilidad],'Utilización Convenios'!E$3,Tabla1[Nivel],"Pregrado")</f>
        <v>0</v>
      </c>
      <c r="F75" s="33">
        <f>COUNTIFS(Tabla2[Tipo de Movilidad],"Intercambio*",Tabla2[Universidad KPIs],'Utilización Convenios'!$C75,Tabla2[Año],'Utilización Convenios'!E$3,Tabla2[Nivel Nominación],"Undergraduate / Bachelor")</f>
        <v>0</v>
      </c>
      <c r="G75" s="16">
        <f>COUNTIFS(Tabla1[Tipo de Movilidad],"Intercambio*",Tabla1[Universidad KPIs],'Utilización Convenios'!$C75,Tabla1[Año de Movilidad],'Utilización Convenios'!G$3,Tabla1[Nivel],"Pregrado")</f>
        <v>0</v>
      </c>
      <c r="H75" s="33">
        <f>COUNTIFS(Tabla2[Tipo de Movilidad],"Intercambio*",Tabla2[Universidad KPIs],'Utilización Convenios'!$C75,Tabla2[Año],'Utilización Convenios'!G$3,Tabla2[Nivel Nominación],"Undergraduate / Bachelor")</f>
        <v>0</v>
      </c>
      <c r="I75" s="16">
        <f>COUNTIFS(Tabla1[Tipo de Movilidad],"Intercambio*",Tabla1[Universidad KPIs],'Utilización Convenios'!$C75,Tabla1[Año de Movilidad],'Utilización Convenios'!I$3,Tabla1[Nivel],"Pregrado")</f>
        <v>1</v>
      </c>
      <c r="J75" s="33">
        <f>COUNTIFS(Tabla2[Tipo de Movilidad],"Intercambio*",Tabla2[Universidad KPIs],'Utilización Convenios'!$C75,Tabla2[Año],'Utilización Convenios'!I$3,Tabla2[Nivel Nominación],"Undergraduate / Bachelor")</f>
        <v>0</v>
      </c>
      <c r="K75" s="16">
        <f>COUNTIFS(Tabla1[Tipo de Movilidad],"Intercambio*",Tabla1[Universidad KPIs],'Utilización Convenios'!$C75,Tabla1[Año de Movilidad],'Utilización Convenios'!K$3,Tabla1[Nivel],"Pregrado")</f>
        <v>0</v>
      </c>
      <c r="L75" s="33">
        <f>COUNTIFS(Tabla2[Tipo de Movilidad],"Intercambio*",Tabla2[Universidad KPIs],'Utilización Convenios'!$C75,Tabla2[Año],'Utilización Convenios'!K$3,Tabla2[Nivel Nominación],"Undergraduate / Bachelor")</f>
        <v>0</v>
      </c>
      <c r="M75" s="16">
        <f>COUNTIFS(Tabla1[Tipo de Movilidad],"Intercambio*",Tabla1[Universidad KPIs],'Utilización Convenios'!$C75,Tabla1[Año de Movilidad],'Utilización Convenios'!M$3,Tabla1[Nivel],"Pregrado")</f>
        <v>0</v>
      </c>
      <c r="N75" s="36">
        <f>COUNTIFS(Tabla2[Tipo de Movilidad],"Intercambio*",Tabla2[Universidad KPIs],'Utilización Convenios'!$C75,Tabla2[Año],'Utilización Convenios'!M$3,Tabla2[Nivel Nominación],"Undergraduate / Bachelor")</f>
        <v>0</v>
      </c>
      <c r="O75" s="16">
        <f>COUNTIFS(Tabla1[Tipo de Movilidad],"Intercambio*",Tabla1[Universidad KPIs],'Utilización Convenios'!$C75,Tabla1[Año de Movilidad],'Utilización Convenios'!O$3,Tabla1[Nivel],"Pregrado")</f>
        <v>0</v>
      </c>
      <c r="P75" s="36">
        <f>COUNTIFS(Tabla2[Tipo de Movilidad],"Intercambio*",Tabla2[Universidad KPIs],'Utilización Convenios'!$C75,Tabla2[Año],'Utilización Convenios'!O$3,Tabla2[Nivel Nominación],"Undergraduate / Bachelor")</f>
        <v>0</v>
      </c>
      <c r="Q75" s="43">
        <f t="shared" si="2"/>
        <v>1</v>
      </c>
      <c r="R75" s="44">
        <f t="shared" si="2"/>
        <v>0</v>
      </c>
    </row>
    <row r="76" spans="2:18">
      <c r="B76" s="179"/>
      <c r="C76" s="94" t="s">
        <v>136</v>
      </c>
      <c r="D76" s="95" t="s">
        <v>47</v>
      </c>
      <c r="E76" s="90">
        <f>COUNTIFS(Tabla1[Tipo de Movilidad],"Intercambio*",Tabla1[Universidad KPIs],'Utilización Convenios'!$C76,Tabla1[Año de Movilidad],'Utilización Convenios'!E$3,Tabla1[Nivel],"Pregrado")</f>
        <v>1</v>
      </c>
      <c r="F76" s="33">
        <f>COUNTIFS(Tabla2[Tipo de Movilidad],"Intercambio*",Tabla2[Universidad KPIs],'Utilización Convenios'!$C76,Tabla2[Año],'Utilización Convenios'!E$3,Tabla2[Nivel Nominación],"Undergraduate / Bachelor")</f>
        <v>0</v>
      </c>
      <c r="G76" s="16">
        <f>COUNTIFS(Tabla1[Tipo de Movilidad],"Intercambio*",Tabla1[Universidad KPIs],'Utilización Convenios'!$C76,Tabla1[Año de Movilidad],'Utilización Convenios'!G$3,Tabla1[Nivel],"Pregrado")</f>
        <v>0</v>
      </c>
      <c r="H76" s="33">
        <f>COUNTIFS(Tabla2[Tipo de Movilidad],"Intercambio*",Tabla2[Universidad KPIs],'Utilización Convenios'!$C76,Tabla2[Año],'Utilización Convenios'!G$3,Tabla2[Nivel Nominación],"Undergraduate / Bachelor")</f>
        <v>0</v>
      </c>
      <c r="I76" s="16">
        <f>COUNTIFS(Tabla1[Tipo de Movilidad],"Intercambio*",Tabla1[Universidad KPIs],'Utilización Convenios'!$C76,Tabla1[Año de Movilidad],'Utilización Convenios'!I$3,Tabla1[Nivel],"Pregrado")</f>
        <v>0</v>
      </c>
      <c r="J76" s="33">
        <f>COUNTIFS(Tabla2[Tipo de Movilidad],"Intercambio*",Tabla2[Universidad KPIs],'Utilización Convenios'!$C76,Tabla2[Año],'Utilización Convenios'!I$3,Tabla2[Nivel Nominación],"Undergraduate / Bachelor")</f>
        <v>1</v>
      </c>
      <c r="K76" s="16">
        <f>COUNTIFS(Tabla1[Tipo de Movilidad],"Intercambio*",Tabla1[Universidad KPIs],'Utilización Convenios'!$C76,Tabla1[Año de Movilidad],'Utilización Convenios'!K$3,Tabla1[Nivel],"Pregrado")</f>
        <v>0</v>
      </c>
      <c r="L76" s="33">
        <f>COUNTIFS(Tabla2[Tipo de Movilidad],"Intercambio*",Tabla2[Universidad KPIs],'Utilización Convenios'!$C76,Tabla2[Año],'Utilización Convenios'!K$3,Tabla2[Nivel Nominación],"Undergraduate / Bachelor")</f>
        <v>0</v>
      </c>
      <c r="M76" s="16">
        <f>COUNTIFS(Tabla1[Tipo de Movilidad],"Intercambio*",Tabla1[Universidad KPIs],'Utilización Convenios'!$C76,Tabla1[Año de Movilidad],'Utilización Convenios'!M$3,Tabla1[Nivel],"Pregrado")</f>
        <v>0</v>
      </c>
      <c r="N76" s="36">
        <f>COUNTIFS(Tabla2[Tipo de Movilidad],"Intercambio*",Tabla2[Universidad KPIs],'Utilización Convenios'!$C76,Tabla2[Año],'Utilización Convenios'!M$3,Tabla2[Nivel Nominación],"Undergraduate / Bachelor")</f>
        <v>0</v>
      </c>
      <c r="O76" s="16">
        <f>COUNTIFS(Tabla1[Tipo de Movilidad],"Intercambio*",Tabla1[Universidad KPIs],'Utilización Convenios'!$C76,Tabla1[Año de Movilidad],'Utilización Convenios'!O$3,Tabla1[Nivel],"Pregrado")</f>
        <v>0</v>
      </c>
      <c r="P76" s="36">
        <f>COUNTIFS(Tabla2[Tipo de Movilidad],"Intercambio*",Tabla2[Universidad KPIs],'Utilización Convenios'!$C76,Tabla2[Año],'Utilización Convenios'!O$3,Tabla2[Nivel Nominación],"Undergraduate / Bachelor")</f>
        <v>0</v>
      </c>
      <c r="Q76" s="43">
        <f t="shared" si="2"/>
        <v>1</v>
      </c>
      <c r="R76" s="44">
        <f t="shared" si="2"/>
        <v>1</v>
      </c>
    </row>
    <row r="77" spans="2:18">
      <c r="B77" s="179"/>
      <c r="C77" s="94" t="s">
        <v>137</v>
      </c>
      <c r="D77" s="95" t="s">
        <v>35</v>
      </c>
      <c r="E77" s="90">
        <f>COUNTIFS(Tabla1[Tipo de Movilidad],"Intercambio*",Tabla1[Universidad KPIs],'Utilización Convenios'!$C77,Tabla1[Año de Movilidad],'Utilización Convenios'!E$3,Tabla1[Nivel],"Pregrado")</f>
        <v>0</v>
      </c>
      <c r="F77" s="33">
        <f>COUNTIFS(Tabla2[Tipo de Movilidad],"Intercambio*",Tabla2[Universidad KPIs],'Utilización Convenios'!$C77,Tabla2[Año],'Utilización Convenios'!E$3,Tabla2[Nivel Nominación],"Undergraduate / Bachelor")</f>
        <v>0</v>
      </c>
      <c r="G77" s="16">
        <f>COUNTIFS(Tabla1[Tipo de Movilidad],"Intercambio*",Tabla1[Universidad KPIs],'Utilización Convenios'!$C77,Tabla1[Año de Movilidad],'Utilización Convenios'!G$3,Tabla1[Nivel],"Pregrado")</f>
        <v>0</v>
      </c>
      <c r="H77" s="33">
        <f>COUNTIFS(Tabla2[Tipo de Movilidad],"Intercambio*",Tabla2[Universidad KPIs],'Utilización Convenios'!$C77,Tabla2[Año],'Utilización Convenios'!G$3,Tabla2[Nivel Nominación],"Undergraduate / Bachelor")</f>
        <v>0</v>
      </c>
      <c r="I77" s="16">
        <f>COUNTIFS(Tabla1[Tipo de Movilidad],"Intercambio*",Tabla1[Universidad KPIs],'Utilización Convenios'!$C77,Tabla1[Año de Movilidad],'Utilización Convenios'!I$3,Tabla1[Nivel],"Pregrado")</f>
        <v>2</v>
      </c>
      <c r="J77" s="33">
        <f>COUNTIFS(Tabla2[Tipo de Movilidad],"Intercambio*",Tabla2[Universidad KPIs],'Utilización Convenios'!$C77,Tabla2[Año],'Utilización Convenios'!I$3,Tabla2[Nivel Nominación],"Undergraduate / Bachelor")</f>
        <v>0</v>
      </c>
      <c r="K77" s="16">
        <f>COUNTIFS(Tabla1[Tipo de Movilidad],"Intercambio*",Tabla1[Universidad KPIs],'Utilización Convenios'!$C77,Tabla1[Año de Movilidad],'Utilización Convenios'!K$3,Tabla1[Nivel],"Pregrado")</f>
        <v>1</v>
      </c>
      <c r="L77" s="33">
        <f>COUNTIFS(Tabla2[Tipo de Movilidad],"Intercambio*",Tabla2[Universidad KPIs],'Utilización Convenios'!$C77,Tabla2[Año],'Utilización Convenios'!K$3,Tabla2[Nivel Nominación],"Undergraduate / Bachelor")</f>
        <v>0</v>
      </c>
      <c r="M77" s="16">
        <f>COUNTIFS(Tabla1[Tipo de Movilidad],"Intercambio*",Tabla1[Universidad KPIs],'Utilización Convenios'!$C77,Tabla1[Año de Movilidad],'Utilización Convenios'!M$3,Tabla1[Nivel],"Pregrado")</f>
        <v>0</v>
      </c>
      <c r="N77" s="36">
        <f>COUNTIFS(Tabla2[Tipo de Movilidad],"Intercambio*",Tabla2[Universidad KPIs],'Utilización Convenios'!$C77,Tabla2[Año],'Utilización Convenios'!M$3,Tabla2[Nivel Nominación],"Undergraduate / Bachelor")</f>
        <v>0</v>
      </c>
      <c r="O77" s="16">
        <f>COUNTIFS(Tabla1[Tipo de Movilidad],"Intercambio*",Tabla1[Universidad KPIs],'Utilización Convenios'!$C77,Tabla1[Año de Movilidad],'Utilización Convenios'!O$3,Tabla1[Nivel],"Pregrado")</f>
        <v>0</v>
      </c>
      <c r="P77" s="36">
        <f>COUNTIFS(Tabla2[Tipo de Movilidad],"Intercambio*",Tabla2[Universidad KPIs],'Utilización Convenios'!$C77,Tabla2[Año],'Utilización Convenios'!O$3,Tabla2[Nivel Nominación],"Undergraduate / Bachelor")</f>
        <v>0</v>
      </c>
      <c r="Q77" s="43">
        <f t="shared" si="2"/>
        <v>3</v>
      </c>
      <c r="R77" s="44">
        <f t="shared" si="2"/>
        <v>0</v>
      </c>
    </row>
    <row r="78" spans="2:18">
      <c r="B78" s="179"/>
      <c r="C78" s="94" t="s">
        <v>138</v>
      </c>
      <c r="D78" s="95" t="s">
        <v>60</v>
      </c>
      <c r="E78" s="90">
        <f>COUNTIFS(Tabla1[Tipo de Movilidad],"Intercambio*",Tabla1[Universidad KPIs],'Utilización Convenios'!$C78,Tabla1[Año de Movilidad],'Utilización Convenios'!E$3,Tabla1[Nivel],"Pregrado")</f>
        <v>0</v>
      </c>
      <c r="F78" s="33">
        <f>COUNTIFS(Tabla2[Tipo de Movilidad],"Intercambio*",Tabla2[Universidad KPIs],'Utilización Convenios'!$C78,Tabla2[Año],'Utilización Convenios'!E$3,Tabla2[Nivel Nominación],"Undergraduate / Bachelor")</f>
        <v>0</v>
      </c>
      <c r="G78" s="16">
        <f>COUNTIFS(Tabla1[Tipo de Movilidad],"Intercambio*",Tabla1[Universidad KPIs],'Utilización Convenios'!$C78,Tabla1[Año de Movilidad],'Utilización Convenios'!G$3,Tabla1[Nivel],"Pregrado")</f>
        <v>1</v>
      </c>
      <c r="H78" s="33">
        <f>COUNTIFS(Tabla2[Tipo de Movilidad],"Intercambio*",Tabla2[Universidad KPIs],'Utilización Convenios'!$C78,Tabla2[Año],'Utilización Convenios'!G$3,Tabla2[Nivel Nominación],"Undergraduate / Bachelor")</f>
        <v>0</v>
      </c>
      <c r="I78" s="16">
        <f>COUNTIFS(Tabla1[Tipo de Movilidad],"Intercambio*",Tabla1[Universidad KPIs],'Utilización Convenios'!$C78,Tabla1[Año de Movilidad],'Utilización Convenios'!I$3,Tabla1[Nivel],"Pregrado")</f>
        <v>0</v>
      </c>
      <c r="J78" s="33">
        <f>COUNTIFS(Tabla2[Tipo de Movilidad],"Intercambio*",Tabla2[Universidad KPIs],'Utilización Convenios'!$C78,Tabla2[Año],'Utilización Convenios'!I$3,Tabla2[Nivel Nominación],"Undergraduate / Bachelor")</f>
        <v>0</v>
      </c>
      <c r="K78" s="16">
        <f>COUNTIFS(Tabla1[Tipo de Movilidad],"Intercambio*",Tabla1[Universidad KPIs],'Utilización Convenios'!$C78,Tabla1[Año de Movilidad],'Utilización Convenios'!K$3,Tabla1[Nivel],"Pregrado")</f>
        <v>0</v>
      </c>
      <c r="L78" s="33">
        <f>COUNTIFS(Tabla2[Tipo de Movilidad],"Intercambio*",Tabla2[Universidad KPIs],'Utilización Convenios'!$C78,Tabla2[Año],'Utilización Convenios'!K$3,Tabla2[Nivel Nominación],"Undergraduate / Bachelor")</f>
        <v>0</v>
      </c>
      <c r="M78" s="16">
        <f>COUNTIFS(Tabla1[Tipo de Movilidad],"Intercambio*",Tabla1[Universidad KPIs],'Utilización Convenios'!$C78,Tabla1[Año de Movilidad],'Utilización Convenios'!M$3,Tabla1[Nivel],"Pregrado")</f>
        <v>0</v>
      </c>
      <c r="N78" s="36">
        <f>COUNTIFS(Tabla2[Tipo de Movilidad],"Intercambio*",Tabla2[Universidad KPIs],'Utilización Convenios'!$C78,Tabla2[Año],'Utilización Convenios'!M$3,Tabla2[Nivel Nominación],"Undergraduate / Bachelor")</f>
        <v>0</v>
      </c>
      <c r="O78" s="16">
        <f>COUNTIFS(Tabla1[Tipo de Movilidad],"Intercambio*",Tabla1[Universidad KPIs],'Utilización Convenios'!$C78,Tabla1[Año de Movilidad],'Utilización Convenios'!O$3,Tabla1[Nivel],"Pregrado")</f>
        <v>0</v>
      </c>
      <c r="P78" s="36">
        <f>COUNTIFS(Tabla2[Tipo de Movilidad],"Intercambio*",Tabla2[Universidad KPIs],'Utilización Convenios'!$C78,Tabla2[Año],'Utilización Convenios'!O$3,Tabla2[Nivel Nominación],"Undergraduate / Bachelor")</f>
        <v>0</v>
      </c>
      <c r="Q78" s="43">
        <f t="shared" si="2"/>
        <v>1</v>
      </c>
      <c r="R78" s="44">
        <f t="shared" si="2"/>
        <v>0</v>
      </c>
    </row>
    <row r="79" spans="2:18">
      <c r="B79" s="179"/>
      <c r="C79" s="94" t="s">
        <v>139</v>
      </c>
      <c r="D79" s="95" t="s">
        <v>60</v>
      </c>
      <c r="E79" s="90">
        <f>COUNTIFS(Tabla1[Tipo de Movilidad],"Intercambio*",Tabla1[Universidad KPIs],'Utilización Convenios'!$C79,Tabla1[Año de Movilidad],'Utilización Convenios'!E$3,Tabla1[Nivel],"Pregrado")</f>
        <v>0</v>
      </c>
      <c r="F79" s="33">
        <f>COUNTIFS(Tabla2[Tipo de Movilidad],"Intercambio*",Tabla2[Universidad KPIs],'Utilización Convenios'!$C79,Tabla2[Año],'Utilización Convenios'!E$3,Tabla2[Nivel Nominación],"Undergraduate / Bachelor")</f>
        <v>2</v>
      </c>
      <c r="G79" s="16">
        <f>COUNTIFS(Tabla1[Tipo de Movilidad],"Intercambio*",Tabla1[Universidad KPIs],'Utilización Convenios'!$C79,Tabla1[Año de Movilidad],'Utilización Convenios'!G$3,Tabla1[Nivel],"Pregrado")</f>
        <v>0</v>
      </c>
      <c r="H79" s="33">
        <f>COUNTIFS(Tabla2[Tipo de Movilidad],"Intercambio*",Tabla2[Universidad KPIs],'Utilización Convenios'!$C79,Tabla2[Año],'Utilización Convenios'!G$3,Tabla2[Nivel Nominación],"Undergraduate / Bachelor")</f>
        <v>0</v>
      </c>
      <c r="I79" s="16">
        <f>COUNTIFS(Tabla1[Tipo de Movilidad],"Intercambio*",Tabla1[Universidad KPIs],'Utilización Convenios'!$C79,Tabla1[Año de Movilidad],'Utilización Convenios'!I$3,Tabla1[Nivel],"Pregrado")</f>
        <v>0</v>
      </c>
      <c r="J79" s="33">
        <f>COUNTIFS(Tabla2[Tipo de Movilidad],"Intercambio*",Tabla2[Universidad KPIs],'Utilización Convenios'!$C79,Tabla2[Año],'Utilización Convenios'!I$3,Tabla2[Nivel Nominación],"Undergraduate / Bachelor")</f>
        <v>1</v>
      </c>
      <c r="K79" s="16">
        <f>COUNTIFS(Tabla1[Tipo de Movilidad],"Intercambio*",Tabla1[Universidad KPIs],'Utilización Convenios'!$C79,Tabla1[Año de Movilidad],'Utilización Convenios'!K$3,Tabla1[Nivel],"Pregrado")</f>
        <v>0</v>
      </c>
      <c r="L79" s="33">
        <f>COUNTIFS(Tabla2[Tipo de Movilidad],"Intercambio*",Tabla2[Universidad KPIs],'Utilización Convenios'!$C79,Tabla2[Año],'Utilización Convenios'!K$3,Tabla2[Nivel Nominación],"Undergraduate / Bachelor")</f>
        <v>0</v>
      </c>
      <c r="M79" s="16">
        <f>COUNTIFS(Tabla1[Tipo de Movilidad],"Intercambio*",Tabla1[Universidad KPIs],'Utilización Convenios'!$C79,Tabla1[Año de Movilidad],'Utilización Convenios'!M$3,Tabla1[Nivel],"Pregrado")</f>
        <v>0</v>
      </c>
      <c r="N79" s="36">
        <f>COUNTIFS(Tabla2[Tipo de Movilidad],"Intercambio*",Tabla2[Universidad KPIs],'Utilización Convenios'!$C79,Tabla2[Año],'Utilización Convenios'!M$3,Tabla2[Nivel Nominación],"Undergraduate / Bachelor")</f>
        <v>0</v>
      </c>
      <c r="O79" s="16">
        <f>COUNTIFS(Tabla1[Tipo de Movilidad],"Intercambio*",Tabla1[Universidad KPIs],'Utilización Convenios'!$C79,Tabla1[Año de Movilidad],'Utilización Convenios'!O$3,Tabla1[Nivel],"Pregrado")</f>
        <v>0</v>
      </c>
      <c r="P79" s="36">
        <f>COUNTIFS(Tabla2[Tipo de Movilidad],"Intercambio*",Tabla2[Universidad KPIs],'Utilización Convenios'!$C79,Tabla2[Año],'Utilización Convenios'!O$3,Tabla2[Nivel Nominación],"Undergraduate / Bachelor")</f>
        <v>1</v>
      </c>
      <c r="Q79" s="43">
        <f t="shared" si="2"/>
        <v>0</v>
      </c>
      <c r="R79" s="44">
        <f t="shared" si="2"/>
        <v>4</v>
      </c>
    </row>
    <row r="80" spans="2:18">
      <c r="B80" s="179"/>
      <c r="C80" s="94" t="s">
        <v>140</v>
      </c>
      <c r="D80" s="95" t="s">
        <v>53</v>
      </c>
      <c r="E80" s="90">
        <f>COUNTIFS(Tabla1[Tipo de Movilidad],"Intercambio*",Tabla1[Universidad KPIs],'Utilización Convenios'!$C80,Tabla1[Año de Movilidad],'Utilización Convenios'!E$3,Tabla1[Nivel],"Pregrado")</f>
        <v>1</v>
      </c>
      <c r="F80" s="33">
        <f>COUNTIFS(Tabla2[Tipo de Movilidad],"Intercambio*",Tabla2[Universidad KPIs],'Utilización Convenios'!$C80,Tabla2[Año],'Utilización Convenios'!E$3,Tabla2[Nivel Nominación],"Undergraduate / Bachelor")</f>
        <v>0</v>
      </c>
      <c r="G80" s="16">
        <f>COUNTIFS(Tabla1[Tipo de Movilidad],"Intercambio*",Tabla1[Universidad KPIs],'Utilización Convenios'!$C80,Tabla1[Año de Movilidad],'Utilización Convenios'!G$3,Tabla1[Nivel],"Pregrado")</f>
        <v>0</v>
      </c>
      <c r="H80" s="33">
        <f>COUNTIFS(Tabla2[Tipo de Movilidad],"Intercambio*",Tabla2[Universidad KPIs],'Utilización Convenios'!$C80,Tabla2[Año],'Utilización Convenios'!G$3,Tabla2[Nivel Nominación],"Undergraduate / Bachelor")</f>
        <v>0</v>
      </c>
      <c r="I80" s="16">
        <f>COUNTIFS(Tabla1[Tipo de Movilidad],"Intercambio*",Tabla1[Universidad KPIs],'Utilización Convenios'!$C80,Tabla1[Año de Movilidad],'Utilización Convenios'!I$3,Tabla1[Nivel],"Pregrado")</f>
        <v>0</v>
      </c>
      <c r="J80" s="33">
        <f>COUNTIFS(Tabla2[Tipo de Movilidad],"Intercambio*",Tabla2[Universidad KPIs],'Utilización Convenios'!$C80,Tabla2[Año],'Utilización Convenios'!I$3,Tabla2[Nivel Nominación],"Undergraduate / Bachelor")</f>
        <v>0</v>
      </c>
      <c r="K80" s="16">
        <f>COUNTIFS(Tabla1[Tipo de Movilidad],"Intercambio*",Tabla1[Universidad KPIs],'Utilización Convenios'!$C80,Tabla1[Año de Movilidad],'Utilización Convenios'!K$3,Tabla1[Nivel],"Pregrado")</f>
        <v>0</v>
      </c>
      <c r="L80" s="33">
        <f>COUNTIFS(Tabla2[Tipo de Movilidad],"Intercambio*",Tabla2[Universidad KPIs],'Utilización Convenios'!$C80,Tabla2[Año],'Utilización Convenios'!K$3,Tabla2[Nivel Nominación],"Undergraduate / Bachelor")</f>
        <v>0</v>
      </c>
      <c r="M80" s="16">
        <f>COUNTIFS(Tabla1[Tipo de Movilidad],"Intercambio*",Tabla1[Universidad KPIs],'Utilización Convenios'!$C80,Tabla1[Año de Movilidad],'Utilización Convenios'!M$3,Tabla1[Nivel],"Pregrado")</f>
        <v>0</v>
      </c>
      <c r="N80" s="36">
        <f>COUNTIFS(Tabla2[Tipo de Movilidad],"Intercambio*",Tabla2[Universidad KPIs],'Utilización Convenios'!$C80,Tabla2[Año],'Utilización Convenios'!M$3,Tabla2[Nivel Nominación],"Undergraduate / Bachelor")</f>
        <v>0</v>
      </c>
      <c r="O80" s="16">
        <f>COUNTIFS(Tabla1[Tipo de Movilidad],"Intercambio*",Tabla1[Universidad KPIs],'Utilización Convenios'!$C80,Tabla1[Año de Movilidad],'Utilización Convenios'!O$3,Tabla1[Nivel],"Pregrado")</f>
        <v>0</v>
      </c>
      <c r="P80" s="36">
        <f>COUNTIFS(Tabla2[Tipo de Movilidad],"Intercambio*",Tabla2[Universidad KPIs],'Utilización Convenios'!$C80,Tabla2[Año],'Utilización Convenios'!O$3,Tabla2[Nivel Nominación],"Undergraduate / Bachelor")</f>
        <v>0</v>
      </c>
      <c r="Q80" s="43">
        <f t="shared" si="2"/>
        <v>1</v>
      </c>
      <c r="R80" s="44">
        <f t="shared" si="2"/>
        <v>0</v>
      </c>
    </row>
    <row r="81" spans="2:18">
      <c r="B81" s="179"/>
      <c r="C81" s="94" t="s">
        <v>141</v>
      </c>
      <c r="D81" s="95" t="s">
        <v>142</v>
      </c>
      <c r="E81" s="90">
        <f>COUNTIFS(Tabla1[Tipo de Movilidad],"Intercambio*",Tabla1[Universidad KPIs],'Utilización Convenios'!$C81,Tabla1[Año de Movilidad],'Utilización Convenios'!E$3,Tabla1[Nivel],"Pregrado")</f>
        <v>0</v>
      </c>
      <c r="F81" s="33">
        <f>COUNTIFS(Tabla2[Tipo de Movilidad],"Intercambio*",Tabla2[Universidad KPIs],'Utilización Convenios'!$C81,Tabla2[Año],'Utilización Convenios'!E$3,Tabla2[Nivel Nominación],"Undergraduate / Bachelor")</f>
        <v>0</v>
      </c>
      <c r="G81" s="16">
        <f>COUNTIFS(Tabla1[Tipo de Movilidad],"Intercambio*",Tabla1[Universidad KPIs],'Utilización Convenios'!$C81,Tabla1[Año de Movilidad],'Utilización Convenios'!G$3,Tabla1[Nivel],"Pregrado")</f>
        <v>0</v>
      </c>
      <c r="H81" s="33">
        <f>COUNTIFS(Tabla2[Tipo de Movilidad],"Intercambio*",Tabla2[Universidad KPIs],'Utilización Convenios'!$C81,Tabla2[Año],'Utilización Convenios'!G$3,Tabla2[Nivel Nominación],"Undergraduate / Bachelor")</f>
        <v>0</v>
      </c>
      <c r="I81" s="16">
        <f>COUNTIFS(Tabla1[Tipo de Movilidad],"Intercambio*",Tabla1[Universidad KPIs],'Utilización Convenios'!$C81,Tabla1[Año de Movilidad],'Utilización Convenios'!I$3,Tabla1[Nivel],"Pregrado")</f>
        <v>0</v>
      </c>
      <c r="J81" s="33">
        <f>COUNTIFS(Tabla2[Tipo de Movilidad],"Intercambio*",Tabla2[Universidad KPIs],'Utilización Convenios'!$C81,Tabla2[Año],'Utilización Convenios'!I$3,Tabla2[Nivel Nominación],"Undergraduate / Bachelor")</f>
        <v>3</v>
      </c>
      <c r="K81" s="16">
        <f>COUNTIFS(Tabla1[Tipo de Movilidad],"Intercambio*",Tabla1[Universidad KPIs],'Utilización Convenios'!$C81,Tabla1[Año de Movilidad],'Utilización Convenios'!K$3,Tabla1[Nivel],"Pregrado")</f>
        <v>0</v>
      </c>
      <c r="L81" s="33">
        <f>COUNTIFS(Tabla2[Tipo de Movilidad],"Intercambio*",Tabla2[Universidad KPIs],'Utilización Convenios'!$C81,Tabla2[Año],'Utilización Convenios'!K$3,Tabla2[Nivel Nominación],"Undergraduate / Bachelor")</f>
        <v>0</v>
      </c>
      <c r="M81" s="16">
        <f>COUNTIFS(Tabla1[Tipo de Movilidad],"Intercambio*",Tabla1[Universidad KPIs],'Utilización Convenios'!$C81,Tabla1[Año de Movilidad],'Utilización Convenios'!M$3,Tabla1[Nivel],"Pregrado")</f>
        <v>0</v>
      </c>
      <c r="N81" s="36">
        <f>COUNTIFS(Tabla2[Tipo de Movilidad],"Intercambio*",Tabla2[Universidad KPIs],'Utilización Convenios'!$C81,Tabla2[Año],'Utilización Convenios'!M$3,Tabla2[Nivel Nominación],"Undergraduate / Bachelor")</f>
        <v>0</v>
      </c>
      <c r="O81" s="16">
        <f>COUNTIFS(Tabla1[Tipo de Movilidad],"Intercambio*",Tabla1[Universidad KPIs],'Utilización Convenios'!$C81,Tabla1[Año de Movilidad],'Utilización Convenios'!O$3,Tabla1[Nivel],"Pregrado")</f>
        <v>0</v>
      </c>
      <c r="P81" s="36">
        <f>COUNTIFS(Tabla2[Tipo de Movilidad],"Intercambio*",Tabla2[Universidad KPIs],'Utilización Convenios'!$C81,Tabla2[Año],'Utilización Convenios'!O$3,Tabla2[Nivel Nominación],"Undergraduate / Bachelor")</f>
        <v>1</v>
      </c>
      <c r="Q81" s="43">
        <f t="shared" si="2"/>
        <v>0</v>
      </c>
      <c r="R81" s="44">
        <f t="shared" si="2"/>
        <v>4</v>
      </c>
    </row>
    <row r="82" spans="2:18">
      <c r="B82" s="179"/>
      <c r="C82" s="94" t="s">
        <v>143</v>
      </c>
      <c r="D82" s="95" t="s">
        <v>53</v>
      </c>
      <c r="E82" s="90">
        <f>COUNTIFS(Tabla1[Tipo de Movilidad],"Intercambio*",Tabla1[Universidad KPIs],'Utilización Convenios'!$C82,Tabla1[Año de Movilidad],'Utilización Convenios'!E$3,Tabla1[Nivel],"Pregrado")</f>
        <v>0</v>
      </c>
      <c r="F82" s="33">
        <f>COUNTIFS(Tabla2[Tipo de Movilidad],"Intercambio*",Tabla2[Universidad KPIs],'Utilización Convenios'!$C82,Tabla2[Año],'Utilización Convenios'!E$3,Tabla2[Nivel Nominación],"Undergraduate / Bachelor")</f>
        <v>0</v>
      </c>
      <c r="G82" s="16">
        <f>COUNTIFS(Tabla1[Tipo de Movilidad],"Intercambio*",Tabla1[Universidad KPIs],'Utilización Convenios'!$C82,Tabla1[Año de Movilidad],'Utilización Convenios'!G$3,Tabla1[Nivel],"Pregrado")</f>
        <v>0</v>
      </c>
      <c r="H82" s="33">
        <f>COUNTIFS(Tabla2[Tipo de Movilidad],"Intercambio*",Tabla2[Universidad KPIs],'Utilización Convenios'!$C82,Tabla2[Año],'Utilización Convenios'!G$3,Tabla2[Nivel Nominación],"Undergraduate / Bachelor")</f>
        <v>0</v>
      </c>
      <c r="I82" s="16">
        <f>COUNTIFS(Tabla1[Tipo de Movilidad],"Intercambio*",Tabla1[Universidad KPIs],'Utilización Convenios'!$C82,Tabla1[Año de Movilidad],'Utilización Convenios'!I$3,Tabla1[Nivel],"Pregrado")</f>
        <v>0</v>
      </c>
      <c r="J82" s="33">
        <f>COUNTIFS(Tabla2[Tipo de Movilidad],"Intercambio*",Tabla2[Universidad KPIs],'Utilización Convenios'!$C82,Tabla2[Año],'Utilización Convenios'!I$3,Tabla2[Nivel Nominación],"Undergraduate / Bachelor")</f>
        <v>0</v>
      </c>
      <c r="K82" s="16">
        <f>COUNTIFS(Tabla1[Tipo de Movilidad],"Intercambio*",Tabla1[Universidad KPIs],'Utilización Convenios'!$C82,Tabla1[Año de Movilidad],'Utilización Convenios'!K$3,Tabla1[Nivel],"Pregrado")</f>
        <v>0</v>
      </c>
      <c r="L82" s="33">
        <f>COUNTIFS(Tabla2[Tipo de Movilidad],"Intercambio*",Tabla2[Universidad KPIs],'Utilización Convenios'!$C82,Tabla2[Año],'Utilización Convenios'!K$3,Tabla2[Nivel Nominación],"Undergraduate / Bachelor")</f>
        <v>0</v>
      </c>
      <c r="M82" s="16">
        <f>COUNTIFS(Tabla1[Tipo de Movilidad],"Intercambio*",Tabla1[Universidad KPIs],'Utilización Convenios'!$C82,Tabla1[Año de Movilidad],'Utilización Convenios'!M$3,Tabla1[Nivel],"Pregrado")</f>
        <v>2</v>
      </c>
      <c r="N82" s="36">
        <f>COUNTIFS(Tabla2[Tipo de Movilidad],"Intercambio*",Tabla2[Universidad KPIs],'Utilización Convenios'!$C82,Tabla2[Año],'Utilización Convenios'!M$3,Tabla2[Nivel Nominación],"Undergraduate / Bachelor")</f>
        <v>0</v>
      </c>
      <c r="O82" s="16">
        <f>COUNTIFS(Tabla1[Tipo de Movilidad],"Intercambio*",Tabla1[Universidad KPIs],'Utilización Convenios'!$C82,Tabla1[Año de Movilidad],'Utilización Convenios'!O$3,Tabla1[Nivel],"Pregrado")</f>
        <v>0</v>
      </c>
      <c r="P82" s="36">
        <f>COUNTIFS(Tabla2[Tipo de Movilidad],"Intercambio*",Tabla2[Universidad KPIs],'Utilización Convenios'!$C82,Tabla2[Año],'Utilización Convenios'!O$3,Tabla2[Nivel Nominación],"Undergraduate / Bachelor")</f>
        <v>0</v>
      </c>
      <c r="Q82" s="43">
        <f t="shared" si="2"/>
        <v>2</v>
      </c>
      <c r="R82" s="44">
        <f t="shared" si="2"/>
        <v>0</v>
      </c>
    </row>
    <row r="83" spans="2:18">
      <c r="B83" s="179"/>
      <c r="C83" s="94" t="s">
        <v>144</v>
      </c>
      <c r="D83" s="95" t="s">
        <v>53</v>
      </c>
      <c r="E83" s="90">
        <f>COUNTIFS(Tabla1[Tipo de Movilidad],"Intercambio*",Tabla1[Universidad KPIs],'Utilización Convenios'!$C83,Tabla1[Año de Movilidad],'Utilización Convenios'!E$3,Tabla1[Nivel],"Pregrado")</f>
        <v>0</v>
      </c>
      <c r="F83" s="33">
        <f>COUNTIFS(Tabla2[Tipo de Movilidad],"Intercambio*",Tabla2[Universidad KPIs],'Utilización Convenios'!$C83,Tabla2[Año],'Utilización Convenios'!E$3,Tabla2[Nivel Nominación],"Undergraduate / Bachelor")</f>
        <v>0</v>
      </c>
      <c r="G83" s="16">
        <f>COUNTIFS(Tabla1[Tipo de Movilidad],"Intercambio*",Tabla1[Universidad KPIs],'Utilización Convenios'!$C83,Tabla1[Año de Movilidad],'Utilización Convenios'!G$3,Tabla1[Nivel],"Pregrado")</f>
        <v>0</v>
      </c>
      <c r="H83" s="33">
        <f>COUNTIFS(Tabla2[Tipo de Movilidad],"Intercambio*",Tabla2[Universidad KPIs],'Utilización Convenios'!$C83,Tabla2[Año],'Utilización Convenios'!G$3,Tabla2[Nivel Nominación],"Undergraduate / Bachelor")</f>
        <v>0</v>
      </c>
      <c r="I83" s="16">
        <f>COUNTIFS(Tabla1[Tipo de Movilidad],"Intercambio*",Tabla1[Universidad KPIs],'Utilización Convenios'!$C83,Tabla1[Año de Movilidad],'Utilización Convenios'!I$3,Tabla1[Nivel],"Pregrado")</f>
        <v>1</v>
      </c>
      <c r="J83" s="33">
        <f>COUNTIFS(Tabla2[Tipo de Movilidad],"Intercambio*",Tabla2[Universidad KPIs],'Utilización Convenios'!$C83,Tabla2[Año],'Utilización Convenios'!I$3,Tabla2[Nivel Nominación],"Undergraduate / Bachelor")</f>
        <v>0</v>
      </c>
      <c r="K83" s="16">
        <f>COUNTIFS(Tabla1[Tipo de Movilidad],"Intercambio*",Tabla1[Universidad KPIs],'Utilización Convenios'!$C83,Tabla1[Año de Movilidad],'Utilización Convenios'!K$3,Tabla1[Nivel],"Pregrado")</f>
        <v>1</v>
      </c>
      <c r="L83" s="33">
        <f>COUNTIFS(Tabla2[Tipo de Movilidad],"Intercambio*",Tabla2[Universidad KPIs],'Utilización Convenios'!$C83,Tabla2[Año],'Utilización Convenios'!K$3,Tabla2[Nivel Nominación],"Undergraduate / Bachelor")</f>
        <v>0</v>
      </c>
      <c r="M83" s="16">
        <f>COUNTIFS(Tabla1[Tipo de Movilidad],"Intercambio*",Tabla1[Universidad KPIs],'Utilización Convenios'!$C83,Tabla1[Año de Movilidad],'Utilización Convenios'!M$3,Tabla1[Nivel],"Pregrado")</f>
        <v>2</v>
      </c>
      <c r="N83" s="36">
        <f>COUNTIFS(Tabla2[Tipo de Movilidad],"Intercambio*",Tabla2[Universidad KPIs],'Utilización Convenios'!$C83,Tabla2[Año],'Utilización Convenios'!M$3,Tabla2[Nivel Nominación],"Undergraduate / Bachelor")</f>
        <v>0</v>
      </c>
      <c r="O83" s="16">
        <f>COUNTIFS(Tabla1[Tipo de Movilidad],"Intercambio*",Tabla1[Universidad KPIs],'Utilización Convenios'!$C83,Tabla1[Año de Movilidad],'Utilización Convenios'!O$3,Tabla1[Nivel],"Pregrado")</f>
        <v>1</v>
      </c>
      <c r="P83" s="36">
        <f>COUNTIFS(Tabla2[Tipo de Movilidad],"Intercambio*",Tabla2[Universidad KPIs],'Utilización Convenios'!$C83,Tabla2[Año],'Utilización Convenios'!O$3,Tabla2[Nivel Nominación],"Undergraduate / Bachelor")</f>
        <v>0</v>
      </c>
      <c r="Q83" s="43">
        <f t="shared" si="2"/>
        <v>5</v>
      </c>
      <c r="R83" s="44">
        <f t="shared" si="2"/>
        <v>0</v>
      </c>
    </row>
    <row r="84" spans="2:18">
      <c r="B84" s="179"/>
      <c r="C84" s="94" t="s">
        <v>145</v>
      </c>
      <c r="D84" s="95" t="s">
        <v>53</v>
      </c>
      <c r="E84" s="90">
        <f>COUNTIFS(Tabla1[Tipo de Movilidad],"Intercambio*",Tabla1[Universidad KPIs],'Utilización Convenios'!$C84,Tabla1[Año de Movilidad],'Utilización Convenios'!E$3,Tabla1[Nivel],"Pregrado")</f>
        <v>0</v>
      </c>
      <c r="F84" s="33">
        <f>COUNTIFS(Tabla2[Tipo de Movilidad],"Intercambio*",Tabla2[Universidad KPIs],'Utilización Convenios'!$C84,Tabla2[Año],'Utilización Convenios'!E$3,Tabla2[Nivel Nominación],"Undergraduate / Bachelor")</f>
        <v>0</v>
      </c>
      <c r="G84" s="16">
        <f>COUNTIFS(Tabla1[Tipo de Movilidad],"Intercambio*",Tabla1[Universidad KPIs],'Utilización Convenios'!$C84,Tabla1[Año de Movilidad],'Utilización Convenios'!G$3,Tabla1[Nivel],"Pregrado")</f>
        <v>0</v>
      </c>
      <c r="H84" s="33">
        <f>COUNTIFS(Tabla2[Tipo de Movilidad],"Intercambio*",Tabla2[Universidad KPIs],'Utilización Convenios'!$C84,Tabla2[Año],'Utilización Convenios'!G$3,Tabla2[Nivel Nominación],"Undergraduate / Bachelor")</f>
        <v>0</v>
      </c>
      <c r="I84" s="16">
        <f>COUNTIFS(Tabla1[Tipo de Movilidad],"Intercambio*",Tabla1[Universidad KPIs],'Utilización Convenios'!$C84,Tabla1[Año de Movilidad],'Utilización Convenios'!I$3,Tabla1[Nivel],"Pregrado")</f>
        <v>0</v>
      </c>
      <c r="J84" s="33">
        <f>COUNTIFS(Tabla2[Tipo de Movilidad],"Intercambio*",Tabla2[Universidad KPIs],'Utilización Convenios'!$C84,Tabla2[Año],'Utilización Convenios'!I$3,Tabla2[Nivel Nominación],"Undergraduate / Bachelor")</f>
        <v>0</v>
      </c>
      <c r="K84" s="16">
        <f>COUNTIFS(Tabla1[Tipo de Movilidad],"Intercambio*",Tabla1[Universidad KPIs],'Utilización Convenios'!$C84,Tabla1[Año de Movilidad],'Utilización Convenios'!K$3,Tabla1[Nivel],"Pregrado")</f>
        <v>2</v>
      </c>
      <c r="L84" s="33">
        <f>COUNTIFS(Tabla2[Tipo de Movilidad],"Intercambio*",Tabla2[Universidad KPIs],'Utilización Convenios'!$C84,Tabla2[Año],'Utilización Convenios'!K$3,Tabla2[Nivel Nominación],"Undergraduate / Bachelor")</f>
        <v>0</v>
      </c>
      <c r="M84" s="16">
        <f>COUNTIFS(Tabla1[Tipo de Movilidad],"Intercambio*",Tabla1[Universidad KPIs],'Utilización Convenios'!$C84,Tabla1[Año de Movilidad],'Utilización Convenios'!M$3,Tabla1[Nivel],"Pregrado")</f>
        <v>0</v>
      </c>
      <c r="N84" s="36">
        <f>COUNTIFS(Tabla2[Tipo de Movilidad],"Intercambio*",Tabla2[Universidad KPIs],'Utilización Convenios'!$C84,Tabla2[Año],'Utilización Convenios'!M$3,Tabla2[Nivel Nominación],"Undergraduate / Bachelor")</f>
        <v>0</v>
      </c>
      <c r="O84" s="16">
        <f>COUNTIFS(Tabla1[Tipo de Movilidad],"Intercambio*",Tabla1[Universidad KPIs],'Utilización Convenios'!$C84,Tabla1[Año de Movilidad],'Utilización Convenios'!O$3,Tabla1[Nivel],"Pregrado")</f>
        <v>0</v>
      </c>
      <c r="P84" s="36">
        <f>COUNTIFS(Tabla2[Tipo de Movilidad],"Intercambio*",Tabla2[Universidad KPIs],'Utilización Convenios'!$C84,Tabla2[Año],'Utilización Convenios'!O$3,Tabla2[Nivel Nominación],"Undergraduate / Bachelor")</f>
        <v>0</v>
      </c>
      <c r="Q84" s="43">
        <f t="shared" si="2"/>
        <v>2</v>
      </c>
      <c r="R84" s="44">
        <f t="shared" si="2"/>
        <v>0</v>
      </c>
    </row>
    <row r="85" spans="2:18">
      <c r="B85" s="179"/>
      <c r="C85" s="94" t="s">
        <v>146</v>
      </c>
      <c r="D85" s="95" t="s">
        <v>93</v>
      </c>
      <c r="E85" s="90">
        <f>COUNTIFS(Tabla1[Tipo de Movilidad],"Intercambio*",Tabla1[Universidad KPIs],'Utilización Convenios'!$C85,Tabla1[Año de Movilidad],'Utilización Convenios'!E$3,Tabla1[Nivel],"Pregrado")</f>
        <v>0</v>
      </c>
      <c r="F85" s="33">
        <f>COUNTIFS(Tabla2[Tipo de Movilidad],"Intercambio*",Tabla2[Universidad KPIs],'Utilización Convenios'!$C85,Tabla2[Año],'Utilización Convenios'!E$3,Tabla2[Nivel Nominación],"Undergraduate / Bachelor")</f>
        <v>1</v>
      </c>
      <c r="G85" s="16">
        <f>COUNTIFS(Tabla1[Tipo de Movilidad],"Intercambio*",Tabla1[Universidad KPIs],'Utilización Convenios'!$C85,Tabla1[Año de Movilidad],'Utilización Convenios'!G$3,Tabla1[Nivel],"Pregrado")</f>
        <v>0</v>
      </c>
      <c r="H85" s="33">
        <f>COUNTIFS(Tabla2[Tipo de Movilidad],"Intercambio*",Tabla2[Universidad KPIs],'Utilización Convenios'!$C85,Tabla2[Año],'Utilización Convenios'!G$3,Tabla2[Nivel Nominación],"Undergraduate / Bachelor")</f>
        <v>0</v>
      </c>
      <c r="I85" s="16">
        <f>COUNTIFS(Tabla1[Tipo de Movilidad],"Intercambio*",Tabla1[Universidad KPIs],'Utilización Convenios'!$C85,Tabla1[Año de Movilidad],'Utilización Convenios'!I$3,Tabla1[Nivel],"Pregrado")</f>
        <v>0</v>
      </c>
      <c r="J85" s="33">
        <f>COUNTIFS(Tabla2[Tipo de Movilidad],"Intercambio*",Tabla2[Universidad KPIs],'Utilización Convenios'!$C85,Tabla2[Año],'Utilización Convenios'!I$3,Tabla2[Nivel Nominación],"Undergraduate / Bachelor")</f>
        <v>0</v>
      </c>
      <c r="K85" s="16">
        <f>COUNTIFS(Tabla1[Tipo de Movilidad],"Intercambio*",Tabla1[Universidad KPIs],'Utilización Convenios'!$C85,Tabla1[Año de Movilidad],'Utilización Convenios'!K$3,Tabla1[Nivel],"Pregrado")</f>
        <v>0</v>
      </c>
      <c r="L85" s="33">
        <f>COUNTIFS(Tabla2[Tipo de Movilidad],"Intercambio*",Tabla2[Universidad KPIs],'Utilización Convenios'!$C85,Tabla2[Año],'Utilización Convenios'!K$3,Tabla2[Nivel Nominación],"Undergraduate / Bachelor")</f>
        <v>0</v>
      </c>
      <c r="M85" s="16">
        <f>COUNTIFS(Tabla1[Tipo de Movilidad],"Intercambio*",Tabla1[Universidad KPIs],'Utilización Convenios'!$C85,Tabla1[Año de Movilidad],'Utilización Convenios'!M$3,Tabla1[Nivel],"Pregrado")</f>
        <v>0</v>
      </c>
      <c r="N85" s="36">
        <f>COUNTIFS(Tabla2[Tipo de Movilidad],"Intercambio*",Tabla2[Universidad KPIs],'Utilización Convenios'!$C85,Tabla2[Año],'Utilización Convenios'!M$3,Tabla2[Nivel Nominación],"Undergraduate / Bachelor")</f>
        <v>0</v>
      </c>
      <c r="O85" s="16">
        <f>COUNTIFS(Tabla1[Tipo de Movilidad],"Intercambio*",Tabla1[Universidad KPIs],'Utilización Convenios'!$C85,Tabla1[Año de Movilidad],'Utilización Convenios'!O$3,Tabla1[Nivel],"Pregrado")</f>
        <v>0</v>
      </c>
      <c r="P85" s="36">
        <f>COUNTIFS(Tabla2[Tipo de Movilidad],"Intercambio*",Tabla2[Universidad KPIs],'Utilización Convenios'!$C85,Tabla2[Año],'Utilización Convenios'!O$3,Tabla2[Nivel Nominación],"Undergraduate / Bachelor")</f>
        <v>0</v>
      </c>
      <c r="Q85" s="43">
        <f t="shared" si="2"/>
        <v>0</v>
      </c>
      <c r="R85" s="44">
        <f t="shared" si="2"/>
        <v>1</v>
      </c>
    </row>
    <row r="86" spans="2:18">
      <c r="B86" s="179"/>
      <c r="C86" s="94" t="s">
        <v>147</v>
      </c>
      <c r="D86" s="95" t="s">
        <v>85</v>
      </c>
      <c r="E86" s="90">
        <f>COUNTIFS(Tabla1[Tipo de Movilidad],"Intercambio*",Tabla1[Universidad KPIs],'Utilización Convenios'!$C86,Tabla1[Año de Movilidad],'Utilización Convenios'!E$3,Tabla1[Nivel],"Pregrado")</f>
        <v>0</v>
      </c>
      <c r="F86" s="33">
        <f>COUNTIFS(Tabla2[Tipo de Movilidad],"Intercambio*",Tabla2[Universidad KPIs],'Utilización Convenios'!$C86,Tabla2[Año],'Utilización Convenios'!E$3,Tabla2[Nivel Nominación],"Undergraduate / Bachelor")</f>
        <v>0</v>
      </c>
      <c r="G86" s="16">
        <f>COUNTIFS(Tabla1[Tipo de Movilidad],"Intercambio*",Tabla1[Universidad KPIs],'Utilización Convenios'!$C86,Tabla1[Año de Movilidad],'Utilización Convenios'!G$3,Tabla1[Nivel],"Pregrado")</f>
        <v>0</v>
      </c>
      <c r="H86" s="33">
        <f>COUNTIFS(Tabla2[Tipo de Movilidad],"Intercambio*",Tabla2[Universidad KPIs],'Utilización Convenios'!$C86,Tabla2[Año],'Utilización Convenios'!G$3,Tabla2[Nivel Nominación],"Undergraduate / Bachelor")</f>
        <v>0</v>
      </c>
      <c r="I86" s="16">
        <f>COUNTIFS(Tabla1[Tipo de Movilidad],"Intercambio*",Tabla1[Universidad KPIs],'Utilización Convenios'!$C86,Tabla1[Año de Movilidad],'Utilización Convenios'!I$3,Tabla1[Nivel],"Pregrado")</f>
        <v>0</v>
      </c>
      <c r="J86" s="33">
        <f>COUNTIFS(Tabla2[Tipo de Movilidad],"Intercambio*",Tabla2[Universidad KPIs],'Utilización Convenios'!$C86,Tabla2[Año],'Utilización Convenios'!I$3,Tabla2[Nivel Nominación],"Undergraduate / Bachelor")</f>
        <v>0</v>
      </c>
      <c r="K86" s="16">
        <f>COUNTIFS(Tabla1[Tipo de Movilidad],"Intercambio*",Tabla1[Universidad KPIs],'Utilización Convenios'!$C86,Tabla1[Año de Movilidad],'Utilización Convenios'!K$3,Tabla1[Nivel],"Pregrado")</f>
        <v>0</v>
      </c>
      <c r="L86" s="33">
        <f>COUNTIFS(Tabla2[Tipo de Movilidad],"Intercambio*",Tabla2[Universidad KPIs],'Utilización Convenios'!$C86,Tabla2[Año],'Utilización Convenios'!K$3,Tabla2[Nivel Nominación],"Undergraduate / Bachelor")</f>
        <v>0</v>
      </c>
      <c r="M86" s="16">
        <f>COUNTIFS(Tabla1[Tipo de Movilidad],"Intercambio*",Tabla1[Universidad KPIs],'Utilización Convenios'!$C86,Tabla1[Año de Movilidad],'Utilización Convenios'!M$3,Tabla1[Nivel],"Pregrado")</f>
        <v>0</v>
      </c>
      <c r="N86" s="36">
        <f>COUNTIFS(Tabla2[Tipo de Movilidad],"Intercambio*",Tabla2[Universidad KPIs],'Utilización Convenios'!$C86,Tabla2[Año],'Utilización Convenios'!M$3,Tabla2[Nivel Nominación],"Undergraduate / Bachelor")</f>
        <v>0</v>
      </c>
      <c r="O86" s="16">
        <f>COUNTIFS(Tabla1[Tipo de Movilidad],"Intercambio*",Tabla1[Universidad KPIs],'Utilización Convenios'!$C86,Tabla1[Año de Movilidad],'Utilización Convenios'!O$3,Tabla1[Nivel],"Pregrado")</f>
        <v>1</v>
      </c>
      <c r="P86" s="36">
        <f>COUNTIFS(Tabla2[Tipo de Movilidad],"Intercambio*",Tabla2[Universidad KPIs],'Utilización Convenios'!$C86,Tabla2[Año],'Utilización Convenios'!O$3,Tabla2[Nivel Nominación],"Undergraduate / Bachelor")</f>
        <v>2</v>
      </c>
      <c r="Q86" s="43">
        <f t="shared" si="2"/>
        <v>1</v>
      </c>
      <c r="R86" s="44">
        <f t="shared" si="2"/>
        <v>2</v>
      </c>
    </row>
    <row r="87" spans="2:18">
      <c r="B87" s="179"/>
      <c r="C87" s="94" t="s">
        <v>148</v>
      </c>
      <c r="D87" s="95" t="s">
        <v>39</v>
      </c>
      <c r="E87" s="90">
        <f>COUNTIFS(Tabla1[Tipo de Movilidad],"Intercambio*",Tabla1[Universidad KPIs],'Utilización Convenios'!$C87,Tabla1[Año de Movilidad],'Utilización Convenios'!E$3,Tabla1[Nivel],"Pregrado")</f>
        <v>0</v>
      </c>
      <c r="F87" s="33">
        <f>COUNTIFS(Tabla2[Tipo de Movilidad],"Intercambio*",Tabla2[Universidad KPIs],'Utilización Convenios'!$C87,Tabla2[Año],'Utilización Convenios'!E$3,Tabla2[Nivel Nominación],"Undergraduate / Bachelor")</f>
        <v>0</v>
      </c>
      <c r="G87" s="16">
        <f>COUNTIFS(Tabla1[Tipo de Movilidad],"Intercambio*",Tabla1[Universidad KPIs],'Utilización Convenios'!$C87,Tabla1[Año de Movilidad],'Utilización Convenios'!G$3,Tabla1[Nivel],"Pregrado")</f>
        <v>0</v>
      </c>
      <c r="H87" s="33">
        <f>COUNTIFS(Tabla2[Tipo de Movilidad],"Intercambio*",Tabla2[Universidad KPIs],'Utilización Convenios'!$C87,Tabla2[Año],'Utilización Convenios'!G$3,Tabla2[Nivel Nominación],"Undergraduate / Bachelor")</f>
        <v>0</v>
      </c>
      <c r="I87" s="16">
        <f>COUNTIFS(Tabla1[Tipo de Movilidad],"Intercambio*",Tabla1[Universidad KPIs],'Utilización Convenios'!$C87,Tabla1[Año de Movilidad],'Utilización Convenios'!I$3,Tabla1[Nivel],"Pregrado")</f>
        <v>0</v>
      </c>
      <c r="J87" s="33">
        <f>COUNTIFS(Tabla2[Tipo de Movilidad],"Intercambio*",Tabla2[Universidad KPIs],'Utilización Convenios'!$C87,Tabla2[Año],'Utilización Convenios'!I$3,Tabla2[Nivel Nominación],"Undergraduate / Bachelor")</f>
        <v>0</v>
      </c>
      <c r="K87" s="16">
        <f>COUNTIFS(Tabla1[Tipo de Movilidad],"Intercambio*",Tabla1[Universidad KPIs],'Utilización Convenios'!$C87,Tabla1[Año de Movilidad],'Utilización Convenios'!K$3,Tabla1[Nivel],"Pregrado")</f>
        <v>0</v>
      </c>
      <c r="L87" s="33">
        <f>COUNTIFS(Tabla2[Tipo de Movilidad],"Intercambio*",Tabla2[Universidad KPIs],'Utilización Convenios'!$C87,Tabla2[Año],'Utilización Convenios'!K$3,Tabla2[Nivel Nominación],"Undergraduate / Bachelor")</f>
        <v>0</v>
      </c>
      <c r="M87" s="16">
        <f>COUNTIFS(Tabla1[Tipo de Movilidad],"Intercambio*",Tabla1[Universidad KPIs],'Utilización Convenios'!$C87,Tabla1[Año de Movilidad],'Utilización Convenios'!M$3,Tabla1[Nivel],"Pregrado")</f>
        <v>0</v>
      </c>
      <c r="N87" s="36">
        <f>COUNTIFS(Tabla2[Tipo de Movilidad],"Intercambio*",Tabla2[Universidad KPIs],'Utilización Convenios'!$C87,Tabla2[Año],'Utilización Convenios'!M$3,Tabla2[Nivel Nominación],"Undergraduate / Bachelor")</f>
        <v>0</v>
      </c>
      <c r="O87" s="16">
        <f>COUNTIFS(Tabla1[Tipo de Movilidad],"Intercambio*",Tabla1[Universidad KPIs],'Utilización Convenios'!$C87,Tabla1[Año de Movilidad],'Utilización Convenios'!O$3,Tabla1[Nivel],"Pregrado")</f>
        <v>2</v>
      </c>
      <c r="P87" s="36">
        <f>COUNTIFS(Tabla2[Tipo de Movilidad],"Intercambio*",Tabla2[Universidad KPIs],'Utilización Convenios'!$C87,Tabla2[Año],'Utilización Convenios'!O$3,Tabla2[Nivel Nominación],"Undergraduate / Bachelor")</f>
        <v>0</v>
      </c>
      <c r="Q87" s="43">
        <f t="shared" si="2"/>
        <v>2</v>
      </c>
      <c r="R87" s="44">
        <f t="shared" si="2"/>
        <v>0</v>
      </c>
    </row>
    <row r="88" spans="2:18">
      <c r="B88" s="179"/>
      <c r="C88" s="94" t="s">
        <v>149</v>
      </c>
      <c r="D88" s="95" t="s">
        <v>90</v>
      </c>
      <c r="E88" s="90">
        <f>COUNTIFS(Tabla1[Tipo de Movilidad],"Intercambio*",Tabla1[Universidad KPIs],'Utilización Convenios'!$C88,Tabla1[Año de Movilidad],'Utilización Convenios'!E$3,Tabla1[Nivel],"Pregrado")</f>
        <v>0</v>
      </c>
      <c r="F88" s="33">
        <f>COUNTIFS(Tabla2[Tipo de Movilidad],"Intercambio*",Tabla2[Universidad KPIs],'Utilización Convenios'!$C88,Tabla2[Año],'Utilización Convenios'!E$3,Tabla2[Nivel Nominación],"Undergraduate / Bachelor")</f>
        <v>0</v>
      </c>
      <c r="G88" s="16">
        <f>COUNTIFS(Tabla1[Tipo de Movilidad],"Intercambio*",Tabla1[Universidad KPIs],'Utilización Convenios'!$C88,Tabla1[Año de Movilidad],'Utilización Convenios'!G$3,Tabla1[Nivel],"Pregrado")</f>
        <v>0</v>
      </c>
      <c r="H88" s="33">
        <f>COUNTIFS(Tabla2[Tipo de Movilidad],"Intercambio*",Tabla2[Universidad KPIs],'Utilización Convenios'!$C88,Tabla2[Año],'Utilización Convenios'!G$3,Tabla2[Nivel Nominación],"Undergraduate / Bachelor")</f>
        <v>0</v>
      </c>
      <c r="I88" s="16">
        <f>COUNTIFS(Tabla1[Tipo de Movilidad],"Intercambio*",Tabla1[Universidad KPIs],'Utilización Convenios'!$C88,Tabla1[Año de Movilidad],'Utilización Convenios'!I$3,Tabla1[Nivel],"Pregrado")</f>
        <v>0</v>
      </c>
      <c r="J88" s="33">
        <f>COUNTIFS(Tabla2[Tipo de Movilidad],"Intercambio*",Tabla2[Universidad KPIs],'Utilización Convenios'!$C88,Tabla2[Año],'Utilización Convenios'!I$3,Tabla2[Nivel Nominación],"Undergraduate / Bachelor")</f>
        <v>0</v>
      </c>
      <c r="K88" s="16">
        <f>COUNTIFS(Tabla1[Tipo de Movilidad],"Intercambio*",Tabla1[Universidad KPIs],'Utilización Convenios'!$C88,Tabla1[Año de Movilidad],'Utilización Convenios'!K$3,Tabla1[Nivel],"Pregrado")</f>
        <v>0</v>
      </c>
      <c r="L88" s="33">
        <f>COUNTIFS(Tabla2[Tipo de Movilidad],"Intercambio*",Tabla2[Universidad KPIs],'Utilización Convenios'!$C88,Tabla2[Año],'Utilización Convenios'!K$3,Tabla2[Nivel Nominación],"Undergraduate / Bachelor")</f>
        <v>0</v>
      </c>
      <c r="M88" s="16">
        <f>COUNTIFS(Tabla1[Tipo de Movilidad],"Intercambio*",Tabla1[Universidad KPIs],'Utilización Convenios'!$C88,Tabla1[Año de Movilidad],'Utilización Convenios'!M$3,Tabla1[Nivel],"Pregrado")</f>
        <v>0</v>
      </c>
      <c r="N88" s="36">
        <f>COUNTIFS(Tabla2[Tipo de Movilidad],"Intercambio*",Tabla2[Universidad KPIs],'Utilización Convenios'!$C88,Tabla2[Año],'Utilización Convenios'!M$3,Tabla2[Nivel Nominación],"Undergraduate / Bachelor")</f>
        <v>0</v>
      </c>
      <c r="O88" s="16">
        <f>COUNTIFS(Tabla1[Tipo de Movilidad],"Intercambio*",Tabla1[Universidad KPIs],'Utilización Convenios'!$C88,Tabla1[Año de Movilidad],'Utilización Convenios'!O$3,Tabla1[Nivel],"Pregrado")</f>
        <v>1</v>
      </c>
      <c r="P88" s="36">
        <f>COUNTIFS(Tabla2[Tipo de Movilidad],"Intercambio*",Tabla2[Universidad KPIs],'Utilización Convenios'!$C88,Tabla2[Año],'Utilización Convenios'!O$3,Tabla2[Nivel Nominación],"Undergraduate / Bachelor")</f>
        <v>0</v>
      </c>
      <c r="Q88" s="43">
        <f t="shared" si="2"/>
        <v>1</v>
      </c>
      <c r="R88" s="44">
        <f t="shared" si="2"/>
        <v>0</v>
      </c>
    </row>
    <row r="89" spans="2:18">
      <c r="B89" s="179"/>
      <c r="C89" s="94" t="s">
        <v>150</v>
      </c>
      <c r="D89" s="95" t="s">
        <v>41</v>
      </c>
      <c r="E89" s="90">
        <f>COUNTIFS(Tabla1[Tipo de Movilidad],"Intercambio*",Tabla1[Universidad KPIs],'Utilización Convenios'!$C89,Tabla1[Año de Movilidad],'Utilización Convenios'!E$3,Tabla1[Nivel],"Pregrado")</f>
        <v>0</v>
      </c>
      <c r="F89" s="33">
        <f>COUNTIFS(Tabla2[Tipo de Movilidad],"Intercambio*",Tabla2[Universidad KPIs],'Utilización Convenios'!$C89,Tabla2[Año],'Utilización Convenios'!E$3,Tabla2[Nivel Nominación],"Undergraduate / Bachelor")</f>
        <v>3</v>
      </c>
      <c r="G89" s="16">
        <f>COUNTIFS(Tabla1[Tipo de Movilidad],"Intercambio*",Tabla1[Universidad KPIs],'Utilización Convenios'!$C89,Tabla1[Año de Movilidad],'Utilización Convenios'!G$3,Tabla1[Nivel],"Pregrado")</f>
        <v>0</v>
      </c>
      <c r="H89" s="33">
        <f>COUNTIFS(Tabla2[Tipo de Movilidad],"Intercambio*",Tabla2[Universidad KPIs],'Utilización Convenios'!$C89,Tabla2[Año],'Utilización Convenios'!G$3,Tabla2[Nivel Nominación],"Undergraduate / Bachelor")</f>
        <v>0</v>
      </c>
      <c r="I89" s="16">
        <f>COUNTIFS(Tabla1[Tipo de Movilidad],"Intercambio*",Tabla1[Universidad KPIs],'Utilización Convenios'!$C89,Tabla1[Año de Movilidad],'Utilización Convenios'!I$3,Tabla1[Nivel],"Pregrado")</f>
        <v>1</v>
      </c>
      <c r="J89" s="33">
        <f>COUNTIFS(Tabla2[Tipo de Movilidad],"Intercambio*",Tabla2[Universidad KPIs],'Utilización Convenios'!$C89,Tabla2[Año],'Utilización Convenios'!I$3,Tabla2[Nivel Nominación],"Undergraduate / Bachelor")</f>
        <v>1</v>
      </c>
      <c r="K89" s="16">
        <f>COUNTIFS(Tabla1[Tipo de Movilidad],"Intercambio*",Tabla1[Universidad KPIs],'Utilización Convenios'!$C89,Tabla1[Año de Movilidad],'Utilización Convenios'!K$3,Tabla1[Nivel],"Pregrado")</f>
        <v>0</v>
      </c>
      <c r="L89" s="33">
        <f>COUNTIFS(Tabla2[Tipo de Movilidad],"Intercambio*",Tabla2[Universidad KPIs],'Utilización Convenios'!$C89,Tabla2[Año],'Utilización Convenios'!K$3,Tabla2[Nivel Nominación],"Undergraduate / Bachelor")</f>
        <v>1</v>
      </c>
      <c r="M89" s="16">
        <f>COUNTIFS(Tabla1[Tipo de Movilidad],"Intercambio*",Tabla1[Universidad KPIs],'Utilización Convenios'!$C89,Tabla1[Año de Movilidad],'Utilización Convenios'!M$3,Tabla1[Nivel],"Pregrado")</f>
        <v>1</v>
      </c>
      <c r="N89" s="36">
        <f>COUNTIFS(Tabla2[Tipo de Movilidad],"Intercambio*",Tabla2[Universidad KPIs],'Utilización Convenios'!$C89,Tabla2[Año],'Utilización Convenios'!M$3,Tabla2[Nivel Nominación],"Undergraduate / Bachelor")</f>
        <v>0</v>
      </c>
      <c r="O89" s="16">
        <f>COUNTIFS(Tabla1[Tipo de Movilidad],"Intercambio*",Tabla1[Universidad KPIs],'Utilización Convenios'!$C89,Tabla1[Año de Movilidad],'Utilización Convenios'!O$3,Tabla1[Nivel],"Pregrado")</f>
        <v>0</v>
      </c>
      <c r="P89" s="36">
        <f>COUNTIFS(Tabla2[Tipo de Movilidad],"Intercambio*",Tabla2[Universidad KPIs],'Utilización Convenios'!$C89,Tabla2[Año],'Utilización Convenios'!O$3,Tabla2[Nivel Nominación],"Undergraduate / Bachelor")</f>
        <v>0</v>
      </c>
      <c r="Q89" s="43">
        <f t="shared" si="2"/>
        <v>2</v>
      </c>
      <c r="R89" s="44">
        <f t="shared" si="2"/>
        <v>5</v>
      </c>
    </row>
    <row r="90" spans="2:18">
      <c r="B90" s="179"/>
      <c r="C90" s="94" t="s">
        <v>4628</v>
      </c>
      <c r="D90" s="95" t="s">
        <v>53</v>
      </c>
      <c r="E90" s="90">
        <f>COUNTIFS(Tabla1[Tipo de Movilidad],"Intercambio*",Tabla1[Universidad KPIs],'Utilización Convenios'!$C90,Tabla1[Año de Movilidad],'Utilización Convenios'!E$3,Tabla1[Nivel],"Pregrado")</f>
        <v>0</v>
      </c>
      <c r="F90" s="33">
        <f>COUNTIFS(Tabla2[Tipo de Movilidad],"Intercambio*",Tabla2[Universidad KPIs],'Utilización Convenios'!$C90,Tabla2[Año],'Utilización Convenios'!E$3,Tabla2[Nivel Nominación],"Undergraduate / Bachelor")</f>
        <v>0</v>
      </c>
      <c r="G90" s="16">
        <f>COUNTIFS(Tabla1[Tipo de Movilidad],"Intercambio*",Tabla1[Universidad KPIs],'Utilización Convenios'!$C90,Tabla1[Año de Movilidad],'Utilización Convenios'!G$3,Tabla1[Nivel],"Pregrado")</f>
        <v>0</v>
      </c>
      <c r="H90" s="33">
        <f>COUNTIFS(Tabla2[Tipo de Movilidad],"Intercambio*",Tabla2[Universidad KPIs],'Utilización Convenios'!$C90,Tabla2[Año],'Utilización Convenios'!G$3,Tabla2[Nivel Nominación],"Undergraduate / Bachelor")</f>
        <v>0</v>
      </c>
      <c r="I90" s="16">
        <f>COUNTIFS(Tabla1[Tipo de Movilidad],"Intercambio*",Tabla1[Universidad KPIs],'Utilización Convenios'!$C90,Tabla1[Año de Movilidad],'Utilización Convenios'!I$3,Tabla1[Nivel],"Pregrado")</f>
        <v>0</v>
      </c>
      <c r="J90" s="33">
        <f>COUNTIFS(Tabla2[Tipo de Movilidad],"Intercambio*",Tabla2[Universidad KPIs],'Utilización Convenios'!$C90,Tabla2[Año],'Utilización Convenios'!I$3,Tabla2[Nivel Nominación],"Undergraduate / Bachelor")</f>
        <v>0</v>
      </c>
      <c r="K90" s="16">
        <f>COUNTIFS(Tabla1[Tipo de Movilidad],"Intercambio*",Tabla1[Universidad KPIs],'Utilización Convenios'!$C90,Tabla1[Año de Movilidad],'Utilización Convenios'!K$3,Tabla1[Nivel],"Pregrado")</f>
        <v>0</v>
      </c>
      <c r="L90" s="33">
        <f>COUNTIFS(Tabla2[Tipo de Movilidad],"Intercambio*",Tabla2[Universidad KPIs],'Utilización Convenios'!$C90,Tabla2[Año],'Utilización Convenios'!K$3,Tabla2[Nivel Nominación],"Undergraduate / Bachelor")</f>
        <v>0</v>
      </c>
      <c r="M90" s="16">
        <f>COUNTIFS(Tabla1[Tipo de Movilidad],"Intercambio*",Tabla1[Universidad KPIs],'Utilización Convenios'!$C90,Tabla1[Año de Movilidad],'Utilización Convenios'!M$3,Tabla1[Nivel],"Pregrado")</f>
        <v>0</v>
      </c>
      <c r="N90" s="36">
        <f>COUNTIFS(Tabla2[Tipo de Movilidad],"Intercambio*",Tabla2[Universidad KPIs],'Utilización Convenios'!$C90,Tabla2[Año],'Utilización Convenios'!M$3,Tabla2[Nivel Nominación],"Undergraduate / Bachelor")</f>
        <v>0</v>
      </c>
      <c r="O90" s="16">
        <f>COUNTIFS(Tabla1[Tipo de Movilidad],"Intercambio*",Tabla1[Universidad KPIs],'Utilización Convenios'!$C90,Tabla1[Año de Movilidad],'Utilización Convenios'!O$3,Tabla1[Nivel],"Pregrado")</f>
        <v>0</v>
      </c>
      <c r="P90" s="36">
        <f>COUNTIFS(Tabla2[Tipo de Movilidad],"Intercambio*",Tabla2[Universidad KPIs],'Utilización Convenios'!$C90,Tabla2[Año],'Utilización Convenios'!O$3,Tabla2[Nivel Nominación],"Undergraduate / Bachelor")</f>
        <v>2</v>
      </c>
      <c r="Q90" s="43">
        <f t="shared" si="2"/>
        <v>0</v>
      </c>
      <c r="R90" s="44">
        <f t="shared" si="2"/>
        <v>2</v>
      </c>
    </row>
    <row r="91" spans="2:18">
      <c r="B91" s="179"/>
      <c r="C91" s="94" t="s">
        <v>4301</v>
      </c>
      <c r="D91" s="95" t="s">
        <v>49</v>
      </c>
      <c r="E91" s="90">
        <f>COUNTIFS(Tabla1[Tipo de Movilidad],"Intercambio*",Tabla1[Universidad KPIs],'Utilización Convenios'!$C91,Tabla1[Año de Movilidad],'Utilización Convenios'!E$3,Tabla1[Nivel],"Pregrado")</f>
        <v>0</v>
      </c>
      <c r="F91" s="33">
        <f>COUNTIFS(Tabla2[Tipo de Movilidad],"Intercambio*",Tabla2[Universidad KPIs],'Utilización Convenios'!$C91,Tabla2[Año],'Utilización Convenios'!E$3,Tabla2[Nivel Nominación],"Undergraduate / Bachelor")</f>
        <v>0</v>
      </c>
      <c r="G91" s="16">
        <f>COUNTIFS(Tabla1[Tipo de Movilidad],"Intercambio*",Tabla1[Universidad KPIs],'Utilización Convenios'!$C91,Tabla1[Año de Movilidad],'Utilización Convenios'!G$3,Tabla1[Nivel],"Pregrado")</f>
        <v>0</v>
      </c>
      <c r="H91" s="33">
        <f>COUNTIFS(Tabla2[Tipo de Movilidad],"Intercambio*",Tabla2[Universidad KPIs],'Utilización Convenios'!$C91,Tabla2[Año],'Utilización Convenios'!G$3,Tabla2[Nivel Nominación],"Undergraduate / Bachelor")</f>
        <v>0</v>
      </c>
      <c r="I91" s="16">
        <f>COUNTIFS(Tabla1[Tipo de Movilidad],"Intercambio*",Tabla1[Universidad KPIs],'Utilización Convenios'!$C91,Tabla1[Año de Movilidad],'Utilización Convenios'!I$3,Tabla1[Nivel],"Pregrado")</f>
        <v>0</v>
      </c>
      <c r="J91" s="33">
        <f>COUNTIFS(Tabla2[Tipo de Movilidad],"Intercambio*",Tabla2[Universidad KPIs],'Utilización Convenios'!$C91,Tabla2[Año],'Utilización Convenios'!I$3,Tabla2[Nivel Nominación],"Undergraduate / Bachelor")</f>
        <v>0</v>
      </c>
      <c r="K91" s="16">
        <f>COUNTIFS(Tabla1[Tipo de Movilidad],"Intercambio*",Tabla1[Universidad KPIs],'Utilización Convenios'!$C91,Tabla1[Año de Movilidad],'Utilización Convenios'!K$3,Tabla1[Nivel],"Pregrado")</f>
        <v>0</v>
      </c>
      <c r="L91" s="33">
        <f>COUNTIFS(Tabla2[Tipo de Movilidad],"Intercambio*",Tabla2[Universidad KPIs],'Utilización Convenios'!$C91,Tabla2[Año],'Utilización Convenios'!K$3,Tabla2[Nivel Nominación],"Undergraduate / Bachelor")</f>
        <v>0</v>
      </c>
      <c r="M91" s="16">
        <f>COUNTIFS(Tabla1[Tipo de Movilidad],"Intercambio*",Tabla1[Universidad KPIs],'Utilización Convenios'!$C91,Tabla1[Año de Movilidad],'Utilización Convenios'!M$3,Tabla1[Nivel],"Pregrado")</f>
        <v>0</v>
      </c>
      <c r="N91" s="36">
        <f>COUNTIFS(Tabla2[Tipo de Movilidad],"Intercambio*",Tabla2[Universidad KPIs],'Utilización Convenios'!$C91,Tabla2[Año],'Utilización Convenios'!M$3,Tabla2[Nivel Nominación],"Undergraduate / Bachelor")</f>
        <v>0</v>
      </c>
      <c r="O91" s="16">
        <f>COUNTIFS(Tabla1[Tipo de Movilidad],"Intercambio*",Tabla1[Universidad KPIs],'Utilización Convenios'!$C91,Tabla1[Año de Movilidad],'Utilización Convenios'!O$3,Tabla1[Nivel],"Pregrado")</f>
        <v>1</v>
      </c>
      <c r="P91" s="36">
        <f>COUNTIFS(Tabla2[Tipo de Movilidad],"Intercambio*",Tabla2[Universidad KPIs],'Utilización Convenios'!$C91,Tabla2[Año],'Utilización Convenios'!O$3,Tabla2[Nivel Nominación],"Undergraduate / Bachelor")</f>
        <v>0</v>
      </c>
      <c r="Q91" s="43">
        <f t="shared" si="2"/>
        <v>1</v>
      </c>
      <c r="R91" s="44">
        <f t="shared" si="2"/>
        <v>0</v>
      </c>
    </row>
    <row r="92" spans="2:18">
      <c r="B92" s="179"/>
      <c r="C92" s="94" t="s">
        <v>4381</v>
      </c>
      <c r="D92" s="95" t="s">
        <v>4382</v>
      </c>
      <c r="E92" s="90">
        <f>COUNTIFS(Tabla1[Tipo de Movilidad],"Intercambio*",Tabla1[Universidad KPIs],'Utilización Convenios'!$C92,Tabla1[Año de Movilidad],'Utilización Convenios'!E$3,Tabla1[Nivel],"Pregrado")</f>
        <v>0</v>
      </c>
      <c r="F92" s="33">
        <f>COUNTIFS(Tabla2[Tipo de Movilidad],"Intercambio*",Tabla2[Universidad KPIs],'Utilización Convenios'!$C92,Tabla2[Año],'Utilización Convenios'!E$3,Tabla2[Nivel Nominación],"Undergraduate / Bachelor")</f>
        <v>0</v>
      </c>
      <c r="G92" s="16">
        <f>COUNTIFS(Tabla1[Tipo de Movilidad],"Intercambio*",Tabla1[Universidad KPIs],'Utilización Convenios'!$C92,Tabla1[Año de Movilidad],'Utilización Convenios'!G$3,Tabla1[Nivel],"Pregrado")</f>
        <v>0</v>
      </c>
      <c r="H92" s="33">
        <f>COUNTIFS(Tabla2[Tipo de Movilidad],"Intercambio*",Tabla2[Universidad KPIs],'Utilización Convenios'!$C92,Tabla2[Año],'Utilización Convenios'!G$3,Tabla2[Nivel Nominación],"Undergraduate / Bachelor")</f>
        <v>0</v>
      </c>
      <c r="I92" s="16">
        <f>COUNTIFS(Tabla1[Tipo de Movilidad],"Intercambio*",Tabla1[Universidad KPIs],'Utilización Convenios'!$C92,Tabla1[Año de Movilidad],'Utilización Convenios'!I$3,Tabla1[Nivel],"Pregrado")</f>
        <v>0</v>
      </c>
      <c r="J92" s="33">
        <f>COUNTIFS(Tabla2[Tipo de Movilidad],"Intercambio*",Tabla2[Universidad KPIs],'Utilización Convenios'!$C92,Tabla2[Año],'Utilización Convenios'!I$3,Tabla2[Nivel Nominación],"Undergraduate / Bachelor")</f>
        <v>0</v>
      </c>
      <c r="K92" s="16">
        <f>COUNTIFS(Tabla1[Tipo de Movilidad],"Intercambio*",Tabla1[Universidad KPIs],'Utilización Convenios'!$C92,Tabla1[Año de Movilidad],'Utilización Convenios'!K$3,Tabla1[Nivel],"Pregrado")</f>
        <v>0</v>
      </c>
      <c r="L92" s="33">
        <f>COUNTIFS(Tabla2[Tipo de Movilidad],"Intercambio*",Tabla2[Universidad KPIs],'Utilización Convenios'!$C92,Tabla2[Año],'Utilización Convenios'!K$3,Tabla2[Nivel Nominación],"Undergraduate / Bachelor")</f>
        <v>0</v>
      </c>
      <c r="M92" s="16">
        <f>COUNTIFS(Tabla1[Tipo de Movilidad],"Intercambio*",Tabla1[Universidad KPIs],'Utilización Convenios'!$C92,Tabla1[Año de Movilidad],'Utilización Convenios'!M$3,Tabla1[Nivel],"Pregrado")</f>
        <v>0</v>
      </c>
      <c r="N92" s="36">
        <f>COUNTIFS(Tabla2[Tipo de Movilidad],"Intercambio*",Tabla2[Universidad KPIs],'Utilización Convenios'!$C92,Tabla2[Año],'Utilización Convenios'!M$3,Tabla2[Nivel Nominación],"Undergraduate / Bachelor")</f>
        <v>0</v>
      </c>
      <c r="O92" s="16">
        <f>COUNTIFS(Tabla1[Tipo de Movilidad],"Intercambio*",Tabla1[Universidad KPIs],'Utilización Convenios'!$C92,Tabla1[Año de Movilidad],'Utilización Convenios'!O$3,Tabla1[Nivel],"Pregrado")</f>
        <v>1</v>
      </c>
      <c r="P92" s="36">
        <f>COUNTIFS(Tabla2[Tipo de Movilidad],"Intercambio*",Tabla2[Universidad KPIs],'Utilización Convenios'!$C92,Tabla2[Año],'Utilización Convenios'!O$3,Tabla2[Nivel Nominación],"Undergraduate / Bachelor")</f>
        <v>0</v>
      </c>
      <c r="Q92" s="43">
        <f t="shared" si="2"/>
        <v>1</v>
      </c>
      <c r="R92" s="44">
        <f t="shared" si="2"/>
        <v>0</v>
      </c>
    </row>
    <row r="93" spans="2:18">
      <c r="B93" s="179"/>
      <c r="C93" s="94" t="s">
        <v>4415</v>
      </c>
      <c r="D93" s="95" t="s">
        <v>79</v>
      </c>
      <c r="E93" s="90">
        <f>COUNTIFS(Tabla1[Tipo de Movilidad],"Intercambio*",Tabla1[Universidad KPIs],'Utilización Convenios'!$C93,Tabla1[Año de Movilidad],'Utilización Convenios'!E$3,Tabla1[Nivel],"Pregrado")</f>
        <v>0</v>
      </c>
      <c r="F93" s="33">
        <f>COUNTIFS(Tabla2[Tipo de Movilidad],"Intercambio*",Tabla2[Universidad KPIs],'Utilización Convenios'!$C93,Tabla2[Año],'Utilización Convenios'!E$3,Tabla2[Nivel Nominación],"Undergraduate / Bachelor")</f>
        <v>0</v>
      </c>
      <c r="G93" s="16">
        <f>COUNTIFS(Tabla1[Tipo de Movilidad],"Intercambio*",Tabla1[Universidad KPIs],'Utilización Convenios'!$C93,Tabla1[Año de Movilidad],'Utilización Convenios'!G$3,Tabla1[Nivel],"Pregrado")</f>
        <v>0</v>
      </c>
      <c r="H93" s="33">
        <f>COUNTIFS(Tabla2[Tipo de Movilidad],"Intercambio*",Tabla2[Universidad KPIs],'Utilización Convenios'!$C93,Tabla2[Año],'Utilización Convenios'!G$3,Tabla2[Nivel Nominación],"Undergraduate / Bachelor")</f>
        <v>0</v>
      </c>
      <c r="I93" s="16">
        <f>COUNTIFS(Tabla1[Tipo de Movilidad],"Intercambio*",Tabla1[Universidad KPIs],'Utilización Convenios'!$C93,Tabla1[Año de Movilidad],'Utilización Convenios'!I$3,Tabla1[Nivel],"Pregrado")</f>
        <v>0</v>
      </c>
      <c r="J93" s="33">
        <f>COUNTIFS(Tabla2[Tipo de Movilidad],"Intercambio*",Tabla2[Universidad KPIs],'Utilización Convenios'!$C93,Tabla2[Año],'Utilización Convenios'!I$3,Tabla2[Nivel Nominación],"Undergraduate / Bachelor")</f>
        <v>0</v>
      </c>
      <c r="K93" s="16">
        <f>COUNTIFS(Tabla1[Tipo de Movilidad],"Intercambio*",Tabla1[Universidad KPIs],'Utilización Convenios'!$C93,Tabla1[Año de Movilidad],'Utilización Convenios'!K$3,Tabla1[Nivel],"Pregrado")</f>
        <v>0</v>
      </c>
      <c r="L93" s="33">
        <f>COUNTIFS(Tabla2[Tipo de Movilidad],"Intercambio*",Tabla2[Universidad KPIs],'Utilización Convenios'!$C93,Tabla2[Año],'Utilización Convenios'!K$3,Tabla2[Nivel Nominación],"Undergraduate / Bachelor")</f>
        <v>0</v>
      </c>
      <c r="M93" s="16">
        <f>COUNTIFS(Tabla1[Tipo de Movilidad],"Intercambio*",Tabla1[Universidad KPIs],'Utilización Convenios'!$C93,Tabla1[Año de Movilidad],'Utilización Convenios'!M$3,Tabla1[Nivel],"Pregrado")</f>
        <v>0</v>
      </c>
      <c r="N93" s="36">
        <f>COUNTIFS(Tabla2[Tipo de Movilidad],"Intercambio*",Tabla2[Universidad KPIs],'Utilización Convenios'!$C93,Tabla2[Año],'Utilización Convenios'!M$3,Tabla2[Nivel Nominación],"Undergraduate / Bachelor")</f>
        <v>0</v>
      </c>
      <c r="O93" s="16">
        <f>COUNTIFS(Tabla1[Tipo de Movilidad],"Intercambio*",Tabla1[Universidad KPIs],'Utilización Convenios'!$C93,Tabla1[Año de Movilidad],'Utilización Convenios'!O$3,Tabla1[Nivel],"Pregrado")</f>
        <v>1</v>
      </c>
      <c r="P93" s="36">
        <f>COUNTIFS(Tabla2[Tipo de Movilidad],"Intercambio*",Tabla2[Universidad KPIs],'Utilización Convenios'!$C93,Tabla2[Año],'Utilización Convenios'!O$3,Tabla2[Nivel Nominación],"Undergraduate / Bachelor")</f>
        <v>0</v>
      </c>
      <c r="Q93" s="43">
        <f t="shared" si="2"/>
        <v>1</v>
      </c>
      <c r="R93" s="44">
        <f t="shared" si="2"/>
        <v>0</v>
      </c>
    </row>
    <row r="94" spans="2:18">
      <c r="B94" s="179"/>
      <c r="C94" s="94" t="s">
        <v>4454</v>
      </c>
      <c r="D94" s="95" t="s">
        <v>53</v>
      </c>
      <c r="E94" s="90">
        <f>COUNTIFS(Tabla1[Tipo de Movilidad],"Intercambio*",Tabla1[Universidad KPIs],'Utilización Convenios'!$C94,Tabla1[Año de Movilidad],'Utilización Convenios'!E$3,Tabla1[Nivel],"Pregrado")</f>
        <v>0</v>
      </c>
      <c r="F94" s="33">
        <f>COUNTIFS(Tabla2[Tipo de Movilidad],"Intercambio*",Tabla2[Universidad KPIs],'Utilización Convenios'!$C94,Tabla2[Año],'Utilización Convenios'!E$3,Tabla2[Nivel Nominación],"Undergraduate / Bachelor")</f>
        <v>0</v>
      </c>
      <c r="G94" s="16">
        <f>COUNTIFS(Tabla1[Tipo de Movilidad],"Intercambio*",Tabla1[Universidad KPIs],'Utilización Convenios'!$C94,Tabla1[Año de Movilidad],'Utilización Convenios'!G$3,Tabla1[Nivel],"Pregrado")</f>
        <v>0</v>
      </c>
      <c r="H94" s="33">
        <f>COUNTIFS(Tabla2[Tipo de Movilidad],"Intercambio*",Tabla2[Universidad KPIs],'Utilización Convenios'!$C94,Tabla2[Año],'Utilización Convenios'!G$3,Tabla2[Nivel Nominación],"Undergraduate / Bachelor")</f>
        <v>0</v>
      </c>
      <c r="I94" s="16">
        <f>COUNTIFS(Tabla1[Tipo de Movilidad],"Intercambio*",Tabla1[Universidad KPIs],'Utilización Convenios'!$C94,Tabla1[Año de Movilidad],'Utilización Convenios'!I$3,Tabla1[Nivel],"Pregrado")</f>
        <v>0</v>
      </c>
      <c r="J94" s="33">
        <f>COUNTIFS(Tabla2[Tipo de Movilidad],"Intercambio*",Tabla2[Universidad KPIs],'Utilización Convenios'!$C94,Tabla2[Año],'Utilización Convenios'!I$3,Tabla2[Nivel Nominación],"Undergraduate / Bachelor")</f>
        <v>0</v>
      </c>
      <c r="K94" s="16">
        <f>COUNTIFS(Tabla1[Tipo de Movilidad],"Intercambio*",Tabla1[Universidad KPIs],'Utilización Convenios'!$C94,Tabla1[Año de Movilidad],'Utilización Convenios'!K$3,Tabla1[Nivel],"Pregrado")</f>
        <v>0</v>
      </c>
      <c r="L94" s="33">
        <f>COUNTIFS(Tabla2[Tipo de Movilidad],"Intercambio*",Tabla2[Universidad KPIs],'Utilización Convenios'!$C94,Tabla2[Año],'Utilización Convenios'!K$3,Tabla2[Nivel Nominación],"Undergraduate / Bachelor")</f>
        <v>0</v>
      </c>
      <c r="M94" s="16">
        <f>COUNTIFS(Tabla1[Tipo de Movilidad],"Intercambio*",Tabla1[Universidad KPIs],'Utilización Convenios'!$C94,Tabla1[Año de Movilidad],'Utilización Convenios'!M$3,Tabla1[Nivel],"Pregrado")</f>
        <v>0</v>
      </c>
      <c r="N94" s="36">
        <f>COUNTIFS(Tabla2[Tipo de Movilidad],"Intercambio*",Tabla2[Universidad KPIs],'Utilización Convenios'!$C94,Tabla2[Año],'Utilización Convenios'!M$3,Tabla2[Nivel Nominación],"Undergraduate / Bachelor")</f>
        <v>0</v>
      </c>
      <c r="O94" s="16">
        <f>COUNTIFS(Tabla1[Tipo de Movilidad],"Intercambio*",Tabla1[Universidad KPIs],'Utilización Convenios'!$C94,Tabla1[Año de Movilidad],'Utilización Convenios'!O$3,Tabla1[Nivel],"Pregrado")</f>
        <v>1</v>
      </c>
      <c r="P94" s="36">
        <f>COUNTIFS(Tabla2[Tipo de Movilidad],"Intercambio*",Tabla2[Universidad KPIs],'Utilización Convenios'!$C94,Tabla2[Año],'Utilización Convenios'!O$3,Tabla2[Nivel Nominación],"Undergraduate / Bachelor")</f>
        <v>0</v>
      </c>
      <c r="Q94" s="43">
        <f t="shared" si="2"/>
        <v>1</v>
      </c>
      <c r="R94" s="44">
        <f t="shared" si="2"/>
        <v>0</v>
      </c>
    </row>
    <row r="95" spans="2:18">
      <c r="B95" s="179"/>
      <c r="C95" s="94" t="s">
        <v>151</v>
      </c>
      <c r="D95" s="95" t="s">
        <v>71</v>
      </c>
      <c r="E95" s="90">
        <f>COUNTIFS(Tabla1[Tipo de Movilidad],"Intercambio*",Tabla1[Universidad KPIs],'Utilización Convenios'!$C95,Tabla1[Año de Movilidad],'Utilización Convenios'!E$3,Tabla1[Nivel],"Pregrado")</f>
        <v>0</v>
      </c>
      <c r="F95" s="33">
        <f>COUNTIFS(Tabla2[Tipo de Movilidad],"Intercambio*",Tabla2[Universidad KPIs],'Utilización Convenios'!$C95,Tabla2[Año],'Utilización Convenios'!E$3,Tabla2[Nivel Nominación],"Undergraduate / Bachelor")</f>
        <v>0</v>
      </c>
      <c r="G95" s="16">
        <f>COUNTIFS(Tabla1[Tipo de Movilidad],"Intercambio*",Tabla1[Universidad KPIs],'Utilización Convenios'!$C95,Tabla1[Año de Movilidad],'Utilización Convenios'!G$3,Tabla1[Nivel],"Pregrado")</f>
        <v>0</v>
      </c>
      <c r="H95" s="33">
        <f>COUNTIFS(Tabla2[Tipo de Movilidad],"Intercambio*",Tabla2[Universidad KPIs],'Utilización Convenios'!$C95,Tabla2[Año],'Utilización Convenios'!G$3,Tabla2[Nivel Nominación],"Undergraduate / Bachelor")</f>
        <v>0</v>
      </c>
      <c r="I95" s="16">
        <f>COUNTIFS(Tabla1[Tipo de Movilidad],"Intercambio*",Tabla1[Universidad KPIs],'Utilización Convenios'!$C95,Tabla1[Año de Movilidad],'Utilización Convenios'!I$3,Tabla1[Nivel],"Pregrado")</f>
        <v>0</v>
      </c>
      <c r="J95" s="33">
        <f>COUNTIFS(Tabla2[Tipo de Movilidad],"Intercambio*",Tabla2[Universidad KPIs],'Utilización Convenios'!$C95,Tabla2[Año],'Utilización Convenios'!I$3,Tabla2[Nivel Nominación],"Undergraduate / Bachelor")</f>
        <v>1</v>
      </c>
      <c r="K95" s="16">
        <f>COUNTIFS(Tabla1[Tipo de Movilidad],"Intercambio*",Tabla1[Universidad KPIs],'Utilización Convenios'!$C95,Tabla1[Año de Movilidad],'Utilización Convenios'!K$3,Tabla1[Nivel],"Pregrado")</f>
        <v>0</v>
      </c>
      <c r="L95" s="33">
        <f>COUNTIFS(Tabla2[Tipo de Movilidad],"Intercambio*",Tabla2[Universidad KPIs],'Utilización Convenios'!$C95,Tabla2[Año],'Utilización Convenios'!K$3,Tabla2[Nivel Nominación],"Undergraduate / Bachelor")</f>
        <v>0</v>
      </c>
      <c r="M95" s="16">
        <f>COUNTIFS(Tabla1[Tipo de Movilidad],"Intercambio*",Tabla1[Universidad KPIs],'Utilización Convenios'!$C95,Tabla1[Año de Movilidad],'Utilización Convenios'!M$3,Tabla1[Nivel],"Pregrado")</f>
        <v>0</v>
      </c>
      <c r="N95" s="36">
        <f>COUNTIFS(Tabla2[Tipo de Movilidad],"Intercambio*",Tabla2[Universidad KPIs],'Utilización Convenios'!$C95,Tabla2[Año],'Utilización Convenios'!M$3,Tabla2[Nivel Nominación],"Undergraduate / Bachelor")</f>
        <v>0</v>
      </c>
      <c r="O95" s="16">
        <f>COUNTIFS(Tabla1[Tipo de Movilidad],"Intercambio*",Tabla1[Universidad KPIs],'Utilización Convenios'!$C95,Tabla1[Año de Movilidad],'Utilización Convenios'!O$3,Tabla1[Nivel],"Pregrado")</f>
        <v>0</v>
      </c>
      <c r="P95" s="36">
        <f>COUNTIFS(Tabla2[Tipo de Movilidad],"Intercambio*",Tabla2[Universidad KPIs],'Utilización Convenios'!$C95,Tabla2[Año],'Utilización Convenios'!O$3,Tabla2[Nivel Nominación],"Undergraduate / Bachelor")</f>
        <v>0</v>
      </c>
      <c r="Q95" s="43">
        <f t="shared" si="2"/>
        <v>0</v>
      </c>
      <c r="R95" s="44">
        <f t="shared" si="2"/>
        <v>1</v>
      </c>
    </row>
    <row r="96" spans="2:18">
      <c r="B96" s="179"/>
      <c r="C96" s="94" t="s">
        <v>152</v>
      </c>
      <c r="D96" s="95" t="s">
        <v>96</v>
      </c>
      <c r="E96" s="90">
        <f>COUNTIFS(Tabla1[Tipo de Movilidad],"Intercambio*",Tabla1[Universidad KPIs],'Utilización Convenios'!$C96,Tabla1[Año de Movilidad],'Utilización Convenios'!E$3,Tabla1[Nivel],"Pregrado")</f>
        <v>0</v>
      </c>
      <c r="F96" s="33">
        <f>COUNTIFS(Tabla2[Tipo de Movilidad],"Intercambio*",Tabla2[Universidad KPIs],'Utilización Convenios'!$C96,Tabla2[Año],'Utilización Convenios'!E$3,Tabla2[Nivel Nominación],"Undergraduate / Bachelor")</f>
        <v>0</v>
      </c>
      <c r="G96" s="16">
        <f>COUNTIFS(Tabla1[Tipo de Movilidad],"Intercambio*",Tabla1[Universidad KPIs],'Utilización Convenios'!$C96,Tabla1[Año de Movilidad],'Utilización Convenios'!G$3,Tabla1[Nivel],"Pregrado")</f>
        <v>0</v>
      </c>
      <c r="H96" s="33">
        <f>COUNTIFS(Tabla2[Tipo de Movilidad],"Intercambio*",Tabla2[Universidad KPIs],'Utilización Convenios'!$C96,Tabla2[Año],'Utilización Convenios'!G$3,Tabla2[Nivel Nominación],"Undergraduate / Bachelor")</f>
        <v>1</v>
      </c>
      <c r="I96" s="16">
        <f>COUNTIFS(Tabla1[Tipo de Movilidad],"Intercambio*",Tabla1[Universidad KPIs],'Utilización Convenios'!$C96,Tabla1[Año de Movilidad],'Utilización Convenios'!I$3,Tabla1[Nivel],"Pregrado")</f>
        <v>0</v>
      </c>
      <c r="J96" s="33">
        <f>COUNTIFS(Tabla2[Tipo de Movilidad],"Intercambio*",Tabla2[Universidad KPIs],'Utilización Convenios'!$C96,Tabla2[Año],'Utilización Convenios'!I$3,Tabla2[Nivel Nominación],"Undergraduate / Bachelor")</f>
        <v>0</v>
      </c>
      <c r="K96" s="16">
        <f>COUNTIFS(Tabla1[Tipo de Movilidad],"Intercambio*",Tabla1[Universidad KPIs],'Utilización Convenios'!$C96,Tabla1[Año de Movilidad],'Utilización Convenios'!K$3,Tabla1[Nivel],"Pregrado")</f>
        <v>0</v>
      </c>
      <c r="L96" s="33">
        <f>COUNTIFS(Tabla2[Tipo de Movilidad],"Intercambio*",Tabla2[Universidad KPIs],'Utilización Convenios'!$C96,Tabla2[Año],'Utilización Convenios'!K$3,Tabla2[Nivel Nominación],"Undergraduate / Bachelor")</f>
        <v>0</v>
      </c>
      <c r="M96" s="16">
        <f>COUNTIFS(Tabla1[Tipo de Movilidad],"Intercambio*",Tabla1[Universidad KPIs],'Utilización Convenios'!$C96,Tabla1[Año de Movilidad],'Utilización Convenios'!M$3,Tabla1[Nivel],"Pregrado")</f>
        <v>0</v>
      </c>
      <c r="N96" s="36">
        <f>COUNTIFS(Tabla2[Tipo de Movilidad],"Intercambio*",Tabla2[Universidad KPIs],'Utilización Convenios'!$C96,Tabla2[Año],'Utilización Convenios'!M$3,Tabla2[Nivel Nominación],"Undergraduate / Bachelor")</f>
        <v>0</v>
      </c>
      <c r="O96" s="16">
        <f>COUNTIFS(Tabla1[Tipo de Movilidad],"Intercambio*",Tabla1[Universidad KPIs],'Utilización Convenios'!$C96,Tabla1[Año de Movilidad],'Utilización Convenios'!O$3,Tabla1[Nivel],"Pregrado")</f>
        <v>0</v>
      </c>
      <c r="P96" s="36">
        <f>COUNTIFS(Tabla2[Tipo de Movilidad],"Intercambio*",Tabla2[Universidad KPIs],'Utilización Convenios'!$C96,Tabla2[Año],'Utilización Convenios'!O$3,Tabla2[Nivel Nominación],"Undergraduate / Bachelor")</f>
        <v>1</v>
      </c>
      <c r="Q96" s="43">
        <f t="shared" si="2"/>
        <v>0</v>
      </c>
      <c r="R96" s="44">
        <f t="shared" si="2"/>
        <v>2</v>
      </c>
    </row>
    <row r="97" spans="2:18">
      <c r="B97" s="179"/>
      <c r="C97" s="94" t="s">
        <v>153</v>
      </c>
      <c r="D97" s="95" t="str">
        <f>_xlfn.XLOOKUP(C97,Conversiones!C:C,Conversiones!D:D)</f>
        <v>Portugal</v>
      </c>
      <c r="E97" s="90">
        <f>COUNTIFS(Tabla1[Tipo de Movilidad],"Intercambio*",Tabla1[Universidad KPIs],'Utilización Convenios'!$C97,Tabla1[Año de Movilidad],'Utilización Convenios'!E$3,Tabla1[Nivel],"Pregrado")</f>
        <v>0</v>
      </c>
      <c r="F97" s="33">
        <f>COUNTIFS(Tabla2[Tipo de Movilidad],"Intercambio*",Tabla2[Universidad KPIs],'Utilización Convenios'!$C97,Tabla2[Año],'Utilización Convenios'!E$3,Tabla2[Nivel Nominación],"Undergraduate / Bachelor")</f>
        <v>0</v>
      </c>
      <c r="G97" s="16">
        <f>COUNTIFS(Tabla1[Tipo de Movilidad],"Intercambio*",Tabla1[Universidad KPIs],'Utilización Convenios'!$C97,Tabla1[Año de Movilidad],'Utilización Convenios'!G$3,Tabla1[Nivel],"Pregrado")</f>
        <v>0</v>
      </c>
      <c r="H97" s="33">
        <f>COUNTIFS(Tabla2[Tipo de Movilidad],"Intercambio*",Tabla2[Universidad KPIs],'Utilización Convenios'!$C97,Tabla2[Año],'Utilización Convenios'!G$3,Tabla2[Nivel Nominación],"Undergraduate / Bachelor")</f>
        <v>0</v>
      </c>
      <c r="I97" s="16">
        <f>COUNTIFS(Tabla1[Tipo de Movilidad],"Intercambio*",Tabla1[Universidad KPIs],'Utilización Convenios'!$C97,Tabla1[Año de Movilidad],'Utilización Convenios'!I$3,Tabla1[Nivel],"Pregrado")</f>
        <v>0</v>
      </c>
      <c r="J97" s="33">
        <f>COUNTIFS(Tabla2[Tipo de Movilidad],"Intercambio*",Tabla2[Universidad KPIs],'Utilización Convenios'!$C97,Tabla2[Año],'Utilización Convenios'!I$3,Tabla2[Nivel Nominación],"Undergraduate / Bachelor")</f>
        <v>0</v>
      </c>
      <c r="K97" s="16">
        <f>COUNTIFS(Tabla1[Tipo de Movilidad],"Intercambio*",Tabla1[Universidad KPIs],'Utilización Convenios'!$C97,Tabla1[Año de Movilidad],'Utilización Convenios'!K$3,Tabla1[Nivel],"Pregrado")</f>
        <v>1</v>
      </c>
      <c r="L97" s="33">
        <f>COUNTIFS(Tabla2[Tipo de Movilidad],"Intercambio*",Tabla2[Universidad KPIs],'Utilización Convenios'!$C97,Tabla2[Año],'Utilización Convenios'!K$3,Tabla2[Nivel Nominación],"Undergraduate / Bachelor")</f>
        <v>0</v>
      </c>
      <c r="M97" s="16">
        <f>COUNTIFS(Tabla1[Tipo de Movilidad],"Intercambio*",Tabla1[Universidad KPIs],'Utilización Convenios'!$C97,Tabla1[Año de Movilidad],'Utilización Convenios'!M$3,Tabla1[Nivel],"Pregrado")</f>
        <v>1</v>
      </c>
      <c r="N97" s="36">
        <f>COUNTIFS(Tabla2[Tipo de Movilidad],"Intercambio*",Tabla2[Universidad KPIs],'Utilización Convenios'!$C97,Tabla2[Año],'Utilización Convenios'!M$3,Tabla2[Nivel Nominación],"Undergraduate / Bachelor")</f>
        <v>0</v>
      </c>
      <c r="O97" s="16">
        <f>COUNTIFS(Tabla1[Tipo de Movilidad],"Intercambio*",Tabla1[Universidad KPIs],'Utilización Convenios'!$C97,Tabla1[Año de Movilidad],'Utilización Convenios'!O$3,Tabla1[Nivel],"Pregrado")</f>
        <v>0</v>
      </c>
      <c r="P97" s="36">
        <f>COUNTIFS(Tabla2[Tipo de Movilidad],"Intercambio*",Tabla2[Universidad KPIs],'Utilización Convenios'!$C97,Tabla2[Año],'Utilización Convenios'!O$3,Tabla2[Nivel Nominación],"Undergraduate / Bachelor")</f>
        <v>0</v>
      </c>
      <c r="Q97" s="43">
        <f t="shared" si="2"/>
        <v>2</v>
      </c>
      <c r="R97" s="44">
        <f t="shared" si="2"/>
        <v>0</v>
      </c>
    </row>
    <row r="98" spans="2:18">
      <c r="B98" s="179"/>
      <c r="C98" s="94" t="s">
        <v>4262</v>
      </c>
      <c r="D98" s="95" t="str">
        <f>_xlfn.XLOOKUP(C98,Conversiones!C:C,Conversiones!D:D)</f>
        <v>Germany</v>
      </c>
      <c r="E98" s="90">
        <f>COUNTIFS(Tabla1[Tipo de Movilidad],"Intercambio*",Tabla1[Universidad KPIs],'Utilización Convenios'!$C98,Tabla1[Año de Movilidad],'Utilización Convenios'!E$3,Tabla1[Nivel],"Pregrado")</f>
        <v>0</v>
      </c>
      <c r="F98" s="33">
        <f>COUNTIFS(Tabla2[Tipo de Movilidad],"Intercambio*",Tabla2[Universidad KPIs],'Utilización Convenios'!$C98,Tabla2[Año],'Utilización Convenios'!E$3,Tabla2[Nivel Nominación],"Undergraduate / Bachelor")</f>
        <v>0</v>
      </c>
      <c r="G98" s="16">
        <f>COUNTIFS(Tabla1[Tipo de Movilidad],"Intercambio*",Tabla1[Universidad KPIs],'Utilización Convenios'!$C98,Tabla1[Año de Movilidad],'Utilización Convenios'!G$3,Tabla1[Nivel],"Pregrado")</f>
        <v>0</v>
      </c>
      <c r="H98" s="33">
        <f>COUNTIFS(Tabla2[Tipo de Movilidad],"Intercambio*",Tabla2[Universidad KPIs],'Utilización Convenios'!$C98,Tabla2[Año],'Utilización Convenios'!G$3,Tabla2[Nivel Nominación],"Undergraduate / Bachelor")</f>
        <v>0</v>
      </c>
      <c r="I98" s="16">
        <f>COUNTIFS(Tabla1[Tipo de Movilidad],"Intercambio*",Tabla1[Universidad KPIs],'Utilización Convenios'!$C98,Tabla1[Año de Movilidad],'Utilización Convenios'!I$3,Tabla1[Nivel],"Pregrado")</f>
        <v>0</v>
      </c>
      <c r="J98" s="33">
        <f>COUNTIFS(Tabla2[Tipo de Movilidad],"Intercambio*",Tabla2[Universidad KPIs],'Utilización Convenios'!$C98,Tabla2[Año],'Utilización Convenios'!I$3,Tabla2[Nivel Nominación],"Undergraduate / Bachelor")</f>
        <v>0</v>
      </c>
      <c r="K98" s="16">
        <f>COUNTIFS(Tabla1[Tipo de Movilidad],"Intercambio*",Tabla1[Universidad KPIs],'Utilización Convenios'!$C98,Tabla1[Año de Movilidad],'Utilización Convenios'!K$3,Tabla1[Nivel],"Pregrado")</f>
        <v>0</v>
      </c>
      <c r="L98" s="33">
        <f>COUNTIFS(Tabla2[Tipo de Movilidad],"Intercambio*",Tabla2[Universidad KPIs],'Utilización Convenios'!$C98,Tabla2[Año],'Utilización Convenios'!K$3,Tabla2[Nivel Nominación],"Undergraduate / Bachelor")</f>
        <v>0</v>
      </c>
      <c r="M98" s="16">
        <f>COUNTIFS(Tabla1[Tipo de Movilidad],"Intercambio*",Tabla1[Universidad KPIs],'Utilización Convenios'!$C98,Tabla1[Año de Movilidad],'Utilización Convenios'!M$3,Tabla1[Nivel],"Pregrado")</f>
        <v>0</v>
      </c>
      <c r="N98" s="36">
        <f>COUNTIFS(Tabla2[Tipo de Movilidad],"Intercambio*",Tabla2[Universidad KPIs],'Utilización Convenios'!$C98,Tabla2[Año],'Utilización Convenios'!M$3,Tabla2[Nivel Nominación],"Undergraduate / Bachelor")</f>
        <v>0</v>
      </c>
      <c r="O98" s="16">
        <f>COUNTIFS(Tabla1[Tipo de Movilidad],"Intercambio*",Tabla1[Universidad KPIs],'Utilización Convenios'!$C98,Tabla1[Año de Movilidad],'Utilización Convenios'!O$3,Tabla1[Nivel],"Pregrado")</f>
        <v>0</v>
      </c>
      <c r="P98" s="36">
        <f>COUNTIFS(Tabla2[Tipo de Movilidad],"Intercambio*",Tabla2[Universidad KPIs],'Utilización Convenios'!$C98,Tabla2[Año],'Utilización Convenios'!O$3,Tabla2[Nivel Nominación],"Undergraduate / Bachelor")</f>
        <v>1</v>
      </c>
      <c r="Q98" s="43">
        <f t="shared" si="2"/>
        <v>0</v>
      </c>
      <c r="R98" s="44">
        <f t="shared" si="2"/>
        <v>1</v>
      </c>
    </row>
    <row r="99" spans="2:18">
      <c r="B99" s="179"/>
      <c r="C99" s="94" t="s">
        <v>4238</v>
      </c>
      <c r="D99" s="95" t="str">
        <f>_xlfn.XLOOKUP(C99,Conversiones!C:C,Conversiones!D:D)</f>
        <v>Korea, Republic of</v>
      </c>
      <c r="E99" s="90">
        <f>COUNTIFS(Tabla1[Tipo de Movilidad],"Intercambio*",Tabla1[Universidad KPIs],'Utilización Convenios'!$C99,Tabla1[Año de Movilidad],'Utilización Convenios'!E$3,Tabla1[Nivel],"Pregrado")</f>
        <v>0</v>
      </c>
      <c r="F99" s="33">
        <f>COUNTIFS(Tabla2[Tipo de Movilidad],"Intercambio*",Tabla2[Universidad KPIs],'Utilización Convenios'!$C99,Tabla2[Año],'Utilización Convenios'!E$3,Tabla2[Nivel Nominación],"Undergraduate / Bachelor")</f>
        <v>0</v>
      </c>
      <c r="G99" s="16">
        <f>COUNTIFS(Tabla1[Tipo de Movilidad],"Intercambio*",Tabla1[Universidad KPIs],'Utilización Convenios'!$C99,Tabla1[Año de Movilidad],'Utilización Convenios'!G$3,Tabla1[Nivel],"Pregrado")</f>
        <v>0</v>
      </c>
      <c r="H99" s="33">
        <f>COUNTIFS(Tabla2[Tipo de Movilidad],"Intercambio*",Tabla2[Universidad KPIs],'Utilización Convenios'!$C99,Tabla2[Año],'Utilización Convenios'!G$3,Tabla2[Nivel Nominación],"Undergraduate / Bachelor")</f>
        <v>0</v>
      </c>
      <c r="I99" s="16">
        <f>COUNTIFS(Tabla1[Tipo de Movilidad],"Intercambio*",Tabla1[Universidad KPIs],'Utilización Convenios'!$C99,Tabla1[Año de Movilidad],'Utilización Convenios'!I$3,Tabla1[Nivel],"Pregrado")</f>
        <v>0</v>
      </c>
      <c r="J99" s="33">
        <f>COUNTIFS(Tabla2[Tipo de Movilidad],"Intercambio*",Tabla2[Universidad KPIs],'Utilización Convenios'!$C99,Tabla2[Año],'Utilización Convenios'!I$3,Tabla2[Nivel Nominación],"Undergraduate / Bachelor")</f>
        <v>0</v>
      </c>
      <c r="K99" s="16">
        <f>COUNTIFS(Tabla1[Tipo de Movilidad],"Intercambio*",Tabla1[Universidad KPIs],'Utilización Convenios'!$C99,Tabla1[Año de Movilidad],'Utilización Convenios'!K$3,Tabla1[Nivel],"Pregrado")</f>
        <v>0</v>
      </c>
      <c r="L99" s="33">
        <f>COUNTIFS(Tabla2[Tipo de Movilidad],"Intercambio*",Tabla2[Universidad KPIs],'Utilización Convenios'!$C99,Tabla2[Año],'Utilización Convenios'!K$3,Tabla2[Nivel Nominación],"Undergraduate / Bachelor")</f>
        <v>0</v>
      </c>
      <c r="M99" s="16">
        <f>COUNTIFS(Tabla1[Tipo de Movilidad],"Intercambio*",Tabla1[Universidad KPIs],'Utilización Convenios'!$C99,Tabla1[Año de Movilidad],'Utilización Convenios'!M$3,Tabla1[Nivel],"Pregrado")</f>
        <v>0</v>
      </c>
      <c r="N99" s="36">
        <f>COUNTIFS(Tabla2[Tipo de Movilidad],"Intercambio*",Tabla2[Universidad KPIs],'Utilización Convenios'!$C99,Tabla2[Año],'Utilización Convenios'!M$3,Tabla2[Nivel Nominación],"Undergraduate / Bachelor")</f>
        <v>0</v>
      </c>
      <c r="O99" s="16">
        <f>COUNTIFS(Tabla1[Tipo de Movilidad],"Intercambio*",Tabla1[Universidad KPIs],'Utilización Convenios'!$C99,Tabla1[Año de Movilidad],'Utilización Convenios'!O$3,Tabla1[Nivel],"Pregrado")</f>
        <v>0</v>
      </c>
      <c r="P99" s="36">
        <f>COUNTIFS(Tabla2[Tipo de Movilidad],"Intercambio*",Tabla2[Universidad KPIs],'Utilización Convenios'!$C99,Tabla2[Año],'Utilización Convenios'!O$3,Tabla2[Nivel Nominación],"Undergraduate / Bachelor")</f>
        <v>1</v>
      </c>
      <c r="Q99" s="43">
        <f t="shared" si="2"/>
        <v>0</v>
      </c>
      <c r="R99" s="44">
        <f t="shared" si="2"/>
        <v>1</v>
      </c>
    </row>
    <row r="100" spans="2:18">
      <c r="B100" s="179"/>
      <c r="C100" s="94" t="s">
        <v>4253</v>
      </c>
      <c r="D100" s="95" t="str">
        <f>_xlfn.XLOOKUP(C100,Conversiones!C:C,Conversiones!D:D)</f>
        <v>Peru</v>
      </c>
      <c r="E100" s="90">
        <f>COUNTIFS(Tabla1[Tipo de Movilidad],"Intercambio*",Tabla1[Universidad KPIs],'Utilización Convenios'!$C100,Tabla1[Año de Movilidad],'Utilización Convenios'!E$3,Tabla1[Nivel],"Pregrado")</f>
        <v>0</v>
      </c>
      <c r="F100" s="33">
        <f>COUNTIFS(Tabla2[Tipo de Movilidad],"Intercambio*",Tabla2[Universidad KPIs],'Utilización Convenios'!$C100,Tabla2[Año],'Utilización Convenios'!E$3,Tabla2[Nivel Nominación],"Undergraduate / Bachelor")</f>
        <v>0</v>
      </c>
      <c r="G100" s="16">
        <f>COUNTIFS(Tabla1[Tipo de Movilidad],"Intercambio*",Tabla1[Universidad KPIs],'Utilización Convenios'!$C100,Tabla1[Año de Movilidad],'Utilización Convenios'!G$3,Tabla1[Nivel],"Pregrado")</f>
        <v>0</v>
      </c>
      <c r="H100" s="33">
        <f>COUNTIFS(Tabla2[Tipo de Movilidad],"Intercambio*",Tabla2[Universidad KPIs],'Utilización Convenios'!$C100,Tabla2[Año],'Utilización Convenios'!G$3,Tabla2[Nivel Nominación],"Undergraduate / Bachelor")</f>
        <v>0</v>
      </c>
      <c r="I100" s="16">
        <f>COUNTIFS(Tabla1[Tipo de Movilidad],"Intercambio*",Tabla1[Universidad KPIs],'Utilización Convenios'!$C100,Tabla1[Año de Movilidad],'Utilización Convenios'!I$3,Tabla1[Nivel],"Pregrado")</f>
        <v>0</v>
      </c>
      <c r="J100" s="33">
        <f>COUNTIFS(Tabla2[Tipo de Movilidad],"Intercambio*",Tabla2[Universidad KPIs],'Utilización Convenios'!$C100,Tabla2[Año],'Utilización Convenios'!I$3,Tabla2[Nivel Nominación],"Undergraduate / Bachelor")</f>
        <v>0</v>
      </c>
      <c r="K100" s="16">
        <f>COUNTIFS(Tabla1[Tipo de Movilidad],"Intercambio*",Tabla1[Universidad KPIs],'Utilización Convenios'!$C100,Tabla1[Año de Movilidad],'Utilización Convenios'!K$3,Tabla1[Nivel],"Pregrado")</f>
        <v>0</v>
      </c>
      <c r="L100" s="33">
        <f>COUNTIFS(Tabla2[Tipo de Movilidad],"Intercambio*",Tabla2[Universidad KPIs],'Utilización Convenios'!$C100,Tabla2[Año],'Utilización Convenios'!K$3,Tabla2[Nivel Nominación],"Undergraduate / Bachelor")</f>
        <v>0</v>
      </c>
      <c r="M100" s="16">
        <f>COUNTIFS(Tabla1[Tipo de Movilidad],"Intercambio*",Tabla1[Universidad KPIs],'Utilización Convenios'!$C100,Tabla1[Año de Movilidad],'Utilización Convenios'!M$3,Tabla1[Nivel],"Pregrado")</f>
        <v>0</v>
      </c>
      <c r="N100" s="36">
        <f>COUNTIFS(Tabla2[Tipo de Movilidad],"Intercambio*",Tabla2[Universidad KPIs],'Utilización Convenios'!$C100,Tabla2[Año],'Utilización Convenios'!M$3,Tabla2[Nivel Nominación],"Undergraduate / Bachelor")</f>
        <v>0</v>
      </c>
      <c r="O100" s="16">
        <f>COUNTIFS(Tabla1[Tipo de Movilidad],"Intercambio*",Tabla1[Universidad KPIs],'Utilización Convenios'!$C100,Tabla1[Año de Movilidad],'Utilización Convenios'!O$3,Tabla1[Nivel],"Pregrado")</f>
        <v>0</v>
      </c>
      <c r="P100" s="36">
        <f>COUNTIFS(Tabla2[Tipo de Movilidad],"Intercambio*",Tabla2[Universidad KPIs],'Utilización Convenios'!$C100,Tabla2[Año],'Utilización Convenios'!O$3,Tabla2[Nivel Nominación],"Undergraduate / Bachelor")</f>
        <v>1</v>
      </c>
      <c r="Q100" s="43">
        <f t="shared" si="2"/>
        <v>0</v>
      </c>
      <c r="R100" s="44">
        <f t="shared" si="2"/>
        <v>1</v>
      </c>
    </row>
    <row r="101" spans="2:18">
      <c r="B101" s="179"/>
      <c r="C101" s="94" t="s">
        <v>189</v>
      </c>
      <c r="D101" s="95" t="str">
        <f>_xlfn.XLOOKUP(C101,Conversiones!C:C,Conversiones!D:D)</f>
        <v>Italy</v>
      </c>
      <c r="E101" s="90">
        <f>COUNTIFS(Tabla1[Tipo de Movilidad],"Intercambio*",Tabla1[Universidad KPIs],'Utilización Convenios'!$C101,Tabla1[Año de Movilidad],'Utilización Convenios'!E$3,Tabla1[Nivel],"Pregrado")</f>
        <v>0</v>
      </c>
      <c r="F101" s="33">
        <f>COUNTIFS(Tabla2[Tipo de Movilidad],"Intercambio*",Tabla2[Universidad KPIs],'Utilización Convenios'!$C101,Tabla2[Año],'Utilización Convenios'!E$3,Tabla2[Nivel Nominación],"Undergraduate / Bachelor")</f>
        <v>0</v>
      </c>
      <c r="G101" s="16">
        <f>COUNTIFS(Tabla1[Tipo de Movilidad],"Intercambio*",Tabla1[Universidad KPIs],'Utilización Convenios'!$C101,Tabla1[Año de Movilidad],'Utilización Convenios'!G$3,Tabla1[Nivel],"Pregrado")</f>
        <v>0</v>
      </c>
      <c r="H101" s="33">
        <f>COUNTIFS(Tabla2[Tipo de Movilidad],"Intercambio*",Tabla2[Universidad KPIs],'Utilización Convenios'!$C101,Tabla2[Año],'Utilización Convenios'!G$3,Tabla2[Nivel Nominación],"Undergraduate / Bachelor")</f>
        <v>0</v>
      </c>
      <c r="I101" s="16">
        <f>COUNTIFS(Tabla1[Tipo de Movilidad],"Intercambio*",Tabla1[Universidad KPIs],'Utilización Convenios'!$C101,Tabla1[Año de Movilidad],'Utilización Convenios'!I$3,Tabla1[Nivel],"Pregrado")</f>
        <v>0</v>
      </c>
      <c r="J101" s="33">
        <f>COUNTIFS(Tabla2[Tipo de Movilidad],"Intercambio*",Tabla2[Universidad KPIs],'Utilización Convenios'!$C101,Tabla2[Año],'Utilización Convenios'!I$3,Tabla2[Nivel Nominación],"Undergraduate / Bachelor")</f>
        <v>0</v>
      </c>
      <c r="K101" s="16">
        <f>COUNTIFS(Tabla1[Tipo de Movilidad],"Intercambio*",Tabla1[Universidad KPIs],'Utilización Convenios'!$C101,Tabla1[Año de Movilidad],'Utilización Convenios'!K$3,Tabla1[Nivel],"Pregrado")</f>
        <v>0</v>
      </c>
      <c r="L101" s="33">
        <f>COUNTIFS(Tabla2[Tipo de Movilidad],"Intercambio*",Tabla2[Universidad KPIs],'Utilización Convenios'!$C101,Tabla2[Año],'Utilización Convenios'!K$3,Tabla2[Nivel Nominación],"Undergraduate / Bachelor")</f>
        <v>0</v>
      </c>
      <c r="M101" s="16">
        <f>COUNTIFS(Tabla1[Tipo de Movilidad],"Intercambio*",Tabla1[Universidad KPIs],'Utilización Convenios'!$C101,Tabla1[Año de Movilidad],'Utilización Convenios'!M$3,Tabla1[Nivel],"Pregrado")</f>
        <v>0</v>
      </c>
      <c r="N101" s="36">
        <f>COUNTIFS(Tabla2[Tipo de Movilidad],"Intercambio*",Tabla2[Universidad KPIs],'Utilización Convenios'!$C101,Tabla2[Año],'Utilización Convenios'!M$3,Tabla2[Nivel Nominación],"Undergraduate / Bachelor")</f>
        <v>0</v>
      </c>
      <c r="O101" s="16">
        <f>COUNTIFS(Tabla1[Tipo de Movilidad],"Intercambio*",Tabla1[Universidad KPIs],'Utilización Convenios'!$C101,Tabla1[Año de Movilidad],'Utilización Convenios'!O$3,Tabla1[Nivel],"Pregrado")</f>
        <v>0</v>
      </c>
      <c r="P101" s="36">
        <f>COUNTIFS(Tabla2[Tipo de Movilidad],"Intercambio*",Tabla2[Universidad KPIs],'Utilización Convenios'!$C101,Tabla2[Año],'Utilización Convenios'!O$3,Tabla2[Nivel Nominación],"Undergraduate / Bachelor")</f>
        <v>1</v>
      </c>
      <c r="Q101" s="43">
        <f t="shared" si="2"/>
        <v>0</v>
      </c>
      <c r="R101" s="44">
        <f t="shared" si="2"/>
        <v>1</v>
      </c>
    </row>
    <row r="102" spans="2:18">
      <c r="B102" s="179"/>
      <c r="C102" s="94" t="s">
        <v>154</v>
      </c>
      <c r="D102" s="95" t="s">
        <v>87</v>
      </c>
      <c r="E102" s="90">
        <f>COUNTIFS(Tabla1[Tipo de Movilidad],"Intercambio*",Tabla1[Universidad KPIs],'Utilización Convenios'!$C102,Tabla1[Año de Movilidad],'Utilización Convenios'!E$3,Tabla1[Nivel],"Pregrado")</f>
        <v>0</v>
      </c>
      <c r="F102" s="33">
        <f>COUNTIFS(Tabla2[Tipo de Movilidad],"Intercambio*",Tabla2[Universidad KPIs],'Utilización Convenios'!$C102,Tabla2[Año],'Utilización Convenios'!E$3,Tabla2[Nivel Nominación],"Undergraduate / Bachelor")</f>
        <v>0</v>
      </c>
      <c r="G102" s="16">
        <f>COUNTIFS(Tabla1[Tipo de Movilidad],"Intercambio*",Tabla1[Universidad KPIs],'Utilización Convenios'!$C102,Tabla1[Año de Movilidad],'Utilización Convenios'!G$3,Tabla1[Nivel],"Pregrado")</f>
        <v>0</v>
      </c>
      <c r="H102" s="33">
        <f>COUNTIFS(Tabla2[Tipo de Movilidad],"Intercambio*",Tabla2[Universidad KPIs],'Utilización Convenios'!$C102,Tabla2[Año],'Utilización Convenios'!G$3,Tabla2[Nivel Nominación],"Undergraduate / Bachelor")</f>
        <v>0</v>
      </c>
      <c r="I102" s="16">
        <f>COUNTIFS(Tabla1[Tipo de Movilidad],"Intercambio*",Tabla1[Universidad KPIs],'Utilización Convenios'!$C102,Tabla1[Año de Movilidad],'Utilización Convenios'!I$3,Tabla1[Nivel],"Pregrado")</f>
        <v>1</v>
      </c>
      <c r="J102" s="33">
        <f>COUNTIFS(Tabla2[Tipo de Movilidad],"Intercambio*",Tabla2[Universidad KPIs],'Utilización Convenios'!$C102,Tabla2[Año],'Utilización Convenios'!I$3,Tabla2[Nivel Nominación],"Undergraduate / Bachelor")</f>
        <v>0</v>
      </c>
      <c r="K102" s="16">
        <f>COUNTIFS(Tabla1[Tipo de Movilidad],"Intercambio*",Tabla1[Universidad KPIs],'Utilización Convenios'!$C102,Tabla1[Año de Movilidad],'Utilización Convenios'!K$3,Tabla1[Nivel],"Pregrado")</f>
        <v>0</v>
      </c>
      <c r="L102" s="33">
        <f>COUNTIFS(Tabla2[Tipo de Movilidad],"Intercambio*",Tabla2[Universidad KPIs],'Utilización Convenios'!$C102,Tabla2[Año],'Utilización Convenios'!K$3,Tabla2[Nivel Nominación],"Undergraduate / Bachelor")</f>
        <v>0</v>
      </c>
      <c r="M102" s="16">
        <f>COUNTIFS(Tabla1[Tipo de Movilidad],"Intercambio*",Tabla1[Universidad KPIs],'Utilización Convenios'!$C102,Tabla1[Año de Movilidad],'Utilización Convenios'!M$3,Tabla1[Nivel],"Pregrado")</f>
        <v>0</v>
      </c>
      <c r="N102" s="36">
        <f>COUNTIFS(Tabla2[Tipo de Movilidad],"Intercambio*",Tabla2[Universidad KPIs],'Utilización Convenios'!$C102,Tabla2[Año],'Utilización Convenios'!M$3,Tabla2[Nivel Nominación],"Undergraduate / Bachelor")</f>
        <v>0</v>
      </c>
      <c r="O102" s="16">
        <f>COUNTIFS(Tabla1[Tipo de Movilidad],"Intercambio*",Tabla1[Universidad KPIs],'Utilización Convenios'!$C102,Tabla1[Año de Movilidad],'Utilización Convenios'!O$3,Tabla1[Nivel],"Pregrado")</f>
        <v>0</v>
      </c>
      <c r="P102" s="36">
        <f>COUNTIFS(Tabla2[Tipo de Movilidad],"Intercambio*",Tabla2[Universidad KPIs],'Utilización Convenios'!$C102,Tabla2[Año],'Utilización Convenios'!O$3,Tabla2[Nivel Nominación],"Undergraduate / Bachelor")</f>
        <v>0</v>
      </c>
      <c r="Q102" s="43">
        <f t="shared" si="2"/>
        <v>1</v>
      </c>
      <c r="R102" s="44">
        <f t="shared" si="2"/>
        <v>0</v>
      </c>
    </row>
    <row r="103" spans="2:18">
      <c r="B103" s="179"/>
      <c r="C103" s="94" t="s">
        <v>155</v>
      </c>
      <c r="D103" s="95" t="s">
        <v>87</v>
      </c>
      <c r="E103" s="90">
        <f>COUNTIFS(Tabla1[Tipo de Movilidad],"Intercambio*",Tabla1[Universidad KPIs],'Utilización Convenios'!$C103,Tabla1[Año de Movilidad],'Utilización Convenios'!E$3,Tabla1[Nivel],"Pregrado")</f>
        <v>0</v>
      </c>
      <c r="F103" s="33">
        <f>COUNTIFS(Tabla2[Tipo de Movilidad],"Intercambio*",Tabla2[Universidad KPIs],'Utilización Convenios'!$C103,Tabla2[Año],'Utilización Convenios'!E$3,Tabla2[Nivel Nominación],"Undergraduate / Bachelor")</f>
        <v>0</v>
      </c>
      <c r="G103" s="16">
        <f>COUNTIFS(Tabla1[Tipo de Movilidad],"Intercambio*",Tabla1[Universidad KPIs],'Utilización Convenios'!$C103,Tabla1[Año de Movilidad],'Utilización Convenios'!G$3,Tabla1[Nivel],"Pregrado")</f>
        <v>0</v>
      </c>
      <c r="H103" s="33">
        <f>COUNTIFS(Tabla2[Tipo de Movilidad],"Intercambio*",Tabla2[Universidad KPIs],'Utilización Convenios'!$C103,Tabla2[Año],'Utilización Convenios'!G$3,Tabla2[Nivel Nominación],"Undergraduate / Bachelor")</f>
        <v>0</v>
      </c>
      <c r="I103" s="16">
        <f>COUNTIFS(Tabla1[Tipo de Movilidad],"Intercambio*",Tabla1[Universidad KPIs],'Utilización Convenios'!$C103,Tabla1[Año de Movilidad],'Utilización Convenios'!I$3,Tabla1[Nivel],"Pregrado")</f>
        <v>3</v>
      </c>
      <c r="J103" s="33">
        <f>COUNTIFS(Tabla2[Tipo de Movilidad],"Intercambio*",Tabla2[Universidad KPIs],'Utilización Convenios'!$C103,Tabla2[Año],'Utilización Convenios'!I$3,Tabla2[Nivel Nominación],"Undergraduate / Bachelor")</f>
        <v>0</v>
      </c>
      <c r="K103" s="16">
        <f>COUNTIFS(Tabla1[Tipo de Movilidad],"Intercambio*",Tabla1[Universidad KPIs],'Utilización Convenios'!$C103,Tabla1[Año de Movilidad],'Utilización Convenios'!K$3,Tabla1[Nivel],"Pregrado")</f>
        <v>1</v>
      </c>
      <c r="L103" s="33">
        <f>COUNTIFS(Tabla2[Tipo de Movilidad],"Intercambio*",Tabla2[Universidad KPIs],'Utilización Convenios'!$C103,Tabla2[Año],'Utilización Convenios'!K$3,Tabla2[Nivel Nominación],"Undergraduate / Bachelor")</f>
        <v>0</v>
      </c>
      <c r="M103" s="16">
        <f>COUNTIFS(Tabla1[Tipo de Movilidad],"Intercambio*",Tabla1[Universidad KPIs],'Utilización Convenios'!$C103,Tabla1[Año de Movilidad],'Utilización Convenios'!M$3,Tabla1[Nivel],"Pregrado")</f>
        <v>1</v>
      </c>
      <c r="N103" s="36">
        <f>COUNTIFS(Tabla2[Tipo de Movilidad],"Intercambio*",Tabla2[Universidad KPIs],'Utilización Convenios'!$C103,Tabla2[Año],'Utilización Convenios'!M$3,Tabla2[Nivel Nominación],"Undergraduate / Bachelor")</f>
        <v>0</v>
      </c>
      <c r="O103" s="16">
        <f>COUNTIFS(Tabla1[Tipo de Movilidad],"Intercambio*",Tabla1[Universidad KPIs],'Utilización Convenios'!$C103,Tabla1[Año de Movilidad],'Utilización Convenios'!O$3,Tabla1[Nivel],"Pregrado")</f>
        <v>0</v>
      </c>
      <c r="P103" s="36">
        <f>COUNTIFS(Tabla2[Tipo de Movilidad],"Intercambio*",Tabla2[Universidad KPIs],'Utilización Convenios'!$C103,Tabla2[Año],'Utilización Convenios'!O$3,Tabla2[Nivel Nominación],"Undergraduate / Bachelor")</f>
        <v>0</v>
      </c>
      <c r="Q103" s="43">
        <f t="shared" si="2"/>
        <v>5</v>
      </c>
      <c r="R103" s="44">
        <f t="shared" si="2"/>
        <v>0</v>
      </c>
    </row>
    <row r="104" spans="2:18">
      <c r="B104" s="179"/>
      <c r="C104" s="94" t="s">
        <v>156</v>
      </c>
      <c r="D104" s="95" t="s">
        <v>87</v>
      </c>
      <c r="E104" s="90">
        <f>COUNTIFS(Tabla1[Tipo de Movilidad],"Intercambio*",Tabla1[Universidad KPIs],'Utilización Convenios'!$C104,Tabla1[Año de Movilidad],'Utilización Convenios'!E$3,Tabla1[Nivel],"Pregrado")</f>
        <v>0</v>
      </c>
      <c r="F104" s="33">
        <f>COUNTIFS(Tabla2[Tipo de Movilidad],"Intercambio*",Tabla2[Universidad KPIs],'Utilización Convenios'!$C104,Tabla2[Año],'Utilización Convenios'!E$3,Tabla2[Nivel Nominación],"Undergraduate / Bachelor")</f>
        <v>0</v>
      </c>
      <c r="G104" s="16">
        <f>COUNTIFS(Tabla1[Tipo de Movilidad],"Intercambio*",Tabla1[Universidad KPIs],'Utilización Convenios'!$C104,Tabla1[Año de Movilidad],'Utilización Convenios'!G$3,Tabla1[Nivel],"Pregrado")</f>
        <v>0</v>
      </c>
      <c r="H104" s="33">
        <f>COUNTIFS(Tabla2[Tipo de Movilidad],"Intercambio*",Tabla2[Universidad KPIs],'Utilización Convenios'!$C104,Tabla2[Año],'Utilización Convenios'!G$3,Tabla2[Nivel Nominación],"Undergraduate / Bachelor")</f>
        <v>0</v>
      </c>
      <c r="I104" s="16">
        <f>COUNTIFS(Tabla1[Tipo de Movilidad],"Intercambio*",Tabla1[Universidad KPIs],'Utilización Convenios'!$C104,Tabla1[Año de Movilidad],'Utilización Convenios'!I$3,Tabla1[Nivel],"Pregrado")</f>
        <v>1</v>
      </c>
      <c r="J104" s="33">
        <f>COUNTIFS(Tabla2[Tipo de Movilidad],"Intercambio*",Tabla2[Universidad KPIs],'Utilización Convenios'!$C104,Tabla2[Año],'Utilización Convenios'!I$3,Tabla2[Nivel Nominación],"Undergraduate / Bachelor")</f>
        <v>0</v>
      </c>
      <c r="K104" s="16">
        <f>COUNTIFS(Tabla1[Tipo de Movilidad],"Intercambio*",Tabla1[Universidad KPIs],'Utilización Convenios'!$C104,Tabla1[Año de Movilidad],'Utilización Convenios'!K$3,Tabla1[Nivel],"Pregrado")</f>
        <v>1</v>
      </c>
      <c r="L104" s="33">
        <f>COUNTIFS(Tabla2[Tipo de Movilidad],"Intercambio*",Tabla2[Universidad KPIs],'Utilización Convenios'!$C104,Tabla2[Año],'Utilización Convenios'!K$3,Tabla2[Nivel Nominación],"Undergraduate / Bachelor")</f>
        <v>0</v>
      </c>
      <c r="M104" s="16">
        <f>COUNTIFS(Tabla1[Tipo de Movilidad],"Intercambio*",Tabla1[Universidad KPIs],'Utilización Convenios'!$C104,Tabla1[Año de Movilidad],'Utilización Convenios'!M$3,Tabla1[Nivel],"Pregrado")</f>
        <v>0</v>
      </c>
      <c r="N104" s="36">
        <f>COUNTIFS(Tabla2[Tipo de Movilidad],"Intercambio*",Tabla2[Universidad KPIs],'Utilización Convenios'!$C104,Tabla2[Año],'Utilización Convenios'!M$3,Tabla2[Nivel Nominación],"Undergraduate / Bachelor")</f>
        <v>0</v>
      </c>
      <c r="O104" s="16">
        <f>COUNTIFS(Tabla1[Tipo de Movilidad],"Intercambio*",Tabla1[Universidad KPIs],'Utilización Convenios'!$C104,Tabla1[Año de Movilidad],'Utilización Convenios'!O$3,Tabla1[Nivel],"Pregrado")</f>
        <v>0</v>
      </c>
      <c r="P104" s="36">
        <f>COUNTIFS(Tabla2[Tipo de Movilidad],"Intercambio*",Tabla2[Universidad KPIs],'Utilización Convenios'!$C104,Tabla2[Año],'Utilización Convenios'!O$3,Tabla2[Nivel Nominación],"Undergraduate / Bachelor")</f>
        <v>0</v>
      </c>
      <c r="Q104" s="43">
        <f t="shared" si="2"/>
        <v>2</v>
      </c>
      <c r="R104" s="44">
        <f t="shared" si="2"/>
        <v>0</v>
      </c>
    </row>
    <row r="105" spans="2:18">
      <c r="B105" s="179"/>
      <c r="C105" s="94" t="s">
        <v>157</v>
      </c>
      <c r="D105" s="95" t="s">
        <v>87</v>
      </c>
      <c r="E105" s="90">
        <f>COUNTIFS(Tabla1[Tipo de Movilidad],"Intercambio*",Tabla1[Universidad KPIs],'Utilización Convenios'!$C105,Tabla1[Año de Movilidad],'Utilización Convenios'!E$3,Tabla1[Nivel],"Pregrado")</f>
        <v>0</v>
      </c>
      <c r="F105" s="33">
        <f>COUNTIFS(Tabla2[Tipo de Movilidad],"Intercambio*",Tabla2[Universidad KPIs],'Utilización Convenios'!$C105,Tabla2[Año],'Utilización Convenios'!E$3,Tabla2[Nivel Nominación],"Undergraduate / Bachelor")</f>
        <v>0</v>
      </c>
      <c r="G105" s="16">
        <f>COUNTIFS(Tabla1[Tipo de Movilidad],"Intercambio*",Tabla1[Universidad KPIs],'Utilización Convenios'!$C105,Tabla1[Año de Movilidad],'Utilización Convenios'!G$3,Tabla1[Nivel],"Pregrado")</f>
        <v>1</v>
      </c>
      <c r="H105" s="33">
        <f>COUNTIFS(Tabla2[Tipo de Movilidad],"Intercambio*",Tabla2[Universidad KPIs],'Utilización Convenios'!$C105,Tabla2[Año],'Utilización Convenios'!G$3,Tabla2[Nivel Nominación],"Undergraduate / Bachelor")</f>
        <v>0</v>
      </c>
      <c r="I105" s="16">
        <f>COUNTIFS(Tabla1[Tipo de Movilidad],"Intercambio*",Tabla1[Universidad KPIs],'Utilización Convenios'!$C105,Tabla1[Año de Movilidad],'Utilización Convenios'!I$3,Tabla1[Nivel],"Pregrado")</f>
        <v>0</v>
      </c>
      <c r="J105" s="33">
        <f>COUNTIFS(Tabla2[Tipo de Movilidad],"Intercambio*",Tabla2[Universidad KPIs],'Utilización Convenios'!$C105,Tabla2[Año],'Utilización Convenios'!I$3,Tabla2[Nivel Nominación],"Undergraduate / Bachelor")</f>
        <v>0</v>
      </c>
      <c r="K105" s="16">
        <f>COUNTIFS(Tabla1[Tipo de Movilidad],"Intercambio*",Tabla1[Universidad KPIs],'Utilización Convenios'!$C105,Tabla1[Año de Movilidad],'Utilización Convenios'!K$3,Tabla1[Nivel],"Pregrado")</f>
        <v>0</v>
      </c>
      <c r="L105" s="33">
        <f>COUNTIFS(Tabla2[Tipo de Movilidad],"Intercambio*",Tabla2[Universidad KPIs],'Utilización Convenios'!$C105,Tabla2[Año],'Utilización Convenios'!K$3,Tabla2[Nivel Nominación],"Undergraduate / Bachelor")</f>
        <v>0</v>
      </c>
      <c r="M105" s="16">
        <f>COUNTIFS(Tabla1[Tipo de Movilidad],"Intercambio*",Tabla1[Universidad KPIs],'Utilización Convenios'!$C105,Tabla1[Año de Movilidad],'Utilización Convenios'!M$3,Tabla1[Nivel],"Pregrado")</f>
        <v>0</v>
      </c>
      <c r="N105" s="36">
        <f>COUNTIFS(Tabla2[Tipo de Movilidad],"Intercambio*",Tabla2[Universidad KPIs],'Utilización Convenios'!$C105,Tabla2[Año],'Utilización Convenios'!M$3,Tabla2[Nivel Nominación],"Undergraduate / Bachelor")</f>
        <v>0</v>
      </c>
      <c r="O105" s="16">
        <f>COUNTIFS(Tabla1[Tipo de Movilidad],"Intercambio*",Tabla1[Universidad KPIs],'Utilización Convenios'!$C105,Tabla1[Año de Movilidad],'Utilización Convenios'!O$3,Tabla1[Nivel],"Pregrado")</f>
        <v>0</v>
      </c>
      <c r="P105" s="36">
        <f>COUNTIFS(Tabla2[Tipo de Movilidad],"Intercambio*",Tabla2[Universidad KPIs],'Utilización Convenios'!$C105,Tabla2[Año],'Utilización Convenios'!O$3,Tabla2[Nivel Nominación],"Undergraduate / Bachelor")</f>
        <v>0</v>
      </c>
      <c r="Q105" s="43">
        <f t="shared" si="2"/>
        <v>1</v>
      </c>
      <c r="R105" s="44">
        <f t="shared" si="2"/>
        <v>0</v>
      </c>
    </row>
    <row r="106" spans="2:18">
      <c r="B106" s="179"/>
      <c r="C106" s="94" t="s">
        <v>158</v>
      </c>
      <c r="D106" s="95" t="s">
        <v>53</v>
      </c>
      <c r="E106" s="90">
        <f>COUNTIFS(Tabla1[Tipo de Movilidad],"Intercambio*",Tabla1[Universidad KPIs],'Utilización Convenios'!$C106,Tabla1[Año de Movilidad],'Utilización Convenios'!E$3,Tabla1[Nivel],"Pregrado")</f>
        <v>0</v>
      </c>
      <c r="F106" s="33">
        <f>COUNTIFS(Tabla2[Tipo de Movilidad],"Intercambio*",Tabla2[Universidad KPIs],'Utilización Convenios'!$C106,Tabla2[Año],'Utilización Convenios'!E$3,Tabla2[Nivel Nominación],"Undergraduate / Bachelor")</f>
        <v>0</v>
      </c>
      <c r="G106" s="16">
        <f>COUNTIFS(Tabla1[Tipo de Movilidad],"Intercambio*",Tabla1[Universidad KPIs],'Utilización Convenios'!$C106,Tabla1[Año de Movilidad],'Utilización Convenios'!G$3,Tabla1[Nivel],"Pregrado")</f>
        <v>0</v>
      </c>
      <c r="H106" s="33">
        <f>COUNTIFS(Tabla2[Tipo de Movilidad],"Intercambio*",Tabla2[Universidad KPIs],'Utilización Convenios'!$C106,Tabla2[Año],'Utilización Convenios'!G$3,Tabla2[Nivel Nominación],"Undergraduate / Bachelor")</f>
        <v>0</v>
      </c>
      <c r="I106" s="16">
        <f>COUNTIFS(Tabla1[Tipo de Movilidad],"Intercambio*",Tabla1[Universidad KPIs],'Utilización Convenios'!$C106,Tabla1[Año de Movilidad],'Utilización Convenios'!I$3,Tabla1[Nivel],"Pregrado")</f>
        <v>2</v>
      </c>
      <c r="J106" s="33">
        <f>COUNTIFS(Tabla2[Tipo de Movilidad],"Intercambio*",Tabla2[Universidad KPIs],'Utilización Convenios'!$C106,Tabla2[Año],'Utilización Convenios'!I$3,Tabla2[Nivel Nominación],"Undergraduate / Bachelor")</f>
        <v>1</v>
      </c>
      <c r="K106" s="16">
        <f>COUNTIFS(Tabla1[Tipo de Movilidad],"Intercambio*",Tabla1[Universidad KPIs],'Utilización Convenios'!$C106,Tabla1[Año de Movilidad],'Utilización Convenios'!K$3,Tabla1[Nivel],"Pregrado")</f>
        <v>2</v>
      </c>
      <c r="L106" s="33">
        <f>COUNTIFS(Tabla2[Tipo de Movilidad],"Intercambio*",Tabla2[Universidad KPIs],'Utilización Convenios'!$C106,Tabla2[Año],'Utilización Convenios'!K$3,Tabla2[Nivel Nominación],"Undergraduate / Bachelor")</f>
        <v>0</v>
      </c>
      <c r="M106" s="16">
        <f>COUNTIFS(Tabla1[Tipo de Movilidad],"Intercambio*",Tabla1[Universidad KPIs],'Utilización Convenios'!$C106,Tabla1[Año de Movilidad],'Utilización Convenios'!M$3,Tabla1[Nivel],"Pregrado")</f>
        <v>2</v>
      </c>
      <c r="N106" s="36">
        <f>COUNTIFS(Tabla2[Tipo de Movilidad],"Intercambio*",Tabla2[Universidad KPIs],'Utilización Convenios'!$C106,Tabla2[Año],'Utilización Convenios'!M$3,Tabla2[Nivel Nominación],"Undergraduate / Bachelor")</f>
        <v>0</v>
      </c>
      <c r="O106" s="16">
        <f>COUNTIFS(Tabla1[Tipo de Movilidad],"Intercambio*",Tabla1[Universidad KPIs],'Utilización Convenios'!$C106,Tabla1[Año de Movilidad],'Utilización Convenios'!O$3,Tabla1[Nivel],"Pregrado")</f>
        <v>3</v>
      </c>
      <c r="P106" s="36">
        <f>COUNTIFS(Tabla2[Tipo de Movilidad],"Intercambio*",Tabla2[Universidad KPIs],'Utilización Convenios'!$C106,Tabla2[Año],'Utilización Convenios'!O$3,Tabla2[Nivel Nominación],"Undergraduate / Bachelor")</f>
        <v>0</v>
      </c>
      <c r="Q106" s="43">
        <f t="shared" si="2"/>
        <v>9</v>
      </c>
      <c r="R106" s="44">
        <f t="shared" si="2"/>
        <v>1</v>
      </c>
    </row>
    <row r="107" spans="2:18">
      <c r="B107" s="179"/>
      <c r="C107" s="94" t="s">
        <v>159</v>
      </c>
      <c r="D107" s="95" t="s">
        <v>53</v>
      </c>
      <c r="E107" s="90">
        <f>COUNTIFS(Tabla1[Tipo de Movilidad],"Intercambio*",Tabla1[Universidad KPIs],'Utilización Convenios'!$C107,Tabla1[Año de Movilidad],'Utilización Convenios'!E$3,Tabla1[Nivel],"Pregrado")</f>
        <v>0</v>
      </c>
      <c r="F107" s="33">
        <f>COUNTIFS(Tabla2[Tipo de Movilidad],"Intercambio*",Tabla2[Universidad KPIs],'Utilización Convenios'!$C107,Tabla2[Año],'Utilización Convenios'!E$3,Tabla2[Nivel Nominación],"Undergraduate / Bachelor")</f>
        <v>1</v>
      </c>
      <c r="G107" s="16">
        <f>COUNTIFS(Tabla1[Tipo de Movilidad],"Intercambio*",Tabla1[Universidad KPIs],'Utilización Convenios'!$C107,Tabla1[Año de Movilidad],'Utilización Convenios'!G$3,Tabla1[Nivel],"Pregrado")</f>
        <v>0</v>
      </c>
      <c r="H107" s="33">
        <f>COUNTIFS(Tabla2[Tipo de Movilidad],"Intercambio*",Tabla2[Universidad KPIs],'Utilización Convenios'!$C107,Tabla2[Año],'Utilización Convenios'!G$3,Tabla2[Nivel Nominación],"Undergraduate / Bachelor")</f>
        <v>0</v>
      </c>
      <c r="I107" s="16">
        <f>COUNTIFS(Tabla1[Tipo de Movilidad],"Intercambio*",Tabla1[Universidad KPIs],'Utilización Convenios'!$C107,Tabla1[Año de Movilidad],'Utilización Convenios'!I$3,Tabla1[Nivel],"Pregrado")</f>
        <v>0</v>
      </c>
      <c r="J107" s="33">
        <f>COUNTIFS(Tabla2[Tipo de Movilidad],"Intercambio*",Tabla2[Universidad KPIs],'Utilización Convenios'!$C107,Tabla2[Año],'Utilización Convenios'!I$3,Tabla2[Nivel Nominación],"Undergraduate / Bachelor")</f>
        <v>0</v>
      </c>
      <c r="K107" s="16">
        <f>COUNTIFS(Tabla1[Tipo de Movilidad],"Intercambio*",Tabla1[Universidad KPIs],'Utilización Convenios'!$C107,Tabla1[Año de Movilidad],'Utilización Convenios'!K$3,Tabla1[Nivel],"Pregrado")</f>
        <v>0</v>
      </c>
      <c r="L107" s="33">
        <f>COUNTIFS(Tabla2[Tipo de Movilidad],"Intercambio*",Tabla2[Universidad KPIs],'Utilización Convenios'!$C107,Tabla2[Año],'Utilización Convenios'!K$3,Tabla2[Nivel Nominación],"Undergraduate / Bachelor")</f>
        <v>0</v>
      </c>
      <c r="M107" s="16">
        <f>COUNTIFS(Tabla1[Tipo de Movilidad],"Intercambio*",Tabla1[Universidad KPIs],'Utilización Convenios'!$C107,Tabla1[Año de Movilidad],'Utilización Convenios'!M$3,Tabla1[Nivel],"Pregrado")</f>
        <v>0</v>
      </c>
      <c r="N107" s="36">
        <f>COUNTIFS(Tabla2[Tipo de Movilidad],"Intercambio*",Tabla2[Universidad KPIs],'Utilización Convenios'!$C107,Tabla2[Año],'Utilización Convenios'!M$3,Tabla2[Nivel Nominación],"Undergraduate / Bachelor")</f>
        <v>0</v>
      </c>
      <c r="O107" s="16">
        <f>COUNTIFS(Tabla1[Tipo de Movilidad],"Intercambio*",Tabla1[Universidad KPIs],'Utilización Convenios'!$C107,Tabla1[Año de Movilidad],'Utilización Convenios'!O$3,Tabla1[Nivel],"Pregrado")</f>
        <v>0</v>
      </c>
      <c r="P107" s="36">
        <f>COUNTIFS(Tabla2[Tipo de Movilidad],"Intercambio*",Tabla2[Universidad KPIs],'Utilización Convenios'!$C107,Tabla2[Año],'Utilización Convenios'!O$3,Tabla2[Nivel Nominación],"Undergraduate / Bachelor")</f>
        <v>0</v>
      </c>
      <c r="Q107" s="43">
        <f t="shared" si="2"/>
        <v>0</v>
      </c>
      <c r="R107" s="44">
        <f t="shared" si="2"/>
        <v>1</v>
      </c>
    </row>
    <row r="108" spans="2:18">
      <c r="B108" s="179"/>
      <c r="C108" s="94" t="s">
        <v>160</v>
      </c>
      <c r="D108" s="95" t="s">
        <v>41</v>
      </c>
      <c r="E108" s="90">
        <f>COUNTIFS(Tabla1[Tipo de Movilidad],"Intercambio*",Tabla1[Universidad KPIs],'Utilización Convenios'!$C108,Tabla1[Año de Movilidad],'Utilización Convenios'!E$3,Tabla1[Nivel],"Pregrado")</f>
        <v>0</v>
      </c>
      <c r="F108" s="33">
        <f>COUNTIFS(Tabla2[Tipo de Movilidad],"Intercambio*",Tabla2[Universidad KPIs],'Utilización Convenios'!$C108,Tabla2[Año],'Utilización Convenios'!E$3,Tabla2[Nivel Nominación],"Undergraduate / Bachelor")</f>
        <v>0</v>
      </c>
      <c r="G108" s="16">
        <f>COUNTIFS(Tabla1[Tipo de Movilidad],"Intercambio*",Tabla1[Universidad KPIs],'Utilización Convenios'!$C108,Tabla1[Año de Movilidad],'Utilización Convenios'!G$3,Tabla1[Nivel],"Pregrado")</f>
        <v>0</v>
      </c>
      <c r="H108" s="33">
        <f>COUNTIFS(Tabla2[Tipo de Movilidad],"Intercambio*",Tabla2[Universidad KPIs],'Utilización Convenios'!$C108,Tabla2[Año],'Utilización Convenios'!G$3,Tabla2[Nivel Nominación],"Undergraduate / Bachelor")</f>
        <v>0</v>
      </c>
      <c r="I108" s="16">
        <f>COUNTIFS(Tabla1[Tipo de Movilidad],"Intercambio*",Tabla1[Universidad KPIs],'Utilización Convenios'!$C108,Tabla1[Año de Movilidad],'Utilización Convenios'!I$3,Tabla1[Nivel],"Pregrado")</f>
        <v>1</v>
      </c>
      <c r="J108" s="33">
        <f>COUNTIFS(Tabla2[Tipo de Movilidad],"Intercambio*",Tabla2[Universidad KPIs],'Utilización Convenios'!$C108,Tabla2[Año],'Utilización Convenios'!I$3,Tabla2[Nivel Nominación],"Undergraduate / Bachelor")</f>
        <v>0</v>
      </c>
      <c r="K108" s="16">
        <f>COUNTIFS(Tabla1[Tipo de Movilidad],"Intercambio*",Tabla1[Universidad KPIs],'Utilización Convenios'!$C108,Tabla1[Año de Movilidad],'Utilización Convenios'!K$3,Tabla1[Nivel],"Pregrado")</f>
        <v>0</v>
      </c>
      <c r="L108" s="33">
        <f>COUNTIFS(Tabla2[Tipo de Movilidad],"Intercambio*",Tabla2[Universidad KPIs],'Utilización Convenios'!$C108,Tabla2[Año],'Utilización Convenios'!K$3,Tabla2[Nivel Nominación],"Undergraduate / Bachelor")</f>
        <v>0</v>
      </c>
      <c r="M108" s="16">
        <f>COUNTIFS(Tabla1[Tipo de Movilidad],"Intercambio*",Tabla1[Universidad KPIs],'Utilización Convenios'!$C108,Tabla1[Año de Movilidad],'Utilización Convenios'!M$3,Tabla1[Nivel],"Pregrado")</f>
        <v>0</v>
      </c>
      <c r="N108" s="36">
        <f>COUNTIFS(Tabla2[Tipo de Movilidad],"Intercambio*",Tabla2[Universidad KPIs],'Utilización Convenios'!$C108,Tabla2[Año],'Utilización Convenios'!M$3,Tabla2[Nivel Nominación],"Undergraduate / Bachelor")</f>
        <v>0</v>
      </c>
      <c r="O108" s="16">
        <f>COUNTIFS(Tabla1[Tipo de Movilidad],"Intercambio*",Tabla1[Universidad KPIs],'Utilización Convenios'!$C108,Tabla1[Año de Movilidad],'Utilización Convenios'!O$3,Tabla1[Nivel],"Pregrado")</f>
        <v>1</v>
      </c>
      <c r="P108" s="36">
        <f>COUNTIFS(Tabla2[Tipo de Movilidad],"Intercambio*",Tabla2[Universidad KPIs],'Utilización Convenios'!$C108,Tabla2[Año],'Utilización Convenios'!O$3,Tabla2[Nivel Nominación],"Undergraduate / Bachelor")</f>
        <v>0</v>
      </c>
      <c r="Q108" s="43">
        <f t="shared" si="2"/>
        <v>2</v>
      </c>
      <c r="R108" s="44">
        <f t="shared" si="2"/>
        <v>0</v>
      </c>
    </row>
    <row r="109" spans="2:18">
      <c r="B109" s="179"/>
      <c r="C109" s="94" t="s">
        <v>161</v>
      </c>
      <c r="D109" s="95" t="s">
        <v>65</v>
      </c>
      <c r="E109" s="90">
        <f>COUNTIFS(Tabla1[Tipo de Movilidad],"Intercambio*",Tabla1[Universidad KPIs],'Utilización Convenios'!$C109,Tabla1[Año de Movilidad],'Utilización Convenios'!E$3,Tabla1[Nivel],"Pregrado")</f>
        <v>0</v>
      </c>
      <c r="F109" s="33">
        <f>COUNTIFS(Tabla2[Tipo de Movilidad],"Intercambio*",Tabla2[Universidad KPIs],'Utilización Convenios'!$C109,Tabla2[Año],'Utilización Convenios'!E$3,Tabla2[Nivel Nominación],"Undergraduate / Bachelor")</f>
        <v>0</v>
      </c>
      <c r="G109" s="16">
        <f>COUNTIFS(Tabla1[Tipo de Movilidad],"Intercambio*",Tabla1[Universidad KPIs],'Utilización Convenios'!$C109,Tabla1[Año de Movilidad],'Utilización Convenios'!G$3,Tabla1[Nivel],"Pregrado")</f>
        <v>0</v>
      </c>
      <c r="H109" s="33">
        <f>COUNTIFS(Tabla2[Tipo de Movilidad],"Intercambio*",Tabla2[Universidad KPIs],'Utilización Convenios'!$C109,Tabla2[Año],'Utilización Convenios'!G$3,Tabla2[Nivel Nominación],"Undergraduate / Bachelor")</f>
        <v>0</v>
      </c>
      <c r="I109" s="16">
        <f>COUNTIFS(Tabla1[Tipo de Movilidad],"Intercambio*",Tabla1[Universidad KPIs],'Utilización Convenios'!$C109,Tabla1[Año de Movilidad],'Utilización Convenios'!I$3,Tabla1[Nivel],"Pregrado")</f>
        <v>0</v>
      </c>
      <c r="J109" s="33">
        <f>COUNTIFS(Tabla2[Tipo de Movilidad],"Intercambio*",Tabla2[Universidad KPIs],'Utilización Convenios'!$C109,Tabla2[Año],'Utilización Convenios'!I$3,Tabla2[Nivel Nominación],"Undergraduate / Bachelor")</f>
        <v>0</v>
      </c>
      <c r="K109" s="16">
        <f>COUNTIFS(Tabla1[Tipo de Movilidad],"Intercambio*",Tabla1[Universidad KPIs],'Utilización Convenios'!$C109,Tabla1[Año de Movilidad],'Utilización Convenios'!K$3,Tabla1[Nivel],"Pregrado")</f>
        <v>0</v>
      </c>
      <c r="L109" s="33">
        <f>COUNTIFS(Tabla2[Tipo de Movilidad],"Intercambio*",Tabla2[Universidad KPIs],'Utilización Convenios'!$C109,Tabla2[Año],'Utilización Convenios'!K$3,Tabla2[Nivel Nominación],"Undergraduate / Bachelor")</f>
        <v>1</v>
      </c>
      <c r="M109" s="16">
        <f>COUNTIFS(Tabla1[Tipo de Movilidad],"Intercambio*",Tabla1[Universidad KPIs],'Utilización Convenios'!$C109,Tabla1[Año de Movilidad],'Utilización Convenios'!M$3,Tabla1[Nivel],"Pregrado")</f>
        <v>0</v>
      </c>
      <c r="N109" s="36">
        <f>COUNTIFS(Tabla2[Tipo de Movilidad],"Intercambio*",Tabla2[Universidad KPIs],'Utilización Convenios'!$C109,Tabla2[Año],'Utilización Convenios'!M$3,Tabla2[Nivel Nominación],"Undergraduate / Bachelor")</f>
        <v>0</v>
      </c>
      <c r="O109" s="16">
        <f>COUNTIFS(Tabla1[Tipo de Movilidad],"Intercambio*",Tabla1[Universidad KPIs],'Utilización Convenios'!$C109,Tabla1[Año de Movilidad],'Utilización Convenios'!O$3,Tabla1[Nivel],"Pregrado")</f>
        <v>0</v>
      </c>
      <c r="P109" s="36">
        <f>COUNTIFS(Tabla2[Tipo de Movilidad],"Intercambio*",Tabla2[Universidad KPIs],'Utilización Convenios'!$C109,Tabla2[Año],'Utilización Convenios'!O$3,Tabla2[Nivel Nominación],"Undergraduate / Bachelor")</f>
        <v>0</v>
      </c>
      <c r="Q109" s="43">
        <f t="shared" si="2"/>
        <v>0</v>
      </c>
      <c r="R109" s="44">
        <f t="shared" si="2"/>
        <v>1</v>
      </c>
    </row>
    <row r="110" spans="2:18">
      <c r="B110" s="179"/>
      <c r="C110" s="94" t="s">
        <v>162</v>
      </c>
      <c r="D110" s="95" t="s">
        <v>41</v>
      </c>
      <c r="E110" s="90">
        <f>COUNTIFS(Tabla1[Tipo de Movilidad],"Intercambio*",Tabla1[Universidad KPIs],'Utilización Convenios'!$C110,Tabla1[Año de Movilidad],'Utilización Convenios'!E$3,Tabla1[Nivel],"Pregrado")</f>
        <v>0</v>
      </c>
      <c r="F110" s="33">
        <f>COUNTIFS(Tabla2[Tipo de Movilidad],"Intercambio*",Tabla2[Universidad KPIs],'Utilización Convenios'!$C110,Tabla2[Año],'Utilización Convenios'!E$3,Tabla2[Nivel Nominación],"Undergraduate / Bachelor")</f>
        <v>1</v>
      </c>
      <c r="G110" s="16">
        <f>COUNTIFS(Tabla1[Tipo de Movilidad],"Intercambio*",Tabla1[Universidad KPIs],'Utilización Convenios'!$C110,Tabla1[Año de Movilidad],'Utilización Convenios'!G$3,Tabla1[Nivel],"Pregrado")</f>
        <v>0</v>
      </c>
      <c r="H110" s="33">
        <f>COUNTIFS(Tabla2[Tipo de Movilidad],"Intercambio*",Tabla2[Universidad KPIs],'Utilización Convenios'!$C110,Tabla2[Año],'Utilización Convenios'!G$3,Tabla2[Nivel Nominación],"Undergraduate / Bachelor")</f>
        <v>0</v>
      </c>
      <c r="I110" s="16">
        <f>COUNTIFS(Tabla1[Tipo de Movilidad],"Intercambio*",Tabla1[Universidad KPIs],'Utilización Convenios'!$C110,Tabla1[Año de Movilidad],'Utilización Convenios'!I$3,Tabla1[Nivel],"Pregrado")</f>
        <v>1</v>
      </c>
      <c r="J110" s="33">
        <f>COUNTIFS(Tabla2[Tipo de Movilidad],"Intercambio*",Tabla2[Universidad KPIs],'Utilización Convenios'!$C110,Tabla2[Año],'Utilización Convenios'!I$3,Tabla2[Nivel Nominación],"Undergraduate / Bachelor")</f>
        <v>1</v>
      </c>
      <c r="K110" s="16">
        <f>COUNTIFS(Tabla1[Tipo de Movilidad],"Intercambio*",Tabla1[Universidad KPIs],'Utilización Convenios'!$C110,Tabla1[Año de Movilidad],'Utilización Convenios'!K$3,Tabla1[Nivel],"Pregrado")</f>
        <v>0</v>
      </c>
      <c r="L110" s="33">
        <f>COUNTIFS(Tabla2[Tipo de Movilidad],"Intercambio*",Tabla2[Universidad KPIs],'Utilización Convenios'!$C110,Tabla2[Año],'Utilización Convenios'!K$3,Tabla2[Nivel Nominación],"Undergraduate / Bachelor")</f>
        <v>0</v>
      </c>
      <c r="M110" s="16">
        <f>COUNTIFS(Tabla1[Tipo de Movilidad],"Intercambio*",Tabla1[Universidad KPIs],'Utilización Convenios'!$C110,Tabla1[Año de Movilidad],'Utilización Convenios'!M$3,Tabla1[Nivel],"Pregrado")</f>
        <v>0</v>
      </c>
      <c r="N110" s="36">
        <f>COUNTIFS(Tabla2[Tipo de Movilidad],"Intercambio*",Tabla2[Universidad KPIs],'Utilización Convenios'!$C110,Tabla2[Año],'Utilización Convenios'!M$3,Tabla2[Nivel Nominación],"Undergraduate / Bachelor")</f>
        <v>2</v>
      </c>
      <c r="O110" s="16">
        <f>COUNTIFS(Tabla1[Tipo de Movilidad],"Intercambio*",Tabla1[Universidad KPIs],'Utilización Convenios'!$C110,Tabla1[Año de Movilidad],'Utilización Convenios'!O$3,Tabla1[Nivel],"Pregrado")</f>
        <v>1</v>
      </c>
      <c r="P110" s="36">
        <f>COUNTIFS(Tabla2[Tipo de Movilidad],"Intercambio*",Tabla2[Universidad KPIs],'Utilización Convenios'!$C110,Tabla2[Año],'Utilización Convenios'!O$3,Tabla2[Nivel Nominación],"Undergraduate / Bachelor")</f>
        <v>1</v>
      </c>
      <c r="Q110" s="43">
        <f t="shared" si="2"/>
        <v>2</v>
      </c>
      <c r="R110" s="44">
        <f t="shared" si="2"/>
        <v>5</v>
      </c>
    </row>
    <row r="111" spans="2:18">
      <c r="B111" s="179"/>
      <c r="C111" s="94" t="s">
        <v>163</v>
      </c>
      <c r="D111" s="95" t="s">
        <v>39</v>
      </c>
      <c r="E111" s="90">
        <f>COUNTIFS(Tabla1[Tipo de Movilidad],"Intercambio*",Tabla1[Universidad KPIs],'Utilización Convenios'!$C111,Tabla1[Año de Movilidad],'Utilización Convenios'!E$3,Tabla1[Nivel],"Pregrado")</f>
        <v>0</v>
      </c>
      <c r="F111" s="33">
        <f>COUNTIFS(Tabla2[Tipo de Movilidad],"Intercambio*",Tabla2[Universidad KPIs],'Utilización Convenios'!$C111,Tabla2[Año],'Utilización Convenios'!E$3,Tabla2[Nivel Nominación],"Undergraduate / Bachelor")</f>
        <v>0</v>
      </c>
      <c r="G111" s="16">
        <f>COUNTIFS(Tabla1[Tipo de Movilidad],"Intercambio*",Tabla1[Universidad KPIs],'Utilización Convenios'!$C111,Tabla1[Año de Movilidad],'Utilización Convenios'!G$3,Tabla1[Nivel],"Pregrado")</f>
        <v>0</v>
      </c>
      <c r="H111" s="33">
        <f>COUNTIFS(Tabla2[Tipo de Movilidad],"Intercambio*",Tabla2[Universidad KPIs],'Utilización Convenios'!$C111,Tabla2[Año],'Utilización Convenios'!G$3,Tabla2[Nivel Nominación],"Undergraduate / Bachelor")</f>
        <v>0</v>
      </c>
      <c r="I111" s="16">
        <f>COUNTIFS(Tabla1[Tipo de Movilidad],"Intercambio*",Tabla1[Universidad KPIs],'Utilización Convenios'!$C111,Tabla1[Año de Movilidad],'Utilización Convenios'!I$3,Tabla1[Nivel],"Pregrado")</f>
        <v>0</v>
      </c>
      <c r="J111" s="33">
        <f>COUNTIFS(Tabla2[Tipo de Movilidad],"Intercambio*",Tabla2[Universidad KPIs],'Utilización Convenios'!$C111,Tabla2[Año],'Utilización Convenios'!I$3,Tabla2[Nivel Nominación],"Undergraduate / Bachelor")</f>
        <v>0</v>
      </c>
      <c r="K111" s="16">
        <f>COUNTIFS(Tabla1[Tipo de Movilidad],"Intercambio*",Tabla1[Universidad KPIs],'Utilización Convenios'!$C111,Tabla1[Año de Movilidad],'Utilización Convenios'!K$3,Tabla1[Nivel],"Pregrado")</f>
        <v>1</v>
      </c>
      <c r="L111" s="33">
        <f>COUNTIFS(Tabla2[Tipo de Movilidad],"Intercambio*",Tabla2[Universidad KPIs],'Utilización Convenios'!$C111,Tabla2[Año],'Utilización Convenios'!K$3,Tabla2[Nivel Nominación],"Undergraduate / Bachelor")</f>
        <v>0</v>
      </c>
      <c r="M111" s="16">
        <f>COUNTIFS(Tabla1[Tipo de Movilidad],"Intercambio*",Tabla1[Universidad KPIs],'Utilización Convenios'!$C111,Tabla1[Año de Movilidad],'Utilización Convenios'!M$3,Tabla1[Nivel],"Pregrado")</f>
        <v>1</v>
      </c>
      <c r="N111" s="36">
        <f>COUNTIFS(Tabla2[Tipo de Movilidad],"Intercambio*",Tabla2[Universidad KPIs],'Utilización Convenios'!$C111,Tabla2[Año],'Utilización Convenios'!M$3,Tabla2[Nivel Nominación],"Undergraduate / Bachelor")</f>
        <v>0</v>
      </c>
      <c r="O111" s="16">
        <f>COUNTIFS(Tabla1[Tipo de Movilidad],"Intercambio*",Tabla1[Universidad KPIs],'Utilización Convenios'!$C111,Tabla1[Año de Movilidad],'Utilización Convenios'!O$3,Tabla1[Nivel],"Pregrado")</f>
        <v>1</v>
      </c>
      <c r="P111" s="36">
        <f>COUNTIFS(Tabla2[Tipo de Movilidad],"Intercambio*",Tabla2[Universidad KPIs],'Utilización Convenios'!$C111,Tabla2[Año],'Utilización Convenios'!O$3,Tabla2[Nivel Nominación],"Undergraduate / Bachelor")</f>
        <v>0</v>
      </c>
      <c r="Q111" s="43">
        <f t="shared" si="2"/>
        <v>3</v>
      </c>
      <c r="R111" s="44">
        <f t="shared" si="2"/>
        <v>0</v>
      </c>
    </row>
    <row r="112" spans="2:18">
      <c r="B112" s="179"/>
      <c r="C112" s="94" t="s">
        <v>164</v>
      </c>
      <c r="D112" s="95" t="s">
        <v>39</v>
      </c>
      <c r="E112" s="90">
        <f>COUNTIFS(Tabla1[Tipo de Movilidad],"Intercambio*",Tabla1[Universidad KPIs],'Utilización Convenios'!$C112,Tabla1[Año de Movilidad],'Utilización Convenios'!E$3,Tabla1[Nivel],"Pregrado")</f>
        <v>0</v>
      </c>
      <c r="F112" s="33">
        <f>COUNTIFS(Tabla2[Tipo de Movilidad],"Intercambio*",Tabla2[Universidad KPIs],'Utilización Convenios'!$C112,Tabla2[Año],'Utilización Convenios'!E$3,Tabla2[Nivel Nominación],"Undergraduate / Bachelor")</f>
        <v>0</v>
      </c>
      <c r="G112" s="16">
        <f>COUNTIFS(Tabla1[Tipo de Movilidad],"Intercambio*",Tabla1[Universidad KPIs],'Utilización Convenios'!$C112,Tabla1[Año de Movilidad],'Utilización Convenios'!G$3,Tabla1[Nivel],"Pregrado")</f>
        <v>0</v>
      </c>
      <c r="H112" s="33">
        <f>COUNTIFS(Tabla2[Tipo de Movilidad],"Intercambio*",Tabla2[Universidad KPIs],'Utilización Convenios'!$C112,Tabla2[Año],'Utilización Convenios'!G$3,Tabla2[Nivel Nominación],"Undergraduate / Bachelor")</f>
        <v>0</v>
      </c>
      <c r="I112" s="16">
        <f>COUNTIFS(Tabla1[Tipo de Movilidad],"Intercambio*",Tabla1[Universidad KPIs],'Utilización Convenios'!$C112,Tabla1[Año de Movilidad],'Utilización Convenios'!I$3,Tabla1[Nivel],"Pregrado")</f>
        <v>0</v>
      </c>
      <c r="J112" s="33">
        <f>COUNTIFS(Tabla2[Tipo de Movilidad],"Intercambio*",Tabla2[Universidad KPIs],'Utilización Convenios'!$C112,Tabla2[Año],'Utilización Convenios'!I$3,Tabla2[Nivel Nominación],"Undergraduate / Bachelor")</f>
        <v>0</v>
      </c>
      <c r="K112" s="16">
        <f>COUNTIFS(Tabla1[Tipo de Movilidad],"Intercambio*",Tabla1[Universidad KPIs],'Utilización Convenios'!$C112,Tabla1[Año de Movilidad],'Utilización Convenios'!K$3,Tabla1[Nivel],"Pregrado")</f>
        <v>1</v>
      </c>
      <c r="L112" s="33">
        <f>COUNTIFS(Tabla2[Tipo de Movilidad],"Intercambio*",Tabla2[Universidad KPIs],'Utilización Convenios'!$C112,Tabla2[Año],'Utilización Convenios'!K$3,Tabla2[Nivel Nominación],"Undergraduate / Bachelor")</f>
        <v>0</v>
      </c>
      <c r="M112" s="16">
        <f>COUNTIFS(Tabla1[Tipo de Movilidad],"Intercambio*",Tabla1[Universidad KPIs],'Utilización Convenios'!$C112,Tabla1[Año de Movilidad],'Utilización Convenios'!M$3,Tabla1[Nivel],"Pregrado")</f>
        <v>1</v>
      </c>
      <c r="N112" s="36">
        <f>COUNTIFS(Tabla2[Tipo de Movilidad],"Intercambio*",Tabla2[Universidad KPIs],'Utilización Convenios'!$C112,Tabla2[Año],'Utilización Convenios'!M$3,Tabla2[Nivel Nominación],"Undergraduate / Bachelor")</f>
        <v>0</v>
      </c>
      <c r="O112" s="16">
        <f>COUNTIFS(Tabla1[Tipo de Movilidad],"Intercambio*",Tabla1[Universidad KPIs],'Utilización Convenios'!$C112,Tabla1[Año de Movilidad],'Utilización Convenios'!O$3,Tabla1[Nivel],"Pregrado")</f>
        <v>1</v>
      </c>
      <c r="P112" s="36">
        <f>COUNTIFS(Tabla2[Tipo de Movilidad],"Intercambio*",Tabla2[Universidad KPIs],'Utilización Convenios'!$C112,Tabla2[Año],'Utilización Convenios'!O$3,Tabla2[Nivel Nominación],"Undergraduate / Bachelor")</f>
        <v>0</v>
      </c>
      <c r="Q112" s="43">
        <f t="shared" si="2"/>
        <v>3</v>
      </c>
      <c r="R112" s="44">
        <f t="shared" si="2"/>
        <v>0</v>
      </c>
    </row>
    <row r="113" spans="2:18">
      <c r="B113" s="179"/>
      <c r="C113" s="94" t="s">
        <v>165</v>
      </c>
      <c r="D113" s="95" t="s">
        <v>90</v>
      </c>
      <c r="E113" s="90">
        <f>COUNTIFS(Tabla1[Tipo de Movilidad],"Intercambio*",Tabla1[Universidad KPIs],'Utilización Convenios'!$C113,Tabla1[Año de Movilidad],'Utilización Convenios'!E$3,Tabla1[Nivel],"Pregrado")</f>
        <v>0</v>
      </c>
      <c r="F113" s="33">
        <f>COUNTIFS(Tabla2[Tipo de Movilidad],"Intercambio*",Tabla2[Universidad KPIs],'Utilización Convenios'!$C113,Tabla2[Año],'Utilización Convenios'!E$3,Tabla2[Nivel Nominación],"Undergraduate / Bachelor")</f>
        <v>0</v>
      </c>
      <c r="G113" s="16">
        <f>COUNTIFS(Tabla1[Tipo de Movilidad],"Intercambio*",Tabla1[Universidad KPIs],'Utilización Convenios'!$C113,Tabla1[Año de Movilidad],'Utilización Convenios'!G$3,Tabla1[Nivel],"Pregrado")</f>
        <v>0</v>
      </c>
      <c r="H113" s="33">
        <f>COUNTIFS(Tabla2[Tipo de Movilidad],"Intercambio*",Tabla2[Universidad KPIs],'Utilización Convenios'!$C113,Tabla2[Año],'Utilización Convenios'!G$3,Tabla2[Nivel Nominación],"Undergraduate / Bachelor")</f>
        <v>0</v>
      </c>
      <c r="I113" s="16">
        <f>COUNTIFS(Tabla1[Tipo de Movilidad],"Intercambio*",Tabla1[Universidad KPIs],'Utilización Convenios'!$C113,Tabla1[Año de Movilidad],'Utilización Convenios'!I$3,Tabla1[Nivel],"Pregrado")</f>
        <v>0</v>
      </c>
      <c r="J113" s="33">
        <f>COUNTIFS(Tabla2[Tipo de Movilidad],"Intercambio*",Tabla2[Universidad KPIs],'Utilización Convenios'!$C113,Tabla2[Año],'Utilización Convenios'!I$3,Tabla2[Nivel Nominación],"Undergraduate / Bachelor")</f>
        <v>0</v>
      </c>
      <c r="K113" s="16">
        <f>COUNTIFS(Tabla1[Tipo de Movilidad],"Intercambio*",Tabla1[Universidad KPIs],'Utilización Convenios'!$C113,Tabla1[Año de Movilidad],'Utilización Convenios'!K$3,Tabla1[Nivel],"Pregrado")</f>
        <v>0</v>
      </c>
      <c r="L113" s="33">
        <f>COUNTIFS(Tabla2[Tipo de Movilidad],"Intercambio*",Tabla2[Universidad KPIs],'Utilización Convenios'!$C113,Tabla2[Año],'Utilización Convenios'!K$3,Tabla2[Nivel Nominación],"Undergraduate / Bachelor")</f>
        <v>0</v>
      </c>
      <c r="M113" s="16">
        <f>COUNTIFS(Tabla1[Tipo de Movilidad],"Intercambio*",Tabla1[Universidad KPIs],'Utilización Convenios'!$C113,Tabla1[Año de Movilidad],'Utilización Convenios'!M$3,Tabla1[Nivel],"Pregrado")</f>
        <v>2</v>
      </c>
      <c r="N113" s="36">
        <f>COUNTIFS(Tabla2[Tipo de Movilidad],"Intercambio*",Tabla2[Universidad KPIs],'Utilización Convenios'!$C113,Tabla2[Año],'Utilización Convenios'!M$3,Tabla2[Nivel Nominación],"Undergraduate / Bachelor")</f>
        <v>0</v>
      </c>
      <c r="O113" s="16">
        <f>COUNTIFS(Tabla1[Tipo de Movilidad],"Intercambio*",Tabla1[Universidad KPIs],'Utilización Convenios'!$C113,Tabla1[Año de Movilidad],'Utilización Convenios'!O$3,Tabla1[Nivel],"Pregrado")</f>
        <v>1</v>
      </c>
      <c r="P113" s="36">
        <f>COUNTIFS(Tabla2[Tipo de Movilidad],"Intercambio*",Tabla2[Universidad KPIs],'Utilización Convenios'!$C113,Tabla2[Año],'Utilización Convenios'!O$3,Tabla2[Nivel Nominación],"Undergraduate / Bachelor")</f>
        <v>0</v>
      </c>
      <c r="Q113" s="43">
        <f t="shared" si="2"/>
        <v>3</v>
      </c>
      <c r="R113" s="44">
        <f t="shared" si="2"/>
        <v>0</v>
      </c>
    </row>
    <row r="114" spans="2:18">
      <c r="B114" s="179"/>
      <c r="C114" s="94" t="s">
        <v>166</v>
      </c>
      <c r="D114" s="95" t="s">
        <v>35</v>
      </c>
      <c r="E114" s="90">
        <f>COUNTIFS(Tabla1[Tipo de Movilidad],"Intercambio*",Tabla1[Universidad KPIs],'Utilización Convenios'!$C114,Tabla1[Año de Movilidad],'Utilización Convenios'!E$3,Tabla1[Nivel],"Pregrado")</f>
        <v>0</v>
      </c>
      <c r="F114" s="33">
        <f>COUNTIFS(Tabla2[Tipo de Movilidad],"Intercambio*",Tabla2[Universidad KPIs],'Utilización Convenios'!$C114,Tabla2[Año],'Utilización Convenios'!E$3,Tabla2[Nivel Nominación],"Undergraduate / Bachelor")</f>
        <v>0</v>
      </c>
      <c r="G114" s="16">
        <f>COUNTIFS(Tabla1[Tipo de Movilidad],"Intercambio*",Tabla1[Universidad KPIs],'Utilización Convenios'!$C114,Tabla1[Año de Movilidad],'Utilización Convenios'!G$3,Tabla1[Nivel],"Pregrado")</f>
        <v>0</v>
      </c>
      <c r="H114" s="33">
        <f>COUNTIFS(Tabla2[Tipo de Movilidad],"Intercambio*",Tabla2[Universidad KPIs],'Utilización Convenios'!$C114,Tabla2[Año],'Utilización Convenios'!G$3,Tabla2[Nivel Nominación],"Undergraduate / Bachelor")</f>
        <v>0</v>
      </c>
      <c r="I114" s="16">
        <f>COUNTIFS(Tabla1[Tipo de Movilidad],"Intercambio*",Tabla1[Universidad KPIs],'Utilización Convenios'!$C114,Tabla1[Año de Movilidad],'Utilización Convenios'!I$3,Tabla1[Nivel],"Pregrado")</f>
        <v>2</v>
      </c>
      <c r="J114" s="33">
        <f>COUNTIFS(Tabla2[Tipo de Movilidad],"Intercambio*",Tabla2[Universidad KPIs],'Utilización Convenios'!$C114,Tabla2[Año],'Utilización Convenios'!I$3,Tabla2[Nivel Nominación],"Undergraduate / Bachelor")</f>
        <v>0</v>
      </c>
      <c r="K114" s="16">
        <f>COUNTIFS(Tabla1[Tipo de Movilidad],"Intercambio*",Tabla1[Universidad KPIs],'Utilización Convenios'!$C114,Tabla1[Año de Movilidad],'Utilización Convenios'!K$3,Tabla1[Nivel],"Pregrado")</f>
        <v>0</v>
      </c>
      <c r="L114" s="33">
        <f>COUNTIFS(Tabla2[Tipo de Movilidad],"Intercambio*",Tabla2[Universidad KPIs],'Utilización Convenios'!$C114,Tabla2[Año],'Utilización Convenios'!K$3,Tabla2[Nivel Nominación],"Undergraduate / Bachelor")</f>
        <v>0</v>
      </c>
      <c r="M114" s="16">
        <f>COUNTIFS(Tabla1[Tipo de Movilidad],"Intercambio*",Tabla1[Universidad KPIs],'Utilización Convenios'!$C114,Tabla1[Año de Movilidad],'Utilización Convenios'!M$3,Tabla1[Nivel],"Pregrado")</f>
        <v>0</v>
      </c>
      <c r="N114" s="36">
        <f>COUNTIFS(Tabla2[Tipo de Movilidad],"Intercambio*",Tabla2[Universidad KPIs],'Utilización Convenios'!$C114,Tabla2[Año],'Utilización Convenios'!M$3,Tabla2[Nivel Nominación],"Undergraduate / Bachelor")</f>
        <v>0</v>
      </c>
      <c r="O114" s="16">
        <f>COUNTIFS(Tabla1[Tipo de Movilidad],"Intercambio*",Tabla1[Universidad KPIs],'Utilización Convenios'!$C114,Tabla1[Año de Movilidad],'Utilización Convenios'!O$3,Tabla1[Nivel],"Pregrado")</f>
        <v>0</v>
      </c>
      <c r="P114" s="36">
        <f>COUNTIFS(Tabla2[Tipo de Movilidad],"Intercambio*",Tabla2[Universidad KPIs],'Utilización Convenios'!$C114,Tabla2[Año],'Utilización Convenios'!O$3,Tabla2[Nivel Nominación],"Undergraduate / Bachelor")</f>
        <v>1</v>
      </c>
      <c r="Q114" s="43">
        <f t="shared" si="2"/>
        <v>2</v>
      </c>
      <c r="R114" s="44">
        <f t="shared" si="2"/>
        <v>1</v>
      </c>
    </row>
    <row r="115" spans="2:18">
      <c r="B115" s="179"/>
      <c r="C115" s="94" t="s">
        <v>167</v>
      </c>
      <c r="D115" s="95" t="s">
        <v>39</v>
      </c>
      <c r="E115" s="90">
        <f>COUNTIFS(Tabla1[Tipo de Movilidad],"Intercambio*",Tabla1[Universidad KPIs],'Utilización Convenios'!$C115,Tabla1[Año de Movilidad],'Utilización Convenios'!E$3,Tabla1[Nivel],"Pregrado")</f>
        <v>0</v>
      </c>
      <c r="F115" s="33">
        <f>COUNTIFS(Tabla2[Tipo de Movilidad],"Intercambio*",Tabla2[Universidad KPIs],'Utilización Convenios'!$C115,Tabla2[Año],'Utilización Convenios'!E$3,Tabla2[Nivel Nominación],"Undergraduate / Bachelor")</f>
        <v>1</v>
      </c>
      <c r="G115" s="16">
        <f>COUNTIFS(Tabla1[Tipo de Movilidad],"Intercambio*",Tabla1[Universidad KPIs],'Utilización Convenios'!$C115,Tabla1[Año de Movilidad],'Utilización Convenios'!G$3,Tabla1[Nivel],"Pregrado")</f>
        <v>0</v>
      </c>
      <c r="H115" s="33">
        <f>COUNTIFS(Tabla2[Tipo de Movilidad],"Intercambio*",Tabla2[Universidad KPIs],'Utilización Convenios'!$C115,Tabla2[Año],'Utilización Convenios'!G$3,Tabla2[Nivel Nominación],"Undergraduate / Bachelor")</f>
        <v>0</v>
      </c>
      <c r="I115" s="16">
        <f>COUNTIFS(Tabla1[Tipo de Movilidad],"Intercambio*",Tabla1[Universidad KPIs],'Utilización Convenios'!$C115,Tabla1[Año de Movilidad],'Utilización Convenios'!I$3,Tabla1[Nivel],"Pregrado")</f>
        <v>0</v>
      </c>
      <c r="J115" s="33">
        <f>COUNTIFS(Tabla2[Tipo de Movilidad],"Intercambio*",Tabla2[Universidad KPIs],'Utilización Convenios'!$C115,Tabla2[Año],'Utilización Convenios'!I$3,Tabla2[Nivel Nominación],"Undergraduate / Bachelor")</f>
        <v>0</v>
      </c>
      <c r="K115" s="16">
        <f>COUNTIFS(Tabla1[Tipo de Movilidad],"Intercambio*",Tabla1[Universidad KPIs],'Utilización Convenios'!$C115,Tabla1[Año de Movilidad],'Utilización Convenios'!K$3,Tabla1[Nivel],"Pregrado")</f>
        <v>0</v>
      </c>
      <c r="L115" s="33">
        <f>COUNTIFS(Tabla2[Tipo de Movilidad],"Intercambio*",Tabla2[Universidad KPIs],'Utilización Convenios'!$C115,Tabla2[Año],'Utilización Convenios'!K$3,Tabla2[Nivel Nominación],"Undergraduate / Bachelor")</f>
        <v>1</v>
      </c>
      <c r="M115" s="16">
        <f>COUNTIFS(Tabla1[Tipo de Movilidad],"Intercambio*",Tabla1[Universidad KPIs],'Utilización Convenios'!$C115,Tabla1[Año de Movilidad],'Utilización Convenios'!M$3,Tabla1[Nivel],"Pregrado")</f>
        <v>0</v>
      </c>
      <c r="N115" s="36">
        <f>COUNTIFS(Tabla2[Tipo de Movilidad],"Intercambio*",Tabla2[Universidad KPIs],'Utilización Convenios'!$C115,Tabla2[Año],'Utilización Convenios'!M$3,Tabla2[Nivel Nominación],"Undergraduate / Bachelor")</f>
        <v>0</v>
      </c>
      <c r="O115" s="16">
        <f>COUNTIFS(Tabla1[Tipo de Movilidad],"Intercambio*",Tabla1[Universidad KPIs],'Utilización Convenios'!$C115,Tabla1[Año de Movilidad],'Utilización Convenios'!O$3,Tabla1[Nivel],"Pregrado")</f>
        <v>0</v>
      </c>
      <c r="P115" s="36">
        <f>COUNTIFS(Tabla2[Tipo de Movilidad],"Intercambio*",Tabla2[Universidad KPIs],'Utilización Convenios'!$C115,Tabla2[Año],'Utilización Convenios'!O$3,Tabla2[Nivel Nominación],"Undergraduate / Bachelor")</f>
        <v>0</v>
      </c>
      <c r="Q115" s="43">
        <f t="shared" si="2"/>
        <v>0</v>
      </c>
      <c r="R115" s="44">
        <f t="shared" si="2"/>
        <v>2</v>
      </c>
    </row>
    <row r="116" spans="2:18">
      <c r="B116" s="179"/>
      <c r="C116" s="94" t="s">
        <v>168</v>
      </c>
      <c r="D116" s="95" t="s">
        <v>169</v>
      </c>
      <c r="E116" s="90">
        <f>COUNTIFS(Tabla1[Tipo de Movilidad],"Intercambio*",Tabla1[Universidad KPIs],'Utilización Convenios'!$C116,Tabla1[Año de Movilidad],'Utilización Convenios'!E$3,Tabla1[Nivel],"Pregrado")</f>
        <v>0</v>
      </c>
      <c r="F116" s="33">
        <f>COUNTIFS(Tabla2[Tipo de Movilidad],"Intercambio*",Tabla2[Universidad KPIs],'Utilización Convenios'!$C116,Tabla2[Año],'Utilización Convenios'!E$3,Tabla2[Nivel Nominación],"Undergraduate / Bachelor")</f>
        <v>0</v>
      </c>
      <c r="G116" s="16">
        <f>COUNTIFS(Tabla1[Tipo de Movilidad],"Intercambio*",Tabla1[Universidad KPIs],'Utilización Convenios'!$C116,Tabla1[Año de Movilidad],'Utilización Convenios'!G$3,Tabla1[Nivel],"Pregrado")</f>
        <v>0</v>
      </c>
      <c r="H116" s="33">
        <f>COUNTIFS(Tabla2[Tipo de Movilidad],"Intercambio*",Tabla2[Universidad KPIs],'Utilización Convenios'!$C116,Tabla2[Año],'Utilización Convenios'!G$3,Tabla2[Nivel Nominación],"Undergraduate / Bachelor")</f>
        <v>0</v>
      </c>
      <c r="I116" s="16">
        <f>COUNTIFS(Tabla1[Tipo de Movilidad],"Intercambio*",Tabla1[Universidad KPIs],'Utilización Convenios'!$C116,Tabla1[Año de Movilidad],'Utilización Convenios'!I$3,Tabla1[Nivel],"Pregrado")</f>
        <v>0</v>
      </c>
      <c r="J116" s="33">
        <f>COUNTIFS(Tabla2[Tipo de Movilidad],"Intercambio*",Tabla2[Universidad KPIs],'Utilización Convenios'!$C116,Tabla2[Año],'Utilización Convenios'!I$3,Tabla2[Nivel Nominación],"Undergraduate / Bachelor")</f>
        <v>0</v>
      </c>
      <c r="K116" s="16">
        <f>COUNTIFS(Tabla1[Tipo de Movilidad],"Intercambio*",Tabla1[Universidad KPIs],'Utilización Convenios'!$C116,Tabla1[Año de Movilidad],'Utilización Convenios'!K$3,Tabla1[Nivel],"Pregrado")</f>
        <v>0</v>
      </c>
      <c r="L116" s="33">
        <f>COUNTIFS(Tabla2[Tipo de Movilidad],"Intercambio*",Tabla2[Universidad KPIs],'Utilización Convenios'!$C116,Tabla2[Año],'Utilización Convenios'!K$3,Tabla2[Nivel Nominación],"Undergraduate / Bachelor")</f>
        <v>0</v>
      </c>
      <c r="M116" s="16">
        <f>COUNTIFS(Tabla1[Tipo de Movilidad],"Intercambio*",Tabla1[Universidad KPIs],'Utilización Convenios'!$C116,Tabla1[Año de Movilidad],'Utilización Convenios'!M$3,Tabla1[Nivel],"Pregrado")</f>
        <v>1</v>
      </c>
      <c r="N116" s="36">
        <f>COUNTIFS(Tabla2[Tipo de Movilidad],"Intercambio*",Tabla2[Universidad KPIs],'Utilización Convenios'!$C116,Tabla2[Año],'Utilización Convenios'!M$3,Tabla2[Nivel Nominación],"Undergraduate / Bachelor")</f>
        <v>0</v>
      </c>
      <c r="O116" s="16">
        <f>COUNTIFS(Tabla1[Tipo de Movilidad],"Intercambio*",Tabla1[Universidad KPIs],'Utilización Convenios'!$C116,Tabla1[Año de Movilidad],'Utilización Convenios'!O$3,Tabla1[Nivel],"Pregrado")</f>
        <v>2</v>
      </c>
      <c r="P116" s="36">
        <f>COUNTIFS(Tabla2[Tipo de Movilidad],"Intercambio*",Tabla2[Universidad KPIs],'Utilización Convenios'!$C116,Tabla2[Año],'Utilización Convenios'!O$3,Tabla2[Nivel Nominación],"Undergraduate / Bachelor")</f>
        <v>0</v>
      </c>
      <c r="Q116" s="43">
        <f t="shared" si="2"/>
        <v>3</v>
      </c>
      <c r="R116" s="44">
        <f t="shared" si="2"/>
        <v>0</v>
      </c>
    </row>
    <row r="117" spans="2:18">
      <c r="B117" s="179"/>
      <c r="C117" s="94" t="s">
        <v>170</v>
      </c>
      <c r="D117" s="95" t="s">
        <v>60</v>
      </c>
      <c r="E117" s="90">
        <f>COUNTIFS(Tabla1[Tipo de Movilidad],"Intercambio*",Tabla1[Universidad KPIs],'Utilización Convenios'!$C117,Tabla1[Año de Movilidad],'Utilización Convenios'!E$3,Tabla1[Nivel],"Pregrado")</f>
        <v>0</v>
      </c>
      <c r="F117" s="33">
        <f>COUNTIFS(Tabla2[Tipo de Movilidad],"Intercambio*",Tabla2[Universidad KPIs],'Utilización Convenios'!$C117,Tabla2[Año],'Utilización Convenios'!E$3,Tabla2[Nivel Nominación],"Undergraduate / Bachelor")</f>
        <v>0</v>
      </c>
      <c r="G117" s="16">
        <f>COUNTIFS(Tabla1[Tipo de Movilidad],"Intercambio*",Tabla1[Universidad KPIs],'Utilización Convenios'!$C117,Tabla1[Año de Movilidad],'Utilización Convenios'!G$3,Tabla1[Nivel],"Pregrado")</f>
        <v>0</v>
      </c>
      <c r="H117" s="33">
        <f>COUNTIFS(Tabla2[Tipo de Movilidad],"Intercambio*",Tabla2[Universidad KPIs],'Utilización Convenios'!$C117,Tabla2[Año],'Utilización Convenios'!G$3,Tabla2[Nivel Nominación],"Undergraduate / Bachelor")</f>
        <v>0</v>
      </c>
      <c r="I117" s="16">
        <f>COUNTIFS(Tabla1[Tipo de Movilidad],"Intercambio*",Tabla1[Universidad KPIs],'Utilización Convenios'!$C117,Tabla1[Año de Movilidad],'Utilización Convenios'!I$3,Tabla1[Nivel],"Pregrado")</f>
        <v>0</v>
      </c>
      <c r="J117" s="33">
        <f>COUNTIFS(Tabla2[Tipo de Movilidad],"Intercambio*",Tabla2[Universidad KPIs],'Utilización Convenios'!$C117,Tabla2[Año],'Utilización Convenios'!I$3,Tabla2[Nivel Nominación],"Undergraduate / Bachelor")</f>
        <v>0</v>
      </c>
      <c r="K117" s="16">
        <f>COUNTIFS(Tabla1[Tipo de Movilidad],"Intercambio*",Tabla1[Universidad KPIs],'Utilización Convenios'!$C117,Tabla1[Año de Movilidad],'Utilización Convenios'!K$3,Tabla1[Nivel],"Pregrado")</f>
        <v>0</v>
      </c>
      <c r="L117" s="33">
        <f>COUNTIFS(Tabla2[Tipo de Movilidad],"Intercambio*",Tabla2[Universidad KPIs],'Utilización Convenios'!$C117,Tabla2[Año],'Utilización Convenios'!K$3,Tabla2[Nivel Nominación],"Undergraduate / Bachelor")</f>
        <v>0</v>
      </c>
      <c r="M117" s="16">
        <f>COUNTIFS(Tabla1[Tipo de Movilidad],"Intercambio*",Tabla1[Universidad KPIs],'Utilización Convenios'!$C117,Tabla1[Año de Movilidad],'Utilización Convenios'!M$3,Tabla1[Nivel],"Pregrado")</f>
        <v>1</v>
      </c>
      <c r="N117" s="36">
        <f>COUNTIFS(Tabla2[Tipo de Movilidad],"Intercambio*",Tabla2[Universidad KPIs],'Utilización Convenios'!$C117,Tabla2[Año],'Utilización Convenios'!M$3,Tabla2[Nivel Nominación],"Undergraduate / Bachelor")</f>
        <v>0</v>
      </c>
      <c r="O117" s="16">
        <f>COUNTIFS(Tabla1[Tipo de Movilidad],"Intercambio*",Tabla1[Universidad KPIs],'Utilización Convenios'!$C117,Tabla1[Año de Movilidad],'Utilización Convenios'!O$3,Tabla1[Nivel],"Pregrado")</f>
        <v>2</v>
      </c>
      <c r="P117" s="36">
        <f>COUNTIFS(Tabla2[Tipo de Movilidad],"Intercambio*",Tabla2[Universidad KPIs],'Utilización Convenios'!$C117,Tabla2[Año],'Utilización Convenios'!O$3,Tabla2[Nivel Nominación],"Undergraduate / Bachelor")</f>
        <v>0</v>
      </c>
      <c r="Q117" s="43">
        <f t="shared" si="2"/>
        <v>3</v>
      </c>
      <c r="R117" s="44">
        <f t="shared" si="2"/>
        <v>0</v>
      </c>
    </row>
    <row r="118" spans="2:18">
      <c r="B118" s="179"/>
      <c r="C118" s="94" t="s">
        <v>171</v>
      </c>
      <c r="D118" s="95" t="s">
        <v>62</v>
      </c>
      <c r="E118" s="90">
        <f>COUNTIFS(Tabla1[Tipo de Movilidad],"Intercambio*",Tabla1[Universidad KPIs],'Utilización Convenios'!$C118,Tabla1[Año de Movilidad],'Utilización Convenios'!E$3,Tabla1[Nivel],"Pregrado")</f>
        <v>0</v>
      </c>
      <c r="F118" s="33">
        <f>COUNTIFS(Tabla2[Tipo de Movilidad],"Intercambio*",Tabla2[Universidad KPIs],'Utilización Convenios'!$C118,Tabla2[Año],'Utilización Convenios'!E$3,Tabla2[Nivel Nominación],"Undergraduate / Bachelor")</f>
        <v>0</v>
      </c>
      <c r="G118" s="16">
        <f>COUNTIFS(Tabla1[Tipo de Movilidad],"Intercambio*",Tabla1[Universidad KPIs],'Utilización Convenios'!$C118,Tabla1[Año de Movilidad],'Utilización Convenios'!G$3,Tabla1[Nivel],"Pregrado")</f>
        <v>0</v>
      </c>
      <c r="H118" s="33">
        <f>COUNTIFS(Tabla2[Tipo de Movilidad],"Intercambio*",Tabla2[Universidad KPIs],'Utilización Convenios'!$C118,Tabla2[Año],'Utilización Convenios'!G$3,Tabla2[Nivel Nominación],"Undergraduate / Bachelor")</f>
        <v>0</v>
      </c>
      <c r="I118" s="16">
        <f>COUNTIFS(Tabla1[Tipo de Movilidad],"Intercambio*",Tabla1[Universidad KPIs],'Utilización Convenios'!$C118,Tabla1[Año de Movilidad],'Utilización Convenios'!I$3,Tabla1[Nivel],"Pregrado")</f>
        <v>0</v>
      </c>
      <c r="J118" s="33">
        <f>COUNTIFS(Tabla2[Tipo de Movilidad],"Intercambio*",Tabla2[Universidad KPIs],'Utilización Convenios'!$C118,Tabla2[Año],'Utilización Convenios'!I$3,Tabla2[Nivel Nominación],"Undergraduate / Bachelor")</f>
        <v>0</v>
      </c>
      <c r="K118" s="16">
        <f>COUNTIFS(Tabla1[Tipo de Movilidad],"Intercambio*",Tabla1[Universidad KPIs],'Utilización Convenios'!$C118,Tabla1[Año de Movilidad],'Utilización Convenios'!K$3,Tabla1[Nivel],"Pregrado")</f>
        <v>0</v>
      </c>
      <c r="L118" s="33">
        <f>COUNTIFS(Tabla2[Tipo de Movilidad],"Intercambio*",Tabla2[Universidad KPIs],'Utilización Convenios'!$C118,Tabla2[Año],'Utilización Convenios'!K$3,Tabla2[Nivel Nominación],"Undergraduate / Bachelor")</f>
        <v>0</v>
      </c>
      <c r="M118" s="16">
        <f>COUNTIFS(Tabla1[Tipo de Movilidad],"Intercambio*",Tabla1[Universidad KPIs],'Utilización Convenios'!$C118,Tabla1[Año de Movilidad],'Utilización Convenios'!M$3,Tabla1[Nivel],"Pregrado")</f>
        <v>1</v>
      </c>
      <c r="N118" s="36">
        <f>COUNTIFS(Tabla2[Tipo de Movilidad],"Intercambio*",Tabla2[Universidad KPIs],'Utilización Convenios'!$C118,Tabla2[Año],'Utilización Convenios'!M$3,Tabla2[Nivel Nominación],"Undergraduate / Bachelor")</f>
        <v>0</v>
      </c>
      <c r="O118" s="16">
        <f>COUNTIFS(Tabla1[Tipo de Movilidad],"Intercambio*",Tabla1[Universidad KPIs],'Utilización Convenios'!$C118,Tabla1[Año de Movilidad],'Utilización Convenios'!O$3,Tabla1[Nivel],"Pregrado")</f>
        <v>0</v>
      </c>
      <c r="P118" s="36">
        <f>COUNTIFS(Tabla2[Tipo de Movilidad],"Intercambio*",Tabla2[Universidad KPIs],'Utilización Convenios'!$C118,Tabla2[Año],'Utilización Convenios'!O$3,Tabla2[Nivel Nominación],"Undergraduate / Bachelor")</f>
        <v>0</v>
      </c>
      <c r="Q118" s="43">
        <f t="shared" si="2"/>
        <v>1</v>
      </c>
      <c r="R118" s="44">
        <f t="shared" si="2"/>
        <v>0</v>
      </c>
    </row>
    <row r="119" spans="2:18">
      <c r="B119" s="179"/>
      <c r="C119" s="94" t="s">
        <v>172</v>
      </c>
      <c r="D119" s="95" t="s">
        <v>53</v>
      </c>
      <c r="E119" s="90">
        <f>COUNTIFS(Tabla1[Tipo de Movilidad],"Intercambio*",Tabla1[Universidad KPIs],'Utilización Convenios'!$C119,Tabla1[Año de Movilidad],'Utilización Convenios'!E$3,Tabla1[Nivel],"Pregrado")</f>
        <v>0</v>
      </c>
      <c r="F119" s="33">
        <f>COUNTIFS(Tabla2[Tipo de Movilidad],"Intercambio*",Tabla2[Universidad KPIs],'Utilización Convenios'!$C119,Tabla2[Año],'Utilización Convenios'!E$3,Tabla2[Nivel Nominación],"Undergraduate / Bachelor")</f>
        <v>0</v>
      </c>
      <c r="G119" s="16">
        <f>COUNTIFS(Tabla1[Tipo de Movilidad],"Intercambio*",Tabla1[Universidad KPIs],'Utilización Convenios'!$C119,Tabla1[Año de Movilidad],'Utilización Convenios'!G$3,Tabla1[Nivel],"Pregrado")</f>
        <v>0</v>
      </c>
      <c r="H119" s="33">
        <f>COUNTIFS(Tabla2[Tipo de Movilidad],"Intercambio*",Tabla2[Universidad KPIs],'Utilización Convenios'!$C119,Tabla2[Año],'Utilización Convenios'!G$3,Tabla2[Nivel Nominación],"Undergraduate / Bachelor")</f>
        <v>0</v>
      </c>
      <c r="I119" s="16">
        <f>COUNTIFS(Tabla1[Tipo de Movilidad],"Intercambio*",Tabla1[Universidad KPIs],'Utilización Convenios'!$C119,Tabla1[Año de Movilidad],'Utilización Convenios'!I$3,Tabla1[Nivel],"Pregrado")</f>
        <v>0</v>
      </c>
      <c r="J119" s="33">
        <f>COUNTIFS(Tabla2[Tipo de Movilidad],"Intercambio*",Tabla2[Universidad KPIs],'Utilización Convenios'!$C119,Tabla2[Año],'Utilización Convenios'!I$3,Tabla2[Nivel Nominación],"Undergraduate / Bachelor")</f>
        <v>0</v>
      </c>
      <c r="K119" s="16">
        <f>COUNTIFS(Tabla1[Tipo de Movilidad],"Intercambio*",Tabla1[Universidad KPIs],'Utilización Convenios'!$C119,Tabla1[Año de Movilidad],'Utilización Convenios'!K$3,Tabla1[Nivel],"Pregrado")</f>
        <v>0</v>
      </c>
      <c r="L119" s="33">
        <f>COUNTIFS(Tabla2[Tipo de Movilidad],"Intercambio*",Tabla2[Universidad KPIs],'Utilización Convenios'!$C119,Tabla2[Año],'Utilización Convenios'!K$3,Tabla2[Nivel Nominación],"Undergraduate / Bachelor")</f>
        <v>0</v>
      </c>
      <c r="M119" s="16">
        <f>COUNTIFS(Tabla1[Tipo de Movilidad],"Intercambio*",Tabla1[Universidad KPIs],'Utilización Convenios'!$C119,Tabla1[Año de Movilidad],'Utilización Convenios'!M$3,Tabla1[Nivel],"Pregrado")</f>
        <v>1</v>
      </c>
      <c r="N119" s="36">
        <f>COUNTIFS(Tabla2[Tipo de Movilidad],"Intercambio*",Tabla2[Universidad KPIs],'Utilización Convenios'!$C119,Tabla2[Año],'Utilización Convenios'!M$3,Tabla2[Nivel Nominación],"Undergraduate / Bachelor")</f>
        <v>0</v>
      </c>
      <c r="O119" s="16">
        <f>COUNTIFS(Tabla1[Tipo de Movilidad],"Intercambio*",Tabla1[Universidad KPIs],'Utilización Convenios'!$C119,Tabla1[Año de Movilidad],'Utilización Convenios'!O$3,Tabla1[Nivel],"Pregrado")</f>
        <v>0</v>
      </c>
      <c r="P119" s="36">
        <f>COUNTIFS(Tabla2[Tipo de Movilidad],"Intercambio*",Tabla2[Universidad KPIs],'Utilización Convenios'!$C119,Tabla2[Año],'Utilización Convenios'!O$3,Tabla2[Nivel Nominación],"Undergraduate / Bachelor")</f>
        <v>0</v>
      </c>
      <c r="Q119" s="43">
        <f t="shared" si="2"/>
        <v>1</v>
      </c>
      <c r="R119" s="44">
        <f t="shared" si="2"/>
        <v>0</v>
      </c>
    </row>
    <row r="120" spans="2:18">
      <c r="B120" s="179"/>
      <c r="C120" s="94" t="s">
        <v>173</v>
      </c>
      <c r="D120" s="95" t="s">
        <v>41</v>
      </c>
      <c r="E120" s="90">
        <f>COUNTIFS(Tabla1[Tipo de Movilidad],"Intercambio*",Tabla1[Universidad KPIs],'Utilización Convenios'!$C120,Tabla1[Año de Movilidad],'Utilización Convenios'!E$3,Tabla1[Nivel],"Pregrado")</f>
        <v>0</v>
      </c>
      <c r="F120" s="33">
        <f>COUNTIFS(Tabla2[Tipo de Movilidad],"Intercambio*",Tabla2[Universidad KPIs],'Utilización Convenios'!$C120,Tabla2[Año],'Utilización Convenios'!E$3,Tabla2[Nivel Nominación],"Undergraduate / Bachelor")</f>
        <v>0</v>
      </c>
      <c r="G120" s="16">
        <f>COUNTIFS(Tabla1[Tipo de Movilidad],"Intercambio*",Tabla1[Universidad KPIs],'Utilización Convenios'!$C120,Tabla1[Año de Movilidad],'Utilización Convenios'!G$3,Tabla1[Nivel],"Pregrado")</f>
        <v>0</v>
      </c>
      <c r="H120" s="33">
        <f>COUNTIFS(Tabla2[Tipo de Movilidad],"Intercambio*",Tabla2[Universidad KPIs],'Utilización Convenios'!$C120,Tabla2[Año],'Utilización Convenios'!G$3,Tabla2[Nivel Nominación],"Undergraduate / Bachelor")</f>
        <v>0</v>
      </c>
      <c r="I120" s="16">
        <f>COUNTIFS(Tabla1[Tipo de Movilidad],"Intercambio*",Tabla1[Universidad KPIs],'Utilización Convenios'!$C120,Tabla1[Año de Movilidad],'Utilización Convenios'!I$3,Tabla1[Nivel],"Pregrado")</f>
        <v>0</v>
      </c>
      <c r="J120" s="33">
        <f>COUNTIFS(Tabla2[Tipo de Movilidad],"Intercambio*",Tabla2[Universidad KPIs],'Utilización Convenios'!$C120,Tabla2[Año],'Utilización Convenios'!I$3,Tabla2[Nivel Nominación],"Undergraduate / Bachelor")</f>
        <v>0</v>
      </c>
      <c r="K120" s="16">
        <f>COUNTIFS(Tabla1[Tipo de Movilidad],"Intercambio*",Tabla1[Universidad KPIs],'Utilización Convenios'!$C120,Tabla1[Año de Movilidad],'Utilización Convenios'!K$3,Tabla1[Nivel],"Pregrado")</f>
        <v>0</v>
      </c>
      <c r="L120" s="33">
        <f>COUNTIFS(Tabla2[Tipo de Movilidad],"Intercambio*",Tabla2[Universidad KPIs],'Utilización Convenios'!$C120,Tabla2[Año],'Utilización Convenios'!K$3,Tabla2[Nivel Nominación],"Undergraduate / Bachelor")</f>
        <v>0</v>
      </c>
      <c r="M120" s="16">
        <f>COUNTIFS(Tabla1[Tipo de Movilidad],"Intercambio*",Tabla1[Universidad KPIs],'Utilización Convenios'!$C120,Tabla1[Año de Movilidad],'Utilización Convenios'!M$3,Tabla1[Nivel],"Pregrado")</f>
        <v>1</v>
      </c>
      <c r="N120" s="36">
        <f>COUNTIFS(Tabla2[Tipo de Movilidad],"Intercambio*",Tabla2[Universidad KPIs],'Utilización Convenios'!$C120,Tabla2[Año],'Utilización Convenios'!M$3,Tabla2[Nivel Nominación],"Undergraduate / Bachelor")</f>
        <v>0</v>
      </c>
      <c r="O120" s="16">
        <f>COUNTIFS(Tabla1[Tipo de Movilidad],"Intercambio*",Tabla1[Universidad KPIs],'Utilización Convenios'!$C120,Tabla1[Año de Movilidad],'Utilización Convenios'!O$3,Tabla1[Nivel],"Pregrado")</f>
        <v>1</v>
      </c>
      <c r="P120" s="36">
        <f>COUNTIFS(Tabla2[Tipo de Movilidad],"Intercambio*",Tabla2[Universidad KPIs],'Utilización Convenios'!$C120,Tabla2[Año],'Utilización Convenios'!O$3,Tabla2[Nivel Nominación],"Undergraduate / Bachelor")</f>
        <v>0</v>
      </c>
      <c r="Q120" s="43">
        <f t="shared" si="2"/>
        <v>2</v>
      </c>
      <c r="R120" s="44">
        <f t="shared" si="2"/>
        <v>0</v>
      </c>
    </row>
    <row r="121" spans="2:18">
      <c r="B121" s="179"/>
      <c r="C121" s="135" t="s">
        <v>174</v>
      </c>
      <c r="D121" s="136" t="s">
        <v>175</v>
      </c>
      <c r="E121" s="90">
        <f>COUNTIFS(Tabla1[Tipo de Movilidad],"Intercambio*",Tabla1[Universidad KPIs],'Utilización Convenios'!$C121,Tabla1[Año de Movilidad],'Utilización Convenios'!E$3,Tabla1[Nivel],"Pregrado")</f>
        <v>0</v>
      </c>
      <c r="F121" s="33">
        <f>COUNTIFS(Tabla2[Tipo de Movilidad],"Intercambio*",Tabla2[Universidad KPIs],'Utilización Convenios'!$C121,Tabla2[Año],'Utilización Convenios'!E$3,Tabla2[Nivel Nominación],"Undergraduate / Bachelor")</f>
        <v>0</v>
      </c>
      <c r="G121" s="16">
        <f>COUNTIFS(Tabla1[Tipo de Movilidad],"Intercambio*",Tabla1[Universidad KPIs],'Utilización Convenios'!$C121,Tabla1[Año de Movilidad],'Utilización Convenios'!G$3,Tabla1[Nivel],"Pregrado")</f>
        <v>0</v>
      </c>
      <c r="H121" s="33">
        <f>COUNTIFS(Tabla2[Tipo de Movilidad],"Intercambio*",Tabla2[Universidad KPIs],'Utilización Convenios'!$C121,Tabla2[Año],'Utilización Convenios'!G$3,Tabla2[Nivel Nominación],"Undergraduate / Bachelor")</f>
        <v>0</v>
      </c>
      <c r="I121" s="16">
        <f>COUNTIFS(Tabla1[Tipo de Movilidad],"Intercambio*",Tabla1[Universidad KPIs],'Utilización Convenios'!$C121,Tabla1[Año de Movilidad],'Utilización Convenios'!I$3,Tabla1[Nivel],"Pregrado")</f>
        <v>0</v>
      </c>
      <c r="J121" s="33">
        <f>COUNTIFS(Tabla2[Tipo de Movilidad],"Intercambio*",Tabla2[Universidad KPIs],'Utilización Convenios'!$C121,Tabla2[Año],'Utilización Convenios'!I$3,Tabla2[Nivel Nominación],"Undergraduate / Bachelor")</f>
        <v>0</v>
      </c>
      <c r="K121" s="16">
        <f>COUNTIFS(Tabla1[Tipo de Movilidad],"Intercambio*",Tabla1[Universidad KPIs],'Utilización Convenios'!$C121,Tabla1[Año de Movilidad],'Utilización Convenios'!K$3,Tabla1[Nivel],"Pregrado")</f>
        <v>0</v>
      </c>
      <c r="L121" s="33">
        <f>COUNTIFS(Tabla2[Tipo de Movilidad],"Intercambio*",Tabla2[Universidad KPIs],'Utilización Convenios'!$C121,Tabla2[Año],'Utilización Convenios'!K$3,Tabla2[Nivel Nominación],"Undergraduate / Bachelor")</f>
        <v>0</v>
      </c>
      <c r="M121" s="16">
        <f>COUNTIFS(Tabla1[Tipo de Movilidad],"Intercambio*",Tabla1[Universidad KPIs],'Utilización Convenios'!$C121,Tabla1[Año de Movilidad],'Utilización Convenios'!M$3,Tabla1[Nivel],"Pregrado")</f>
        <v>0</v>
      </c>
      <c r="N121" s="36">
        <f>COUNTIFS(Tabla2[Tipo de Movilidad],"Intercambio*",Tabla2[Universidad KPIs],'Utilización Convenios'!$C121,Tabla2[Año],'Utilización Convenios'!M$3,Tabla2[Nivel Nominación],"Undergraduate / Bachelor")</f>
        <v>0</v>
      </c>
      <c r="O121" s="16">
        <f>COUNTIFS(Tabla1[Tipo de Movilidad],"Intercambio*",Tabla1[Universidad KPIs],'Utilización Convenios'!$C121,Tabla1[Año de Movilidad],'Utilización Convenios'!O$3,Tabla1[Nivel],"Pregrado")</f>
        <v>0</v>
      </c>
      <c r="P121" s="36">
        <f>COUNTIFS(Tabla2[Tipo de Movilidad],"Intercambio*",Tabla2[Universidad KPIs],'Utilización Convenios'!$C121,Tabla2[Año],'Utilización Convenios'!O$3,Tabla2[Nivel Nominación],"Undergraduate / Bachelor")</f>
        <v>1</v>
      </c>
      <c r="Q121" s="43">
        <f t="shared" si="2"/>
        <v>0</v>
      </c>
      <c r="R121" s="44">
        <f t="shared" si="2"/>
        <v>1</v>
      </c>
    </row>
    <row r="122" spans="2:18" ht="15.75" thickBot="1">
      <c r="B122" s="180"/>
      <c r="C122" s="96" t="s">
        <v>176</v>
      </c>
      <c r="D122" s="97" t="s">
        <v>79</v>
      </c>
      <c r="E122" s="90">
        <f>COUNTIFS(Tabla1[Tipo de Movilidad],"Intercambio*",Tabla1[Universidad KPIs],'Utilización Convenios'!$C122,Tabla1[Año de Movilidad],'Utilización Convenios'!E$3,Tabla1[Nivel],"Pregrado")</f>
        <v>0</v>
      </c>
      <c r="F122" s="33">
        <f>COUNTIFS(Tabla2[Tipo de Movilidad],"Intercambio*",Tabla2[Universidad KPIs],'Utilización Convenios'!$C122,Tabla2[Año],'Utilización Convenios'!E$3,Tabla2[Nivel Nominación],"Undergraduate / Bachelor")</f>
        <v>0</v>
      </c>
      <c r="G122" s="16">
        <f>COUNTIFS(Tabla1[Tipo de Movilidad],"Intercambio*",Tabla1[Universidad KPIs],'Utilización Convenios'!$C122,Tabla1[Año de Movilidad],'Utilización Convenios'!G$3,Tabla1[Nivel],"Pregrado")</f>
        <v>0</v>
      </c>
      <c r="H122" s="33">
        <f>COUNTIFS(Tabla2[Tipo de Movilidad],"Intercambio*",Tabla2[Universidad KPIs],'Utilización Convenios'!$C122,Tabla2[Año],'Utilización Convenios'!G$3,Tabla2[Nivel Nominación],"Undergraduate / Bachelor")</f>
        <v>0</v>
      </c>
      <c r="I122" s="16">
        <f>COUNTIFS(Tabla1[Tipo de Movilidad],"Intercambio*",Tabla1[Universidad KPIs],'Utilización Convenios'!$C122,Tabla1[Año de Movilidad],'Utilización Convenios'!I$3,Tabla1[Nivel],"Pregrado")</f>
        <v>0</v>
      </c>
      <c r="J122" s="33">
        <f>COUNTIFS(Tabla2[Tipo de Movilidad],"Intercambio*",Tabla2[Universidad KPIs],'Utilización Convenios'!$C122,Tabla2[Año],'Utilización Convenios'!I$3,Tabla2[Nivel Nominación],"Undergraduate / Bachelor")</f>
        <v>0</v>
      </c>
      <c r="K122" s="16">
        <f>COUNTIFS(Tabla1[Tipo de Movilidad],"Intercambio*",Tabla1[Universidad KPIs],'Utilización Convenios'!$C122,Tabla1[Año de Movilidad],'Utilización Convenios'!K$3,Tabla1[Nivel],"Pregrado")</f>
        <v>0</v>
      </c>
      <c r="L122" s="33">
        <f>COUNTIFS(Tabla2[Tipo de Movilidad],"Intercambio*",Tabla2[Universidad KPIs],'Utilización Convenios'!$C122,Tabla2[Año],'Utilización Convenios'!K$3,Tabla2[Nivel Nominación],"Undergraduate / Bachelor")</f>
        <v>0</v>
      </c>
      <c r="M122" s="16">
        <f>COUNTIFS(Tabla1[Tipo de Movilidad],"Intercambio*",Tabla1[Universidad KPIs],'Utilización Convenios'!$C122,Tabla1[Año de Movilidad],'Utilización Convenios'!M$3,Tabla1[Nivel],"Pregrado")</f>
        <v>0</v>
      </c>
      <c r="N122" s="36">
        <f>COUNTIFS(Tabla2[Tipo de Movilidad],"Intercambio*",Tabla2[Universidad KPIs],'Utilización Convenios'!$C122,Tabla2[Año],'Utilización Convenios'!M$3,Tabla2[Nivel Nominación],"Undergraduate / Bachelor")</f>
        <v>2</v>
      </c>
      <c r="O122" s="16">
        <f>COUNTIFS(Tabla1[Tipo de Movilidad],"Intercambio*",Tabla1[Universidad KPIs],'Utilización Convenios'!$C122,Tabla1[Año de Movilidad],'Utilización Convenios'!O$3,Tabla1[Nivel],"Pregrado")</f>
        <v>0</v>
      </c>
      <c r="P122" s="36">
        <f>COUNTIFS(Tabla2[Tipo de Movilidad],"Intercambio*",Tabla2[Universidad KPIs],'Utilización Convenios'!$C122,Tabla2[Año],'Utilización Convenios'!O$3,Tabla2[Nivel Nominación],"Undergraduate / Bachelor")</f>
        <v>1</v>
      </c>
      <c r="Q122" s="43">
        <f t="shared" si="2"/>
        <v>0</v>
      </c>
      <c r="R122" s="44">
        <f t="shared" si="2"/>
        <v>3</v>
      </c>
    </row>
    <row r="123" spans="2:18" ht="15.75" thickBot="1">
      <c r="C123" s="168" t="s">
        <v>177</v>
      </c>
      <c r="D123" s="169"/>
      <c r="E123" s="28">
        <f t="shared" ref="E123:R123" si="3">SUM(E5:E122)</f>
        <v>43</v>
      </c>
      <c r="F123" s="38">
        <f t="shared" si="3"/>
        <v>30</v>
      </c>
      <c r="G123" s="28">
        <f t="shared" si="3"/>
        <v>47</v>
      </c>
      <c r="H123" s="38">
        <f t="shared" si="3"/>
        <v>20</v>
      </c>
      <c r="I123" s="28">
        <f t="shared" si="3"/>
        <v>90</v>
      </c>
      <c r="J123" s="38">
        <f t="shared" si="3"/>
        <v>52</v>
      </c>
      <c r="K123" s="28">
        <f t="shared" si="3"/>
        <v>137</v>
      </c>
      <c r="L123" s="38">
        <f t="shared" si="3"/>
        <v>61</v>
      </c>
      <c r="M123" s="28">
        <f t="shared" si="3"/>
        <v>90</v>
      </c>
      <c r="N123" s="38">
        <f t="shared" si="3"/>
        <v>52</v>
      </c>
      <c r="O123" s="28">
        <f t="shared" si="3"/>
        <v>121</v>
      </c>
      <c r="P123" s="38">
        <f t="shared" si="3"/>
        <v>63</v>
      </c>
      <c r="Q123" s="45">
        <f t="shared" si="3"/>
        <v>528</v>
      </c>
      <c r="R123" s="46">
        <f t="shared" si="3"/>
        <v>278</v>
      </c>
    </row>
    <row r="124" spans="2:18" ht="15.75" thickBot="1"/>
    <row r="125" spans="2:18" ht="21.75" thickBot="1">
      <c r="C125" s="57" t="s">
        <v>178</v>
      </c>
      <c r="D125" s="57"/>
      <c r="E125" s="173">
        <v>2020</v>
      </c>
      <c r="F125" s="174"/>
      <c r="G125" s="173">
        <v>2021</v>
      </c>
      <c r="H125" s="174"/>
      <c r="I125" s="173">
        <v>2022</v>
      </c>
      <c r="J125" s="174"/>
      <c r="K125" s="173">
        <v>2023</v>
      </c>
      <c r="L125" s="174"/>
      <c r="M125" s="173">
        <v>2024</v>
      </c>
      <c r="N125" s="174"/>
      <c r="O125" s="173">
        <v>2025</v>
      </c>
      <c r="P125" s="174"/>
      <c r="Q125" s="188" t="s">
        <v>29</v>
      </c>
      <c r="R125" s="189"/>
    </row>
    <row r="126" spans="2:18" ht="15.75" thickBot="1">
      <c r="C126" s="13" t="s">
        <v>30</v>
      </c>
      <c r="D126" s="14" t="s">
        <v>19</v>
      </c>
      <c r="E126" s="27" t="s">
        <v>31</v>
      </c>
      <c r="F126" s="37" t="s">
        <v>32</v>
      </c>
      <c r="G126" s="27" t="s">
        <v>31</v>
      </c>
      <c r="H126" s="37" t="s">
        <v>32</v>
      </c>
      <c r="I126" s="27" t="s">
        <v>31</v>
      </c>
      <c r="J126" s="37" t="s">
        <v>32</v>
      </c>
      <c r="K126" s="27" t="s">
        <v>31</v>
      </c>
      <c r="L126" s="37" t="s">
        <v>32</v>
      </c>
      <c r="M126" s="27" t="s">
        <v>31</v>
      </c>
      <c r="N126" s="37" t="s">
        <v>32</v>
      </c>
      <c r="O126" s="27" t="s">
        <v>31</v>
      </c>
      <c r="P126" s="37" t="s">
        <v>32</v>
      </c>
      <c r="Q126" s="51" t="s">
        <v>31</v>
      </c>
      <c r="R126" s="52" t="s">
        <v>32</v>
      </c>
    </row>
    <row r="127" spans="2:18">
      <c r="C127" s="20" t="s">
        <v>34</v>
      </c>
      <c r="D127" s="29" t="s">
        <v>35</v>
      </c>
      <c r="E127" s="20">
        <f>COUNTIFS(Tabla1[Tipo de Movilidad],"Doble*",Tabla1[Universidad KPIs],'Utilización Convenios'!$C127,Tabla1[Año de Movilidad],'Utilización Convenios'!E$125,Tabla1[Nivel],"Pregrado")</f>
        <v>1</v>
      </c>
      <c r="F127" s="21">
        <f>COUNTIFS(Tabla2[Tipo de Movilidad],"Doble*",Tabla2[Universidad KPIs],'Utilización Convenios'!$C127,Tabla2[Año],'Utilización Convenios'!E$125)</f>
        <v>0</v>
      </c>
      <c r="G127" s="20">
        <f>COUNTIFS(Tabla1[Tipo de Movilidad],"Doble*",Tabla1[Universidad KPIs],'Utilización Convenios'!$C127,Tabla1[Año de Movilidad],'Utilización Convenios'!G$125,Tabla1[Nivel],"Pregrado")</f>
        <v>0</v>
      </c>
      <c r="H127" s="21">
        <f>COUNTIFS(Tabla2[Tipo de Movilidad],"Doble*",Tabla2[Universidad KPIs],'Utilización Convenios'!$C127,Tabla2[Año],'Utilización Convenios'!G$125)</f>
        <v>0</v>
      </c>
      <c r="I127" s="20">
        <f>COUNTIFS(Tabla1[Tipo de Movilidad],"Doble*",Tabla1[Universidad KPIs],'Utilización Convenios'!$C127,Tabla1[Año de Movilidad],'Utilización Convenios'!I$125,Tabla1[Nivel],"Pregrado")</f>
        <v>0</v>
      </c>
      <c r="J127" s="21">
        <f>COUNTIFS(Tabla2[Tipo de Movilidad],"Doble*",Tabla2[Universidad KPIs],'Utilización Convenios'!$C127,Tabla2[Año],'Utilización Convenios'!I$125)</f>
        <v>0</v>
      </c>
      <c r="K127" s="20">
        <f>COUNTIFS(Tabla1[Tipo de Movilidad],"Doble*",Tabla1[Universidad KPIs],'Utilización Convenios'!$C127,Tabla1[Año de Movilidad],'Utilización Convenios'!K$125,Tabla1[Nivel],"Pregrado")</f>
        <v>1</v>
      </c>
      <c r="L127" s="21">
        <f>COUNTIFS(Tabla2[Tipo de Movilidad],"Doble*",Tabla2[Universidad KPIs],'Utilización Convenios'!$C127,Tabla2[Año],'Utilización Convenios'!K$125)</f>
        <v>0</v>
      </c>
      <c r="M127" s="20">
        <f>COUNTIFS(Tabla1[Tipo de Movilidad],"Doble*",Tabla1[Universidad KPIs],'Utilización Convenios'!$C127,Tabla1[Año de Movilidad],'Utilización Convenios'!M$125,Tabla1[Nivel],"Pregrado")</f>
        <v>1</v>
      </c>
      <c r="N127" s="21">
        <f>COUNTIFS(Tabla2[Tipo de Movilidad],"Doble*",Tabla2[Universidad KPIs],'Utilización Convenios'!$C127,Tabla2[Año],'Utilización Convenios'!M$125)</f>
        <v>0</v>
      </c>
      <c r="O127" s="20">
        <f>COUNTIFS(Tabla1[Tipo de Movilidad],"Doble*",Tabla1[Universidad KPIs],'Utilización Convenios'!$C127,Tabla1[Año de Movilidad],'Utilización Convenios'!O$125,Tabla1[Nivel],"Pregrado")</f>
        <v>2</v>
      </c>
      <c r="P127" s="21">
        <f>COUNTIFS(Tabla2[Tipo de Movilidad],"Doble*",Tabla2[Universidad KPIs],'Utilización Convenios'!$C127,Tabla2[Año],'Utilización Convenios'!O$125)</f>
        <v>0</v>
      </c>
      <c r="Q127" s="41">
        <f>SUMIF($E$4:$M$4,Q$4,$E127:$P127)</f>
        <v>3</v>
      </c>
      <c r="R127" s="42">
        <f t="shared" ref="R127:R129" si="4">SUMIF($E$4:$P$4,R$4,$E127:$P127)</f>
        <v>0</v>
      </c>
    </row>
    <row r="128" spans="2:18">
      <c r="C128" s="10" t="s">
        <v>91</v>
      </c>
      <c r="D128" s="26" t="s">
        <v>41</v>
      </c>
      <c r="E128" s="10">
        <f>COUNTIFS(Tabla1[Tipo de Movilidad],"Doble*",Tabla1[Universidad KPIs],'Utilización Convenios'!$C128,Tabla1[Año de Movilidad],'Utilización Convenios'!E$125,Tabla1[Nivel],"Pregrado")</f>
        <v>5</v>
      </c>
      <c r="F128" s="11">
        <f>COUNTIFS(Tabla2[Tipo de Movilidad],"Doble*",Tabla2[Universidad KPIs],'Utilización Convenios'!$C128,Tabla2[Año],'Utilización Convenios'!E$125)</f>
        <v>2</v>
      </c>
      <c r="G128" s="10">
        <f>COUNTIFS(Tabla1[Tipo de Movilidad],"Doble*",Tabla1[Universidad KPIs],'Utilización Convenios'!$C128,Tabla1[Año de Movilidad],'Utilización Convenios'!G$125,Tabla1[Nivel],"Pregrado")</f>
        <v>5</v>
      </c>
      <c r="H128" s="11">
        <f>COUNTIFS(Tabla2[Tipo de Movilidad],"Doble*",Tabla2[Universidad KPIs],'Utilización Convenios'!$C128,Tabla2[Año],'Utilización Convenios'!G$125)</f>
        <v>1</v>
      </c>
      <c r="I128" s="10">
        <f>COUNTIFS(Tabla1[Tipo de Movilidad],"Doble*",Tabla1[Universidad KPIs],'Utilización Convenios'!$C128,Tabla1[Año de Movilidad],'Utilización Convenios'!I$125,Tabla1[Nivel],"Pregrado")</f>
        <v>10</v>
      </c>
      <c r="J128" s="11">
        <f>COUNTIFS(Tabla2[Tipo de Movilidad],"Doble*",Tabla2[Universidad KPIs],'Utilización Convenios'!$C128,Tabla2[Año],'Utilización Convenios'!I$125)</f>
        <v>0</v>
      </c>
      <c r="K128" s="10">
        <f>COUNTIFS(Tabla1[Tipo de Movilidad],"Doble*",Tabla1[Universidad KPIs],'Utilización Convenios'!$C128,Tabla1[Año de Movilidad],'Utilización Convenios'!K$125,Tabla1[Nivel],"Pregrado")</f>
        <v>9</v>
      </c>
      <c r="L128" s="11">
        <f>COUNTIFS(Tabla2[Tipo de Movilidad],"Doble*",Tabla2[Universidad KPIs],'Utilización Convenios'!$C128,Tabla2[Año],'Utilización Convenios'!K$125)</f>
        <v>0</v>
      </c>
      <c r="M128" s="10">
        <f>COUNTIFS(Tabla1[Tipo de Movilidad],"Doble*",Tabla1[Universidad KPIs],'Utilización Convenios'!$C128,Tabla1[Año de Movilidad],'Utilización Convenios'!M$125,Tabla1[Nivel],"Pregrado")</f>
        <v>6</v>
      </c>
      <c r="N128" s="11">
        <f>COUNTIFS(Tabla2[Tipo de Movilidad],"Doble*",Tabla2[Universidad KPIs],'Utilización Convenios'!$C128,Tabla2[Año],'Utilización Convenios'!M$125)</f>
        <v>0</v>
      </c>
      <c r="O128" s="10">
        <f>COUNTIFS(Tabla1[Tipo de Movilidad],"Doble*",Tabla1[Universidad KPIs],'Utilización Convenios'!$C128,Tabla1[Año de Movilidad],'Utilización Convenios'!O$125,Tabla1[Nivel],"Pregrado")</f>
        <v>3</v>
      </c>
      <c r="P128" s="11">
        <f>COUNTIFS(Tabla2[Tipo de Movilidad],"Doble*",Tabla2[Universidad KPIs],'Utilización Convenios'!$C128,Tabla2[Año],'Utilización Convenios'!O$125)</f>
        <v>0</v>
      </c>
      <c r="Q128" s="41">
        <f>SUMIF($E$4:$M$4,Q$4,$E128:$P128)</f>
        <v>35</v>
      </c>
      <c r="R128" s="42">
        <f t="shared" si="4"/>
        <v>3</v>
      </c>
    </row>
    <row r="129" spans="2:18">
      <c r="C129" s="10" t="s">
        <v>94</v>
      </c>
      <c r="D129" s="26" t="s">
        <v>79</v>
      </c>
      <c r="E129" s="10">
        <f>COUNTIFS(Tabla1[Tipo de Movilidad],"Doble*",Tabla1[Universidad KPIs],'Utilización Convenios'!$C129,Tabla1[Año de Movilidad],'Utilización Convenios'!E$125,Tabla1[Nivel],"Pregrado")</f>
        <v>0</v>
      </c>
      <c r="F129" s="11">
        <f>COUNTIFS(Tabla2[Tipo de Movilidad],"Doble*",Tabla2[Universidad KPIs],'Utilización Convenios'!$C129,Tabla2[Año],'Utilización Convenios'!E$125)</f>
        <v>0</v>
      </c>
      <c r="G129" s="10">
        <f>COUNTIFS(Tabla1[Tipo de Movilidad],"Doble*",Tabla1[Universidad KPIs],'Utilización Convenios'!$C129,Tabla1[Año de Movilidad],'Utilización Convenios'!G$125,Tabla1[Nivel],"Pregrado")</f>
        <v>0</v>
      </c>
      <c r="H129" s="11">
        <f>COUNTIFS(Tabla2[Tipo de Movilidad],"Doble*",Tabla2[Universidad KPIs],'Utilización Convenios'!$C129,Tabla2[Año],'Utilización Convenios'!G$125)</f>
        <v>0</v>
      </c>
      <c r="I129" s="10">
        <f>COUNTIFS(Tabla1[Tipo de Movilidad],"Doble*",Tabla1[Universidad KPIs],'Utilización Convenios'!$C129,Tabla1[Año de Movilidad],'Utilización Convenios'!I$125,Tabla1[Nivel],"Pregrado")</f>
        <v>2</v>
      </c>
      <c r="J129" s="11">
        <f>COUNTIFS(Tabla2[Tipo de Movilidad],"Doble*",Tabla2[Universidad KPIs],'Utilización Convenios'!$C129,Tabla2[Año],'Utilización Convenios'!I$125)</f>
        <v>0</v>
      </c>
      <c r="K129" s="10">
        <f>COUNTIFS(Tabla1[Tipo de Movilidad],"Doble*",Tabla1[Universidad KPIs],'Utilización Convenios'!$C129,Tabla1[Año de Movilidad],'Utilización Convenios'!K$125,Tabla1[Nivel],"Pregrado")</f>
        <v>2</v>
      </c>
      <c r="L129" s="11">
        <f>COUNTIFS(Tabla2[Tipo de Movilidad],"Doble*",Tabla2[Universidad KPIs],'Utilización Convenios'!$C129,Tabla2[Año],'Utilización Convenios'!K$125)</f>
        <v>0</v>
      </c>
      <c r="M129" s="10">
        <f>COUNTIFS(Tabla1[Tipo de Movilidad],"Doble*",Tabla1[Universidad KPIs],'Utilización Convenios'!$C129,Tabla1[Año de Movilidad],'Utilización Convenios'!M$125,Tabla1[Nivel],"Pregrado")</f>
        <v>1</v>
      </c>
      <c r="N129" s="11">
        <f>COUNTIFS(Tabla2[Tipo de Movilidad],"Doble*",Tabla2[Universidad KPIs],'Utilización Convenios'!$C129,Tabla2[Año],'Utilización Convenios'!M$125)</f>
        <v>0</v>
      </c>
      <c r="O129" s="10">
        <f>COUNTIFS(Tabla1[Tipo de Movilidad],"Doble*",Tabla1[Universidad KPIs],'Utilización Convenios'!$C129,Tabla1[Año de Movilidad],'Utilización Convenios'!O$125,Tabla1[Nivel],"Pregrado")</f>
        <v>1</v>
      </c>
      <c r="P129" s="11">
        <f>COUNTIFS(Tabla2[Tipo de Movilidad],"Doble*",Tabla2[Universidad KPIs],'Utilización Convenios'!$C129,Tabla2[Año],'Utilización Convenios'!O$125)</f>
        <v>0</v>
      </c>
      <c r="Q129" s="41">
        <f>SUMIF($E$4:$M$4,Q$4,$E129:$P129)</f>
        <v>5</v>
      </c>
      <c r="R129" s="42">
        <f t="shared" si="4"/>
        <v>0</v>
      </c>
    </row>
    <row r="130" spans="2:18" ht="15.75" thickBot="1">
      <c r="C130" s="25" t="s">
        <v>54</v>
      </c>
      <c r="D130" s="30" t="s">
        <v>41</v>
      </c>
      <c r="E130" s="25">
        <f>COUNTIFS(Tabla1[Tipo de Movilidad],"Doble*",Tabla1[Universidad KPIs],'Utilización Convenios'!$C130,Tabla1[Año de Movilidad],'Utilización Convenios'!E$125,Tabla1[Nivel],"Pregrado")</f>
        <v>0</v>
      </c>
      <c r="F130" s="32">
        <f>COUNTIFS(Tabla2[Tipo de Movilidad],"Doble*",Tabla2[Universidad KPIs],'Utilización Convenios'!$C130,Tabla2[Año],'Utilización Convenios'!E$125)</f>
        <v>0</v>
      </c>
      <c r="G130" s="25">
        <f>COUNTIFS(Tabla1[Tipo de Movilidad],"Doble*",Tabla1[Universidad KPIs],'Utilización Convenios'!$C130,Tabla1[Año de Movilidad],'Utilización Convenios'!G$125,Tabla1[Nivel],"Pregrado")</f>
        <v>0</v>
      </c>
      <c r="H130" s="32">
        <f>COUNTIFS(Tabla2[Tipo de Movilidad],"Doble*",Tabla2[Universidad KPIs],'Utilización Convenios'!$C130,Tabla2[Año],'Utilización Convenios'!G$125)</f>
        <v>0</v>
      </c>
      <c r="I130" s="25">
        <f>COUNTIFS(Tabla1[Tipo de Movilidad],"Doble*",Tabla1[Universidad KPIs],'Utilización Convenios'!$C130,Tabla1[Año de Movilidad],'Utilización Convenios'!I$125,Tabla1[Nivel],"Pregrado")</f>
        <v>0</v>
      </c>
      <c r="J130" s="32">
        <f>COUNTIFS(Tabla2[Tipo de Movilidad],"Doble*",Tabla2[Universidad KPIs],'Utilización Convenios'!$C130,Tabla2[Año],'Utilización Convenios'!I$125)</f>
        <v>0</v>
      </c>
      <c r="K130" s="25">
        <f>COUNTIFS(Tabla1[Tipo de Movilidad],"Doble*",Tabla1[Universidad KPIs],'Utilización Convenios'!$C130,Tabla1[Año de Movilidad],'Utilización Convenios'!K$125,Tabla1[Nivel],"Pregrado")</f>
        <v>0</v>
      </c>
      <c r="L130" s="32">
        <f>COUNTIFS(Tabla2[Tipo de Movilidad],"Doble*",Tabla2[Universidad KPIs],'Utilización Convenios'!$C130,Tabla2[Año],'Utilización Convenios'!K$125)</f>
        <v>0</v>
      </c>
      <c r="M130" s="25">
        <f>COUNTIFS(Tabla1[Tipo de Movilidad],"Doble*",Tabla1[Universidad KPIs],'Utilización Convenios'!$C130,Tabla1[Año de Movilidad],'Utilización Convenios'!M$125,Tabla1[Nivel],"Pregrado")</f>
        <v>0</v>
      </c>
      <c r="N130" s="32">
        <f>COUNTIFS(Tabla2[Tipo de Movilidad],"Doble*",Tabla2[Universidad KPIs],'Utilización Convenios'!$C130,Tabla2[Año],'Utilización Convenios'!M$125)</f>
        <v>0</v>
      </c>
      <c r="O130" s="25">
        <f>COUNTIFS(Tabla1[Tipo de Movilidad],"Doble*",Tabla1[Universidad KPIs],'Utilización Convenios'!$C130,Tabla1[Año de Movilidad],'Utilización Convenios'!O$125,Tabla1[Nivel],"Pregrado")</f>
        <v>2</v>
      </c>
      <c r="P130" s="32">
        <f>COUNTIFS(Tabla2[Tipo de Movilidad],"Doble*",Tabla2[Universidad KPIs],'Utilización Convenios'!$C130,Tabla2[Año],'Utilización Convenios'!O$125)</f>
        <v>1</v>
      </c>
      <c r="Q130" s="60">
        <f>SUMIF($E$4:$M$4,Q$4,$E130:$P130)</f>
        <v>0</v>
      </c>
      <c r="R130" s="61">
        <f>SUMIF($E$4:$P$4,R$4,$E130:$P130)</f>
        <v>1</v>
      </c>
    </row>
    <row r="131" spans="2:18" ht="15.75" thickBot="1">
      <c r="C131" s="186" t="s">
        <v>177</v>
      </c>
      <c r="D131" s="187"/>
      <c r="E131" s="58">
        <f t="shared" ref="E131:P131" si="5">SUM(E127:E130)</f>
        <v>6</v>
      </c>
      <c r="F131" s="59">
        <f t="shared" si="5"/>
        <v>2</v>
      </c>
      <c r="G131" s="58">
        <f t="shared" si="5"/>
        <v>5</v>
      </c>
      <c r="H131" s="59">
        <f t="shared" si="5"/>
        <v>1</v>
      </c>
      <c r="I131" s="58">
        <f t="shared" si="5"/>
        <v>12</v>
      </c>
      <c r="J131" s="59">
        <f t="shared" si="5"/>
        <v>0</v>
      </c>
      <c r="K131" s="58">
        <f t="shared" si="5"/>
        <v>12</v>
      </c>
      <c r="L131" s="59">
        <f t="shared" si="5"/>
        <v>0</v>
      </c>
      <c r="M131" s="58">
        <f t="shared" si="5"/>
        <v>8</v>
      </c>
      <c r="N131" s="59">
        <f t="shared" si="5"/>
        <v>0</v>
      </c>
      <c r="O131" s="58">
        <f t="shared" si="5"/>
        <v>8</v>
      </c>
      <c r="P131" s="59">
        <f t="shared" si="5"/>
        <v>1</v>
      </c>
      <c r="Q131" s="62">
        <f>SUM(Q127:Q130)</f>
        <v>43</v>
      </c>
      <c r="R131" s="63">
        <f>SUM(R127:R130)</f>
        <v>4</v>
      </c>
    </row>
    <row r="132" spans="2:18" ht="15.75" thickBot="1"/>
    <row r="133" spans="2:18" ht="21.75" thickBot="1">
      <c r="C133" s="57" t="s">
        <v>179</v>
      </c>
      <c r="E133" s="146">
        <v>2020</v>
      </c>
      <c r="F133" s="146">
        <v>2021</v>
      </c>
      <c r="G133" s="146">
        <v>2022</v>
      </c>
      <c r="H133" s="146">
        <v>2023</v>
      </c>
      <c r="I133" s="146">
        <v>2024</v>
      </c>
      <c r="J133" s="146">
        <v>2025</v>
      </c>
      <c r="K133" s="147" t="s">
        <v>29</v>
      </c>
    </row>
    <row r="134" spans="2:18">
      <c r="C134" s="20" t="s">
        <v>129</v>
      </c>
      <c r="D134" s="21" t="s">
        <v>65</v>
      </c>
      <c r="E134" s="152">
        <f>COUNTIFS(Tabla2[Tipo de Movilidad],"Free*",Tabla2[Universidad KPIs],'Utilización Convenios'!$C134,Tabla2[Año],'Utilización Convenios'!E$133)</f>
        <v>1</v>
      </c>
      <c r="F134" s="148">
        <f>COUNTIFS(Tabla2[Tipo de Movilidad],"Free*",Tabla2[Universidad KPIs],'Utilización Convenios'!$C134,Tabla2[Año],'Utilización Convenios'!F$133)</f>
        <v>0</v>
      </c>
      <c r="G134" s="148">
        <f>COUNTIFS(Tabla2[Tipo de Movilidad],"Free*",Tabla2[Universidad KPIs],'Utilización Convenios'!$C134,Tabla2[Año],'Utilización Convenios'!G$133)</f>
        <v>0</v>
      </c>
      <c r="H134" s="148">
        <f>COUNTIFS(Tabla2[Tipo de Movilidad],"Free*",Tabla2[Universidad KPIs],'Utilización Convenios'!$C134,Tabla2[Año],'Utilización Convenios'!H$133)</f>
        <v>0</v>
      </c>
      <c r="I134" s="148">
        <f>COUNTIFS(Tabla2[Tipo de Movilidad],"Free*",Tabla2[Universidad KPIs],'Utilización Convenios'!$C134,Tabla2[Año],'Utilización Convenios'!I$133)</f>
        <v>0</v>
      </c>
      <c r="J134" s="148">
        <f>COUNTIFS(Tabla2[Tipo de Movilidad],"Free*",Tabla2[Universidad KPIs],'Utilización Convenios'!$C134,Tabla2[Año],'Utilización Convenios'!J$133)</f>
        <v>0</v>
      </c>
      <c r="K134" s="150">
        <f>SUM(E134:J134)</f>
        <v>1</v>
      </c>
    </row>
    <row r="135" spans="2:18" ht="15.75" thickBot="1">
      <c r="C135" s="25" t="s">
        <v>4262</v>
      </c>
      <c r="D135" s="32" t="s">
        <v>60</v>
      </c>
      <c r="E135" s="153">
        <f>COUNTIFS(Tabla2[Tipo de Movilidad],"Free*",Tabla2[Universidad KPIs],'Utilización Convenios'!$C135,Tabla2[Año],'Utilización Convenios'!E$133)</f>
        <v>0</v>
      </c>
      <c r="F135" s="149">
        <f>COUNTIFS(Tabla2[Tipo de Movilidad],"Free*",Tabla2[Universidad KPIs],'Utilización Convenios'!$C135,Tabla2[Año],'Utilización Convenios'!F$133)</f>
        <v>0</v>
      </c>
      <c r="G135" s="149">
        <f>COUNTIFS(Tabla2[Tipo de Movilidad],"Free*",Tabla2[Universidad KPIs],'Utilización Convenios'!$C135,Tabla2[Año],'Utilización Convenios'!G$133)</f>
        <v>0</v>
      </c>
      <c r="H135" s="149">
        <f>COUNTIFS(Tabla2[Tipo de Movilidad],"Free*",Tabla2[Universidad KPIs],'Utilización Convenios'!$C135,Tabla2[Año],'Utilización Convenios'!H$133)</f>
        <v>0</v>
      </c>
      <c r="I135" s="149">
        <f>COUNTIFS(Tabla2[Tipo de Movilidad],"Free*",Tabla2[Universidad KPIs],'Utilización Convenios'!$C135,Tabla2[Año],'Utilización Convenios'!I$133)</f>
        <v>0</v>
      </c>
      <c r="J135" s="149">
        <f>COUNTIFS(Tabla2[Tipo de Movilidad],"Free*",Tabla2[Universidad KPIs],'Utilización Convenios'!$C135,Tabla2[Año],'Utilización Convenios'!J$133)</f>
        <v>1</v>
      </c>
      <c r="K135" s="151">
        <f>SUM(E135:J135)</f>
        <v>1</v>
      </c>
    </row>
    <row r="136" spans="2:18" ht="15.75" thickBot="1">
      <c r="C136" s="186" t="s">
        <v>177</v>
      </c>
      <c r="D136" s="187"/>
      <c r="E136" s="58">
        <f>SUM(E134:E135)</f>
        <v>1</v>
      </c>
      <c r="F136" s="58">
        <f t="shared" ref="F136:K136" si="6">SUM(F134:F135)</f>
        <v>0</v>
      </c>
      <c r="G136" s="58">
        <f t="shared" si="6"/>
        <v>0</v>
      </c>
      <c r="H136" s="58">
        <f t="shared" si="6"/>
        <v>0</v>
      </c>
      <c r="I136" s="58">
        <f t="shared" si="6"/>
        <v>0</v>
      </c>
      <c r="J136" s="154">
        <f t="shared" si="6"/>
        <v>1</v>
      </c>
      <c r="K136" s="133">
        <f t="shared" si="6"/>
        <v>2</v>
      </c>
    </row>
    <row r="137" spans="2:18" ht="15.75" thickBot="1"/>
    <row r="138" spans="2:18" ht="21.75" thickBot="1">
      <c r="C138" s="57" t="s">
        <v>180</v>
      </c>
      <c r="E138" s="130">
        <v>2020</v>
      </c>
      <c r="F138" s="130">
        <v>2021</v>
      </c>
      <c r="G138" s="130">
        <v>2022</v>
      </c>
      <c r="H138" s="130">
        <v>2023</v>
      </c>
      <c r="I138" s="130">
        <v>2024</v>
      </c>
      <c r="J138" s="130">
        <v>2025</v>
      </c>
      <c r="K138" s="131" t="s">
        <v>29</v>
      </c>
    </row>
    <row r="139" spans="2:18" ht="15.75" thickBot="1">
      <c r="C139" s="31" t="s">
        <v>181</v>
      </c>
      <c r="D139" s="132" t="s">
        <v>35</v>
      </c>
      <c r="E139" s="134">
        <f>COUNTIFS(Tabla1[Tipo de Movilidad],"Pasant*",Tabla1[Universidad KPIs],$C139,Tabla1[Año de Movilidad],'Utilización Convenios'!E$138)</f>
        <v>2</v>
      </c>
      <c r="F139" s="134">
        <f>COUNTIFS(Tabla1[Tipo de Movilidad],"Pasant*",Tabla1[Universidad KPIs],$C139,Tabla1[Año de Movilidad],'Utilización Convenios'!F$138)</f>
        <v>8</v>
      </c>
      <c r="G139" s="134">
        <f>COUNTIFS(Tabla1[Tipo de Movilidad],"Pasant*",Tabla1[Universidad KPIs],$C139,Tabla1[Año de Movilidad],'Utilización Convenios'!G$138)</f>
        <v>3</v>
      </c>
      <c r="H139" s="134">
        <f>COUNTIFS(Tabla1[Tipo de Movilidad],"Pasant*",Tabla1[Universidad KPIs],$C139,Tabla1[Año de Movilidad],'Utilización Convenios'!H$138)</f>
        <v>1</v>
      </c>
      <c r="I139" s="134">
        <f>COUNTIFS(Tabla1[Tipo de Movilidad],"Pasant*",Tabla1[Universidad KPIs],$C139,Tabla1[Año de Movilidad],'Utilización Convenios'!I$138)</f>
        <v>2</v>
      </c>
      <c r="J139" s="134">
        <f>COUNTIFS(Tabla1[Tipo de Movilidad],"Pasant*",Tabla1[Universidad KPIs],$C139,Tabla1[Año de Movilidad],'Utilización Convenios'!J$138)</f>
        <v>3</v>
      </c>
      <c r="K139" s="133">
        <f>SUM(E139:J139)</f>
        <v>19</v>
      </c>
    </row>
    <row r="141" spans="2:18" s="17" customFormat="1" ht="27" customHeight="1" thickBot="1">
      <c r="C141" s="170" t="s">
        <v>182</v>
      </c>
      <c r="D141" s="170"/>
      <c r="E141" s="170"/>
      <c r="F141" s="170"/>
      <c r="G141" s="170"/>
      <c r="H141" s="170"/>
      <c r="I141" s="170"/>
      <c r="J141" s="170"/>
      <c r="K141" s="170"/>
      <c r="L141" s="170"/>
      <c r="M141" s="170"/>
      <c r="N141" s="170"/>
      <c r="O141" s="170"/>
      <c r="P141" s="170"/>
      <c r="Q141" s="170"/>
      <c r="R141" s="35"/>
    </row>
    <row r="142" spans="2:18" ht="15.75" thickBot="1">
      <c r="E142" s="175">
        <v>2020</v>
      </c>
      <c r="F142" s="176"/>
      <c r="G142" s="175">
        <v>2021</v>
      </c>
      <c r="H142" s="176"/>
      <c r="I142" s="175">
        <v>2022</v>
      </c>
      <c r="J142" s="176"/>
      <c r="K142" s="175">
        <v>2023</v>
      </c>
      <c r="L142" s="176"/>
      <c r="M142" s="175">
        <v>2024</v>
      </c>
      <c r="N142" s="176"/>
      <c r="O142" s="175">
        <v>2025</v>
      </c>
      <c r="P142" s="176"/>
      <c r="Q142" s="166" t="s">
        <v>29</v>
      </c>
      <c r="R142" s="167"/>
    </row>
    <row r="143" spans="2:18" ht="15.75" thickBot="1">
      <c r="C143" s="13" t="s">
        <v>30</v>
      </c>
      <c r="D143" s="14" t="s">
        <v>19</v>
      </c>
      <c r="E143" s="15" t="s">
        <v>31</v>
      </c>
      <c r="F143" s="37" t="s">
        <v>32</v>
      </c>
      <c r="G143" s="15" t="s">
        <v>31</v>
      </c>
      <c r="H143" s="37" t="s">
        <v>32</v>
      </c>
      <c r="I143" s="15" t="s">
        <v>31</v>
      </c>
      <c r="J143" s="37" t="s">
        <v>32</v>
      </c>
      <c r="K143" s="15" t="s">
        <v>31</v>
      </c>
      <c r="L143" s="37" t="s">
        <v>32</v>
      </c>
      <c r="M143" s="15" t="s">
        <v>31</v>
      </c>
      <c r="N143" s="34" t="s">
        <v>32</v>
      </c>
      <c r="O143" s="15" t="s">
        <v>31</v>
      </c>
      <c r="P143" s="34" t="s">
        <v>32</v>
      </c>
      <c r="Q143" s="22" t="s">
        <v>31</v>
      </c>
      <c r="R143" s="50" t="s">
        <v>32</v>
      </c>
    </row>
    <row r="144" spans="2:18">
      <c r="B144" s="184" t="s">
        <v>33</v>
      </c>
      <c r="C144" s="20" t="s">
        <v>34</v>
      </c>
      <c r="D144" s="21" t="s">
        <v>35</v>
      </c>
      <c r="E144" s="20">
        <f>COUNTIFS(Tabla1[Tipo de Movilidad],"Intercambio*",Tabla1[Universidad KPIs],'Utilización Convenios'!$C144,Tabla1[Año de Movilidad],'Utilización Convenios'!E$3,Tabla1[Nivel],"Maestría")</f>
        <v>0</v>
      </c>
      <c r="F144" s="21">
        <f>COUNTIFS(Tabla2[Tipo de Movilidad],"Intercambio*",Tabla2[Universidad KPIs],'Utilización Convenios'!$C144,Tabla2[Año],'Utilización Convenios'!E$142,Tabla2[Nivel Nominación],"Postgraduate / Master")</f>
        <v>0</v>
      </c>
      <c r="G144" s="20">
        <f>COUNTIFS(Tabla1[Tipo de Movilidad],"Intercambio*",Tabla1[Universidad KPIs],'Utilización Convenios'!$C144,Tabla1[Año de Movilidad],'Utilización Convenios'!G$3,Tabla1[Nivel],"Maestría")</f>
        <v>0</v>
      </c>
      <c r="H144" s="21">
        <f>COUNTIFS(Tabla2[Tipo de Movilidad],"Intercambio*",Tabla2[Universidad KPIs],'Utilización Convenios'!$C144,Tabla2[Año],'Utilización Convenios'!G$142,Tabla2[Nivel Nominación],"Postgraduate / Master")</f>
        <v>0</v>
      </c>
      <c r="I144" s="20">
        <f>COUNTIFS(Tabla1[Tipo de Movilidad],"Intercambio*",Tabla1[Universidad KPIs],'Utilización Convenios'!$C144,Tabla1[Año de Movilidad],'Utilización Convenios'!I$3,Tabla1[Nivel],"Maestría")</f>
        <v>0</v>
      </c>
      <c r="J144" s="21">
        <f>COUNTIFS(Tabla2[Tipo de Movilidad],"Intercambio*",Tabla2[Universidad KPIs],'Utilización Convenios'!$C144,Tabla2[Año],'Utilización Convenios'!I$142,Tabla2[Nivel Nominación],"Postgraduate / Master")</f>
        <v>0</v>
      </c>
      <c r="K144" s="20">
        <f>COUNTIFS(Tabla1[Tipo de Movilidad],"Intercambio*",Tabla1[Universidad KPIs],'Utilización Convenios'!$C144,Tabla1[Año de Movilidad],'Utilización Convenios'!K$3,Tabla1[Nivel],"Maestría")</f>
        <v>0</v>
      </c>
      <c r="L144" s="21">
        <f>COUNTIFS(Tabla2[Tipo de Movilidad],"Intercambio*",Tabla2[Universidad KPIs],'Utilización Convenios'!$C144,Tabla2[Año],'Utilización Convenios'!K$142,Tabla2[Nivel Nominación],"Postgraduate / Master")</f>
        <v>0</v>
      </c>
      <c r="M144" s="20">
        <f>COUNTIFS(Tabla1[Tipo de Movilidad],"Intercambio*",Tabla1[Universidad KPIs],'Utilización Convenios'!$C144,Tabla1[Año de Movilidad],'Utilización Convenios'!M$3,Tabla1[Nivel],"Maestría")</f>
        <v>0</v>
      </c>
      <c r="N144" s="29">
        <f>COUNTIFS(Tabla2[Tipo de Movilidad],"Intercambio*",Tabla2[Universidad KPIs],'Utilización Convenios'!$C144,Tabla2[Año],'Utilización Convenios'!M$142,Tabla2[Nivel Nominación],"Postgraduate / Master")</f>
        <v>0</v>
      </c>
      <c r="O144" s="20">
        <f>COUNTIFS(Tabla1[Tipo de Movilidad],"Intercambio*",Tabla1[Universidad KPIs],'Utilización Convenios'!$C144,Tabla1[Año de Movilidad],'Utilización Convenios'!O$3,Tabla1[Nivel],"Maestría")</f>
        <v>0</v>
      </c>
      <c r="P144" s="29">
        <f>COUNTIFS(Tabla2[Tipo de Movilidad],"Intercambio*",Tabla2[Universidad KPIs],'Utilización Convenios'!$C144,Tabla2[Año],'Utilización Convenios'!O$142,Tabla2[Nivel Nominación],"Postgraduate / Master")</f>
        <v>0</v>
      </c>
      <c r="Q144" s="41">
        <f>SUMIF($E$143:$P$143,Q$143,$E144:$P144)</f>
        <v>0</v>
      </c>
      <c r="R144" s="49">
        <f>SUMIF($E$143:$P$143,R$143,$E144:$P144)</f>
        <v>0</v>
      </c>
    </row>
    <row r="145" spans="2:18">
      <c r="B145" s="185"/>
      <c r="C145" s="10" t="s">
        <v>36</v>
      </c>
      <c r="D145" s="11" t="s">
        <v>37</v>
      </c>
      <c r="E145" s="10">
        <f>COUNTIFS(Tabla1[Tipo de Movilidad],"Intercambio*",Tabla1[Universidad KPIs],'Utilización Convenios'!$C145,Tabla1[Año de Movilidad],'Utilización Convenios'!E$3,Tabla1[Nivel],"Maestría")</f>
        <v>0</v>
      </c>
      <c r="F145" s="11">
        <f>COUNTIFS(Tabla2[Tipo de Movilidad],"Intercambio*",Tabla2[Universidad KPIs],'Utilización Convenios'!$C145,Tabla2[Año],'Utilización Convenios'!E$142,Tabla2[Nivel Nominación],"Postgraduate / Master")</f>
        <v>0</v>
      </c>
      <c r="G145" s="10">
        <f>COUNTIFS(Tabla1[Tipo de Movilidad],"Intercambio*",Tabla1[Universidad KPIs],'Utilización Convenios'!$C145,Tabla1[Año de Movilidad],'Utilización Convenios'!G$3,Tabla1[Nivel],"Maestría")</f>
        <v>0</v>
      </c>
      <c r="H145" s="11">
        <f>COUNTIFS(Tabla2[Tipo de Movilidad],"Intercambio*",Tabla2[Universidad KPIs],'Utilización Convenios'!$C145,Tabla2[Año],'Utilización Convenios'!G$142,Tabla2[Nivel Nominación],"Postgraduate / Master")</f>
        <v>0</v>
      </c>
      <c r="I145" s="10">
        <f>COUNTIFS(Tabla1[Tipo de Movilidad],"Intercambio*",Tabla1[Universidad KPIs],'Utilización Convenios'!$C145,Tabla1[Año de Movilidad],'Utilización Convenios'!I$3,Tabla1[Nivel],"Maestría")</f>
        <v>0</v>
      </c>
      <c r="J145" s="11">
        <f>COUNTIFS(Tabla2[Tipo de Movilidad],"Intercambio*",Tabla2[Universidad KPIs],'Utilización Convenios'!$C145,Tabla2[Año],'Utilización Convenios'!I$142,Tabla2[Nivel Nominación],"Postgraduate / Master")</f>
        <v>0</v>
      </c>
      <c r="K145" s="10">
        <f>COUNTIFS(Tabla1[Tipo de Movilidad],"Intercambio*",Tabla1[Universidad KPIs],'Utilización Convenios'!$C145,Tabla1[Año de Movilidad],'Utilización Convenios'!K$3,Tabla1[Nivel],"Maestría")</f>
        <v>0</v>
      </c>
      <c r="L145" s="11">
        <f>COUNTIFS(Tabla2[Tipo de Movilidad],"Intercambio*",Tabla2[Universidad KPIs],'Utilización Convenios'!$C145,Tabla2[Año],'Utilización Convenios'!K$142,Tabla2[Nivel Nominación],"Postgraduate / Master")</f>
        <v>0</v>
      </c>
      <c r="M145" s="10">
        <f>COUNTIFS(Tabla1[Tipo de Movilidad],"Intercambio*",Tabla1[Universidad KPIs],'Utilización Convenios'!$C145,Tabla1[Año de Movilidad],'Utilización Convenios'!M$3,Tabla1[Nivel],"Maestría")</f>
        <v>0</v>
      </c>
      <c r="N145" s="26">
        <f>COUNTIFS(Tabla2[Tipo de Movilidad],"Intercambio*",Tabla2[Universidad KPIs],'Utilización Convenios'!$C145,Tabla2[Año],'Utilización Convenios'!M$142,Tabla2[Nivel Nominación],"Postgraduate / Master")</f>
        <v>1</v>
      </c>
      <c r="O145" s="10">
        <f>COUNTIFS(Tabla1[Tipo de Movilidad],"Intercambio*",Tabla1[Universidad KPIs],'Utilización Convenios'!$C145,Tabla1[Año de Movilidad],'Utilización Convenios'!O$3,Tabla1[Nivel],"Maestría")</f>
        <v>0</v>
      </c>
      <c r="P145" s="26">
        <f>COUNTIFS(Tabla2[Tipo de Movilidad],"Intercambio*",Tabla2[Universidad KPIs],'Utilización Convenios'!$C145,Tabla2[Año],'Utilización Convenios'!O$142,Tabla2[Nivel Nominación],"Postgraduate / Master")</f>
        <v>0</v>
      </c>
      <c r="Q145" s="41">
        <f t="shared" ref="Q145:R176" si="7">SUMIF($E$143:$P$143,Q$143,$E145:$P145)</f>
        <v>0</v>
      </c>
      <c r="R145" s="42">
        <f t="shared" si="7"/>
        <v>1</v>
      </c>
    </row>
    <row r="146" spans="2:18">
      <c r="B146" s="185"/>
      <c r="C146" s="10" t="s">
        <v>38</v>
      </c>
      <c r="D146" s="11" t="s">
        <v>39</v>
      </c>
      <c r="E146" s="10">
        <f>COUNTIFS(Tabla1[Tipo de Movilidad],"Intercambio*",Tabla1[Universidad KPIs],'Utilización Convenios'!$C146,Tabla1[Año de Movilidad],'Utilización Convenios'!E$3,Tabla1[Nivel],"Maestría")</f>
        <v>0</v>
      </c>
      <c r="F146" s="11">
        <f>COUNTIFS(Tabla2[Tipo de Movilidad],"Intercambio*",Tabla2[Universidad KPIs],'Utilización Convenios'!$C146,Tabla2[Año],'Utilización Convenios'!E$142,Tabla2[Nivel Nominación],"Postgraduate / Master")</f>
        <v>0</v>
      </c>
      <c r="G146" s="10">
        <f>COUNTIFS(Tabla1[Tipo de Movilidad],"Intercambio*",Tabla1[Universidad KPIs],'Utilización Convenios'!$C146,Tabla1[Año de Movilidad],'Utilización Convenios'!G$3,Tabla1[Nivel],"Maestría")</f>
        <v>0</v>
      </c>
      <c r="H146" s="11">
        <f>COUNTIFS(Tabla2[Tipo de Movilidad],"Intercambio*",Tabla2[Universidad KPIs],'Utilización Convenios'!$C146,Tabla2[Año],'Utilización Convenios'!G$142,Tabla2[Nivel Nominación],"Postgraduate / Master")</f>
        <v>0</v>
      </c>
      <c r="I146" s="10">
        <f>COUNTIFS(Tabla1[Tipo de Movilidad],"Intercambio*",Tabla1[Universidad KPIs],'Utilización Convenios'!$C146,Tabla1[Año de Movilidad],'Utilización Convenios'!I$3,Tabla1[Nivel],"Maestría")</f>
        <v>0</v>
      </c>
      <c r="J146" s="11">
        <f>COUNTIFS(Tabla2[Tipo de Movilidad],"Intercambio*",Tabla2[Universidad KPIs],'Utilización Convenios'!$C146,Tabla2[Año],'Utilización Convenios'!I$142,Tabla2[Nivel Nominación],"Postgraduate / Master")</f>
        <v>0</v>
      </c>
      <c r="K146" s="10">
        <f>COUNTIFS(Tabla1[Tipo de Movilidad],"Intercambio*",Tabla1[Universidad KPIs],'Utilización Convenios'!$C146,Tabla1[Año de Movilidad],'Utilización Convenios'!K$3,Tabla1[Nivel],"Maestría")</f>
        <v>0</v>
      </c>
      <c r="L146" s="11">
        <f>COUNTIFS(Tabla2[Tipo de Movilidad],"Intercambio*",Tabla2[Universidad KPIs],'Utilización Convenios'!$C146,Tabla2[Año],'Utilización Convenios'!K$142,Tabla2[Nivel Nominación],"Postgraduate / Master")</f>
        <v>0</v>
      </c>
      <c r="M146" s="10">
        <f>COUNTIFS(Tabla1[Tipo de Movilidad],"Intercambio*",Tabla1[Universidad KPIs],'Utilización Convenios'!$C146,Tabla1[Año de Movilidad],'Utilización Convenios'!M$3,Tabla1[Nivel],"Maestría")</f>
        <v>0</v>
      </c>
      <c r="N146" s="26">
        <f>COUNTIFS(Tabla2[Tipo de Movilidad],"Intercambio*",Tabla2[Universidad KPIs],'Utilización Convenios'!$C146,Tabla2[Año],'Utilización Convenios'!M$142,Tabla2[Nivel Nominación],"Postgraduate / Master")</f>
        <v>0</v>
      </c>
      <c r="O146" s="10">
        <f>COUNTIFS(Tabla1[Tipo de Movilidad],"Intercambio*",Tabla1[Universidad KPIs],'Utilización Convenios'!$C146,Tabla1[Año de Movilidad],'Utilización Convenios'!O$3,Tabla1[Nivel],"Maestría")</f>
        <v>0</v>
      </c>
      <c r="P146" s="26">
        <f>COUNTIFS(Tabla2[Tipo de Movilidad],"Intercambio*",Tabla2[Universidad KPIs],'Utilización Convenios'!$C146,Tabla2[Año],'Utilización Convenios'!O$142,Tabla2[Nivel Nominación],"Postgraduate / Master")</f>
        <v>0</v>
      </c>
      <c r="Q146" s="41">
        <f t="shared" si="7"/>
        <v>0</v>
      </c>
      <c r="R146" s="42">
        <f t="shared" si="7"/>
        <v>0</v>
      </c>
    </row>
    <row r="147" spans="2:18">
      <c r="B147" s="185"/>
      <c r="C147" s="10" t="s">
        <v>40</v>
      </c>
      <c r="D147" s="11" t="s">
        <v>41</v>
      </c>
      <c r="E147" s="10">
        <f>COUNTIFS(Tabla1[Tipo de Movilidad],"Intercambio*",Tabla1[Universidad KPIs],'Utilización Convenios'!$C147,Tabla1[Año de Movilidad],'Utilización Convenios'!E$3,Tabla1[Nivel],"Maestría")</f>
        <v>0</v>
      </c>
      <c r="F147" s="11">
        <f>COUNTIFS(Tabla2[Tipo de Movilidad],"Intercambio*",Tabla2[Universidad KPIs],'Utilización Convenios'!$C147,Tabla2[Año],'Utilización Convenios'!E$142,Tabla2[Nivel Nominación],"Postgraduate / Master")</f>
        <v>0</v>
      </c>
      <c r="G147" s="10">
        <f>COUNTIFS(Tabla1[Tipo de Movilidad],"Intercambio*",Tabla1[Universidad KPIs],'Utilización Convenios'!$C147,Tabla1[Año de Movilidad],'Utilización Convenios'!G$3,Tabla1[Nivel],"Maestría")</f>
        <v>0</v>
      </c>
      <c r="H147" s="11">
        <f>COUNTIFS(Tabla2[Tipo de Movilidad],"Intercambio*",Tabla2[Universidad KPIs],'Utilización Convenios'!$C147,Tabla2[Año],'Utilización Convenios'!G$142,Tabla2[Nivel Nominación],"Postgraduate / Master")</f>
        <v>1</v>
      </c>
      <c r="I147" s="10">
        <f>COUNTIFS(Tabla1[Tipo de Movilidad],"Intercambio*",Tabla1[Universidad KPIs],'Utilización Convenios'!$C147,Tabla1[Año de Movilidad],'Utilización Convenios'!I$3,Tabla1[Nivel],"Maestría")</f>
        <v>0</v>
      </c>
      <c r="J147" s="11">
        <f>COUNTIFS(Tabla2[Tipo de Movilidad],"Intercambio*",Tabla2[Universidad KPIs],'Utilización Convenios'!$C147,Tabla2[Año],'Utilización Convenios'!I$142,Tabla2[Nivel Nominación],"Postgraduate / Master")</f>
        <v>1</v>
      </c>
      <c r="K147" s="10">
        <f>COUNTIFS(Tabla1[Tipo de Movilidad],"Intercambio*",Tabla1[Universidad KPIs],'Utilización Convenios'!$C147,Tabla1[Año de Movilidad],'Utilización Convenios'!K$3,Tabla1[Nivel],"Maestría")</f>
        <v>0</v>
      </c>
      <c r="L147" s="11">
        <f>COUNTIFS(Tabla2[Tipo de Movilidad],"Intercambio*",Tabla2[Universidad KPIs],'Utilización Convenios'!$C147,Tabla2[Año],'Utilización Convenios'!K$142,Tabla2[Nivel Nominación],"Postgraduate / Master")</f>
        <v>0</v>
      </c>
      <c r="M147" s="10">
        <f>COUNTIFS(Tabla1[Tipo de Movilidad],"Intercambio*",Tabla1[Universidad KPIs],'Utilización Convenios'!$C147,Tabla1[Año de Movilidad],'Utilización Convenios'!M$3,Tabla1[Nivel],"Maestría")</f>
        <v>0</v>
      </c>
      <c r="N147" s="26">
        <f>COUNTIFS(Tabla2[Tipo de Movilidad],"Intercambio*",Tabla2[Universidad KPIs],'Utilización Convenios'!$C147,Tabla2[Año],'Utilización Convenios'!M$142,Tabla2[Nivel Nominación],"Postgraduate / Master")</f>
        <v>0</v>
      </c>
      <c r="O147" s="10">
        <f>COUNTIFS(Tabla1[Tipo de Movilidad],"Intercambio*",Tabla1[Universidad KPIs],'Utilización Convenios'!$C147,Tabla1[Año de Movilidad],'Utilización Convenios'!O$3,Tabla1[Nivel],"Maestría")</f>
        <v>0</v>
      </c>
      <c r="P147" s="26">
        <f>COUNTIFS(Tabla2[Tipo de Movilidad],"Intercambio*",Tabla2[Universidad KPIs],'Utilización Convenios'!$C147,Tabla2[Año],'Utilización Convenios'!O$142,Tabla2[Nivel Nominación],"Postgraduate / Master")</f>
        <v>1</v>
      </c>
      <c r="Q147" s="41">
        <f t="shared" si="7"/>
        <v>0</v>
      </c>
      <c r="R147" s="42">
        <f t="shared" si="7"/>
        <v>3</v>
      </c>
    </row>
    <row r="148" spans="2:18">
      <c r="B148" s="185"/>
      <c r="C148" s="10" t="s">
        <v>42</v>
      </c>
      <c r="D148" s="11" t="s">
        <v>43</v>
      </c>
      <c r="E148" s="10">
        <f>COUNTIFS(Tabla1[Tipo de Movilidad],"Intercambio*",Tabla1[Universidad KPIs],'Utilización Convenios'!$C148,Tabla1[Año de Movilidad],'Utilización Convenios'!E$3,Tabla1[Nivel],"Maestría")</f>
        <v>0</v>
      </c>
      <c r="F148" s="11">
        <f>COUNTIFS(Tabla2[Tipo de Movilidad],"Intercambio*",Tabla2[Universidad KPIs],'Utilización Convenios'!$C148,Tabla2[Año],'Utilización Convenios'!E$142,Tabla2[Nivel Nominación],"Postgraduate / Master")</f>
        <v>0</v>
      </c>
      <c r="G148" s="10">
        <f>COUNTIFS(Tabla1[Tipo de Movilidad],"Intercambio*",Tabla1[Universidad KPIs],'Utilización Convenios'!$C148,Tabla1[Año de Movilidad],'Utilización Convenios'!G$3,Tabla1[Nivel],"Maestría")</f>
        <v>0</v>
      </c>
      <c r="H148" s="11">
        <f>COUNTIFS(Tabla2[Tipo de Movilidad],"Intercambio*",Tabla2[Universidad KPIs],'Utilización Convenios'!$C148,Tabla2[Año],'Utilización Convenios'!G$142,Tabla2[Nivel Nominación],"Postgraduate / Master")</f>
        <v>0</v>
      </c>
      <c r="I148" s="10">
        <f>COUNTIFS(Tabla1[Tipo de Movilidad],"Intercambio*",Tabla1[Universidad KPIs],'Utilización Convenios'!$C148,Tabla1[Año de Movilidad],'Utilización Convenios'!I$3,Tabla1[Nivel],"Maestría")</f>
        <v>0</v>
      </c>
      <c r="J148" s="11">
        <f>COUNTIFS(Tabla2[Tipo de Movilidad],"Intercambio*",Tabla2[Universidad KPIs],'Utilización Convenios'!$C148,Tabla2[Año],'Utilización Convenios'!I$142,Tabla2[Nivel Nominación],"Postgraduate / Master")</f>
        <v>0</v>
      </c>
      <c r="K148" s="10">
        <f>COUNTIFS(Tabla1[Tipo de Movilidad],"Intercambio*",Tabla1[Universidad KPIs],'Utilización Convenios'!$C148,Tabla1[Año de Movilidad],'Utilización Convenios'!K$3,Tabla1[Nivel],"Maestría")</f>
        <v>0</v>
      </c>
      <c r="L148" s="11">
        <f>COUNTIFS(Tabla2[Tipo de Movilidad],"Intercambio*",Tabla2[Universidad KPIs],'Utilización Convenios'!$C148,Tabla2[Año],'Utilización Convenios'!K$142,Tabla2[Nivel Nominación],"Postgraduate / Master")</f>
        <v>0</v>
      </c>
      <c r="M148" s="10">
        <f>COUNTIFS(Tabla1[Tipo de Movilidad],"Intercambio*",Tabla1[Universidad KPIs],'Utilización Convenios'!$C148,Tabla1[Año de Movilidad],'Utilización Convenios'!M$3,Tabla1[Nivel],"Maestría")</f>
        <v>0</v>
      </c>
      <c r="N148" s="26">
        <f>COUNTIFS(Tabla2[Tipo de Movilidad],"Intercambio*",Tabla2[Universidad KPIs],'Utilización Convenios'!$C148,Tabla2[Año],'Utilización Convenios'!M$142,Tabla2[Nivel Nominación],"Postgraduate / Master")</f>
        <v>0</v>
      </c>
      <c r="O148" s="10">
        <f>COUNTIFS(Tabla1[Tipo de Movilidad],"Intercambio*",Tabla1[Universidad KPIs],'Utilización Convenios'!$C148,Tabla1[Año de Movilidad],'Utilización Convenios'!O$3,Tabla1[Nivel],"Maestría")</f>
        <v>0</v>
      </c>
      <c r="P148" s="26">
        <f>COUNTIFS(Tabla2[Tipo de Movilidad],"Intercambio*",Tabla2[Universidad KPIs],'Utilización Convenios'!$C148,Tabla2[Año],'Utilización Convenios'!O$142,Tabla2[Nivel Nominación],"Postgraduate / Master")</f>
        <v>0</v>
      </c>
      <c r="Q148" s="41">
        <f t="shared" si="7"/>
        <v>0</v>
      </c>
      <c r="R148" s="42">
        <f t="shared" si="7"/>
        <v>0</v>
      </c>
    </row>
    <row r="149" spans="2:18">
      <c r="B149" s="185"/>
      <c r="C149" s="10" t="s">
        <v>44</v>
      </c>
      <c r="D149" s="11" t="s">
        <v>45</v>
      </c>
      <c r="E149" s="10">
        <f>COUNTIFS(Tabla1[Tipo de Movilidad],"Intercambio*",Tabla1[Universidad KPIs],'Utilización Convenios'!$C149,Tabla1[Año de Movilidad],'Utilización Convenios'!E$3,Tabla1[Nivel],"Maestría")</f>
        <v>0</v>
      </c>
      <c r="F149" s="11">
        <f>COUNTIFS(Tabla2[Tipo de Movilidad],"Intercambio*",Tabla2[Universidad KPIs],'Utilización Convenios'!$C149,Tabla2[Año],'Utilización Convenios'!E$142,Tabla2[Nivel Nominación],"Postgraduate / Master")</f>
        <v>0</v>
      </c>
      <c r="G149" s="10">
        <f>COUNTIFS(Tabla1[Tipo de Movilidad],"Intercambio*",Tabla1[Universidad KPIs],'Utilización Convenios'!$C149,Tabla1[Año de Movilidad],'Utilización Convenios'!G$3,Tabla1[Nivel],"Maestría")</f>
        <v>0</v>
      </c>
      <c r="H149" s="11">
        <f>COUNTIFS(Tabla2[Tipo de Movilidad],"Intercambio*",Tabla2[Universidad KPIs],'Utilización Convenios'!$C149,Tabla2[Año],'Utilización Convenios'!G$142,Tabla2[Nivel Nominación],"Postgraduate / Master")</f>
        <v>0</v>
      </c>
      <c r="I149" s="10">
        <f>COUNTIFS(Tabla1[Tipo de Movilidad],"Intercambio*",Tabla1[Universidad KPIs],'Utilización Convenios'!$C149,Tabla1[Año de Movilidad],'Utilización Convenios'!I$3,Tabla1[Nivel],"Maestría")</f>
        <v>0</v>
      </c>
      <c r="J149" s="11">
        <f>COUNTIFS(Tabla2[Tipo de Movilidad],"Intercambio*",Tabla2[Universidad KPIs],'Utilización Convenios'!$C149,Tabla2[Año],'Utilización Convenios'!I$142,Tabla2[Nivel Nominación],"Postgraduate / Master")</f>
        <v>0</v>
      </c>
      <c r="K149" s="10">
        <f>COUNTIFS(Tabla1[Tipo de Movilidad],"Intercambio*",Tabla1[Universidad KPIs],'Utilización Convenios'!$C149,Tabla1[Año de Movilidad],'Utilización Convenios'!K$3,Tabla1[Nivel],"Maestría")</f>
        <v>0</v>
      </c>
      <c r="L149" s="11">
        <f>COUNTIFS(Tabla2[Tipo de Movilidad],"Intercambio*",Tabla2[Universidad KPIs],'Utilización Convenios'!$C149,Tabla2[Año],'Utilización Convenios'!K$142,Tabla2[Nivel Nominación],"Postgraduate / Master")</f>
        <v>0</v>
      </c>
      <c r="M149" s="10">
        <f>COUNTIFS(Tabla1[Tipo de Movilidad],"Intercambio*",Tabla1[Universidad KPIs],'Utilización Convenios'!$C149,Tabla1[Año de Movilidad],'Utilización Convenios'!M$3,Tabla1[Nivel],"Maestría")</f>
        <v>0</v>
      </c>
      <c r="N149" s="26">
        <f>COUNTIFS(Tabla2[Tipo de Movilidad],"Intercambio*",Tabla2[Universidad KPIs],'Utilización Convenios'!$C149,Tabla2[Año],'Utilización Convenios'!M$142,Tabla2[Nivel Nominación],"Postgraduate / Master")</f>
        <v>0</v>
      </c>
      <c r="O149" s="10">
        <f>COUNTIFS(Tabla1[Tipo de Movilidad],"Intercambio*",Tabla1[Universidad KPIs],'Utilización Convenios'!$C149,Tabla1[Año de Movilidad],'Utilización Convenios'!O$3,Tabla1[Nivel],"Maestría")</f>
        <v>0</v>
      </c>
      <c r="P149" s="26">
        <f>COUNTIFS(Tabla2[Tipo de Movilidad],"Intercambio*",Tabla2[Universidad KPIs],'Utilización Convenios'!$C149,Tabla2[Año],'Utilización Convenios'!O$142,Tabla2[Nivel Nominación],"Postgraduate / Master")</f>
        <v>0</v>
      </c>
      <c r="Q149" s="41">
        <f t="shared" si="7"/>
        <v>0</v>
      </c>
      <c r="R149" s="42">
        <f t="shared" si="7"/>
        <v>0</v>
      </c>
    </row>
    <row r="150" spans="2:18">
      <c r="B150" s="185"/>
      <c r="C150" s="10" t="s">
        <v>46</v>
      </c>
      <c r="D150" s="11" t="s">
        <v>47</v>
      </c>
      <c r="E150" s="10">
        <f>COUNTIFS(Tabla1[Tipo de Movilidad],"Intercambio*",Tabla1[Universidad KPIs],'Utilización Convenios'!$C150,Tabla1[Año de Movilidad],'Utilización Convenios'!E$3,Tabla1[Nivel],"Maestría")</f>
        <v>0</v>
      </c>
      <c r="F150" s="11">
        <f>COUNTIFS(Tabla2[Tipo de Movilidad],"Intercambio*",Tabla2[Universidad KPIs],'Utilización Convenios'!$C150,Tabla2[Año],'Utilización Convenios'!E$142,Tabla2[Nivel Nominación],"Postgraduate / Master")</f>
        <v>0</v>
      </c>
      <c r="G150" s="10">
        <f>COUNTIFS(Tabla1[Tipo de Movilidad],"Intercambio*",Tabla1[Universidad KPIs],'Utilización Convenios'!$C150,Tabla1[Año de Movilidad],'Utilización Convenios'!G$3,Tabla1[Nivel],"Maestría")</f>
        <v>0</v>
      </c>
      <c r="H150" s="11">
        <f>COUNTIFS(Tabla2[Tipo de Movilidad],"Intercambio*",Tabla2[Universidad KPIs],'Utilización Convenios'!$C150,Tabla2[Año],'Utilización Convenios'!G$142,Tabla2[Nivel Nominación],"Postgraduate / Master")</f>
        <v>0</v>
      </c>
      <c r="I150" s="10">
        <f>COUNTIFS(Tabla1[Tipo de Movilidad],"Intercambio*",Tabla1[Universidad KPIs],'Utilización Convenios'!$C150,Tabla1[Año de Movilidad],'Utilización Convenios'!I$3,Tabla1[Nivel],"Maestría")</f>
        <v>0</v>
      </c>
      <c r="J150" s="11">
        <f>COUNTIFS(Tabla2[Tipo de Movilidad],"Intercambio*",Tabla2[Universidad KPIs],'Utilización Convenios'!$C150,Tabla2[Año],'Utilización Convenios'!I$142,Tabla2[Nivel Nominación],"Postgraduate / Master")</f>
        <v>0</v>
      </c>
      <c r="K150" s="10">
        <f>COUNTIFS(Tabla1[Tipo de Movilidad],"Intercambio*",Tabla1[Universidad KPIs],'Utilización Convenios'!$C150,Tabla1[Año de Movilidad],'Utilización Convenios'!K$3,Tabla1[Nivel],"Maestría")</f>
        <v>0</v>
      </c>
      <c r="L150" s="11">
        <f>COUNTIFS(Tabla2[Tipo de Movilidad],"Intercambio*",Tabla2[Universidad KPIs],'Utilización Convenios'!$C150,Tabla2[Año],'Utilización Convenios'!K$142,Tabla2[Nivel Nominación],"Postgraduate / Master")</f>
        <v>1</v>
      </c>
      <c r="M150" s="10">
        <f>COUNTIFS(Tabla1[Tipo de Movilidad],"Intercambio*",Tabla1[Universidad KPIs],'Utilización Convenios'!$C150,Tabla1[Año de Movilidad],'Utilización Convenios'!M$3,Tabla1[Nivel],"Maestría")</f>
        <v>0</v>
      </c>
      <c r="N150" s="26">
        <f>COUNTIFS(Tabla2[Tipo de Movilidad],"Intercambio*",Tabla2[Universidad KPIs],'Utilización Convenios'!$C150,Tabla2[Año],'Utilización Convenios'!M$142,Tabla2[Nivel Nominación],"Postgraduate / Master")</f>
        <v>0</v>
      </c>
      <c r="O150" s="10">
        <f>COUNTIFS(Tabla1[Tipo de Movilidad],"Intercambio*",Tabla1[Universidad KPIs],'Utilización Convenios'!$C150,Tabla1[Año de Movilidad],'Utilización Convenios'!O$3,Tabla1[Nivel],"Maestría")</f>
        <v>0</v>
      </c>
      <c r="P150" s="26">
        <f>COUNTIFS(Tabla2[Tipo de Movilidad],"Intercambio*",Tabla2[Universidad KPIs],'Utilización Convenios'!$C150,Tabla2[Año],'Utilización Convenios'!O$142,Tabla2[Nivel Nominación],"Postgraduate / Master")</f>
        <v>0</v>
      </c>
      <c r="Q150" s="41">
        <f t="shared" si="7"/>
        <v>0</v>
      </c>
      <c r="R150" s="42">
        <f t="shared" si="7"/>
        <v>1</v>
      </c>
    </row>
    <row r="151" spans="2:18">
      <c r="B151" s="185"/>
      <c r="C151" s="10" t="s">
        <v>48</v>
      </c>
      <c r="D151" s="11" t="s">
        <v>49</v>
      </c>
      <c r="E151" s="10">
        <f>COUNTIFS(Tabla1[Tipo de Movilidad],"Intercambio*",Tabla1[Universidad KPIs],'Utilización Convenios'!$C151,Tabla1[Año de Movilidad],'Utilización Convenios'!E$3,Tabla1[Nivel],"Maestría")</f>
        <v>0</v>
      </c>
      <c r="F151" s="11">
        <f>COUNTIFS(Tabla2[Tipo de Movilidad],"Intercambio*",Tabla2[Universidad KPIs],'Utilización Convenios'!$C151,Tabla2[Año],'Utilización Convenios'!E$142,Tabla2[Nivel Nominación],"Postgraduate / Master")</f>
        <v>0</v>
      </c>
      <c r="G151" s="10">
        <f>COUNTIFS(Tabla1[Tipo de Movilidad],"Intercambio*",Tabla1[Universidad KPIs],'Utilización Convenios'!$C151,Tabla1[Año de Movilidad],'Utilización Convenios'!G$3,Tabla1[Nivel],"Maestría")</f>
        <v>0</v>
      </c>
      <c r="H151" s="11">
        <f>COUNTIFS(Tabla2[Tipo de Movilidad],"Intercambio*",Tabla2[Universidad KPIs],'Utilización Convenios'!$C151,Tabla2[Año],'Utilización Convenios'!G$142,Tabla2[Nivel Nominación],"Postgraduate / Master")</f>
        <v>0</v>
      </c>
      <c r="I151" s="10">
        <f>COUNTIFS(Tabla1[Tipo de Movilidad],"Intercambio*",Tabla1[Universidad KPIs],'Utilización Convenios'!$C151,Tabla1[Año de Movilidad],'Utilización Convenios'!I$3,Tabla1[Nivel],"Maestría")</f>
        <v>0</v>
      </c>
      <c r="J151" s="11">
        <f>COUNTIFS(Tabla2[Tipo de Movilidad],"Intercambio*",Tabla2[Universidad KPIs],'Utilización Convenios'!$C151,Tabla2[Año],'Utilización Convenios'!I$142,Tabla2[Nivel Nominación],"Postgraduate / Master")</f>
        <v>0</v>
      </c>
      <c r="K151" s="10">
        <f>COUNTIFS(Tabla1[Tipo de Movilidad],"Intercambio*",Tabla1[Universidad KPIs],'Utilización Convenios'!$C151,Tabla1[Año de Movilidad],'Utilización Convenios'!K$3,Tabla1[Nivel],"Maestría")</f>
        <v>0</v>
      </c>
      <c r="L151" s="11">
        <f>COUNTIFS(Tabla2[Tipo de Movilidad],"Intercambio*",Tabla2[Universidad KPIs],'Utilización Convenios'!$C151,Tabla2[Año],'Utilización Convenios'!K$142,Tabla2[Nivel Nominación],"Postgraduate / Master")</f>
        <v>0</v>
      </c>
      <c r="M151" s="10">
        <f>COUNTIFS(Tabla1[Tipo de Movilidad],"Intercambio*",Tabla1[Universidad KPIs],'Utilización Convenios'!$C151,Tabla1[Año de Movilidad],'Utilización Convenios'!M$3,Tabla1[Nivel],"Maestría")</f>
        <v>0</v>
      </c>
      <c r="N151" s="26">
        <f>COUNTIFS(Tabla2[Tipo de Movilidad],"Intercambio*",Tabla2[Universidad KPIs],'Utilización Convenios'!$C151,Tabla2[Año],'Utilización Convenios'!M$142,Tabla2[Nivel Nominación],"Postgraduate / Master")</f>
        <v>0</v>
      </c>
      <c r="O151" s="10">
        <f>COUNTIFS(Tabla1[Tipo de Movilidad],"Intercambio*",Tabla1[Universidad KPIs],'Utilización Convenios'!$C151,Tabla1[Año de Movilidad],'Utilización Convenios'!O$3,Tabla1[Nivel],"Maestría")</f>
        <v>0</v>
      </c>
      <c r="P151" s="26">
        <f>COUNTIFS(Tabla2[Tipo de Movilidad],"Intercambio*",Tabla2[Universidad KPIs],'Utilización Convenios'!$C151,Tabla2[Año],'Utilización Convenios'!O$142,Tabla2[Nivel Nominación],"Postgraduate / Master")</f>
        <v>0</v>
      </c>
      <c r="Q151" s="41">
        <f t="shared" si="7"/>
        <v>0</v>
      </c>
      <c r="R151" s="42">
        <f t="shared" si="7"/>
        <v>0</v>
      </c>
    </row>
    <row r="152" spans="2:18">
      <c r="B152" s="185"/>
      <c r="C152" s="10" t="s">
        <v>50</v>
      </c>
      <c r="D152" s="11" t="s">
        <v>41</v>
      </c>
      <c r="E152" s="10">
        <f>COUNTIFS(Tabla1[Tipo de Movilidad],"Intercambio*",Tabla1[Universidad KPIs],'Utilización Convenios'!$C152,Tabla1[Año de Movilidad],'Utilización Convenios'!E$3,Tabla1[Nivel],"Maestría")</f>
        <v>0</v>
      </c>
      <c r="F152" s="11">
        <f>COUNTIFS(Tabla2[Tipo de Movilidad],"Intercambio*",Tabla2[Universidad KPIs],'Utilización Convenios'!$C152,Tabla2[Año],'Utilización Convenios'!E$142,Tabla2[Nivel Nominación],"Postgraduate / Master")</f>
        <v>0</v>
      </c>
      <c r="G152" s="10">
        <f>COUNTIFS(Tabla1[Tipo de Movilidad],"Intercambio*",Tabla1[Universidad KPIs],'Utilización Convenios'!$C152,Tabla1[Año de Movilidad],'Utilización Convenios'!G$3,Tabla1[Nivel],"Maestría")</f>
        <v>0</v>
      </c>
      <c r="H152" s="11">
        <f>COUNTIFS(Tabla2[Tipo de Movilidad],"Intercambio*",Tabla2[Universidad KPIs],'Utilización Convenios'!$C152,Tabla2[Año],'Utilización Convenios'!G$142,Tabla2[Nivel Nominación],"Postgraduate / Master")</f>
        <v>0</v>
      </c>
      <c r="I152" s="10">
        <f>COUNTIFS(Tabla1[Tipo de Movilidad],"Intercambio*",Tabla1[Universidad KPIs],'Utilización Convenios'!$C152,Tabla1[Año de Movilidad],'Utilización Convenios'!I$3,Tabla1[Nivel],"Maestría")</f>
        <v>0</v>
      </c>
      <c r="J152" s="11">
        <f>COUNTIFS(Tabla2[Tipo de Movilidad],"Intercambio*",Tabla2[Universidad KPIs],'Utilización Convenios'!$C152,Tabla2[Año],'Utilización Convenios'!I$142,Tabla2[Nivel Nominación],"Postgraduate / Master")</f>
        <v>0</v>
      </c>
      <c r="K152" s="10">
        <f>COUNTIFS(Tabla1[Tipo de Movilidad],"Intercambio*",Tabla1[Universidad KPIs],'Utilización Convenios'!$C152,Tabla1[Año de Movilidad],'Utilización Convenios'!K$3,Tabla1[Nivel],"Maestría")</f>
        <v>0</v>
      </c>
      <c r="L152" s="11">
        <f>COUNTIFS(Tabla2[Tipo de Movilidad],"Intercambio*",Tabla2[Universidad KPIs],'Utilización Convenios'!$C152,Tabla2[Año],'Utilización Convenios'!K$142,Tabla2[Nivel Nominación],"Postgraduate / Master")</f>
        <v>0</v>
      </c>
      <c r="M152" s="10">
        <f>COUNTIFS(Tabla1[Tipo de Movilidad],"Intercambio*",Tabla1[Universidad KPIs],'Utilización Convenios'!$C152,Tabla1[Año de Movilidad],'Utilización Convenios'!M$3,Tabla1[Nivel],"Maestría")</f>
        <v>0</v>
      </c>
      <c r="N152" s="26">
        <f>COUNTIFS(Tabla2[Tipo de Movilidad],"Intercambio*",Tabla2[Universidad KPIs],'Utilización Convenios'!$C152,Tabla2[Año],'Utilización Convenios'!M$142,Tabla2[Nivel Nominación],"Postgraduate / Master")</f>
        <v>0</v>
      </c>
      <c r="O152" s="10">
        <f>COUNTIFS(Tabla1[Tipo de Movilidad],"Intercambio*",Tabla1[Universidad KPIs],'Utilización Convenios'!$C152,Tabla1[Año de Movilidad],'Utilización Convenios'!O$3,Tabla1[Nivel],"Maestría")</f>
        <v>0</v>
      </c>
      <c r="P152" s="26">
        <f>COUNTIFS(Tabla2[Tipo de Movilidad],"Intercambio*",Tabla2[Universidad KPIs],'Utilización Convenios'!$C152,Tabla2[Año],'Utilización Convenios'!O$142,Tabla2[Nivel Nominación],"Postgraduate / Master")</f>
        <v>0</v>
      </c>
      <c r="Q152" s="41">
        <f t="shared" si="7"/>
        <v>0</v>
      </c>
      <c r="R152" s="42">
        <f t="shared" si="7"/>
        <v>0</v>
      </c>
    </row>
    <row r="153" spans="2:18">
      <c r="B153" s="185"/>
      <c r="C153" s="10" t="s">
        <v>51</v>
      </c>
      <c r="D153" s="11" t="s">
        <v>41</v>
      </c>
      <c r="E153" s="10">
        <f>COUNTIFS(Tabla1[Tipo de Movilidad],"Intercambio*",Tabla1[Universidad KPIs],'Utilización Convenios'!$C153,Tabla1[Año de Movilidad],'Utilización Convenios'!E$3,Tabla1[Nivel],"Maestría")</f>
        <v>0</v>
      </c>
      <c r="F153" s="11">
        <f>COUNTIFS(Tabla2[Tipo de Movilidad],"Intercambio*",Tabla2[Universidad KPIs],'Utilización Convenios'!$C153,Tabla2[Año],'Utilización Convenios'!E$142,Tabla2[Nivel Nominación],"Postgraduate / Master")</f>
        <v>0</v>
      </c>
      <c r="G153" s="10">
        <f>COUNTIFS(Tabla1[Tipo de Movilidad],"Intercambio*",Tabla1[Universidad KPIs],'Utilización Convenios'!$C153,Tabla1[Año de Movilidad],'Utilización Convenios'!G$3,Tabla1[Nivel],"Maestría")</f>
        <v>0</v>
      </c>
      <c r="H153" s="11">
        <f>COUNTIFS(Tabla2[Tipo de Movilidad],"Intercambio*",Tabla2[Universidad KPIs],'Utilización Convenios'!$C153,Tabla2[Año],'Utilización Convenios'!G$142,Tabla2[Nivel Nominación],"Postgraduate / Master")</f>
        <v>0</v>
      </c>
      <c r="I153" s="10">
        <f>COUNTIFS(Tabla1[Tipo de Movilidad],"Intercambio*",Tabla1[Universidad KPIs],'Utilización Convenios'!$C153,Tabla1[Año de Movilidad],'Utilización Convenios'!I$3,Tabla1[Nivel],"Maestría")</f>
        <v>0</v>
      </c>
      <c r="J153" s="11">
        <f>COUNTIFS(Tabla2[Tipo de Movilidad],"Intercambio*",Tabla2[Universidad KPIs],'Utilización Convenios'!$C153,Tabla2[Año],'Utilización Convenios'!I$142,Tabla2[Nivel Nominación],"Postgraduate / Master")</f>
        <v>1</v>
      </c>
      <c r="K153" s="10">
        <f>COUNTIFS(Tabla1[Tipo de Movilidad],"Intercambio*",Tabla1[Universidad KPIs],'Utilización Convenios'!$C153,Tabla1[Año de Movilidad],'Utilización Convenios'!K$3,Tabla1[Nivel],"Maestría")</f>
        <v>0</v>
      </c>
      <c r="L153" s="11">
        <f>COUNTIFS(Tabla2[Tipo de Movilidad],"Intercambio*",Tabla2[Universidad KPIs],'Utilización Convenios'!$C153,Tabla2[Año],'Utilización Convenios'!K$142,Tabla2[Nivel Nominación],"Postgraduate / Master")</f>
        <v>0</v>
      </c>
      <c r="M153" s="10">
        <f>COUNTIFS(Tabla1[Tipo de Movilidad],"Intercambio*",Tabla1[Universidad KPIs],'Utilización Convenios'!$C153,Tabla1[Año de Movilidad],'Utilización Convenios'!M$3,Tabla1[Nivel],"Maestría")</f>
        <v>0</v>
      </c>
      <c r="N153" s="26">
        <f>COUNTIFS(Tabla2[Tipo de Movilidad],"Intercambio*",Tabla2[Universidad KPIs],'Utilización Convenios'!$C153,Tabla2[Año],'Utilización Convenios'!M$142,Tabla2[Nivel Nominación],"Postgraduate / Master")</f>
        <v>0</v>
      </c>
      <c r="O153" s="10">
        <f>COUNTIFS(Tabla1[Tipo de Movilidad],"Intercambio*",Tabla1[Universidad KPIs],'Utilización Convenios'!$C153,Tabla1[Año de Movilidad],'Utilización Convenios'!O$3,Tabla1[Nivel],"Maestría")</f>
        <v>0</v>
      </c>
      <c r="P153" s="26">
        <f>COUNTIFS(Tabla2[Tipo de Movilidad],"Intercambio*",Tabla2[Universidad KPIs],'Utilización Convenios'!$C153,Tabla2[Año],'Utilización Convenios'!O$142,Tabla2[Nivel Nominación],"Postgraduate / Master")</f>
        <v>0</v>
      </c>
      <c r="Q153" s="41">
        <f t="shared" si="7"/>
        <v>0</v>
      </c>
      <c r="R153" s="42">
        <f t="shared" si="7"/>
        <v>1</v>
      </c>
    </row>
    <row r="154" spans="2:18">
      <c r="B154" s="185"/>
      <c r="C154" s="10" t="s">
        <v>52</v>
      </c>
      <c r="D154" s="11" t="s">
        <v>53</v>
      </c>
      <c r="E154" s="10">
        <f>COUNTIFS(Tabla1[Tipo de Movilidad],"Intercambio*",Tabla1[Universidad KPIs],'Utilización Convenios'!$C154,Tabla1[Año de Movilidad],'Utilización Convenios'!E$3,Tabla1[Nivel],"Maestría")</f>
        <v>0</v>
      </c>
      <c r="F154" s="11">
        <f>COUNTIFS(Tabla2[Tipo de Movilidad],"Intercambio*",Tabla2[Universidad KPIs],'Utilización Convenios'!$C154,Tabla2[Año],'Utilización Convenios'!E$142,Tabla2[Nivel Nominación],"Postgraduate / Master")</f>
        <v>0</v>
      </c>
      <c r="G154" s="10">
        <f>COUNTIFS(Tabla1[Tipo de Movilidad],"Intercambio*",Tabla1[Universidad KPIs],'Utilización Convenios'!$C154,Tabla1[Año de Movilidad],'Utilización Convenios'!G$3,Tabla1[Nivel],"Maestría")</f>
        <v>0</v>
      </c>
      <c r="H154" s="11">
        <f>COUNTIFS(Tabla2[Tipo de Movilidad],"Intercambio*",Tabla2[Universidad KPIs],'Utilización Convenios'!$C154,Tabla2[Año],'Utilización Convenios'!G$142,Tabla2[Nivel Nominación],"Postgraduate / Master")</f>
        <v>0</v>
      </c>
      <c r="I154" s="10">
        <f>COUNTIFS(Tabla1[Tipo de Movilidad],"Intercambio*",Tabla1[Universidad KPIs],'Utilización Convenios'!$C154,Tabla1[Año de Movilidad],'Utilización Convenios'!I$3,Tabla1[Nivel],"Maestría")</f>
        <v>0</v>
      </c>
      <c r="J154" s="11">
        <f>COUNTIFS(Tabla2[Tipo de Movilidad],"Intercambio*",Tabla2[Universidad KPIs],'Utilización Convenios'!$C154,Tabla2[Año],'Utilización Convenios'!I$142,Tabla2[Nivel Nominación],"Postgraduate / Master")</f>
        <v>0</v>
      </c>
      <c r="K154" s="10">
        <f>COUNTIFS(Tabla1[Tipo de Movilidad],"Intercambio*",Tabla1[Universidad KPIs],'Utilización Convenios'!$C154,Tabla1[Año de Movilidad],'Utilización Convenios'!K$3,Tabla1[Nivel],"Maestría")</f>
        <v>0</v>
      </c>
      <c r="L154" s="11">
        <f>COUNTIFS(Tabla2[Tipo de Movilidad],"Intercambio*",Tabla2[Universidad KPIs],'Utilización Convenios'!$C154,Tabla2[Año],'Utilización Convenios'!K$142,Tabla2[Nivel Nominación],"Postgraduate / Master")</f>
        <v>1</v>
      </c>
      <c r="M154" s="10">
        <f>COUNTIFS(Tabla1[Tipo de Movilidad],"Intercambio*",Tabla1[Universidad KPIs],'Utilización Convenios'!$C154,Tabla1[Año de Movilidad],'Utilización Convenios'!M$3,Tabla1[Nivel],"Maestría")</f>
        <v>0</v>
      </c>
      <c r="N154" s="26">
        <f>COUNTIFS(Tabla2[Tipo de Movilidad],"Intercambio*",Tabla2[Universidad KPIs],'Utilización Convenios'!$C154,Tabla2[Año],'Utilización Convenios'!M$142,Tabla2[Nivel Nominación],"Postgraduate / Master")</f>
        <v>0</v>
      </c>
      <c r="O154" s="10">
        <f>COUNTIFS(Tabla1[Tipo de Movilidad],"Intercambio*",Tabla1[Universidad KPIs],'Utilización Convenios'!$C154,Tabla1[Año de Movilidad],'Utilización Convenios'!O$3,Tabla1[Nivel],"Maestría")</f>
        <v>0</v>
      </c>
      <c r="P154" s="26">
        <f>COUNTIFS(Tabla2[Tipo de Movilidad],"Intercambio*",Tabla2[Universidad KPIs],'Utilización Convenios'!$C154,Tabla2[Año],'Utilización Convenios'!O$142,Tabla2[Nivel Nominación],"Postgraduate / Master")</f>
        <v>0</v>
      </c>
      <c r="Q154" s="41">
        <f t="shared" si="7"/>
        <v>0</v>
      </c>
      <c r="R154" s="42">
        <f t="shared" si="7"/>
        <v>1</v>
      </c>
    </row>
    <row r="155" spans="2:18">
      <c r="B155" s="185"/>
      <c r="C155" s="10" t="s">
        <v>54</v>
      </c>
      <c r="D155" s="11" t="s">
        <v>41</v>
      </c>
      <c r="E155" s="10">
        <f>COUNTIFS(Tabla1[Tipo de Movilidad],"Intercambio*",Tabla1[Universidad KPIs],'Utilización Convenios'!$C155,Tabla1[Año de Movilidad],'Utilización Convenios'!E$3,Tabla1[Nivel],"Maestría")</f>
        <v>0</v>
      </c>
      <c r="F155" s="11">
        <f>COUNTIFS(Tabla2[Tipo de Movilidad],"Intercambio*",Tabla2[Universidad KPIs],'Utilización Convenios'!$C155,Tabla2[Año],'Utilización Convenios'!E$142,Tabla2[Nivel Nominación],"Postgraduate / Master")</f>
        <v>2</v>
      </c>
      <c r="G155" s="10">
        <f>COUNTIFS(Tabla1[Tipo de Movilidad],"Intercambio*",Tabla1[Universidad KPIs],'Utilización Convenios'!$C155,Tabla1[Año de Movilidad],'Utilización Convenios'!G$3,Tabla1[Nivel],"Maestría")</f>
        <v>0</v>
      </c>
      <c r="H155" s="11">
        <f>COUNTIFS(Tabla2[Tipo de Movilidad],"Intercambio*",Tabla2[Universidad KPIs],'Utilización Convenios'!$C155,Tabla2[Año],'Utilización Convenios'!G$142,Tabla2[Nivel Nominación],"Postgraduate / Master")</f>
        <v>4</v>
      </c>
      <c r="I155" s="10">
        <f>COUNTIFS(Tabla1[Tipo de Movilidad],"Intercambio*",Tabla1[Universidad KPIs],'Utilización Convenios'!$C155,Tabla1[Año de Movilidad],'Utilización Convenios'!I$3,Tabla1[Nivel],"Maestría")</f>
        <v>0</v>
      </c>
      <c r="J155" s="11">
        <f>COUNTIFS(Tabla2[Tipo de Movilidad],"Intercambio*",Tabla2[Universidad KPIs],'Utilización Convenios'!$C155,Tabla2[Año],'Utilización Convenios'!I$142,Tabla2[Nivel Nominación],"Postgraduate / Master")</f>
        <v>3</v>
      </c>
      <c r="K155" s="10">
        <f>COUNTIFS(Tabla1[Tipo de Movilidad],"Intercambio*",Tabla1[Universidad KPIs],'Utilización Convenios'!$C155,Tabla1[Año de Movilidad],'Utilización Convenios'!K$3,Tabla1[Nivel],"Maestría")</f>
        <v>0</v>
      </c>
      <c r="L155" s="11">
        <f>COUNTIFS(Tabla2[Tipo de Movilidad],"Intercambio*",Tabla2[Universidad KPIs],'Utilización Convenios'!$C155,Tabla2[Año],'Utilización Convenios'!K$142,Tabla2[Nivel Nominación],"Postgraduate / Master")</f>
        <v>2</v>
      </c>
      <c r="M155" s="10">
        <f>COUNTIFS(Tabla1[Tipo de Movilidad],"Intercambio*",Tabla1[Universidad KPIs],'Utilización Convenios'!$C155,Tabla1[Año de Movilidad],'Utilización Convenios'!M$3,Tabla1[Nivel],"Maestría")</f>
        <v>0</v>
      </c>
      <c r="N155" s="26">
        <f>COUNTIFS(Tabla2[Tipo de Movilidad],"Intercambio*",Tabla2[Universidad KPIs],'Utilización Convenios'!$C155,Tabla2[Año],'Utilización Convenios'!M$142,Tabla2[Nivel Nominación],"Postgraduate / Master")</f>
        <v>2</v>
      </c>
      <c r="O155" s="10">
        <f>COUNTIFS(Tabla1[Tipo de Movilidad],"Intercambio*",Tabla1[Universidad KPIs],'Utilización Convenios'!$C155,Tabla1[Año de Movilidad],'Utilización Convenios'!O$3,Tabla1[Nivel],"Maestría")</f>
        <v>0</v>
      </c>
      <c r="P155" s="26">
        <f>COUNTIFS(Tabla2[Tipo de Movilidad],"Intercambio*",Tabla2[Universidad KPIs],'Utilización Convenios'!$C155,Tabla2[Año],'Utilización Convenios'!O$142,Tabla2[Nivel Nominación],"Postgraduate / Master")</f>
        <v>0</v>
      </c>
      <c r="Q155" s="41">
        <f t="shared" si="7"/>
        <v>0</v>
      </c>
      <c r="R155" s="42">
        <f t="shared" si="7"/>
        <v>13</v>
      </c>
    </row>
    <row r="156" spans="2:18">
      <c r="B156" s="185"/>
      <c r="C156" s="10" t="s">
        <v>55</v>
      </c>
      <c r="D156" s="11" t="s">
        <v>41</v>
      </c>
      <c r="E156" s="10">
        <f>COUNTIFS(Tabla1[Tipo de Movilidad],"Intercambio*",Tabla1[Universidad KPIs],'Utilización Convenios'!$C156,Tabla1[Año de Movilidad],'Utilización Convenios'!E$3,Tabla1[Nivel],"Maestría")</f>
        <v>0</v>
      </c>
      <c r="F156" s="11">
        <f>COUNTIFS(Tabla2[Tipo de Movilidad],"Intercambio*",Tabla2[Universidad KPIs],'Utilización Convenios'!$C156,Tabla2[Año],'Utilización Convenios'!E$142,Tabla2[Nivel Nominación],"Postgraduate / Master")</f>
        <v>0</v>
      </c>
      <c r="G156" s="10">
        <f>COUNTIFS(Tabla1[Tipo de Movilidad],"Intercambio*",Tabla1[Universidad KPIs],'Utilización Convenios'!$C156,Tabla1[Año de Movilidad],'Utilización Convenios'!G$3,Tabla1[Nivel],"Maestría")</f>
        <v>0</v>
      </c>
      <c r="H156" s="11">
        <f>COUNTIFS(Tabla2[Tipo de Movilidad],"Intercambio*",Tabla2[Universidad KPIs],'Utilización Convenios'!$C156,Tabla2[Año],'Utilización Convenios'!G$142,Tabla2[Nivel Nominación],"Postgraduate / Master")</f>
        <v>1</v>
      </c>
      <c r="I156" s="10">
        <f>COUNTIFS(Tabla1[Tipo de Movilidad],"Intercambio*",Tabla1[Universidad KPIs],'Utilización Convenios'!$C156,Tabla1[Año de Movilidad],'Utilización Convenios'!I$3,Tabla1[Nivel],"Maestría")</f>
        <v>0</v>
      </c>
      <c r="J156" s="11">
        <f>COUNTIFS(Tabla2[Tipo de Movilidad],"Intercambio*",Tabla2[Universidad KPIs],'Utilización Convenios'!$C156,Tabla2[Año],'Utilización Convenios'!I$142,Tabla2[Nivel Nominación],"Postgraduate / Master")</f>
        <v>3</v>
      </c>
      <c r="K156" s="10">
        <f>COUNTIFS(Tabla1[Tipo de Movilidad],"Intercambio*",Tabla1[Universidad KPIs],'Utilización Convenios'!$C156,Tabla1[Año de Movilidad],'Utilización Convenios'!K$3,Tabla1[Nivel],"Maestría")</f>
        <v>0</v>
      </c>
      <c r="L156" s="11">
        <f>COUNTIFS(Tabla2[Tipo de Movilidad],"Intercambio*",Tabla2[Universidad KPIs],'Utilización Convenios'!$C156,Tabla2[Año],'Utilización Convenios'!K$142,Tabla2[Nivel Nominación],"Postgraduate / Master")</f>
        <v>3</v>
      </c>
      <c r="M156" s="10">
        <f>COUNTIFS(Tabla1[Tipo de Movilidad],"Intercambio*",Tabla1[Universidad KPIs],'Utilización Convenios'!$C156,Tabla1[Año de Movilidad],'Utilización Convenios'!M$3,Tabla1[Nivel],"Maestría")</f>
        <v>0</v>
      </c>
      <c r="N156" s="26">
        <f>COUNTIFS(Tabla2[Tipo de Movilidad],"Intercambio*",Tabla2[Universidad KPIs],'Utilización Convenios'!$C156,Tabla2[Año],'Utilización Convenios'!M$142,Tabla2[Nivel Nominación],"Postgraduate / Master")</f>
        <v>3</v>
      </c>
      <c r="O156" s="10">
        <f>COUNTIFS(Tabla1[Tipo de Movilidad],"Intercambio*",Tabla1[Universidad KPIs],'Utilización Convenios'!$C156,Tabla1[Año de Movilidad],'Utilización Convenios'!O$3,Tabla1[Nivel],"Maestría")</f>
        <v>0</v>
      </c>
      <c r="P156" s="26">
        <f>COUNTIFS(Tabla2[Tipo de Movilidad],"Intercambio*",Tabla2[Universidad KPIs],'Utilización Convenios'!$C156,Tabla2[Año],'Utilización Convenios'!O$142,Tabla2[Nivel Nominación],"Postgraduate / Master")</f>
        <v>4</v>
      </c>
      <c r="Q156" s="41">
        <f t="shared" si="7"/>
        <v>0</v>
      </c>
      <c r="R156" s="42">
        <f t="shared" si="7"/>
        <v>14</v>
      </c>
    </row>
    <row r="157" spans="2:18">
      <c r="B157" s="185"/>
      <c r="C157" s="10" t="s">
        <v>56</v>
      </c>
      <c r="D157" s="11" t="s">
        <v>41</v>
      </c>
      <c r="E157" s="10">
        <f>COUNTIFS(Tabla1[Tipo de Movilidad],"Intercambio*",Tabla1[Universidad KPIs],'Utilización Convenios'!$C157,Tabla1[Año de Movilidad],'Utilización Convenios'!E$3,Tabla1[Nivel],"Maestría")</f>
        <v>0</v>
      </c>
      <c r="F157" s="11">
        <f>COUNTIFS(Tabla2[Tipo de Movilidad],"Intercambio*",Tabla2[Universidad KPIs],'Utilización Convenios'!$C157,Tabla2[Año],'Utilización Convenios'!E$142,Tabla2[Nivel Nominación],"Postgraduate / Master")</f>
        <v>3</v>
      </c>
      <c r="G157" s="10">
        <f>COUNTIFS(Tabla1[Tipo de Movilidad],"Intercambio*",Tabla1[Universidad KPIs],'Utilización Convenios'!$C157,Tabla1[Año de Movilidad],'Utilización Convenios'!G$3,Tabla1[Nivel],"Maestría")</f>
        <v>0</v>
      </c>
      <c r="H157" s="11">
        <f>COUNTIFS(Tabla2[Tipo de Movilidad],"Intercambio*",Tabla2[Universidad KPIs],'Utilización Convenios'!$C157,Tabla2[Año],'Utilización Convenios'!G$142,Tabla2[Nivel Nominación],"Postgraduate / Master")</f>
        <v>3</v>
      </c>
      <c r="I157" s="10">
        <f>COUNTIFS(Tabla1[Tipo de Movilidad],"Intercambio*",Tabla1[Universidad KPIs],'Utilización Convenios'!$C157,Tabla1[Año de Movilidad],'Utilización Convenios'!I$3,Tabla1[Nivel],"Maestría")</f>
        <v>2</v>
      </c>
      <c r="J157" s="11">
        <f>COUNTIFS(Tabla2[Tipo de Movilidad],"Intercambio*",Tabla2[Universidad KPIs],'Utilización Convenios'!$C157,Tabla2[Año],'Utilización Convenios'!I$142,Tabla2[Nivel Nominación],"Postgraduate / Master")</f>
        <v>1</v>
      </c>
      <c r="K157" s="10">
        <f>COUNTIFS(Tabla1[Tipo de Movilidad],"Intercambio*",Tabla1[Universidad KPIs],'Utilización Convenios'!$C157,Tabla1[Año de Movilidad],'Utilización Convenios'!K$3,Tabla1[Nivel],"Maestría")</f>
        <v>0</v>
      </c>
      <c r="L157" s="11">
        <f>COUNTIFS(Tabla2[Tipo de Movilidad],"Intercambio*",Tabla2[Universidad KPIs],'Utilización Convenios'!$C157,Tabla2[Año],'Utilización Convenios'!K$142,Tabla2[Nivel Nominación],"Postgraduate / Master")</f>
        <v>0</v>
      </c>
      <c r="M157" s="10">
        <f>COUNTIFS(Tabla1[Tipo de Movilidad],"Intercambio*",Tabla1[Universidad KPIs],'Utilización Convenios'!$C157,Tabla1[Año de Movilidad],'Utilización Convenios'!M$3,Tabla1[Nivel],"Maestría")</f>
        <v>0</v>
      </c>
      <c r="N157" s="26">
        <f>COUNTIFS(Tabla2[Tipo de Movilidad],"Intercambio*",Tabla2[Universidad KPIs],'Utilización Convenios'!$C157,Tabla2[Año],'Utilización Convenios'!M$142,Tabla2[Nivel Nominación],"Postgraduate / Master")</f>
        <v>4</v>
      </c>
      <c r="O157" s="10">
        <f>COUNTIFS(Tabla1[Tipo de Movilidad],"Intercambio*",Tabla1[Universidad KPIs],'Utilización Convenios'!$C157,Tabla1[Año de Movilidad],'Utilización Convenios'!O$3,Tabla1[Nivel],"Maestría")</f>
        <v>1</v>
      </c>
      <c r="P157" s="26">
        <f>COUNTIFS(Tabla2[Tipo de Movilidad],"Intercambio*",Tabla2[Universidad KPIs],'Utilización Convenios'!$C157,Tabla2[Año],'Utilización Convenios'!O$142,Tabla2[Nivel Nominación],"Postgraduate / Master")</f>
        <v>2</v>
      </c>
      <c r="Q157" s="41">
        <f t="shared" si="7"/>
        <v>3</v>
      </c>
      <c r="R157" s="42">
        <f t="shared" si="7"/>
        <v>13</v>
      </c>
    </row>
    <row r="158" spans="2:18">
      <c r="B158" s="185"/>
      <c r="C158" s="10" t="s">
        <v>57</v>
      </c>
      <c r="D158" s="11" t="s">
        <v>58</v>
      </c>
      <c r="E158" s="10">
        <f>COUNTIFS(Tabla1[Tipo de Movilidad],"Intercambio*",Tabla1[Universidad KPIs],'Utilización Convenios'!$C158,Tabla1[Año de Movilidad],'Utilización Convenios'!E$3,Tabla1[Nivel],"Maestría")</f>
        <v>0</v>
      </c>
      <c r="F158" s="11">
        <f>COUNTIFS(Tabla2[Tipo de Movilidad],"Intercambio*",Tabla2[Universidad KPIs],'Utilización Convenios'!$C158,Tabla2[Año],'Utilización Convenios'!E$142,Tabla2[Nivel Nominación],"Postgraduate / Master")</f>
        <v>0</v>
      </c>
      <c r="G158" s="10">
        <f>COUNTIFS(Tabla1[Tipo de Movilidad],"Intercambio*",Tabla1[Universidad KPIs],'Utilización Convenios'!$C158,Tabla1[Año de Movilidad],'Utilización Convenios'!G$3,Tabla1[Nivel],"Maestría")</f>
        <v>0</v>
      </c>
      <c r="H158" s="11">
        <f>COUNTIFS(Tabla2[Tipo de Movilidad],"Intercambio*",Tabla2[Universidad KPIs],'Utilización Convenios'!$C158,Tabla2[Año],'Utilización Convenios'!G$142,Tabla2[Nivel Nominación],"Postgraduate / Master")</f>
        <v>0</v>
      </c>
      <c r="I158" s="10">
        <f>COUNTIFS(Tabla1[Tipo de Movilidad],"Intercambio*",Tabla1[Universidad KPIs],'Utilización Convenios'!$C158,Tabla1[Año de Movilidad],'Utilización Convenios'!I$3,Tabla1[Nivel],"Maestría")</f>
        <v>0</v>
      </c>
      <c r="J158" s="11">
        <f>COUNTIFS(Tabla2[Tipo de Movilidad],"Intercambio*",Tabla2[Universidad KPIs],'Utilización Convenios'!$C158,Tabla2[Año],'Utilización Convenios'!I$142,Tabla2[Nivel Nominación],"Postgraduate / Master")</f>
        <v>0</v>
      </c>
      <c r="K158" s="10">
        <f>COUNTIFS(Tabla1[Tipo de Movilidad],"Intercambio*",Tabla1[Universidad KPIs],'Utilización Convenios'!$C158,Tabla1[Año de Movilidad],'Utilización Convenios'!K$3,Tabla1[Nivel],"Maestría")</f>
        <v>0</v>
      </c>
      <c r="L158" s="11">
        <f>COUNTIFS(Tabla2[Tipo de Movilidad],"Intercambio*",Tabla2[Universidad KPIs],'Utilización Convenios'!$C158,Tabla2[Año],'Utilización Convenios'!K$142,Tabla2[Nivel Nominación],"Postgraduate / Master")</f>
        <v>0</v>
      </c>
      <c r="M158" s="10">
        <f>COUNTIFS(Tabla1[Tipo de Movilidad],"Intercambio*",Tabla1[Universidad KPIs],'Utilización Convenios'!$C158,Tabla1[Año de Movilidad],'Utilización Convenios'!M$3,Tabla1[Nivel],"Maestría")</f>
        <v>0</v>
      </c>
      <c r="N158" s="26">
        <f>COUNTIFS(Tabla2[Tipo de Movilidad],"Intercambio*",Tabla2[Universidad KPIs],'Utilización Convenios'!$C158,Tabla2[Año],'Utilización Convenios'!M$142,Tabla2[Nivel Nominación],"Postgraduate / Master")</f>
        <v>1</v>
      </c>
      <c r="O158" s="10">
        <f>COUNTIFS(Tabla1[Tipo de Movilidad],"Intercambio*",Tabla1[Universidad KPIs],'Utilización Convenios'!$C158,Tabla1[Año de Movilidad],'Utilización Convenios'!O$3,Tabla1[Nivel],"Maestría")</f>
        <v>0</v>
      </c>
      <c r="P158" s="26">
        <f>COUNTIFS(Tabla2[Tipo de Movilidad],"Intercambio*",Tabla2[Universidad KPIs],'Utilización Convenios'!$C158,Tabla2[Año],'Utilización Convenios'!O$142,Tabla2[Nivel Nominación],"Postgraduate / Master")</f>
        <v>0</v>
      </c>
      <c r="Q158" s="41">
        <f t="shared" si="7"/>
        <v>0</v>
      </c>
      <c r="R158" s="42">
        <f t="shared" si="7"/>
        <v>1</v>
      </c>
    </row>
    <row r="159" spans="2:18">
      <c r="B159" s="185"/>
      <c r="C159" s="10" t="s">
        <v>59</v>
      </c>
      <c r="D159" s="11" t="s">
        <v>60</v>
      </c>
      <c r="E159" s="10">
        <f>COUNTIFS(Tabla1[Tipo de Movilidad],"Intercambio*",Tabla1[Universidad KPIs],'Utilización Convenios'!$C159,Tabla1[Año de Movilidad],'Utilización Convenios'!E$3,Tabla1[Nivel],"Maestría")</f>
        <v>0</v>
      </c>
      <c r="F159" s="11">
        <f>COUNTIFS(Tabla2[Tipo de Movilidad],"Intercambio*",Tabla2[Universidad KPIs],'Utilización Convenios'!$C159,Tabla2[Año],'Utilización Convenios'!E$142,Tabla2[Nivel Nominación],"Postgraduate / Master")</f>
        <v>1</v>
      </c>
      <c r="G159" s="10">
        <f>COUNTIFS(Tabla1[Tipo de Movilidad],"Intercambio*",Tabla1[Universidad KPIs],'Utilización Convenios'!$C159,Tabla1[Año de Movilidad],'Utilización Convenios'!G$3,Tabla1[Nivel],"Maestría")</f>
        <v>0</v>
      </c>
      <c r="H159" s="11">
        <f>COUNTIFS(Tabla2[Tipo de Movilidad],"Intercambio*",Tabla2[Universidad KPIs],'Utilización Convenios'!$C159,Tabla2[Año],'Utilización Convenios'!G$142,Tabla2[Nivel Nominación],"Postgraduate / Master")</f>
        <v>0</v>
      </c>
      <c r="I159" s="10">
        <f>COUNTIFS(Tabla1[Tipo de Movilidad],"Intercambio*",Tabla1[Universidad KPIs],'Utilización Convenios'!$C159,Tabla1[Año de Movilidad],'Utilización Convenios'!I$3,Tabla1[Nivel],"Maestría")</f>
        <v>1</v>
      </c>
      <c r="J159" s="11">
        <f>COUNTIFS(Tabla2[Tipo de Movilidad],"Intercambio*",Tabla2[Universidad KPIs],'Utilización Convenios'!$C159,Tabla2[Año],'Utilización Convenios'!I$142,Tabla2[Nivel Nominación],"Postgraduate / Master")</f>
        <v>0</v>
      </c>
      <c r="K159" s="10">
        <f>COUNTIFS(Tabla1[Tipo de Movilidad],"Intercambio*",Tabla1[Universidad KPIs],'Utilización Convenios'!$C159,Tabla1[Año de Movilidad],'Utilización Convenios'!K$3,Tabla1[Nivel],"Maestría")</f>
        <v>0</v>
      </c>
      <c r="L159" s="11">
        <f>COUNTIFS(Tabla2[Tipo de Movilidad],"Intercambio*",Tabla2[Universidad KPIs],'Utilización Convenios'!$C159,Tabla2[Año],'Utilización Convenios'!K$142,Tabla2[Nivel Nominación],"Postgraduate / Master")</f>
        <v>0</v>
      </c>
      <c r="M159" s="10">
        <f>COUNTIFS(Tabla1[Tipo de Movilidad],"Intercambio*",Tabla1[Universidad KPIs],'Utilización Convenios'!$C159,Tabla1[Año de Movilidad],'Utilización Convenios'!M$3,Tabla1[Nivel],"Maestría")</f>
        <v>0</v>
      </c>
      <c r="N159" s="26">
        <f>COUNTIFS(Tabla2[Tipo de Movilidad],"Intercambio*",Tabla2[Universidad KPIs],'Utilización Convenios'!$C159,Tabla2[Año],'Utilización Convenios'!M$142,Tabla2[Nivel Nominación],"Postgraduate / Master")</f>
        <v>0</v>
      </c>
      <c r="O159" s="10">
        <f>COUNTIFS(Tabla1[Tipo de Movilidad],"Intercambio*",Tabla1[Universidad KPIs],'Utilización Convenios'!$C159,Tabla1[Año de Movilidad],'Utilización Convenios'!O$3,Tabla1[Nivel],"Maestría")</f>
        <v>0</v>
      </c>
      <c r="P159" s="26">
        <f>COUNTIFS(Tabla2[Tipo de Movilidad],"Intercambio*",Tabla2[Universidad KPIs],'Utilización Convenios'!$C159,Tabla2[Año],'Utilización Convenios'!O$142,Tabla2[Nivel Nominación],"Postgraduate / Master")</f>
        <v>0</v>
      </c>
      <c r="Q159" s="41">
        <f t="shared" si="7"/>
        <v>1</v>
      </c>
      <c r="R159" s="42">
        <f t="shared" si="7"/>
        <v>1</v>
      </c>
    </row>
    <row r="160" spans="2:18">
      <c r="B160" s="185"/>
      <c r="C160" s="10" t="s">
        <v>61</v>
      </c>
      <c r="D160" s="11" t="s">
        <v>62</v>
      </c>
      <c r="E160" s="10">
        <f>COUNTIFS(Tabla1[Tipo de Movilidad],"Intercambio*",Tabla1[Universidad KPIs],'Utilización Convenios'!$C160,Tabla1[Año de Movilidad],'Utilización Convenios'!E$3,Tabla1[Nivel],"Maestría")</f>
        <v>0</v>
      </c>
      <c r="F160" s="11">
        <f>COUNTIFS(Tabla2[Tipo de Movilidad],"Intercambio*",Tabla2[Universidad KPIs],'Utilización Convenios'!$C160,Tabla2[Año],'Utilización Convenios'!E$142,Tabla2[Nivel Nominación],"Postgraduate / Master")</f>
        <v>0</v>
      </c>
      <c r="G160" s="10">
        <f>COUNTIFS(Tabla1[Tipo de Movilidad],"Intercambio*",Tabla1[Universidad KPIs],'Utilización Convenios'!$C160,Tabla1[Año de Movilidad],'Utilización Convenios'!G$3,Tabla1[Nivel],"Maestría")</f>
        <v>0</v>
      </c>
      <c r="H160" s="11">
        <f>COUNTIFS(Tabla2[Tipo de Movilidad],"Intercambio*",Tabla2[Universidad KPIs],'Utilización Convenios'!$C160,Tabla2[Año],'Utilización Convenios'!G$142,Tabla2[Nivel Nominación],"Postgraduate / Master")</f>
        <v>0</v>
      </c>
      <c r="I160" s="10">
        <f>COUNTIFS(Tabla1[Tipo de Movilidad],"Intercambio*",Tabla1[Universidad KPIs],'Utilización Convenios'!$C160,Tabla1[Año de Movilidad],'Utilización Convenios'!I$3,Tabla1[Nivel],"Maestría")</f>
        <v>0</v>
      </c>
      <c r="J160" s="11">
        <f>COUNTIFS(Tabla2[Tipo de Movilidad],"Intercambio*",Tabla2[Universidad KPIs],'Utilización Convenios'!$C160,Tabla2[Año],'Utilización Convenios'!I$142,Tabla2[Nivel Nominación],"Postgraduate / Master")</f>
        <v>0</v>
      </c>
      <c r="K160" s="10">
        <f>COUNTIFS(Tabla1[Tipo de Movilidad],"Intercambio*",Tabla1[Universidad KPIs],'Utilización Convenios'!$C160,Tabla1[Año de Movilidad],'Utilización Convenios'!K$3,Tabla1[Nivel],"Maestría")</f>
        <v>0</v>
      </c>
      <c r="L160" s="11">
        <f>COUNTIFS(Tabla2[Tipo de Movilidad],"Intercambio*",Tabla2[Universidad KPIs],'Utilización Convenios'!$C160,Tabla2[Año],'Utilización Convenios'!K$142,Tabla2[Nivel Nominación],"Postgraduate / Master")</f>
        <v>0</v>
      </c>
      <c r="M160" s="10">
        <f>COUNTIFS(Tabla1[Tipo de Movilidad],"Intercambio*",Tabla1[Universidad KPIs],'Utilización Convenios'!$C160,Tabla1[Año de Movilidad],'Utilización Convenios'!M$3,Tabla1[Nivel],"Maestría")</f>
        <v>0</v>
      </c>
      <c r="N160" s="26">
        <f>COUNTIFS(Tabla2[Tipo de Movilidad],"Intercambio*",Tabla2[Universidad KPIs],'Utilización Convenios'!$C160,Tabla2[Año],'Utilización Convenios'!M$142,Tabla2[Nivel Nominación],"Postgraduate / Master")</f>
        <v>0</v>
      </c>
      <c r="O160" s="10">
        <f>COUNTIFS(Tabla1[Tipo de Movilidad],"Intercambio*",Tabla1[Universidad KPIs],'Utilización Convenios'!$C160,Tabla1[Año de Movilidad],'Utilización Convenios'!O$3,Tabla1[Nivel],"Maestría")</f>
        <v>0</v>
      </c>
      <c r="P160" s="26">
        <f>COUNTIFS(Tabla2[Tipo de Movilidad],"Intercambio*",Tabla2[Universidad KPIs],'Utilización Convenios'!$C160,Tabla2[Año],'Utilización Convenios'!O$142,Tabla2[Nivel Nominación],"Postgraduate / Master")</f>
        <v>0</v>
      </c>
      <c r="Q160" s="41">
        <f t="shared" si="7"/>
        <v>0</v>
      </c>
      <c r="R160" s="42">
        <f t="shared" si="7"/>
        <v>0</v>
      </c>
    </row>
    <row r="161" spans="2:18">
      <c r="B161" s="185"/>
      <c r="C161" s="10" t="s">
        <v>63</v>
      </c>
      <c r="D161" s="11" t="s">
        <v>41</v>
      </c>
      <c r="E161" s="10">
        <f>COUNTIFS(Tabla1[Tipo de Movilidad],"Intercambio*",Tabla1[Universidad KPIs],'Utilización Convenios'!$C161,Tabla1[Año de Movilidad],'Utilización Convenios'!E$3,Tabla1[Nivel],"Maestría")</f>
        <v>0</v>
      </c>
      <c r="F161" s="11">
        <f>COUNTIFS(Tabla2[Tipo de Movilidad],"Intercambio*",Tabla2[Universidad KPIs],'Utilización Convenios'!$C161,Tabla2[Año],'Utilización Convenios'!E$142,Tabla2[Nivel Nominación],"Postgraduate / Master")</f>
        <v>0</v>
      </c>
      <c r="G161" s="10">
        <f>COUNTIFS(Tabla1[Tipo de Movilidad],"Intercambio*",Tabla1[Universidad KPIs],'Utilización Convenios'!$C161,Tabla1[Año de Movilidad],'Utilización Convenios'!G$3,Tabla1[Nivel],"Maestría")</f>
        <v>0</v>
      </c>
      <c r="H161" s="11">
        <f>COUNTIFS(Tabla2[Tipo de Movilidad],"Intercambio*",Tabla2[Universidad KPIs],'Utilización Convenios'!$C161,Tabla2[Año],'Utilización Convenios'!G$142,Tabla2[Nivel Nominación],"Postgraduate / Master")</f>
        <v>2</v>
      </c>
      <c r="I161" s="10">
        <f>COUNTIFS(Tabla1[Tipo de Movilidad],"Intercambio*",Tabla1[Universidad KPIs],'Utilización Convenios'!$C161,Tabla1[Año de Movilidad],'Utilización Convenios'!I$3,Tabla1[Nivel],"Maestría")</f>
        <v>0</v>
      </c>
      <c r="J161" s="11">
        <f>COUNTIFS(Tabla2[Tipo de Movilidad],"Intercambio*",Tabla2[Universidad KPIs],'Utilización Convenios'!$C161,Tabla2[Año],'Utilización Convenios'!I$142,Tabla2[Nivel Nominación],"Postgraduate / Master")</f>
        <v>1</v>
      </c>
      <c r="K161" s="10">
        <f>COUNTIFS(Tabla1[Tipo de Movilidad],"Intercambio*",Tabla1[Universidad KPIs],'Utilización Convenios'!$C161,Tabla1[Año de Movilidad],'Utilización Convenios'!K$3,Tabla1[Nivel],"Maestría")</f>
        <v>0</v>
      </c>
      <c r="L161" s="11">
        <f>COUNTIFS(Tabla2[Tipo de Movilidad],"Intercambio*",Tabla2[Universidad KPIs],'Utilización Convenios'!$C161,Tabla2[Año],'Utilización Convenios'!K$142,Tabla2[Nivel Nominación],"Postgraduate / Master")</f>
        <v>2</v>
      </c>
      <c r="M161" s="10">
        <f>COUNTIFS(Tabla1[Tipo de Movilidad],"Intercambio*",Tabla1[Universidad KPIs],'Utilización Convenios'!$C161,Tabla1[Año de Movilidad],'Utilización Convenios'!M$3,Tabla1[Nivel],"Maestría")</f>
        <v>0</v>
      </c>
      <c r="N161" s="26">
        <f>COUNTIFS(Tabla2[Tipo de Movilidad],"Intercambio*",Tabla2[Universidad KPIs],'Utilización Convenios'!$C161,Tabla2[Año],'Utilización Convenios'!M$142,Tabla2[Nivel Nominación],"Postgraduate / Master")</f>
        <v>1</v>
      </c>
      <c r="O161" s="10">
        <f>COUNTIFS(Tabla1[Tipo de Movilidad],"Intercambio*",Tabla1[Universidad KPIs],'Utilización Convenios'!$C161,Tabla1[Año de Movilidad],'Utilización Convenios'!O$3,Tabla1[Nivel],"Maestría")</f>
        <v>0</v>
      </c>
      <c r="P161" s="26">
        <f>COUNTIFS(Tabla2[Tipo de Movilidad],"Intercambio*",Tabla2[Universidad KPIs],'Utilización Convenios'!$C161,Tabla2[Año],'Utilización Convenios'!O$142,Tabla2[Nivel Nominación],"Postgraduate / Master")</f>
        <v>1</v>
      </c>
      <c r="Q161" s="41">
        <f t="shared" si="7"/>
        <v>0</v>
      </c>
      <c r="R161" s="42">
        <f t="shared" si="7"/>
        <v>7</v>
      </c>
    </row>
    <row r="162" spans="2:18">
      <c r="B162" s="185"/>
      <c r="C162" s="10" t="s">
        <v>64</v>
      </c>
      <c r="D162" s="11" t="s">
        <v>65</v>
      </c>
      <c r="E162" s="10">
        <f>COUNTIFS(Tabla1[Tipo de Movilidad],"Intercambio*",Tabla1[Universidad KPIs],'Utilización Convenios'!$C162,Tabla1[Año de Movilidad],'Utilización Convenios'!E$3,Tabla1[Nivel],"Maestría")</f>
        <v>0</v>
      </c>
      <c r="F162" s="11">
        <f>COUNTIFS(Tabla2[Tipo de Movilidad],"Intercambio*",Tabla2[Universidad KPIs],'Utilización Convenios'!$C162,Tabla2[Año],'Utilización Convenios'!E$142,Tabla2[Nivel Nominación],"Postgraduate / Master")</f>
        <v>0</v>
      </c>
      <c r="G162" s="10">
        <f>COUNTIFS(Tabla1[Tipo de Movilidad],"Intercambio*",Tabla1[Universidad KPIs],'Utilización Convenios'!$C162,Tabla1[Año de Movilidad],'Utilización Convenios'!G$3,Tabla1[Nivel],"Maestría")</f>
        <v>0</v>
      </c>
      <c r="H162" s="11">
        <f>COUNTIFS(Tabla2[Tipo de Movilidad],"Intercambio*",Tabla2[Universidad KPIs],'Utilización Convenios'!$C162,Tabla2[Año],'Utilización Convenios'!G$142,Tabla2[Nivel Nominación],"Postgraduate / Master")</f>
        <v>0</v>
      </c>
      <c r="I162" s="10">
        <f>COUNTIFS(Tabla1[Tipo de Movilidad],"Intercambio*",Tabla1[Universidad KPIs],'Utilización Convenios'!$C162,Tabla1[Año de Movilidad],'Utilización Convenios'!I$3,Tabla1[Nivel],"Maestría")</f>
        <v>0</v>
      </c>
      <c r="J162" s="11">
        <f>COUNTIFS(Tabla2[Tipo de Movilidad],"Intercambio*",Tabla2[Universidad KPIs],'Utilización Convenios'!$C162,Tabla2[Año],'Utilización Convenios'!I$142,Tabla2[Nivel Nominación],"Postgraduate / Master")</f>
        <v>0</v>
      </c>
      <c r="K162" s="10">
        <f>COUNTIFS(Tabla1[Tipo de Movilidad],"Intercambio*",Tabla1[Universidad KPIs],'Utilización Convenios'!$C162,Tabla1[Año de Movilidad],'Utilización Convenios'!K$3,Tabla1[Nivel],"Maestría")</f>
        <v>0</v>
      </c>
      <c r="L162" s="11">
        <f>COUNTIFS(Tabla2[Tipo de Movilidad],"Intercambio*",Tabla2[Universidad KPIs],'Utilización Convenios'!$C162,Tabla2[Año],'Utilización Convenios'!K$142,Tabla2[Nivel Nominación],"Postgraduate / Master")</f>
        <v>0</v>
      </c>
      <c r="M162" s="10">
        <f>COUNTIFS(Tabla1[Tipo de Movilidad],"Intercambio*",Tabla1[Universidad KPIs],'Utilización Convenios'!$C162,Tabla1[Año de Movilidad],'Utilización Convenios'!M$3,Tabla1[Nivel],"Maestría")</f>
        <v>0</v>
      </c>
      <c r="N162" s="26">
        <f>COUNTIFS(Tabla2[Tipo de Movilidad],"Intercambio*",Tabla2[Universidad KPIs],'Utilización Convenios'!$C162,Tabla2[Año],'Utilización Convenios'!M$142,Tabla2[Nivel Nominación],"Postgraduate / Master")</f>
        <v>0</v>
      </c>
      <c r="O162" s="10">
        <f>COUNTIFS(Tabla1[Tipo de Movilidad],"Intercambio*",Tabla1[Universidad KPIs],'Utilización Convenios'!$C162,Tabla1[Año de Movilidad],'Utilización Convenios'!O$3,Tabla1[Nivel],"Maestría")</f>
        <v>0</v>
      </c>
      <c r="P162" s="26">
        <f>COUNTIFS(Tabla2[Tipo de Movilidad],"Intercambio*",Tabla2[Universidad KPIs],'Utilización Convenios'!$C162,Tabla2[Año],'Utilización Convenios'!O$142,Tabla2[Nivel Nominación],"Postgraduate / Master")</f>
        <v>0</v>
      </c>
      <c r="Q162" s="41">
        <f t="shared" si="7"/>
        <v>0</v>
      </c>
      <c r="R162" s="42">
        <f t="shared" si="7"/>
        <v>0</v>
      </c>
    </row>
    <row r="163" spans="2:18">
      <c r="B163" s="185"/>
      <c r="C163" s="10" t="s">
        <v>66</v>
      </c>
      <c r="D163" s="11" t="s">
        <v>58</v>
      </c>
      <c r="E163" s="10">
        <f>COUNTIFS(Tabla1[Tipo de Movilidad],"Intercambio*",Tabla1[Universidad KPIs],'Utilización Convenios'!$C163,Tabla1[Año de Movilidad],'Utilización Convenios'!E$3,Tabla1[Nivel],"Maestría")</f>
        <v>0</v>
      </c>
      <c r="F163" s="11">
        <f>COUNTIFS(Tabla2[Tipo de Movilidad],"Intercambio*",Tabla2[Universidad KPIs],'Utilización Convenios'!$C163,Tabla2[Año],'Utilización Convenios'!E$142,Tabla2[Nivel Nominación],"Postgraduate / Master")</f>
        <v>0</v>
      </c>
      <c r="G163" s="10">
        <f>COUNTIFS(Tabla1[Tipo de Movilidad],"Intercambio*",Tabla1[Universidad KPIs],'Utilización Convenios'!$C163,Tabla1[Año de Movilidad],'Utilización Convenios'!G$3,Tabla1[Nivel],"Maestría")</f>
        <v>0</v>
      </c>
      <c r="H163" s="11">
        <f>COUNTIFS(Tabla2[Tipo de Movilidad],"Intercambio*",Tabla2[Universidad KPIs],'Utilización Convenios'!$C163,Tabla2[Año],'Utilización Convenios'!G$142,Tabla2[Nivel Nominación],"Postgraduate / Master")</f>
        <v>0</v>
      </c>
      <c r="I163" s="10">
        <f>COUNTIFS(Tabla1[Tipo de Movilidad],"Intercambio*",Tabla1[Universidad KPIs],'Utilización Convenios'!$C163,Tabla1[Año de Movilidad],'Utilización Convenios'!I$3,Tabla1[Nivel],"Maestría")</f>
        <v>0</v>
      </c>
      <c r="J163" s="11">
        <f>COUNTIFS(Tabla2[Tipo de Movilidad],"Intercambio*",Tabla2[Universidad KPIs],'Utilización Convenios'!$C163,Tabla2[Año],'Utilización Convenios'!I$142,Tabla2[Nivel Nominación],"Postgraduate / Master")</f>
        <v>0</v>
      </c>
      <c r="K163" s="10">
        <f>COUNTIFS(Tabla1[Tipo de Movilidad],"Intercambio*",Tabla1[Universidad KPIs],'Utilización Convenios'!$C163,Tabla1[Año de Movilidad],'Utilización Convenios'!K$3,Tabla1[Nivel],"Maestría")</f>
        <v>0</v>
      </c>
      <c r="L163" s="11">
        <f>COUNTIFS(Tabla2[Tipo de Movilidad],"Intercambio*",Tabla2[Universidad KPIs],'Utilización Convenios'!$C163,Tabla2[Año],'Utilización Convenios'!K$142,Tabla2[Nivel Nominación],"Postgraduate / Master")</f>
        <v>0</v>
      </c>
      <c r="M163" s="10">
        <f>COUNTIFS(Tabla1[Tipo de Movilidad],"Intercambio*",Tabla1[Universidad KPIs],'Utilización Convenios'!$C163,Tabla1[Año de Movilidad],'Utilización Convenios'!M$3,Tabla1[Nivel],"Maestría")</f>
        <v>0</v>
      </c>
      <c r="N163" s="26">
        <f>COUNTIFS(Tabla2[Tipo de Movilidad],"Intercambio*",Tabla2[Universidad KPIs],'Utilización Convenios'!$C163,Tabla2[Año],'Utilización Convenios'!M$142,Tabla2[Nivel Nominación],"Postgraduate / Master")</f>
        <v>0</v>
      </c>
      <c r="O163" s="10">
        <f>COUNTIFS(Tabla1[Tipo de Movilidad],"Intercambio*",Tabla1[Universidad KPIs],'Utilización Convenios'!$C163,Tabla1[Año de Movilidad],'Utilización Convenios'!O$3,Tabla1[Nivel],"Maestría")</f>
        <v>0</v>
      </c>
      <c r="P163" s="26">
        <f>COUNTIFS(Tabla2[Tipo de Movilidad],"Intercambio*",Tabla2[Universidad KPIs],'Utilización Convenios'!$C163,Tabla2[Año],'Utilización Convenios'!O$142,Tabla2[Nivel Nominación],"Postgraduate / Master")</f>
        <v>0</v>
      </c>
      <c r="Q163" s="41">
        <f t="shared" si="7"/>
        <v>0</v>
      </c>
      <c r="R163" s="42">
        <f t="shared" si="7"/>
        <v>0</v>
      </c>
    </row>
    <row r="164" spans="2:18">
      <c r="B164" s="185"/>
      <c r="C164" s="10" t="s">
        <v>67</v>
      </c>
      <c r="D164" s="11" t="s">
        <v>41</v>
      </c>
      <c r="E164" s="10">
        <f>COUNTIFS(Tabla1[Tipo de Movilidad],"Intercambio*",Tabla1[Universidad KPIs],'Utilización Convenios'!$C164,Tabla1[Año de Movilidad],'Utilización Convenios'!E$3,Tabla1[Nivel],"Maestría")</f>
        <v>0</v>
      </c>
      <c r="F164" s="11">
        <f>COUNTIFS(Tabla2[Tipo de Movilidad],"Intercambio*",Tabla2[Universidad KPIs],'Utilización Convenios'!$C164,Tabla2[Año],'Utilización Convenios'!E$142,Tabla2[Nivel Nominación],"Postgraduate / Master")</f>
        <v>0</v>
      </c>
      <c r="G164" s="10">
        <f>COUNTIFS(Tabla1[Tipo de Movilidad],"Intercambio*",Tabla1[Universidad KPIs],'Utilización Convenios'!$C164,Tabla1[Año de Movilidad],'Utilización Convenios'!G$3,Tabla1[Nivel],"Maestría")</f>
        <v>0</v>
      </c>
      <c r="H164" s="11">
        <f>COUNTIFS(Tabla2[Tipo de Movilidad],"Intercambio*",Tabla2[Universidad KPIs],'Utilización Convenios'!$C164,Tabla2[Año],'Utilización Convenios'!G$142,Tabla2[Nivel Nominación],"Postgraduate / Master")</f>
        <v>0</v>
      </c>
      <c r="I164" s="10">
        <f>COUNTIFS(Tabla1[Tipo de Movilidad],"Intercambio*",Tabla1[Universidad KPIs],'Utilización Convenios'!$C164,Tabla1[Año de Movilidad],'Utilización Convenios'!I$3,Tabla1[Nivel],"Maestría")</f>
        <v>0</v>
      </c>
      <c r="J164" s="11">
        <f>COUNTIFS(Tabla2[Tipo de Movilidad],"Intercambio*",Tabla2[Universidad KPIs],'Utilización Convenios'!$C164,Tabla2[Año],'Utilización Convenios'!I$142,Tabla2[Nivel Nominación],"Postgraduate / Master")</f>
        <v>0</v>
      </c>
      <c r="K164" s="10">
        <f>COUNTIFS(Tabla1[Tipo de Movilidad],"Intercambio*",Tabla1[Universidad KPIs],'Utilización Convenios'!$C164,Tabla1[Año de Movilidad],'Utilización Convenios'!K$3,Tabla1[Nivel],"Maestría")</f>
        <v>0</v>
      </c>
      <c r="L164" s="11">
        <f>COUNTIFS(Tabla2[Tipo de Movilidad],"Intercambio*",Tabla2[Universidad KPIs],'Utilización Convenios'!$C164,Tabla2[Año],'Utilización Convenios'!K$142,Tabla2[Nivel Nominación],"Postgraduate / Master")</f>
        <v>2</v>
      </c>
      <c r="M164" s="10">
        <f>COUNTIFS(Tabla1[Tipo de Movilidad],"Intercambio*",Tabla1[Universidad KPIs],'Utilización Convenios'!$C164,Tabla1[Año de Movilidad],'Utilización Convenios'!M$3,Tabla1[Nivel],"Maestría")</f>
        <v>0</v>
      </c>
      <c r="N164" s="26">
        <f>COUNTIFS(Tabla2[Tipo de Movilidad],"Intercambio*",Tabla2[Universidad KPIs],'Utilización Convenios'!$C164,Tabla2[Año],'Utilización Convenios'!M$142,Tabla2[Nivel Nominación],"Postgraduate / Master")</f>
        <v>0</v>
      </c>
      <c r="O164" s="10">
        <f>COUNTIFS(Tabla1[Tipo de Movilidad],"Intercambio*",Tabla1[Universidad KPIs],'Utilización Convenios'!$C164,Tabla1[Año de Movilidad],'Utilización Convenios'!O$3,Tabla1[Nivel],"Maestría")</f>
        <v>0</v>
      </c>
      <c r="P164" s="26">
        <f>COUNTIFS(Tabla2[Tipo de Movilidad],"Intercambio*",Tabla2[Universidad KPIs],'Utilización Convenios'!$C164,Tabla2[Año],'Utilización Convenios'!O$142,Tabla2[Nivel Nominación],"Postgraduate / Master")</f>
        <v>0</v>
      </c>
      <c r="Q164" s="41">
        <f t="shared" si="7"/>
        <v>0</v>
      </c>
      <c r="R164" s="42">
        <f t="shared" si="7"/>
        <v>2</v>
      </c>
    </row>
    <row r="165" spans="2:18">
      <c r="B165" s="185"/>
      <c r="C165" s="10" t="s">
        <v>68</v>
      </c>
      <c r="D165" s="11" t="s">
        <v>41</v>
      </c>
      <c r="E165" s="10">
        <f>COUNTIFS(Tabla1[Tipo de Movilidad],"Intercambio*",Tabla1[Universidad KPIs],'Utilización Convenios'!$C165,Tabla1[Año de Movilidad],'Utilización Convenios'!E$3,Tabla1[Nivel],"Maestría")</f>
        <v>0</v>
      </c>
      <c r="F165" s="11">
        <f>COUNTIFS(Tabla2[Tipo de Movilidad],"Intercambio*",Tabla2[Universidad KPIs],'Utilización Convenios'!$C165,Tabla2[Año],'Utilización Convenios'!E$142,Tabla2[Nivel Nominación],"Postgraduate / Master")</f>
        <v>0</v>
      </c>
      <c r="G165" s="10">
        <f>COUNTIFS(Tabla1[Tipo de Movilidad],"Intercambio*",Tabla1[Universidad KPIs],'Utilización Convenios'!$C165,Tabla1[Año de Movilidad],'Utilización Convenios'!G$3,Tabla1[Nivel],"Maestría")</f>
        <v>0</v>
      </c>
      <c r="H165" s="11">
        <f>COUNTIFS(Tabla2[Tipo de Movilidad],"Intercambio*",Tabla2[Universidad KPIs],'Utilización Convenios'!$C165,Tabla2[Año],'Utilización Convenios'!G$142,Tabla2[Nivel Nominación],"Postgraduate / Master")</f>
        <v>0</v>
      </c>
      <c r="I165" s="10">
        <f>COUNTIFS(Tabla1[Tipo de Movilidad],"Intercambio*",Tabla1[Universidad KPIs],'Utilización Convenios'!$C165,Tabla1[Año de Movilidad],'Utilización Convenios'!I$3,Tabla1[Nivel],"Maestría")</f>
        <v>0</v>
      </c>
      <c r="J165" s="11">
        <f>COUNTIFS(Tabla2[Tipo de Movilidad],"Intercambio*",Tabla2[Universidad KPIs],'Utilización Convenios'!$C165,Tabla2[Año],'Utilización Convenios'!I$142,Tabla2[Nivel Nominación],"Postgraduate / Master")</f>
        <v>0</v>
      </c>
      <c r="K165" s="10">
        <f>COUNTIFS(Tabla1[Tipo de Movilidad],"Intercambio*",Tabla1[Universidad KPIs],'Utilización Convenios'!$C165,Tabla1[Año de Movilidad],'Utilización Convenios'!K$3,Tabla1[Nivel],"Maestría")</f>
        <v>0</v>
      </c>
      <c r="L165" s="11">
        <f>COUNTIFS(Tabla2[Tipo de Movilidad],"Intercambio*",Tabla2[Universidad KPIs],'Utilización Convenios'!$C165,Tabla2[Año],'Utilización Convenios'!K$142,Tabla2[Nivel Nominación],"Postgraduate / Master")</f>
        <v>0</v>
      </c>
      <c r="M165" s="10">
        <f>COUNTIFS(Tabla1[Tipo de Movilidad],"Intercambio*",Tabla1[Universidad KPIs],'Utilización Convenios'!$C165,Tabla1[Año de Movilidad],'Utilización Convenios'!M$3,Tabla1[Nivel],"Maestría")</f>
        <v>0</v>
      </c>
      <c r="N165" s="26">
        <f>COUNTIFS(Tabla2[Tipo de Movilidad],"Intercambio*",Tabla2[Universidad KPIs],'Utilización Convenios'!$C165,Tabla2[Año],'Utilización Convenios'!M$142,Tabla2[Nivel Nominación],"Postgraduate / Master")</f>
        <v>0</v>
      </c>
      <c r="O165" s="10">
        <f>COUNTIFS(Tabla1[Tipo de Movilidad],"Intercambio*",Tabla1[Universidad KPIs],'Utilización Convenios'!$C165,Tabla1[Año de Movilidad],'Utilización Convenios'!O$3,Tabla1[Nivel],"Maestría")</f>
        <v>0</v>
      </c>
      <c r="P165" s="26">
        <f>COUNTIFS(Tabla2[Tipo de Movilidad],"Intercambio*",Tabla2[Universidad KPIs],'Utilización Convenios'!$C165,Tabla2[Año],'Utilización Convenios'!O$142,Tabla2[Nivel Nominación],"Postgraduate / Master")</f>
        <v>0</v>
      </c>
      <c r="Q165" s="41">
        <f t="shared" si="7"/>
        <v>0</v>
      </c>
      <c r="R165" s="42">
        <f t="shared" si="7"/>
        <v>0</v>
      </c>
    </row>
    <row r="166" spans="2:18">
      <c r="B166" s="185"/>
      <c r="C166" s="10" t="s">
        <v>69</v>
      </c>
      <c r="D166" s="11" t="s">
        <v>53</v>
      </c>
      <c r="E166" s="10">
        <f>COUNTIFS(Tabla1[Tipo de Movilidad],"Intercambio*",Tabla1[Universidad KPIs],'Utilización Convenios'!$C166,Tabla1[Año de Movilidad],'Utilización Convenios'!E$3,Tabla1[Nivel],"Maestría")</f>
        <v>0</v>
      </c>
      <c r="F166" s="11">
        <f>COUNTIFS(Tabla2[Tipo de Movilidad],"Intercambio*",Tabla2[Universidad KPIs],'Utilización Convenios'!$C166,Tabla2[Año],'Utilización Convenios'!E$142,Tabla2[Nivel Nominación],"Postgraduate / Master")</f>
        <v>0</v>
      </c>
      <c r="G166" s="10">
        <f>COUNTIFS(Tabla1[Tipo de Movilidad],"Intercambio*",Tabla1[Universidad KPIs],'Utilización Convenios'!$C166,Tabla1[Año de Movilidad],'Utilización Convenios'!G$3,Tabla1[Nivel],"Maestría")</f>
        <v>0</v>
      </c>
      <c r="H166" s="11">
        <f>COUNTIFS(Tabla2[Tipo de Movilidad],"Intercambio*",Tabla2[Universidad KPIs],'Utilización Convenios'!$C166,Tabla2[Año],'Utilización Convenios'!G$142,Tabla2[Nivel Nominación],"Postgraduate / Master")</f>
        <v>0</v>
      </c>
      <c r="I166" s="10">
        <f>COUNTIFS(Tabla1[Tipo de Movilidad],"Intercambio*",Tabla1[Universidad KPIs],'Utilización Convenios'!$C166,Tabla1[Año de Movilidad],'Utilización Convenios'!I$3,Tabla1[Nivel],"Maestría")</f>
        <v>0</v>
      </c>
      <c r="J166" s="11">
        <f>COUNTIFS(Tabla2[Tipo de Movilidad],"Intercambio*",Tabla2[Universidad KPIs],'Utilización Convenios'!$C166,Tabla2[Año],'Utilización Convenios'!I$142,Tabla2[Nivel Nominación],"Postgraduate / Master")</f>
        <v>0</v>
      </c>
      <c r="K166" s="10">
        <f>COUNTIFS(Tabla1[Tipo de Movilidad],"Intercambio*",Tabla1[Universidad KPIs],'Utilización Convenios'!$C166,Tabla1[Año de Movilidad],'Utilización Convenios'!K$3,Tabla1[Nivel],"Maestría")</f>
        <v>0</v>
      </c>
      <c r="L166" s="11">
        <f>COUNTIFS(Tabla2[Tipo de Movilidad],"Intercambio*",Tabla2[Universidad KPIs],'Utilización Convenios'!$C166,Tabla2[Año],'Utilización Convenios'!K$142,Tabla2[Nivel Nominación],"Postgraduate / Master")</f>
        <v>0</v>
      </c>
      <c r="M166" s="10">
        <f>COUNTIFS(Tabla1[Tipo de Movilidad],"Intercambio*",Tabla1[Universidad KPIs],'Utilización Convenios'!$C166,Tabla1[Año de Movilidad],'Utilización Convenios'!M$3,Tabla1[Nivel],"Maestría")</f>
        <v>0</v>
      </c>
      <c r="N166" s="26">
        <f>COUNTIFS(Tabla2[Tipo de Movilidad],"Intercambio*",Tabla2[Universidad KPIs],'Utilización Convenios'!$C166,Tabla2[Año],'Utilización Convenios'!M$142,Tabla2[Nivel Nominación],"Postgraduate / Master")</f>
        <v>0</v>
      </c>
      <c r="O166" s="10">
        <f>COUNTIFS(Tabla1[Tipo de Movilidad],"Intercambio*",Tabla1[Universidad KPIs],'Utilización Convenios'!$C166,Tabla1[Año de Movilidad],'Utilización Convenios'!O$3,Tabla1[Nivel],"Maestría")</f>
        <v>0</v>
      </c>
      <c r="P166" s="26">
        <f>COUNTIFS(Tabla2[Tipo de Movilidad],"Intercambio*",Tabla2[Universidad KPIs],'Utilización Convenios'!$C166,Tabla2[Año],'Utilización Convenios'!O$142,Tabla2[Nivel Nominación],"Postgraduate / Master")</f>
        <v>0</v>
      </c>
      <c r="Q166" s="41">
        <f t="shared" si="7"/>
        <v>0</v>
      </c>
      <c r="R166" s="42">
        <f t="shared" si="7"/>
        <v>0</v>
      </c>
    </row>
    <row r="167" spans="2:18">
      <c r="B167" s="185"/>
      <c r="C167" s="10" t="s">
        <v>70</v>
      </c>
      <c r="D167" s="11" t="s">
        <v>71</v>
      </c>
      <c r="E167" s="10">
        <f>COUNTIFS(Tabla1[Tipo de Movilidad],"Intercambio*",Tabla1[Universidad KPIs],'Utilización Convenios'!$C167,Tabla1[Año de Movilidad],'Utilización Convenios'!E$3,Tabla1[Nivel],"Maestría")</f>
        <v>0</v>
      </c>
      <c r="F167" s="11">
        <f>COUNTIFS(Tabla2[Tipo de Movilidad],"Intercambio*",Tabla2[Universidad KPIs],'Utilización Convenios'!$C167,Tabla2[Año],'Utilización Convenios'!E$142,Tabla2[Nivel Nominación],"Postgraduate / Master")</f>
        <v>0</v>
      </c>
      <c r="G167" s="10">
        <f>COUNTIFS(Tabla1[Tipo de Movilidad],"Intercambio*",Tabla1[Universidad KPIs],'Utilización Convenios'!$C167,Tabla1[Año de Movilidad],'Utilización Convenios'!G$3,Tabla1[Nivel],"Maestría")</f>
        <v>0</v>
      </c>
      <c r="H167" s="11">
        <f>COUNTIFS(Tabla2[Tipo de Movilidad],"Intercambio*",Tabla2[Universidad KPIs],'Utilización Convenios'!$C167,Tabla2[Año],'Utilización Convenios'!G$142,Tabla2[Nivel Nominación],"Postgraduate / Master")</f>
        <v>0</v>
      </c>
      <c r="I167" s="10">
        <f>COUNTIFS(Tabla1[Tipo de Movilidad],"Intercambio*",Tabla1[Universidad KPIs],'Utilización Convenios'!$C167,Tabla1[Año de Movilidad],'Utilización Convenios'!I$3,Tabla1[Nivel],"Maestría")</f>
        <v>0</v>
      </c>
      <c r="J167" s="11">
        <f>COUNTIFS(Tabla2[Tipo de Movilidad],"Intercambio*",Tabla2[Universidad KPIs],'Utilización Convenios'!$C167,Tabla2[Año],'Utilización Convenios'!I$142,Tabla2[Nivel Nominación],"Postgraduate / Master")</f>
        <v>0</v>
      </c>
      <c r="K167" s="10">
        <f>COUNTIFS(Tabla1[Tipo de Movilidad],"Intercambio*",Tabla1[Universidad KPIs],'Utilización Convenios'!$C167,Tabla1[Año de Movilidad],'Utilización Convenios'!K$3,Tabla1[Nivel],"Maestría")</f>
        <v>0</v>
      </c>
      <c r="L167" s="11">
        <f>COUNTIFS(Tabla2[Tipo de Movilidad],"Intercambio*",Tabla2[Universidad KPIs],'Utilización Convenios'!$C167,Tabla2[Año],'Utilización Convenios'!K$142,Tabla2[Nivel Nominación],"Postgraduate / Master")</f>
        <v>0</v>
      </c>
      <c r="M167" s="10">
        <f>COUNTIFS(Tabla1[Tipo de Movilidad],"Intercambio*",Tabla1[Universidad KPIs],'Utilización Convenios'!$C167,Tabla1[Año de Movilidad],'Utilización Convenios'!M$3,Tabla1[Nivel],"Maestría")</f>
        <v>0</v>
      </c>
      <c r="N167" s="26">
        <f>COUNTIFS(Tabla2[Tipo de Movilidad],"Intercambio*",Tabla2[Universidad KPIs],'Utilización Convenios'!$C167,Tabla2[Año],'Utilización Convenios'!M$142,Tabla2[Nivel Nominación],"Postgraduate / Master")</f>
        <v>0</v>
      </c>
      <c r="O167" s="10">
        <f>COUNTIFS(Tabla1[Tipo de Movilidad],"Intercambio*",Tabla1[Universidad KPIs],'Utilización Convenios'!$C167,Tabla1[Año de Movilidad],'Utilización Convenios'!O$3,Tabla1[Nivel],"Maestría")</f>
        <v>0</v>
      </c>
      <c r="P167" s="26">
        <f>COUNTIFS(Tabla2[Tipo de Movilidad],"Intercambio*",Tabla2[Universidad KPIs],'Utilización Convenios'!$C167,Tabla2[Año],'Utilización Convenios'!O$142,Tabla2[Nivel Nominación],"Postgraduate / Master")</f>
        <v>0</v>
      </c>
      <c r="Q167" s="41">
        <f t="shared" si="7"/>
        <v>0</v>
      </c>
      <c r="R167" s="42">
        <f t="shared" si="7"/>
        <v>0</v>
      </c>
    </row>
    <row r="168" spans="2:18">
      <c r="B168" s="185"/>
      <c r="C168" s="10" t="s">
        <v>72</v>
      </c>
      <c r="D168" s="11" t="s">
        <v>71</v>
      </c>
      <c r="E168" s="10">
        <f>COUNTIFS(Tabla1[Tipo de Movilidad],"Intercambio*",Tabla1[Universidad KPIs],'Utilización Convenios'!$C168,Tabla1[Año de Movilidad],'Utilización Convenios'!E$3,Tabla1[Nivel],"Maestría")</f>
        <v>0</v>
      </c>
      <c r="F168" s="11">
        <f>COUNTIFS(Tabla2[Tipo de Movilidad],"Intercambio*",Tabla2[Universidad KPIs],'Utilización Convenios'!$C168,Tabla2[Año],'Utilización Convenios'!E$142,Tabla2[Nivel Nominación],"Postgraduate / Master")</f>
        <v>0</v>
      </c>
      <c r="G168" s="10">
        <f>COUNTIFS(Tabla1[Tipo de Movilidad],"Intercambio*",Tabla1[Universidad KPIs],'Utilización Convenios'!$C168,Tabla1[Año de Movilidad],'Utilización Convenios'!G$3,Tabla1[Nivel],"Maestría")</f>
        <v>0</v>
      </c>
      <c r="H168" s="11">
        <f>COUNTIFS(Tabla2[Tipo de Movilidad],"Intercambio*",Tabla2[Universidad KPIs],'Utilización Convenios'!$C168,Tabla2[Año],'Utilización Convenios'!G$142,Tabla2[Nivel Nominación],"Postgraduate / Master")</f>
        <v>0</v>
      </c>
      <c r="I168" s="10">
        <f>COUNTIFS(Tabla1[Tipo de Movilidad],"Intercambio*",Tabla1[Universidad KPIs],'Utilización Convenios'!$C168,Tabla1[Año de Movilidad],'Utilización Convenios'!I$3,Tabla1[Nivel],"Maestría")</f>
        <v>0</v>
      </c>
      <c r="J168" s="11">
        <f>COUNTIFS(Tabla2[Tipo de Movilidad],"Intercambio*",Tabla2[Universidad KPIs],'Utilización Convenios'!$C168,Tabla2[Año],'Utilización Convenios'!I$142,Tabla2[Nivel Nominación],"Postgraduate / Master")</f>
        <v>0</v>
      </c>
      <c r="K168" s="10">
        <f>COUNTIFS(Tabla1[Tipo de Movilidad],"Intercambio*",Tabla1[Universidad KPIs],'Utilización Convenios'!$C168,Tabla1[Año de Movilidad],'Utilización Convenios'!K$3,Tabla1[Nivel],"Maestría")</f>
        <v>0</v>
      </c>
      <c r="L168" s="11">
        <f>COUNTIFS(Tabla2[Tipo de Movilidad],"Intercambio*",Tabla2[Universidad KPIs],'Utilización Convenios'!$C168,Tabla2[Año],'Utilización Convenios'!K$142,Tabla2[Nivel Nominación],"Postgraduate / Master")</f>
        <v>0</v>
      </c>
      <c r="M168" s="10">
        <f>COUNTIFS(Tabla1[Tipo de Movilidad],"Intercambio*",Tabla1[Universidad KPIs],'Utilización Convenios'!$C168,Tabla1[Año de Movilidad],'Utilización Convenios'!M$3,Tabla1[Nivel],"Maestría")+1</f>
        <v>1</v>
      </c>
      <c r="N168" s="26">
        <f>COUNTIFS(Tabla2[Tipo de Movilidad],"Intercambio*",Tabla2[Universidad KPIs],'Utilización Convenios'!$C168,Tabla2[Año],'Utilización Convenios'!M$142,Tabla2[Nivel Nominación],"Postgraduate / Master")</f>
        <v>0</v>
      </c>
      <c r="O168" s="10">
        <f>COUNTIFS(Tabla1[Tipo de Movilidad],"Intercambio*",Tabla1[Universidad KPIs],'Utilización Convenios'!$C168,Tabla1[Año de Movilidad],'Utilización Convenios'!O$3,Tabla1[Nivel],"Maestría")</f>
        <v>0</v>
      </c>
      <c r="P168" s="26">
        <f>COUNTIFS(Tabla2[Tipo de Movilidad],"Intercambio*",Tabla2[Universidad KPIs],'Utilización Convenios'!$C168,Tabla2[Año],'Utilización Convenios'!O$142,Tabla2[Nivel Nominación],"Postgraduate / Master")</f>
        <v>0</v>
      </c>
      <c r="Q168" s="41">
        <f t="shared" si="7"/>
        <v>1</v>
      </c>
      <c r="R168" s="42">
        <f t="shared" si="7"/>
        <v>0</v>
      </c>
    </row>
    <row r="169" spans="2:18">
      <c r="B169" s="185"/>
      <c r="C169" s="10" t="s">
        <v>73</v>
      </c>
      <c r="D169" s="11" t="s">
        <v>74</v>
      </c>
      <c r="E169" s="10">
        <f>COUNTIFS(Tabla1[Tipo de Movilidad],"Intercambio*",Tabla1[Universidad KPIs],'Utilización Convenios'!$C169,Tabla1[Año de Movilidad],'Utilización Convenios'!E$3,Tabla1[Nivel],"Maestría")</f>
        <v>0</v>
      </c>
      <c r="F169" s="11">
        <f>COUNTIFS(Tabla2[Tipo de Movilidad],"Intercambio*",Tabla2[Universidad KPIs],'Utilización Convenios'!$C169,Tabla2[Año],'Utilización Convenios'!E$142,Tabla2[Nivel Nominación],"Postgraduate / Master")</f>
        <v>0</v>
      </c>
      <c r="G169" s="10">
        <f>COUNTIFS(Tabla1[Tipo de Movilidad],"Intercambio*",Tabla1[Universidad KPIs],'Utilización Convenios'!$C169,Tabla1[Año de Movilidad],'Utilización Convenios'!G$3,Tabla1[Nivel],"Maestría")</f>
        <v>2</v>
      </c>
      <c r="H169" s="11">
        <f>COUNTIFS(Tabla2[Tipo de Movilidad],"Intercambio*",Tabla2[Universidad KPIs],'Utilización Convenios'!$C169,Tabla2[Año],'Utilización Convenios'!G$142,Tabla2[Nivel Nominación],"Postgraduate / Master")</f>
        <v>0</v>
      </c>
      <c r="I169" s="10">
        <f>COUNTIFS(Tabla1[Tipo de Movilidad],"Intercambio*",Tabla1[Universidad KPIs],'Utilización Convenios'!$C169,Tabla1[Año de Movilidad],'Utilización Convenios'!I$3,Tabla1[Nivel],"Maestría")</f>
        <v>0</v>
      </c>
      <c r="J169" s="11">
        <f>COUNTIFS(Tabla2[Tipo de Movilidad],"Intercambio*",Tabla2[Universidad KPIs],'Utilización Convenios'!$C169,Tabla2[Año],'Utilización Convenios'!I$142,Tabla2[Nivel Nominación],"Postgraduate / Master")</f>
        <v>2</v>
      </c>
      <c r="K169" s="10">
        <f>COUNTIFS(Tabla1[Tipo de Movilidad],"Intercambio*",Tabla1[Universidad KPIs],'Utilización Convenios'!$C169,Tabla1[Año de Movilidad],'Utilización Convenios'!K$3,Tabla1[Nivel],"Maestría")</f>
        <v>0</v>
      </c>
      <c r="L169" s="11">
        <f>COUNTIFS(Tabla2[Tipo de Movilidad],"Intercambio*",Tabla2[Universidad KPIs],'Utilización Convenios'!$C169,Tabla2[Año],'Utilización Convenios'!K$142,Tabla2[Nivel Nominación],"Postgraduate / Master")</f>
        <v>0</v>
      </c>
      <c r="M169" s="10">
        <f>COUNTIFS(Tabla1[Tipo de Movilidad],"Intercambio*",Tabla1[Universidad KPIs],'Utilización Convenios'!$C169,Tabla1[Año de Movilidad],'Utilización Convenios'!M$3,Tabla1[Nivel],"Maestría")</f>
        <v>0</v>
      </c>
      <c r="N169" s="26">
        <f>COUNTIFS(Tabla2[Tipo de Movilidad],"Intercambio*",Tabla2[Universidad KPIs],'Utilización Convenios'!$C169,Tabla2[Año],'Utilización Convenios'!M$142,Tabla2[Nivel Nominación],"Postgraduate / Master")</f>
        <v>0</v>
      </c>
      <c r="O169" s="10">
        <f>COUNTIFS(Tabla1[Tipo de Movilidad],"Intercambio*",Tabla1[Universidad KPIs],'Utilización Convenios'!$C169,Tabla1[Año de Movilidad],'Utilización Convenios'!O$3,Tabla1[Nivel],"Maestría")</f>
        <v>0</v>
      </c>
      <c r="P169" s="26">
        <f>COUNTIFS(Tabla2[Tipo de Movilidad],"Intercambio*",Tabla2[Universidad KPIs],'Utilización Convenios'!$C169,Tabla2[Año],'Utilización Convenios'!O$142,Tabla2[Nivel Nominación],"Postgraduate / Master")</f>
        <v>0</v>
      </c>
      <c r="Q169" s="41">
        <f t="shared" si="7"/>
        <v>2</v>
      </c>
      <c r="R169" s="42">
        <f t="shared" si="7"/>
        <v>2</v>
      </c>
    </row>
    <row r="170" spans="2:18">
      <c r="B170" s="185"/>
      <c r="C170" s="10" t="s">
        <v>75</v>
      </c>
      <c r="D170" s="11" t="s">
        <v>60</v>
      </c>
      <c r="E170" s="10">
        <f>COUNTIFS(Tabla1[Tipo de Movilidad],"Intercambio*",Tabla1[Universidad KPIs],'Utilización Convenios'!$C170,Tabla1[Año de Movilidad],'Utilización Convenios'!E$3,Tabla1[Nivel],"Maestría")</f>
        <v>0</v>
      </c>
      <c r="F170" s="11">
        <f>COUNTIFS(Tabla2[Tipo de Movilidad],"Intercambio*",Tabla2[Universidad KPIs],'Utilización Convenios'!$C170,Tabla2[Año],'Utilización Convenios'!E$142,Tabla2[Nivel Nominación],"Postgraduate / Master")</f>
        <v>0</v>
      </c>
      <c r="G170" s="10">
        <f>COUNTIFS(Tabla1[Tipo de Movilidad],"Intercambio*",Tabla1[Universidad KPIs],'Utilización Convenios'!$C170,Tabla1[Año de Movilidad],'Utilización Convenios'!G$3,Tabla1[Nivel],"Maestría")</f>
        <v>0</v>
      </c>
      <c r="H170" s="11">
        <f>COUNTIFS(Tabla2[Tipo de Movilidad],"Intercambio*",Tabla2[Universidad KPIs],'Utilización Convenios'!$C170,Tabla2[Año],'Utilización Convenios'!G$142,Tabla2[Nivel Nominación],"Postgraduate / Master")</f>
        <v>0</v>
      </c>
      <c r="I170" s="10">
        <f>COUNTIFS(Tabla1[Tipo de Movilidad],"Intercambio*",Tabla1[Universidad KPIs],'Utilización Convenios'!$C170,Tabla1[Año de Movilidad],'Utilización Convenios'!I$3,Tabla1[Nivel],"Maestría")</f>
        <v>1</v>
      </c>
      <c r="J170" s="11">
        <f>COUNTIFS(Tabla2[Tipo de Movilidad],"Intercambio*",Tabla2[Universidad KPIs],'Utilización Convenios'!$C170,Tabla2[Año],'Utilización Convenios'!I$142,Tabla2[Nivel Nominación],"Postgraduate / Master")</f>
        <v>0</v>
      </c>
      <c r="K170" s="10">
        <f>COUNTIFS(Tabla1[Tipo de Movilidad],"Intercambio*",Tabla1[Universidad KPIs],'Utilización Convenios'!$C170,Tabla1[Año de Movilidad],'Utilización Convenios'!K$3,Tabla1[Nivel],"Maestría")</f>
        <v>1</v>
      </c>
      <c r="L170" s="11">
        <f>COUNTIFS(Tabla2[Tipo de Movilidad],"Intercambio*",Tabla2[Universidad KPIs],'Utilización Convenios'!$C170,Tabla2[Año],'Utilización Convenios'!K$142,Tabla2[Nivel Nominación],"Postgraduate / Master")</f>
        <v>1</v>
      </c>
      <c r="M170" s="10">
        <f>COUNTIFS(Tabla1[Tipo de Movilidad],"Intercambio*",Tabla1[Universidad KPIs],'Utilización Convenios'!$C170,Tabla1[Año de Movilidad],'Utilización Convenios'!M$3,Tabla1[Nivel],"Maestría")</f>
        <v>0</v>
      </c>
      <c r="N170" s="26">
        <f>COUNTIFS(Tabla2[Tipo de Movilidad],"Intercambio*",Tabla2[Universidad KPIs],'Utilización Convenios'!$C170,Tabla2[Año],'Utilización Convenios'!M$142,Tabla2[Nivel Nominación],"Postgraduate / Master")</f>
        <v>0</v>
      </c>
      <c r="O170" s="10">
        <f>COUNTIFS(Tabla1[Tipo de Movilidad],"Intercambio*",Tabla1[Universidad KPIs],'Utilización Convenios'!$C170,Tabla1[Año de Movilidad],'Utilización Convenios'!O$3,Tabla1[Nivel],"Maestría")</f>
        <v>0</v>
      </c>
      <c r="P170" s="26">
        <f>COUNTIFS(Tabla2[Tipo de Movilidad],"Intercambio*",Tabla2[Universidad KPIs],'Utilización Convenios'!$C170,Tabla2[Año],'Utilización Convenios'!O$142,Tabla2[Nivel Nominación],"Postgraduate / Master")</f>
        <v>0</v>
      </c>
      <c r="Q170" s="41">
        <f t="shared" si="7"/>
        <v>2</v>
      </c>
      <c r="R170" s="42">
        <f t="shared" si="7"/>
        <v>1</v>
      </c>
    </row>
    <row r="171" spans="2:18">
      <c r="B171" s="185"/>
      <c r="C171" s="10" t="s">
        <v>76</v>
      </c>
      <c r="D171" s="11" t="s">
        <v>77</v>
      </c>
      <c r="E171" s="10">
        <f>COUNTIFS(Tabla1[Tipo de Movilidad],"Intercambio*",Tabla1[Universidad KPIs],'Utilización Convenios'!$C171,Tabla1[Año de Movilidad],'Utilización Convenios'!E$3,Tabla1[Nivel],"Maestría")</f>
        <v>0</v>
      </c>
      <c r="F171" s="11">
        <f>COUNTIFS(Tabla2[Tipo de Movilidad],"Intercambio*",Tabla2[Universidad KPIs],'Utilización Convenios'!$C171,Tabla2[Año],'Utilización Convenios'!E$142,Tabla2[Nivel Nominación],"Postgraduate / Master")</f>
        <v>0</v>
      </c>
      <c r="G171" s="10">
        <f>COUNTIFS(Tabla1[Tipo de Movilidad],"Intercambio*",Tabla1[Universidad KPIs],'Utilización Convenios'!$C171,Tabla1[Año de Movilidad],'Utilización Convenios'!G$3,Tabla1[Nivel],"Maestría")</f>
        <v>0</v>
      </c>
      <c r="H171" s="11">
        <f>COUNTIFS(Tabla2[Tipo de Movilidad],"Intercambio*",Tabla2[Universidad KPIs],'Utilización Convenios'!$C171,Tabla2[Año],'Utilización Convenios'!G$142,Tabla2[Nivel Nominación],"Postgraduate / Master")</f>
        <v>0</v>
      </c>
      <c r="I171" s="10">
        <f>COUNTIFS(Tabla1[Tipo de Movilidad],"Intercambio*",Tabla1[Universidad KPIs],'Utilización Convenios'!$C171,Tabla1[Año de Movilidad],'Utilización Convenios'!I$3,Tabla1[Nivel],"Maestría")</f>
        <v>0</v>
      </c>
      <c r="J171" s="11">
        <f>COUNTIFS(Tabla2[Tipo de Movilidad],"Intercambio*",Tabla2[Universidad KPIs],'Utilización Convenios'!$C171,Tabla2[Año],'Utilización Convenios'!I$142,Tabla2[Nivel Nominación],"Postgraduate / Master")</f>
        <v>0</v>
      </c>
      <c r="K171" s="10">
        <f>COUNTIFS(Tabla1[Tipo de Movilidad],"Intercambio*",Tabla1[Universidad KPIs],'Utilización Convenios'!$C171,Tabla1[Año de Movilidad],'Utilización Convenios'!K$3,Tabla1[Nivel],"Maestría")</f>
        <v>0</v>
      </c>
      <c r="L171" s="11">
        <f>COUNTIFS(Tabla2[Tipo de Movilidad],"Intercambio*",Tabla2[Universidad KPIs],'Utilización Convenios'!$C171,Tabla2[Año],'Utilización Convenios'!K$142,Tabla2[Nivel Nominación],"Postgraduate / Master")</f>
        <v>0</v>
      </c>
      <c r="M171" s="10">
        <f>COUNTIFS(Tabla1[Tipo de Movilidad],"Intercambio*",Tabla1[Universidad KPIs],'Utilización Convenios'!$C171,Tabla1[Año de Movilidad],'Utilización Convenios'!M$3,Tabla1[Nivel],"Maestría")</f>
        <v>0</v>
      </c>
      <c r="N171" s="26">
        <f>COUNTIFS(Tabla2[Tipo de Movilidad],"Intercambio*",Tabla2[Universidad KPIs],'Utilización Convenios'!$C171,Tabla2[Año],'Utilización Convenios'!M$142,Tabla2[Nivel Nominación],"Postgraduate / Master")</f>
        <v>0</v>
      </c>
      <c r="O171" s="10">
        <f>COUNTIFS(Tabla1[Tipo de Movilidad],"Intercambio*",Tabla1[Universidad KPIs],'Utilización Convenios'!$C171,Tabla1[Año de Movilidad],'Utilización Convenios'!O$3,Tabla1[Nivel],"Maestría")</f>
        <v>0</v>
      </c>
      <c r="P171" s="26">
        <f>COUNTIFS(Tabla2[Tipo de Movilidad],"Intercambio*",Tabla2[Universidad KPIs],'Utilización Convenios'!$C171,Tabla2[Año],'Utilización Convenios'!O$142,Tabla2[Nivel Nominación],"Postgraduate / Master")</f>
        <v>0</v>
      </c>
      <c r="Q171" s="41">
        <f t="shared" si="7"/>
        <v>0</v>
      </c>
      <c r="R171" s="42">
        <f t="shared" si="7"/>
        <v>0</v>
      </c>
    </row>
    <row r="172" spans="2:18">
      <c r="B172" s="185"/>
      <c r="C172" s="10" t="s">
        <v>115</v>
      </c>
      <c r="D172" s="11" t="s">
        <v>39</v>
      </c>
      <c r="E172" s="10">
        <f>COUNTIFS(Tabla1[Tipo de Movilidad],"Intercambio*",Tabla1[Universidad KPIs],'Utilización Convenios'!$C172,Tabla1[Año de Movilidad],'Utilización Convenios'!E$3,Tabla1[Nivel],"Maestría")</f>
        <v>0</v>
      </c>
      <c r="F172" s="11">
        <f>COUNTIFS(Tabla2[Tipo de Movilidad],"Intercambio*",Tabla2[Universidad KPIs],'Utilización Convenios'!$C172,Tabla2[Año],'Utilización Convenios'!E$142,Tabla2[Nivel Nominación],"Postgraduate / Master")</f>
        <v>0</v>
      </c>
      <c r="G172" s="10">
        <f>COUNTIFS(Tabla1[Tipo de Movilidad],"Intercambio*",Tabla1[Universidad KPIs],'Utilización Convenios'!$C172,Tabla1[Año de Movilidad],'Utilización Convenios'!G$3,Tabla1[Nivel],"Maestría")</f>
        <v>0</v>
      </c>
      <c r="H172" s="11">
        <f>COUNTIFS(Tabla2[Tipo de Movilidad],"Intercambio*",Tabla2[Universidad KPIs],'Utilización Convenios'!$C172,Tabla2[Año],'Utilización Convenios'!G$142,Tabla2[Nivel Nominación],"Postgraduate / Master")</f>
        <v>0</v>
      </c>
      <c r="I172" s="10">
        <f>COUNTIFS(Tabla1[Tipo de Movilidad],"Intercambio*",Tabla1[Universidad KPIs],'Utilización Convenios'!$C172,Tabla1[Año de Movilidad],'Utilización Convenios'!I$3,Tabla1[Nivel],"Maestría")</f>
        <v>1</v>
      </c>
      <c r="J172" s="11">
        <f>COUNTIFS(Tabla2[Tipo de Movilidad],"Intercambio*",Tabla2[Universidad KPIs],'Utilización Convenios'!$C172,Tabla2[Año],'Utilización Convenios'!I$142,Tabla2[Nivel Nominación],"Postgraduate / Master")</f>
        <v>0</v>
      </c>
      <c r="K172" s="10">
        <f>COUNTIFS(Tabla1[Tipo de Movilidad],"Intercambio*",Tabla1[Universidad KPIs],'Utilización Convenios'!$C172,Tabla1[Año de Movilidad],'Utilización Convenios'!K$3,Tabla1[Nivel],"Maestría")</f>
        <v>0</v>
      </c>
      <c r="L172" s="11">
        <f>COUNTIFS(Tabla2[Tipo de Movilidad],"Intercambio*",Tabla2[Universidad KPIs],'Utilización Convenios'!$C172,Tabla2[Año],'Utilización Convenios'!K$142,Tabla2[Nivel Nominación],"Postgraduate / Master")</f>
        <v>0</v>
      </c>
      <c r="M172" s="10">
        <f>COUNTIFS(Tabla1[Tipo de Movilidad],"Intercambio*",Tabla1[Universidad KPIs],'Utilización Convenios'!$C172,Tabla1[Año de Movilidad],'Utilización Convenios'!M$3,Tabla1[Nivel],"Maestría")</f>
        <v>0</v>
      </c>
      <c r="N172" s="26">
        <f>COUNTIFS(Tabla2[Tipo de Movilidad],"Intercambio*",Tabla2[Universidad KPIs],'Utilización Convenios'!$C172,Tabla2[Año],'Utilización Convenios'!M$142,Tabla2[Nivel Nominación],"Postgraduate / Master")</f>
        <v>0</v>
      </c>
      <c r="O172" s="10">
        <f>COUNTIFS(Tabla1[Tipo de Movilidad],"Intercambio*",Tabla1[Universidad KPIs],'Utilización Convenios'!$C172,Tabla1[Año de Movilidad],'Utilización Convenios'!O$3,Tabla1[Nivel],"Maestría")</f>
        <v>1</v>
      </c>
      <c r="P172" s="26">
        <f>COUNTIFS(Tabla2[Tipo de Movilidad],"Intercambio*",Tabla2[Universidad KPIs],'Utilización Convenios'!$C172,Tabla2[Año],'Utilización Convenios'!O$142,Tabla2[Nivel Nominación],"Postgraduate / Master")</f>
        <v>0</v>
      </c>
      <c r="Q172" s="41">
        <f t="shared" si="7"/>
        <v>2</v>
      </c>
      <c r="R172" s="42">
        <f t="shared" si="7"/>
        <v>0</v>
      </c>
    </row>
    <row r="173" spans="2:18">
      <c r="B173" s="185"/>
      <c r="C173" s="10" t="s">
        <v>78</v>
      </c>
      <c r="D173" s="11" t="s">
        <v>79</v>
      </c>
      <c r="E173" s="10">
        <f>COUNTIFS(Tabla1[Tipo de Movilidad],"Intercambio*",Tabla1[Universidad KPIs],'Utilización Convenios'!$C173,Tabla1[Año de Movilidad],'Utilización Convenios'!E$3,Tabla1[Nivel],"Maestría")</f>
        <v>0</v>
      </c>
      <c r="F173" s="11">
        <f>COUNTIFS(Tabla2[Tipo de Movilidad],"Intercambio*",Tabla2[Universidad KPIs],'Utilización Convenios'!$C173,Tabla2[Año],'Utilización Convenios'!E$142,Tabla2[Nivel Nominación],"Postgraduate / Master")</f>
        <v>0</v>
      </c>
      <c r="G173" s="10">
        <f>COUNTIFS(Tabla1[Tipo de Movilidad],"Intercambio*",Tabla1[Universidad KPIs],'Utilización Convenios'!$C173,Tabla1[Año de Movilidad],'Utilización Convenios'!G$3,Tabla1[Nivel],"Maestría")</f>
        <v>0</v>
      </c>
      <c r="H173" s="11">
        <f>COUNTIFS(Tabla2[Tipo de Movilidad],"Intercambio*",Tabla2[Universidad KPIs],'Utilización Convenios'!$C173,Tabla2[Año],'Utilización Convenios'!G$142,Tabla2[Nivel Nominación],"Postgraduate / Master")</f>
        <v>0</v>
      </c>
      <c r="I173" s="10">
        <f>COUNTIFS(Tabla1[Tipo de Movilidad],"Intercambio*",Tabla1[Universidad KPIs],'Utilización Convenios'!$C173,Tabla1[Año de Movilidad],'Utilización Convenios'!I$3,Tabla1[Nivel],"Maestría")</f>
        <v>1</v>
      </c>
      <c r="J173" s="11">
        <f>COUNTIFS(Tabla2[Tipo de Movilidad],"Intercambio*",Tabla2[Universidad KPIs],'Utilización Convenios'!$C173,Tabla2[Año],'Utilización Convenios'!I$142,Tabla2[Nivel Nominación],"Postgraduate / Master")</f>
        <v>1</v>
      </c>
      <c r="K173" s="10">
        <f>COUNTIFS(Tabla1[Tipo de Movilidad],"Intercambio*",Tabla1[Universidad KPIs],'Utilización Convenios'!$C173,Tabla1[Año de Movilidad],'Utilización Convenios'!K$3,Tabla1[Nivel],"Maestría")</f>
        <v>0</v>
      </c>
      <c r="L173" s="11">
        <f>COUNTIFS(Tabla2[Tipo de Movilidad],"Intercambio*",Tabla2[Universidad KPIs],'Utilización Convenios'!$C173,Tabla2[Año],'Utilización Convenios'!K$142,Tabla2[Nivel Nominación],"Postgraduate / Master")</f>
        <v>0</v>
      </c>
      <c r="M173" s="10">
        <f>COUNTIFS(Tabla1[Tipo de Movilidad],"Intercambio*",Tabla1[Universidad KPIs],'Utilización Convenios'!$C173,Tabla1[Año de Movilidad],'Utilización Convenios'!M$3,Tabla1[Nivel],"Maestría")</f>
        <v>1</v>
      </c>
      <c r="N173" s="26">
        <f>COUNTIFS(Tabla2[Tipo de Movilidad],"Intercambio*",Tabla2[Universidad KPIs],'Utilización Convenios'!$C173,Tabla2[Año],'Utilización Convenios'!M$142,Tabla2[Nivel Nominación],"Postgraduate / Master")</f>
        <v>1</v>
      </c>
      <c r="O173" s="10">
        <f>COUNTIFS(Tabla1[Tipo de Movilidad],"Intercambio*",Tabla1[Universidad KPIs],'Utilización Convenios'!$C173,Tabla1[Año de Movilidad],'Utilización Convenios'!O$3,Tabla1[Nivel],"Maestría")</f>
        <v>0</v>
      </c>
      <c r="P173" s="26">
        <f>COUNTIFS(Tabla2[Tipo de Movilidad],"Intercambio*",Tabla2[Universidad KPIs],'Utilización Convenios'!$C173,Tabla2[Año],'Utilización Convenios'!O$142,Tabla2[Nivel Nominación],"Postgraduate / Master")</f>
        <v>0</v>
      </c>
      <c r="Q173" s="41">
        <f t="shared" si="7"/>
        <v>2</v>
      </c>
      <c r="R173" s="42">
        <f t="shared" si="7"/>
        <v>2</v>
      </c>
    </row>
    <row r="174" spans="2:18">
      <c r="B174" s="185"/>
      <c r="C174" s="10" t="s">
        <v>80</v>
      </c>
      <c r="D174" s="11" t="s">
        <v>58</v>
      </c>
      <c r="E174" s="10">
        <f>COUNTIFS(Tabla1[Tipo de Movilidad],"Intercambio*",Tabla1[Universidad KPIs],'Utilización Convenios'!$C174,Tabla1[Año de Movilidad],'Utilización Convenios'!E$3,Tabla1[Nivel],"Maestría")</f>
        <v>0</v>
      </c>
      <c r="F174" s="11">
        <f>COUNTIFS(Tabla2[Tipo de Movilidad],"Intercambio*",Tabla2[Universidad KPIs],'Utilización Convenios'!$C174,Tabla2[Año],'Utilización Convenios'!E$142,Tabla2[Nivel Nominación],"Postgraduate / Master")</f>
        <v>0</v>
      </c>
      <c r="G174" s="10">
        <f>COUNTIFS(Tabla1[Tipo de Movilidad],"Intercambio*",Tabla1[Universidad KPIs],'Utilización Convenios'!$C174,Tabla1[Año de Movilidad],'Utilización Convenios'!G$3,Tabla1[Nivel],"Maestría")</f>
        <v>0</v>
      </c>
      <c r="H174" s="11">
        <f>COUNTIFS(Tabla2[Tipo de Movilidad],"Intercambio*",Tabla2[Universidad KPIs],'Utilización Convenios'!$C174,Tabla2[Año],'Utilización Convenios'!G$142,Tabla2[Nivel Nominación],"Postgraduate / Master")</f>
        <v>0</v>
      </c>
      <c r="I174" s="10">
        <f>COUNTIFS(Tabla1[Tipo de Movilidad],"Intercambio*",Tabla1[Universidad KPIs],'Utilización Convenios'!$C174,Tabla1[Año de Movilidad],'Utilización Convenios'!I$3,Tabla1[Nivel],"Maestría")</f>
        <v>0</v>
      </c>
      <c r="J174" s="11">
        <f>COUNTIFS(Tabla2[Tipo de Movilidad],"Intercambio*",Tabla2[Universidad KPIs],'Utilización Convenios'!$C174,Tabla2[Año],'Utilización Convenios'!I$142,Tabla2[Nivel Nominación],"Postgraduate / Master")</f>
        <v>0</v>
      </c>
      <c r="K174" s="10">
        <f>COUNTIFS(Tabla1[Tipo de Movilidad],"Intercambio*",Tabla1[Universidad KPIs],'Utilización Convenios'!$C174,Tabla1[Año de Movilidad],'Utilización Convenios'!K$3,Tabla1[Nivel],"Maestría")</f>
        <v>0</v>
      </c>
      <c r="L174" s="11">
        <f>COUNTIFS(Tabla2[Tipo de Movilidad],"Intercambio*",Tabla2[Universidad KPIs],'Utilización Convenios'!$C174,Tabla2[Año],'Utilización Convenios'!K$142,Tabla2[Nivel Nominación],"Postgraduate / Master")</f>
        <v>0</v>
      </c>
      <c r="M174" s="10">
        <f>COUNTIFS(Tabla1[Tipo de Movilidad],"Intercambio*",Tabla1[Universidad KPIs],'Utilización Convenios'!$C174,Tabla1[Año de Movilidad],'Utilización Convenios'!M$3,Tabla1[Nivel],"Maestría")</f>
        <v>0</v>
      </c>
      <c r="N174" s="26">
        <f>COUNTIFS(Tabla2[Tipo de Movilidad],"Intercambio*",Tabla2[Universidad KPIs],'Utilización Convenios'!$C174,Tabla2[Año],'Utilización Convenios'!M$142,Tabla2[Nivel Nominación],"Postgraduate / Master")</f>
        <v>0</v>
      </c>
      <c r="O174" s="10">
        <f>COUNTIFS(Tabla1[Tipo de Movilidad],"Intercambio*",Tabla1[Universidad KPIs],'Utilización Convenios'!$C174,Tabla1[Año de Movilidad],'Utilización Convenios'!O$3,Tabla1[Nivel],"Maestría")</f>
        <v>0</v>
      </c>
      <c r="P174" s="26">
        <f>COUNTIFS(Tabla2[Tipo de Movilidad],"Intercambio*",Tabla2[Universidad KPIs],'Utilización Convenios'!$C174,Tabla2[Año],'Utilización Convenios'!O$142,Tabla2[Nivel Nominación],"Postgraduate / Master")</f>
        <v>0</v>
      </c>
      <c r="Q174" s="41">
        <f t="shared" si="7"/>
        <v>0</v>
      </c>
      <c r="R174" s="42">
        <f t="shared" si="7"/>
        <v>0</v>
      </c>
    </row>
    <row r="175" spans="2:18">
      <c r="B175" s="185"/>
      <c r="C175" s="10" t="s">
        <v>81</v>
      </c>
      <c r="D175" s="11" t="s">
        <v>82</v>
      </c>
      <c r="E175" s="10">
        <f>COUNTIFS(Tabla1[Tipo de Movilidad],"Intercambio*",Tabla1[Universidad KPIs],'Utilización Convenios'!$C175,Tabla1[Año de Movilidad],'Utilización Convenios'!E$3,Tabla1[Nivel],"Maestría")</f>
        <v>0</v>
      </c>
      <c r="F175" s="11">
        <f>COUNTIFS(Tabla2[Tipo de Movilidad],"Intercambio*",Tabla2[Universidad KPIs],'Utilización Convenios'!$C175,Tabla2[Año],'Utilización Convenios'!E$142,Tabla2[Nivel Nominación],"Postgraduate / Master")</f>
        <v>0</v>
      </c>
      <c r="G175" s="10">
        <f>COUNTIFS(Tabla1[Tipo de Movilidad],"Intercambio*",Tabla1[Universidad KPIs],'Utilización Convenios'!$C175,Tabla1[Año de Movilidad],'Utilización Convenios'!G$3,Tabla1[Nivel],"Maestría")</f>
        <v>0</v>
      </c>
      <c r="H175" s="11">
        <f>COUNTIFS(Tabla2[Tipo de Movilidad],"Intercambio*",Tabla2[Universidad KPIs],'Utilización Convenios'!$C175,Tabla2[Año],'Utilización Convenios'!G$142,Tabla2[Nivel Nominación],"Postgraduate / Master")</f>
        <v>0</v>
      </c>
      <c r="I175" s="10">
        <f>COUNTIFS(Tabla1[Tipo de Movilidad],"Intercambio*",Tabla1[Universidad KPIs],'Utilización Convenios'!$C175,Tabla1[Año de Movilidad],'Utilización Convenios'!I$3,Tabla1[Nivel],"Maestría")</f>
        <v>0</v>
      </c>
      <c r="J175" s="11">
        <f>COUNTIFS(Tabla2[Tipo de Movilidad],"Intercambio*",Tabla2[Universidad KPIs],'Utilización Convenios'!$C175,Tabla2[Año],'Utilización Convenios'!I$142,Tabla2[Nivel Nominación],"Postgraduate / Master")</f>
        <v>0</v>
      </c>
      <c r="K175" s="10">
        <f>COUNTIFS(Tabla1[Tipo de Movilidad],"Intercambio*",Tabla1[Universidad KPIs],'Utilización Convenios'!$C175,Tabla1[Año de Movilidad],'Utilización Convenios'!K$3,Tabla1[Nivel],"Maestría")</f>
        <v>0</v>
      </c>
      <c r="L175" s="11">
        <f>COUNTIFS(Tabla2[Tipo de Movilidad],"Intercambio*",Tabla2[Universidad KPIs],'Utilización Convenios'!$C175,Tabla2[Año],'Utilización Convenios'!K$142,Tabla2[Nivel Nominación],"Postgraduate / Master")</f>
        <v>0</v>
      </c>
      <c r="M175" s="10">
        <f>COUNTIFS(Tabla1[Tipo de Movilidad],"Intercambio*",Tabla1[Universidad KPIs],'Utilización Convenios'!$C175,Tabla1[Año de Movilidad],'Utilización Convenios'!M$3,Tabla1[Nivel],"Maestría")</f>
        <v>0</v>
      </c>
      <c r="N175" s="26">
        <f>COUNTIFS(Tabla2[Tipo de Movilidad],"Intercambio*",Tabla2[Universidad KPIs],'Utilización Convenios'!$C175,Tabla2[Año],'Utilización Convenios'!M$142,Tabla2[Nivel Nominación],"Postgraduate / Master")</f>
        <v>0</v>
      </c>
      <c r="O175" s="10">
        <f>COUNTIFS(Tabla1[Tipo de Movilidad],"Intercambio*",Tabla1[Universidad KPIs],'Utilización Convenios'!$C175,Tabla1[Año de Movilidad],'Utilización Convenios'!O$3,Tabla1[Nivel],"Maestría")</f>
        <v>0</v>
      </c>
      <c r="P175" s="26">
        <f>COUNTIFS(Tabla2[Tipo de Movilidad],"Intercambio*",Tabla2[Universidad KPIs],'Utilización Convenios'!$C175,Tabla2[Año],'Utilización Convenios'!O$142,Tabla2[Nivel Nominación],"Postgraduate / Master")</f>
        <v>0</v>
      </c>
      <c r="Q175" s="41">
        <f t="shared" si="7"/>
        <v>0</v>
      </c>
      <c r="R175" s="42">
        <f t="shared" si="7"/>
        <v>0</v>
      </c>
    </row>
    <row r="176" spans="2:18">
      <c r="B176" s="185"/>
      <c r="C176" s="10" t="s">
        <v>83</v>
      </c>
      <c r="D176" s="11" t="s">
        <v>45</v>
      </c>
      <c r="E176" s="10">
        <f>COUNTIFS(Tabla1[Tipo de Movilidad],"Intercambio*",Tabla1[Universidad KPIs],'Utilización Convenios'!$C176,Tabla1[Año de Movilidad],'Utilización Convenios'!E$3,Tabla1[Nivel],"Maestría")</f>
        <v>0</v>
      </c>
      <c r="F176" s="11">
        <f>COUNTIFS(Tabla2[Tipo de Movilidad],"Intercambio*",Tabla2[Universidad KPIs],'Utilización Convenios'!$C176,Tabla2[Año],'Utilización Convenios'!E$142,Tabla2[Nivel Nominación],"Postgraduate / Master")</f>
        <v>0</v>
      </c>
      <c r="G176" s="10">
        <f>COUNTIFS(Tabla1[Tipo de Movilidad],"Intercambio*",Tabla1[Universidad KPIs],'Utilización Convenios'!$C176,Tabla1[Año de Movilidad],'Utilización Convenios'!G$3,Tabla1[Nivel],"Maestría")</f>
        <v>0</v>
      </c>
      <c r="H176" s="11">
        <f>COUNTIFS(Tabla2[Tipo de Movilidad],"Intercambio*",Tabla2[Universidad KPIs],'Utilización Convenios'!$C176,Tabla2[Año],'Utilización Convenios'!G$142,Tabla2[Nivel Nominación],"Postgraduate / Master")</f>
        <v>0</v>
      </c>
      <c r="I176" s="10">
        <f>COUNTIFS(Tabla1[Tipo de Movilidad],"Intercambio*",Tabla1[Universidad KPIs],'Utilización Convenios'!$C176,Tabla1[Año de Movilidad],'Utilización Convenios'!I$3,Tabla1[Nivel],"Maestría")</f>
        <v>0</v>
      </c>
      <c r="J176" s="11">
        <f>COUNTIFS(Tabla2[Tipo de Movilidad],"Intercambio*",Tabla2[Universidad KPIs],'Utilización Convenios'!$C176,Tabla2[Año],'Utilización Convenios'!I$142,Tabla2[Nivel Nominación],"Postgraduate / Master")</f>
        <v>0</v>
      </c>
      <c r="K176" s="10">
        <f>COUNTIFS(Tabla1[Tipo de Movilidad],"Intercambio*",Tabla1[Universidad KPIs],'Utilización Convenios'!$C176,Tabla1[Año de Movilidad],'Utilización Convenios'!K$3,Tabla1[Nivel],"Maestría")</f>
        <v>1</v>
      </c>
      <c r="L176" s="11">
        <f>COUNTIFS(Tabla2[Tipo de Movilidad],"Intercambio*",Tabla2[Universidad KPIs],'Utilización Convenios'!$C176,Tabla2[Año],'Utilización Convenios'!K$142,Tabla2[Nivel Nominación],"Postgraduate / Master")</f>
        <v>1</v>
      </c>
      <c r="M176" s="10">
        <f>COUNTIFS(Tabla1[Tipo de Movilidad],"Intercambio*",Tabla1[Universidad KPIs],'Utilización Convenios'!$C176,Tabla1[Año de Movilidad],'Utilización Convenios'!M$3,Tabla1[Nivel],"Maestría")</f>
        <v>0</v>
      </c>
      <c r="N176" s="26">
        <f>COUNTIFS(Tabla2[Tipo de Movilidad],"Intercambio*",Tabla2[Universidad KPIs],'Utilización Convenios'!$C176,Tabla2[Año],'Utilización Convenios'!M$142,Tabla2[Nivel Nominación],"Postgraduate / Master")</f>
        <v>1</v>
      </c>
      <c r="O176" s="10">
        <f>COUNTIFS(Tabla1[Tipo de Movilidad],"Intercambio*",Tabla1[Universidad KPIs],'Utilización Convenios'!$C176,Tabla1[Año de Movilidad],'Utilización Convenios'!O$3,Tabla1[Nivel],"Maestría")</f>
        <v>0</v>
      </c>
      <c r="P176" s="26">
        <f>COUNTIFS(Tabla2[Tipo de Movilidad],"Intercambio*",Tabla2[Universidad KPIs],'Utilización Convenios'!$C176,Tabla2[Año],'Utilización Convenios'!O$142,Tabla2[Nivel Nominación],"Postgraduate / Master")</f>
        <v>3</v>
      </c>
      <c r="Q176" s="41">
        <f t="shared" si="7"/>
        <v>1</v>
      </c>
      <c r="R176" s="42">
        <f t="shared" si="7"/>
        <v>5</v>
      </c>
    </row>
    <row r="177" spans="2:18">
      <c r="B177" s="185"/>
      <c r="C177" s="10" t="s">
        <v>84</v>
      </c>
      <c r="D177" s="11" t="s">
        <v>85</v>
      </c>
      <c r="E177" s="10">
        <f>COUNTIFS(Tabla1[Tipo de Movilidad],"Intercambio*",Tabla1[Universidad KPIs],'Utilización Convenios'!$C177,Tabla1[Año de Movilidad],'Utilización Convenios'!E$3,Tabla1[Nivel],"Maestría")</f>
        <v>0</v>
      </c>
      <c r="F177" s="11">
        <f>COUNTIFS(Tabla2[Tipo de Movilidad],"Intercambio*",Tabla2[Universidad KPIs],'Utilización Convenios'!$C177,Tabla2[Año],'Utilización Convenios'!E$142,Tabla2[Nivel Nominación],"Postgraduate / Master")</f>
        <v>0</v>
      </c>
      <c r="G177" s="10">
        <f>COUNTIFS(Tabla1[Tipo de Movilidad],"Intercambio*",Tabla1[Universidad KPIs],'Utilización Convenios'!$C177,Tabla1[Año de Movilidad],'Utilización Convenios'!G$3,Tabla1[Nivel],"Maestría")</f>
        <v>0</v>
      </c>
      <c r="H177" s="11">
        <f>COUNTIFS(Tabla2[Tipo de Movilidad],"Intercambio*",Tabla2[Universidad KPIs],'Utilización Convenios'!$C177,Tabla2[Año],'Utilización Convenios'!G$142,Tabla2[Nivel Nominación],"Postgraduate / Master")</f>
        <v>0</v>
      </c>
      <c r="I177" s="10">
        <f>COUNTIFS(Tabla1[Tipo de Movilidad],"Intercambio*",Tabla1[Universidad KPIs],'Utilización Convenios'!$C177,Tabla1[Año de Movilidad],'Utilización Convenios'!I$3,Tabla1[Nivel],"Maestría")</f>
        <v>0</v>
      </c>
      <c r="J177" s="11">
        <f>COUNTIFS(Tabla2[Tipo de Movilidad],"Intercambio*",Tabla2[Universidad KPIs],'Utilización Convenios'!$C177,Tabla2[Año],'Utilización Convenios'!I$142,Tabla2[Nivel Nominación],"Postgraduate / Master")</f>
        <v>0</v>
      </c>
      <c r="K177" s="10">
        <f>COUNTIFS(Tabla1[Tipo de Movilidad],"Intercambio*",Tabla1[Universidad KPIs],'Utilización Convenios'!$C177,Tabla1[Año de Movilidad],'Utilización Convenios'!K$3,Tabla1[Nivel],"Maestría")</f>
        <v>0</v>
      </c>
      <c r="L177" s="11">
        <f>COUNTIFS(Tabla2[Tipo de Movilidad],"Intercambio*",Tabla2[Universidad KPIs],'Utilización Convenios'!$C177,Tabla2[Año],'Utilización Convenios'!K$142,Tabla2[Nivel Nominación],"Postgraduate / Master")</f>
        <v>0</v>
      </c>
      <c r="M177" s="10">
        <f>COUNTIFS(Tabla1[Tipo de Movilidad],"Intercambio*",Tabla1[Universidad KPIs],'Utilización Convenios'!$C177,Tabla1[Año de Movilidad],'Utilización Convenios'!M$3,Tabla1[Nivel],"Maestría")</f>
        <v>0</v>
      </c>
      <c r="N177" s="26">
        <f>COUNTIFS(Tabla2[Tipo de Movilidad],"Intercambio*",Tabla2[Universidad KPIs],'Utilización Convenios'!$C177,Tabla2[Año],'Utilización Convenios'!M$142,Tabla2[Nivel Nominación],"Postgraduate / Master")</f>
        <v>0</v>
      </c>
      <c r="O177" s="10">
        <f>COUNTIFS(Tabla1[Tipo de Movilidad],"Intercambio*",Tabla1[Universidad KPIs],'Utilización Convenios'!$C177,Tabla1[Año de Movilidad],'Utilización Convenios'!O$3,Tabla1[Nivel],"Maestría")</f>
        <v>0</v>
      </c>
      <c r="P177" s="26">
        <f>COUNTIFS(Tabla2[Tipo de Movilidad],"Intercambio*",Tabla2[Universidad KPIs],'Utilización Convenios'!$C177,Tabla2[Año],'Utilización Convenios'!O$142,Tabla2[Nivel Nominación],"Postgraduate / Master")</f>
        <v>0</v>
      </c>
      <c r="Q177" s="41">
        <f t="shared" ref="Q177:R219" si="8">SUMIF($E$143:$P$143,Q$143,$E177:$P177)</f>
        <v>0</v>
      </c>
      <c r="R177" s="42">
        <f t="shared" si="8"/>
        <v>0</v>
      </c>
    </row>
    <row r="178" spans="2:18">
      <c r="B178" s="185"/>
      <c r="C178" s="10" t="s">
        <v>86</v>
      </c>
      <c r="D178" s="11" t="s">
        <v>87</v>
      </c>
      <c r="E178" s="10">
        <f>COUNTIFS(Tabla1[Tipo de Movilidad],"Intercambio*",Tabla1[Universidad KPIs],'Utilización Convenios'!$C178,Tabla1[Año de Movilidad],'Utilización Convenios'!E$3,Tabla1[Nivel],"Maestría")</f>
        <v>0</v>
      </c>
      <c r="F178" s="11">
        <f>COUNTIFS(Tabla2[Tipo de Movilidad],"Intercambio*",Tabla2[Universidad KPIs],'Utilización Convenios'!$C178,Tabla2[Año],'Utilización Convenios'!E$142,Tabla2[Nivel Nominación],"Postgraduate / Master")</f>
        <v>0</v>
      </c>
      <c r="G178" s="10">
        <f>COUNTIFS(Tabla1[Tipo de Movilidad],"Intercambio*",Tabla1[Universidad KPIs],'Utilización Convenios'!$C178,Tabla1[Año de Movilidad],'Utilización Convenios'!G$3,Tabla1[Nivel],"Maestría")</f>
        <v>0</v>
      </c>
      <c r="H178" s="11">
        <f>COUNTIFS(Tabla2[Tipo de Movilidad],"Intercambio*",Tabla2[Universidad KPIs],'Utilización Convenios'!$C178,Tabla2[Año],'Utilización Convenios'!G$142,Tabla2[Nivel Nominación],"Postgraduate / Master")</f>
        <v>2</v>
      </c>
      <c r="I178" s="10">
        <f>COUNTIFS(Tabla1[Tipo de Movilidad],"Intercambio*",Tabla1[Universidad KPIs],'Utilización Convenios'!$C178,Tabla1[Año de Movilidad],'Utilización Convenios'!I$3,Tabla1[Nivel],"Maestría")</f>
        <v>0</v>
      </c>
      <c r="J178" s="11">
        <f>COUNTIFS(Tabla2[Tipo de Movilidad],"Intercambio*",Tabla2[Universidad KPIs],'Utilización Convenios'!$C178,Tabla2[Año],'Utilización Convenios'!I$142,Tabla2[Nivel Nominación],"Postgraduate / Master")</f>
        <v>1</v>
      </c>
      <c r="K178" s="10">
        <f>COUNTIFS(Tabla1[Tipo de Movilidad],"Intercambio*",Tabla1[Universidad KPIs],'Utilización Convenios'!$C178,Tabla1[Año de Movilidad],'Utilización Convenios'!K$3,Tabla1[Nivel],"Maestría")</f>
        <v>0</v>
      </c>
      <c r="L178" s="11">
        <f>COUNTIFS(Tabla2[Tipo de Movilidad],"Intercambio*",Tabla2[Universidad KPIs],'Utilización Convenios'!$C178,Tabla2[Año],'Utilización Convenios'!K$142,Tabla2[Nivel Nominación],"Postgraduate / Master")</f>
        <v>7</v>
      </c>
      <c r="M178" s="10">
        <f>COUNTIFS(Tabla1[Tipo de Movilidad],"Intercambio*",Tabla1[Universidad KPIs],'Utilización Convenios'!$C178,Tabla1[Año de Movilidad],'Utilización Convenios'!M$3,Tabla1[Nivel],"Maestría")</f>
        <v>0</v>
      </c>
      <c r="N178" s="26">
        <f>COUNTIFS(Tabla2[Tipo de Movilidad],"Intercambio*",Tabla2[Universidad KPIs],'Utilización Convenios'!$C178,Tabla2[Año],'Utilización Convenios'!M$142,Tabla2[Nivel Nominación],"Postgraduate / Master")</f>
        <v>4</v>
      </c>
      <c r="O178" s="10">
        <f>COUNTIFS(Tabla1[Tipo de Movilidad],"Intercambio*",Tabla1[Universidad KPIs],'Utilización Convenios'!$C178,Tabla1[Año de Movilidad],'Utilización Convenios'!O$3,Tabla1[Nivel],"Maestría")</f>
        <v>0</v>
      </c>
      <c r="P178" s="26">
        <f>COUNTIFS(Tabla2[Tipo de Movilidad],"Intercambio*",Tabla2[Universidad KPIs],'Utilización Convenios'!$C178,Tabla2[Año],'Utilización Convenios'!O$142,Tabla2[Nivel Nominación],"Postgraduate / Master")</f>
        <v>0</v>
      </c>
      <c r="Q178" s="41">
        <f t="shared" si="8"/>
        <v>0</v>
      </c>
      <c r="R178" s="42">
        <f t="shared" si="8"/>
        <v>14</v>
      </c>
    </row>
    <row r="179" spans="2:18">
      <c r="B179" s="185"/>
      <c r="C179" s="10" t="s">
        <v>88</v>
      </c>
      <c r="D179" s="11" t="s">
        <v>58</v>
      </c>
      <c r="E179" s="10">
        <f>COUNTIFS(Tabla1[Tipo de Movilidad],"Intercambio*",Tabla1[Universidad KPIs],'Utilización Convenios'!$C179,Tabla1[Año de Movilidad],'Utilización Convenios'!E$3,Tabla1[Nivel],"Maestría")</f>
        <v>0</v>
      </c>
      <c r="F179" s="11">
        <f>COUNTIFS(Tabla2[Tipo de Movilidad],"Intercambio*",Tabla2[Universidad KPIs],'Utilización Convenios'!$C179,Tabla2[Año],'Utilización Convenios'!E$142,Tabla2[Nivel Nominación],"Postgraduate / Master")</f>
        <v>0</v>
      </c>
      <c r="G179" s="10">
        <f>COUNTIFS(Tabla1[Tipo de Movilidad],"Intercambio*",Tabla1[Universidad KPIs],'Utilización Convenios'!$C179,Tabla1[Año de Movilidad],'Utilización Convenios'!G$3,Tabla1[Nivel],"Maestría")</f>
        <v>0</v>
      </c>
      <c r="H179" s="11">
        <f>COUNTIFS(Tabla2[Tipo de Movilidad],"Intercambio*",Tabla2[Universidad KPIs],'Utilización Convenios'!$C179,Tabla2[Año],'Utilización Convenios'!G$142,Tabla2[Nivel Nominación],"Postgraduate / Master")</f>
        <v>0</v>
      </c>
      <c r="I179" s="10">
        <f>COUNTIFS(Tabla1[Tipo de Movilidad],"Intercambio*",Tabla1[Universidad KPIs],'Utilización Convenios'!$C179,Tabla1[Año de Movilidad],'Utilización Convenios'!I$3,Tabla1[Nivel],"Maestría")</f>
        <v>0</v>
      </c>
      <c r="J179" s="11">
        <f>COUNTIFS(Tabla2[Tipo de Movilidad],"Intercambio*",Tabla2[Universidad KPIs],'Utilización Convenios'!$C179,Tabla2[Año],'Utilización Convenios'!I$142,Tabla2[Nivel Nominación],"Postgraduate / Master")</f>
        <v>0</v>
      </c>
      <c r="K179" s="10">
        <f>COUNTIFS(Tabla1[Tipo de Movilidad],"Intercambio*",Tabla1[Universidad KPIs],'Utilización Convenios'!$C179,Tabla1[Año de Movilidad],'Utilización Convenios'!K$3,Tabla1[Nivel],"Maestría")</f>
        <v>0</v>
      </c>
      <c r="L179" s="11">
        <f>COUNTIFS(Tabla2[Tipo de Movilidad],"Intercambio*",Tabla2[Universidad KPIs],'Utilización Convenios'!$C179,Tabla2[Año],'Utilización Convenios'!K$142,Tabla2[Nivel Nominación],"Postgraduate / Master")</f>
        <v>0</v>
      </c>
      <c r="M179" s="10">
        <f>COUNTIFS(Tabla1[Tipo de Movilidad],"Intercambio*",Tabla1[Universidad KPIs],'Utilización Convenios'!$C179,Tabla1[Año de Movilidad],'Utilización Convenios'!M$3,Tabla1[Nivel],"Maestría")</f>
        <v>0</v>
      </c>
      <c r="N179" s="26">
        <f>COUNTIFS(Tabla2[Tipo de Movilidad],"Intercambio*",Tabla2[Universidad KPIs],'Utilización Convenios'!$C179,Tabla2[Año],'Utilización Convenios'!M$142,Tabla2[Nivel Nominación],"Postgraduate / Master")</f>
        <v>0</v>
      </c>
      <c r="O179" s="10">
        <f>COUNTIFS(Tabla1[Tipo de Movilidad],"Intercambio*",Tabla1[Universidad KPIs],'Utilización Convenios'!$C179,Tabla1[Año de Movilidad],'Utilización Convenios'!O$3,Tabla1[Nivel],"Maestría")</f>
        <v>0</v>
      </c>
      <c r="P179" s="26">
        <f>COUNTIFS(Tabla2[Tipo de Movilidad],"Intercambio*",Tabla2[Universidad KPIs],'Utilización Convenios'!$C179,Tabla2[Año],'Utilización Convenios'!O$142,Tabla2[Nivel Nominación],"Postgraduate / Master")</f>
        <v>0</v>
      </c>
      <c r="Q179" s="41">
        <f t="shared" si="8"/>
        <v>0</v>
      </c>
      <c r="R179" s="42">
        <f t="shared" si="8"/>
        <v>0</v>
      </c>
    </row>
    <row r="180" spans="2:18">
      <c r="B180" s="185"/>
      <c r="C180" s="10" t="s">
        <v>89</v>
      </c>
      <c r="D180" s="11" t="s">
        <v>90</v>
      </c>
      <c r="E180" s="10">
        <f>COUNTIFS(Tabla1[Tipo de Movilidad],"Intercambio*",Tabla1[Universidad KPIs],'Utilización Convenios'!$C180,Tabla1[Año de Movilidad],'Utilización Convenios'!E$3,Tabla1[Nivel],"Maestría")</f>
        <v>0</v>
      </c>
      <c r="F180" s="11">
        <f>COUNTIFS(Tabla2[Tipo de Movilidad],"Intercambio*",Tabla2[Universidad KPIs],'Utilización Convenios'!$C180,Tabla2[Año],'Utilización Convenios'!E$142,Tabla2[Nivel Nominación],"Postgraduate / Master")</f>
        <v>0</v>
      </c>
      <c r="G180" s="10">
        <f>COUNTIFS(Tabla1[Tipo de Movilidad],"Intercambio*",Tabla1[Universidad KPIs],'Utilización Convenios'!$C180,Tabla1[Año de Movilidad],'Utilización Convenios'!G$3,Tabla1[Nivel],"Maestría")</f>
        <v>0</v>
      </c>
      <c r="H180" s="11">
        <f>COUNTIFS(Tabla2[Tipo de Movilidad],"Intercambio*",Tabla2[Universidad KPIs],'Utilización Convenios'!$C180,Tabla2[Año],'Utilización Convenios'!G$142,Tabla2[Nivel Nominación],"Postgraduate / Master")</f>
        <v>0</v>
      </c>
      <c r="I180" s="10">
        <f>COUNTIFS(Tabla1[Tipo de Movilidad],"Intercambio*",Tabla1[Universidad KPIs],'Utilización Convenios'!$C180,Tabla1[Año de Movilidad],'Utilización Convenios'!I$3,Tabla1[Nivel],"Maestría")</f>
        <v>0</v>
      </c>
      <c r="J180" s="11">
        <f>COUNTIFS(Tabla2[Tipo de Movilidad],"Intercambio*",Tabla2[Universidad KPIs],'Utilización Convenios'!$C180,Tabla2[Año],'Utilización Convenios'!I$142,Tabla2[Nivel Nominación],"Postgraduate / Master")</f>
        <v>0</v>
      </c>
      <c r="K180" s="10">
        <f>COUNTIFS(Tabla1[Tipo de Movilidad],"Intercambio*",Tabla1[Universidad KPIs],'Utilización Convenios'!$C180,Tabla1[Año de Movilidad],'Utilización Convenios'!K$3,Tabla1[Nivel],"Maestría")</f>
        <v>0</v>
      </c>
      <c r="L180" s="11">
        <f>COUNTIFS(Tabla2[Tipo de Movilidad],"Intercambio*",Tabla2[Universidad KPIs],'Utilización Convenios'!$C180,Tabla2[Año],'Utilización Convenios'!K$142,Tabla2[Nivel Nominación],"Postgraduate / Master")</f>
        <v>0</v>
      </c>
      <c r="M180" s="10">
        <f>COUNTIFS(Tabla1[Tipo de Movilidad],"Intercambio*",Tabla1[Universidad KPIs],'Utilización Convenios'!$C180,Tabla1[Año de Movilidad],'Utilización Convenios'!M$3,Tabla1[Nivel],"Maestría")</f>
        <v>0</v>
      </c>
      <c r="N180" s="26">
        <f>COUNTIFS(Tabla2[Tipo de Movilidad],"Intercambio*",Tabla2[Universidad KPIs],'Utilización Convenios'!$C180,Tabla2[Año],'Utilización Convenios'!M$142,Tabla2[Nivel Nominación],"Postgraduate / Master")</f>
        <v>0</v>
      </c>
      <c r="O180" s="10">
        <f>COUNTIFS(Tabla1[Tipo de Movilidad],"Intercambio*",Tabla1[Universidad KPIs],'Utilización Convenios'!$C180,Tabla1[Año de Movilidad],'Utilización Convenios'!O$3,Tabla1[Nivel],"Maestría")</f>
        <v>0</v>
      </c>
      <c r="P180" s="26">
        <f>COUNTIFS(Tabla2[Tipo de Movilidad],"Intercambio*",Tabla2[Universidad KPIs],'Utilización Convenios'!$C180,Tabla2[Año],'Utilización Convenios'!O$142,Tabla2[Nivel Nominación],"Postgraduate / Master")</f>
        <v>0</v>
      </c>
      <c r="Q180" s="41">
        <f t="shared" si="8"/>
        <v>0</v>
      </c>
      <c r="R180" s="42">
        <f t="shared" si="8"/>
        <v>0</v>
      </c>
    </row>
    <row r="181" spans="2:18">
      <c r="B181" s="185"/>
      <c r="C181" s="10" t="s">
        <v>91</v>
      </c>
      <c r="D181" s="11" t="s">
        <v>41</v>
      </c>
      <c r="E181" s="10">
        <f>COUNTIFS(Tabla1[Tipo de Movilidad],"Intercambio*",Tabla1[Universidad KPIs],'Utilización Convenios'!$C181,Tabla1[Año de Movilidad],'Utilización Convenios'!E$3,Tabla1[Nivel],"Maestría")</f>
        <v>0</v>
      </c>
      <c r="F181" s="11">
        <f>COUNTIFS(Tabla2[Tipo de Movilidad],"Intercambio*",Tabla2[Universidad KPIs],'Utilización Convenios'!$C181,Tabla2[Año],'Utilización Convenios'!E$142,Tabla2[Nivel Nominación],"Postgraduate / Master")</f>
        <v>0</v>
      </c>
      <c r="G181" s="10">
        <f>COUNTIFS(Tabla1[Tipo de Movilidad],"Intercambio*",Tabla1[Universidad KPIs],'Utilización Convenios'!$C181,Tabla1[Año de Movilidad],'Utilización Convenios'!G$3,Tabla1[Nivel],"Maestría")</f>
        <v>0</v>
      </c>
      <c r="H181" s="11">
        <f>COUNTIFS(Tabla2[Tipo de Movilidad],"Intercambio*",Tabla2[Universidad KPIs],'Utilización Convenios'!$C181,Tabla2[Año],'Utilización Convenios'!G$142,Tabla2[Nivel Nominación],"Postgraduate / Master")</f>
        <v>0</v>
      </c>
      <c r="I181" s="10">
        <f>COUNTIFS(Tabla1[Tipo de Movilidad],"Intercambio*",Tabla1[Universidad KPIs],'Utilización Convenios'!$C181,Tabla1[Año de Movilidad],'Utilización Convenios'!I$3,Tabla1[Nivel],"Maestría")</f>
        <v>0</v>
      </c>
      <c r="J181" s="11">
        <f>COUNTIFS(Tabla2[Tipo de Movilidad],"Intercambio*",Tabla2[Universidad KPIs],'Utilización Convenios'!$C181,Tabla2[Año],'Utilización Convenios'!I$142,Tabla2[Nivel Nominación],"Postgraduate / Master")</f>
        <v>0</v>
      </c>
      <c r="K181" s="10">
        <f>COUNTIFS(Tabla1[Tipo de Movilidad],"Intercambio*",Tabla1[Universidad KPIs],'Utilización Convenios'!$C181,Tabla1[Año de Movilidad],'Utilización Convenios'!K$3,Tabla1[Nivel],"Maestría")</f>
        <v>1</v>
      </c>
      <c r="L181" s="11">
        <f>COUNTIFS(Tabla2[Tipo de Movilidad],"Intercambio*",Tabla2[Universidad KPIs],'Utilización Convenios'!$C181,Tabla2[Año],'Utilización Convenios'!K$142,Tabla2[Nivel Nominación],"Postgraduate / Master")</f>
        <v>0</v>
      </c>
      <c r="M181" s="10">
        <f>COUNTIFS(Tabla1[Tipo de Movilidad],"Intercambio*",Tabla1[Universidad KPIs],'Utilización Convenios'!$C181,Tabla1[Año de Movilidad],'Utilización Convenios'!M$3,Tabla1[Nivel],"Maestría")</f>
        <v>0</v>
      </c>
      <c r="N181" s="26">
        <f>COUNTIFS(Tabla2[Tipo de Movilidad],"Intercambio*",Tabla2[Universidad KPIs],'Utilización Convenios'!$C181,Tabla2[Año],'Utilización Convenios'!M$142,Tabla2[Nivel Nominación],"Postgraduate / Master")</f>
        <v>0</v>
      </c>
      <c r="O181" s="10">
        <f>COUNTIFS(Tabla1[Tipo de Movilidad],"Intercambio*",Tabla1[Universidad KPIs],'Utilización Convenios'!$C181,Tabla1[Año de Movilidad],'Utilización Convenios'!O$3,Tabla1[Nivel],"Maestría")</f>
        <v>0</v>
      </c>
      <c r="P181" s="26">
        <f>COUNTIFS(Tabla2[Tipo de Movilidad],"Intercambio*",Tabla2[Universidad KPIs],'Utilización Convenios'!$C181,Tabla2[Año],'Utilización Convenios'!O$142,Tabla2[Nivel Nominación],"Postgraduate / Master")</f>
        <v>0</v>
      </c>
      <c r="Q181" s="41">
        <f t="shared" si="8"/>
        <v>1</v>
      </c>
      <c r="R181" s="42">
        <f t="shared" si="8"/>
        <v>0</v>
      </c>
    </row>
    <row r="182" spans="2:18">
      <c r="B182" s="185"/>
      <c r="C182" s="10" t="s">
        <v>92</v>
      </c>
      <c r="D182" s="11" t="s">
        <v>93</v>
      </c>
      <c r="E182" s="10">
        <f>COUNTIFS(Tabla1[Tipo de Movilidad],"Intercambio*",Tabla1[Universidad KPIs],'Utilización Convenios'!$C182,Tabla1[Año de Movilidad],'Utilización Convenios'!E$3,Tabla1[Nivel],"Maestría")</f>
        <v>0</v>
      </c>
      <c r="F182" s="11">
        <f>COUNTIFS(Tabla2[Tipo de Movilidad],"Intercambio*",Tabla2[Universidad KPIs],'Utilización Convenios'!$C182,Tabla2[Año],'Utilización Convenios'!E$142,Tabla2[Nivel Nominación],"Postgraduate / Master")</f>
        <v>0</v>
      </c>
      <c r="G182" s="10">
        <f>COUNTIFS(Tabla1[Tipo de Movilidad],"Intercambio*",Tabla1[Universidad KPIs],'Utilización Convenios'!$C182,Tabla1[Año de Movilidad],'Utilización Convenios'!G$3,Tabla1[Nivel],"Maestría")</f>
        <v>0</v>
      </c>
      <c r="H182" s="11">
        <f>COUNTIFS(Tabla2[Tipo de Movilidad],"Intercambio*",Tabla2[Universidad KPIs],'Utilización Convenios'!$C182,Tabla2[Año],'Utilización Convenios'!G$142,Tabla2[Nivel Nominación],"Postgraduate / Master")</f>
        <v>0</v>
      </c>
      <c r="I182" s="10">
        <f>COUNTIFS(Tabla1[Tipo de Movilidad],"Intercambio*",Tabla1[Universidad KPIs],'Utilización Convenios'!$C182,Tabla1[Año de Movilidad],'Utilización Convenios'!I$3,Tabla1[Nivel],"Maestría")</f>
        <v>0</v>
      </c>
      <c r="J182" s="11">
        <f>COUNTIFS(Tabla2[Tipo de Movilidad],"Intercambio*",Tabla2[Universidad KPIs],'Utilización Convenios'!$C182,Tabla2[Año],'Utilización Convenios'!I$142,Tabla2[Nivel Nominación],"Postgraduate / Master")</f>
        <v>0</v>
      </c>
      <c r="K182" s="10">
        <f>COUNTIFS(Tabla1[Tipo de Movilidad],"Intercambio*",Tabla1[Universidad KPIs],'Utilización Convenios'!$C182,Tabla1[Año de Movilidad],'Utilización Convenios'!K$3,Tabla1[Nivel],"Maestría")</f>
        <v>0</v>
      </c>
      <c r="L182" s="11">
        <f>COUNTIFS(Tabla2[Tipo de Movilidad],"Intercambio*",Tabla2[Universidad KPIs],'Utilización Convenios'!$C182,Tabla2[Año],'Utilización Convenios'!K$142,Tabla2[Nivel Nominación],"Postgraduate / Master")</f>
        <v>0</v>
      </c>
      <c r="M182" s="10">
        <f>COUNTIFS(Tabla1[Tipo de Movilidad],"Intercambio*",Tabla1[Universidad KPIs],'Utilización Convenios'!$C182,Tabla1[Año de Movilidad],'Utilización Convenios'!M$3,Tabla1[Nivel],"Maestría")</f>
        <v>0</v>
      </c>
      <c r="N182" s="26">
        <f>COUNTIFS(Tabla2[Tipo de Movilidad],"Intercambio*",Tabla2[Universidad KPIs],'Utilización Convenios'!$C182,Tabla2[Año],'Utilización Convenios'!M$142,Tabla2[Nivel Nominación],"Postgraduate / Master")</f>
        <v>0</v>
      </c>
      <c r="O182" s="10">
        <f>COUNTIFS(Tabla1[Tipo de Movilidad],"Intercambio*",Tabla1[Universidad KPIs],'Utilización Convenios'!$C182,Tabla1[Año de Movilidad],'Utilización Convenios'!O$3,Tabla1[Nivel],"Maestría")</f>
        <v>0</v>
      </c>
      <c r="P182" s="26">
        <f>COUNTIFS(Tabla2[Tipo de Movilidad],"Intercambio*",Tabla2[Universidad KPIs],'Utilización Convenios'!$C182,Tabla2[Año],'Utilización Convenios'!O$142,Tabla2[Nivel Nominación],"Postgraduate / Master")</f>
        <v>0</v>
      </c>
      <c r="Q182" s="41">
        <f t="shared" si="8"/>
        <v>0</v>
      </c>
      <c r="R182" s="42">
        <f t="shared" si="8"/>
        <v>0</v>
      </c>
    </row>
    <row r="183" spans="2:18">
      <c r="B183" s="185"/>
      <c r="C183" s="10" t="s">
        <v>94</v>
      </c>
      <c r="D183" s="11" t="s">
        <v>79</v>
      </c>
      <c r="E183" s="10">
        <f>COUNTIFS(Tabla1[Tipo de Movilidad],"Intercambio*",Tabla1[Universidad KPIs],'Utilización Convenios'!$C183,Tabla1[Año de Movilidad],'Utilización Convenios'!E$3,Tabla1[Nivel],"Maestría")</f>
        <v>0</v>
      </c>
      <c r="F183" s="11">
        <f>COUNTIFS(Tabla2[Tipo de Movilidad],"Intercambio*",Tabla2[Universidad KPIs],'Utilización Convenios'!$C183,Tabla2[Año],'Utilización Convenios'!E$142,Tabla2[Nivel Nominación],"Postgraduate / Master")</f>
        <v>0</v>
      </c>
      <c r="G183" s="10">
        <f>COUNTIFS(Tabla1[Tipo de Movilidad],"Intercambio*",Tabla1[Universidad KPIs],'Utilización Convenios'!$C183,Tabla1[Año de Movilidad],'Utilización Convenios'!G$3,Tabla1[Nivel],"Maestría")</f>
        <v>0</v>
      </c>
      <c r="H183" s="11">
        <f>COUNTIFS(Tabla2[Tipo de Movilidad],"Intercambio*",Tabla2[Universidad KPIs],'Utilización Convenios'!$C183,Tabla2[Año],'Utilización Convenios'!G$142,Tabla2[Nivel Nominación],"Postgraduate / Master")</f>
        <v>0</v>
      </c>
      <c r="I183" s="10">
        <f>COUNTIFS(Tabla1[Tipo de Movilidad],"Intercambio*",Tabla1[Universidad KPIs],'Utilización Convenios'!$C183,Tabla1[Año de Movilidad],'Utilización Convenios'!I$3,Tabla1[Nivel],"Maestría")</f>
        <v>0</v>
      </c>
      <c r="J183" s="11">
        <f>COUNTIFS(Tabla2[Tipo de Movilidad],"Intercambio*",Tabla2[Universidad KPIs],'Utilización Convenios'!$C183,Tabla2[Año],'Utilización Convenios'!I$142,Tabla2[Nivel Nominación],"Postgraduate / Master")</f>
        <v>0</v>
      </c>
      <c r="K183" s="10">
        <f>COUNTIFS(Tabla1[Tipo de Movilidad],"Intercambio*",Tabla1[Universidad KPIs],'Utilización Convenios'!$C183,Tabla1[Año de Movilidad],'Utilización Convenios'!K$3,Tabla1[Nivel],"Maestría")</f>
        <v>0</v>
      </c>
      <c r="L183" s="11">
        <f>COUNTIFS(Tabla2[Tipo de Movilidad],"Intercambio*",Tabla2[Universidad KPIs],'Utilización Convenios'!$C183,Tabla2[Año],'Utilización Convenios'!K$142,Tabla2[Nivel Nominación],"Postgraduate / Master")</f>
        <v>0</v>
      </c>
      <c r="M183" s="10">
        <f>COUNTIFS(Tabla1[Tipo de Movilidad],"Intercambio*",Tabla1[Universidad KPIs],'Utilización Convenios'!$C183,Tabla1[Año de Movilidad],'Utilización Convenios'!M$3,Tabla1[Nivel],"Maestría")</f>
        <v>0</v>
      </c>
      <c r="N183" s="26">
        <f>COUNTIFS(Tabla2[Tipo de Movilidad],"Intercambio*",Tabla2[Universidad KPIs],'Utilización Convenios'!$C183,Tabla2[Año],'Utilización Convenios'!M$142,Tabla2[Nivel Nominación],"Postgraduate / Master")</f>
        <v>0</v>
      </c>
      <c r="O183" s="10">
        <f>COUNTIFS(Tabla1[Tipo de Movilidad],"Intercambio*",Tabla1[Universidad KPIs],'Utilización Convenios'!$C183,Tabla1[Año de Movilidad],'Utilización Convenios'!O$3,Tabla1[Nivel],"Maestría")</f>
        <v>0</v>
      </c>
      <c r="P183" s="26">
        <f>COUNTIFS(Tabla2[Tipo de Movilidad],"Intercambio*",Tabla2[Universidad KPIs],'Utilización Convenios'!$C183,Tabla2[Año],'Utilización Convenios'!O$142,Tabla2[Nivel Nominación],"Postgraduate / Master")</f>
        <v>0</v>
      </c>
      <c r="Q183" s="41">
        <f t="shared" si="8"/>
        <v>0</v>
      </c>
      <c r="R183" s="42">
        <f t="shared" si="8"/>
        <v>0</v>
      </c>
    </row>
    <row r="184" spans="2:18">
      <c r="B184" s="185"/>
      <c r="C184" s="10" t="s">
        <v>95</v>
      </c>
      <c r="D184" s="11" t="s">
        <v>96</v>
      </c>
      <c r="E184" s="10">
        <f>COUNTIFS(Tabla1[Tipo de Movilidad],"Intercambio*",Tabla1[Universidad KPIs],'Utilización Convenios'!$C184,Tabla1[Año de Movilidad],'Utilización Convenios'!E$3,Tabla1[Nivel],"Maestría")</f>
        <v>0</v>
      </c>
      <c r="F184" s="11">
        <f>COUNTIFS(Tabla2[Tipo de Movilidad],"Intercambio*",Tabla2[Universidad KPIs],'Utilización Convenios'!$C184,Tabla2[Año],'Utilización Convenios'!E$142,Tabla2[Nivel Nominación],"Postgraduate / Master")</f>
        <v>0</v>
      </c>
      <c r="G184" s="10">
        <f>COUNTIFS(Tabla1[Tipo de Movilidad],"Intercambio*",Tabla1[Universidad KPIs],'Utilización Convenios'!$C184,Tabla1[Año de Movilidad],'Utilización Convenios'!G$3,Tabla1[Nivel],"Maestría")</f>
        <v>0</v>
      </c>
      <c r="H184" s="11">
        <f>COUNTIFS(Tabla2[Tipo de Movilidad],"Intercambio*",Tabla2[Universidad KPIs],'Utilización Convenios'!$C184,Tabla2[Año],'Utilización Convenios'!G$142,Tabla2[Nivel Nominación],"Postgraduate / Master")</f>
        <v>0</v>
      </c>
      <c r="I184" s="10">
        <f>COUNTIFS(Tabla1[Tipo de Movilidad],"Intercambio*",Tabla1[Universidad KPIs],'Utilización Convenios'!$C184,Tabla1[Año de Movilidad],'Utilización Convenios'!I$3,Tabla1[Nivel],"Maestría")</f>
        <v>0</v>
      </c>
      <c r="J184" s="11">
        <f>COUNTIFS(Tabla2[Tipo de Movilidad],"Intercambio*",Tabla2[Universidad KPIs],'Utilización Convenios'!$C184,Tabla2[Año],'Utilización Convenios'!I$142,Tabla2[Nivel Nominación],"Postgraduate / Master")</f>
        <v>0</v>
      </c>
      <c r="K184" s="10">
        <f>COUNTIFS(Tabla1[Tipo de Movilidad],"Intercambio*",Tabla1[Universidad KPIs],'Utilización Convenios'!$C184,Tabla1[Año de Movilidad],'Utilización Convenios'!K$3,Tabla1[Nivel],"Maestría")</f>
        <v>0</v>
      </c>
      <c r="L184" s="11">
        <f>COUNTIFS(Tabla2[Tipo de Movilidad],"Intercambio*",Tabla2[Universidad KPIs],'Utilización Convenios'!$C184,Tabla2[Año],'Utilización Convenios'!K$142,Tabla2[Nivel Nominación],"Postgraduate / Master")</f>
        <v>0</v>
      </c>
      <c r="M184" s="10">
        <f>COUNTIFS(Tabla1[Tipo de Movilidad],"Intercambio*",Tabla1[Universidad KPIs],'Utilización Convenios'!$C184,Tabla1[Año de Movilidad],'Utilización Convenios'!M$3,Tabla1[Nivel],"Maestría")</f>
        <v>1</v>
      </c>
      <c r="N184" s="26">
        <f>COUNTIFS(Tabla2[Tipo de Movilidad],"Intercambio*",Tabla2[Universidad KPIs],'Utilización Convenios'!$C184,Tabla2[Año],'Utilización Convenios'!M$142,Tabla2[Nivel Nominación],"Postgraduate / Master")</f>
        <v>0</v>
      </c>
      <c r="O184" s="10">
        <f>COUNTIFS(Tabla1[Tipo de Movilidad],"Intercambio*",Tabla1[Universidad KPIs],'Utilización Convenios'!$C184,Tabla1[Año de Movilidad],'Utilización Convenios'!O$3,Tabla1[Nivel],"Maestría")</f>
        <v>0</v>
      </c>
      <c r="P184" s="26">
        <f>COUNTIFS(Tabla2[Tipo de Movilidad],"Intercambio*",Tabla2[Universidad KPIs],'Utilización Convenios'!$C184,Tabla2[Año],'Utilización Convenios'!O$142,Tabla2[Nivel Nominación],"Postgraduate / Master")</f>
        <v>0</v>
      </c>
      <c r="Q184" s="41">
        <f t="shared" si="8"/>
        <v>1</v>
      </c>
      <c r="R184" s="42">
        <f t="shared" si="8"/>
        <v>0</v>
      </c>
    </row>
    <row r="185" spans="2:18">
      <c r="B185" s="185"/>
      <c r="C185" s="10" t="s">
        <v>97</v>
      </c>
      <c r="D185" s="11" t="s">
        <v>87</v>
      </c>
      <c r="E185" s="10">
        <f>COUNTIFS(Tabla1[Tipo de Movilidad],"Intercambio*",Tabla1[Universidad KPIs],'Utilización Convenios'!$C185,Tabla1[Año de Movilidad],'Utilización Convenios'!E$3,Tabla1[Nivel],"Maestría")</f>
        <v>0</v>
      </c>
      <c r="F185" s="11">
        <f>COUNTIFS(Tabla2[Tipo de Movilidad],"Intercambio*",Tabla2[Universidad KPIs],'Utilización Convenios'!$C185,Tabla2[Año],'Utilización Convenios'!E$142,Tabla2[Nivel Nominación],"Postgraduate / Master")</f>
        <v>0</v>
      </c>
      <c r="G185" s="10">
        <f>COUNTIFS(Tabla1[Tipo de Movilidad],"Intercambio*",Tabla1[Universidad KPIs],'Utilización Convenios'!$C185,Tabla1[Año de Movilidad],'Utilización Convenios'!G$3,Tabla1[Nivel],"Maestría")</f>
        <v>0</v>
      </c>
      <c r="H185" s="11">
        <f>COUNTIFS(Tabla2[Tipo de Movilidad],"Intercambio*",Tabla2[Universidad KPIs],'Utilización Convenios'!$C185,Tabla2[Año],'Utilización Convenios'!G$142,Tabla2[Nivel Nominación],"Postgraduate / Master")</f>
        <v>0</v>
      </c>
      <c r="I185" s="10">
        <f>COUNTIFS(Tabla1[Tipo de Movilidad],"Intercambio*",Tabla1[Universidad KPIs],'Utilización Convenios'!$C185,Tabla1[Año de Movilidad],'Utilización Convenios'!I$3,Tabla1[Nivel],"Maestría")</f>
        <v>0</v>
      </c>
      <c r="J185" s="11">
        <f>COUNTIFS(Tabla2[Tipo de Movilidad],"Intercambio*",Tabla2[Universidad KPIs],'Utilización Convenios'!$C185,Tabla2[Año],'Utilización Convenios'!I$142,Tabla2[Nivel Nominación],"Postgraduate / Master")</f>
        <v>0</v>
      </c>
      <c r="K185" s="10">
        <f>COUNTIFS(Tabla1[Tipo de Movilidad],"Intercambio*",Tabla1[Universidad KPIs],'Utilización Convenios'!$C185,Tabla1[Año de Movilidad],'Utilización Convenios'!K$3,Tabla1[Nivel],"Maestría")</f>
        <v>0</v>
      </c>
      <c r="L185" s="11">
        <f>COUNTIFS(Tabla2[Tipo de Movilidad],"Intercambio*",Tabla2[Universidad KPIs],'Utilización Convenios'!$C185,Tabla2[Año],'Utilización Convenios'!K$142,Tabla2[Nivel Nominación],"Postgraduate / Master")</f>
        <v>1</v>
      </c>
      <c r="M185" s="10">
        <f>COUNTIFS(Tabla1[Tipo de Movilidad],"Intercambio*",Tabla1[Universidad KPIs],'Utilización Convenios'!$C185,Tabla1[Año de Movilidad],'Utilización Convenios'!M$3,Tabla1[Nivel],"Maestría")</f>
        <v>0</v>
      </c>
      <c r="N185" s="26">
        <f>COUNTIFS(Tabla2[Tipo de Movilidad],"Intercambio*",Tabla2[Universidad KPIs],'Utilización Convenios'!$C185,Tabla2[Año],'Utilización Convenios'!M$142,Tabla2[Nivel Nominación],"Postgraduate / Master")</f>
        <v>3</v>
      </c>
      <c r="O185" s="10">
        <f>COUNTIFS(Tabla1[Tipo de Movilidad],"Intercambio*",Tabla1[Universidad KPIs],'Utilización Convenios'!$C185,Tabla1[Año de Movilidad],'Utilización Convenios'!O$3,Tabla1[Nivel],"Maestría")</f>
        <v>0</v>
      </c>
      <c r="P185" s="26">
        <f>COUNTIFS(Tabla2[Tipo de Movilidad],"Intercambio*",Tabla2[Universidad KPIs],'Utilización Convenios'!$C185,Tabla2[Año],'Utilización Convenios'!O$142,Tabla2[Nivel Nominación],"Postgraduate / Master")</f>
        <v>1</v>
      </c>
      <c r="Q185" s="41">
        <f t="shared" si="8"/>
        <v>0</v>
      </c>
      <c r="R185" s="42">
        <f t="shared" si="8"/>
        <v>5</v>
      </c>
    </row>
    <row r="186" spans="2:18">
      <c r="B186" s="185"/>
      <c r="C186" s="10" t="s">
        <v>98</v>
      </c>
      <c r="D186" s="11" t="s">
        <v>79</v>
      </c>
      <c r="E186" s="10">
        <f>COUNTIFS(Tabla1[Tipo de Movilidad],"Intercambio*",Tabla1[Universidad KPIs],'Utilización Convenios'!$C186,Tabla1[Año de Movilidad],'Utilización Convenios'!E$3,Tabla1[Nivel],"Maestría")</f>
        <v>0</v>
      </c>
      <c r="F186" s="11">
        <f>COUNTIFS(Tabla2[Tipo de Movilidad],"Intercambio*",Tabla2[Universidad KPIs],'Utilización Convenios'!$C186,Tabla2[Año],'Utilización Convenios'!E$142,Tabla2[Nivel Nominación],"Postgraduate / Master")</f>
        <v>0</v>
      </c>
      <c r="G186" s="10">
        <f>COUNTIFS(Tabla1[Tipo de Movilidad],"Intercambio*",Tabla1[Universidad KPIs],'Utilización Convenios'!$C186,Tabla1[Año de Movilidad],'Utilización Convenios'!G$3,Tabla1[Nivel],"Maestría")</f>
        <v>0</v>
      </c>
      <c r="H186" s="11">
        <f>COUNTIFS(Tabla2[Tipo de Movilidad],"Intercambio*",Tabla2[Universidad KPIs],'Utilización Convenios'!$C186,Tabla2[Año],'Utilización Convenios'!G$142,Tabla2[Nivel Nominación],"Postgraduate / Master")</f>
        <v>0</v>
      </c>
      <c r="I186" s="10">
        <f>COUNTIFS(Tabla1[Tipo de Movilidad],"Intercambio*",Tabla1[Universidad KPIs],'Utilización Convenios'!$C186,Tabla1[Año de Movilidad],'Utilización Convenios'!I$3,Tabla1[Nivel],"Maestría")</f>
        <v>0</v>
      </c>
      <c r="J186" s="11">
        <f>COUNTIFS(Tabla2[Tipo de Movilidad],"Intercambio*",Tabla2[Universidad KPIs],'Utilización Convenios'!$C186,Tabla2[Año],'Utilización Convenios'!I$142,Tabla2[Nivel Nominación],"Postgraduate / Master")</f>
        <v>1</v>
      </c>
      <c r="K186" s="10">
        <f>COUNTIFS(Tabla1[Tipo de Movilidad],"Intercambio*",Tabla1[Universidad KPIs],'Utilización Convenios'!$C186,Tabla1[Año de Movilidad],'Utilización Convenios'!K$3,Tabla1[Nivel],"Maestría")</f>
        <v>0</v>
      </c>
      <c r="L186" s="11">
        <f>COUNTIFS(Tabla2[Tipo de Movilidad],"Intercambio*",Tabla2[Universidad KPIs],'Utilización Convenios'!$C186,Tabla2[Año],'Utilización Convenios'!K$142,Tabla2[Nivel Nominación],"Postgraduate / Master")</f>
        <v>1</v>
      </c>
      <c r="M186" s="10">
        <f>COUNTIFS(Tabla1[Tipo de Movilidad],"Intercambio*",Tabla1[Universidad KPIs],'Utilización Convenios'!$C186,Tabla1[Año de Movilidad],'Utilización Convenios'!M$3,Tabla1[Nivel],"Maestría")</f>
        <v>0</v>
      </c>
      <c r="N186" s="26">
        <f>COUNTIFS(Tabla2[Tipo de Movilidad],"Intercambio*",Tabla2[Universidad KPIs],'Utilización Convenios'!$C186,Tabla2[Año],'Utilización Convenios'!M$142,Tabla2[Nivel Nominación],"Postgraduate / Master")</f>
        <v>1</v>
      </c>
      <c r="O186" s="10">
        <f>COUNTIFS(Tabla1[Tipo de Movilidad],"Intercambio*",Tabla1[Universidad KPIs],'Utilización Convenios'!$C186,Tabla1[Año de Movilidad],'Utilización Convenios'!O$3,Tabla1[Nivel],"Maestría")</f>
        <v>0</v>
      </c>
      <c r="P186" s="26">
        <f>COUNTIFS(Tabla2[Tipo de Movilidad],"Intercambio*",Tabla2[Universidad KPIs],'Utilización Convenios'!$C186,Tabla2[Año],'Utilización Convenios'!O$142,Tabla2[Nivel Nominación],"Postgraduate / Master")</f>
        <v>1</v>
      </c>
      <c r="Q186" s="41">
        <f t="shared" si="8"/>
        <v>0</v>
      </c>
      <c r="R186" s="42">
        <f t="shared" si="8"/>
        <v>4</v>
      </c>
    </row>
    <row r="187" spans="2:18">
      <c r="B187" s="185"/>
      <c r="C187" s="10" t="s">
        <v>99</v>
      </c>
      <c r="D187" s="11" t="s">
        <v>39</v>
      </c>
      <c r="E187" s="10">
        <f>COUNTIFS(Tabla1[Tipo de Movilidad],"Intercambio*",Tabla1[Universidad KPIs],'Utilización Convenios'!$C187,Tabla1[Año de Movilidad],'Utilización Convenios'!E$3,Tabla1[Nivel],"Maestría")</f>
        <v>0</v>
      </c>
      <c r="F187" s="11">
        <f>COUNTIFS(Tabla2[Tipo de Movilidad],"Intercambio*",Tabla2[Universidad KPIs],'Utilización Convenios'!$C187,Tabla2[Año],'Utilización Convenios'!E$142,Tabla2[Nivel Nominación],"Postgraduate / Master")</f>
        <v>0</v>
      </c>
      <c r="G187" s="10">
        <f>COUNTIFS(Tabla1[Tipo de Movilidad],"Intercambio*",Tabla1[Universidad KPIs],'Utilización Convenios'!$C187,Tabla1[Año de Movilidad],'Utilización Convenios'!G$3,Tabla1[Nivel],"Maestría")</f>
        <v>0</v>
      </c>
      <c r="H187" s="11">
        <f>COUNTIFS(Tabla2[Tipo de Movilidad],"Intercambio*",Tabla2[Universidad KPIs],'Utilización Convenios'!$C187,Tabla2[Año],'Utilización Convenios'!G$142,Tabla2[Nivel Nominación],"Postgraduate / Master")</f>
        <v>0</v>
      </c>
      <c r="I187" s="10">
        <f>COUNTIFS(Tabla1[Tipo de Movilidad],"Intercambio*",Tabla1[Universidad KPIs],'Utilización Convenios'!$C187,Tabla1[Año de Movilidad],'Utilización Convenios'!I$3,Tabla1[Nivel],"Maestría")</f>
        <v>0</v>
      </c>
      <c r="J187" s="11">
        <f>COUNTIFS(Tabla2[Tipo de Movilidad],"Intercambio*",Tabla2[Universidad KPIs],'Utilización Convenios'!$C187,Tabla2[Año],'Utilización Convenios'!I$142,Tabla2[Nivel Nominación],"Postgraduate / Master")</f>
        <v>0</v>
      </c>
      <c r="K187" s="10">
        <f>COUNTIFS(Tabla1[Tipo de Movilidad],"Intercambio*",Tabla1[Universidad KPIs],'Utilización Convenios'!$C187,Tabla1[Año de Movilidad],'Utilización Convenios'!K$3,Tabla1[Nivel],"Maestría")</f>
        <v>0</v>
      </c>
      <c r="L187" s="11">
        <f>COUNTIFS(Tabla2[Tipo de Movilidad],"Intercambio*",Tabla2[Universidad KPIs],'Utilización Convenios'!$C187,Tabla2[Año],'Utilización Convenios'!K$142,Tabla2[Nivel Nominación],"Postgraduate / Master")</f>
        <v>0</v>
      </c>
      <c r="M187" s="10">
        <f>COUNTIFS(Tabla1[Tipo de Movilidad],"Intercambio*",Tabla1[Universidad KPIs],'Utilización Convenios'!$C187,Tabla1[Año de Movilidad],'Utilización Convenios'!M$3,Tabla1[Nivel],"Maestría")</f>
        <v>0</v>
      </c>
      <c r="N187" s="26">
        <f>COUNTIFS(Tabla2[Tipo de Movilidad],"Intercambio*",Tabla2[Universidad KPIs],'Utilización Convenios'!$C187,Tabla2[Año],'Utilización Convenios'!M$142,Tabla2[Nivel Nominación],"Postgraduate / Master")</f>
        <v>0</v>
      </c>
      <c r="O187" s="10">
        <f>COUNTIFS(Tabla1[Tipo de Movilidad],"Intercambio*",Tabla1[Universidad KPIs],'Utilización Convenios'!$C187,Tabla1[Año de Movilidad],'Utilización Convenios'!O$3,Tabla1[Nivel],"Maestría")</f>
        <v>0</v>
      </c>
      <c r="P187" s="26">
        <f>COUNTIFS(Tabla2[Tipo de Movilidad],"Intercambio*",Tabla2[Universidad KPIs],'Utilización Convenios'!$C187,Tabla2[Año],'Utilización Convenios'!O$142,Tabla2[Nivel Nominación],"Postgraduate / Master")</f>
        <v>0</v>
      </c>
      <c r="Q187" s="41">
        <f t="shared" si="8"/>
        <v>0</v>
      </c>
      <c r="R187" s="42">
        <f t="shared" si="8"/>
        <v>0</v>
      </c>
    </row>
    <row r="188" spans="2:18">
      <c r="B188" s="185"/>
      <c r="C188" s="10" t="s">
        <v>100</v>
      </c>
      <c r="D188" s="11" t="s">
        <v>39</v>
      </c>
      <c r="E188" s="10">
        <f>COUNTIFS(Tabla1[Tipo de Movilidad],"Intercambio*",Tabla1[Universidad KPIs],'Utilización Convenios'!$C188,Tabla1[Año de Movilidad],'Utilización Convenios'!E$3,Tabla1[Nivel],"Maestría")</f>
        <v>0</v>
      </c>
      <c r="F188" s="11">
        <f>COUNTIFS(Tabla2[Tipo de Movilidad],"Intercambio*",Tabla2[Universidad KPIs],'Utilización Convenios'!$C188,Tabla2[Año],'Utilización Convenios'!E$142,Tabla2[Nivel Nominación],"Postgraduate / Master")</f>
        <v>0</v>
      </c>
      <c r="G188" s="10">
        <f>COUNTIFS(Tabla1[Tipo de Movilidad],"Intercambio*",Tabla1[Universidad KPIs],'Utilización Convenios'!$C188,Tabla1[Año de Movilidad],'Utilización Convenios'!G$3,Tabla1[Nivel],"Maestría")</f>
        <v>0</v>
      </c>
      <c r="H188" s="11">
        <f>COUNTIFS(Tabla2[Tipo de Movilidad],"Intercambio*",Tabla2[Universidad KPIs],'Utilización Convenios'!$C188,Tabla2[Año],'Utilización Convenios'!G$142,Tabla2[Nivel Nominación],"Postgraduate / Master")</f>
        <v>6</v>
      </c>
      <c r="I188" s="10">
        <f>COUNTIFS(Tabla1[Tipo de Movilidad],"Intercambio*",Tabla1[Universidad KPIs],'Utilización Convenios'!$C188,Tabla1[Año de Movilidad],'Utilización Convenios'!I$3,Tabla1[Nivel],"Maestría")</f>
        <v>0</v>
      </c>
      <c r="J188" s="11">
        <f>COUNTIFS(Tabla2[Tipo de Movilidad],"Intercambio*",Tabla2[Universidad KPIs],'Utilización Convenios'!$C188,Tabla2[Año],'Utilización Convenios'!I$142,Tabla2[Nivel Nominación],"Postgraduate / Master")</f>
        <v>12</v>
      </c>
      <c r="K188" s="10">
        <f>COUNTIFS(Tabla1[Tipo de Movilidad],"Intercambio*",Tabla1[Universidad KPIs],'Utilización Convenios'!$C188,Tabla1[Año de Movilidad],'Utilización Convenios'!K$3,Tabla1[Nivel],"Maestría")</f>
        <v>0</v>
      </c>
      <c r="L188" s="11">
        <f>COUNTIFS(Tabla2[Tipo de Movilidad],"Intercambio*",Tabla2[Universidad KPIs],'Utilización Convenios'!$C188,Tabla2[Año],'Utilización Convenios'!K$142,Tabla2[Nivel Nominación],"Postgraduate / Master")</f>
        <v>5</v>
      </c>
      <c r="M188" s="10">
        <f>COUNTIFS(Tabla1[Tipo de Movilidad],"Intercambio*",Tabla1[Universidad KPIs],'Utilización Convenios'!$C188,Tabla1[Año de Movilidad],'Utilización Convenios'!M$3,Tabla1[Nivel],"Maestría")</f>
        <v>0</v>
      </c>
      <c r="N188" s="26">
        <f>COUNTIFS(Tabla2[Tipo de Movilidad],"Intercambio*",Tabla2[Universidad KPIs],'Utilización Convenios'!$C188,Tabla2[Año],'Utilización Convenios'!M$142,Tabla2[Nivel Nominación],"Postgraduate / Master")</f>
        <v>0</v>
      </c>
      <c r="O188" s="10">
        <f>COUNTIFS(Tabla1[Tipo de Movilidad],"Intercambio*",Tabla1[Universidad KPIs],'Utilización Convenios'!$C188,Tabla1[Año de Movilidad],'Utilización Convenios'!O$3,Tabla1[Nivel],"Maestría")</f>
        <v>0</v>
      </c>
      <c r="P188" s="26">
        <f>COUNTIFS(Tabla2[Tipo de Movilidad],"Intercambio*",Tabla2[Universidad KPIs],'Utilización Convenios'!$C188,Tabla2[Año],'Utilización Convenios'!O$142,Tabla2[Nivel Nominación],"Postgraduate / Master")</f>
        <v>0</v>
      </c>
      <c r="Q188" s="41">
        <f t="shared" si="8"/>
        <v>0</v>
      </c>
      <c r="R188" s="42">
        <f t="shared" si="8"/>
        <v>23</v>
      </c>
    </row>
    <row r="189" spans="2:18">
      <c r="B189" s="185"/>
      <c r="C189" s="10" t="s">
        <v>101</v>
      </c>
      <c r="D189" s="11" t="s">
        <v>102</v>
      </c>
      <c r="E189" s="10">
        <f>COUNTIFS(Tabla1[Tipo de Movilidad],"Intercambio*",Tabla1[Universidad KPIs],'Utilización Convenios'!$C189,Tabla1[Año de Movilidad],'Utilización Convenios'!E$3,Tabla1[Nivel],"Maestría")</f>
        <v>0</v>
      </c>
      <c r="F189" s="11">
        <f>COUNTIFS(Tabla2[Tipo de Movilidad],"Intercambio*",Tabla2[Universidad KPIs],'Utilización Convenios'!$C189,Tabla2[Año],'Utilización Convenios'!E$142,Tabla2[Nivel Nominación],"Postgraduate / Master")</f>
        <v>0</v>
      </c>
      <c r="G189" s="10">
        <f>COUNTIFS(Tabla1[Tipo de Movilidad],"Intercambio*",Tabla1[Universidad KPIs],'Utilización Convenios'!$C189,Tabla1[Año de Movilidad],'Utilización Convenios'!G$3,Tabla1[Nivel],"Maestría")</f>
        <v>0</v>
      </c>
      <c r="H189" s="11">
        <f>COUNTIFS(Tabla2[Tipo de Movilidad],"Intercambio*",Tabla2[Universidad KPIs],'Utilización Convenios'!$C189,Tabla2[Año],'Utilización Convenios'!G$142,Tabla2[Nivel Nominación],"Postgraduate / Master")</f>
        <v>0</v>
      </c>
      <c r="I189" s="10">
        <f>COUNTIFS(Tabla1[Tipo de Movilidad],"Intercambio*",Tabla1[Universidad KPIs],'Utilización Convenios'!$C189,Tabla1[Año de Movilidad],'Utilización Convenios'!I$3,Tabla1[Nivel],"Maestría")</f>
        <v>0</v>
      </c>
      <c r="J189" s="11">
        <f>COUNTIFS(Tabla2[Tipo de Movilidad],"Intercambio*",Tabla2[Universidad KPIs],'Utilización Convenios'!$C189,Tabla2[Año],'Utilización Convenios'!I$142,Tabla2[Nivel Nominación],"Postgraduate / Master")</f>
        <v>0</v>
      </c>
      <c r="K189" s="10">
        <f>COUNTIFS(Tabla1[Tipo de Movilidad],"Intercambio*",Tabla1[Universidad KPIs],'Utilización Convenios'!$C189,Tabla1[Año de Movilidad],'Utilización Convenios'!K$3,Tabla1[Nivel],"Maestría")</f>
        <v>0</v>
      </c>
      <c r="L189" s="11">
        <f>COUNTIFS(Tabla2[Tipo de Movilidad],"Intercambio*",Tabla2[Universidad KPIs],'Utilización Convenios'!$C189,Tabla2[Año],'Utilización Convenios'!K$142,Tabla2[Nivel Nominación],"Postgraduate / Master")</f>
        <v>0</v>
      </c>
      <c r="M189" s="10">
        <f>COUNTIFS(Tabla1[Tipo de Movilidad],"Intercambio*",Tabla1[Universidad KPIs],'Utilización Convenios'!$C189,Tabla1[Año de Movilidad],'Utilización Convenios'!M$3,Tabla1[Nivel],"Maestría")</f>
        <v>0</v>
      </c>
      <c r="N189" s="26">
        <f>COUNTIFS(Tabla2[Tipo de Movilidad],"Intercambio*",Tabla2[Universidad KPIs],'Utilización Convenios'!$C189,Tabla2[Año],'Utilización Convenios'!M$142,Tabla2[Nivel Nominación],"Postgraduate / Master")</f>
        <v>0</v>
      </c>
      <c r="O189" s="10">
        <f>COUNTIFS(Tabla1[Tipo de Movilidad],"Intercambio*",Tabla1[Universidad KPIs],'Utilización Convenios'!$C189,Tabla1[Año de Movilidad],'Utilización Convenios'!O$3,Tabla1[Nivel],"Maestría")</f>
        <v>0</v>
      </c>
      <c r="P189" s="26">
        <f>COUNTIFS(Tabla2[Tipo de Movilidad],"Intercambio*",Tabla2[Universidad KPIs],'Utilización Convenios'!$C189,Tabla2[Año],'Utilización Convenios'!O$142,Tabla2[Nivel Nominación],"Postgraduate / Master")</f>
        <v>0</v>
      </c>
      <c r="Q189" s="41">
        <f t="shared" si="8"/>
        <v>0</v>
      </c>
      <c r="R189" s="42">
        <f t="shared" si="8"/>
        <v>0</v>
      </c>
    </row>
    <row r="190" spans="2:18">
      <c r="B190" s="185"/>
      <c r="C190" s="10" t="s">
        <v>103</v>
      </c>
      <c r="D190" s="11" t="s">
        <v>60</v>
      </c>
      <c r="E190" s="10">
        <f>COUNTIFS(Tabla1[Tipo de Movilidad],"Intercambio*",Tabla1[Universidad KPIs],'Utilización Convenios'!$C190,Tabla1[Año de Movilidad],'Utilización Convenios'!E$3,Tabla1[Nivel],"Maestría")</f>
        <v>0</v>
      </c>
      <c r="F190" s="11">
        <f>COUNTIFS(Tabla2[Tipo de Movilidad],"Intercambio*",Tabla2[Universidad KPIs],'Utilización Convenios'!$C190,Tabla2[Año],'Utilización Convenios'!E$142,Tabla2[Nivel Nominación],"Postgraduate / Master")</f>
        <v>1</v>
      </c>
      <c r="G190" s="10">
        <f>COUNTIFS(Tabla1[Tipo de Movilidad],"Intercambio*",Tabla1[Universidad KPIs],'Utilización Convenios'!$C190,Tabla1[Año de Movilidad],'Utilización Convenios'!G$3,Tabla1[Nivel],"Maestría")</f>
        <v>0</v>
      </c>
      <c r="H190" s="11">
        <f>COUNTIFS(Tabla2[Tipo de Movilidad],"Intercambio*",Tabla2[Universidad KPIs],'Utilización Convenios'!$C190,Tabla2[Año],'Utilización Convenios'!G$142,Tabla2[Nivel Nominación],"Postgraduate / Master")</f>
        <v>1</v>
      </c>
      <c r="I190" s="10">
        <f>COUNTIFS(Tabla1[Tipo de Movilidad],"Intercambio*",Tabla1[Universidad KPIs],'Utilización Convenios'!$C190,Tabla1[Año de Movilidad],'Utilización Convenios'!I$3,Tabla1[Nivel],"Maestría")</f>
        <v>0</v>
      </c>
      <c r="J190" s="11">
        <f>COUNTIFS(Tabla2[Tipo de Movilidad],"Intercambio*",Tabla2[Universidad KPIs],'Utilización Convenios'!$C190,Tabla2[Año],'Utilización Convenios'!I$142,Tabla2[Nivel Nominación],"Postgraduate / Master")</f>
        <v>1</v>
      </c>
      <c r="K190" s="10">
        <f>COUNTIFS(Tabla1[Tipo de Movilidad],"Intercambio*",Tabla1[Universidad KPIs],'Utilización Convenios'!$C190,Tabla1[Año de Movilidad],'Utilización Convenios'!K$3,Tabla1[Nivel],"Maestría")</f>
        <v>0</v>
      </c>
      <c r="L190" s="11">
        <f>COUNTIFS(Tabla2[Tipo de Movilidad],"Intercambio*",Tabla2[Universidad KPIs],'Utilización Convenios'!$C190,Tabla2[Año],'Utilización Convenios'!K$142,Tabla2[Nivel Nominación],"Postgraduate / Master")</f>
        <v>0</v>
      </c>
      <c r="M190" s="10">
        <f>COUNTIFS(Tabla1[Tipo de Movilidad],"Intercambio*",Tabla1[Universidad KPIs],'Utilización Convenios'!$C190,Tabla1[Año de Movilidad],'Utilización Convenios'!M$3,Tabla1[Nivel],"Maestría")</f>
        <v>0</v>
      </c>
      <c r="N190" s="26">
        <f>COUNTIFS(Tabla2[Tipo de Movilidad],"Intercambio*",Tabla2[Universidad KPIs],'Utilización Convenios'!$C190,Tabla2[Año],'Utilización Convenios'!M$142,Tabla2[Nivel Nominación],"Postgraduate / Master")</f>
        <v>1</v>
      </c>
      <c r="O190" s="10">
        <f>COUNTIFS(Tabla1[Tipo de Movilidad],"Intercambio*",Tabla1[Universidad KPIs],'Utilización Convenios'!$C190,Tabla1[Año de Movilidad],'Utilización Convenios'!O$3,Tabla1[Nivel],"Maestría")</f>
        <v>0</v>
      </c>
      <c r="P190" s="26">
        <f>COUNTIFS(Tabla2[Tipo de Movilidad],"Intercambio*",Tabla2[Universidad KPIs],'Utilización Convenios'!$C190,Tabla2[Año],'Utilización Convenios'!O$142,Tabla2[Nivel Nominación],"Postgraduate / Master")</f>
        <v>1</v>
      </c>
      <c r="Q190" s="41">
        <f t="shared" si="8"/>
        <v>0</v>
      </c>
      <c r="R190" s="42">
        <f t="shared" si="8"/>
        <v>5</v>
      </c>
    </row>
    <row r="191" spans="2:18">
      <c r="B191" s="185"/>
      <c r="C191" s="10" t="s">
        <v>104</v>
      </c>
      <c r="D191" s="11" t="s">
        <v>90</v>
      </c>
      <c r="E191" s="10">
        <f>COUNTIFS(Tabla1[Tipo de Movilidad],"Intercambio*",Tabla1[Universidad KPIs],'Utilización Convenios'!$C191,Tabla1[Año de Movilidad],'Utilización Convenios'!E$3,Tabla1[Nivel],"Maestría")</f>
        <v>0</v>
      </c>
      <c r="F191" s="11">
        <f>COUNTIFS(Tabla2[Tipo de Movilidad],"Intercambio*",Tabla2[Universidad KPIs],'Utilización Convenios'!$C191,Tabla2[Año],'Utilización Convenios'!E$142,Tabla2[Nivel Nominación],"Postgraduate / Master")</f>
        <v>0</v>
      </c>
      <c r="G191" s="10">
        <f>COUNTIFS(Tabla1[Tipo de Movilidad],"Intercambio*",Tabla1[Universidad KPIs],'Utilización Convenios'!$C191,Tabla1[Año de Movilidad],'Utilización Convenios'!G$3,Tabla1[Nivel],"Maestría")</f>
        <v>0</v>
      </c>
      <c r="H191" s="11">
        <f>COUNTIFS(Tabla2[Tipo de Movilidad],"Intercambio*",Tabla2[Universidad KPIs],'Utilización Convenios'!$C191,Tabla2[Año],'Utilización Convenios'!G$142,Tabla2[Nivel Nominación],"Postgraduate / Master")</f>
        <v>0</v>
      </c>
      <c r="I191" s="10">
        <f>COUNTIFS(Tabla1[Tipo de Movilidad],"Intercambio*",Tabla1[Universidad KPIs],'Utilización Convenios'!$C191,Tabla1[Año de Movilidad],'Utilización Convenios'!I$3,Tabla1[Nivel],"Maestría")</f>
        <v>0</v>
      </c>
      <c r="J191" s="11">
        <f>COUNTIFS(Tabla2[Tipo de Movilidad],"Intercambio*",Tabla2[Universidad KPIs],'Utilización Convenios'!$C191,Tabla2[Año],'Utilización Convenios'!I$142,Tabla2[Nivel Nominación],"Postgraduate / Master")</f>
        <v>0</v>
      </c>
      <c r="K191" s="10">
        <f>COUNTIFS(Tabla1[Tipo de Movilidad],"Intercambio*",Tabla1[Universidad KPIs],'Utilización Convenios'!$C191,Tabla1[Año de Movilidad],'Utilización Convenios'!K$3,Tabla1[Nivel],"Maestría")</f>
        <v>0</v>
      </c>
      <c r="L191" s="11">
        <f>COUNTIFS(Tabla2[Tipo de Movilidad],"Intercambio*",Tabla2[Universidad KPIs],'Utilización Convenios'!$C191,Tabla2[Año],'Utilización Convenios'!K$142,Tabla2[Nivel Nominación],"Postgraduate / Master")</f>
        <v>0</v>
      </c>
      <c r="M191" s="10">
        <f>COUNTIFS(Tabla1[Tipo de Movilidad],"Intercambio*",Tabla1[Universidad KPIs],'Utilización Convenios'!$C191,Tabla1[Año de Movilidad],'Utilización Convenios'!M$3,Tabla1[Nivel],"Maestría")</f>
        <v>0</v>
      </c>
      <c r="N191" s="26">
        <f>COUNTIFS(Tabla2[Tipo de Movilidad],"Intercambio*",Tabla2[Universidad KPIs],'Utilización Convenios'!$C191,Tabla2[Año],'Utilización Convenios'!M$142,Tabla2[Nivel Nominación],"Postgraduate / Master")</f>
        <v>0</v>
      </c>
      <c r="O191" s="10">
        <f>COUNTIFS(Tabla1[Tipo de Movilidad],"Intercambio*",Tabla1[Universidad KPIs],'Utilización Convenios'!$C191,Tabla1[Año de Movilidad],'Utilización Convenios'!O$3,Tabla1[Nivel],"Maestría")</f>
        <v>0</v>
      </c>
      <c r="P191" s="26">
        <f>COUNTIFS(Tabla2[Tipo de Movilidad],"Intercambio*",Tabla2[Universidad KPIs],'Utilización Convenios'!$C191,Tabla2[Año],'Utilización Convenios'!O$142,Tabla2[Nivel Nominación],"Postgraduate / Master")</f>
        <v>0</v>
      </c>
      <c r="Q191" s="41">
        <f t="shared" si="8"/>
        <v>0</v>
      </c>
      <c r="R191" s="42">
        <f t="shared" si="8"/>
        <v>0</v>
      </c>
    </row>
    <row r="192" spans="2:18">
      <c r="B192" s="185"/>
      <c r="C192" s="10" t="s">
        <v>105</v>
      </c>
      <c r="D192" s="11" t="s">
        <v>65</v>
      </c>
      <c r="E192" s="10">
        <f>COUNTIFS(Tabla1[Tipo de Movilidad],"Intercambio*",Tabla1[Universidad KPIs],'Utilización Convenios'!$C192,Tabla1[Año de Movilidad],'Utilización Convenios'!E$3,Tabla1[Nivel],"Maestría")</f>
        <v>0</v>
      </c>
      <c r="F192" s="11">
        <f>COUNTIFS(Tabla2[Tipo de Movilidad],"Intercambio*",Tabla2[Universidad KPIs],'Utilización Convenios'!$C192,Tabla2[Año],'Utilización Convenios'!E$142,Tabla2[Nivel Nominación],"Postgraduate / Master")</f>
        <v>1</v>
      </c>
      <c r="G192" s="10">
        <f>COUNTIFS(Tabla1[Tipo de Movilidad],"Intercambio*",Tabla1[Universidad KPIs],'Utilización Convenios'!$C192,Tabla1[Año de Movilidad],'Utilización Convenios'!G$3,Tabla1[Nivel],"Maestría")</f>
        <v>0</v>
      </c>
      <c r="H192" s="11">
        <f>COUNTIFS(Tabla2[Tipo de Movilidad],"Intercambio*",Tabla2[Universidad KPIs],'Utilización Convenios'!$C192,Tabla2[Año],'Utilización Convenios'!G$142,Tabla2[Nivel Nominación],"Postgraduate / Master")</f>
        <v>1</v>
      </c>
      <c r="I192" s="10">
        <f>COUNTIFS(Tabla1[Tipo de Movilidad],"Intercambio*",Tabla1[Universidad KPIs],'Utilización Convenios'!$C192,Tabla1[Año de Movilidad],'Utilización Convenios'!I$3,Tabla1[Nivel],"Maestría")</f>
        <v>0</v>
      </c>
      <c r="J192" s="11">
        <f>COUNTIFS(Tabla2[Tipo de Movilidad],"Intercambio*",Tabla2[Universidad KPIs],'Utilización Convenios'!$C192,Tabla2[Año],'Utilización Convenios'!I$142,Tabla2[Nivel Nominación],"Postgraduate / Master")</f>
        <v>0</v>
      </c>
      <c r="K192" s="10">
        <f>COUNTIFS(Tabla1[Tipo de Movilidad],"Intercambio*",Tabla1[Universidad KPIs],'Utilización Convenios'!$C192,Tabla1[Año de Movilidad],'Utilización Convenios'!K$3,Tabla1[Nivel],"Maestría")</f>
        <v>0</v>
      </c>
      <c r="L192" s="11">
        <f>COUNTIFS(Tabla2[Tipo de Movilidad],"Intercambio*",Tabla2[Universidad KPIs],'Utilización Convenios'!$C192,Tabla2[Año],'Utilización Convenios'!K$142,Tabla2[Nivel Nominación],"Postgraduate / Master")</f>
        <v>2</v>
      </c>
      <c r="M192" s="10">
        <f>COUNTIFS(Tabla1[Tipo de Movilidad],"Intercambio*",Tabla1[Universidad KPIs],'Utilización Convenios'!$C192,Tabla1[Año de Movilidad],'Utilización Convenios'!M$3,Tabla1[Nivel],"Maestría")</f>
        <v>0</v>
      </c>
      <c r="N192" s="26">
        <f>COUNTIFS(Tabla2[Tipo de Movilidad],"Intercambio*",Tabla2[Universidad KPIs],'Utilización Convenios'!$C192,Tabla2[Año],'Utilización Convenios'!M$142,Tabla2[Nivel Nominación],"Postgraduate / Master")</f>
        <v>3</v>
      </c>
      <c r="O192" s="10">
        <f>COUNTIFS(Tabla1[Tipo de Movilidad],"Intercambio*",Tabla1[Universidad KPIs],'Utilización Convenios'!$C192,Tabla1[Año de Movilidad],'Utilización Convenios'!O$3,Tabla1[Nivel],"Maestría")</f>
        <v>0</v>
      </c>
      <c r="P192" s="26">
        <f>COUNTIFS(Tabla2[Tipo de Movilidad],"Intercambio*",Tabla2[Universidad KPIs],'Utilización Convenios'!$C192,Tabla2[Año],'Utilización Convenios'!O$142,Tabla2[Nivel Nominación],"Postgraduate / Master")</f>
        <v>1</v>
      </c>
      <c r="Q192" s="41">
        <f t="shared" si="8"/>
        <v>0</v>
      </c>
      <c r="R192" s="42">
        <f t="shared" si="8"/>
        <v>8</v>
      </c>
    </row>
    <row r="193" spans="2:18">
      <c r="B193" s="185"/>
      <c r="C193" s="10" t="s">
        <v>108</v>
      </c>
      <c r="D193" s="11" t="s">
        <v>35</v>
      </c>
      <c r="E193" s="10">
        <f>COUNTIFS(Tabla1[Tipo de Movilidad],"Intercambio*",Tabla1[Universidad KPIs],'Utilización Convenios'!$C193,Tabla1[Año de Movilidad],'Utilización Convenios'!E$3,Tabla1[Nivel],"Maestría")</f>
        <v>0</v>
      </c>
      <c r="F193" s="11">
        <f>COUNTIFS(Tabla2[Tipo de Movilidad],"Intercambio*",Tabla2[Universidad KPIs],'Utilización Convenios'!$C193,Tabla2[Año],'Utilización Convenios'!E$142,Tabla2[Nivel Nominación],"Postgraduate / Master")</f>
        <v>0</v>
      </c>
      <c r="G193" s="10">
        <f>COUNTIFS(Tabla1[Tipo de Movilidad],"Intercambio*",Tabla1[Universidad KPIs],'Utilización Convenios'!$C193,Tabla1[Año de Movilidad],'Utilización Convenios'!G$3,Tabla1[Nivel],"Maestría")</f>
        <v>0</v>
      </c>
      <c r="H193" s="11">
        <f>COUNTIFS(Tabla2[Tipo de Movilidad],"Intercambio*",Tabla2[Universidad KPIs],'Utilización Convenios'!$C193,Tabla2[Año],'Utilización Convenios'!G$142,Tabla2[Nivel Nominación],"Postgraduate / Master")</f>
        <v>0</v>
      </c>
      <c r="I193" s="10">
        <f>COUNTIFS(Tabla1[Tipo de Movilidad],"Intercambio*",Tabla1[Universidad KPIs],'Utilización Convenios'!$C193,Tabla1[Año de Movilidad],'Utilización Convenios'!I$3,Tabla1[Nivel],"Maestría")</f>
        <v>0</v>
      </c>
      <c r="J193" s="11">
        <f>COUNTIFS(Tabla2[Tipo de Movilidad],"Intercambio*",Tabla2[Universidad KPIs],'Utilización Convenios'!$C193,Tabla2[Año],'Utilización Convenios'!I$142,Tabla2[Nivel Nominación],"Postgraduate / Master")</f>
        <v>0</v>
      </c>
      <c r="K193" s="10">
        <f>COUNTIFS(Tabla1[Tipo de Movilidad],"Intercambio*",Tabla1[Universidad KPIs],'Utilización Convenios'!$C193,Tabla1[Año de Movilidad],'Utilización Convenios'!K$3,Tabla1[Nivel],"Maestría")</f>
        <v>0</v>
      </c>
      <c r="L193" s="11">
        <f>COUNTIFS(Tabla2[Tipo de Movilidad],"Intercambio*",Tabla2[Universidad KPIs],'Utilización Convenios'!$C193,Tabla2[Año],'Utilización Convenios'!K$142,Tabla2[Nivel Nominación],"Postgraduate / Master")</f>
        <v>0</v>
      </c>
      <c r="M193" s="10">
        <f>COUNTIFS(Tabla1[Tipo de Movilidad],"Intercambio*",Tabla1[Universidad KPIs],'Utilización Convenios'!$C193,Tabla1[Año de Movilidad],'Utilización Convenios'!M$3,Tabla1[Nivel],"Maestría")</f>
        <v>0</v>
      </c>
      <c r="N193" s="26">
        <f>COUNTIFS(Tabla2[Tipo de Movilidad],"Intercambio*",Tabla2[Universidad KPIs],'Utilización Convenios'!$C193,Tabla2[Año],'Utilización Convenios'!M$142,Tabla2[Nivel Nominación],"Postgraduate / Master")</f>
        <v>0</v>
      </c>
      <c r="O193" s="10">
        <f>COUNTIFS(Tabla1[Tipo de Movilidad],"Intercambio*",Tabla1[Universidad KPIs],'Utilización Convenios'!$C193,Tabla1[Año de Movilidad],'Utilización Convenios'!O$3,Tabla1[Nivel],"Maestría")</f>
        <v>0</v>
      </c>
      <c r="P193" s="26">
        <f>COUNTIFS(Tabla2[Tipo de Movilidad],"Intercambio*",Tabla2[Universidad KPIs],'Utilización Convenios'!$C193,Tabla2[Año],'Utilización Convenios'!O$142,Tabla2[Nivel Nominación],"Postgraduate / Master")</f>
        <v>0</v>
      </c>
      <c r="Q193" s="41">
        <f t="shared" si="8"/>
        <v>0</v>
      </c>
      <c r="R193" s="42">
        <f t="shared" si="8"/>
        <v>0</v>
      </c>
    </row>
    <row r="194" spans="2:18">
      <c r="B194" s="185"/>
      <c r="C194" s="10" t="s">
        <v>106</v>
      </c>
      <c r="D194" s="11" t="s">
        <v>107</v>
      </c>
      <c r="E194" s="10">
        <f>COUNTIFS(Tabla1[Tipo de Movilidad],"Intercambio*",Tabla1[Universidad KPIs],'Utilización Convenios'!$C194,Tabla1[Año de Movilidad],'Utilización Convenios'!E$3,Tabla1[Nivel],"Maestría")</f>
        <v>0</v>
      </c>
      <c r="F194" s="11">
        <f>COUNTIFS(Tabla2[Tipo de Movilidad],"Intercambio*",Tabla2[Universidad KPIs],'Utilización Convenios'!$C194,Tabla2[Año],'Utilización Convenios'!E$142,Tabla2[Nivel Nominación],"Postgraduate / Master")</f>
        <v>2</v>
      </c>
      <c r="G194" s="10">
        <f>COUNTIFS(Tabla1[Tipo de Movilidad],"Intercambio*",Tabla1[Universidad KPIs],'Utilización Convenios'!$C194,Tabla1[Año de Movilidad],'Utilización Convenios'!G$3,Tabla1[Nivel],"Maestría")</f>
        <v>0</v>
      </c>
      <c r="H194" s="11">
        <f>COUNTIFS(Tabla2[Tipo de Movilidad],"Intercambio*",Tabla2[Universidad KPIs],'Utilización Convenios'!$C194,Tabla2[Año],'Utilización Convenios'!G$142,Tabla2[Nivel Nominación],"Postgraduate / Master")</f>
        <v>1</v>
      </c>
      <c r="I194" s="10">
        <f>COUNTIFS(Tabla1[Tipo de Movilidad],"Intercambio*",Tabla1[Universidad KPIs],'Utilización Convenios'!$C194,Tabla1[Año de Movilidad],'Utilización Convenios'!I$3,Tabla1[Nivel],"Maestría")</f>
        <v>0</v>
      </c>
      <c r="J194" s="11">
        <f>COUNTIFS(Tabla2[Tipo de Movilidad],"Intercambio*",Tabla2[Universidad KPIs],'Utilización Convenios'!$C194,Tabla2[Año],'Utilización Convenios'!I$142,Tabla2[Nivel Nominación],"Postgraduate / Master")</f>
        <v>0</v>
      </c>
      <c r="K194" s="10">
        <f>COUNTIFS(Tabla1[Tipo de Movilidad],"Intercambio*",Tabla1[Universidad KPIs],'Utilización Convenios'!$C194,Tabla1[Año de Movilidad],'Utilización Convenios'!K$3,Tabla1[Nivel],"Maestría")</f>
        <v>0</v>
      </c>
      <c r="L194" s="11">
        <f>COUNTIFS(Tabla2[Tipo de Movilidad],"Intercambio*",Tabla2[Universidad KPIs],'Utilización Convenios'!$C194,Tabla2[Año],'Utilización Convenios'!K$142,Tabla2[Nivel Nominación],"Postgraduate / Master")</f>
        <v>0</v>
      </c>
      <c r="M194" s="10">
        <f>COUNTIFS(Tabla1[Tipo de Movilidad],"Intercambio*",Tabla1[Universidad KPIs],'Utilización Convenios'!$C194,Tabla1[Año de Movilidad],'Utilización Convenios'!M$3,Tabla1[Nivel],"Maestría")</f>
        <v>0</v>
      </c>
      <c r="N194" s="26">
        <f>COUNTIFS(Tabla2[Tipo de Movilidad],"Intercambio*",Tabla2[Universidad KPIs],'Utilización Convenios'!$C194,Tabla2[Año],'Utilización Convenios'!M$142,Tabla2[Nivel Nominación],"Postgraduate / Master")</f>
        <v>1</v>
      </c>
      <c r="O194" s="10">
        <f>COUNTIFS(Tabla1[Tipo de Movilidad],"Intercambio*",Tabla1[Universidad KPIs],'Utilización Convenios'!$C194,Tabla1[Año de Movilidad],'Utilización Convenios'!O$3,Tabla1[Nivel],"Maestría")</f>
        <v>0</v>
      </c>
      <c r="P194" s="26">
        <f>COUNTIFS(Tabla2[Tipo de Movilidad],"Intercambio*",Tabla2[Universidad KPIs],'Utilización Convenios'!$C194,Tabla2[Año],'Utilización Convenios'!O$142,Tabla2[Nivel Nominación],"Postgraduate / Master")</f>
        <v>0</v>
      </c>
      <c r="Q194" s="41">
        <f t="shared" si="8"/>
        <v>0</v>
      </c>
      <c r="R194" s="42">
        <f t="shared" si="8"/>
        <v>4</v>
      </c>
    </row>
    <row r="195" spans="2:18">
      <c r="B195" s="185"/>
      <c r="C195" s="10" t="s">
        <v>109</v>
      </c>
      <c r="D195" s="11" t="s">
        <v>110</v>
      </c>
      <c r="E195" s="10">
        <f>COUNTIFS(Tabla1[Tipo de Movilidad],"Intercambio*",Tabla1[Universidad KPIs],'Utilización Convenios'!$C195,Tabla1[Año de Movilidad],'Utilización Convenios'!E$3,Tabla1[Nivel],"Maestría")</f>
        <v>0</v>
      </c>
      <c r="F195" s="11">
        <f>COUNTIFS(Tabla2[Tipo de Movilidad],"Intercambio*",Tabla2[Universidad KPIs],'Utilización Convenios'!$C195,Tabla2[Año],'Utilización Convenios'!E$142,Tabla2[Nivel Nominación],"Postgraduate / Master")</f>
        <v>0</v>
      </c>
      <c r="G195" s="10">
        <f>COUNTIFS(Tabla1[Tipo de Movilidad],"Intercambio*",Tabla1[Universidad KPIs],'Utilización Convenios'!$C195,Tabla1[Año de Movilidad],'Utilización Convenios'!G$3,Tabla1[Nivel],"Maestría")</f>
        <v>0</v>
      </c>
      <c r="H195" s="11">
        <f>COUNTIFS(Tabla2[Tipo de Movilidad],"Intercambio*",Tabla2[Universidad KPIs],'Utilización Convenios'!$C195,Tabla2[Año],'Utilización Convenios'!G$142,Tabla2[Nivel Nominación],"Postgraduate / Master")</f>
        <v>0</v>
      </c>
      <c r="I195" s="10">
        <f>COUNTIFS(Tabla1[Tipo de Movilidad],"Intercambio*",Tabla1[Universidad KPIs],'Utilización Convenios'!$C195,Tabla1[Año de Movilidad],'Utilización Convenios'!I$3,Tabla1[Nivel],"Maestría")</f>
        <v>0</v>
      </c>
      <c r="J195" s="11">
        <f>COUNTIFS(Tabla2[Tipo de Movilidad],"Intercambio*",Tabla2[Universidad KPIs],'Utilización Convenios'!$C195,Tabla2[Año],'Utilización Convenios'!I$142,Tabla2[Nivel Nominación],"Postgraduate / Master")</f>
        <v>0</v>
      </c>
      <c r="K195" s="10">
        <f>COUNTIFS(Tabla1[Tipo de Movilidad],"Intercambio*",Tabla1[Universidad KPIs],'Utilización Convenios'!$C195,Tabla1[Año de Movilidad],'Utilización Convenios'!K$3,Tabla1[Nivel],"Maestría")</f>
        <v>0</v>
      </c>
      <c r="L195" s="11">
        <f>COUNTIFS(Tabla2[Tipo de Movilidad],"Intercambio*",Tabla2[Universidad KPIs],'Utilización Convenios'!$C195,Tabla2[Año],'Utilización Convenios'!K$142,Tabla2[Nivel Nominación],"Postgraduate / Master")</f>
        <v>0</v>
      </c>
      <c r="M195" s="10">
        <f>COUNTIFS(Tabla1[Tipo de Movilidad],"Intercambio*",Tabla1[Universidad KPIs],'Utilización Convenios'!$C195,Tabla1[Año de Movilidad],'Utilización Convenios'!M$3,Tabla1[Nivel],"Maestría")</f>
        <v>0</v>
      </c>
      <c r="N195" s="26">
        <f>COUNTIFS(Tabla2[Tipo de Movilidad],"Intercambio*",Tabla2[Universidad KPIs],'Utilización Convenios'!$C195,Tabla2[Año],'Utilización Convenios'!M$142,Tabla2[Nivel Nominación],"Postgraduate / Master")</f>
        <v>0</v>
      </c>
      <c r="O195" s="10">
        <f>COUNTIFS(Tabla1[Tipo de Movilidad],"Intercambio*",Tabla1[Universidad KPIs],'Utilización Convenios'!$C195,Tabla1[Año de Movilidad],'Utilización Convenios'!O$3,Tabla1[Nivel],"Maestría")</f>
        <v>0</v>
      </c>
      <c r="P195" s="26">
        <f>COUNTIFS(Tabla2[Tipo de Movilidad],"Intercambio*",Tabla2[Universidad KPIs],'Utilización Convenios'!$C195,Tabla2[Año],'Utilización Convenios'!O$142,Tabla2[Nivel Nominación],"Postgraduate / Master")</f>
        <v>0</v>
      </c>
      <c r="Q195" s="41">
        <f t="shared" si="8"/>
        <v>0</v>
      </c>
      <c r="R195" s="42">
        <f t="shared" si="8"/>
        <v>0</v>
      </c>
    </row>
    <row r="196" spans="2:18">
      <c r="B196" s="185"/>
      <c r="C196" s="10" t="s">
        <v>111</v>
      </c>
      <c r="D196" s="11" t="s">
        <v>112</v>
      </c>
      <c r="E196" s="10">
        <f>COUNTIFS(Tabla1[Tipo de Movilidad],"Intercambio*",Tabla1[Universidad KPIs],'Utilización Convenios'!$C196,Tabla1[Año de Movilidad],'Utilización Convenios'!E$3,Tabla1[Nivel],"Maestría")</f>
        <v>0</v>
      </c>
      <c r="F196" s="11">
        <f>COUNTIFS(Tabla2[Tipo de Movilidad],"Intercambio*",Tabla2[Universidad KPIs],'Utilización Convenios'!$C196,Tabla2[Año],'Utilización Convenios'!E$142,Tabla2[Nivel Nominación],"Postgraduate / Master")</f>
        <v>0</v>
      </c>
      <c r="G196" s="10">
        <f>COUNTIFS(Tabla1[Tipo de Movilidad],"Intercambio*",Tabla1[Universidad KPIs],'Utilización Convenios'!$C196,Tabla1[Año de Movilidad],'Utilización Convenios'!G$3,Tabla1[Nivel],"Maestría")</f>
        <v>0</v>
      </c>
      <c r="H196" s="11">
        <f>COUNTIFS(Tabla2[Tipo de Movilidad],"Intercambio*",Tabla2[Universidad KPIs],'Utilización Convenios'!$C196,Tabla2[Año],'Utilización Convenios'!G$142,Tabla2[Nivel Nominación],"Postgraduate / Master")</f>
        <v>0</v>
      </c>
      <c r="I196" s="10">
        <f>COUNTIFS(Tabla1[Tipo de Movilidad],"Intercambio*",Tabla1[Universidad KPIs],'Utilización Convenios'!$C196,Tabla1[Año de Movilidad],'Utilización Convenios'!I$3,Tabla1[Nivel],"Maestría")</f>
        <v>0</v>
      </c>
      <c r="J196" s="11">
        <f>COUNTIFS(Tabla2[Tipo de Movilidad],"Intercambio*",Tabla2[Universidad KPIs],'Utilización Convenios'!$C196,Tabla2[Año],'Utilización Convenios'!I$142,Tabla2[Nivel Nominación],"Postgraduate / Master")</f>
        <v>0</v>
      </c>
      <c r="K196" s="10">
        <f>COUNTIFS(Tabla1[Tipo de Movilidad],"Intercambio*",Tabla1[Universidad KPIs],'Utilización Convenios'!$C196,Tabla1[Año de Movilidad],'Utilización Convenios'!K$3,Tabla1[Nivel],"Maestría")</f>
        <v>0</v>
      </c>
      <c r="L196" s="11">
        <f>COUNTIFS(Tabla2[Tipo de Movilidad],"Intercambio*",Tabla2[Universidad KPIs],'Utilización Convenios'!$C196,Tabla2[Año],'Utilización Convenios'!K$142,Tabla2[Nivel Nominación],"Postgraduate / Master")</f>
        <v>0</v>
      </c>
      <c r="M196" s="10">
        <f>COUNTIFS(Tabla1[Tipo de Movilidad],"Intercambio*",Tabla1[Universidad KPIs],'Utilización Convenios'!$C196,Tabla1[Año de Movilidad],'Utilización Convenios'!M$3,Tabla1[Nivel],"Maestría")</f>
        <v>0</v>
      </c>
      <c r="N196" s="26">
        <f>COUNTIFS(Tabla2[Tipo de Movilidad],"Intercambio*",Tabla2[Universidad KPIs],'Utilización Convenios'!$C196,Tabla2[Año],'Utilización Convenios'!M$142,Tabla2[Nivel Nominación],"Postgraduate / Master")</f>
        <v>0</v>
      </c>
      <c r="O196" s="10">
        <f>COUNTIFS(Tabla1[Tipo de Movilidad],"Intercambio*",Tabla1[Universidad KPIs],'Utilización Convenios'!$C196,Tabla1[Año de Movilidad],'Utilización Convenios'!O$3,Tabla1[Nivel],"Maestría")</f>
        <v>0</v>
      </c>
      <c r="P196" s="26">
        <f>COUNTIFS(Tabla2[Tipo de Movilidad],"Intercambio*",Tabla2[Universidad KPIs],'Utilización Convenios'!$C196,Tabla2[Año],'Utilización Convenios'!O$142,Tabla2[Nivel Nominación],"Postgraduate / Master")</f>
        <v>0</v>
      </c>
      <c r="Q196" s="41">
        <f t="shared" si="8"/>
        <v>0</v>
      </c>
      <c r="R196" s="42">
        <f t="shared" si="8"/>
        <v>0</v>
      </c>
    </row>
    <row r="197" spans="2:18">
      <c r="B197" s="185"/>
      <c r="C197" s="10" t="s">
        <v>113</v>
      </c>
      <c r="D197" s="11" t="s">
        <v>114</v>
      </c>
      <c r="E197" s="10">
        <f>COUNTIFS(Tabla1[Tipo de Movilidad],"Intercambio*",Tabla1[Universidad KPIs],'Utilización Convenios'!$C197,Tabla1[Año de Movilidad],'Utilización Convenios'!E$3,Tabla1[Nivel],"Maestría")</f>
        <v>0</v>
      </c>
      <c r="F197" s="11">
        <f>COUNTIFS(Tabla2[Tipo de Movilidad],"Intercambio*",Tabla2[Universidad KPIs],'Utilización Convenios'!$C197,Tabla2[Año],'Utilización Convenios'!E$142,Tabla2[Nivel Nominación],"Postgraduate / Master")</f>
        <v>0</v>
      </c>
      <c r="G197" s="10">
        <f>COUNTIFS(Tabla1[Tipo de Movilidad],"Intercambio*",Tabla1[Universidad KPIs],'Utilización Convenios'!$C197,Tabla1[Año de Movilidad],'Utilización Convenios'!G$3,Tabla1[Nivel],"Maestría")</f>
        <v>0</v>
      </c>
      <c r="H197" s="11">
        <f>COUNTIFS(Tabla2[Tipo de Movilidad],"Intercambio*",Tabla2[Universidad KPIs],'Utilización Convenios'!$C197,Tabla2[Año],'Utilización Convenios'!G$142,Tabla2[Nivel Nominación],"Postgraduate / Master")</f>
        <v>0</v>
      </c>
      <c r="I197" s="10">
        <f>COUNTIFS(Tabla1[Tipo de Movilidad],"Intercambio*",Tabla1[Universidad KPIs],'Utilización Convenios'!$C197,Tabla1[Año de Movilidad],'Utilización Convenios'!I$3,Tabla1[Nivel],"Maestría")</f>
        <v>0</v>
      </c>
      <c r="J197" s="11">
        <f>COUNTIFS(Tabla2[Tipo de Movilidad],"Intercambio*",Tabla2[Universidad KPIs],'Utilización Convenios'!$C197,Tabla2[Año],'Utilización Convenios'!I$142,Tabla2[Nivel Nominación],"Postgraduate / Master")</f>
        <v>0</v>
      </c>
      <c r="K197" s="10">
        <f>COUNTIFS(Tabla1[Tipo de Movilidad],"Intercambio*",Tabla1[Universidad KPIs],'Utilización Convenios'!$C197,Tabla1[Año de Movilidad],'Utilización Convenios'!K$3,Tabla1[Nivel],"Maestría")</f>
        <v>0</v>
      </c>
      <c r="L197" s="11">
        <f>COUNTIFS(Tabla2[Tipo de Movilidad],"Intercambio*",Tabla2[Universidad KPIs],'Utilización Convenios'!$C197,Tabla2[Año],'Utilización Convenios'!K$142,Tabla2[Nivel Nominación],"Postgraduate / Master")</f>
        <v>0</v>
      </c>
      <c r="M197" s="10">
        <f>COUNTIFS(Tabla1[Tipo de Movilidad],"Intercambio*",Tabla1[Universidad KPIs],'Utilización Convenios'!$C197,Tabla1[Año de Movilidad],'Utilización Convenios'!M$3,Tabla1[Nivel],"Maestría")</f>
        <v>0</v>
      </c>
      <c r="N197" s="26">
        <f>COUNTIFS(Tabla2[Tipo de Movilidad],"Intercambio*",Tabla2[Universidad KPIs],'Utilización Convenios'!$C197,Tabla2[Año],'Utilización Convenios'!M$142,Tabla2[Nivel Nominación],"Postgraduate / Master")</f>
        <v>0</v>
      </c>
      <c r="O197" s="10">
        <f>COUNTIFS(Tabla1[Tipo de Movilidad],"Intercambio*",Tabla1[Universidad KPIs],'Utilización Convenios'!$C197,Tabla1[Año de Movilidad],'Utilización Convenios'!O$3,Tabla1[Nivel],"Maestría")</f>
        <v>0</v>
      </c>
      <c r="P197" s="26">
        <f>COUNTIFS(Tabla2[Tipo de Movilidad],"Intercambio*",Tabla2[Universidad KPIs],'Utilización Convenios'!$C197,Tabla2[Año],'Utilización Convenios'!O$142,Tabla2[Nivel Nominación],"Postgraduate / Master")</f>
        <v>0</v>
      </c>
      <c r="Q197" s="41">
        <f t="shared" si="8"/>
        <v>0</v>
      </c>
      <c r="R197" s="42">
        <f t="shared" si="8"/>
        <v>0</v>
      </c>
    </row>
    <row r="198" spans="2:18">
      <c r="B198" s="185"/>
      <c r="C198" s="10" t="s">
        <v>116</v>
      </c>
      <c r="D198" s="11" t="s">
        <v>117</v>
      </c>
      <c r="E198" s="10">
        <f>COUNTIFS(Tabla1[Tipo de Movilidad],"Intercambio*",Tabla1[Universidad KPIs],'Utilización Convenios'!$C198,Tabla1[Año de Movilidad],'Utilización Convenios'!E$3,Tabla1[Nivel],"Maestría")</f>
        <v>0</v>
      </c>
      <c r="F198" s="11">
        <f>COUNTIFS(Tabla2[Tipo de Movilidad],"Intercambio*",Tabla2[Universidad KPIs],'Utilización Convenios'!$C198,Tabla2[Año],'Utilización Convenios'!E$142,Tabla2[Nivel Nominación],"Postgraduate / Master")</f>
        <v>0</v>
      </c>
      <c r="G198" s="10">
        <f>COUNTIFS(Tabla1[Tipo de Movilidad],"Intercambio*",Tabla1[Universidad KPIs],'Utilización Convenios'!$C198,Tabla1[Año de Movilidad],'Utilización Convenios'!G$3,Tabla1[Nivel],"Maestría")</f>
        <v>0</v>
      </c>
      <c r="H198" s="11">
        <f>COUNTIFS(Tabla2[Tipo de Movilidad],"Intercambio*",Tabla2[Universidad KPIs],'Utilización Convenios'!$C198,Tabla2[Año],'Utilización Convenios'!G$142,Tabla2[Nivel Nominación],"Postgraduate / Master")</f>
        <v>0</v>
      </c>
      <c r="I198" s="10">
        <f>COUNTIFS(Tabla1[Tipo de Movilidad],"Intercambio*",Tabla1[Universidad KPIs],'Utilización Convenios'!$C198,Tabla1[Año de Movilidad],'Utilización Convenios'!I$3,Tabla1[Nivel],"Maestría")</f>
        <v>0</v>
      </c>
      <c r="J198" s="11">
        <f>COUNTIFS(Tabla2[Tipo de Movilidad],"Intercambio*",Tabla2[Universidad KPIs],'Utilización Convenios'!$C198,Tabla2[Año],'Utilización Convenios'!I$142,Tabla2[Nivel Nominación],"Postgraduate / Master")</f>
        <v>0</v>
      </c>
      <c r="K198" s="10">
        <f>COUNTIFS(Tabla1[Tipo de Movilidad],"Intercambio*",Tabla1[Universidad KPIs],'Utilización Convenios'!$C198,Tabla1[Año de Movilidad],'Utilización Convenios'!K$3,Tabla1[Nivel],"Maestría")</f>
        <v>0</v>
      </c>
      <c r="L198" s="11">
        <f>COUNTIFS(Tabla2[Tipo de Movilidad],"Intercambio*",Tabla2[Universidad KPIs],'Utilización Convenios'!$C198,Tabla2[Año],'Utilización Convenios'!K$142,Tabla2[Nivel Nominación],"Postgraduate / Master")</f>
        <v>0</v>
      </c>
      <c r="M198" s="10">
        <f>COUNTIFS(Tabla1[Tipo de Movilidad],"Intercambio*",Tabla1[Universidad KPIs],'Utilización Convenios'!$C198,Tabla1[Año de Movilidad],'Utilización Convenios'!M$3,Tabla1[Nivel],"Maestría")</f>
        <v>0</v>
      </c>
      <c r="N198" s="26">
        <f>COUNTIFS(Tabla2[Tipo de Movilidad],"Intercambio*",Tabla2[Universidad KPIs],'Utilización Convenios'!$C198,Tabla2[Año],'Utilización Convenios'!M$142,Tabla2[Nivel Nominación],"Postgraduate / Master")</f>
        <v>0</v>
      </c>
      <c r="O198" s="10">
        <f>COUNTIFS(Tabla1[Tipo de Movilidad],"Intercambio*",Tabla1[Universidad KPIs],'Utilización Convenios'!$C198,Tabla1[Año de Movilidad],'Utilización Convenios'!O$3,Tabla1[Nivel],"Maestría")</f>
        <v>0</v>
      </c>
      <c r="P198" s="26">
        <f>COUNTIFS(Tabla2[Tipo de Movilidad],"Intercambio*",Tabla2[Universidad KPIs],'Utilización Convenios'!$C198,Tabla2[Año],'Utilización Convenios'!O$142,Tabla2[Nivel Nominación],"Postgraduate / Master")</f>
        <v>0</v>
      </c>
      <c r="Q198" s="41">
        <f t="shared" si="8"/>
        <v>0</v>
      </c>
      <c r="R198" s="42">
        <f t="shared" si="8"/>
        <v>0</v>
      </c>
    </row>
    <row r="199" spans="2:18">
      <c r="B199" s="185"/>
      <c r="C199" s="10" t="s">
        <v>118</v>
      </c>
      <c r="D199" s="11" t="s">
        <v>119</v>
      </c>
      <c r="E199" s="10">
        <f>COUNTIFS(Tabla1[Tipo de Movilidad],"Intercambio*",Tabla1[Universidad KPIs],'Utilización Convenios'!$C199,Tabla1[Año de Movilidad],'Utilización Convenios'!E$3,Tabla1[Nivel],"Maestría")</f>
        <v>0</v>
      </c>
      <c r="F199" s="11">
        <f>COUNTIFS(Tabla2[Tipo de Movilidad],"Intercambio*",Tabla2[Universidad KPIs],'Utilización Convenios'!$C199,Tabla2[Año],'Utilización Convenios'!E$142,Tabla2[Nivel Nominación],"Postgraduate / Master")</f>
        <v>0</v>
      </c>
      <c r="G199" s="10">
        <f>COUNTIFS(Tabla1[Tipo de Movilidad],"Intercambio*",Tabla1[Universidad KPIs],'Utilización Convenios'!$C199,Tabla1[Año de Movilidad],'Utilización Convenios'!G$3,Tabla1[Nivel],"Maestría")</f>
        <v>0</v>
      </c>
      <c r="H199" s="11">
        <f>COUNTIFS(Tabla2[Tipo de Movilidad],"Intercambio*",Tabla2[Universidad KPIs],'Utilización Convenios'!$C199,Tabla2[Año],'Utilización Convenios'!G$142,Tabla2[Nivel Nominación],"Postgraduate / Master")</f>
        <v>0</v>
      </c>
      <c r="I199" s="10">
        <f>COUNTIFS(Tabla1[Tipo de Movilidad],"Intercambio*",Tabla1[Universidad KPIs],'Utilización Convenios'!$C199,Tabla1[Año de Movilidad],'Utilización Convenios'!I$3,Tabla1[Nivel],"Maestría")</f>
        <v>0</v>
      </c>
      <c r="J199" s="11">
        <f>COUNTIFS(Tabla2[Tipo de Movilidad],"Intercambio*",Tabla2[Universidad KPIs],'Utilización Convenios'!$C199,Tabla2[Año],'Utilización Convenios'!I$142,Tabla2[Nivel Nominación],"Postgraduate / Master")</f>
        <v>0</v>
      </c>
      <c r="K199" s="10">
        <f>COUNTIFS(Tabla1[Tipo de Movilidad],"Intercambio*",Tabla1[Universidad KPIs],'Utilización Convenios'!$C199,Tabla1[Año de Movilidad],'Utilización Convenios'!K$3,Tabla1[Nivel],"Maestría")</f>
        <v>0</v>
      </c>
      <c r="L199" s="11">
        <f>COUNTIFS(Tabla2[Tipo de Movilidad],"Intercambio*",Tabla2[Universidad KPIs],'Utilización Convenios'!$C199,Tabla2[Año],'Utilización Convenios'!K$142,Tabla2[Nivel Nominación],"Postgraduate / Master")</f>
        <v>0</v>
      </c>
      <c r="M199" s="10">
        <f>COUNTIFS(Tabla1[Tipo de Movilidad],"Intercambio*",Tabla1[Universidad KPIs],'Utilización Convenios'!$C199,Tabla1[Año de Movilidad],'Utilización Convenios'!M$3,Tabla1[Nivel],"Maestría")</f>
        <v>0</v>
      </c>
      <c r="N199" s="26">
        <f>COUNTIFS(Tabla2[Tipo de Movilidad],"Intercambio*",Tabla2[Universidad KPIs],'Utilización Convenios'!$C199,Tabla2[Año],'Utilización Convenios'!M$142,Tabla2[Nivel Nominación],"Postgraduate / Master")</f>
        <v>0</v>
      </c>
      <c r="O199" s="10">
        <f>COUNTIFS(Tabla1[Tipo de Movilidad],"Intercambio*",Tabla1[Universidad KPIs],'Utilización Convenios'!$C199,Tabla1[Año de Movilidad],'Utilización Convenios'!O$3,Tabla1[Nivel],"Maestría")</f>
        <v>0</v>
      </c>
      <c r="P199" s="26">
        <f>COUNTIFS(Tabla2[Tipo de Movilidad],"Intercambio*",Tabla2[Universidad KPIs],'Utilización Convenios'!$C199,Tabla2[Año],'Utilización Convenios'!O$142,Tabla2[Nivel Nominación],"Postgraduate / Master")</f>
        <v>0</v>
      </c>
      <c r="Q199" s="41">
        <f t="shared" si="8"/>
        <v>0</v>
      </c>
      <c r="R199" s="42">
        <f t="shared" si="8"/>
        <v>0</v>
      </c>
    </row>
    <row r="200" spans="2:18">
      <c r="B200" s="185"/>
      <c r="C200" s="10" t="s">
        <v>120</v>
      </c>
      <c r="D200" s="11" t="s">
        <v>60</v>
      </c>
      <c r="E200" s="10">
        <f>COUNTIFS(Tabla1[Tipo de Movilidad],"Intercambio*",Tabla1[Universidad KPIs],'Utilización Convenios'!$C200,Tabla1[Año de Movilidad],'Utilización Convenios'!E$3,Tabla1[Nivel],"Maestría")</f>
        <v>0</v>
      </c>
      <c r="F200" s="11">
        <f>COUNTIFS(Tabla2[Tipo de Movilidad],"Intercambio*",Tabla2[Universidad KPIs],'Utilización Convenios'!$C200,Tabla2[Año],'Utilización Convenios'!E$142,Tabla2[Nivel Nominación],"Postgraduate / Master")</f>
        <v>0</v>
      </c>
      <c r="G200" s="10">
        <f>COUNTIFS(Tabla1[Tipo de Movilidad],"Intercambio*",Tabla1[Universidad KPIs],'Utilización Convenios'!$C200,Tabla1[Año de Movilidad],'Utilización Convenios'!G$3,Tabla1[Nivel],"Maestría")</f>
        <v>0</v>
      </c>
      <c r="H200" s="11">
        <f>COUNTIFS(Tabla2[Tipo de Movilidad],"Intercambio*",Tabla2[Universidad KPIs],'Utilización Convenios'!$C200,Tabla2[Año],'Utilización Convenios'!G$142,Tabla2[Nivel Nominación],"Postgraduate / Master")</f>
        <v>0</v>
      </c>
      <c r="I200" s="10">
        <f>COUNTIFS(Tabla1[Tipo de Movilidad],"Intercambio*",Tabla1[Universidad KPIs],'Utilización Convenios'!$C200,Tabla1[Año de Movilidad],'Utilización Convenios'!I$3,Tabla1[Nivel],"Maestría")</f>
        <v>0</v>
      </c>
      <c r="J200" s="11">
        <f>COUNTIFS(Tabla2[Tipo de Movilidad],"Intercambio*",Tabla2[Universidad KPIs],'Utilización Convenios'!$C200,Tabla2[Año],'Utilización Convenios'!I$142,Tabla2[Nivel Nominación],"Postgraduate / Master")</f>
        <v>0</v>
      </c>
      <c r="K200" s="10">
        <f>COUNTIFS(Tabla1[Tipo de Movilidad],"Intercambio*",Tabla1[Universidad KPIs],'Utilización Convenios'!$C200,Tabla1[Año de Movilidad],'Utilización Convenios'!K$3,Tabla1[Nivel],"Maestría")</f>
        <v>0</v>
      </c>
      <c r="L200" s="11">
        <f>COUNTIFS(Tabla2[Tipo de Movilidad],"Intercambio*",Tabla2[Universidad KPIs],'Utilización Convenios'!$C200,Tabla2[Año],'Utilización Convenios'!K$142,Tabla2[Nivel Nominación],"Postgraduate / Master")</f>
        <v>0</v>
      </c>
      <c r="M200" s="10">
        <f>COUNTIFS(Tabla1[Tipo de Movilidad],"Intercambio*",Tabla1[Universidad KPIs],'Utilización Convenios'!$C200,Tabla1[Año de Movilidad],'Utilización Convenios'!M$3,Tabla1[Nivel],"Maestría")</f>
        <v>0</v>
      </c>
      <c r="N200" s="26">
        <f>COUNTIFS(Tabla2[Tipo de Movilidad],"Intercambio*",Tabla2[Universidad KPIs],'Utilización Convenios'!$C200,Tabla2[Año],'Utilización Convenios'!M$142,Tabla2[Nivel Nominación],"Postgraduate / Master")</f>
        <v>0</v>
      </c>
      <c r="O200" s="10">
        <f>COUNTIFS(Tabla1[Tipo de Movilidad],"Intercambio*",Tabla1[Universidad KPIs],'Utilización Convenios'!$C200,Tabla1[Año de Movilidad],'Utilización Convenios'!O$3,Tabla1[Nivel],"Maestría")</f>
        <v>0</v>
      </c>
      <c r="P200" s="26">
        <f>COUNTIFS(Tabla2[Tipo de Movilidad],"Intercambio*",Tabla2[Universidad KPIs],'Utilización Convenios'!$C200,Tabla2[Año],'Utilización Convenios'!O$142,Tabla2[Nivel Nominación],"Postgraduate / Master")</f>
        <v>0</v>
      </c>
      <c r="Q200" s="41">
        <f t="shared" si="8"/>
        <v>0</v>
      </c>
      <c r="R200" s="42">
        <f t="shared" si="8"/>
        <v>0</v>
      </c>
    </row>
    <row r="201" spans="2:18">
      <c r="B201" s="185"/>
      <c r="C201" s="10" t="s">
        <v>121</v>
      </c>
      <c r="D201" s="11" t="s">
        <v>60</v>
      </c>
      <c r="E201" s="10">
        <f>COUNTIFS(Tabla1[Tipo de Movilidad],"Intercambio*",Tabla1[Universidad KPIs],'Utilización Convenios'!$C201,Tabla1[Año de Movilidad],'Utilización Convenios'!E$3,Tabla1[Nivel],"Maestría")</f>
        <v>0</v>
      </c>
      <c r="F201" s="11">
        <f>COUNTIFS(Tabla2[Tipo de Movilidad],"Intercambio*",Tabla2[Universidad KPIs],'Utilización Convenios'!$C201,Tabla2[Año],'Utilización Convenios'!E$142,Tabla2[Nivel Nominación],"Postgraduate / Master")</f>
        <v>0</v>
      </c>
      <c r="G201" s="10">
        <f>COUNTIFS(Tabla1[Tipo de Movilidad],"Intercambio*",Tabla1[Universidad KPIs],'Utilización Convenios'!$C201,Tabla1[Año de Movilidad],'Utilización Convenios'!G$3,Tabla1[Nivel],"Maestría")</f>
        <v>0</v>
      </c>
      <c r="H201" s="11">
        <f>COUNTIFS(Tabla2[Tipo de Movilidad],"Intercambio*",Tabla2[Universidad KPIs],'Utilización Convenios'!$C201,Tabla2[Año],'Utilización Convenios'!G$142,Tabla2[Nivel Nominación],"Postgraduate / Master")</f>
        <v>0</v>
      </c>
      <c r="I201" s="10">
        <f>COUNTIFS(Tabla1[Tipo de Movilidad],"Intercambio*",Tabla1[Universidad KPIs],'Utilización Convenios'!$C201,Tabla1[Año de Movilidad],'Utilización Convenios'!I$3,Tabla1[Nivel],"Maestría")</f>
        <v>0</v>
      </c>
      <c r="J201" s="11">
        <f>COUNTIFS(Tabla2[Tipo de Movilidad],"Intercambio*",Tabla2[Universidad KPIs],'Utilización Convenios'!$C201,Tabla2[Año],'Utilización Convenios'!I$142,Tabla2[Nivel Nominación],"Postgraduate / Master")</f>
        <v>0</v>
      </c>
      <c r="K201" s="10">
        <f>COUNTIFS(Tabla1[Tipo de Movilidad],"Intercambio*",Tabla1[Universidad KPIs],'Utilización Convenios'!$C201,Tabla1[Año de Movilidad],'Utilización Convenios'!K$3,Tabla1[Nivel],"Maestría")</f>
        <v>0</v>
      </c>
      <c r="L201" s="11">
        <f>COUNTIFS(Tabla2[Tipo de Movilidad],"Intercambio*",Tabla2[Universidad KPIs],'Utilización Convenios'!$C201,Tabla2[Año],'Utilización Convenios'!K$142,Tabla2[Nivel Nominación],"Postgraduate / Master")</f>
        <v>0</v>
      </c>
      <c r="M201" s="10">
        <f>COUNTIFS(Tabla1[Tipo de Movilidad],"Intercambio*",Tabla1[Universidad KPIs],'Utilización Convenios'!$C201,Tabla1[Año de Movilidad],'Utilización Convenios'!M$3,Tabla1[Nivel],"Maestría")</f>
        <v>0</v>
      </c>
      <c r="N201" s="26">
        <f>COUNTIFS(Tabla2[Tipo de Movilidad],"Intercambio*",Tabla2[Universidad KPIs],'Utilización Convenios'!$C201,Tabla2[Año],'Utilización Convenios'!M$142,Tabla2[Nivel Nominación],"Postgraduate / Master")</f>
        <v>0</v>
      </c>
      <c r="O201" s="10">
        <f>COUNTIFS(Tabla1[Tipo de Movilidad],"Intercambio*",Tabla1[Universidad KPIs],'Utilización Convenios'!$C201,Tabla1[Año de Movilidad],'Utilización Convenios'!O$3,Tabla1[Nivel],"Maestría")</f>
        <v>0</v>
      </c>
      <c r="P201" s="26">
        <f>COUNTIFS(Tabla2[Tipo de Movilidad],"Intercambio*",Tabla2[Universidad KPIs],'Utilización Convenios'!$C201,Tabla2[Año],'Utilización Convenios'!O$142,Tabla2[Nivel Nominación],"Postgraduate / Master")</f>
        <v>0</v>
      </c>
      <c r="Q201" s="41">
        <f t="shared" si="8"/>
        <v>0</v>
      </c>
      <c r="R201" s="42">
        <f t="shared" si="8"/>
        <v>0</v>
      </c>
    </row>
    <row r="202" spans="2:18" ht="15.75" thickBot="1">
      <c r="B202" s="185"/>
      <c r="C202" s="102" t="s">
        <v>122</v>
      </c>
      <c r="D202" s="103" t="s">
        <v>114</v>
      </c>
      <c r="E202" s="102">
        <f>COUNTIFS(Tabla1[Tipo de Movilidad],"Intercambio*",Tabla1[Universidad KPIs],'Utilización Convenios'!$C202,Tabla1[Año de Movilidad],'Utilización Convenios'!E$3,Tabla1[Nivel],"Maestría")</f>
        <v>0</v>
      </c>
      <c r="F202" s="103">
        <f>COUNTIFS(Tabla2[Tipo de Movilidad],"Intercambio*",Tabla2[Universidad KPIs],'Utilización Convenios'!$C202,Tabla2[Año],'Utilización Convenios'!E$142,Tabla2[Nivel Nominación],"Postgraduate / Master")</f>
        <v>0</v>
      </c>
      <c r="G202" s="102">
        <f>COUNTIFS(Tabla1[Tipo de Movilidad],"Intercambio*",Tabla1[Universidad KPIs],'Utilización Convenios'!$C202,Tabla1[Año de Movilidad],'Utilización Convenios'!G$3,Tabla1[Nivel],"Maestría")</f>
        <v>0</v>
      </c>
      <c r="H202" s="103">
        <f>COUNTIFS(Tabla2[Tipo de Movilidad],"Intercambio*",Tabla2[Universidad KPIs],'Utilización Convenios'!$C202,Tabla2[Año],'Utilización Convenios'!G$142,Tabla2[Nivel Nominación],"Postgraduate / Master")</f>
        <v>0</v>
      </c>
      <c r="I202" s="102">
        <f>COUNTIFS(Tabla1[Tipo de Movilidad],"Intercambio*",Tabla1[Universidad KPIs],'Utilización Convenios'!$C202,Tabla1[Año de Movilidad],'Utilización Convenios'!I$3,Tabla1[Nivel],"Maestría")</f>
        <v>0</v>
      </c>
      <c r="J202" s="103">
        <f>COUNTIFS(Tabla2[Tipo de Movilidad],"Intercambio*",Tabla2[Universidad KPIs],'Utilización Convenios'!$C202,Tabla2[Año],'Utilización Convenios'!I$142,Tabla2[Nivel Nominación],"Postgraduate / Master")</f>
        <v>0</v>
      </c>
      <c r="K202" s="102">
        <f>COUNTIFS(Tabla1[Tipo de Movilidad],"Intercambio*",Tabla1[Universidad KPIs],'Utilización Convenios'!$C202,Tabla1[Año de Movilidad],'Utilización Convenios'!K$3,Tabla1[Nivel],"Maestría")</f>
        <v>0</v>
      </c>
      <c r="L202" s="103">
        <f>COUNTIFS(Tabla2[Tipo de Movilidad],"Intercambio*",Tabla2[Universidad KPIs],'Utilización Convenios'!$C202,Tabla2[Año],'Utilización Convenios'!K$142,Tabla2[Nivel Nominación],"Postgraduate / Master")</f>
        <v>0</v>
      </c>
      <c r="M202" s="102">
        <f>COUNTIFS(Tabla1[Tipo de Movilidad],"Intercambio*",Tabla1[Universidad KPIs],'Utilización Convenios'!$C202,Tabla1[Año de Movilidad],'Utilización Convenios'!M$3,Tabla1[Nivel],"Maestría")</f>
        <v>0</v>
      </c>
      <c r="N202" s="107">
        <f>COUNTIFS(Tabla2[Tipo de Movilidad],"Intercambio*",Tabla2[Universidad KPIs],'Utilización Convenios'!$C202,Tabla2[Año],'Utilización Convenios'!M$142,Tabla2[Nivel Nominación],"Postgraduate / Master")</f>
        <v>0</v>
      </c>
      <c r="O202" s="102">
        <f>COUNTIFS(Tabla1[Tipo de Movilidad],"Intercambio*",Tabla1[Universidad KPIs],'Utilización Convenios'!$C202,Tabla1[Año de Movilidad],'Utilización Convenios'!O$3,Tabla1[Nivel],"Maestría")</f>
        <v>0</v>
      </c>
      <c r="P202" s="107">
        <f>COUNTIFS(Tabla2[Tipo de Movilidad],"Intercambio*",Tabla2[Universidad KPIs],'Utilización Convenios'!$C202,Tabla2[Año],'Utilización Convenios'!O$142,Tabla2[Nivel Nominación],"Postgraduate / Master")</f>
        <v>0</v>
      </c>
      <c r="Q202" s="60">
        <f t="shared" si="8"/>
        <v>0</v>
      </c>
      <c r="R202" s="61">
        <f t="shared" si="8"/>
        <v>0</v>
      </c>
    </row>
    <row r="203" spans="2:18" ht="17.45" customHeight="1">
      <c r="B203" s="178" t="s">
        <v>123</v>
      </c>
      <c r="C203" s="100" t="s">
        <v>183</v>
      </c>
      <c r="D203" s="104" t="s">
        <v>47</v>
      </c>
      <c r="E203" s="109">
        <f>COUNTIFS(Tabla1[Tipo de Movilidad],"Intercambio*",Tabla1[Universidad KPIs],'Utilización Convenios'!$C203,Tabla1[Año de Movilidad],'Utilización Convenios'!E$3,Tabla1[Nivel],"Maestría")</f>
        <v>0</v>
      </c>
      <c r="F203" s="118">
        <f>COUNTIFS(Tabla2[Tipo de Movilidad],"Intercambio*",Tabla2[Universidad KPIs],'Utilización Convenios'!$C203,Tabla2[Año],'Utilización Convenios'!E$142,Tabla2[Nivel Nominación],"Postgraduate / Master")</f>
        <v>0</v>
      </c>
      <c r="G203" s="109">
        <f>COUNTIFS(Tabla1[Tipo de Movilidad],"Intercambio*",Tabla1[Universidad KPIs],'Utilización Convenios'!$C203,Tabla1[Año de Movilidad],'Utilización Convenios'!G$3,Tabla1[Nivel],"Maestría")</f>
        <v>0</v>
      </c>
      <c r="H203" s="118">
        <f>COUNTIFS(Tabla2[Tipo de Movilidad],"Intercambio*",Tabla2[Universidad KPIs],'Utilización Convenios'!$C203,Tabla2[Año],'Utilización Convenios'!G$142,Tabla2[Nivel Nominación],"Postgraduate / Master")</f>
        <v>0</v>
      </c>
      <c r="I203" s="109">
        <f>COUNTIFS(Tabla1[Tipo de Movilidad],"Intercambio*",Tabla1[Universidad KPIs],'Utilización Convenios'!$C203,Tabla1[Año de Movilidad],'Utilización Convenios'!I$3,Tabla1[Nivel],"Maestría")</f>
        <v>0</v>
      </c>
      <c r="J203" s="118">
        <f>COUNTIFS(Tabla2[Tipo de Movilidad],"Intercambio*",Tabla2[Universidad KPIs],'Utilización Convenios'!$C203,Tabla2[Año],'Utilización Convenios'!I$142,Tabla2[Nivel Nominación],"Postgraduate / Master")</f>
        <v>1</v>
      </c>
      <c r="K203" s="109">
        <f>COUNTIFS(Tabla1[Tipo de Movilidad],"Intercambio*",Tabla1[Universidad KPIs],'Utilización Convenios'!$C203,Tabla1[Año de Movilidad],'Utilización Convenios'!K$3,Tabla1[Nivel],"Maestría")</f>
        <v>0</v>
      </c>
      <c r="L203" s="118">
        <f>COUNTIFS(Tabla2[Tipo de Movilidad],"Intercambio*",Tabla2[Universidad KPIs],'Utilización Convenios'!$C203,Tabla2[Año],'Utilización Convenios'!K$142,Tabla2[Nivel Nominación],"Postgraduate / Master")</f>
        <v>0</v>
      </c>
      <c r="M203" s="109">
        <f>COUNTIFS(Tabla1[Tipo de Movilidad],"Intercambio*",Tabla1[Universidad KPIs],'Utilización Convenios'!$C203,Tabla1[Año de Movilidad],'Utilización Convenios'!M$3,Tabla1[Nivel],"Maestría")</f>
        <v>0</v>
      </c>
      <c r="N203" s="118">
        <f>COUNTIFS(Tabla2[Tipo de Movilidad],"Intercambio*",Tabla2[Universidad KPIs],'Utilización Convenios'!$C203,Tabla2[Año],'Utilización Convenios'!M$142,Tabla2[Nivel Nominación],"Postgraduate / Master")</f>
        <v>0</v>
      </c>
      <c r="O203" s="109">
        <f>COUNTIFS(Tabla1[Tipo de Movilidad],"Intercambio*",Tabla1[Universidad KPIs],'Utilización Convenios'!$C203,Tabla1[Año de Movilidad],'Utilización Convenios'!O$3,Tabla1[Nivel],"Maestría")</f>
        <v>0</v>
      </c>
      <c r="P203" s="118">
        <f>COUNTIFS(Tabla2[Tipo de Movilidad],"Intercambio*",Tabla2[Universidad KPIs],'Utilización Convenios'!$C203,Tabla2[Año],'Utilización Convenios'!O$142,Tabla2[Nivel Nominación],"Postgraduate / Master")</f>
        <v>0</v>
      </c>
      <c r="Q203" s="123">
        <f t="shared" si="8"/>
        <v>0</v>
      </c>
      <c r="R203" s="110">
        <f t="shared" si="8"/>
        <v>1</v>
      </c>
    </row>
    <row r="204" spans="2:18" ht="17.45" customHeight="1">
      <c r="B204" s="179"/>
      <c r="C204" s="94" t="s">
        <v>184</v>
      </c>
      <c r="D204" s="105" t="s">
        <v>185</v>
      </c>
      <c r="E204" s="111">
        <f>COUNTIFS(Tabla1[Tipo de Movilidad],"Intercambio*",Tabla1[Universidad KPIs],'Utilización Convenios'!$C204,Tabla1[Año de Movilidad],'Utilización Convenios'!E$3,Tabla1[Nivel],"Maestría")</f>
        <v>0</v>
      </c>
      <c r="F204" s="119">
        <f>COUNTIFS(Tabla2[Tipo de Movilidad],"Intercambio*",Tabla2[Universidad KPIs],'Utilización Convenios'!$C204,Tabla2[Año],'Utilización Convenios'!E$142,Tabla2[Nivel Nominación],"Postgraduate / Master")</f>
        <v>0</v>
      </c>
      <c r="G204" s="111">
        <f>COUNTIFS(Tabla1[Tipo de Movilidad],"Intercambio*",Tabla1[Universidad KPIs],'Utilización Convenios'!$C204,Tabla1[Año de Movilidad],'Utilización Convenios'!G$3,Tabla1[Nivel],"Maestría")</f>
        <v>0</v>
      </c>
      <c r="H204" s="119">
        <f>COUNTIFS(Tabla2[Tipo de Movilidad],"Intercambio*",Tabla2[Universidad KPIs],'Utilización Convenios'!$C204,Tabla2[Año],'Utilización Convenios'!G$142,Tabla2[Nivel Nominación],"Postgraduate / Master")</f>
        <v>0</v>
      </c>
      <c r="I204" s="111">
        <f>COUNTIFS(Tabla1[Tipo de Movilidad],"Intercambio*",Tabla1[Universidad KPIs],'Utilización Convenios'!$C204,Tabla1[Año de Movilidad],'Utilización Convenios'!I$3,Tabla1[Nivel],"Maestría")</f>
        <v>0</v>
      </c>
      <c r="J204" s="119">
        <f>COUNTIFS(Tabla2[Tipo de Movilidad],"Intercambio*",Tabla2[Universidad KPIs],'Utilización Convenios'!$C204,Tabla2[Año],'Utilización Convenios'!I$142,Tabla2[Nivel Nominación],"Postgraduate / Master")</f>
        <v>0</v>
      </c>
      <c r="K204" s="111">
        <f>COUNTIFS(Tabla1[Tipo de Movilidad],"Intercambio*",Tabla1[Universidad KPIs],'Utilización Convenios'!$C204,Tabla1[Año de Movilidad],'Utilización Convenios'!K$3,Tabla1[Nivel],"Maestría")</f>
        <v>1</v>
      </c>
      <c r="L204" s="119">
        <f>COUNTIFS(Tabla2[Tipo de Movilidad],"Intercambio*",Tabla2[Universidad KPIs],'Utilización Convenios'!$C204,Tabla2[Año],'Utilización Convenios'!K$142,Tabla2[Nivel Nominación],"Postgraduate / Master")</f>
        <v>0</v>
      </c>
      <c r="M204" s="111">
        <f>COUNTIFS(Tabla1[Tipo de Movilidad],"Intercambio*",Tabla1[Universidad KPIs],'Utilización Convenios'!$C204,Tabla1[Año de Movilidad],'Utilización Convenios'!M$3,Tabla1[Nivel],"Maestría")</f>
        <v>0</v>
      </c>
      <c r="N204" s="119">
        <f>COUNTIFS(Tabla2[Tipo de Movilidad],"Intercambio*",Tabla2[Universidad KPIs],'Utilización Convenios'!$C204,Tabla2[Año],'Utilización Convenios'!M$142,Tabla2[Nivel Nominación],"Postgraduate / Master")</f>
        <v>0</v>
      </c>
      <c r="O204" s="111">
        <f>COUNTIFS(Tabla1[Tipo de Movilidad],"Intercambio*",Tabla1[Universidad KPIs],'Utilización Convenios'!$C204,Tabla1[Año de Movilidad],'Utilización Convenios'!O$3,Tabla1[Nivel],"Maestría")</f>
        <v>0</v>
      </c>
      <c r="P204" s="119">
        <f>COUNTIFS(Tabla2[Tipo de Movilidad],"Intercambio*",Tabla2[Universidad KPIs],'Utilización Convenios'!$C204,Tabla2[Año],'Utilización Convenios'!O$142,Tabla2[Nivel Nominación],"Postgraduate / Master")</f>
        <v>0</v>
      </c>
      <c r="Q204" s="124">
        <f t="shared" si="8"/>
        <v>1</v>
      </c>
      <c r="R204" s="112">
        <f t="shared" si="8"/>
        <v>0</v>
      </c>
    </row>
    <row r="205" spans="2:18" ht="17.45" customHeight="1">
      <c r="B205" s="179"/>
      <c r="C205" s="94" t="s">
        <v>176</v>
      </c>
      <c r="D205" s="105" t="s">
        <v>79</v>
      </c>
      <c r="E205" s="111">
        <f>COUNTIFS(Tabla1[Tipo de Movilidad],"Intercambio*",Tabla1[Universidad KPIs],'Utilización Convenios'!$C205,Tabla1[Año de Movilidad],'Utilización Convenios'!E$3,Tabla1[Nivel],"Maestría")</f>
        <v>0</v>
      </c>
      <c r="F205" s="119">
        <f>COUNTIFS(Tabla2[Tipo de Movilidad],"Intercambio*",Tabla2[Universidad KPIs],'Utilización Convenios'!$C205,Tabla2[Año],'Utilización Convenios'!E$142,Tabla2[Nivel Nominación],"Postgraduate / Master")</f>
        <v>0</v>
      </c>
      <c r="G205" s="111">
        <f>COUNTIFS(Tabla1[Tipo de Movilidad],"Intercambio*",Tabla1[Universidad KPIs],'Utilización Convenios'!$C205,Tabla1[Año de Movilidad],'Utilización Convenios'!G$3,Tabla1[Nivel],"Maestría")</f>
        <v>0</v>
      </c>
      <c r="H205" s="119">
        <f>COUNTIFS(Tabla2[Tipo de Movilidad],"Intercambio*",Tabla2[Universidad KPIs],'Utilización Convenios'!$C205,Tabla2[Año],'Utilización Convenios'!G$142,Tabla2[Nivel Nominación],"Postgraduate / Master")</f>
        <v>0</v>
      </c>
      <c r="I205" s="111">
        <f>COUNTIFS(Tabla1[Tipo de Movilidad],"Intercambio*",Tabla1[Universidad KPIs],'Utilización Convenios'!$C205,Tabla1[Año de Movilidad],'Utilización Convenios'!I$3,Tabla1[Nivel],"Maestría")</f>
        <v>0</v>
      </c>
      <c r="J205" s="119">
        <f>COUNTIFS(Tabla2[Tipo de Movilidad],"Intercambio*",Tabla2[Universidad KPIs],'Utilización Convenios'!$C205,Tabla2[Año],'Utilización Convenios'!I$142,Tabla2[Nivel Nominación],"Postgraduate / Master")</f>
        <v>0</v>
      </c>
      <c r="K205" s="111">
        <f>COUNTIFS(Tabla1[Tipo de Movilidad],"Intercambio*",Tabla1[Universidad KPIs],'Utilización Convenios'!$C205,Tabla1[Año de Movilidad],'Utilización Convenios'!K$3,Tabla1[Nivel],"Maestría")</f>
        <v>0</v>
      </c>
      <c r="L205" s="119">
        <f>COUNTIFS(Tabla2[Tipo de Movilidad],"Intercambio*",Tabla2[Universidad KPIs],'Utilización Convenios'!$C205,Tabla2[Año],'Utilización Convenios'!K$142,Tabla2[Nivel Nominación],"Postgraduate / Master")</f>
        <v>0</v>
      </c>
      <c r="M205" s="111">
        <f>COUNTIFS(Tabla1[Tipo de Movilidad],"Intercambio*",Tabla1[Universidad KPIs],'Utilización Convenios'!$C205,Tabla1[Año de Movilidad],'Utilización Convenios'!M$3,Tabla1[Nivel],"Maestría")</f>
        <v>0</v>
      </c>
      <c r="N205" s="119">
        <f>COUNTIFS(Tabla2[Tipo de Movilidad],"Intercambio*",Tabla2[Universidad KPIs],'Utilización Convenios'!$C205,Tabla2[Año],'Utilización Convenios'!M$142,Tabla2[Nivel Nominación],"Postgraduate / Master")</f>
        <v>1</v>
      </c>
      <c r="O205" s="111">
        <f>COUNTIFS(Tabla1[Tipo de Movilidad],"Intercambio*",Tabla1[Universidad KPIs],'Utilización Convenios'!$C205,Tabla1[Año de Movilidad],'Utilización Convenios'!O$3,Tabla1[Nivel],"Maestría")</f>
        <v>0</v>
      </c>
      <c r="P205" s="119">
        <f>COUNTIFS(Tabla2[Tipo de Movilidad],"Intercambio*",Tabla2[Universidad KPIs],'Utilización Convenios'!$C205,Tabla2[Año],'Utilización Convenios'!O$142,Tabla2[Nivel Nominación],"Postgraduate / Master")</f>
        <v>0</v>
      </c>
      <c r="Q205" s="124">
        <f t="shared" si="8"/>
        <v>0</v>
      </c>
      <c r="R205" s="112">
        <f t="shared" si="8"/>
        <v>1</v>
      </c>
    </row>
    <row r="206" spans="2:18" ht="17.45" customHeight="1">
      <c r="B206" s="179"/>
      <c r="C206" s="94" t="s">
        <v>186</v>
      </c>
      <c r="D206" s="105" t="s">
        <v>43</v>
      </c>
      <c r="E206" s="111">
        <f>COUNTIFS(Tabla1[Tipo de Movilidad],"Intercambio*",Tabla1[Universidad KPIs],'Utilización Convenios'!$C206,Tabla1[Año de Movilidad],'Utilización Convenios'!E$3,Tabla1[Nivel],"Maestría")</f>
        <v>0</v>
      </c>
      <c r="F206" s="119">
        <f>COUNTIFS(Tabla2[Tipo de Movilidad],"Intercambio*",Tabla2[Universidad KPIs],'Utilización Convenios'!$C206,Tabla2[Año],'Utilización Convenios'!E$142,Tabla2[Nivel Nominación],"Postgraduate / Master")</f>
        <v>0</v>
      </c>
      <c r="G206" s="111">
        <f>COUNTIFS(Tabla1[Tipo de Movilidad],"Intercambio*",Tabla1[Universidad KPIs],'Utilización Convenios'!$C206,Tabla1[Año de Movilidad],'Utilización Convenios'!G$3,Tabla1[Nivel],"Maestría")</f>
        <v>0</v>
      </c>
      <c r="H206" s="119">
        <f>COUNTIFS(Tabla2[Tipo de Movilidad],"Intercambio*",Tabla2[Universidad KPIs],'Utilización Convenios'!$C206,Tabla2[Año],'Utilización Convenios'!G$142,Tabla2[Nivel Nominación],"Postgraduate / Master")</f>
        <v>0</v>
      </c>
      <c r="I206" s="111">
        <f>COUNTIFS(Tabla1[Tipo de Movilidad],"Intercambio*",Tabla1[Universidad KPIs],'Utilización Convenios'!$C206,Tabla1[Año de Movilidad],'Utilización Convenios'!I$3,Tabla1[Nivel],"Maestría")</f>
        <v>0</v>
      </c>
      <c r="J206" s="119">
        <f>COUNTIFS(Tabla2[Tipo de Movilidad],"Intercambio*",Tabla2[Universidad KPIs],'Utilización Convenios'!$C206,Tabla2[Año],'Utilización Convenios'!I$142,Tabla2[Nivel Nominación],"Postgraduate / Master")</f>
        <v>0</v>
      </c>
      <c r="K206" s="111">
        <f>COUNTIFS(Tabla1[Tipo de Movilidad],"Intercambio*",Tabla1[Universidad KPIs],'Utilización Convenios'!$C206,Tabla1[Año de Movilidad],'Utilización Convenios'!K$3,Tabla1[Nivel],"Maestría")</f>
        <v>0</v>
      </c>
      <c r="L206" s="119">
        <f>COUNTIFS(Tabla2[Tipo de Movilidad],"Intercambio*",Tabla2[Universidad KPIs],'Utilización Convenios'!$C206,Tabla2[Año],'Utilización Convenios'!K$142,Tabla2[Nivel Nominación],"Postgraduate / Master")</f>
        <v>1</v>
      </c>
      <c r="M206" s="111">
        <f>COUNTIFS(Tabla1[Tipo de Movilidad],"Intercambio*",Tabla1[Universidad KPIs],'Utilización Convenios'!$C206,Tabla1[Año de Movilidad],'Utilización Convenios'!M$3,Tabla1[Nivel],"Maestría")</f>
        <v>0</v>
      </c>
      <c r="N206" s="119">
        <f>COUNTIFS(Tabla2[Tipo de Movilidad],"Intercambio*",Tabla2[Universidad KPIs],'Utilización Convenios'!$C206,Tabla2[Año],'Utilización Convenios'!M$142,Tabla2[Nivel Nominación],"Postgraduate / Master")</f>
        <v>0</v>
      </c>
      <c r="O206" s="111">
        <f>COUNTIFS(Tabla1[Tipo de Movilidad],"Intercambio*",Tabla1[Universidad KPIs],'Utilización Convenios'!$C206,Tabla1[Año de Movilidad],'Utilización Convenios'!O$3,Tabla1[Nivel],"Maestría")</f>
        <v>0</v>
      </c>
      <c r="P206" s="119">
        <f>COUNTIFS(Tabla2[Tipo de Movilidad],"Intercambio*",Tabla2[Universidad KPIs],'Utilización Convenios'!$C206,Tabla2[Año],'Utilización Convenios'!O$142,Tabla2[Nivel Nominación],"Postgraduate / Master")</f>
        <v>0</v>
      </c>
      <c r="Q206" s="124">
        <f t="shared" si="8"/>
        <v>0</v>
      </c>
      <c r="R206" s="112">
        <f t="shared" si="8"/>
        <v>1</v>
      </c>
    </row>
    <row r="207" spans="2:18" ht="17.45" customHeight="1">
      <c r="B207" s="179"/>
      <c r="C207" s="94" t="s">
        <v>136</v>
      </c>
      <c r="D207" s="105" t="s">
        <v>47</v>
      </c>
      <c r="E207" s="111">
        <f>COUNTIFS(Tabla1[Tipo de Movilidad],"Intercambio*",Tabla1[Universidad KPIs],'Utilización Convenios'!$C207,Tabla1[Año de Movilidad],'Utilización Convenios'!E$3,Tabla1[Nivel],"Maestría")</f>
        <v>0</v>
      </c>
      <c r="F207" s="119">
        <f>COUNTIFS(Tabla2[Tipo de Movilidad],"Intercambio*",Tabla2[Universidad KPIs],'Utilización Convenios'!$C207,Tabla2[Año],'Utilización Convenios'!E$142,Tabla2[Nivel Nominación],"Postgraduate / Master")</f>
        <v>0</v>
      </c>
      <c r="G207" s="111">
        <f>COUNTIFS(Tabla1[Tipo de Movilidad],"Intercambio*",Tabla1[Universidad KPIs],'Utilización Convenios'!$C207,Tabla1[Año de Movilidad],'Utilización Convenios'!G$3,Tabla1[Nivel],"Maestría")</f>
        <v>0</v>
      </c>
      <c r="H207" s="119">
        <f>COUNTIFS(Tabla2[Tipo de Movilidad],"Intercambio*",Tabla2[Universidad KPIs],'Utilización Convenios'!$C207,Tabla2[Año],'Utilización Convenios'!G$142,Tabla2[Nivel Nominación],"Postgraduate / Master")</f>
        <v>0</v>
      </c>
      <c r="I207" s="111">
        <f>COUNTIFS(Tabla1[Tipo de Movilidad],"Intercambio*",Tabla1[Universidad KPIs],'Utilización Convenios'!$C207,Tabla1[Año de Movilidad],'Utilización Convenios'!I$3,Tabla1[Nivel],"Maestría")</f>
        <v>0</v>
      </c>
      <c r="J207" s="119">
        <f>COUNTIFS(Tabla2[Tipo de Movilidad],"Intercambio*",Tabla2[Universidad KPIs],'Utilización Convenios'!$C207,Tabla2[Año],'Utilización Convenios'!I$142,Tabla2[Nivel Nominación],"Postgraduate / Master")</f>
        <v>0</v>
      </c>
      <c r="K207" s="111">
        <f>COUNTIFS(Tabla1[Tipo de Movilidad],"Intercambio*",Tabla1[Universidad KPIs],'Utilización Convenios'!$C207,Tabla1[Año de Movilidad],'Utilización Convenios'!K$3,Tabla1[Nivel],"Maestría")</f>
        <v>0</v>
      </c>
      <c r="L207" s="119">
        <f>COUNTIFS(Tabla2[Tipo de Movilidad],"Intercambio*",Tabla2[Universidad KPIs],'Utilización Convenios'!$C207,Tabla2[Año],'Utilización Convenios'!K$142,Tabla2[Nivel Nominación],"Postgraduate / Master")</f>
        <v>1</v>
      </c>
      <c r="M207" s="111">
        <f>COUNTIFS(Tabla1[Tipo de Movilidad],"Intercambio*",Tabla1[Universidad KPIs],'Utilización Convenios'!$C207,Tabla1[Año de Movilidad],'Utilización Convenios'!M$3,Tabla1[Nivel],"Maestría")</f>
        <v>0</v>
      </c>
      <c r="N207" s="119">
        <f>COUNTIFS(Tabla2[Tipo de Movilidad],"Intercambio*",Tabla2[Universidad KPIs],'Utilización Convenios'!$C207,Tabla2[Año],'Utilización Convenios'!M$142,Tabla2[Nivel Nominación],"Postgraduate / Master")</f>
        <v>0</v>
      </c>
      <c r="O207" s="111">
        <f>COUNTIFS(Tabla1[Tipo de Movilidad],"Intercambio*",Tabla1[Universidad KPIs],'Utilización Convenios'!$C207,Tabla1[Año de Movilidad],'Utilización Convenios'!O$3,Tabla1[Nivel],"Maestría")</f>
        <v>0</v>
      </c>
      <c r="P207" s="119">
        <f>COUNTIFS(Tabla2[Tipo de Movilidad],"Intercambio*",Tabla2[Universidad KPIs],'Utilización Convenios'!$C207,Tabla2[Año],'Utilización Convenios'!O$142,Tabla2[Nivel Nominación],"Postgraduate / Master")</f>
        <v>0</v>
      </c>
      <c r="Q207" s="124">
        <f t="shared" si="8"/>
        <v>0</v>
      </c>
      <c r="R207" s="112">
        <f t="shared" si="8"/>
        <v>1</v>
      </c>
    </row>
    <row r="208" spans="2:18" ht="17.45" customHeight="1">
      <c r="B208" s="179"/>
      <c r="C208" s="94" t="s">
        <v>187</v>
      </c>
      <c r="D208" s="105" t="s">
        <v>74</v>
      </c>
      <c r="E208" s="111">
        <f>COUNTIFS(Tabla1[Tipo de Movilidad],"Intercambio*",Tabla1[Universidad KPIs],'Utilización Convenios'!$C208,Tabla1[Año de Movilidad],'Utilización Convenios'!E$3,Tabla1[Nivel],"Maestría")</f>
        <v>0</v>
      </c>
      <c r="F208" s="119">
        <f>COUNTIFS(Tabla2[Tipo de Movilidad],"Intercambio*",Tabla2[Universidad KPIs],'Utilización Convenios'!$C208,Tabla2[Año],'Utilización Convenios'!E$142,Tabla2[Nivel Nominación],"Postgraduate / Master")</f>
        <v>0</v>
      </c>
      <c r="G208" s="111">
        <f>COUNTIFS(Tabla1[Tipo de Movilidad],"Intercambio*",Tabla1[Universidad KPIs],'Utilización Convenios'!$C208,Tabla1[Año de Movilidad],'Utilización Convenios'!G$3,Tabla1[Nivel],"Maestría")</f>
        <v>0</v>
      </c>
      <c r="H208" s="119">
        <f>COUNTIFS(Tabla2[Tipo de Movilidad],"Intercambio*",Tabla2[Universidad KPIs],'Utilización Convenios'!$C208,Tabla2[Año],'Utilización Convenios'!G$142,Tabla2[Nivel Nominación],"Postgraduate / Master")</f>
        <v>0</v>
      </c>
      <c r="I208" s="111">
        <f>COUNTIFS(Tabla1[Tipo de Movilidad],"Intercambio*",Tabla1[Universidad KPIs],'Utilización Convenios'!$C208,Tabla1[Año de Movilidad],'Utilización Convenios'!I$3,Tabla1[Nivel],"Maestría")</f>
        <v>0</v>
      </c>
      <c r="J208" s="119">
        <f>COUNTIFS(Tabla2[Tipo de Movilidad],"Intercambio*",Tabla2[Universidad KPIs],'Utilización Convenios'!$C208,Tabla2[Año],'Utilización Convenios'!I$142,Tabla2[Nivel Nominación],"Postgraduate / Master")</f>
        <v>0</v>
      </c>
      <c r="K208" s="111">
        <f>COUNTIFS(Tabla1[Tipo de Movilidad],"Intercambio*",Tabla1[Universidad KPIs],'Utilización Convenios'!$C208,Tabla1[Año de Movilidad],'Utilización Convenios'!K$3,Tabla1[Nivel],"Maestría")</f>
        <v>0</v>
      </c>
      <c r="L208" s="119">
        <f>COUNTIFS(Tabla2[Tipo de Movilidad],"Intercambio*",Tabla2[Universidad KPIs],'Utilización Convenios'!$C208,Tabla2[Año],'Utilización Convenios'!K$142,Tabla2[Nivel Nominación],"Postgraduate / Master")</f>
        <v>0</v>
      </c>
      <c r="M208" s="111">
        <f>COUNTIFS(Tabla1[Tipo de Movilidad],"Intercambio*",Tabla1[Universidad KPIs],'Utilización Convenios'!$C208,Tabla1[Año de Movilidad],'Utilización Convenios'!M$3,Tabla1[Nivel],"Maestría")</f>
        <v>0</v>
      </c>
      <c r="N208" s="119">
        <f>COUNTIFS(Tabla2[Tipo de Movilidad],"Intercambio*",Tabla2[Universidad KPIs],'Utilización Convenios'!$C208,Tabla2[Año],'Utilización Convenios'!M$142,Tabla2[Nivel Nominación],"Postgraduate / Master")</f>
        <v>1</v>
      </c>
      <c r="O208" s="111">
        <f>COUNTIFS(Tabla1[Tipo de Movilidad],"Intercambio*",Tabla1[Universidad KPIs],'Utilización Convenios'!$C208,Tabla1[Año de Movilidad],'Utilización Convenios'!O$3,Tabla1[Nivel],"Maestría")</f>
        <v>0</v>
      </c>
      <c r="P208" s="119">
        <f>COUNTIFS(Tabla2[Tipo de Movilidad],"Intercambio*",Tabla2[Universidad KPIs],'Utilización Convenios'!$C208,Tabla2[Año],'Utilización Convenios'!O$142,Tabla2[Nivel Nominación],"Postgraduate / Master")</f>
        <v>0</v>
      </c>
      <c r="Q208" s="124">
        <f t="shared" si="8"/>
        <v>0</v>
      </c>
      <c r="R208" s="112">
        <f t="shared" si="8"/>
        <v>1</v>
      </c>
    </row>
    <row r="209" spans="2:18" ht="14.45" customHeight="1">
      <c r="B209" s="179"/>
      <c r="C209" s="94" t="s">
        <v>139</v>
      </c>
      <c r="D209" s="105" t="s">
        <v>60</v>
      </c>
      <c r="E209" s="111">
        <f>COUNTIFS(Tabla1[Tipo de Movilidad],"Intercambio*",Tabla1[Universidad KPIs],'Utilización Convenios'!$C209,Tabla1[Año de Movilidad],'Utilización Convenios'!E$3,Tabla1[Nivel],"Maestría")</f>
        <v>0</v>
      </c>
      <c r="F209" s="119">
        <f>COUNTIFS(Tabla2[Tipo de Movilidad],"Intercambio*",Tabla2[Universidad KPIs],'Utilización Convenios'!$C209,Tabla2[Año],'Utilización Convenios'!E$142,Tabla2[Nivel Nominación],"Postgraduate / Master")</f>
        <v>0</v>
      </c>
      <c r="G209" s="111">
        <f>COUNTIFS(Tabla1[Tipo de Movilidad],"Intercambio*",Tabla1[Universidad KPIs],'Utilización Convenios'!$C209,Tabla1[Año de Movilidad],'Utilización Convenios'!G$3,Tabla1[Nivel],"Maestría")</f>
        <v>0</v>
      </c>
      <c r="H209" s="119">
        <f>COUNTIFS(Tabla2[Tipo de Movilidad],"Intercambio*",Tabla2[Universidad KPIs],'Utilización Convenios'!$C209,Tabla2[Año],'Utilización Convenios'!G$142,Tabla2[Nivel Nominación],"Postgraduate / Master")</f>
        <v>0</v>
      </c>
      <c r="I209" s="111">
        <f>COUNTIFS(Tabla1[Tipo de Movilidad],"Intercambio*",Tabla1[Universidad KPIs],'Utilización Convenios'!$C209,Tabla1[Año de Movilidad],'Utilización Convenios'!I$3,Tabla1[Nivel],"Maestría")</f>
        <v>0</v>
      </c>
      <c r="J209" s="119">
        <f>COUNTIFS(Tabla2[Tipo de Movilidad],"Intercambio*",Tabla2[Universidad KPIs],'Utilización Convenios'!$C209,Tabla2[Año],'Utilización Convenios'!I$142,Tabla2[Nivel Nominación],"Postgraduate / Master")</f>
        <v>2</v>
      </c>
      <c r="K209" s="111">
        <f>COUNTIFS(Tabla1[Tipo de Movilidad],"Intercambio*",Tabla1[Universidad KPIs],'Utilización Convenios'!$C209,Tabla1[Año de Movilidad],'Utilización Convenios'!K$3,Tabla1[Nivel],"Maestría")</f>
        <v>0</v>
      </c>
      <c r="L209" s="119">
        <f>COUNTIFS(Tabla2[Tipo de Movilidad],"Intercambio*",Tabla2[Universidad KPIs],'Utilización Convenios'!$C209,Tabla2[Año],'Utilización Convenios'!K$142,Tabla2[Nivel Nominación],"Postgraduate / Master")</f>
        <v>0</v>
      </c>
      <c r="M209" s="111">
        <f>COUNTIFS(Tabla1[Tipo de Movilidad],"Intercambio*",Tabla1[Universidad KPIs],'Utilización Convenios'!$C209,Tabla1[Año de Movilidad],'Utilización Convenios'!M$3,Tabla1[Nivel],"Maestría")</f>
        <v>0</v>
      </c>
      <c r="N209" s="119">
        <f>COUNTIFS(Tabla2[Tipo de Movilidad],"Intercambio*",Tabla2[Universidad KPIs],'Utilización Convenios'!$C209,Tabla2[Año],'Utilización Convenios'!M$142,Tabla2[Nivel Nominación],"Postgraduate / Master")</f>
        <v>1</v>
      </c>
      <c r="O209" s="111">
        <f>COUNTIFS(Tabla1[Tipo de Movilidad],"Intercambio*",Tabla1[Universidad KPIs],'Utilización Convenios'!$C209,Tabla1[Año de Movilidad],'Utilización Convenios'!O$3,Tabla1[Nivel],"Maestría")</f>
        <v>0</v>
      </c>
      <c r="P209" s="119">
        <f>COUNTIFS(Tabla2[Tipo de Movilidad],"Intercambio*",Tabla2[Universidad KPIs],'Utilización Convenios'!$C209,Tabla2[Año],'Utilización Convenios'!O$142,Tabla2[Nivel Nominación],"Postgraduate / Master")</f>
        <v>0</v>
      </c>
      <c r="Q209" s="124">
        <f t="shared" si="8"/>
        <v>0</v>
      </c>
      <c r="R209" s="112">
        <f t="shared" si="8"/>
        <v>3</v>
      </c>
    </row>
    <row r="210" spans="2:18">
      <c r="B210" s="179"/>
      <c r="C210" s="94" t="s">
        <v>188</v>
      </c>
      <c r="D210" s="105" t="s">
        <v>93</v>
      </c>
      <c r="E210" s="111">
        <f>COUNTIFS(Tabla1[Tipo de Movilidad],"Intercambio*",Tabla1[Universidad KPIs],'Utilización Convenios'!$C210,Tabla1[Año de Movilidad],'Utilización Convenios'!E$3,Tabla1[Nivel],"Maestría")</f>
        <v>0</v>
      </c>
      <c r="F210" s="119">
        <f>COUNTIFS(Tabla2[Tipo de Movilidad],"Intercambio*",Tabla2[Universidad KPIs],'Utilización Convenios'!$C210,Tabla2[Año],'Utilización Convenios'!E$142,Tabla2[Nivel Nominación],"Postgraduate / Master")</f>
        <v>0</v>
      </c>
      <c r="G210" s="111">
        <f>COUNTIFS(Tabla1[Tipo de Movilidad],"Intercambio*",Tabla1[Universidad KPIs],'Utilización Convenios'!$C210,Tabla1[Año de Movilidad],'Utilización Convenios'!G$3,Tabla1[Nivel],"Maestría")</f>
        <v>0</v>
      </c>
      <c r="H210" s="119">
        <f>COUNTIFS(Tabla2[Tipo de Movilidad],"Intercambio*",Tabla2[Universidad KPIs],'Utilización Convenios'!$C210,Tabla2[Año],'Utilización Convenios'!G$142,Tabla2[Nivel Nominación],"Postgraduate / Master")</f>
        <v>0</v>
      </c>
      <c r="I210" s="111">
        <f>COUNTIFS(Tabla1[Tipo de Movilidad],"Intercambio*",Tabla1[Universidad KPIs],'Utilización Convenios'!$C210,Tabla1[Año de Movilidad],'Utilización Convenios'!I$3,Tabla1[Nivel],"Maestría")</f>
        <v>0</v>
      </c>
      <c r="J210" s="119">
        <f>COUNTIFS(Tabla2[Tipo de Movilidad],"Intercambio*",Tabla2[Universidad KPIs],'Utilización Convenios'!$C210,Tabla2[Año],'Utilización Convenios'!I$142,Tabla2[Nivel Nominación],"Postgraduate / Master")</f>
        <v>0</v>
      </c>
      <c r="K210" s="111">
        <f>COUNTIFS(Tabla1[Tipo de Movilidad],"Intercambio*",Tabla1[Universidad KPIs],'Utilización Convenios'!$C210,Tabla1[Año de Movilidad],'Utilización Convenios'!K$3,Tabla1[Nivel],"Maestría")</f>
        <v>0</v>
      </c>
      <c r="L210" s="119">
        <f>COUNTIFS(Tabla2[Tipo de Movilidad],"Intercambio*",Tabla2[Universidad KPIs],'Utilización Convenios'!$C210,Tabla2[Año],'Utilización Convenios'!K$142,Tabla2[Nivel Nominación],"Postgraduate / Master")</f>
        <v>0</v>
      </c>
      <c r="M210" s="111">
        <f>COUNTIFS(Tabla1[Tipo de Movilidad],"Intercambio*",Tabla1[Universidad KPIs],'Utilización Convenios'!$C210,Tabla1[Año de Movilidad],'Utilización Convenios'!M$3,Tabla1[Nivel],"Maestría")</f>
        <v>0</v>
      </c>
      <c r="N210" s="119">
        <f>COUNTIFS(Tabla2[Tipo de Movilidad],"Intercambio*",Tabla2[Universidad KPIs],'Utilización Convenios'!$C210,Tabla2[Año],'Utilización Convenios'!M$142,Tabla2[Nivel Nominación],"Postgraduate / Master")</f>
        <v>1</v>
      </c>
      <c r="O210" s="111">
        <f>COUNTIFS(Tabla1[Tipo de Movilidad],"Intercambio*",Tabla1[Universidad KPIs],'Utilización Convenios'!$C210,Tabla1[Año de Movilidad],'Utilización Convenios'!O$3,Tabla1[Nivel],"Maestría")</f>
        <v>0</v>
      </c>
      <c r="P210" s="119">
        <f>COUNTIFS(Tabla2[Tipo de Movilidad],"Intercambio*",Tabla2[Universidad KPIs],'Utilización Convenios'!$C210,Tabla2[Año],'Utilización Convenios'!O$142,Tabla2[Nivel Nominación],"Postgraduate / Master")</f>
        <v>0</v>
      </c>
      <c r="Q210" s="124">
        <f t="shared" si="8"/>
        <v>0</v>
      </c>
      <c r="R210" s="112">
        <f t="shared" si="8"/>
        <v>1</v>
      </c>
    </row>
    <row r="211" spans="2:18">
      <c r="B211" s="179"/>
      <c r="C211" s="94" t="s">
        <v>151</v>
      </c>
      <c r="D211" s="95" t="s">
        <v>71</v>
      </c>
      <c r="E211" s="111">
        <f>COUNTIFS(Tabla1[Tipo de Movilidad],"Intercambio*",Tabla1[Universidad KPIs],'Utilización Convenios'!$C211,Tabla1[Año de Movilidad],'Utilización Convenios'!E$3,Tabla1[Nivel],"Maestría")</f>
        <v>0</v>
      </c>
      <c r="F211" s="119">
        <f>COUNTIFS(Tabla2[Tipo de Movilidad],"Intercambio*",Tabla2[Universidad KPIs],'Utilización Convenios'!$C211,Tabla2[Año],'Utilización Convenios'!E$142,Tabla2[Nivel Nominación],"Postgraduate / Master")</f>
        <v>0</v>
      </c>
      <c r="G211" s="111">
        <f>COUNTIFS(Tabla1[Tipo de Movilidad],"Intercambio*",Tabla1[Universidad KPIs],'Utilización Convenios'!$C211,Tabla1[Año de Movilidad],'Utilización Convenios'!G$3,Tabla1[Nivel],"Maestría")</f>
        <v>0</v>
      </c>
      <c r="H211" s="119">
        <f>COUNTIFS(Tabla2[Tipo de Movilidad],"Intercambio*",Tabla2[Universidad KPIs],'Utilización Convenios'!$C211,Tabla2[Año],'Utilización Convenios'!G$142,Tabla2[Nivel Nominación],"Postgraduate / Master")</f>
        <v>0</v>
      </c>
      <c r="I211" s="111">
        <f>COUNTIFS(Tabla1[Tipo de Movilidad],"Intercambio*",Tabla1[Universidad KPIs],'Utilización Convenios'!$C211,Tabla1[Año de Movilidad],'Utilización Convenios'!I$3,Tabla1[Nivel],"Maestría")</f>
        <v>0</v>
      </c>
      <c r="J211" s="119">
        <f>COUNTIFS(Tabla2[Tipo de Movilidad],"Intercambio*",Tabla2[Universidad KPIs],'Utilización Convenios'!$C211,Tabla2[Año],'Utilización Convenios'!I$142,Tabla2[Nivel Nominación],"Postgraduate / Master")</f>
        <v>0</v>
      </c>
      <c r="K211" s="111">
        <f>COUNTIFS(Tabla1[Tipo de Movilidad],"Intercambio*",Tabla1[Universidad KPIs],'Utilización Convenios'!$C211,Tabla1[Año de Movilidad],'Utilización Convenios'!K$3,Tabla1[Nivel],"Maestría")</f>
        <v>0</v>
      </c>
      <c r="L211" s="119">
        <f>COUNTIFS(Tabla2[Tipo de Movilidad],"Intercambio*",Tabla2[Universidad KPIs],'Utilización Convenios'!$C211,Tabla2[Año],'Utilización Convenios'!K$142,Tabla2[Nivel Nominación],"Postgraduate / Master")</f>
        <v>0</v>
      </c>
      <c r="M211" s="111">
        <f>COUNTIFS(Tabla1[Tipo de Movilidad],"Intercambio*",Tabla1[Universidad KPIs],'Utilización Convenios'!$C211,Tabla1[Año de Movilidad],'Utilización Convenios'!M$3,Tabla1[Nivel],"Maestría")</f>
        <v>0</v>
      </c>
      <c r="N211" s="119">
        <f>COUNTIFS(Tabla2[Tipo de Movilidad],"Intercambio*",Tabla2[Universidad KPIs],'Utilización Convenios'!$C211,Tabla2[Año],'Utilización Convenios'!M$142,Tabla2[Nivel Nominación],"Postgraduate / Master")</f>
        <v>0</v>
      </c>
      <c r="O211" s="111">
        <f>COUNTIFS(Tabla1[Tipo de Movilidad],"Intercambio*",Tabla1[Universidad KPIs],'Utilización Convenios'!$C211,Tabla1[Año de Movilidad],'Utilización Convenios'!O$3,Tabla1[Nivel],"Maestría")</f>
        <v>2</v>
      </c>
      <c r="P211" s="119">
        <f>COUNTIFS(Tabla2[Tipo de Movilidad],"Intercambio*",Tabla2[Universidad KPIs],'Utilización Convenios'!$C211,Tabla2[Año],'Utilización Convenios'!O$142,Tabla2[Nivel Nominación],"Postgraduate / Master")</f>
        <v>0</v>
      </c>
      <c r="Q211" s="124">
        <f t="shared" si="8"/>
        <v>2</v>
      </c>
      <c r="R211" s="112">
        <f t="shared" si="8"/>
        <v>0</v>
      </c>
    </row>
    <row r="212" spans="2:18">
      <c r="B212" s="179"/>
      <c r="C212" s="94" t="s">
        <v>189</v>
      </c>
      <c r="D212" s="105" t="s">
        <v>87</v>
      </c>
      <c r="E212" s="111">
        <f>COUNTIFS(Tabla1[Tipo de Movilidad],"Intercambio*",Tabla1[Universidad KPIs],'Utilización Convenios'!$C212,Tabla1[Año de Movilidad],'Utilización Convenios'!E$3,Tabla1[Nivel],"Maestría")</f>
        <v>0</v>
      </c>
      <c r="F212" s="119">
        <f>COUNTIFS(Tabla2[Tipo de Movilidad],"Intercambio*",Tabla2[Universidad KPIs],'Utilización Convenios'!$C212,Tabla2[Año],'Utilización Convenios'!E$142,Tabla2[Nivel Nominación],"Postgraduate / Master")</f>
        <v>0</v>
      </c>
      <c r="G212" s="111">
        <f>COUNTIFS(Tabla1[Tipo de Movilidad],"Intercambio*",Tabla1[Universidad KPIs],'Utilización Convenios'!$C212,Tabla1[Año de Movilidad],'Utilización Convenios'!G$3,Tabla1[Nivel],"Maestría")</f>
        <v>0</v>
      </c>
      <c r="H212" s="119">
        <f>COUNTIFS(Tabla2[Tipo de Movilidad],"Intercambio*",Tabla2[Universidad KPIs],'Utilización Convenios'!$C212,Tabla2[Año],'Utilización Convenios'!G$142,Tabla2[Nivel Nominación],"Postgraduate / Master")</f>
        <v>0</v>
      </c>
      <c r="I212" s="111">
        <f>COUNTIFS(Tabla1[Tipo de Movilidad],"Intercambio*",Tabla1[Universidad KPIs],'Utilización Convenios'!$C212,Tabla1[Año de Movilidad],'Utilización Convenios'!I$3,Tabla1[Nivel],"Maestría")</f>
        <v>0</v>
      </c>
      <c r="J212" s="119">
        <f>COUNTIFS(Tabla2[Tipo de Movilidad],"Intercambio*",Tabla2[Universidad KPIs],'Utilización Convenios'!$C212,Tabla2[Año],'Utilización Convenios'!I$142,Tabla2[Nivel Nominación],"Postgraduate / Master")</f>
        <v>1</v>
      </c>
      <c r="K212" s="111">
        <f>COUNTIFS(Tabla1[Tipo de Movilidad],"Intercambio*",Tabla1[Universidad KPIs],'Utilización Convenios'!$C212,Tabla1[Año de Movilidad],'Utilización Convenios'!K$3,Tabla1[Nivel],"Maestría")</f>
        <v>0</v>
      </c>
      <c r="L212" s="119">
        <f>COUNTIFS(Tabla2[Tipo de Movilidad],"Intercambio*",Tabla2[Universidad KPIs],'Utilización Convenios'!$C212,Tabla2[Año],'Utilización Convenios'!K$142,Tabla2[Nivel Nominación],"Postgraduate / Master")</f>
        <v>0</v>
      </c>
      <c r="M212" s="111">
        <f>COUNTIFS(Tabla1[Tipo de Movilidad],"Intercambio*",Tabla1[Universidad KPIs],'Utilización Convenios'!$C212,Tabla1[Año de Movilidad],'Utilización Convenios'!M$3,Tabla1[Nivel],"Maestría")</f>
        <v>0</v>
      </c>
      <c r="N212" s="119">
        <f>COUNTIFS(Tabla2[Tipo de Movilidad],"Intercambio*",Tabla2[Universidad KPIs],'Utilización Convenios'!$C212,Tabla2[Año],'Utilización Convenios'!M$142,Tabla2[Nivel Nominación],"Postgraduate / Master")</f>
        <v>0</v>
      </c>
      <c r="O212" s="111">
        <f>COUNTIFS(Tabla1[Tipo de Movilidad],"Intercambio*",Tabla1[Universidad KPIs],'Utilización Convenios'!$C212,Tabla1[Año de Movilidad],'Utilización Convenios'!O$3,Tabla1[Nivel],"Maestría")</f>
        <v>0</v>
      </c>
      <c r="P212" s="119">
        <f>COUNTIFS(Tabla2[Tipo de Movilidad],"Intercambio*",Tabla2[Universidad KPIs],'Utilización Convenios'!$C212,Tabla2[Año],'Utilización Convenios'!O$142,Tabla2[Nivel Nominación],"Postgraduate / Master")</f>
        <v>0</v>
      </c>
      <c r="Q212" s="124">
        <f t="shared" si="8"/>
        <v>0</v>
      </c>
      <c r="R212" s="112">
        <f t="shared" si="8"/>
        <v>1</v>
      </c>
    </row>
    <row r="213" spans="2:18">
      <c r="B213" s="179"/>
      <c r="C213" s="94" t="s">
        <v>190</v>
      </c>
      <c r="D213" s="105" t="s">
        <v>169</v>
      </c>
      <c r="E213" s="111">
        <f>COUNTIFS(Tabla1[Tipo de Movilidad],"Intercambio*",Tabla1[Universidad KPIs],'Utilización Convenios'!$C213,Tabla1[Año de Movilidad],'Utilización Convenios'!E$3,Tabla1[Nivel],"Maestría")</f>
        <v>0</v>
      </c>
      <c r="F213" s="119">
        <f>COUNTIFS(Tabla2[Tipo de Movilidad],"Intercambio*",Tabla2[Universidad KPIs],'Utilización Convenios'!$C213,Tabla2[Año],'Utilización Convenios'!E$142,Tabla2[Nivel Nominación],"Postgraduate / Master")</f>
        <v>0</v>
      </c>
      <c r="G213" s="111">
        <f>COUNTIFS(Tabla1[Tipo de Movilidad],"Intercambio*",Tabla1[Universidad KPIs],'Utilización Convenios'!$C213,Tabla1[Año de Movilidad],'Utilización Convenios'!G$3,Tabla1[Nivel],"Maestría")</f>
        <v>0</v>
      </c>
      <c r="H213" s="119">
        <f>COUNTIFS(Tabla2[Tipo de Movilidad],"Intercambio*",Tabla2[Universidad KPIs],'Utilización Convenios'!$C213,Tabla2[Año],'Utilización Convenios'!G$142,Tabla2[Nivel Nominación],"Postgraduate / Master")</f>
        <v>0</v>
      </c>
      <c r="I213" s="111">
        <f>COUNTIFS(Tabla1[Tipo de Movilidad],"Intercambio*",Tabla1[Universidad KPIs],'Utilización Convenios'!$C213,Tabla1[Año de Movilidad],'Utilización Convenios'!I$3,Tabla1[Nivel],"Maestría")</f>
        <v>0</v>
      </c>
      <c r="J213" s="119">
        <f>COUNTIFS(Tabla2[Tipo de Movilidad],"Intercambio*",Tabla2[Universidad KPIs],'Utilización Convenios'!$C213,Tabla2[Año],'Utilización Convenios'!I$142,Tabla2[Nivel Nominación],"Postgraduate / Master")</f>
        <v>0</v>
      </c>
      <c r="K213" s="111">
        <f>COUNTIFS(Tabla1[Tipo de Movilidad],"Intercambio*",Tabla1[Universidad KPIs],'Utilización Convenios'!$C213,Tabla1[Año de Movilidad],'Utilización Convenios'!K$3,Tabla1[Nivel],"Maestría")</f>
        <v>0</v>
      </c>
      <c r="L213" s="119">
        <f>COUNTIFS(Tabla2[Tipo de Movilidad],"Intercambio*",Tabla2[Universidad KPIs],'Utilización Convenios'!$C213,Tabla2[Año],'Utilización Convenios'!K$142,Tabla2[Nivel Nominación],"Postgraduate / Master")</f>
        <v>1</v>
      </c>
      <c r="M213" s="111">
        <f>COUNTIFS(Tabla1[Tipo de Movilidad],"Intercambio*",Tabla1[Universidad KPIs],'Utilización Convenios'!$C213,Tabla1[Año de Movilidad],'Utilización Convenios'!M$3,Tabla1[Nivel],"Maestría")</f>
        <v>0</v>
      </c>
      <c r="N213" s="119">
        <f>COUNTIFS(Tabla2[Tipo de Movilidad],"Intercambio*",Tabla2[Universidad KPIs],'Utilización Convenios'!$C213,Tabla2[Año],'Utilización Convenios'!M$142,Tabla2[Nivel Nominación],"Postgraduate / Master")</f>
        <v>0</v>
      </c>
      <c r="O213" s="111">
        <f>COUNTIFS(Tabla1[Tipo de Movilidad],"Intercambio*",Tabla1[Universidad KPIs],'Utilización Convenios'!$C213,Tabla1[Año de Movilidad],'Utilización Convenios'!O$3,Tabla1[Nivel],"Maestría")</f>
        <v>0</v>
      </c>
      <c r="P213" s="119">
        <f>COUNTIFS(Tabla2[Tipo de Movilidad],"Intercambio*",Tabla2[Universidad KPIs],'Utilización Convenios'!$C213,Tabla2[Año],'Utilización Convenios'!O$142,Tabla2[Nivel Nominación],"Postgraduate / Master")</f>
        <v>0</v>
      </c>
      <c r="Q213" s="124">
        <f t="shared" si="8"/>
        <v>0</v>
      </c>
      <c r="R213" s="112">
        <f t="shared" si="8"/>
        <v>1</v>
      </c>
    </row>
    <row r="214" spans="2:18">
      <c r="B214" s="179"/>
      <c r="C214" s="94" t="s">
        <v>161</v>
      </c>
      <c r="D214" s="105" t="s">
        <v>65</v>
      </c>
      <c r="E214" s="111">
        <f>COUNTIFS(Tabla1[Tipo de Movilidad],"Intercambio*",Tabla1[Universidad KPIs],'Utilización Convenios'!$C214,Tabla1[Año de Movilidad],'Utilización Convenios'!E$3,Tabla1[Nivel],"Maestría")</f>
        <v>0</v>
      </c>
      <c r="F214" s="119">
        <f>COUNTIFS(Tabla2[Tipo de Movilidad],"Intercambio*",Tabla2[Universidad KPIs],'Utilización Convenios'!$C214,Tabla2[Año],'Utilización Convenios'!E$142,Tabla2[Nivel Nominación],"Postgraduate / Master")</f>
        <v>0</v>
      </c>
      <c r="G214" s="111">
        <f>COUNTIFS(Tabla1[Tipo de Movilidad],"Intercambio*",Tabla1[Universidad KPIs],'Utilización Convenios'!$C214,Tabla1[Año de Movilidad],'Utilización Convenios'!G$3,Tabla1[Nivel],"Maestría")</f>
        <v>0</v>
      </c>
      <c r="H214" s="119">
        <f>COUNTIFS(Tabla2[Tipo de Movilidad],"Intercambio*",Tabla2[Universidad KPIs],'Utilización Convenios'!$C214,Tabla2[Año],'Utilización Convenios'!G$142,Tabla2[Nivel Nominación],"Postgraduate / Master")</f>
        <v>0</v>
      </c>
      <c r="I214" s="111">
        <f>COUNTIFS(Tabla1[Tipo de Movilidad],"Intercambio*",Tabla1[Universidad KPIs],'Utilización Convenios'!$C214,Tabla1[Año de Movilidad],'Utilización Convenios'!I$3,Tabla1[Nivel],"Maestría")</f>
        <v>0</v>
      </c>
      <c r="J214" s="119">
        <f>COUNTIFS(Tabla2[Tipo de Movilidad],"Intercambio*",Tabla2[Universidad KPIs],'Utilización Convenios'!$C214,Tabla2[Año],'Utilización Convenios'!I$142,Tabla2[Nivel Nominación],"Postgraduate / Master")</f>
        <v>1</v>
      </c>
      <c r="K214" s="111">
        <f>COUNTIFS(Tabla1[Tipo de Movilidad],"Intercambio*",Tabla1[Universidad KPIs],'Utilización Convenios'!$C214,Tabla1[Año de Movilidad],'Utilización Convenios'!K$3,Tabla1[Nivel],"Maestría")</f>
        <v>1</v>
      </c>
      <c r="L214" s="119">
        <f>COUNTIFS(Tabla2[Tipo de Movilidad],"Intercambio*",Tabla2[Universidad KPIs],'Utilización Convenios'!$C214,Tabla2[Año],'Utilización Convenios'!K$142,Tabla2[Nivel Nominación],"Postgraduate / Master")</f>
        <v>0</v>
      </c>
      <c r="M214" s="111">
        <f>COUNTIFS(Tabla1[Tipo de Movilidad],"Intercambio*",Tabla1[Universidad KPIs],'Utilización Convenios'!$C214,Tabla1[Año de Movilidad],'Utilización Convenios'!M$3,Tabla1[Nivel],"Maestría")</f>
        <v>0</v>
      </c>
      <c r="N214" s="119">
        <f>COUNTIFS(Tabla2[Tipo de Movilidad],"Intercambio*",Tabla2[Universidad KPIs],'Utilización Convenios'!$C214,Tabla2[Año],'Utilización Convenios'!M$142,Tabla2[Nivel Nominación],"Postgraduate / Master")</f>
        <v>4</v>
      </c>
      <c r="O214" s="111">
        <f>COUNTIFS(Tabla1[Tipo de Movilidad],"Intercambio*",Tabla1[Universidad KPIs],'Utilización Convenios'!$C214,Tabla1[Año de Movilidad],'Utilización Convenios'!O$3,Tabla1[Nivel],"Maestría")</f>
        <v>0</v>
      </c>
      <c r="P214" s="119">
        <f>COUNTIFS(Tabla2[Tipo de Movilidad],"Intercambio*",Tabla2[Universidad KPIs],'Utilización Convenios'!$C214,Tabla2[Año],'Utilización Convenios'!O$142,Tabla2[Nivel Nominación],"Postgraduate / Master")</f>
        <v>1</v>
      </c>
      <c r="Q214" s="124">
        <f t="shared" si="8"/>
        <v>1</v>
      </c>
      <c r="R214" s="112">
        <f t="shared" si="8"/>
        <v>6</v>
      </c>
    </row>
    <row r="215" spans="2:18">
      <c r="B215" s="179"/>
      <c r="C215" s="94" t="s">
        <v>191</v>
      </c>
      <c r="D215" s="105" t="s">
        <v>192</v>
      </c>
      <c r="E215" s="111">
        <f>COUNTIFS(Tabla1[Tipo de Movilidad],"Intercambio*",Tabla1[Universidad KPIs],'Utilización Convenios'!$C215,Tabla1[Año de Movilidad],'Utilización Convenios'!E$3,Tabla1[Nivel],"Maestría")</f>
        <v>0</v>
      </c>
      <c r="F215" s="119">
        <f>COUNTIFS(Tabla2[Tipo de Movilidad],"Intercambio*",Tabla2[Universidad KPIs],'Utilización Convenios'!$C215,Tabla2[Año],'Utilización Convenios'!E$142,Tabla2[Nivel Nominación],"Postgraduate / Master")</f>
        <v>0</v>
      </c>
      <c r="G215" s="111">
        <f>COUNTIFS(Tabla1[Tipo de Movilidad],"Intercambio*",Tabla1[Universidad KPIs],'Utilización Convenios'!$C215,Tabla1[Año de Movilidad],'Utilización Convenios'!G$3,Tabla1[Nivel],"Maestría")</f>
        <v>0</v>
      </c>
      <c r="H215" s="119">
        <f>COUNTIFS(Tabla2[Tipo de Movilidad],"Intercambio*",Tabla2[Universidad KPIs],'Utilización Convenios'!$C215,Tabla2[Año],'Utilización Convenios'!G$142,Tabla2[Nivel Nominación],"Postgraduate / Master")</f>
        <v>0</v>
      </c>
      <c r="I215" s="111">
        <f>COUNTIFS(Tabla1[Tipo de Movilidad],"Intercambio*",Tabla1[Universidad KPIs],'Utilización Convenios'!$C215,Tabla1[Año de Movilidad],'Utilización Convenios'!I$3,Tabla1[Nivel],"Maestría")</f>
        <v>0</v>
      </c>
      <c r="J215" s="119">
        <f>COUNTIFS(Tabla2[Tipo de Movilidad],"Intercambio*",Tabla2[Universidad KPIs],'Utilización Convenios'!$C215,Tabla2[Año],'Utilización Convenios'!I$142,Tabla2[Nivel Nominación],"Postgraduate / Master")</f>
        <v>0</v>
      </c>
      <c r="K215" s="111">
        <f>COUNTIFS(Tabla1[Tipo de Movilidad],"Intercambio*",Tabla1[Universidad KPIs],'Utilización Convenios'!$C215,Tabla1[Año de Movilidad],'Utilización Convenios'!K$3,Tabla1[Nivel],"Maestría")</f>
        <v>1</v>
      </c>
      <c r="L215" s="119">
        <f>COUNTIFS(Tabla2[Tipo de Movilidad],"Intercambio*",Tabla2[Universidad KPIs],'Utilización Convenios'!$C215,Tabla2[Año],'Utilización Convenios'!K$142,Tabla2[Nivel Nominación],"Postgraduate / Master")</f>
        <v>0</v>
      </c>
      <c r="M215" s="111">
        <f>COUNTIFS(Tabla1[Tipo de Movilidad],"Intercambio*",Tabla1[Universidad KPIs],'Utilización Convenios'!$C215,Tabla1[Año de Movilidad],'Utilización Convenios'!M$3,Tabla1[Nivel],"Maestría")</f>
        <v>0</v>
      </c>
      <c r="N215" s="119">
        <f>COUNTIFS(Tabla2[Tipo de Movilidad],"Intercambio*",Tabla2[Universidad KPIs],'Utilización Convenios'!$C215,Tabla2[Año],'Utilización Convenios'!M$142,Tabla2[Nivel Nominación],"Postgraduate / Master")</f>
        <v>0</v>
      </c>
      <c r="O215" s="111">
        <f>COUNTIFS(Tabla1[Tipo de Movilidad],"Intercambio*",Tabla1[Universidad KPIs],'Utilización Convenios'!$C215,Tabla1[Año de Movilidad],'Utilización Convenios'!O$3,Tabla1[Nivel],"Maestría")</f>
        <v>0</v>
      </c>
      <c r="P215" s="119">
        <f>COUNTIFS(Tabla2[Tipo de Movilidad],"Intercambio*",Tabla2[Universidad KPIs],'Utilización Convenios'!$C215,Tabla2[Año],'Utilización Convenios'!O$142,Tabla2[Nivel Nominación],"Postgraduate / Master")</f>
        <v>0</v>
      </c>
      <c r="Q215" s="124">
        <f t="shared" si="8"/>
        <v>1</v>
      </c>
      <c r="R215" s="112">
        <f t="shared" si="8"/>
        <v>0</v>
      </c>
    </row>
    <row r="216" spans="2:18">
      <c r="B216" s="179"/>
      <c r="C216" s="94" t="s">
        <v>193</v>
      </c>
      <c r="D216" s="105" t="s">
        <v>185</v>
      </c>
      <c r="E216" s="111">
        <f>COUNTIFS(Tabla1[Tipo de Movilidad],"Intercambio*",Tabla1[Universidad KPIs],'Utilización Convenios'!$C216,Tabla1[Año de Movilidad],'Utilización Convenios'!E$3,Tabla1[Nivel],"Maestría")</f>
        <v>0</v>
      </c>
      <c r="F216" s="119">
        <f>COUNTIFS(Tabla2[Tipo de Movilidad],"Intercambio*",Tabla2[Universidad KPIs],'Utilización Convenios'!$C216,Tabla2[Año],'Utilización Convenios'!E$142,Tabla2[Nivel Nominación],"Postgraduate / Master")</f>
        <v>0</v>
      </c>
      <c r="G216" s="111">
        <f>COUNTIFS(Tabla1[Tipo de Movilidad],"Intercambio*",Tabla1[Universidad KPIs],'Utilización Convenios'!$C216,Tabla1[Año de Movilidad],'Utilización Convenios'!G$3,Tabla1[Nivel],"Maestría")</f>
        <v>0</v>
      </c>
      <c r="H216" s="119">
        <f>COUNTIFS(Tabla2[Tipo de Movilidad],"Intercambio*",Tabla2[Universidad KPIs],'Utilización Convenios'!$C216,Tabla2[Año],'Utilización Convenios'!G$142,Tabla2[Nivel Nominación],"Postgraduate / Master")</f>
        <v>0</v>
      </c>
      <c r="I216" s="111">
        <f>COUNTIFS(Tabla1[Tipo de Movilidad],"Intercambio*",Tabla1[Universidad KPIs],'Utilización Convenios'!$C216,Tabla1[Año de Movilidad],'Utilización Convenios'!I$3,Tabla1[Nivel],"Maestría")</f>
        <v>0</v>
      </c>
      <c r="J216" s="119">
        <f>COUNTIFS(Tabla2[Tipo de Movilidad],"Intercambio*",Tabla2[Universidad KPIs],'Utilización Convenios'!$C216,Tabla2[Año],'Utilización Convenios'!I$142,Tabla2[Nivel Nominación],"Postgraduate / Master")</f>
        <v>0</v>
      </c>
      <c r="K216" s="111">
        <f>COUNTIFS(Tabla1[Tipo de Movilidad],"Intercambio*",Tabla1[Universidad KPIs],'Utilización Convenios'!$C216,Tabla1[Año de Movilidad],'Utilización Convenios'!K$3,Tabla1[Nivel],"Maestría")</f>
        <v>0</v>
      </c>
      <c r="L216" s="119">
        <f>COUNTIFS(Tabla2[Tipo de Movilidad],"Intercambio*",Tabla2[Universidad KPIs],'Utilización Convenios'!$C216,Tabla2[Año],'Utilización Convenios'!K$142,Tabla2[Nivel Nominación],"Postgraduate / Master")</f>
        <v>0</v>
      </c>
      <c r="M216" s="111">
        <f>COUNTIFS(Tabla1[Tipo de Movilidad],"Intercambio*",Tabla1[Universidad KPIs],'Utilización Convenios'!$C216,Tabla1[Año de Movilidad],'Utilización Convenios'!M$3,Tabla1[Nivel],"Maestría")</f>
        <v>0</v>
      </c>
      <c r="N216" s="119">
        <f>COUNTIFS(Tabla2[Tipo de Movilidad],"Intercambio*",Tabla2[Universidad KPIs],'Utilización Convenios'!$C216,Tabla2[Año],'Utilización Convenios'!M$142,Tabla2[Nivel Nominación],"Postgraduate / Master")</f>
        <v>1</v>
      </c>
      <c r="O216" s="111">
        <f>COUNTIFS(Tabla1[Tipo de Movilidad],"Intercambio*",Tabla1[Universidad KPIs],'Utilización Convenios'!$C216,Tabla1[Año de Movilidad],'Utilización Convenios'!O$3,Tabla1[Nivel],"Maestría")</f>
        <v>0</v>
      </c>
      <c r="P216" s="119">
        <f>COUNTIFS(Tabla2[Tipo de Movilidad],"Intercambio*",Tabla2[Universidad KPIs],'Utilización Convenios'!$C216,Tabla2[Año],'Utilización Convenios'!O$142,Tabla2[Nivel Nominación],"Postgraduate / Master")</f>
        <v>0</v>
      </c>
      <c r="Q216" s="124">
        <f t="shared" si="8"/>
        <v>0</v>
      </c>
      <c r="R216" s="112">
        <f t="shared" si="8"/>
        <v>1</v>
      </c>
    </row>
    <row r="217" spans="2:18">
      <c r="B217" s="179"/>
      <c r="C217" s="94" t="s">
        <v>172</v>
      </c>
      <c r="D217" s="105" t="s">
        <v>53</v>
      </c>
      <c r="E217" s="111">
        <f>COUNTIFS(Tabla1[Tipo de Movilidad],"Intercambio*",Tabla1[Universidad KPIs],'Utilización Convenios'!$C217,Tabla1[Año de Movilidad],'Utilización Convenios'!E$3,Tabla1[Nivel],"Maestría")</f>
        <v>0</v>
      </c>
      <c r="F217" s="119">
        <f>COUNTIFS(Tabla2[Tipo de Movilidad],"Intercambio*",Tabla2[Universidad KPIs],'Utilización Convenios'!$C217,Tabla2[Año],'Utilización Convenios'!E$142,Tabla2[Nivel Nominación],"Postgraduate / Master")</f>
        <v>0</v>
      </c>
      <c r="G217" s="111">
        <f>COUNTIFS(Tabla1[Tipo de Movilidad],"Intercambio*",Tabla1[Universidad KPIs],'Utilización Convenios'!$C217,Tabla1[Año de Movilidad],'Utilización Convenios'!G$3,Tabla1[Nivel],"Maestría")</f>
        <v>0</v>
      </c>
      <c r="H217" s="119">
        <f>COUNTIFS(Tabla2[Tipo de Movilidad],"Intercambio*",Tabla2[Universidad KPIs],'Utilización Convenios'!$C217,Tabla2[Año],'Utilización Convenios'!G$142,Tabla2[Nivel Nominación],"Postgraduate / Master")</f>
        <v>0</v>
      </c>
      <c r="I217" s="111">
        <f>COUNTIFS(Tabla1[Tipo de Movilidad],"Intercambio*",Tabla1[Universidad KPIs],'Utilización Convenios'!$C217,Tabla1[Año de Movilidad],'Utilización Convenios'!I$3,Tabla1[Nivel],"Maestría")</f>
        <v>0</v>
      </c>
      <c r="J217" s="119">
        <f>COUNTIFS(Tabla2[Tipo de Movilidad],"Intercambio*",Tabla2[Universidad KPIs],'Utilización Convenios'!$C217,Tabla2[Año],'Utilización Convenios'!I$142,Tabla2[Nivel Nominación],"Postgraduate / Master")</f>
        <v>0</v>
      </c>
      <c r="K217" s="111">
        <f>COUNTIFS(Tabla1[Tipo de Movilidad],"Intercambio*",Tabla1[Universidad KPIs],'Utilización Convenios'!$C217,Tabla1[Año de Movilidad],'Utilización Convenios'!K$3,Tabla1[Nivel],"Maestría")</f>
        <v>0</v>
      </c>
      <c r="L217" s="119">
        <f>COUNTIFS(Tabla2[Tipo de Movilidad],"Intercambio*",Tabla2[Universidad KPIs],'Utilización Convenios'!$C217,Tabla2[Año],'Utilización Convenios'!K$142,Tabla2[Nivel Nominación],"Postgraduate / Master")</f>
        <v>0</v>
      </c>
      <c r="M217" s="111">
        <f>COUNTIFS(Tabla1[Tipo de Movilidad],"Intercambio*",Tabla1[Universidad KPIs],'Utilización Convenios'!$C217,Tabla1[Año de Movilidad],'Utilización Convenios'!M$3,Tabla1[Nivel],"Maestría")</f>
        <v>1</v>
      </c>
      <c r="N217" s="119">
        <f>COUNTIFS(Tabla2[Tipo de Movilidad],"Intercambio*",Tabla2[Universidad KPIs],'Utilización Convenios'!$C217,Tabla2[Año],'Utilización Convenios'!M$142,Tabla2[Nivel Nominación],"Postgraduate / Master")</f>
        <v>0</v>
      </c>
      <c r="O217" s="111">
        <f>COUNTIFS(Tabla1[Tipo de Movilidad],"Intercambio*",Tabla1[Universidad KPIs],'Utilización Convenios'!$C217,Tabla1[Año de Movilidad],'Utilización Convenios'!O$3,Tabla1[Nivel],"Maestría")</f>
        <v>0</v>
      </c>
      <c r="P217" s="119">
        <f>COUNTIFS(Tabla2[Tipo de Movilidad],"Intercambio*",Tabla2[Universidad KPIs],'Utilización Convenios'!$C217,Tabla2[Año],'Utilización Convenios'!O$142,Tabla2[Nivel Nominación],"Postgraduate / Master")</f>
        <v>0</v>
      </c>
      <c r="Q217" s="124">
        <f t="shared" si="8"/>
        <v>1</v>
      </c>
      <c r="R217" s="112">
        <f t="shared" si="8"/>
        <v>0</v>
      </c>
    </row>
    <row r="218" spans="2:18">
      <c r="B218" s="179"/>
      <c r="C218" s="135" t="s">
        <v>194</v>
      </c>
      <c r="D218" s="137" t="s">
        <v>60</v>
      </c>
      <c r="E218" s="111">
        <f>COUNTIFS(Tabla1[Tipo de Movilidad],"Intercambio*",Tabla1[Universidad KPIs],'Utilización Convenios'!$C218,Tabla1[Año de Movilidad],'Utilización Convenios'!E$3,Tabla1[Nivel],"Maestría")</f>
        <v>0</v>
      </c>
      <c r="F218" s="119">
        <f>COUNTIFS(Tabla2[Tipo de Movilidad],"Intercambio*",Tabla2[Universidad KPIs],'Utilización Convenios'!$C218,Tabla2[Año],'Utilización Convenios'!E$142,Tabla2[Nivel Nominación],"Postgraduate / Master")</f>
        <v>0</v>
      </c>
      <c r="G218" s="111">
        <f>COUNTIFS(Tabla1[Tipo de Movilidad],"Intercambio*",Tabla1[Universidad KPIs],'Utilización Convenios'!$C218,Tabla1[Año de Movilidad],'Utilización Convenios'!G$3,Tabla1[Nivel],"Maestría")</f>
        <v>0</v>
      </c>
      <c r="H218" s="119">
        <f>COUNTIFS(Tabla2[Tipo de Movilidad],"Intercambio*",Tabla2[Universidad KPIs],'Utilización Convenios'!$C218,Tabla2[Año],'Utilización Convenios'!G$142,Tabla2[Nivel Nominación],"Postgraduate / Master")</f>
        <v>0</v>
      </c>
      <c r="I218" s="111">
        <f>COUNTIFS(Tabla1[Tipo de Movilidad],"Intercambio*",Tabla1[Universidad KPIs],'Utilización Convenios'!$C218,Tabla1[Año de Movilidad],'Utilización Convenios'!I$3,Tabla1[Nivel],"Maestría")</f>
        <v>0</v>
      </c>
      <c r="J218" s="119">
        <f>COUNTIFS(Tabla2[Tipo de Movilidad],"Intercambio*",Tabla2[Universidad KPIs],'Utilización Convenios'!$C218,Tabla2[Año],'Utilización Convenios'!I$142,Tabla2[Nivel Nominación],"Postgraduate / Master")</f>
        <v>0</v>
      </c>
      <c r="K218" s="111">
        <f>COUNTIFS(Tabla1[Tipo de Movilidad],"Intercambio*",Tabla1[Universidad KPIs],'Utilización Convenios'!$C218,Tabla1[Año de Movilidad],'Utilización Convenios'!K$3,Tabla1[Nivel],"Maestría")</f>
        <v>0</v>
      </c>
      <c r="L218" s="119">
        <f>COUNTIFS(Tabla2[Tipo de Movilidad],"Intercambio*",Tabla2[Universidad KPIs],'Utilización Convenios'!$C218,Tabla2[Año],'Utilización Convenios'!K$142,Tabla2[Nivel Nominación],"Postgraduate / Master")</f>
        <v>0</v>
      </c>
      <c r="M218" s="111">
        <f>COUNTIFS(Tabla1[Tipo de Movilidad],"Intercambio*",Tabla1[Universidad KPIs],'Utilización Convenios'!$C218,Tabla1[Año de Movilidad],'Utilización Convenios'!M$3,Tabla1[Nivel],"Maestría")</f>
        <v>0</v>
      </c>
      <c r="N218" s="119">
        <f>COUNTIFS(Tabla2[Tipo de Movilidad],"Intercambio*",Tabla2[Universidad KPIs],'Utilización Convenios'!$C218,Tabla2[Año],'Utilización Convenios'!M$142,Tabla2[Nivel Nominación],"Postgraduate / Master")</f>
        <v>0</v>
      </c>
      <c r="O218" s="111">
        <f>COUNTIFS(Tabla1[Tipo de Movilidad],"Intercambio*",Tabla1[Universidad KPIs],'Utilización Convenios'!$C218,Tabla1[Año de Movilidad],'Utilización Convenios'!O$3,Tabla1[Nivel],"Maestría")</f>
        <v>0</v>
      </c>
      <c r="P218" s="119">
        <f>COUNTIFS(Tabla2[Tipo de Movilidad],"Intercambio*",Tabla2[Universidad KPIs],'Utilización Convenios'!$C218,Tabla2[Año],'Utilización Convenios'!O$142,Tabla2[Nivel Nominación],"Postgraduate / Master")</f>
        <v>1</v>
      </c>
      <c r="Q218" s="124">
        <f t="shared" si="8"/>
        <v>0</v>
      </c>
      <c r="R218" s="112">
        <f t="shared" si="8"/>
        <v>1</v>
      </c>
    </row>
    <row r="219" spans="2:18" ht="15.75" thickBot="1">
      <c r="B219" s="180"/>
      <c r="C219" s="96" t="s">
        <v>150</v>
      </c>
      <c r="D219" s="106" t="s">
        <v>41</v>
      </c>
      <c r="E219" s="113">
        <f>COUNTIFS(Tabla1[Tipo de Movilidad],"Intercambio*",Tabla1[Universidad KPIs],'Utilización Convenios'!$C219,Tabla1[Año de Movilidad],'Utilización Convenios'!E$3,Tabla1[Nivel],"Maestría")</f>
        <v>0</v>
      </c>
      <c r="F219" s="120">
        <f>COUNTIFS(Tabla2[Tipo de Movilidad],"Intercambio*",Tabla2[Universidad KPIs],'Utilización Convenios'!$C219,Tabla2[Año],'Utilización Convenios'!E$142,Tabla2[Nivel Nominación],"Postgraduate / Master")</f>
        <v>0</v>
      </c>
      <c r="G219" s="113">
        <f>COUNTIFS(Tabla1[Tipo de Movilidad],"Intercambio*",Tabla1[Universidad KPIs],'Utilización Convenios'!$C219,Tabla1[Año de Movilidad],'Utilización Convenios'!G$3,Tabla1[Nivel],"Maestría")</f>
        <v>0</v>
      </c>
      <c r="H219" s="120">
        <f>COUNTIFS(Tabla2[Tipo de Movilidad],"Intercambio*",Tabla2[Universidad KPIs],'Utilización Convenios'!$C219,Tabla2[Año],'Utilización Convenios'!G$142,Tabla2[Nivel Nominación],"Postgraduate / Master")</f>
        <v>0</v>
      </c>
      <c r="I219" s="113">
        <f>COUNTIFS(Tabla1[Tipo de Movilidad],"Intercambio*",Tabla1[Universidad KPIs],'Utilización Convenios'!$C219,Tabla1[Año de Movilidad],'Utilización Convenios'!I$3,Tabla1[Nivel],"Maestría")</f>
        <v>0</v>
      </c>
      <c r="J219" s="120">
        <f>COUNTIFS(Tabla2[Tipo de Movilidad],"Intercambio*",Tabla2[Universidad KPIs],'Utilización Convenios'!$C219,Tabla2[Año],'Utilización Convenios'!I$142,Tabla2[Nivel Nominación],"Postgraduate / Master")</f>
        <v>0</v>
      </c>
      <c r="K219" s="113">
        <f>COUNTIFS(Tabla1[Tipo de Movilidad],"Intercambio*",Tabla1[Universidad KPIs],'Utilización Convenios'!$C219,Tabla1[Año de Movilidad],'Utilización Convenios'!K$3,Tabla1[Nivel],"Maestría")</f>
        <v>0</v>
      </c>
      <c r="L219" s="120">
        <f>COUNTIFS(Tabla2[Tipo de Movilidad],"Intercambio*",Tabla2[Universidad KPIs],'Utilización Convenios'!$C219,Tabla2[Año],'Utilización Convenios'!K$142,Tabla2[Nivel Nominación],"Postgraduate / Master")</f>
        <v>0</v>
      </c>
      <c r="M219" s="113">
        <f>COUNTIFS(Tabla1[Tipo de Movilidad],"Intercambio*",Tabla1[Universidad KPIs],'Utilización Convenios'!$C219,Tabla1[Año de Movilidad],'Utilización Convenios'!M$3,Tabla1[Nivel],"Maestría")</f>
        <v>0</v>
      </c>
      <c r="N219" s="120">
        <f>COUNTIFS(Tabla2[Tipo de Movilidad],"Intercambio*",Tabla2[Universidad KPIs],'Utilización Convenios'!$C219,Tabla2[Año],'Utilización Convenios'!M$142,Tabla2[Nivel Nominación],"Postgraduate / Master")</f>
        <v>2</v>
      </c>
      <c r="O219" s="113">
        <f>COUNTIFS(Tabla1[Tipo de Movilidad],"Intercambio*",Tabla1[Universidad KPIs],'Utilización Convenios'!$C219,Tabla1[Año de Movilidad],'Utilización Convenios'!O$3,Tabla1[Nivel],"Maestría")</f>
        <v>0</v>
      </c>
      <c r="P219" s="120">
        <f>COUNTIFS(Tabla2[Tipo de Movilidad],"Intercambio*",Tabla2[Universidad KPIs],'Utilización Convenios'!$C219,Tabla2[Año],'Utilización Convenios'!O$142,Tabla2[Nivel Nominación],"Postgraduate / Master")</f>
        <v>1</v>
      </c>
      <c r="Q219" s="125">
        <f t="shared" si="8"/>
        <v>0</v>
      </c>
      <c r="R219" s="114">
        <f t="shared" si="8"/>
        <v>3</v>
      </c>
    </row>
    <row r="220" spans="2:18" ht="15.75" thickBot="1">
      <c r="C220" s="168" t="s">
        <v>177</v>
      </c>
      <c r="D220" s="169"/>
      <c r="E220" s="121">
        <f t="shared" ref="E220:R220" si="9">SUM(E144:E219)</f>
        <v>0</v>
      </c>
      <c r="F220" s="122">
        <f t="shared" si="9"/>
        <v>10</v>
      </c>
      <c r="G220" s="116">
        <f t="shared" si="9"/>
        <v>2</v>
      </c>
      <c r="H220" s="117">
        <f t="shared" si="9"/>
        <v>22</v>
      </c>
      <c r="I220" s="116">
        <f t="shared" si="9"/>
        <v>6</v>
      </c>
      <c r="J220" s="117">
        <f t="shared" si="9"/>
        <v>33</v>
      </c>
      <c r="K220" s="116">
        <f t="shared" si="9"/>
        <v>6</v>
      </c>
      <c r="L220" s="117">
        <f t="shared" si="9"/>
        <v>32</v>
      </c>
      <c r="M220" s="116">
        <f t="shared" si="9"/>
        <v>4</v>
      </c>
      <c r="N220" s="117">
        <f t="shared" si="9"/>
        <v>38</v>
      </c>
      <c r="O220" s="116">
        <f t="shared" si="9"/>
        <v>4</v>
      </c>
      <c r="P220" s="117">
        <f t="shared" si="9"/>
        <v>18</v>
      </c>
      <c r="Q220" s="115">
        <f t="shared" si="9"/>
        <v>22</v>
      </c>
      <c r="R220" s="108">
        <f t="shared" si="9"/>
        <v>153</v>
      </c>
    </row>
    <row r="223" spans="2:18" ht="21.75" thickBot="1">
      <c r="C223" s="170" t="s">
        <v>195</v>
      </c>
      <c r="D223" s="170"/>
      <c r="E223" s="170"/>
      <c r="F223" s="170"/>
      <c r="G223" s="170"/>
      <c r="H223" s="170"/>
      <c r="I223" s="170"/>
      <c r="J223" s="170"/>
      <c r="K223" s="170"/>
      <c r="L223" s="170"/>
      <c r="M223" s="170"/>
      <c r="N223" s="170"/>
      <c r="O223" s="170"/>
      <c r="P223" s="170"/>
      <c r="Q223" s="170"/>
      <c r="R223" s="170"/>
    </row>
    <row r="224" spans="2:18" ht="15.75" thickBot="1">
      <c r="E224" s="175">
        <v>2020</v>
      </c>
      <c r="F224" s="176"/>
      <c r="G224" s="175">
        <v>2021</v>
      </c>
      <c r="H224" s="176"/>
      <c r="I224" s="175">
        <v>2022</v>
      </c>
      <c r="J224" s="176"/>
      <c r="K224" s="175">
        <v>2023</v>
      </c>
      <c r="L224" s="176"/>
      <c r="M224" s="175">
        <v>2024</v>
      </c>
      <c r="N224" s="176"/>
      <c r="O224" s="175">
        <v>2025</v>
      </c>
      <c r="P224" s="177"/>
      <c r="Q224" s="166" t="s">
        <v>29</v>
      </c>
      <c r="R224" s="167"/>
    </row>
    <row r="225" spans="3:18" ht="21.75" thickBot="1">
      <c r="D225" s="57"/>
      <c r="E225" s="27" t="s">
        <v>31</v>
      </c>
      <c r="F225" s="37" t="s">
        <v>32</v>
      </c>
      <c r="G225" s="27" t="s">
        <v>31</v>
      </c>
      <c r="H225" s="37" t="s">
        <v>32</v>
      </c>
      <c r="I225" s="27" t="s">
        <v>31</v>
      </c>
      <c r="J225" s="37" t="s">
        <v>32</v>
      </c>
      <c r="K225" s="27" t="s">
        <v>31</v>
      </c>
      <c r="L225" s="37" t="s">
        <v>32</v>
      </c>
      <c r="M225" s="27" t="s">
        <v>31</v>
      </c>
      <c r="N225" s="34" t="s">
        <v>32</v>
      </c>
      <c r="O225" s="27" t="s">
        <v>31</v>
      </c>
      <c r="P225" s="37" t="s">
        <v>32</v>
      </c>
      <c r="Q225" s="22" t="s">
        <v>31</v>
      </c>
      <c r="R225" s="50" t="s">
        <v>32</v>
      </c>
    </row>
    <row r="226" spans="3:18">
      <c r="C226" s="20" t="s">
        <v>196</v>
      </c>
      <c r="D226" s="138" t="s">
        <v>47</v>
      </c>
      <c r="E226" s="127">
        <f>COUNTIFS(Tabla1[Tipo de Movilidad],"Pasant*",Tabla1[Universidad KPIs],$C226,Tabla1[Año de Movilidad],'Utilización Convenios'!E$224)</f>
        <v>0</v>
      </c>
      <c r="F226" s="73">
        <f>COUNTIFS(Tabla2[Tipo de Movilidad],"Pasant*",Tabla2[Universidad KPIs],'Utilización Convenios'!$C226,Tabla2[Año],'Utilización Convenios'!E$224)</f>
        <v>0</v>
      </c>
      <c r="G226" s="127">
        <f>COUNTIFS(Tabla1[Tipo de Movilidad],"Pasant*",Tabla1[Universidad KPIs],$C226,Tabla1[Año de Movilidad],'Utilización Convenios'!G$224)</f>
        <v>0</v>
      </c>
      <c r="H226" s="73">
        <f>COUNTIFS(Tabla2[Tipo de Movilidad],"Pasant*",Tabla2[Universidad KPIs],'Utilización Convenios'!$C226,Tabla2[Año],'Utilización Convenios'!G$224)</f>
        <v>0</v>
      </c>
      <c r="I226" s="127">
        <f>COUNTIFS(Tabla1[Tipo de Movilidad],"Pasant*",Tabla1[Universidad KPIs],$C226,Tabla1[Año de Movilidad],'Utilización Convenios'!I$224)</f>
        <v>0</v>
      </c>
      <c r="J226" s="73">
        <f>COUNTIFS(Tabla2[Tipo de Movilidad],"Pasant*",Tabla2[Universidad KPIs],'Utilización Convenios'!$C226,Tabla2[Año],'Utilización Convenios'!I$224)</f>
        <v>0</v>
      </c>
      <c r="K226" s="127">
        <f>COUNTIFS(Tabla1[Tipo de Movilidad],"Pasant*",Tabla1[Universidad KPIs],$C226,Tabla1[Año de Movilidad],'Utilización Convenios'!K$224)</f>
        <v>0</v>
      </c>
      <c r="L226" s="73">
        <f>COUNTIFS(Tabla2[Tipo de Movilidad],"Pasant*",Tabla2[Universidad KPIs],'Utilización Convenios'!$C226,Tabla2[Año],'Utilización Convenios'!K$224)</f>
        <v>0</v>
      </c>
      <c r="M226" s="127">
        <f>COUNTIFS(Tabla1[Tipo de Movilidad],"Pasant*",Tabla1[Universidad KPIs],$C226,Tabla1[Año de Movilidad],'Utilización Convenios'!M$224)</f>
        <v>0</v>
      </c>
      <c r="N226" s="73">
        <f>COUNTIFS(Tabla2[Tipo de Movilidad],"Pasant*",Tabla2[Universidad KPIs],'Utilización Convenios'!$C226,Tabla2[Año],'Utilización Convenios'!M$224)</f>
        <v>1</v>
      </c>
      <c r="O226" s="127">
        <f>COUNTIFS(Tabla1[Tipo de Movilidad],"Pasant*",Tabla1[Universidad KPIs],$C226,Tabla1[Año de Movilidad],'Utilización Convenios'!O$224)</f>
        <v>0</v>
      </c>
      <c r="P226" s="73">
        <f>COUNTIFS(Tabla2[Tipo de Movilidad],"Pasant*",Tabla2[Universidad KPIs],'Utilización Convenios'!$C226,Tabla2[Año],'Utilización Convenios'!O$224)</f>
        <v>0</v>
      </c>
      <c r="Q226" s="82">
        <f t="shared" ref="Q226:Q240" si="10">SUMIF($E$225:$P$225,Q$225,$E226:$P226)</f>
        <v>0</v>
      </c>
      <c r="R226" s="49">
        <f>SUMIF($E$143:$P$143,R$143,$E226:$P226)</f>
        <v>1</v>
      </c>
    </row>
    <row r="227" spans="3:18">
      <c r="C227" s="10" t="s">
        <v>197</v>
      </c>
      <c r="D227" s="139" t="s">
        <v>185</v>
      </c>
      <c r="E227" s="128">
        <f>COUNTIFS(Tabla1[Tipo de Movilidad],"Pasant*",Tabla1[Universidad KPIs],$C227,Tabla1[Año de Movilidad],'Utilización Convenios'!E$224)</f>
        <v>0</v>
      </c>
      <c r="F227" s="75">
        <f>COUNTIFS(Tabla2[Tipo de Movilidad],"Pasant*",Tabla2[Universidad KPIs],'Utilización Convenios'!$C227,Tabla2[Año],'Utilización Convenios'!E$224)</f>
        <v>0</v>
      </c>
      <c r="G227" s="128">
        <f>COUNTIFS(Tabla1[Tipo de Movilidad],"Pasant*",Tabla1[Universidad KPIs],$C227,Tabla1[Año de Movilidad],'Utilización Convenios'!G$224)</f>
        <v>0</v>
      </c>
      <c r="H227" s="75">
        <f>COUNTIFS(Tabla2[Tipo de Movilidad],"Pasant*",Tabla2[Universidad KPIs],'Utilización Convenios'!$C227,Tabla2[Año],'Utilización Convenios'!G$224)</f>
        <v>0</v>
      </c>
      <c r="I227" s="128">
        <f>COUNTIFS(Tabla1[Tipo de Movilidad],"Pasant*",Tabla1[Universidad KPIs],$C227,Tabla1[Año de Movilidad],'Utilización Convenios'!I$224)</f>
        <v>0</v>
      </c>
      <c r="J227" s="75">
        <f>COUNTIFS(Tabla2[Tipo de Movilidad],"Pasant*",Tabla2[Universidad KPIs],'Utilización Convenios'!$C227,Tabla2[Año],'Utilización Convenios'!I$224)</f>
        <v>0</v>
      </c>
      <c r="K227" s="128">
        <f>COUNTIFS(Tabla1[Tipo de Movilidad],"Pasant*",Tabla1[Universidad KPIs],$C227,Tabla1[Año de Movilidad],'Utilización Convenios'!K$224)</f>
        <v>0</v>
      </c>
      <c r="L227" s="75">
        <f>COUNTIFS(Tabla2[Tipo de Movilidad],"Pasant*",Tabla2[Universidad KPIs],'Utilización Convenios'!$C227,Tabla2[Año],'Utilización Convenios'!K$224)</f>
        <v>0</v>
      </c>
      <c r="M227" s="128">
        <f>COUNTIFS(Tabla1[Tipo de Movilidad],"Pasant*",Tabla1[Universidad KPIs],$C227,Tabla1[Año de Movilidad],'Utilización Convenios'!M$224)</f>
        <v>0</v>
      </c>
      <c r="N227" s="75">
        <f>COUNTIFS(Tabla2[Tipo de Movilidad],"Pasant*",Tabla2[Universidad KPIs],'Utilización Convenios'!$C227,Tabla2[Año],'Utilización Convenios'!M$224)</f>
        <v>1</v>
      </c>
      <c r="O227" s="128">
        <f>COUNTIFS(Tabla1[Tipo de Movilidad],"Pasant*",Tabla1[Universidad KPIs],$C227,Tabla1[Año de Movilidad],'Utilización Convenios'!O$224)</f>
        <v>0</v>
      </c>
      <c r="P227" s="75">
        <f>COUNTIFS(Tabla2[Tipo de Movilidad],"Pasant*",Tabla2[Universidad KPIs],'Utilización Convenios'!$C227,Tabla2[Año],'Utilización Convenios'!O$224)</f>
        <v>0</v>
      </c>
      <c r="Q227" s="82">
        <f t="shared" si="10"/>
        <v>0</v>
      </c>
      <c r="R227" s="49">
        <f t="shared" ref="R227:R240" si="11">SUMIF($E$143:$P$143,R$143,$E227:$P227)</f>
        <v>1</v>
      </c>
    </row>
    <row r="228" spans="3:18">
      <c r="C228" s="128" t="s">
        <v>198</v>
      </c>
      <c r="D228" s="139" t="s">
        <v>199</v>
      </c>
      <c r="E228" s="128">
        <f>COUNTIFS(Tabla1[Tipo de Movilidad],"Pasant*",Tabla1[Universidad KPIs],$C228,Tabla1[Año de Movilidad],'Utilización Convenios'!E$224)</f>
        <v>0</v>
      </c>
      <c r="F228" s="75">
        <f>COUNTIFS(Tabla2[Tipo de Movilidad],"Pasant*",Tabla2[Universidad KPIs],'Utilización Convenios'!$C228,Tabla2[Año],'Utilización Convenios'!E$224)</f>
        <v>0</v>
      </c>
      <c r="G228" s="128">
        <f>COUNTIFS(Tabla1[Tipo de Movilidad],"Pasant*",Tabla1[Universidad KPIs],$C228,Tabla1[Año de Movilidad],'Utilización Convenios'!G$224)</f>
        <v>0</v>
      </c>
      <c r="H228" s="75">
        <f>COUNTIFS(Tabla2[Tipo de Movilidad],"Pasant*",Tabla2[Universidad KPIs],'Utilización Convenios'!$C228,Tabla2[Año],'Utilización Convenios'!G$224)</f>
        <v>0</v>
      </c>
      <c r="I228" s="128">
        <f>COUNTIFS(Tabla1[Tipo de Movilidad],"Pasant*",Tabla1[Universidad KPIs],$C228,Tabla1[Año de Movilidad],'Utilización Convenios'!I$224)</f>
        <v>0</v>
      </c>
      <c r="J228" s="75">
        <f>COUNTIFS(Tabla2[Tipo de Movilidad],"Pasant*",Tabla2[Universidad KPIs],'Utilización Convenios'!$C228,Tabla2[Año],'Utilización Convenios'!I$224)</f>
        <v>0</v>
      </c>
      <c r="K228" s="128">
        <f>COUNTIFS(Tabla1[Tipo de Movilidad],"Pasant*",Tabla1[Universidad KPIs],$C228,Tabla1[Año de Movilidad],'Utilización Convenios'!K$224)</f>
        <v>0</v>
      </c>
      <c r="L228" s="75">
        <f>COUNTIFS(Tabla2[Tipo de Movilidad],"Pasant*",Tabla2[Universidad KPIs],'Utilización Convenios'!$C228,Tabla2[Año],'Utilización Convenios'!K$224)</f>
        <v>0</v>
      </c>
      <c r="M228" s="128">
        <f>COUNTIFS(Tabla1[Tipo de Movilidad],"Pasant*",Tabla1[Universidad KPIs],$C228,Tabla1[Año de Movilidad],'Utilización Convenios'!M$224)</f>
        <v>0</v>
      </c>
      <c r="N228" s="75">
        <f>COUNTIFS(Tabla2[Tipo de Movilidad],"Pasant*",Tabla2[Universidad KPIs],'Utilización Convenios'!$C228,Tabla2[Año],'Utilización Convenios'!M$224)</f>
        <v>0</v>
      </c>
      <c r="O228" s="128">
        <f>COUNTIFS(Tabla1[Tipo de Movilidad],"Pasant*",Tabla1[Universidad KPIs],$C228,Tabla1[Año de Movilidad],'Utilización Convenios'!O$224)</f>
        <v>1</v>
      </c>
      <c r="P228" s="75">
        <f>COUNTIFS(Tabla2[Tipo de Movilidad],"Pasant*",Tabla2[Universidad KPIs],'Utilización Convenios'!$C228,Tabla2[Año],'Utilización Convenios'!O$224)</f>
        <v>0</v>
      </c>
      <c r="Q228" s="82">
        <f t="shared" si="10"/>
        <v>1</v>
      </c>
      <c r="R228" s="49">
        <f t="shared" si="11"/>
        <v>0</v>
      </c>
    </row>
    <row r="229" spans="3:18">
      <c r="C229" s="129" t="s">
        <v>66</v>
      </c>
      <c r="D229" s="139" t="s">
        <v>200</v>
      </c>
      <c r="E229" s="128">
        <f>COUNTIFS(Tabla1[Tipo de Movilidad],"Pasant*",Tabla1[Universidad KPIs],$C229,Tabla1[Año de Movilidad],'Utilización Convenios'!E$224)</f>
        <v>0</v>
      </c>
      <c r="F229" s="75">
        <f>COUNTIFS(Tabla2[Tipo de Movilidad],"Pasant*",Tabla2[Universidad KPIs],'Utilización Convenios'!$C229,Tabla2[Año],'Utilización Convenios'!E$224)</f>
        <v>0</v>
      </c>
      <c r="G229" s="128">
        <f>COUNTIFS(Tabla1[Tipo de Movilidad],"Pasant*",Tabla1[Universidad KPIs],$C229,Tabla1[Año de Movilidad],'Utilización Convenios'!G$224)</f>
        <v>0</v>
      </c>
      <c r="H229" s="75">
        <f>COUNTIFS(Tabla2[Tipo de Movilidad],"Pasant*",Tabla2[Universidad KPIs],'Utilización Convenios'!$C229,Tabla2[Año],'Utilización Convenios'!G$224)</f>
        <v>0</v>
      </c>
      <c r="I229" s="128">
        <f>COUNTIFS(Tabla1[Tipo de Movilidad],"Pasant*",Tabla1[Universidad KPIs],$C229,Tabla1[Año de Movilidad],'Utilización Convenios'!I$224)</f>
        <v>0</v>
      </c>
      <c r="J229" s="75">
        <f>COUNTIFS(Tabla2[Tipo de Movilidad],"Pasant*",Tabla2[Universidad KPIs],'Utilización Convenios'!$C229,Tabla2[Año],'Utilización Convenios'!I$224)</f>
        <v>0</v>
      </c>
      <c r="K229" s="128">
        <f>COUNTIFS(Tabla1[Tipo de Movilidad],"Pasant*",Tabla1[Universidad KPIs],$C229,Tabla1[Año de Movilidad],'Utilización Convenios'!K$224)</f>
        <v>1</v>
      </c>
      <c r="L229" s="75">
        <f>COUNTIFS(Tabla2[Tipo de Movilidad],"Pasant*",Tabla2[Universidad KPIs],'Utilización Convenios'!$C229,Tabla2[Año],'Utilización Convenios'!K$224)</f>
        <v>0</v>
      </c>
      <c r="M229" s="128">
        <f>COUNTIFS(Tabla1[Tipo de Movilidad],"Pasant*",Tabla1[Universidad KPIs],$C229,Tabla1[Año de Movilidad],'Utilización Convenios'!M$224)</f>
        <v>0</v>
      </c>
      <c r="N229" s="75">
        <f>COUNTIFS(Tabla2[Tipo de Movilidad],"Pasant*",Tabla2[Universidad KPIs],'Utilización Convenios'!$C229,Tabla2[Año],'Utilización Convenios'!M$224)</f>
        <v>0</v>
      </c>
      <c r="O229" s="128">
        <f>COUNTIFS(Tabla1[Tipo de Movilidad],"Pasant*",Tabla1[Universidad KPIs],$C229,Tabla1[Año de Movilidad],'Utilización Convenios'!O$224)</f>
        <v>0</v>
      </c>
      <c r="P229" s="75">
        <f>COUNTIFS(Tabla2[Tipo de Movilidad],"Pasant*",Tabla2[Universidad KPIs],'Utilización Convenios'!$C229,Tabla2[Año],'Utilización Convenios'!O$224)</f>
        <v>0</v>
      </c>
      <c r="Q229" s="82">
        <f t="shared" si="10"/>
        <v>1</v>
      </c>
      <c r="R229" s="49">
        <f t="shared" si="11"/>
        <v>0</v>
      </c>
    </row>
    <row r="230" spans="3:18">
      <c r="C230" s="10" t="s">
        <v>201</v>
      </c>
      <c r="D230" s="139" t="s">
        <v>71</v>
      </c>
      <c r="E230" s="128">
        <f>COUNTIFS(Tabla1[Tipo de Movilidad],"Pasant*",Tabla1[Universidad KPIs],$C230,Tabla1[Año de Movilidad],'Utilización Convenios'!E$224)</f>
        <v>0</v>
      </c>
      <c r="F230" s="75">
        <f>COUNTIFS(Tabla2[Tipo de Movilidad],"Pasant*",Tabla2[Universidad KPIs],'Utilización Convenios'!$C230,Tabla2[Año],'Utilización Convenios'!E$224)</f>
        <v>0</v>
      </c>
      <c r="G230" s="128">
        <f>COUNTIFS(Tabla1[Tipo de Movilidad],"Pasant*",Tabla1[Universidad KPIs],$C230,Tabla1[Año de Movilidad],'Utilización Convenios'!G$224)</f>
        <v>0</v>
      </c>
      <c r="H230" s="75">
        <f>COUNTIFS(Tabla2[Tipo de Movilidad],"Pasant*",Tabla2[Universidad KPIs],'Utilización Convenios'!$C230,Tabla2[Año],'Utilización Convenios'!G$224)</f>
        <v>0</v>
      </c>
      <c r="I230" s="128">
        <f>COUNTIFS(Tabla1[Tipo de Movilidad],"Pasant*",Tabla1[Universidad KPIs],$C230,Tabla1[Año de Movilidad],'Utilización Convenios'!I$224)</f>
        <v>0</v>
      </c>
      <c r="J230" s="75">
        <f>COUNTIFS(Tabla2[Tipo de Movilidad],"Pasant*",Tabla2[Universidad KPIs],'Utilización Convenios'!$C230,Tabla2[Año],'Utilización Convenios'!I$224)</f>
        <v>0</v>
      </c>
      <c r="K230" s="128">
        <f>COUNTIFS(Tabla1[Tipo de Movilidad],"Pasant*",Tabla1[Universidad KPIs],$C230,Tabla1[Año de Movilidad],'Utilización Convenios'!K$224)</f>
        <v>0</v>
      </c>
      <c r="L230" s="75">
        <f>COUNTIFS(Tabla2[Tipo de Movilidad],"Pasant*",Tabla2[Universidad KPIs],'Utilización Convenios'!$C230,Tabla2[Año],'Utilización Convenios'!K$224)</f>
        <v>0</v>
      </c>
      <c r="M230" s="128">
        <f>COUNTIFS(Tabla1[Tipo de Movilidad],"Pasant*",Tabla1[Universidad KPIs],$C230,Tabla1[Año de Movilidad],'Utilización Convenios'!M$224)</f>
        <v>0</v>
      </c>
      <c r="N230" s="75">
        <f>COUNTIFS(Tabla2[Tipo de Movilidad],"Pasant*",Tabla2[Universidad KPIs],'Utilización Convenios'!$C230,Tabla2[Año],'Utilización Convenios'!M$224)</f>
        <v>1</v>
      </c>
      <c r="O230" s="128">
        <f>COUNTIFS(Tabla1[Tipo de Movilidad],"Pasant*",Tabla1[Universidad KPIs],$C230,Tabla1[Año de Movilidad],'Utilización Convenios'!O$224)</f>
        <v>0</v>
      </c>
      <c r="P230" s="75">
        <f>COUNTIFS(Tabla2[Tipo de Movilidad],"Pasant*",Tabla2[Universidad KPIs],'Utilización Convenios'!$C230,Tabla2[Año],'Utilización Convenios'!O$224)</f>
        <v>0</v>
      </c>
      <c r="Q230" s="82">
        <f t="shared" si="10"/>
        <v>0</v>
      </c>
      <c r="R230" s="49">
        <f t="shared" si="11"/>
        <v>1</v>
      </c>
    </row>
    <row r="231" spans="3:18">
      <c r="C231" s="10" t="s">
        <v>72</v>
      </c>
      <c r="D231" s="139" t="s">
        <v>202</v>
      </c>
      <c r="E231" s="128">
        <f>COUNTIFS(Tabla1[Tipo de Movilidad],"Pasant*",Tabla1[Universidad KPIs],$C231,Tabla1[Año de Movilidad],'Utilización Convenios'!E$224)</f>
        <v>0</v>
      </c>
      <c r="F231" s="75">
        <f>COUNTIFS(Tabla2[Tipo de Movilidad],"Pasant*",Tabla2[Universidad KPIs],'Utilización Convenios'!$C231,Tabla2[Año],'Utilización Convenios'!E$224)</f>
        <v>0</v>
      </c>
      <c r="G231" s="128">
        <f>COUNTIFS(Tabla1[Tipo de Movilidad],"Pasant*",Tabla1[Universidad KPIs],$C231,Tabla1[Año de Movilidad],'Utilización Convenios'!G$224)</f>
        <v>0</v>
      </c>
      <c r="H231" s="75">
        <f>COUNTIFS(Tabla2[Tipo de Movilidad],"Pasant*",Tabla2[Universidad KPIs],'Utilización Convenios'!$C231,Tabla2[Año],'Utilización Convenios'!G$224)</f>
        <v>0</v>
      </c>
      <c r="I231" s="128">
        <f>COUNTIFS(Tabla1[Tipo de Movilidad],"Pasant*",Tabla1[Universidad KPIs],$C231,Tabla1[Año de Movilidad],'Utilización Convenios'!I$224)</f>
        <v>0</v>
      </c>
      <c r="J231" s="75">
        <f>COUNTIFS(Tabla2[Tipo de Movilidad],"Pasant*",Tabla2[Universidad KPIs],'Utilización Convenios'!$C231,Tabla2[Año],'Utilización Convenios'!I$224)</f>
        <v>0</v>
      </c>
      <c r="K231" s="128">
        <f>COUNTIFS(Tabla1[Tipo de Movilidad],"Pasant*",Tabla1[Universidad KPIs],$C231,Tabla1[Año de Movilidad],'Utilización Convenios'!K$224)</f>
        <v>2</v>
      </c>
      <c r="L231" s="75">
        <f>COUNTIFS(Tabla2[Tipo de Movilidad],"Pasant*",Tabla2[Universidad KPIs],'Utilización Convenios'!$C231,Tabla2[Año],'Utilización Convenios'!K$224)</f>
        <v>0</v>
      </c>
      <c r="M231" s="128">
        <f>COUNTIFS(Tabla1[Tipo de Movilidad],"Pasant*",Tabla1[Universidad KPIs],$C231,Tabla1[Año de Movilidad],'Utilización Convenios'!M$224)</f>
        <v>1</v>
      </c>
      <c r="N231" s="75">
        <f>COUNTIFS(Tabla2[Tipo de Movilidad],"Pasant*",Tabla2[Universidad KPIs],'Utilización Convenios'!$C231,Tabla2[Año],'Utilización Convenios'!M$224)</f>
        <v>0</v>
      </c>
      <c r="O231" s="128">
        <f>COUNTIFS(Tabla1[Tipo de Movilidad],"Pasant*",Tabla1[Universidad KPIs],$C231,Tabla1[Año de Movilidad],'Utilización Convenios'!O$224)</f>
        <v>1</v>
      </c>
      <c r="P231" s="75">
        <f>COUNTIFS(Tabla2[Tipo de Movilidad],"Pasant*",Tabla2[Universidad KPIs],'Utilización Convenios'!$C231,Tabla2[Año],'Utilización Convenios'!O$224)</f>
        <v>0</v>
      </c>
      <c r="Q231" s="82">
        <f t="shared" si="10"/>
        <v>4</v>
      </c>
      <c r="R231" s="49">
        <f t="shared" si="11"/>
        <v>0</v>
      </c>
    </row>
    <row r="232" spans="3:18">
      <c r="C232" s="10" t="s">
        <v>73</v>
      </c>
      <c r="D232" s="139" t="s">
        <v>74</v>
      </c>
      <c r="E232" s="128">
        <f>COUNTIFS(Tabla1[Tipo de Movilidad],"Pasant*",Tabla1[Universidad KPIs],$C232,Tabla1[Año de Movilidad],'Utilización Convenios'!E$224)</f>
        <v>0</v>
      </c>
      <c r="F232" s="75">
        <f>COUNTIFS(Tabla2[Tipo de Movilidad],"Pasant*",Tabla2[Universidad KPIs],'Utilización Convenios'!$C232,Tabla2[Año],'Utilización Convenios'!E$224)</f>
        <v>0</v>
      </c>
      <c r="G232" s="128">
        <f>COUNTIFS(Tabla1[Tipo de Movilidad],"Pasant*",Tabla1[Universidad KPIs],$C232,Tabla1[Año de Movilidad],'Utilización Convenios'!G$224)</f>
        <v>0</v>
      </c>
      <c r="H232" s="75">
        <f>COUNTIFS(Tabla2[Tipo de Movilidad],"Pasant*",Tabla2[Universidad KPIs],'Utilización Convenios'!$C232,Tabla2[Año],'Utilización Convenios'!G$224)</f>
        <v>0</v>
      </c>
      <c r="I232" s="128">
        <f>COUNTIFS(Tabla1[Tipo de Movilidad],"Pasant*",Tabla1[Universidad KPIs],$C232,Tabla1[Año de Movilidad],'Utilización Convenios'!I$224)</f>
        <v>0</v>
      </c>
      <c r="J232" s="75">
        <f>COUNTIFS(Tabla2[Tipo de Movilidad],"Pasant*",Tabla2[Universidad KPIs],'Utilización Convenios'!$C232,Tabla2[Año],'Utilización Convenios'!I$224)</f>
        <v>0</v>
      </c>
      <c r="K232" s="128">
        <f>COUNTIFS(Tabla1[Tipo de Movilidad],"Pasant*",Tabla1[Universidad KPIs],$C232,Tabla1[Año de Movilidad],'Utilización Convenios'!K$224)</f>
        <v>0</v>
      </c>
      <c r="L232" s="75">
        <f>COUNTIFS(Tabla2[Tipo de Movilidad],"Pasant*",Tabla2[Universidad KPIs],'Utilización Convenios'!$C232,Tabla2[Año],'Utilización Convenios'!K$224)</f>
        <v>2</v>
      </c>
      <c r="M232" s="128">
        <f>COUNTIFS(Tabla1[Tipo de Movilidad],"Pasant*",Tabla1[Universidad KPIs],$C232,Tabla1[Año de Movilidad],'Utilización Convenios'!M$224)</f>
        <v>0</v>
      </c>
      <c r="N232" s="75">
        <f>COUNTIFS(Tabla2[Tipo de Movilidad],"Pasant*",Tabla2[Universidad KPIs],'Utilización Convenios'!$C232,Tabla2[Año],'Utilización Convenios'!M$224)</f>
        <v>0</v>
      </c>
      <c r="O232" s="128">
        <f>COUNTIFS(Tabla1[Tipo de Movilidad],"Pasant*",Tabla1[Universidad KPIs],$C232,Tabla1[Año de Movilidad],'Utilización Convenios'!O$224)</f>
        <v>0</v>
      </c>
      <c r="P232" s="75">
        <f>COUNTIFS(Tabla2[Tipo de Movilidad],"Pasant*",Tabla2[Universidad KPIs],'Utilización Convenios'!$C232,Tabla2[Año],'Utilización Convenios'!O$224)</f>
        <v>0</v>
      </c>
      <c r="Q232" s="82">
        <f t="shared" si="10"/>
        <v>0</v>
      </c>
      <c r="R232" s="49">
        <f t="shared" si="11"/>
        <v>2</v>
      </c>
    </row>
    <row r="233" spans="3:18">
      <c r="C233" s="128" t="s">
        <v>203</v>
      </c>
      <c r="D233" s="139" t="s">
        <v>204</v>
      </c>
      <c r="E233" s="128">
        <f>COUNTIFS(Tabla1[Tipo de Movilidad],"Pasant*",Tabla1[Universidad KPIs],$C233,Tabla1[Año de Movilidad],'Utilización Convenios'!E$224)</f>
        <v>0</v>
      </c>
      <c r="F233" s="75">
        <f>COUNTIFS(Tabla2[Tipo de Movilidad],"Pasant*",Tabla2[Universidad KPIs],'Utilización Convenios'!$C233,Tabla2[Año],'Utilización Convenios'!E$224)</f>
        <v>0</v>
      </c>
      <c r="G233" s="128">
        <f>COUNTIFS(Tabla1[Tipo de Movilidad],"Pasant*",Tabla1[Universidad KPIs],$C233,Tabla1[Año de Movilidad],'Utilización Convenios'!G$224)</f>
        <v>0</v>
      </c>
      <c r="H233" s="75">
        <f>COUNTIFS(Tabla2[Tipo de Movilidad],"Pasant*",Tabla2[Universidad KPIs],'Utilización Convenios'!$C233,Tabla2[Año],'Utilización Convenios'!G$224)</f>
        <v>0</v>
      </c>
      <c r="I233" s="128">
        <f>COUNTIFS(Tabla1[Tipo de Movilidad],"Pasant*",Tabla1[Universidad KPIs],$C233,Tabla1[Año de Movilidad],'Utilización Convenios'!I$224)</f>
        <v>0</v>
      </c>
      <c r="J233" s="75">
        <f>COUNTIFS(Tabla2[Tipo de Movilidad],"Pasant*",Tabla2[Universidad KPIs],'Utilización Convenios'!$C233,Tabla2[Año],'Utilización Convenios'!I$224)</f>
        <v>0</v>
      </c>
      <c r="K233" s="128">
        <f>COUNTIFS(Tabla1[Tipo de Movilidad],"Pasant*",Tabla1[Universidad KPIs],$C233,Tabla1[Año de Movilidad],'Utilización Convenios'!K$224)</f>
        <v>1</v>
      </c>
      <c r="L233" s="75">
        <f>COUNTIFS(Tabla2[Tipo de Movilidad],"Pasant*",Tabla2[Universidad KPIs],'Utilización Convenios'!$C233,Tabla2[Año],'Utilización Convenios'!K$224)</f>
        <v>0</v>
      </c>
      <c r="M233" s="128">
        <f>COUNTIFS(Tabla1[Tipo de Movilidad],"Pasant*",Tabla1[Universidad KPIs],$C233,Tabla1[Año de Movilidad],'Utilización Convenios'!M$224)</f>
        <v>0</v>
      </c>
      <c r="N233" s="75">
        <f>COUNTIFS(Tabla2[Tipo de Movilidad],"Pasant*",Tabla2[Universidad KPIs],'Utilización Convenios'!$C233,Tabla2[Año],'Utilización Convenios'!M$224)</f>
        <v>0</v>
      </c>
      <c r="O233" s="128">
        <f>COUNTIFS(Tabla1[Tipo de Movilidad],"Pasant*",Tabla1[Universidad KPIs],$C233,Tabla1[Año de Movilidad],'Utilización Convenios'!O$224)</f>
        <v>0</v>
      </c>
      <c r="P233" s="75">
        <f>COUNTIFS(Tabla2[Tipo de Movilidad],"Pasant*",Tabla2[Universidad KPIs],'Utilización Convenios'!$C233,Tabla2[Año],'Utilización Convenios'!O$224)</f>
        <v>0</v>
      </c>
      <c r="Q233" s="82">
        <f t="shared" si="10"/>
        <v>1</v>
      </c>
      <c r="R233" s="49">
        <f t="shared" si="11"/>
        <v>0</v>
      </c>
    </row>
    <row r="234" spans="3:18">
      <c r="C234" s="128" t="s">
        <v>205</v>
      </c>
      <c r="D234" s="139" t="s">
        <v>206</v>
      </c>
      <c r="E234" s="128">
        <f>COUNTIFS(Tabla1[Tipo de Movilidad],"Pasant*",Tabla1[Universidad KPIs],$C234,Tabla1[Año de Movilidad],'Utilización Convenios'!E$224)</f>
        <v>0</v>
      </c>
      <c r="F234" s="75">
        <f>COUNTIFS(Tabla2[Tipo de Movilidad],"Pasant*",Tabla2[Universidad KPIs],'Utilización Convenios'!$C234,Tabla2[Año],'Utilización Convenios'!E$224)</f>
        <v>0</v>
      </c>
      <c r="G234" s="128">
        <f>COUNTIFS(Tabla1[Tipo de Movilidad],"Pasant*",Tabla1[Universidad KPIs],$C234,Tabla1[Año de Movilidad],'Utilización Convenios'!G$224)</f>
        <v>0</v>
      </c>
      <c r="H234" s="75">
        <f>COUNTIFS(Tabla2[Tipo de Movilidad],"Pasant*",Tabla2[Universidad KPIs],'Utilización Convenios'!$C234,Tabla2[Año],'Utilización Convenios'!G$224)</f>
        <v>0</v>
      </c>
      <c r="I234" s="128">
        <f>COUNTIFS(Tabla1[Tipo de Movilidad],"Pasant*",Tabla1[Universidad KPIs],$C234,Tabla1[Año de Movilidad],'Utilización Convenios'!I$224)</f>
        <v>0</v>
      </c>
      <c r="J234" s="75">
        <f>COUNTIFS(Tabla2[Tipo de Movilidad],"Pasant*",Tabla2[Universidad KPIs],'Utilización Convenios'!$C234,Tabla2[Año],'Utilización Convenios'!I$224)</f>
        <v>0</v>
      </c>
      <c r="K234" s="128">
        <f>COUNTIFS(Tabla1[Tipo de Movilidad],"Pasant*",Tabla1[Universidad KPIs],$C234,Tabla1[Año de Movilidad],'Utilización Convenios'!K$224)</f>
        <v>1</v>
      </c>
      <c r="L234" s="75">
        <f>COUNTIFS(Tabla2[Tipo de Movilidad],"Pasant*",Tabla2[Universidad KPIs],'Utilización Convenios'!$C234,Tabla2[Año],'Utilización Convenios'!K$224)</f>
        <v>0</v>
      </c>
      <c r="M234" s="128">
        <f>COUNTIFS(Tabla1[Tipo de Movilidad],"Pasant*",Tabla1[Universidad KPIs],$C234,Tabla1[Año de Movilidad],'Utilización Convenios'!M$224)</f>
        <v>0</v>
      </c>
      <c r="N234" s="75">
        <f>COUNTIFS(Tabla2[Tipo de Movilidad],"Pasant*",Tabla2[Universidad KPIs],'Utilización Convenios'!$C234,Tabla2[Año],'Utilización Convenios'!M$224)</f>
        <v>0</v>
      </c>
      <c r="O234" s="128">
        <f>COUNTIFS(Tabla1[Tipo de Movilidad],"Pasant*",Tabla1[Universidad KPIs],$C234,Tabla1[Año de Movilidad],'Utilización Convenios'!O$224)</f>
        <v>0</v>
      </c>
      <c r="P234" s="75">
        <f>COUNTIFS(Tabla2[Tipo de Movilidad],"Pasant*",Tabla2[Universidad KPIs],'Utilización Convenios'!$C234,Tabla2[Año],'Utilización Convenios'!O$224)</f>
        <v>0</v>
      </c>
      <c r="Q234" s="82">
        <f t="shared" si="10"/>
        <v>1</v>
      </c>
      <c r="R234" s="49">
        <f t="shared" si="11"/>
        <v>0</v>
      </c>
    </row>
    <row r="235" spans="3:18">
      <c r="C235" s="128" t="s">
        <v>207</v>
      </c>
      <c r="D235" s="139" t="s">
        <v>208</v>
      </c>
      <c r="E235" s="128">
        <f>COUNTIFS(Tabla1[Tipo de Movilidad],"Pasant*",Tabla1[Universidad KPIs],$C235,Tabla1[Año de Movilidad],'Utilización Convenios'!E$224)</f>
        <v>0</v>
      </c>
      <c r="F235" s="75">
        <f>COUNTIFS(Tabla2[Tipo de Movilidad],"Pasant*",Tabla2[Universidad KPIs],'Utilización Convenios'!$C235,Tabla2[Año],'Utilización Convenios'!E$224)</f>
        <v>0</v>
      </c>
      <c r="G235" s="128">
        <f>COUNTIFS(Tabla1[Tipo de Movilidad],"Pasant*",Tabla1[Universidad KPIs],$C235,Tabla1[Año de Movilidad],'Utilización Convenios'!G$224)</f>
        <v>0</v>
      </c>
      <c r="H235" s="75">
        <f>COUNTIFS(Tabla2[Tipo de Movilidad],"Pasant*",Tabla2[Universidad KPIs],'Utilización Convenios'!$C235,Tabla2[Año],'Utilización Convenios'!G$224)</f>
        <v>0</v>
      </c>
      <c r="I235" s="128">
        <f>COUNTIFS(Tabla1[Tipo de Movilidad],"Pasant*",Tabla1[Universidad KPIs],$C235,Tabla1[Año de Movilidad],'Utilización Convenios'!I$224)</f>
        <v>0</v>
      </c>
      <c r="J235" s="75">
        <f>COUNTIFS(Tabla2[Tipo de Movilidad],"Pasant*",Tabla2[Universidad KPIs],'Utilización Convenios'!$C235,Tabla2[Año],'Utilización Convenios'!I$224)</f>
        <v>0</v>
      </c>
      <c r="K235" s="128">
        <f>COUNTIFS(Tabla1[Tipo de Movilidad],"Pasant*",Tabla1[Universidad KPIs],$C235,Tabla1[Año de Movilidad],'Utilización Convenios'!K$224)</f>
        <v>1</v>
      </c>
      <c r="L235" s="75">
        <f>COUNTIFS(Tabla2[Tipo de Movilidad],"Pasant*",Tabla2[Universidad KPIs],'Utilización Convenios'!$C235,Tabla2[Año],'Utilización Convenios'!K$224)</f>
        <v>0</v>
      </c>
      <c r="M235" s="128">
        <f>COUNTIFS(Tabla1[Tipo de Movilidad],"Pasant*",Tabla1[Universidad KPIs],$C235,Tabla1[Año de Movilidad],'Utilización Convenios'!M$224)</f>
        <v>0</v>
      </c>
      <c r="N235" s="75">
        <f>COUNTIFS(Tabla2[Tipo de Movilidad],"Pasant*",Tabla2[Universidad KPIs],'Utilización Convenios'!$C235,Tabla2[Año],'Utilización Convenios'!M$224)</f>
        <v>0</v>
      </c>
      <c r="O235" s="128">
        <f>COUNTIFS(Tabla1[Tipo de Movilidad],"Pasant*",Tabla1[Universidad KPIs],$C235,Tabla1[Año de Movilidad],'Utilización Convenios'!O$224)</f>
        <v>0</v>
      </c>
      <c r="P235" s="75">
        <f>COUNTIFS(Tabla2[Tipo de Movilidad],"Pasant*",Tabla2[Universidad KPIs],'Utilización Convenios'!$C235,Tabla2[Año],'Utilización Convenios'!O$224)</f>
        <v>0</v>
      </c>
      <c r="Q235" s="82">
        <f t="shared" si="10"/>
        <v>1</v>
      </c>
      <c r="R235" s="49">
        <f t="shared" si="11"/>
        <v>0</v>
      </c>
    </row>
    <row r="236" spans="3:18">
      <c r="C236" s="128" t="s">
        <v>209</v>
      </c>
      <c r="D236" s="139" t="s">
        <v>199</v>
      </c>
      <c r="E236" s="128">
        <f>COUNTIFS(Tabla1[Tipo de Movilidad],"Pasant*",Tabla1[Universidad KPIs],$C236,Tabla1[Año de Movilidad],'Utilización Convenios'!E$224)</f>
        <v>0</v>
      </c>
      <c r="F236" s="75">
        <f>COUNTIFS(Tabla2[Tipo de Movilidad],"Pasant*",Tabla2[Universidad KPIs],'Utilización Convenios'!$C236,Tabla2[Año],'Utilización Convenios'!E$224)</f>
        <v>0</v>
      </c>
      <c r="G236" s="128">
        <f>COUNTIFS(Tabla1[Tipo de Movilidad],"Pasant*",Tabla1[Universidad KPIs],$C236,Tabla1[Año de Movilidad],'Utilización Convenios'!G$224)</f>
        <v>0</v>
      </c>
      <c r="H236" s="75">
        <f>COUNTIFS(Tabla2[Tipo de Movilidad],"Pasant*",Tabla2[Universidad KPIs],'Utilización Convenios'!$C236,Tabla2[Año],'Utilización Convenios'!G$224)</f>
        <v>0</v>
      </c>
      <c r="I236" s="128">
        <f>COUNTIFS(Tabla1[Tipo de Movilidad],"Pasant*",Tabla1[Universidad KPIs],$C236,Tabla1[Año de Movilidad],'Utilización Convenios'!I$224)</f>
        <v>0</v>
      </c>
      <c r="J236" s="75">
        <f>COUNTIFS(Tabla2[Tipo de Movilidad],"Pasant*",Tabla2[Universidad KPIs],'Utilización Convenios'!$C236,Tabla2[Año],'Utilización Convenios'!I$224)</f>
        <v>0</v>
      </c>
      <c r="K236" s="128">
        <f>COUNTIFS(Tabla1[Tipo de Movilidad],"Pasant*",Tabla1[Universidad KPIs],$C236,Tabla1[Año de Movilidad],'Utilización Convenios'!K$224)</f>
        <v>0</v>
      </c>
      <c r="L236" s="75">
        <f>COUNTIFS(Tabla2[Tipo de Movilidad],"Pasant*",Tabla2[Universidad KPIs],'Utilización Convenios'!$C236,Tabla2[Año],'Utilización Convenios'!K$224)</f>
        <v>0</v>
      </c>
      <c r="M236" s="128">
        <f>COUNTIFS(Tabla1[Tipo de Movilidad],"Pasant*",Tabla1[Universidad KPIs],$C236,Tabla1[Año de Movilidad],'Utilización Convenios'!M$224)</f>
        <v>0</v>
      </c>
      <c r="N236" s="75">
        <f>COUNTIFS(Tabla2[Tipo de Movilidad],"Pasant*",Tabla2[Universidad KPIs],'Utilización Convenios'!$C236,Tabla2[Año],'Utilización Convenios'!M$224)</f>
        <v>0</v>
      </c>
      <c r="O236" s="128">
        <f>COUNTIFS(Tabla1[Tipo de Movilidad],"Pasant*",Tabla1[Universidad KPIs],$C236,Tabla1[Año de Movilidad],'Utilización Convenios'!O$224)</f>
        <v>1</v>
      </c>
      <c r="P236" s="75">
        <f>COUNTIFS(Tabla2[Tipo de Movilidad],"Pasant*",Tabla2[Universidad KPIs],'Utilización Convenios'!$C236,Tabla2[Año],'Utilización Convenios'!O$224)</f>
        <v>0</v>
      </c>
      <c r="Q236" s="82">
        <f t="shared" si="10"/>
        <v>1</v>
      </c>
      <c r="R236" s="49">
        <f t="shared" si="11"/>
        <v>0</v>
      </c>
    </row>
    <row r="237" spans="3:18">
      <c r="C237" s="129" t="s">
        <v>151</v>
      </c>
      <c r="D237" s="139" t="s">
        <v>202</v>
      </c>
      <c r="E237" s="128">
        <f>COUNTIFS(Tabla1[Tipo de Movilidad],"Pasant*",Tabla1[Universidad KPIs],$C237,Tabla1[Año de Movilidad],'Utilización Convenios'!E$224)</f>
        <v>0</v>
      </c>
      <c r="F237" s="75">
        <f>COUNTIFS(Tabla2[Tipo de Movilidad],"Pasant*",Tabla2[Universidad KPIs],'Utilización Convenios'!$C237,Tabla2[Año],'Utilización Convenios'!E$224)</f>
        <v>0</v>
      </c>
      <c r="G237" s="128">
        <f>COUNTIFS(Tabla1[Tipo de Movilidad],"Pasant*",Tabla1[Universidad KPIs],$C237,Tabla1[Año de Movilidad],'Utilización Convenios'!G$224)</f>
        <v>0</v>
      </c>
      <c r="H237" s="75">
        <f>COUNTIFS(Tabla2[Tipo de Movilidad],"Pasant*",Tabla2[Universidad KPIs],'Utilización Convenios'!$C237,Tabla2[Año],'Utilización Convenios'!G$224)</f>
        <v>0</v>
      </c>
      <c r="I237" s="128">
        <f>COUNTIFS(Tabla1[Tipo de Movilidad],"Pasant*",Tabla1[Universidad KPIs],$C237,Tabla1[Año de Movilidad],'Utilización Convenios'!I$224)</f>
        <v>0</v>
      </c>
      <c r="J237" s="75">
        <f>COUNTIFS(Tabla2[Tipo de Movilidad],"Pasant*",Tabla2[Universidad KPIs],'Utilización Convenios'!$C237,Tabla2[Año],'Utilización Convenios'!I$224)</f>
        <v>0</v>
      </c>
      <c r="K237" s="128">
        <f>COUNTIFS(Tabla1[Tipo de Movilidad],"Pasant*",Tabla1[Universidad KPIs],$C237,Tabla1[Año de Movilidad],'Utilización Convenios'!K$224)</f>
        <v>1</v>
      </c>
      <c r="L237" s="75">
        <f>COUNTIFS(Tabla2[Tipo de Movilidad],"Pasant*",Tabla2[Universidad KPIs],'Utilización Convenios'!$C237,Tabla2[Año],'Utilización Convenios'!K$224)</f>
        <v>0</v>
      </c>
      <c r="M237" s="128">
        <f>COUNTIFS(Tabla1[Tipo de Movilidad],"Pasant*",Tabla1[Universidad KPIs],$C237,Tabla1[Año de Movilidad],'Utilización Convenios'!M$224)</f>
        <v>0</v>
      </c>
      <c r="N237" s="75">
        <f>COUNTIFS(Tabla2[Tipo de Movilidad],"Pasant*",Tabla2[Universidad KPIs],'Utilización Convenios'!$C237,Tabla2[Año],'Utilización Convenios'!M$224)</f>
        <v>0</v>
      </c>
      <c r="O237" s="128">
        <f>COUNTIFS(Tabla1[Tipo de Movilidad],"Pasant*",Tabla1[Universidad KPIs],$C237,Tabla1[Año de Movilidad],'Utilización Convenios'!O$224)</f>
        <v>0</v>
      </c>
      <c r="P237" s="75">
        <f>COUNTIFS(Tabla2[Tipo de Movilidad],"Pasant*",Tabla2[Universidad KPIs],'Utilización Convenios'!$C237,Tabla2[Año],'Utilización Convenios'!O$224)</f>
        <v>0</v>
      </c>
      <c r="Q237" s="82">
        <f t="shared" si="10"/>
        <v>1</v>
      </c>
      <c r="R237" s="49">
        <f t="shared" si="11"/>
        <v>0</v>
      </c>
    </row>
    <row r="238" spans="3:18">
      <c r="C238" s="10" t="s">
        <v>210</v>
      </c>
      <c r="D238" s="139" t="s">
        <v>107</v>
      </c>
      <c r="E238" s="128">
        <f>COUNTIFS(Tabla1[Tipo de Movilidad],"Pasant*",Tabla1[Universidad KPIs],$C238,Tabla1[Año de Movilidad],'Utilización Convenios'!E$224)</f>
        <v>0</v>
      </c>
      <c r="F238" s="75">
        <f>COUNTIFS(Tabla2[Tipo de Movilidad],"Pasant*",Tabla2[Universidad KPIs],'Utilización Convenios'!$C238,Tabla2[Año],'Utilización Convenios'!E$224)</f>
        <v>0</v>
      </c>
      <c r="G238" s="128">
        <f>COUNTIFS(Tabla1[Tipo de Movilidad],"Pasant*",Tabla1[Universidad KPIs],$C238,Tabla1[Año de Movilidad],'Utilización Convenios'!G$224)</f>
        <v>0</v>
      </c>
      <c r="H238" s="75">
        <f>COUNTIFS(Tabla2[Tipo de Movilidad],"Pasant*",Tabla2[Universidad KPIs],'Utilización Convenios'!$C238,Tabla2[Año],'Utilización Convenios'!G$224)</f>
        <v>0</v>
      </c>
      <c r="I238" s="128">
        <f>COUNTIFS(Tabla1[Tipo de Movilidad],"Pasant*",Tabla1[Universidad KPIs],$C238,Tabla1[Año de Movilidad],'Utilización Convenios'!I$224)</f>
        <v>0</v>
      </c>
      <c r="J238" s="75">
        <f>COUNTIFS(Tabla2[Tipo de Movilidad],"Pasant*",Tabla2[Universidad KPIs],'Utilización Convenios'!$C238,Tabla2[Año],'Utilización Convenios'!I$224)</f>
        <v>0</v>
      </c>
      <c r="K238" s="128">
        <f>COUNTIFS(Tabla1[Tipo de Movilidad],"Pasant*",Tabla1[Universidad KPIs],$C238,Tabla1[Año de Movilidad],'Utilización Convenios'!K$224)</f>
        <v>0</v>
      </c>
      <c r="L238" s="75">
        <f>COUNTIFS(Tabla2[Tipo de Movilidad],"Pasant*",Tabla2[Universidad KPIs],'Utilización Convenios'!$C238,Tabla2[Año],'Utilización Convenios'!K$224)</f>
        <v>1</v>
      </c>
      <c r="M238" s="128">
        <f>COUNTIFS(Tabla1[Tipo de Movilidad],"Pasant*",Tabla1[Universidad KPIs],$C238,Tabla1[Año de Movilidad],'Utilización Convenios'!M$224)</f>
        <v>0</v>
      </c>
      <c r="N238" s="75">
        <f>COUNTIFS(Tabla2[Tipo de Movilidad],"Pasant*",Tabla2[Universidad KPIs],'Utilización Convenios'!$C238,Tabla2[Año],'Utilización Convenios'!M$224)</f>
        <v>0</v>
      </c>
      <c r="O238" s="128">
        <f>COUNTIFS(Tabla1[Tipo de Movilidad],"Pasant*",Tabla1[Universidad KPIs],$C238,Tabla1[Año de Movilidad],'Utilización Convenios'!O$224)</f>
        <v>0</v>
      </c>
      <c r="P238" s="75">
        <f>COUNTIFS(Tabla2[Tipo de Movilidad],"Pasant*",Tabla2[Universidad KPIs],'Utilización Convenios'!$C238,Tabla2[Año],'Utilización Convenios'!O$224)</f>
        <v>0</v>
      </c>
      <c r="Q238" s="82">
        <f t="shared" si="10"/>
        <v>0</v>
      </c>
      <c r="R238" s="49">
        <f t="shared" si="11"/>
        <v>1</v>
      </c>
    </row>
    <row r="239" spans="3:18">
      <c r="C239" s="128" t="s">
        <v>211</v>
      </c>
      <c r="D239" s="139" t="s">
        <v>212</v>
      </c>
      <c r="E239" s="128">
        <f>COUNTIFS(Tabla1[Tipo de Movilidad],"Pasant*",Tabla1[Universidad KPIs],$C239,Tabla1[Año de Movilidad],'Utilización Convenios'!E$224)</f>
        <v>0</v>
      </c>
      <c r="F239" s="75">
        <f>COUNTIFS(Tabla2[Tipo de Movilidad],"Pasant*",Tabla2[Universidad KPIs],'Utilización Convenios'!$C239,Tabla2[Año],'Utilización Convenios'!E$224)</f>
        <v>0</v>
      </c>
      <c r="G239" s="128">
        <f>COUNTIFS(Tabla1[Tipo de Movilidad],"Pasant*",Tabla1[Universidad KPIs],$C239,Tabla1[Año de Movilidad],'Utilización Convenios'!G$224)</f>
        <v>0</v>
      </c>
      <c r="H239" s="75">
        <f>COUNTIFS(Tabla2[Tipo de Movilidad],"Pasant*",Tabla2[Universidad KPIs],'Utilización Convenios'!$C239,Tabla2[Año],'Utilización Convenios'!G$224)</f>
        <v>0</v>
      </c>
      <c r="I239" s="128">
        <f>COUNTIFS(Tabla1[Tipo de Movilidad],"Pasant*",Tabla1[Universidad KPIs],$C239,Tabla1[Año de Movilidad],'Utilización Convenios'!I$224)</f>
        <v>0</v>
      </c>
      <c r="J239" s="75">
        <f>COUNTIFS(Tabla2[Tipo de Movilidad],"Pasant*",Tabla2[Universidad KPIs],'Utilización Convenios'!$C239,Tabla2[Año],'Utilización Convenios'!I$224)</f>
        <v>0</v>
      </c>
      <c r="K239" s="128">
        <f>COUNTIFS(Tabla1[Tipo de Movilidad],"Pasant*",Tabla1[Universidad KPIs],$C239,Tabla1[Año de Movilidad],'Utilización Convenios'!K$224)</f>
        <v>1</v>
      </c>
      <c r="L239" s="75">
        <f>COUNTIFS(Tabla2[Tipo de Movilidad],"Pasant*",Tabla2[Universidad KPIs],'Utilización Convenios'!$C239,Tabla2[Año],'Utilización Convenios'!K$224)</f>
        <v>0</v>
      </c>
      <c r="M239" s="128">
        <f>COUNTIFS(Tabla1[Tipo de Movilidad],"Pasant*",Tabla1[Universidad KPIs],$C239,Tabla1[Año de Movilidad],'Utilización Convenios'!M$224)</f>
        <v>0</v>
      </c>
      <c r="N239" s="75">
        <f>COUNTIFS(Tabla2[Tipo de Movilidad],"Pasant*",Tabla2[Universidad KPIs],'Utilización Convenios'!$C239,Tabla2[Año],'Utilización Convenios'!M$224)</f>
        <v>0</v>
      </c>
      <c r="O239" s="128">
        <f>COUNTIFS(Tabla1[Tipo de Movilidad],"Pasant*",Tabla1[Universidad KPIs],$C239,Tabla1[Año de Movilidad],'Utilización Convenios'!O$224)</f>
        <v>0</v>
      </c>
      <c r="P239" s="75">
        <f>COUNTIFS(Tabla2[Tipo de Movilidad],"Pasant*",Tabla2[Universidad KPIs],'Utilización Convenios'!$C239,Tabla2[Año],'Utilización Convenios'!O$224)</f>
        <v>0</v>
      </c>
      <c r="Q239" s="82">
        <f t="shared" si="10"/>
        <v>1</v>
      </c>
      <c r="R239" s="49">
        <f t="shared" si="11"/>
        <v>0</v>
      </c>
    </row>
    <row r="240" spans="3:18" ht="15.75" thickBot="1">
      <c r="C240" s="25" t="s">
        <v>100</v>
      </c>
      <c r="D240" s="140" t="s">
        <v>39</v>
      </c>
      <c r="E240" s="143">
        <f>COUNTIFS(Tabla1[Tipo de Movilidad],"Pasant*",Tabla1[Universidad KPIs],$C240,Tabla1[Año de Movilidad],'Utilización Convenios'!E$224)</f>
        <v>0</v>
      </c>
      <c r="F240" s="78">
        <f>COUNTIFS(Tabla2[Tipo de Movilidad],"Pasant*",Tabla2[Universidad KPIs],'Utilización Convenios'!$C240,Tabla2[Año],'Utilización Convenios'!E$224)</f>
        <v>0</v>
      </c>
      <c r="G240" s="143">
        <f>COUNTIFS(Tabla1[Tipo de Movilidad],"Pasant*",Tabla1[Universidad KPIs],$C240,Tabla1[Año de Movilidad],'Utilización Convenios'!G$224)</f>
        <v>0</v>
      </c>
      <c r="H240" s="78">
        <f>COUNTIFS(Tabla2[Tipo de Movilidad],"Pasant*",Tabla2[Universidad KPIs],'Utilización Convenios'!$C240,Tabla2[Año],'Utilización Convenios'!G$224)</f>
        <v>0</v>
      </c>
      <c r="I240" s="143">
        <f>COUNTIFS(Tabla1[Tipo de Movilidad],"Pasant*",Tabla1[Universidad KPIs],$C240,Tabla1[Año de Movilidad],'Utilización Convenios'!I$224)</f>
        <v>0</v>
      </c>
      <c r="J240" s="78">
        <f>COUNTIFS(Tabla2[Tipo de Movilidad],"Pasant*",Tabla2[Universidad KPIs],'Utilización Convenios'!$C240,Tabla2[Año],'Utilización Convenios'!I$224)</f>
        <v>0</v>
      </c>
      <c r="K240" s="143">
        <f>COUNTIFS(Tabla1[Tipo de Movilidad],"Pasant*",Tabla1[Universidad KPIs],$C240,Tabla1[Año de Movilidad],'Utilización Convenios'!K$224)</f>
        <v>0</v>
      </c>
      <c r="L240" s="78">
        <f>COUNTIFS(Tabla2[Tipo de Movilidad],"Pasant*",Tabla2[Universidad KPIs],'Utilización Convenios'!$C240,Tabla2[Año],'Utilización Convenios'!K$224)</f>
        <v>0</v>
      </c>
      <c r="M240" s="143">
        <f>COUNTIFS(Tabla1[Tipo de Movilidad],"Pasant*",Tabla1[Universidad KPIs],$C240,Tabla1[Año de Movilidad],'Utilización Convenios'!M$224)</f>
        <v>0</v>
      </c>
      <c r="N240" s="78">
        <f>COUNTIFS(Tabla2[Tipo de Movilidad],"Pasant*",Tabla2[Universidad KPIs],'Utilización Convenios'!$C240,Tabla2[Año],'Utilización Convenios'!M$224)</f>
        <v>1</v>
      </c>
      <c r="O240" s="143">
        <f>COUNTIFS(Tabla1[Tipo de Movilidad],"Pasant*",Tabla1[Universidad KPIs],$C240,Tabla1[Año de Movilidad],'Utilización Convenios'!O$224)</f>
        <v>0</v>
      </c>
      <c r="P240" s="78">
        <f>COUNTIFS(Tabla2[Tipo de Movilidad],"Pasant*",Tabla2[Universidad KPIs],'Utilización Convenios'!$C240,Tabla2[Año],'Utilización Convenios'!O$224)</f>
        <v>2</v>
      </c>
      <c r="Q240" s="83">
        <f t="shared" si="10"/>
        <v>0</v>
      </c>
      <c r="R240" s="144">
        <f t="shared" si="11"/>
        <v>3</v>
      </c>
    </row>
    <row r="241" spans="3:18" ht="15.75" thickBot="1">
      <c r="C241" s="168" t="s">
        <v>177</v>
      </c>
      <c r="D241" s="169"/>
      <c r="E241" s="141">
        <f>SUM(E226:E240)</f>
        <v>0</v>
      </c>
      <c r="F241" s="142">
        <f t="shared" ref="F241:P241" si="12">SUM(F226:F240)</f>
        <v>0</v>
      </c>
      <c r="G241" s="141">
        <f t="shared" si="12"/>
        <v>0</v>
      </c>
      <c r="H241" s="142">
        <f t="shared" si="12"/>
        <v>0</v>
      </c>
      <c r="I241" s="141">
        <f t="shared" si="12"/>
        <v>0</v>
      </c>
      <c r="J241" s="142">
        <f t="shared" si="12"/>
        <v>0</v>
      </c>
      <c r="K241" s="141">
        <f t="shared" si="12"/>
        <v>8</v>
      </c>
      <c r="L241" s="142">
        <f t="shared" si="12"/>
        <v>3</v>
      </c>
      <c r="M241" s="141">
        <f t="shared" si="12"/>
        <v>1</v>
      </c>
      <c r="N241" s="142">
        <f t="shared" si="12"/>
        <v>4</v>
      </c>
      <c r="O241" s="141">
        <f t="shared" si="12"/>
        <v>3</v>
      </c>
      <c r="P241" s="142">
        <f t="shared" si="12"/>
        <v>2</v>
      </c>
      <c r="Q241" s="45">
        <f t="shared" ref="Q241" si="13">SUM(Q226:Q240)</f>
        <v>12</v>
      </c>
      <c r="R241" s="46">
        <f t="shared" ref="R241" si="14">SUM(R226:R240)</f>
        <v>9</v>
      </c>
    </row>
  </sheetData>
  <sortState xmlns:xlrd2="http://schemas.microsoft.com/office/spreadsheetml/2017/richdata2" ref="C226:D240">
    <sortCondition ref="C226:C240"/>
  </sortState>
  <mergeCells count="40">
    <mergeCell ref="M125:N125"/>
    <mergeCell ref="Q125:R125"/>
    <mergeCell ref="B65:B122"/>
    <mergeCell ref="I142:J142"/>
    <mergeCell ref="K142:L142"/>
    <mergeCell ref="C123:D123"/>
    <mergeCell ref="M142:N142"/>
    <mergeCell ref="C136:D136"/>
    <mergeCell ref="B203:B219"/>
    <mergeCell ref="C220:D220"/>
    <mergeCell ref="E142:F142"/>
    <mergeCell ref="G142:H142"/>
    <mergeCell ref="C2:Q2"/>
    <mergeCell ref="E3:F3"/>
    <mergeCell ref="G3:H3"/>
    <mergeCell ref="I3:J3"/>
    <mergeCell ref="K3:L3"/>
    <mergeCell ref="M3:N3"/>
    <mergeCell ref="Q3:R3"/>
    <mergeCell ref="B5:B64"/>
    <mergeCell ref="B144:B202"/>
    <mergeCell ref="C141:Q141"/>
    <mergeCell ref="C131:D131"/>
    <mergeCell ref="E125:F125"/>
    <mergeCell ref="Q224:R224"/>
    <mergeCell ref="C241:D241"/>
    <mergeCell ref="C223:R223"/>
    <mergeCell ref="O3:P3"/>
    <mergeCell ref="O125:P125"/>
    <mergeCell ref="O142:P142"/>
    <mergeCell ref="E224:F224"/>
    <mergeCell ref="G224:H224"/>
    <mergeCell ref="I224:J224"/>
    <mergeCell ref="K224:L224"/>
    <mergeCell ref="M224:N224"/>
    <mergeCell ref="O224:P224"/>
    <mergeCell ref="Q142:R142"/>
    <mergeCell ref="G125:H125"/>
    <mergeCell ref="I125:J125"/>
    <mergeCell ref="K125:L12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C326-274A-413D-B971-E56DD060C425}">
  <dimension ref="A1:AE73"/>
  <sheetViews>
    <sheetView zoomScale="80" zoomScaleNormal="80" workbookViewId="0">
      <selection activeCell="D24" sqref="D24"/>
    </sheetView>
  </sheetViews>
  <sheetFormatPr baseColWidth="10" defaultRowHeight="15.75"/>
  <cols>
    <col min="1" max="1" width="5.140625" style="155" customWidth="1"/>
    <col min="2" max="2" width="35.28515625" style="156" customWidth="1"/>
    <col min="3" max="3" width="19.140625" style="155" bestFit="1" customWidth="1"/>
    <col min="4" max="4" width="19.140625" style="155" customWidth="1"/>
    <col min="5" max="5" width="22" style="155" customWidth="1"/>
    <col min="6" max="6" width="16.42578125" style="155" bestFit="1" customWidth="1"/>
    <col min="7" max="7" width="10.28515625" style="155" bestFit="1" customWidth="1"/>
    <col min="8" max="10" width="10.28515625" style="155" customWidth="1"/>
    <col min="11" max="11" width="6.85546875" style="155" bestFit="1" customWidth="1"/>
    <col min="12" max="12" width="16.7109375" style="155" customWidth="1"/>
    <col min="13" max="13" width="17.42578125" style="155" customWidth="1"/>
    <col min="14" max="14" width="7.140625" style="155" bestFit="1" customWidth="1"/>
    <col min="15" max="15" width="33.42578125" style="155" bestFit="1" customWidth="1"/>
    <col min="16" max="16" width="17.140625" style="155" customWidth="1"/>
    <col min="17" max="19" width="16.28515625" style="155" customWidth="1"/>
    <col min="20" max="20" width="10.42578125" style="155" customWidth="1"/>
    <col min="21" max="21" width="38.7109375" style="156" customWidth="1"/>
    <col min="22" max="22" width="38.7109375" style="155" customWidth="1"/>
    <col min="23" max="23" width="26.85546875" style="155" customWidth="1"/>
    <col min="24" max="24" width="17.85546875" style="155" customWidth="1"/>
    <col min="25" max="25" width="26.42578125" style="155" customWidth="1"/>
    <col min="26" max="26" width="25.28515625" style="157" customWidth="1"/>
    <col min="27" max="27" width="50.7109375" style="155" customWidth="1"/>
    <col min="28" max="28" width="16.7109375" style="155" customWidth="1"/>
    <col min="29" max="29" width="25.5703125" style="155" customWidth="1"/>
    <col min="30" max="30" width="19.42578125" style="155" customWidth="1"/>
    <col min="31" max="31" width="20.140625" style="155" customWidth="1"/>
    <col min="32" max="16384" width="11.42578125" style="155"/>
  </cols>
  <sheetData>
    <row r="1" spans="1:31">
      <c r="A1" s="155" t="s">
        <v>4772</v>
      </c>
      <c r="B1" s="156" t="s">
        <v>4748</v>
      </c>
      <c r="C1" s="155" t="s">
        <v>4749</v>
      </c>
      <c r="D1" s="155" t="s">
        <v>4771</v>
      </c>
      <c r="E1" s="155" t="s">
        <v>4753</v>
      </c>
      <c r="F1" s="155" t="s">
        <v>4263</v>
      </c>
      <c r="G1" s="155" t="s">
        <v>4751</v>
      </c>
      <c r="H1" s="155" t="s">
        <v>5037</v>
      </c>
      <c r="I1" s="155" t="s">
        <v>5038</v>
      </c>
      <c r="J1" s="155" t="s">
        <v>5039</v>
      </c>
      <c r="K1" s="155" t="s">
        <v>4770</v>
      </c>
      <c r="L1" s="155" t="s">
        <v>446</v>
      </c>
      <c r="M1" s="155" t="s">
        <v>5021</v>
      </c>
      <c r="N1" s="155" t="s">
        <v>4762</v>
      </c>
      <c r="O1" s="155" t="s">
        <v>4750</v>
      </c>
      <c r="P1" s="155" t="s">
        <v>5022</v>
      </c>
      <c r="Q1" s="155" t="s">
        <v>4827</v>
      </c>
      <c r="R1" s="155" t="s">
        <v>4828</v>
      </c>
      <c r="S1" s="155" t="s">
        <v>4829</v>
      </c>
      <c r="T1" s="155" t="s">
        <v>4763</v>
      </c>
      <c r="U1" s="156" t="s">
        <v>4764</v>
      </c>
      <c r="V1" s="155" t="s">
        <v>5023</v>
      </c>
      <c r="W1" s="155" t="s">
        <v>5024</v>
      </c>
      <c r="X1" s="155" t="s">
        <v>4765</v>
      </c>
      <c r="Y1" s="155" t="s">
        <v>5025</v>
      </c>
      <c r="Z1" s="157" t="s">
        <v>5026</v>
      </c>
      <c r="AA1" s="155" t="s">
        <v>5027</v>
      </c>
      <c r="AB1" s="155" t="s">
        <v>4766</v>
      </c>
      <c r="AC1" s="155" t="s">
        <v>5028</v>
      </c>
      <c r="AD1" s="155" t="s">
        <v>5029</v>
      </c>
      <c r="AE1" s="155" t="s">
        <v>4767</v>
      </c>
    </row>
    <row r="2" spans="1:31" ht="31.5">
      <c r="A2" s="155">
        <v>1</v>
      </c>
      <c r="B2" s="156" t="s">
        <v>34</v>
      </c>
      <c r="C2" s="155" t="s">
        <v>199</v>
      </c>
      <c r="D2" s="155" t="s">
        <v>4773</v>
      </c>
      <c r="E2" s="158" t="s">
        <v>4769</v>
      </c>
      <c r="F2" s="158"/>
      <c r="G2" s="158"/>
      <c r="H2" s="158"/>
      <c r="I2" s="158"/>
      <c r="J2" s="158"/>
      <c r="K2" s="158"/>
      <c r="L2" s="158" t="s">
        <v>4769</v>
      </c>
      <c r="M2" s="158"/>
      <c r="N2" s="158"/>
      <c r="O2" s="155" t="s">
        <v>4758</v>
      </c>
      <c r="P2" s="155" t="s">
        <v>4768</v>
      </c>
      <c r="Q2" s="158" t="s">
        <v>4752</v>
      </c>
      <c r="R2" s="158" t="s">
        <v>470</v>
      </c>
      <c r="S2" s="158" t="s">
        <v>470</v>
      </c>
      <c r="T2" s="155" t="str">
        <f ca="1">IF(Tabla15[[#This Row],[FECHA FIN CONVENIO]]&gt;TODAY(),"Vigente","Vencido")</f>
        <v>Vencido</v>
      </c>
      <c r="V2" s="159">
        <v>35311</v>
      </c>
      <c r="W2" s="159">
        <v>35311</v>
      </c>
      <c r="X2" s="157"/>
      <c r="Z2" s="157">
        <v>35065</v>
      </c>
      <c r="AA2" s="155" t="s">
        <v>4832</v>
      </c>
      <c r="AD2" s="155" t="s">
        <v>4834</v>
      </c>
      <c r="AE2" s="155" t="s">
        <v>4835</v>
      </c>
    </row>
    <row r="3" spans="1:31" ht="31.5">
      <c r="A3" s="155">
        <v>2</v>
      </c>
      <c r="B3" s="156" t="s">
        <v>34</v>
      </c>
      <c r="C3" s="155" t="s">
        <v>199</v>
      </c>
      <c r="D3" s="155" t="s">
        <v>4773</v>
      </c>
      <c r="E3" s="158" t="s">
        <v>4768</v>
      </c>
      <c r="F3" s="158" t="s">
        <v>4752</v>
      </c>
      <c r="G3" s="158" t="s">
        <v>4752</v>
      </c>
      <c r="H3" s="158"/>
      <c r="I3" s="158"/>
      <c r="J3" s="158"/>
      <c r="K3" s="158"/>
      <c r="L3" s="158" t="s">
        <v>4769</v>
      </c>
      <c r="M3" s="158"/>
      <c r="N3" s="158"/>
      <c r="O3" s="155" t="s">
        <v>4753</v>
      </c>
      <c r="P3" s="155" t="s">
        <v>4768</v>
      </c>
      <c r="Q3" s="158" t="s">
        <v>4752</v>
      </c>
      <c r="R3" s="158" t="s">
        <v>470</v>
      </c>
      <c r="S3" s="158" t="s">
        <v>470</v>
      </c>
      <c r="T3" s="155" t="str">
        <f ca="1">IF(Tabla15[[#This Row],[FECHA FIN CONVENIO]]&gt;TODAY(),"Vigente","Vencido")</f>
        <v>Vigente</v>
      </c>
      <c r="U3" s="156" t="s">
        <v>5030</v>
      </c>
      <c r="V3" s="157">
        <v>35065</v>
      </c>
      <c r="W3" s="157" t="s">
        <v>4830</v>
      </c>
      <c r="X3" s="157" t="s">
        <v>4831</v>
      </c>
      <c r="Y3" s="155">
        <v>3</v>
      </c>
      <c r="Z3" s="157">
        <v>46118</v>
      </c>
      <c r="AA3" s="155" t="s">
        <v>4832</v>
      </c>
      <c r="AB3" s="155" t="s">
        <v>4833</v>
      </c>
      <c r="AD3" s="155" t="s">
        <v>4834</v>
      </c>
      <c r="AE3" s="155" t="s">
        <v>4835</v>
      </c>
    </row>
    <row r="4" spans="1:31" ht="31.5">
      <c r="A4" s="155">
        <v>3</v>
      </c>
      <c r="B4" s="156" t="s">
        <v>34</v>
      </c>
      <c r="C4" s="155" t="s">
        <v>199</v>
      </c>
      <c r="D4" s="155" t="s">
        <v>4773</v>
      </c>
      <c r="E4" s="158" t="s">
        <v>4769</v>
      </c>
      <c r="F4" s="158"/>
      <c r="G4" s="158"/>
      <c r="H4" s="158"/>
      <c r="I4" s="158"/>
      <c r="J4" s="158"/>
      <c r="K4" s="158"/>
      <c r="L4" s="158" t="s">
        <v>4768</v>
      </c>
      <c r="M4" s="158" t="s">
        <v>4752</v>
      </c>
      <c r="N4" s="158" t="s">
        <v>4752</v>
      </c>
      <c r="O4" s="155" t="s">
        <v>446</v>
      </c>
      <c r="P4" s="155" t="s">
        <v>4768</v>
      </c>
      <c r="Q4" s="158" t="s">
        <v>4752</v>
      </c>
      <c r="R4" s="158" t="s">
        <v>470</v>
      </c>
      <c r="S4" s="158" t="s">
        <v>470</v>
      </c>
      <c r="T4" s="155" t="str">
        <f ca="1">IF(Tabla15[[#This Row],[FECHA FIN CONVENIO]]&gt;TODAY(),"Vigente","Vencido")</f>
        <v>Vigente</v>
      </c>
      <c r="U4" s="156" t="s">
        <v>5031</v>
      </c>
      <c r="V4" s="157">
        <v>36565</v>
      </c>
      <c r="W4" s="157" t="s">
        <v>4841</v>
      </c>
      <c r="X4" s="155">
        <v>0</v>
      </c>
      <c r="Y4" s="155">
        <v>3</v>
      </c>
      <c r="Z4" s="157">
        <v>46118</v>
      </c>
      <c r="AA4" s="155" t="s">
        <v>4842</v>
      </c>
      <c r="AB4" s="155" t="s">
        <v>4843</v>
      </c>
      <c r="AC4" s="155">
        <v>0</v>
      </c>
      <c r="AD4" s="155" t="s">
        <v>4834</v>
      </c>
      <c r="AE4" s="155" t="s">
        <v>4835</v>
      </c>
    </row>
    <row r="5" spans="1:31">
      <c r="A5" s="155">
        <v>4</v>
      </c>
      <c r="B5" s="156" t="s">
        <v>36</v>
      </c>
      <c r="C5" s="155" t="s">
        <v>37</v>
      </c>
      <c r="D5" s="155" t="s">
        <v>4774</v>
      </c>
      <c r="E5" s="158" t="s">
        <v>4768</v>
      </c>
      <c r="F5" s="158" t="s">
        <v>4752</v>
      </c>
      <c r="G5" s="158" t="s">
        <v>4752</v>
      </c>
      <c r="H5" s="158"/>
      <c r="I5" s="158"/>
      <c r="J5" s="158"/>
      <c r="K5" s="158"/>
      <c r="L5" s="158" t="s">
        <v>4769</v>
      </c>
      <c r="M5" s="158"/>
      <c r="N5" s="158"/>
      <c r="O5" s="155" t="s">
        <v>4753</v>
      </c>
      <c r="P5" s="155" t="s">
        <v>4768</v>
      </c>
      <c r="Q5" s="158" t="s">
        <v>4752</v>
      </c>
      <c r="R5" s="158" t="s">
        <v>4752</v>
      </c>
      <c r="S5" s="158" t="s">
        <v>4752</v>
      </c>
      <c r="T5" s="155" t="str">
        <f ca="1">IF(Tabla15[[#This Row],[FECHA FIN CONVENIO]]&gt;TODAY(),"Vigente","Vencido")</f>
        <v>Vigente</v>
      </c>
      <c r="U5" s="156" t="s">
        <v>4844</v>
      </c>
      <c r="V5" s="157">
        <v>43282</v>
      </c>
      <c r="W5" s="157">
        <v>43282</v>
      </c>
      <c r="X5" s="155">
        <v>0</v>
      </c>
      <c r="Y5" s="155">
        <v>5</v>
      </c>
      <c r="Z5" s="157">
        <v>46784</v>
      </c>
      <c r="AA5" s="155" t="s">
        <v>4845</v>
      </c>
      <c r="AB5" s="155">
        <v>0</v>
      </c>
      <c r="AC5" s="155" t="s">
        <v>4846</v>
      </c>
      <c r="AD5" s="155" t="s">
        <v>4834</v>
      </c>
      <c r="AE5" s="155" t="s">
        <v>4847</v>
      </c>
    </row>
    <row r="6" spans="1:31">
      <c r="A6" s="155">
        <v>5</v>
      </c>
      <c r="B6" s="156" t="s">
        <v>38</v>
      </c>
      <c r="C6" s="155" t="s">
        <v>39</v>
      </c>
      <c r="D6" s="155" t="s">
        <v>4775</v>
      </c>
      <c r="E6" s="158" t="s">
        <v>4769</v>
      </c>
      <c r="F6" s="158"/>
      <c r="G6" s="158"/>
      <c r="H6" s="158"/>
      <c r="I6" s="158"/>
      <c r="J6" s="158"/>
      <c r="K6" s="158"/>
      <c r="L6" s="158" t="s">
        <v>4769</v>
      </c>
      <c r="M6" s="158"/>
      <c r="N6" s="158"/>
      <c r="O6" s="155" t="s">
        <v>4758</v>
      </c>
      <c r="P6" s="155" t="s">
        <v>4768</v>
      </c>
      <c r="Q6" s="158" t="s">
        <v>4752</v>
      </c>
      <c r="R6" s="158" t="s">
        <v>4752</v>
      </c>
      <c r="S6" s="158" t="s">
        <v>4752</v>
      </c>
      <c r="T6" s="155" t="str">
        <f ca="1">IF(Tabla15[[#This Row],[FECHA FIN CONVENIO]]&gt;TODAY(),"Vigente","Vencido")</f>
        <v>Vencido</v>
      </c>
      <c r="V6" s="157">
        <v>40294</v>
      </c>
      <c r="W6" s="157">
        <v>40294</v>
      </c>
      <c r="X6" s="157">
        <v>42313</v>
      </c>
      <c r="Z6" s="159">
        <v>43089</v>
      </c>
      <c r="AD6" s="155" t="s">
        <v>4834</v>
      </c>
      <c r="AE6" s="155" t="s">
        <v>4852</v>
      </c>
    </row>
    <row r="7" spans="1:31" ht="47.25">
      <c r="A7" s="155">
        <v>6</v>
      </c>
      <c r="B7" s="156" t="s">
        <v>38</v>
      </c>
      <c r="C7" s="155" t="s">
        <v>39</v>
      </c>
      <c r="D7" s="155" t="s">
        <v>4775</v>
      </c>
      <c r="E7" s="158" t="s">
        <v>4768</v>
      </c>
      <c r="F7" s="158" t="s">
        <v>4752</v>
      </c>
      <c r="G7" s="158" t="s">
        <v>4752</v>
      </c>
      <c r="H7" s="158"/>
      <c r="I7" s="158"/>
      <c r="J7" s="158"/>
      <c r="K7" s="158"/>
      <c r="L7" s="158" t="s">
        <v>4769</v>
      </c>
      <c r="M7" s="158"/>
      <c r="N7" s="158"/>
      <c r="O7" s="155" t="s">
        <v>4753</v>
      </c>
      <c r="P7" s="155" t="s">
        <v>4768</v>
      </c>
      <c r="Q7" s="158" t="s">
        <v>4752</v>
      </c>
      <c r="R7" s="158" t="s">
        <v>4752</v>
      </c>
      <c r="S7" s="158" t="s">
        <v>4752</v>
      </c>
      <c r="T7" s="155" t="str">
        <f ca="1">IF(Tabla15[[#This Row],[FECHA FIN CONVENIO]]&gt;TODAY(),"Vigente","Vencido")</f>
        <v>Vigente</v>
      </c>
      <c r="U7" s="156" t="s">
        <v>4848</v>
      </c>
      <c r="V7" s="157">
        <v>41051</v>
      </c>
      <c r="W7" s="157">
        <v>41051</v>
      </c>
      <c r="X7" s="159" t="s">
        <v>5032</v>
      </c>
      <c r="Y7" s="155">
        <v>5</v>
      </c>
      <c r="Z7" s="157">
        <v>46609</v>
      </c>
      <c r="AA7" s="155" t="s">
        <v>4849</v>
      </c>
      <c r="AB7" s="155" t="s">
        <v>4850</v>
      </c>
      <c r="AC7" s="155" t="s">
        <v>4851</v>
      </c>
      <c r="AD7" s="155" t="s">
        <v>4834</v>
      </c>
      <c r="AE7" s="155" t="s">
        <v>4852</v>
      </c>
    </row>
    <row r="8" spans="1:31" ht="31.5">
      <c r="A8" s="155">
        <v>7</v>
      </c>
      <c r="B8" s="156" t="s">
        <v>109</v>
      </c>
      <c r="C8" s="155" t="s">
        <v>110</v>
      </c>
      <c r="D8" s="155" t="s">
        <v>4776</v>
      </c>
      <c r="E8" s="158" t="s">
        <v>4768</v>
      </c>
      <c r="F8" s="158"/>
      <c r="G8" s="158" t="s">
        <v>4752</v>
      </c>
      <c r="H8" s="158" t="s">
        <v>4752</v>
      </c>
      <c r="I8" s="158"/>
      <c r="J8" s="158"/>
      <c r="K8" s="158"/>
      <c r="L8" s="158" t="s">
        <v>4769</v>
      </c>
      <c r="M8" s="158"/>
      <c r="N8" s="158"/>
      <c r="O8" s="155" t="s">
        <v>4753</v>
      </c>
      <c r="P8" s="155" t="s">
        <v>4768</v>
      </c>
      <c r="Q8" s="158" t="s">
        <v>470</v>
      </c>
      <c r="R8" s="158" t="s">
        <v>4752</v>
      </c>
      <c r="S8" s="158" t="s">
        <v>470</v>
      </c>
      <c r="T8" s="155" t="str">
        <f ca="1">IF(Tabla15[[#This Row],[FECHA FIN CONVENIO]]&gt;TODAY(),"Vigente","Vencido")</f>
        <v>Vigente</v>
      </c>
      <c r="U8" s="156" t="s">
        <v>4853</v>
      </c>
      <c r="V8" s="157">
        <v>39036</v>
      </c>
      <c r="W8" s="157" t="s">
        <v>4854</v>
      </c>
      <c r="X8" s="157" t="s">
        <v>4855</v>
      </c>
      <c r="Y8" s="155">
        <v>2</v>
      </c>
      <c r="Z8" s="157">
        <v>46517</v>
      </c>
      <c r="AA8" s="155" t="s">
        <v>4856</v>
      </c>
      <c r="AB8" s="155" t="s">
        <v>4857</v>
      </c>
      <c r="AC8" s="155">
        <v>0</v>
      </c>
      <c r="AD8" s="155" t="s">
        <v>4858</v>
      </c>
      <c r="AE8" s="155" t="s">
        <v>4859</v>
      </c>
    </row>
    <row r="9" spans="1:31" ht="47.25">
      <c r="A9" s="155">
        <v>8</v>
      </c>
      <c r="B9" s="156" t="s">
        <v>40</v>
      </c>
      <c r="C9" s="155" t="s">
        <v>41</v>
      </c>
      <c r="D9" s="155" t="s">
        <v>4777</v>
      </c>
      <c r="E9" s="158" t="s">
        <v>4768</v>
      </c>
      <c r="F9" s="158" t="s">
        <v>4752</v>
      </c>
      <c r="G9" s="158" t="s">
        <v>4752</v>
      </c>
      <c r="H9" s="158" t="s">
        <v>4752</v>
      </c>
      <c r="I9" s="158" t="s">
        <v>4752</v>
      </c>
      <c r="J9" s="158" t="s">
        <v>4752</v>
      </c>
      <c r="K9" s="158"/>
      <c r="L9" s="158" t="s">
        <v>4769</v>
      </c>
      <c r="M9" s="158"/>
      <c r="N9" s="158"/>
      <c r="O9" s="155" t="s">
        <v>4753</v>
      </c>
      <c r="P9" s="155" t="s">
        <v>4768</v>
      </c>
      <c r="Q9" s="158" t="s">
        <v>4752</v>
      </c>
      <c r="R9" s="158" t="s">
        <v>4752</v>
      </c>
      <c r="S9" s="158" t="s">
        <v>4752</v>
      </c>
      <c r="T9" s="155" t="str">
        <f ca="1">IF(Tabla15[[#This Row],[FECHA FIN CONVENIO]]&gt;TODAY(),"Vigente","Vencido")</f>
        <v>Vigente</v>
      </c>
      <c r="U9" s="156" t="s">
        <v>4860</v>
      </c>
      <c r="V9" s="157">
        <v>39650</v>
      </c>
      <c r="W9" s="157">
        <v>39650</v>
      </c>
      <c r="X9" s="157" t="s">
        <v>4861</v>
      </c>
      <c r="Y9" s="155">
        <v>5</v>
      </c>
      <c r="Z9" s="157">
        <v>46259</v>
      </c>
      <c r="AA9" s="155" t="s">
        <v>4862</v>
      </c>
      <c r="AB9" s="155">
        <v>0</v>
      </c>
      <c r="AC9" s="155">
        <v>0</v>
      </c>
      <c r="AD9" s="155" t="s">
        <v>4858</v>
      </c>
      <c r="AE9" s="155" t="s">
        <v>4863</v>
      </c>
    </row>
    <row r="10" spans="1:31" ht="31.5">
      <c r="A10" s="155">
        <v>9</v>
      </c>
      <c r="B10" s="156" t="s">
        <v>42</v>
      </c>
      <c r="C10" s="155" t="s">
        <v>43</v>
      </c>
      <c r="D10" s="155" t="s">
        <v>4778</v>
      </c>
      <c r="E10" s="158" t="s">
        <v>4768</v>
      </c>
      <c r="F10" s="158" t="s">
        <v>4752</v>
      </c>
      <c r="G10" s="158"/>
      <c r="H10" s="158"/>
      <c r="I10" s="158"/>
      <c r="J10" s="158"/>
      <c r="K10" s="158"/>
      <c r="L10" s="158" t="s">
        <v>4769</v>
      </c>
      <c r="M10" s="158"/>
      <c r="N10" s="158"/>
      <c r="O10" s="155" t="s">
        <v>4753</v>
      </c>
      <c r="P10" s="155" t="s">
        <v>4768</v>
      </c>
      <c r="Q10" s="158" t="s">
        <v>4752</v>
      </c>
      <c r="R10" s="158" t="s">
        <v>4752</v>
      </c>
      <c r="S10" s="158" t="s">
        <v>4752</v>
      </c>
      <c r="T10" s="155" t="str">
        <f ca="1">IF(Tabla15[[#This Row],[FECHA FIN CONVENIO]]&gt;TODAY(),"Vigente","Vencido")</f>
        <v>Vigente</v>
      </c>
      <c r="U10" s="156" t="s">
        <v>4864</v>
      </c>
      <c r="V10" s="157">
        <v>41913</v>
      </c>
      <c r="W10" s="157">
        <v>41913</v>
      </c>
      <c r="X10" s="157" t="s">
        <v>4837</v>
      </c>
      <c r="Y10" s="155">
        <v>5</v>
      </c>
      <c r="Z10" s="157">
        <v>46456</v>
      </c>
      <c r="AA10" s="155" t="s">
        <v>4865</v>
      </c>
      <c r="AB10" s="155">
        <v>0</v>
      </c>
      <c r="AC10" s="155" t="s">
        <v>4866</v>
      </c>
      <c r="AD10" s="155" t="s">
        <v>4858</v>
      </c>
      <c r="AE10" s="155" t="s">
        <v>4859</v>
      </c>
    </row>
    <row r="11" spans="1:31" ht="47.25">
      <c r="A11" s="155">
        <v>10</v>
      </c>
      <c r="B11" s="156" t="s">
        <v>44</v>
      </c>
      <c r="C11" s="155" t="s">
        <v>45</v>
      </c>
      <c r="D11" s="155" t="s">
        <v>4779</v>
      </c>
      <c r="E11" s="158" t="s">
        <v>4768</v>
      </c>
      <c r="F11" s="158" t="s">
        <v>4752</v>
      </c>
      <c r="G11" s="158" t="s">
        <v>4752</v>
      </c>
      <c r="H11" s="158"/>
      <c r="I11" s="158"/>
      <c r="J11" s="158"/>
      <c r="K11" s="158"/>
      <c r="L11" s="158" t="s">
        <v>4769</v>
      </c>
      <c r="M11" s="158"/>
      <c r="N11" s="158"/>
      <c r="O11" s="155" t="s">
        <v>4753</v>
      </c>
      <c r="P11" s="155" t="s">
        <v>4768</v>
      </c>
      <c r="Q11" s="158" t="s">
        <v>4752</v>
      </c>
      <c r="R11" s="158" t="s">
        <v>4752</v>
      </c>
      <c r="S11" s="158" t="s">
        <v>4752</v>
      </c>
      <c r="T11" s="155" t="str">
        <f ca="1">IF(Tabla15[[#This Row],[FECHA FIN CONVENIO]]&gt;TODAY(),"Vigente","Vencido")</f>
        <v>Vigente</v>
      </c>
      <c r="U11" s="156" t="s">
        <v>4867</v>
      </c>
      <c r="V11" s="157">
        <v>41382</v>
      </c>
      <c r="W11" s="157">
        <v>41382</v>
      </c>
      <c r="X11" s="155">
        <v>0</v>
      </c>
      <c r="Y11" s="155">
        <v>3</v>
      </c>
      <c r="Z11" s="157">
        <v>47142</v>
      </c>
      <c r="AA11" s="155" t="s">
        <v>4868</v>
      </c>
      <c r="AB11" s="155">
        <v>0</v>
      </c>
      <c r="AC11" s="155">
        <v>0</v>
      </c>
      <c r="AD11" s="155" t="s">
        <v>4869</v>
      </c>
      <c r="AE11" s="155" t="s">
        <v>4870</v>
      </c>
    </row>
    <row r="12" spans="1:31">
      <c r="A12" s="155">
        <v>11</v>
      </c>
      <c r="B12" s="156" t="s">
        <v>46</v>
      </c>
      <c r="C12" s="155" t="s">
        <v>47</v>
      </c>
      <c r="D12" s="155" t="s">
        <v>4781</v>
      </c>
      <c r="E12" s="158" t="s">
        <v>4768</v>
      </c>
      <c r="F12" s="158" t="s">
        <v>4752</v>
      </c>
      <c r="G12" s="158"/>
      <c r="H12" s="158"/>
      <c r="I12" s="158"/>
      <c r="J12" s="158"/>
      <c r="K12" s="158"/>
      <c r="L12" s="158" t="s">
        <v>4769</v>
      </c>
      <c r="M12" s="158"/>
      <c r="N12" s="158"/>
      <c r="O12" s="155" t="s">
        <v>4753</v>
      </c>
      <c r="P12" s="155" t="s">
        <v>4768</v>
      </c>
      <c r="Q12" s="158" t="s">
        <v>4752</v>
      </c>
      <c r="R12" s="158" t="s">
        <v>4752</v>
      </c>
      <c r="S12" s="158" t="s">
        <v>4752</v>
      </c>
      <c r="T12" s="155" t="str">
        <f ca="1">IF(Tabla15[[#This Row],[FECHA FIN CONVENIO]]&gt;TODAY(),"Vigente","Vencido")</f>
        <v>Vigente</v>
      </c>
      <c r="U12" s="156" t="s">
        <v>4871</v>
      </c>
      <c r="V12" s="157">
        <v>42360</v>
      </c>
      <c r="W12" s="157">
        <v>42614</v>
      </c>
      <c r="X12" s="157" t="s">
        <v>4837</v>
      </c>
      <c r="Y12" s="155">
        <v>5</v>
      </c>
      <c r="Z12" s="157">
        <v>46287</v>
      </c>
      <c r="AA12" s="155" t="s">
        <v>4872</v>
      </c>
      <c r="AB12" s="155">
        <v>0</v>
      </c>
      <c r="AC12" s="155" t="s">
        <v>4873</v>
      </c>
      <c r="AD12" s="155" t="s">
        <v>4858</v>
      </c>
      <c r="AE12" s="155" t="s">
        <v>4859</v>
      </c>
    </row>
    <row r="13" spans="1:31">
      <c r="A13" s="155">
        <v>12</v>
      </c>
      <c r="B13" s="156" t="s">
        <v>48</v>
      </c>
      <c r="C13" s="155" t="s">
        <v>49</v>
      </c>
      <c r="D13" s="155" t="s">
        <v>4780</v>
      </c>
      <c r="E13" s="158" t="s">
        <v>4768</v>
      </c>
      <c r="F13" s="158" t="s">
        <v>4752</v>
      </c>
      <c r="G13" s="158" t="s">
        <v>4752</v>
      </c>
      <c r="H13" s="158"/>
      <c r="I13" s="158"/>
      <c r="J13" s="158"/>
      <c r="K13" s="158"/>
      <c r="L13" s="158" t="s">
        <v>4769</v>
      </c>
      <c r="M13" s="158"/>
      <c r="N13" s="158"/>
      <c r="O13" s="155" t="s">
        <v>4753</v>
      </c>
      <c r="P13" s="155" t="s">
        <v>4768</v>
      </c>
      <c r="Q13" s="158" t="s">
        <v>4752</v>
      </c>
      <c r="R13" s="158" t="s">
        <v>4752</v>
      </c>
      <c r="S13" s="158" t="s">
        <v>4752</v>
      </c>
      <c r="T13" s="155" t="str">
        <f ca="1">IF(Tabla15[[#This Row],[FECHA FIN CONVENIO]]&gt;TODAY(),"Vigente","Vencido")</f>
        <v>Vigente</v>
      </c>
      <c r="U13" s="156">
        <v>0</v>
      </c>
      <c r="V13" s="155">
        <v>0</v>
      </c>
      <c r="W13" s="155">
        <v>0</v>
      </c>
      <c r="X13" s="155">
        <v>0</v>
      </c>
      <c r="Y13" s="155">
        <v>0</v>
      </c>
      <c r="Z13" s="157">
        <v>46479</v>
      </c>
      <c r="AA13" s="155" t="s">
        <v>4874</v>
      </c>
      <c r="AB13" s="155">
        <v>0</v>
      </c>
      <c r="AC13" s="155">
        <v>0</v>
      </c>
      <c r="AD13" s="155">
        <v>0</v>
      </c>
      <c r="AE13" s="155">
        <v>0</v>
      </c>
    </row>
    <row r="14" spans="1:31">
      <c r="A14" s="155">
        <v>13</v>
      </c>
      <c r="B14" s="156" t="s">
        <v>50</v>
      </c>
      <c r="C14" s="155" t="s">
        <v>41</v>
      </c>
      <c r="D14" s="155" t="s">
        <v>4782</v>
      </c>
      <c r="E14" s="158" t="s">
        <v>4768</v>
      </c>
      <c r="F14" s="158" t="s">
        <v>4752</v>
      </c>
      <c r="G14" s="158" t="s">
        <v>4752</v>
      </c>
      <c r="H14" s="158"/>
      <c r="I14" s="158"/>
      <c r="J14" s="158"/>
      <c r="K14" s="158"/>
      <c r="L14" s="158" t="s">
        <v>4769</v>
      </c>
      <c r="M14" s="158"/>
      <c r="N14" s="158"/>
      <c r="O14" s="155" t="s">
        <v>4753</v>
      </c>
      <c r="P14" s="155" t="s">
        <v>4768</v>
      </c>
      <c r="Q14" s="158" t="s">
        <v>4752</v>
      </c>
      <c r="R14" s="158" t="s">
        <v>4752</v>
      </c>
      <c r="S14" s="158" t="s">
        <v>4752</v>
      </c>
      <c r="T14" s="155" t="str">
        <f ca="1">IF(Tabla15[[#This Row],[FECHA FIN CONVENIO]]&gt;TODAY(),"Vigente","Vencido")</f>
        <v>Vigente</v>
      </c>
      <c r="U14" s="156" t="s">
        <v>4875</v>
      </c>
      <c r="V14" s="157">
        <v>43392</v>
      </c>
      <c r="W14" s="157">
        <v>43392</v>
      </c>
      <c r="X14" s="155">
        <v>0</v>
      </c>
      <c r="Y14" s="155">
        <v>5</v>
      </c>
      <c r="Z14" s="157">
        <v>46863</v>
      </c>
      <c r="AA14" s="155" t="s">
        <v>4876</v>
      </c>
      <c r="AB14" s="155">
        <v>0</v>
      </c>
      <c r="AC14" s="155" t="s">
        <v>4846</v>
      </c>
      <c r="AD14" s="155" t="s">
        <v>4834</v>
      </c>
      <c r="AE14" s="155" t="s">
        <v>4877</v>
      </c>
    </row>
    <row r="15" spans="1:31">
      <c r="A15" s="155">
        <v>14</v>
      </c>
      <c r="B15" s="156" t="s">
        <v>51</v>
      </c>
      <c r="C15" s="155" t="s">
        <v>41</v>
      </c>
      <c r="D15" s="155" t="s">
        <v>41</v>
      </c>
      <c r="E15" s="158" t="s">
        <v>4768</v>
      </c>
      <c r="F15" s="158" t="s">
        <v>4752</v>
      </c>
      <c r="G15" s="158"/>
      <c r="H15" s="158"/>
      <c r="I15" s="158"/>
      <c r="J15" s="158"/>
      <c r="K15" s="158"/>
      <c r="L15" s="158" t="s">
        <v>4769</v>
      </c>
      <c r="M15" s="158"/>
      <c r="N15" s="158"/>
      <c r="O15" s="155" t="s">
        <v>4753</v>
      </c>
      <c r="P15" s="155" t="s">
        <v>4768</v>
      </c>
      <c r="Q15" s="158" t="s">
        <v>4752</v>
      </c>
      <c r="R15" s="158" t="s">
        <v>4752</v>
      </c>
      <c r="S15" s="158" t="s">
        <v>4752</v>
      </c>
      <c r="T15" s="155" t="str">
        <f ca="1">IF(Tabla15[[#This Row],[FECHA FIN CONVENIO]]&gt;TODAY(),"Vigente","Vencido")</f>
        <v>Vigente</v>
      </c>
      <c r="U15" s="156">
        <v>0</v>
      </c>
      <c r="V15" s="155">
        <v>0</v>
      </c>
      <c r="W15" s="155">
        <v>0</v>
      </c>
      <c r="X15" s="155">
        <v>0</v>
      </c>
      <c r="Y15" s="155">
        <v>0</v>
      </c>
      <c r="Z15" s="157">
        <v>46371</v>
      </c>
      <c r="AA15" s="155">
        <v>0</v>
      </c>
      <c r="AB15" s="155">
        <v>0</v>
      </c>
      <c r="AC15" s="155">
        <v>0</v>
      </c>
      <c r="AD15" s="155">
        <v>0</v>
      </c>
      <c r="AE15" s="155">
        <v>0</v>
      </c>
    </row>
    <row r="16" spans="1:31">
      <c r="A16" s="155">
        <v>15</v>
      </c>
      <c r="B16" s="156" t="s">
        <v>52</v>
      </c>
      <c r="C16" s="155" t="s">
        <v>53</v>
      </c>
      <c r="D16" s="155" t="s">
        <v>4783</v>
      </c>
      <c r="E16" s="158" t="s">
        <v>4768</v>
      </c>
      <c r="F16" s="158" t="s">
        <v>4752</v>
      </c>
      <c r="G16" s="158"/>
      <c r="H16" s="158"/>
      <c r="I16" s="158"/>
      <c r="J16" s="158"/>
      <c r="K16" s="158"/>
      <c r="L16" s="158" t="s">
        <v>4769</v>
      </c>
      <c r="M16" s="158"/>
      <c r="N16" s="158"/>
      <c r="O16" s="155" t="s">
        <v>4753</v>
      </c>
      <c r="P16" s="155" t="s">
        <v>4768</v>
      </c>
      <c r="Q16" s="158" t="s">
        <v>4752</v>
      </c>
      <c r="R16" s="158" t="s">
        <v>4752</v>
      </c>
      <c r="S16" s="158" t="s">
        <v>4752</v>
      </c>
      <c r="T16" s="155" t="str">
        <f ca="1">IF(Tabla15[[#This Row],[FECHA FIN CONVENIO]]&gt;TODAY(),"Vigente","Vencido")</f>
        <v>Vigente</v>
      </c>
      <c r="U16" s="156" t="s">
        <v>4875</v>
      </c>
      <c r="V16" s="157">
        <v>42944</v>
      </c>
      <c r="W16" s="157">
        <v>42944</v>
      </c>
      <c r="X16" s="157" t="s">
        <v>4837</v>
      </c>
      <c r="Y16" s="155">
        <v>5</v>
      </c>
      <c r="Z16" s="157">
        <v>46723</v>
      </c>
      <c r="AA16" s="155">
        <v>0</v>
      </c>
      <c r="AB16" s="155">
        <v>0</v>
      </c>
      <c r="AC16" s="155">
        <v>0</v>
      </c>
      <c r="AD16" s="155" t="s">
        <v>4858</v>
      </c>
      <c r="AE16" s="155" t="s">
        <v>4859</v>
      </c>
    </row>
    <row r="17" spans="1:31" ht="31.5">
      <c r="A17" s="155">
        <v>16</v>
      </c>
      <c r="B17" s="156" t="s">
        <v>54</v>
      </c>
      <c r="C17" s="155" t="s">
        <v>41</v>
      </c>
      <c r="D17" s="155" t="s">
        <v>4803</v>
      </c>
      <c r="E17" s="158" t="s">
        <v>4768</v>
      </c>
      <c r="F17" s="158" t="s">
        <v>4752</v>
      </c>
      <c r="G17" s="158" t="s">
        <v>4752</v>
      </c>
      <c r="H17" s="158"/>
      <c r="I17" s="158"/>
      <c r="J17" s="158"/>
      <c r="K17" s="158"/>
      <c r="L17" s="158" t="s">
        <v>4769</v>
      </c>
      <c r="M17" s="158"/>
      <c r="N17" s="158"/>
      <c r="O17" s="155" t="s">
        <v>4753</v>
      </c>
      <c r="P17" s="155" t="s">
        <v>4768</v>
      </c>
      <c r="Q17" s="158" t="s">
        <v>4752</v>
      </c>
      <c r="R17" s="158" t="s">
        <v>4752</v>
      </c>
      <c r="S17" s="158" t="s">
        <v>4752</v>
      </c>
      <c r="T17" s="155" t="str">
        <f ca="1">IF(Tabla15[[#This Row],[FECHA FIN CONVENIO]]&gt;TODAY(),"Vigente","Vencido")</f>
        <v>Vigente</v>
      </c>
      <c r="U17" s="156" t="s">
        <v>4878</v>
      </c>
      <c r="V17" s="157">
        <v>39043</v>
      </c>
      <c r="W17" s="157">
        <v>39116</v>
      </c>
      <c r="X17" s="157" t="s">
        <v>4879</v>
      </c>
      <c r="Y17" s="155">
        <v>5</v>
      </c>
      <c r="Z17" s="157">
        <v>47094</v>
      </c>
      <c r="AA17" s="155" t="s">
        <v>4880</v>
      </c>
      <c r="AB17" s="155">
        <v>0</v>
      </c>
      <c r="AC17" s="155">
        <v>0</v>
      </c>
      <c r="AD17" s="155" t="s">
        <v>4834</v>
      </c>
      <c r="AE17" s="155" t="s">
        <v>4881</v>
      </c>
    </row>
    <row r="18" spans="1:31" ht="31.5">
      <c r="A18" s="155">
        <v>17</v>
      </c>
      <c r="B18" s="156" t="s">
        <v>54</v>
      </c>
      <c r="C18" s="155" t="s">
        <v>41</v>
      </c>
      <c r="D18" s="155" t="s">
        <v>4803</v>
      </c>
      <c r="E18" s="158" t="s">
        <v>4769</v>
      </c>
      <c r="F18" s="158"/>
      <c r="G18" s="158"/>
      <c r="H18" s="158"/>
      <c r="I18" s="158"/>
      <c r="J18" s="158"/>
      <c r="K18" s="158"/>
      <c r="L18" s="158" t="s">
        <v>4768</v>
      </c>
      <c r="M18" s="158" t="s">
        <v>4752</v>
      </c>
      <c r="N18" s="158"/>
      <c r="O18" s="155" t="s">
        <v>446</v>
      </c>
      <c r="P18" s="155" t="s">
        <v>4768</v>
      </c>
      <c r="Q18" s="158" t="s">
        <v>4752</v>
      </c>
      <c r="R18" s="158" t="s">
        <v>4752</v>
      </c>
      <c r="S18" s="158" t="s">
        <v>4752</v>
      </c>
      <c r="T18" s="155" t="str">
        <f ca="1">IF(Tabla15[[#This Row],[FECHA FIN CONVENIO]]&gt;TODAY(),"Vigente","Vencido")</f>
        <v>Vigente</v>
      </c>
      <c r="U18" s="156" t="s">
        <v>4878</v>
      </c>
      <c r="V18" s="157">
        <v>45554</v>
      </c>
      <c r="W18" s="157">
        <v>45616</v>
      </c>
      <c r="X18" s="157"/>
      <c r="Y18" s="155">
        <v>5</v>
      </c>
      <c r="Z18" s="157">
        <v>47442</v>
      </c>
    </row>
    <row r="19" spans="1:31" ht="31.5">
      <c r="A19" s="155">
        <v>18</v>
      </c>
      <c r="B19" s="156" t="s">
        <v>55</v>
      </c>
      <c r="C19" s="155" t="s">
        <v>41</v>
      </c>
      <c r="D19" s="155" t="s">
        <v>4784</v>
      </c>
      <c r="E19" s="158" t="s">
        <v>4768</v>
      </c>
      <c r="F19" s="158" t="s">
        <v>4752</v>
      </c>
      <c r="G19" s="158" t="s">
        <v>4752</v>
      </c>
      <c r="H19" s="158"/>
      <c r="I19" s="158"/>
      <c r="J19" s="158"/>
      <c r="K19" s="158"/>
      <c r="L19" s="158" t="s">
        <v>4769</v>
      </c>
      <c r="M19" s="158"/>
      <c r="N19" s="158"/>
      <c r="O19" s="155" t="s">
        <v>4753</v>
      </c>
      <c r="P19" s="155" t="s">
        <v>4768</v>
      </c>
      <c r="Q19" s="158" t="s">
        <v>4752</v>
      </c>
      <c r="R19" s="158" t="s">
        <v>470</v>
      </c>
      <c r="S19" s="158" t="s">
        <v>4752</v>
      </c>
      <c r="T19" s="155" t="str">
        <f ca="1">IF(Tabla15[[#This Row],[FECHA FIN CONVENIO]]&gt;TODAY(),"Vigente","Vencido")</f>
        <v>Vigente</v>
      </c>
      <c r="U19" s="156" t="s">
        <v>4882</v>
      </c>
      <c r="V19" s="157">
        <v>42335</v>
      </c>
      <c r="W19" s="157">
        <v>42335</v>
      </c>
      <c r="X19" s="157" t="s">
        <v>4837</v>
      </c>
      <c r="Y19" s="155">
        <v>5</v>
      </c>
      <c r="Z19" s="157">
        <v>46576</v>
      </c>
      <c r="AA19" s="155" t="s">
        <v>4883</v>
      </c>
      <c r="AB19" s="155">
        <v>0</v>
      </c>
      <c r="AC19" s="155" t="s">
        <v>4884</v>
      </c>
      <c r="AD19" s="155" t="s">
        <v>4834</v>
      </c>
      <c r="AE19" s="155" t="s">
        <v>4885</v>
      </c>
    </row>
    <row r="20" spans="1:31">
      <c r="A20" s="155">
        <v>19</v>
      </c>
      <c r="B20" s="156" t="s">
        <v>56</v>
      </c>
      <c r="C20" s="155" t="s">
        <v>41</v>
      </c>
      <c r="D20" s="155" t="s">
        <v>4784</v>
      </c>
      <c r="E20" s="158" t="s">
        <v>4768</v>
      </c>
      <c r="F20" s="158" t="s">
        <v>4752</v>
      </c>
      <c r="G20" s="158" t="s">
        <v>4752</v>
      </c>
      <c r="H20" s="158" t="s">
        <v>4752</v>
      </c>
      <c r="I20" s="158" t="s">
        <v>4752</v>
      </c>
      <c r="J20" s="158" t="s">
        <v>4752</v>
      </c>
      <c r="K20" s="158"/>
      <c r="L20" s="158" t="s">
        <v>4769</v>
      </c>
      <c r="M20" s="158"/>
      <c r="N20" s="158"/>
      <c r="O20" s="155" t="s">
        <v>4753</v>
      </c>
      <c r="P20" s="155" t="s">
        <v>4768</v>
      </c>
      <c r="Q20" s="158" t="s">
        <v>4752</v>
      </c>
      <c r="R20" s="158" t="s">
        <v>4752</v>
      </c>
      <c r="S20" s="158" t="s">
        <v>4752</v>
      </c>
      <c r="T20" s="155" t="str">
        <f ca="1">IF(Tabla15[[#This Row],[FECHA FIN CONVENIO]]&gt;TODAY(),"Vigente","Vencido")</f>
        <v>Vigente</v>
      </c>
      <c r="U20" s="156" t="s">
        <v>4886</v>
      </c>
      <c r="V20" s="157">
        <v>36892</v>
      </c>
      <c r="W20" s="157" t="s">
        <v>4887</v>
      </c>
      <c r="X20" s="157">
        <v>43140</v>
      </c>
      <c r="Y20" s="155">
        <v>5</v>
      </c>
      <c r="Z20" s="157">
        <v>46867</v>
      </c>
      <c r="AA20" s="155" t="s">
        <v>4888</v>
      </c>
      <c r="AB20" s="155">
        <v>0</v>
      </c>
      <c r="AC20" s="155">
        <v>0</v>
      </c>
      <c r="AD20" s="155" t="s">
        <v>4858</v>
      </c>
      <c r="AE20" s="155" t="s">
        <v>4889</v>
      </c>
    </row>
    <row r="21" spans="1:31" ht="31.5">
      <c r="A21" s="155">
        <v>20</v>
      </c>
      <c r="B21" s="156" t="s">
        <v>57</v>
      </c>
      <c r="C21" s="155" t="s">
        <v>58</v>
      </c>
      <c r="D21" s="155" t="s">
        <v>4785</v>
      </c>
      <c r="E21" s="158" t="s">
        <v>4768</v>
      </c>
      <c r="F21" s="158" t="s">
        <v>4752</v>
      </c>
      <c r="G21" s="158" t="s">
        <v>4752</v>
      </c>
      <c r="H21" s="158" t="s">
        <v>4752</v>
      </c>
      <c r="I21" s="158" t="s">
        <v>4752</v>
      </c>
      <c r="J21" s="158" t="s">
        <v>4752</v>
      </c>
      <c r="K21" s="158"/>
      <c r="L21" s="158" t="s">
        <v>4769</v>
      </c>
      <c r="M21" s="158"/>
      <c r="N21" s="158"/>
      <c r="O21" s="155" t="s">
        <v>4753</v>
      </c>
      <c r="P21" s="155" t="s">
        <v>4768</v>
      </c>
      <c r="Q21" s="158" t="s">
        <v>4752</v>
      </c>
      <c r="R21" s="158" t="s">
        <v>470</v>
      </c>
      <c r="S21" s="158" t="s">
        <v>4752</v>
      </c>
      <c r="T21" s="155" t="str">
        <f ca="1">IF(Tabla15[[#This Row],[FECHA FIN CONVENIO]]&gt;TODAY(),"Vigente","Vencido")</f>
        <v>Vigente</v>
      </c>
      <c r="U21" s="156" t="s">
        <v>4886</v>
      </c>
      <c r="V21" s="157">
        <v>43609</v>
      </c>
      <c r="W21" s="157">
        <v>43609</v>
      </c>
      <c r="X21" s="155">
        <v>0</v>
      </c>
      <c r="Y21" s="155">
        <v>5</v>
      </c>
      <c r="Z21" s="157">
        <v>47156</v>
      </c>
      <c r="AA21" s="155" t="s">
        <v>4874</v>
      </c>
      <c r="AB21" s="155">
        <v>0</v>
      </c>
      <c r="AC21" s="155" t="s">
        <v>4846</v>
      </c>
      <c r="AD21" s="155" t="s">
        <v>4834</v>
      </c>
      <c r="AE21" s="155" t="s">
        <v>4890</v>
      </c>
    </row>
    <row r="22" spans="1:31" ht="47.25">
      <c r="A22" s="155">
        <v>21</v>
      </c>
      <c r="B22" s="156" t="s">
        <v>59</v>
      </c>
      <c r="C22" s="155" t="s">
        <v>60</v>
      </c>
      <c r="D22" s="155" t="s">
        <v>4786</v>
      </c>
      <c r="E22" s="158" t="s">
        <v>4768</v>
      </c>
      <c r="F22" s="158" t="s">
        <v>4752</v>
      </c>
      <c r="G22" s="158" t="s">
        <v>4752</v>
      </c>
      <c r="H22" s="158"/>
      <c r="I22" s="158"/>
      <c r="J22" s="158"/>
      <c r="K22" s="158"/>
      <c r="L22" s="158" t="s">
        <v>4769</v>
      </c>
      <c r="M22" s="158"/>
      <c r="N22" s="158"/>
      <c r="O22" s="155" t="s">
        <v>4753</v>
      </c>
      <c r="P22" s="155" t="s">
        <v>4768</v>
      </c>
      <c r="Q22" s="158" t="s">
        <v>4752</v>
      </c>
      <c r="R22" s="158" t="s">
        <v>4752</v>
      </c>
      <c r="S22" s="158" t="s">
        <v>4752</v>
      </c>
      <c r="T22" s="155" t="str">
        <f ca="1">IF(Tabla15[[#This Row],[FECHA FIN CONVENIO]]&gt;TODAY(),"Vigente","Vencido")</f>
        <v>Vigente</v>
      </c>
      <c r="U22" s="156" t="s">
        <v>4891</v>
      </c>
      <c r="V22" s="157">
        <v>42320</v>
      </c>
      <c r="W22" s="157">
        <v>42320</v>
      </c>
      <c r="X22" s="157" t="s">
        <v>4837</v>
      </c>
      <c r="Y22" s="155">
        <v>5</v>
      </c>
      <c r="Z22" s="157">
        <v>46084</v>
      </c>
      <c r="AA22" s="155" t="s">
        <v>4892</v>
      </c>
      <c r="AB22" s="155" t="s">
        <v>4893</v>
      </c>
      <c r="AC22" s="155">
        <v>0</v>
      </c>
      <c r="AD22" s="155" t="s">
        <v>4858</v>
      </c>
      <c r="AE22" s="155" t="s">
        <v>4894</v>
      </c>
    </row>
    <row r="23" spans="1:31">
      <c r="A23" s="155">
        <v>22</v>
      </c>
      <c r="B23" s="156" t="s">
        <v>4241</v>
      </c>
      <c r="C23" s="155" t="s">
        <v>62</v>
      </c>
      <c r="D23" s="155" t="s">
        <v>4824</v>
      </c>
      <c r="E23" s="158" t="s">
        <v>4769</v>
      </c>
      <c r="F23" s="158"/>
      <c r="G23" s="158"/>
      <c r="H23" s="158"/>
      <c r="I23" s="158"/>
      <c r="J23" s="158"/>
      <c r="K23" s="158"/>
      <c r="L23" s="158" t="s">
        <v>4769</v>
      </c>
      <c r="M23" s="158"/>
      <c r="N23" s="158"/>
      <c r="O23" s="155" t="s">
        <v>4758</v>
      </c>
      <c r="P23" s="155" t="s">
        <v>4768</v>
      </c>
      <c r="Q23" s="158" t="s">
        <v>4752</v>
      </c>
      <c r="R23" s="158" t="s">
        <v>470</v>
      </c>
      <c r="S23" s="158" t="s">
        <v>4752</v>
      </c>
      <c r="T23" s="155" t="str">
        <f ca="1">IF(Tabla15[[#This Row],[FECHA FIN CONVENIO]]&gt;TODAY(),"Vigente","Vencido")</f>
        <v>Vigente</v>
      </c>
      <c r="U23" s="156">
        <v>0</v>
      </c>
      <c r="V23" s="155">
        <v>0</v>
      </c>
      <c r="W23" s="155">
        <v>0</v>
      </c>
      <c r="X23" s="155">
        <v>0</v>
      </c>
      <c r="Y23" s="155">
        <v>0</v>
      </c>
      <c r="Z23" s="157">
        <v>47236</v>
      </c>
      <c r="AA23" s="155">
        <v>0</v>
      </c>
      <c r="AB23" s="155">
        <v>0</v>
      </c>
      <c r="AC23" s="155">
        <v>0</v>
      </c>
      <c r="AD23" s="155">
        <v>0</v>
      </c>
      <c r="AE23" s="155">
        <v>0</v>
      </c>
    </row>
    <row r="24" spans="1:31" ht="31.5">
      <c r="A24" s="155">
        <v>23</v>
      </c>
      <c r="B24" s="156" t="s">
        <v>61</v>
      </c>
      <c r="C24" s="155" t="s">
        <v>62</v>
      </c>
      <c r="D24" s="155" t="s">
        <v>4787</v>
      </c>
      <c r="E24" s="158" t="s">
        <v>4768</v>
      </c>
      <c r="F24" s="158" t="s">
        <v>4752</v>
      </c>
      <c r="G24" s="158" t="s">
        <v>4752</v>
      </c>
      <c r="H24" s="158"/>
      <c r="I24" s="158"/>
      <c r="J24" s="158"/>
      <c r="K24" s="158"/>
      <c r="L24" s="158" t="s">
        <v>4769</v>
      </c>
      <c r="M24" s="158"/>
      <c r="N24" s="158"/>
      <c r="O24" s="155" t="s">
        <v>4753</v>
      </c>
      <c r="P24" s="155" t="s">
        <v>4768</v>
      </c>
      <c r="Q24" s="158" t="s">
        <v>4752</v>
      </c>
      <c r="R24" s="158" t="s">
        <v>4752</v>
      </c>
      <c r="S24" s="158" t="s">
        <v>4752</v>
      </c>
      <c r="T24" s="155" t="str">
        <f ca="1">IF(Tabla15[[#This Row],[FECHA FIN CONVENIO]]&gt;TODAY(),"Vigente","Vencido")</f>
        <v>Vigente</v>
      </c>
      <c r="U24" s="156" t="s">
        <v>4895</v>
      </c>
      <c r="V24" s="157">
        <v>41978</v>
      </c>
      <c r="W24" s="157">
        <v>41978</v>
      </c>
      <c r="X24" s="157" t="s">
        <v>4837</v>
      </c>
      <c r="Y24" s="155">
        <v>5</v>
      </c>
      <c r="Z24" s="157">
        <v>46315</v>
      </c>
      <c r="AA24" s="155" t="s">
        <v>4896</v>
      </c>
      <c r="AB24" s="155" t="s">
        <v>4897</v>
      </c>
      <c r="AC24" s="155">
        <v>0</v>
      </c>
      <c r="AD24" s="155" t="s">
        <v>4858</v>
      </c>
      <c r="AE24" s="155" t="s">
        <v>4898</v>
      </c>
    </row>
    <row r="25" spans="1:31">
      <c r="A25" s="155">
        <v>24</v>
      </c>
      <c r="B25" s="156" t="s">
        <v>61</v>
      </c>
      <c r="C25" s="155" t="s">
        <v>62</v>
      </c>
      <c r="D25" s="155" t="s">
        <v>4787</v>
      </c>
      <c r="E25" s="158" t="s">
        <v>4769</v>
      </c>
      <c r="F25" s="158"/>
      <c r="G25" s="158"/>
      <c r="H25" s="158"/>
      <c r="I25" s="158"/>
      <c r="J25" s="158"/>
      <c r="K25" s="158"/>
      <c r="L25" s="158" t="s">
        <v>4768</v>
      </c>
      <c r="M25" s="158" t="s">
        <v>4752</v>
      </c>
      <c r="N25" s="158"/>
      <c r="O25" s="155" t="s">
        <v>446</v>
      </c>
      <c r="P25" s="155" t="s">
        <v>4768</v>
      </c>
      <c r="Q25" s="158" t="s">
        <v>4752</v>
      </c>
      <c r="R25" s="158" t="s">
        <v>4752</v>
      </c>
      <c r="S25" s="158" t="s">
        <v>4752</v>
      </c>
      <c r="T25" s="155" t="str">
        <f ca="1">IF(Tabla15[[#This Row],[FECHA FIN CONVENIO]]&gt;TODAY(),"Vigente","Vencido")</f>
        <v>Vigente</v>
      </c>
      <c r="V25" s="157">
        <v>45174</v>
      </c>
      <c r="W25" s="157">
        <v>45894</v>
      </c>
      <c r="X25" s="157"/>
      <c r="Y25" s="155">
        <v>5</v>
      </c>
      <c r="Z25" s="160">
        <v>47720</v>
      </c>
    </row>
    <row r="26" spans="1:31" ht="31.5">
      <c r="A26" s="155">
        <v>25</v>
      </c>
      <c r="B26" s="156" t="s">
        <v>63</v>
      </c>
      <c r="C26" s="155" t="s">
        <v>41</v>
      </c>
      <c r="D26" s="155" t="s">
        <v>4788</v>
      </c>
      <c r="E26" s="158" t="s">
        <v>4768</v>
      </c>
      <c r="F26" s="158" t="s">
        <v>4752</v>
      </c>
      <c r="G26" s="158" t="s">
        <v>4752</v>
      </c>
      <c r="H26" s="158"/>
      <c r="I26" s="158" t="s">
        <v>4752</v>
      </c>
      <c r="J26" s="158"/>
      <c r="K26" s="158"/>
      <c r="L26" s="158" t="s">
        <v>4769</v>
      </c>
      <c r="M26" s="158"/>
      <c r="N26" s="158"/>
      <c r="O26" s="155" t="s">
        <v>4753</v>
      </c>
      <c r="P26" s="155" t="s">
        <v>4768</v>
      </c>
      <c r="Q26" s="158" t="s">
        <v>4752</v>
      </c>
      <c r="R26" s="158" t="s">
        <v>4752</v>
      </c>
      <c r="S26" s="158" t="s">
        <v>4752</v>
      </c>
      <c r="T26" s="155" t="str">
        <f ca="1">IF(Tabla15[[#This Row],[FECHA FIN CONVENIO]]&gt;TODAY(),"Vigente","Vencido")</f>
        <v>Vigente</v>
      </c>
      <c r="U26" s="156" t="s">
        <v>4899</v>
      </c>
      <c r="V26" s="157">
        <v>41039</v>
      </c>
      <c r="W26" s="157">
        <v>40949</v>
      </c>
      <c r="X26" s="155">
        <v>0</v>
      </c>
      <c r="Y26" s="155">
        <v>3</v>
      </c>
      <c r="Z26" s="157">
        <v>46352</v>
      </c>
      <c r="AA26" s="155" t="s">
        <v>4838</v>
      </c>
      <c r="AB26" s="155" t="s">
        <v>4900</v>
      </c>
      <c r="AC26" s="155">
        <v>0</v>
      </c>
      <c r="AD26" s="155" t="s">
        <v>4869</v>
      </c>
      <c r="AE26" s="155" t="s">
        <v>4901</v>
      </c>
    </row>
    <row r="27" spans="1:31">
      <c r="A27" s="155">
        <v>26</v>
      </c>
      <c r="B27" s="156" t="s">
        <v>64</v>
      </c>
      <c r="C27" s="155" t="s">
        <v>65</v>
      </c>
      <c r="D27" s="155" t="s">
        <v>4789</v>
      </c>
      <c r="E27" s="158" t="s">
        <v>4768</v>
      </c>
      <c r="F27" s="158" t="s">
        <v>4752</v>
      </c>
      <c r="G27" s="158"/>
      <c r="H27" s="158"/>
      <c r="I27" s="158"/>
      <c r="J27" s="158"/>
      <c r="K27" s="158"/>
      <c r="L27" s="158" t="s">
        <v>4769</v>
      </c>
      <c r="M27" s="158"/>
      <c r="N27" s="158"/>
      <c r="O27" s="155" t="s">
        <v>4753</v>
      </c>
      <c r="P27" s="155" t="s">
        <v>4768</v>
      </c>
      <c r="Q27" s="158" t="s">
        <v>4752</v>
      </c>
      <c r="R27" s="158" t="s">
        <v>4752</v>
      </c>
      <c r="S27" s="158" t="s">
        <v>470</v>
      </c>
      <c r="T27" s="155" t="str">
        <f ca="1">IF(Tabla15[[#This Row],[FECHA FIN CONVENIO]]&gt;TODAY(),"Vigente","Vencido")</f>
        <v>Vigente</v>
      </c>
      <c r="U27" s="156" t="s">
        <v>4902</v>
      </c>
      <c r="V27" s="157">
        <v>43403</v>
      </c>
      <c r="W27" s="157">
        <v>43403</v>
      </c>
      <c r="X27" s="157">
        <v>45209</v>
      </c>
      <c r="Y27" s="155">
        <v>5</v>
      </c>
      <c r="Z27" s="157">
        <v>47036</v>
      </c>
      <c r="AA27" s="155">
        <v>0</v>
      </c>
      <c r="AB27" s="155">
        <v>0</v>
      </c>
      <c r="AC27" s="155">
        <v>0</v>
      </c>
      <c r="AD27" s="155" t="s">
        <v>4869</v>
      </c>
      <c r="AE27" s="155" t="s">
        <v>4903</v>
      </c>
    </row>
    <row r="28" spans="1:31">
      <c r="A28" s="155">
        <v>27</v>
      </c>
      <c r="B28" s="156" t="s">
        <v>66</v>
      </c>
      <c r="C28" s="155" t="s">
        <v>58</v>
      </c>
      <c r="D28" s="155" t="s">
        <v>4790</v>
      </c>
      <c r="E28" s="158" t="s">
        <v>4768</v>
      </c>
      <c r="F28" s="158" t="s">
        <v>4752</v>
      </c>
      <c r="G28" s="158"/>
      <c r="H28" s="158"/>
      <c r="I28" s="158"/>
      <c r="J28" s="158"/>
      <c r="K28" s="158"/>
      <c r="L28" s="158" t="s">
        <v>4769</v>
      </c>
      <c r="M28" s="158"/>
      <c r="N28" s="158"/>
      <c r="O28" s="155" t="s">
        <v>4753</v>
      </c>
      <c r="P28" s="155" t="s">
        <v>4768</v>
      </c>
      <c r="Q28" s="158" t="s">
        <v>4752</v>
      </c>
      <c r="R28" s="158" t="s">
        <v>4752</v>
      </c>
      <c r="S28" s="158" t="s">
        <v>4752</v>
      </c>
      <c r="T28" s="155" t="str">
        <f ca="1">IF(Tabla15[[#This Row],[FECHA FIN CONVENIO]]&gt;TODAY(),"Vigente","Vencido")</f>
        <v>Vigente</v>
      </c>
      <c r="U28" s="156" t="s">
        <v>4902</v>
      </c>
      <c r="V28" s="157">
        <v>36647</v>
      </c>
      <c r="W28" s="157" t="s">
        <v>4904</v>
      </c>
      <c r="X28" s="157" t="s">
        <v>4905</v>
      </c>
      <c r="Y28" s="155">
        <v>5</v>
      </c>
      <c r="Z28" s="157">
        <v>46302</v>
      </c>
      <c r="AA28" s="155" t="s">
        <v>4906</v>
      </c>
      <c r="AB28" s="155">
        <v>0</v>
      </c>
      <c r="AC28" s="155">
        <v>0</v>
      </c>
      <c r="AD28" s="155" t="s">
        <v>4869</v>
      </c>
      <c r="AE28" s="155" t="s">
        <v>4907</v>
      </c>
    </row>
    <row r="29" spans="1:31">
      <c r="A29" s="155">
        <v>28</v>
      </c>
      <c r="B29" s="156" t="s">
        <v>67</v>
      </c>
      <c r="C29" s="155" t="s">
        <v>41</v>
      </c>
      <c r="D29" s="155" t="s">
        <v>4784</v>
      </c>
      <c r="E29" s="158" t="s">
        <v>4768</v>
      </c>
      <c r="F29" s="158" t="s">
        <v>4752</v>
      </c>
      <c r="G29" s="158"/>
      <c r="H29" s="158"/>
      <c r="I29" s="158"/>
      <c r="J29" s="158"/>
      <c r="K29" s="158"/>
      <c r="L29" s="158" t="s">
        <v>4769</v>
      </c>
      <c r="M29" s="158"/>
      <c r="N29" s="158"/>
      <c r="O29" s="155" t="s">
        <v>4753</v>
      </c>
      <c r="P29" s="155" t="s">
        <v>4768</v>
      </c>
      <c r="Q29" s="158" t="s">
        <v>4752</v>
      </c>
      <c r="R29" s="158" t="s">
        <v>4752</v>
      </c>
      <c r="S29" s="158" t="s">
        <v>4752</v>
      </c>
      <c r="T29" s="155" t="str">
        <f ca="1">IF(Tabla15[[#This Row],[FECHA FIN CONVENIO]]&gt;TODAY(),"Vigente","Vencido")</f>
        <v>Vigente</v>
      </c>
      <c r="U29" s="156">
        <v>0</v>
      </c>
      <c r="V29" s="155">
        <v>0</v>
      </c>
      <c r="W29" s="155">
        <v>0</v>
      </c>
      <c r="X29" s="155">
        <v>0</v>
      </c>
      <c r="Y29" s="155">
        <v>0</v>
      </c>
      <c r="Z29" s="157">
        <v>46679</v>
      </c>
      <c r="AA29" s="155">
        <v>0</v>
      </c>
      <c r="AB29" s="155">
        <v>0</v>
      </c>
      <c r="AC29" s="155">
        <v>0</v>
      </c>
      <c r="AD29" s="155">
        <v>0</v>
      </c>
      <c r="AE29" s="155">
        <v>0</v>
      </c>
    </row>
    <row r="30" spans="1:31" ht="31.5">
      <c r="A30" s="155">
        <v>29</v>
      </c>
      <c r="B30" s="156" t="s">
        <v>68</v>
      </c>
      <c r="C30" s="155" t="s">
        <v>41</v>
      </c>
      <c r="D30" s="155" t="s">
        <v>4791</v>
      </c>
      <c r="E30" s="158" t="s">
        <v>4768</v>
      </c>
      <c r="F30" s="158" t="s">
        <v>4752</v>
      </c>
      <c r="G30" s="158" t="s">
        <v>4752</v>
      </c>
      <c r="H30" s="158"/>
      <c r="I30" s="158"/>
      <c r="J30" s="158"/>
      <c r="K30" s="158"/>
      <c r="L30" s="158" t="s">
        <v>4769</v>
      </c>
      <c r="M30" s="158"/>
      <c r="N30" s="158"/>
      <c r="O30" s="155" t="s">
        <v>4753</v>
      </c>
      <c r="P30" s="155" t="s">
        <v>4768</v>
      </c>
      <c r="Q30" s="158" t="s">
        <v>4752</v>
      </c>
      <c r="R30" s="158" t="s">
        <v>4752</v>
      </c>
      <c r="S30" s="158" t="s">
        <v>4752</v>
      </c>
      <c r="T30" s="155" t="str">
        <f ca="1">IF(Tabla15[[#This Row],[FECHA FIN CONVENIO]]&gt;TODAY(),"Vigente","Vencido")</f>
        <v>Vigente</v>
      </c>
      <c r="U30" s="156" t="s">
        <v>4908</v>
      </c>
      <c r="V30" s="157">
        <v>32772</v>
      </c>
      <c r="W30" s="157" t="s">
        <v>4909</v>
      </c>
      <c r="X30" s="157" t="s">
        <v>4910</v>
      </c>
      <c r="Y30" s="155">
        <v>5</v>
      </c>
      <c r="Z30" s="157">
        <v>46707</v>
      </c>
      <c r="AA30" s="155" t="s">
        <v>4911</v>
      </c>
      <c r="AB30" s="155">
        <v>0</v>
      </c>
      <c r="AC30" s="155">
        <v>0</v>
      </c>
      <c r="AD30" s="155" t="s">
        <v>4869</v>
      </c>
      <c r="AE30" s="155" t="s">
        <v>4912</v>
      </c>
    </row>
    <row r="31" spans="1:31" s="161" customFormat="1" ht="31.5">
      <c r="A31" s="161">
        <v>30</v>
      </c>
      <c r="B31" s="162" t="s">
        <v>69</v>
      </c>
      <c r="C31" s="161" t="s">
        <v>53</v>
      </c>
      <c r="D31" s="161" t="s">
        <v>4792</v>
      </c>
      <c r="E31" s="163" t="s">
        <v>4768</v>
      </c>
      <c r="F31" s="163" t="s">
        <v>4752</v>
      </c>
      <c r="G31" s="163"/>
      <c r="H31" s="163"/>
      <c r="I31" s="163"/>
      <c r="J31" s="163"/>
      <c r="K31" s="163"/>
      <c r="L31" s="163" t="s">
        <v>4769</v>
      </c>
      <c r="M31" s="163"/>
      <c r="N31" s="163"/>
      <c r="O31" s="161" t="s">
        <v>4753</v>
      </c>
      <c r="P31" s="161" t="s">
        <v>4768</v>
      </c>
      <c r="Q31" s="163" t="s">
        <v>4752</v>
      </c>
      <c r="R31" s="163" t="s">
        <v>4752</v>
      </c>
      <c r="S31" s="163" t="s">
        <v>4752</v>
      </c>
      <c r="T31" s="161" t="str">
        <f ca="1">IF(Tabla15[[#This Row],[FECHA FIN CONVENIO]]&gt;TODAY(),"Vigente","Vencido")</f>
        <v>Vencido</v>
      </c>
      <c r="U31" s="162" t="s">
        <v>4913</v>
      </c>
      <c r="V31" s="164" t="s">
        <v>4914</v>
      </c>
      <c r="W31" s="165" t="s">
        <v>4915</v>
      </c>
      <c r="X31" s="165" t="s">
        <v>4837</v>
      </c>
      <c r="Y31" s="161">
        <v>3</v>
      </c>
      <c r="Z31" s="165">
        <v>45782</v>
      </c>
      <c r="AA31" s="161" t="s">
        <v>4916</v>
      </c>
      <c r="AB31" s="161" t="s">
        <v>4917</v>
      </c>
      <c r="AC31" s="161">
        <v>0</v>
      </c>
      <c r="AD31" s="161" t="s">
        <v>4869</v>
      </c>
      <c r="AE31" s="161" t="s">
        <v>4859</v>
      </c>
    </row>
    <row r="32" spans="1:31" ht="31.5">
      <c r="A32" s="155">
        <v>31</v>
      </c>
      <c r="B32" s="156" t="s">
        <v>111</v>
      </c>
      <c r="C32" s="155" t="s">
        <v>112</v>
      </c>
      <c r="D32" s="155" t="s">
        <v>4793</v>
      </c>
      <c r="E32" s="158" t="s">
        <v>4768</v>
      </c>
      <c r="F32" s="158"/>
      <c r="G32" s="158" t="s">
        <v>4752</v>
      </c>
      <c r="H32" s="158"/>
      <c r="I32" s="158"/>
      <c r="J32" s="158"/>
      <c r="K32" s="158"/>
      <c r="L32" s="158" t="s">
        <v>4769</v>
      </c>
      <c r="M32" s="158"/>
      <c r="N32" s="158"/>
      <c r="O32" s="155" t="s">
        <v>4753</v>
      </c>
      <c r="P32" s="155" t="s">
        <v>4768</v>
      </c>
      <c r="Q32" s="158" t="s">
        <v>470</v>
      </c>
      <c r="R32" s="158" t="s">
        <v>470</v>
      </c>
      <c r="S32" s="158" t="s">
        <v>4752</v>
      </c>
      <c r="T32" s="155" t="str">
        <f ca="1">IF(Tabla15[[#This Row],[FECHA FIN CONVENIO]]&gt;TODAY(),"Vigente","Vencido")</f>
        <v>Vigente</v>
      </c>
      <c r="U32" s="156" t="s">
        <v>4886</v>
      </c>
      <c r="V32" s="157">
        <v>39142</v>
      </c>
      <c r="W32" s="157" t="s">
        <v>4918</v>
      </c>
      <c r="X32" s="157" t="s">
        <v>4919</v>
      </c>
      <c r="Y32" s="155">
        <v>5</v>
      </c>
      <c r="Z32" s="157">
        <v>46880</v>
      </c>
      <c r="AA32" s="155" t="s">
        <v>4920</v>
      </c>
      <c r="AB32" s="155" t="s">
        <v>4857</v>
      </c>
      <c r="AC32" s="155">
        <v>0</v>
      </c>
      <c r="AD32" s="155" t="s">
        <v>4834</v>
      </c>
      <c r="AE32" s="155" t="s">
        <v>4921</v>
      </c>
    </row>
    <row r="33" spans="1:31" ht="63">
      <c r="A33" s="155">
        <v>32</v>
      </c>
      <c r="B33" s="156" t="s">
        <v>70</v>
      </c>
      <c r="C33" s="155" t="s">
        <v>71</v>
      </c>
      <c r="D33" s="155" t="s">
        <v>4794</v>
      </c>
      <c r="E33" s="158" t="s">
        <v>4768</v>
      </c>
      <c r="F33" s="158" t="s">
        <v>4752</v>
      </c>
      <c r="G33" s="158" t="s">
        <v>4752</v>
      </c>
      <c r="H33" s="158"/>
      <c r="I33" s="158"/>
      <c r="J33" s="158"/>
      <c r="K33" s="158"/>
      <c r="L33" s="158" t="s">
        <v>4769</v>
      </c>
      <c r="M33" s="158"/>
      <c r="N33" s="158"/>
      <c r="O33" s="155" t="s">
        <v>4753</v>
      </c>
      <c r="P33" s="155" t="s">
        <v>4768</v>
      </c>
      <c r="Q33" s="158" t="s">
        <v>4752</v>
      </c>
      <c r="R33" s="158" t="s">
        <v>4752</v>
      </c>
      <c r="S33" s="158" t="s">
        <v>4752</v>
      </c>
      <c r="T33" s="155" t="str">
        <f ca="1">IF(Tabla15[[#This Row],[FECHA FIN CONVENIO]]&gt;TODAY(),"Vigente","Vencido")</f>
        <v>Vigente</v>
      </c>
      <c r="U33" s="156" t="s">
        <v>4922</v>
      </c>
      <c r="V33" s="157">
        <v>37356</v>
      </c>
      <c r="W33" s="157" t="s">
        <v>4923</v>
      </c>
      <c r="X33" s="159" t="s">
        <v>5033</v>
      </c>
      <c r="Y33" s="155">
        <v>5</v>
      </c>
      <c r="Z33" s="157">
        <v>46331</v>
      </c>
      <c r="AA33" s="157">
        <v>42884</v>
      </c>
      <c r="AB33" s="155">
        <v>0</v>
      </c>
      <c r="AC33" s="155">
        <v>0</v>
      </c>
      <c r="AD33" s="155" t="s">
        <v>4869</v>
      </c>
      <c r="AE33" s="155" t="s">
        <v>4859</v>
      </c>
    </row>
    <row r="34" spans="1:31" ht="47.25">
      <c r="A34" s="155">
        <v>33</v>
      </c>
      <c r="B34" s="156" t="s">
        <v>72</v>
      </c>
      <c r="C34" s="155" t="s">
        <v>71</v>
      </c>
      <c r="D34" s="155" t="s">
        <v>4795</v>
      </c>
      <c r="E34" s="158" t="s">
        <v>4768</v>
      </c>
      <c r="F34" s="158" t="s">
        <v>4752</v>
      </c>
      <c r="G34" s="158" t="s">
        <v>4752</v>
      </c>
      <c r="H34" s="158"/>
      <c r="I34" s="158"/>
      <c r="J34" s="158"/>
      <c r="K34" s="158" t="s">
        <v>4752</v>
      </c>
      <c r="L34" s="158" t="s">
        <v>4769</v>
      </c>
      <c r="M34" s="158"/>
      <c r="N34" s="158"/>
      <c r="O34" s="155" t="s">
        <v>4753</v>
      </c>
      <c r="P34" s="155" t="s">
        <v>4768</v>
      </c>
      <c r="Q34" s="158" t="s">
        <v>4752</v>
      </c>
      <c r="R34" s="158" t="s">
        <v>4752</v>
      </c>
      <c r="S34" s="158" t="s">
        <v>4752</v>
      </c>
      <c r="T34" s="155" t="str">
        <f ca="1">IF(Tabla15[[#This Row],[FECHA FIN CONVENIO]]&gt;TODAY(),"Vigente","Vencido")</f>
        <v>Vigente</v>
      </c>
      <c r="U34" s="156" t="s">
        <v>4853</v>
      </c>
      <c r="V34" s="157">
        <v>37651</v>
      </c>
      <c r="W34" s="157">
        <v>37651</v>
      </c>
      <c r="X34" s="157">
        <v>43284</v>
      </c>
      <c r="Y34" s="155">
        <v>5</v>
      </c>
      <c r="Z34" s="157">
        <v>46810</v>
      </c>
      <c r="AA34" s="155" t="s">
        <v>4924</v>
      </c>
      <c r="AB34" s="155" t="s">
        <v>4925</v>
      </c>
      <c r="AC34" s="155">
        <v>0</v>
      </c>
      <c r="AD34" s="155" t="s">
        <v>4869</v>
      </c>
      <c r="AE34" s="155" t="s">
        <v>4859</v>
      </c>
    </row>
    <row r="35" spans="1:31" ht="31.5">
      <c r="A35" s="155">
        <v>34</v>
      </c>
      <c r="B35" s="156" t="s">
        <v>73</v>
      </c>
      <c r="C35" s="155" t="s">
        <v>74</v>
      </c>
      <c r="D35" s="155" t="s">
        <v>4796</v>
      </c>
      <c r="E35" s="158" t="s">
        <v>4769</v>
      </c>
      <c r="F35" s="158"/>
      <c r="G35" s="158"/>
      <c r="H35" s="158"/>
      <c r="I35" s="158"/>
      <c r="J35" s="158"/>
      <c r="K35" s="158"/>
      <c r="L35" s="158" t="s">
        <v>4769</v>
      </c>
      <c r="M35" s="158"/>
      <c r="N35" s="158"/>
      <c r="O35" s="155" t="s">
        <v>4758</v>
      </c>
      <c r="P35" s="155" t="s">
        <v>4768</v>
      </c>
      <c r="Q35" s="158" t="s">
        <v>4752</v>
      </c>
      <c r="R35" s="158" t="s">
        <v>470</v>
      </c>
      <c r="S35" s="158" t="s">
        <v>4752</v>
      </c>
      <c r="T35" s="155" t="str">
        <f ca="1">IF(Tabla15[[#This Row],[FECHA FIN CONVENIO]]&gt;TODAY(),"Vigente","Vencido")</f>
        <v>Vencido</v>
      </c>
      <c r="V35" s="157">
        <v>40413</v>
      </c>
      <c r="W35" s="157"/>
      <c r="X35" s="157"/>
      <c r="Z35" s="157">
        <v>43157</v>
      </c>
      <c r="AD35" s="155" t="s">
        <v>4869</v>
      </c>
      <c r="AE35" s="155" t="s">
        <v>4928</v>
      </c>
    </row>
    <row r="36" spans="1:31" ht="31.5">
      <c r="A36" s="155">
        <v>35</v>
      </c>
      <c r="B36" s="156" t="s">
        <v>73</v>
      </c>
      <c r="C36" s="155" t="s">
        <v>74</v>
      </c>
      <c r="D36" s="155" t="s">
        <v>4796</v>
      </c>
      <c r="E36" s="158" t="s">
        <v>4768</v>
      </c>
      <c r="F36" s="158" t="s">
        <v>4752</v>
      </c>
      <c r="G36" s="158" t="s">
        <v>4752</v>
      </c>
      <c r="H36" s="158"/>
      <c r="I36" s="158"/>
      <c r="J36" s="158"/>
      <c r="K36" s="158"/>
      <c r="L36" s="158" t="s">
        <v>4769</v>
      </c>
      <c r="M36" s="158"/>
      <c r="N36" s="158"/>
      <c r="O36" s="155" t="s">
        <v>4753</v>
      </c>
      <c r="P36" s="155" t="s">
        <v>4768</v>
      </c>
      <c r="Q36" s="158" t="s">
        <v>4752</v>
      </c>
      <c r="R36" s="158" t="s">
        <v>470</v>
      </c>
      <c r="S36" s="158" t="s">
        <v>4752</v>
      </c>
      <c r="T36" s="155" t="str">
        <f ca="1">IF(Tabla15[[#This Row],[FECHA FIN CONVENIO]]&gt;TODAY(),"Vigente","Vencido")</f>
        <v>Vigente</v>
      </c>
      <c r="U36" s="156" t="s">
        <v>4926</v>
      </c>
      <c r="V36" s="157">
        <v>43157</v>
      </c>
      <c r="W36" s="157">
        <v>43157</v>
      </c>
      <c r="X36" s="157">
        <v>45217</v>
      </c>
      <c r="Y36" s="155">
        <v>5</v>
      </c>
      <c r="Z36" s="157">
        <v>47044</v>
      </c>
      <c r="AA36" s="155" t="s">
        <v>4927</v>
      </c>
      <c r="AB36" s="155">
        <v>0</v>
      </c>
      <c r="AC36" s="155" t="s">
        <v>4846</v>
      </c>
      <c r="AD36" s="155" t="s">
        <v>4869</v>
      </c>
      <c r="AE36" s="155" t="s">
        <v>4928</v>
      </c>
    </row>
    <row r="37" spans="1:31">
      <c r="A37" s="155">
        <v>36</v>
      </c>
      <c r="B37" s="156" t="s">
        <v>75</v>
      </c>
      <c r="C37" s="155" t="s">
        <v>60</v>
      </c>
      <c r="D37" s="155" t="s">
        <v>4798</v>
      </c>
      <c r="E37" s="158" t="s">
        <v>4768</v>
      </c>
      <c r="F37" s="158" t="s">
        <v>4752</v>
      </c>
      <c r="G37" s="158" t="s">
        <v>4752</v>
      </c>
      <c r="H37" s="158"/>
      <c r="I37" s="158" t="s">
        <v>4752</v>
      </c>
      <c r="J37" s="158"/>
      <c r="K37" s="158"/>
      <c r="L37" s="158" t="s">
        <v>4769</v>
      </c>
      <c r="M37" s="158"/>
      <c r="N37" s="158"/>
      <c r="O37" s="155" t="s">
        <v>4753</v>
      </c>
      <c r="P37" s="155" t="s">
        <v>4769</v>
      </c>
      <c r="Q37" s="158" t="s">
        <v>470</v>
      </c>
      <c r="R37" s="158" t="s">
        <v>470</v>
      </c>
      <c r="S37" s="158" t="s">
        <v>470</v>
      </c>
      <c r="T37" s="155" t="str">
        <f ca="1">IF(Tabla15[[#This Row],[FECHA FIN CONVENIO]]&gt;TODAY(),"Vigente","Vencido")</f>
        <v>Vigente</v>
      </c>
      <c r="U37" s="156" t="s">
        <v>4929</v>
      </c>
      <c r="V37" s="157">
        <v>40851</v>
      </c>
      <c r="W37" s="157" t="s">
        <v>4930</v>
      </c>
      <c r="X37" s="157" t="s">
        <v>4931</v>
      </c>
      <c r="Y37" s="155">
        <v>5</v>
      </c>
      <c r="Z37" s="157">
        <v>46593</v>
      </c>
      <c r="AA37" s="155" t="s">
        <v>4932</v>
      </c>
      <c r="AB37" s="155">
        <v>0</v>
      </c>
      <c r="AC37" s="155">
        <v>0</v>
      </c>
      <c r="AD37" s="155" t="s">
        <v>4858</v>
      </c>
      <c r="AE37" s="155" t="s">
        <v>4933</v>
      </c>
    </row>
    <row r="38" spans="1:31">
      <c r="A38" s="155">
        <v>37</v>
      </c>
      <c r="B38" s="156" t="s">
        <v>76</v>
      </c>
      <c r="C38" s="155" t="s">
        <v>4754</v>
      </c>
      <c r="D38" s="155" t="s">
        <v>4797</v>
      </c>
      <c r="E38" s="158" t="s">
        <v>4768</v>
      </c>
      <c r="F38" s="158" t="s">
        <v>4752</v>
      </c>
      <c r="G38" s="158"/>
      <c r="H38" s="158"/>
      <c r="I38" s="158"/>
      <c r="J38" s="158"/>
      <c r="K38" s="158"/>
      <c r="L38" s="158" t="s">
        <v>4769</v>
      </c>
      <c r="M38" s="158"/>
      <c r="N38" s="158"/>
      <c r="O38" s="155" t="s">
        <v>4753</v>
      </c>
      <c r="P38" s="155" t="s">
        <v>4768</v>
      </c>
      <c r="Q38" s="158" t="s">
        <v>4752</v>
      </c>
      <c r="R38" s="158" t="s">
        <v>4752</v>
      </c>
      <c r="S38" s="158" t="s">
        <v>4752</v>
      </c>
      <c r="T38" s="155" t="str">
        <f ca="1">IF(Tabla15[[#This Row],[FECHA FIN CONVENIO]]&gt;TODAY(),"Vigente","Vencido")</f>
        <v>Vigente</v>
      </c>
      <c r="U38" s="156">
        <v>0</v>
      </c>
      <c r="V38" s="155">
        <v>0</v>
      </c>
      <c r="W38" s="155">
        <v>0</v>
      </c>
      <c r="X38" s="155">
        <v>0</v>
      </c>
      <c r="Y38" s="155">
        <v>0</v>
      </c>
      <c r="Z38" s="157">
        <v>46491</v>
      </c>
      <c r="AA38" s="155">
        <v>0</v>
      </c>
      <c r="AB38" s="155">
        <v>0</v>
      </c>
      <c r="AC38" s="155">
        <v>0</v>
      </c>
      <c r="AD38" s="155">
        <v>0</v>
      </c>
      <c r="AE38" s="155">
        <v>0</v>
      </c>
    </row>
    <row r="39" spans="1:31">
      <c r="A39" s="155">
        <v>38</v>
      </c>
      <c r="B39" s="156" t="s">
        <v>113</v>
      </c>
      <c r="C39" s="155" t="s">
        <v>114</v>
      </c>
      <c r="D39" s="155" t="s">
        <v>4757</v>
      </c>
      <c r="E39" s="158" t="s">
        <v>4768</v>
      </c>
      <c r="F39" s="158" t="s">
        <v>4752</v>
      </c>
      <c r="G39" s="158" t="s">
        <v>4752</v>
      </c>
      <c r="H39" s="158"/>
      <c r="I39" s="158"/>
      <c r="J39" s="158"/>
      <c r="K39" s="158"/>
      <c r="L39" s="158" t="s">
        <v>4769</v>
      </c>
      <c r="M39" s="158"/>
      <c r="N39" s="158"/>
      <c r="O39" s="155" t="s">
        <v>4753</v>
      </c>
      <c r="P39" s="155" t="s">
        <v>4768</v>
      </c>
      <c r="Q39" s="158" t="s">
        <v>4752</v>
      </c>
      <c r="R39" s="158" t="s">
        <v>4752</v>
      </c>
      <c r="S39" s="158" t="s">
        <v>4752</v>
      </c>
      <c r="T39" s="155" t="str">
        <f ca="1">IF(Tabla15[[#This Row],[FECHA FIN CONVENIO]]&gt;TODAY(),"Vigente","Vencido")</f>
        <v>Vigente</v>
      </c>
      <c r="U39" s="156">
        <v>0</v>
      </c>
      <c r="V39" s="155">
        <v>0</v>
      </c>
      <c r="W39" s="155">
        <v>0</v>
      </c>
      <c r="X39" s="155">
        <v>0</v>
      </c>
      <c r="Y39" s="155">
        <v>0</v>
      </c>
      <c r="Z39" s="157">
        <v>47823</v>
      </c>
      <c r="AA39" s="155">
        <v>0</v>
      </c>
      <c r="AB39" s="155" t="s">
        <v>4934</v>
      </c>
      <c r="AC39" s="155">
        <v>0</v>
      </c>
      <c r="AD39" s="155">
        <v>0</v>
      </c>
      <c r="AE39" s="155">
        <v>0</v>
      </c>
    </row>
    <row r="40" spans="1:31">
      <c r="A40" s="155">
        <v>39</v>
      </c>
      <c r="B40" s="156" t="s">
        <v>115</v>
      </c>
      <c r="C40" s="155" t="s">
        <v>39</v>
      </c>
      <c r="D40" s="155" t="s">
        <v>4799</v>
      </c>
      <c r="E40" s="158" t="s">
        <v>4768</v>
      </c>
      <c r="F40" s="158"/>
      <c r="G40" s="158" t="s">
        <v>4752</v>
      </c>
      <c r="H40" s="158"/>
      <c r="I40" s="158"/>
      <c r="J40" s="158"/>
      <c r="K40" s="158"/>
      <c r="L40" s="158" t="s">
        <v>4769</v>
      </c>
      <c r="M40" s="158"/>
      <c r="N40" s="158"/>
      <c r="O40" s="155" t="s">
        <v>4753</v>
      </c>
      <c r="P40" s="155" t="s">
        <v>4768</v>
      </c>
      <c r="Q40" s="158" t="s">
        <v>4752</v>
      </c>
      <c r="R40" s="158" t="s">
        <v>4752</v>
      </c>
      <c r="S40" s="158" t="s">
        <v>4752</v>
      </c>
      <c r="T40" s="155" t="str">
        <f ca="1">IF(Tabla15[[#This Row],[FECHA FIN CONVENIO]]&gt;TODAY(),"Vigente","Vencido")</f>
        <v>Vigente</v>
      </c>
      <c r="U40" s="156" t="s">
        <v>4935</v>
      </c>
      <c r="V40" s="157">
        <v>43280</v>
      </c>
      <c r="W40" s="157">
        <v>43678</v>
      </c>
      <c r="X40" s="155">
        <v>0</v>
      </c>
      <c r="Y40" s="155">
        <v>1</v>
      </c>
      <c r="Z40" s="157">
        <v>46234</v>
      </c>
      <c r="AA40" s="155" t="s">
        <v>4936</v>
      </c>
      <c r="AB40" s="155" t="s">
        <v>4937</v>
      </c>
      <c r="AC40" s="155">
        <v>0</v>
      </c>
      <c r="AD40" s="155" t="s">
        <v>4834</v>
      </c>
      <c r="AE40" s="155" t="s">
        <v>4938</v>
      </c>
    </row>
    <row r="41" spans="1:31">
      <c r="A41" s="155">
        <v>40</v>
      </c>
      <c r="B41" s="156" t="s">
        <v>4560</v>
      </c>
      <c r="C41" s="155" t="s">
        <v>74</v>
      </c>
      <c r="D41" s="155" t="s">
        <v>4825</v>
      </c>
      <c r="E41" s="158" t="s">
        <v>4768</v>
      </c>
      <c r="F41" s="158" t="s">
        <v>4752</v>
      </c>
      <c r="G41" s="158"/>
      <c r="H41" s="158"/>
      <c r="I41" s="158"/>
      <c r="J41" s="158"/>
      <c r="K41" s="158"/>
      <c r="L41" s="158" t="s">
        <v>4769</v>
      </c>
      <c r="M41" s="158"/>
      <c r="N41" s="158"/>
      <c r="O41" s="155" t="s">
        <v>4753</v>
      </c>
      <c r="P41" s="155" t="s">
        <v>4768</v>
      </c>
      <c r="Q41" s="158" t="s">
        <v>4752</v>
      </c>
      <c r="R41" s="158" t="s">
        <v>4752</v>
      </c>
      <c r="S41" s="158" t="s">
        <v>4752</v>
      </c>
      <c r="T41" s="155" t="str">
        <f ca="1">IF(Tabla15[[#This Row],[FECHA FIN CONVENIO]]&gt;TODAY(),"Vigente","Vencido")</f>
        <v>Vigente</v>
      </c>
      <c r="U41" s="156">
        <v>0</v>
      </c>
      <c r="V41" s="155">
        <v>0</v>
      </c>
      <c r="W41" s="155">
        <v>0</v>
      </c>
      <c r="X41" s="155">
        <v>0</v>
      </c>
      <c r="Y41" s="155">
        <v>0</v>
      </c>
      <c r="Z41" s="157">
        <v>46552</v>
      </c>
      <c r="AA41" s="155">
        <v>0</v>
      </c>
      <c r="AB41" s="155">
        <v>0</v>
      </c>
      <c r="AC41" s="155">
        <v>0</v>
      </c>
      <c r="AD41" s="155">
        <v>0</v>
      </c>
      <c r="AE41" s="155">
        <v>0</v>
      </c>
    </row>
    <row r="42" spans="1:31" ht="31.5">
      <c r="A42" s="155">
        <v>41</v>
      </c>
      <c r="B42" s="156" t="s">
        <v>78</v>
      </c>
      <c r="C42" s="155" t="s">
        <v>4755</v>
      </c>
      <c r="D42" s="155" t="s">
        <v>4800</v>
      </c>
      <c r="E42" s="158" t="s">
        <v>4768</v>
      </c>
      <c r="F42" s="158" t="s">
        <v>4752</v>
      </c>
      <c r="G42" s="158" t="s">
        <v>4752</v>
      </c>
      <c r="H42" s="158" t="s">
        <v>4752</v>
      </c>
      <c r="I42" s="158" t="s">
        <v>4752</v>
      </c>
      <c r="J42" s="158" t="s">
        <v>4752</v>
      </c>
      <c r="K42" s="158"/>
      <c r="L42" s="158" t="s">
        <v>4769</v>
      </c>
      <c r="M42" s="158"/>
      <c r="N42" s="158"/>
      <c r="O42" s="155" t="s">
        <v>4753</v>
      </c>
      <c r="P42" s="155" t="s">
        <v>4768</v>
      </c>
      <c r="Q42" s="158" t="s">
        <v>4752</v>
      </c>
      <c r="R42" s="158" t="s">
        <v>4752</v>
      </c>
      <c r="S42" s="158" t="s">
        <v>4752</v>
      </c>
      <c r="T42" s="155" t="str">
        <f ca="1">IF(Tabla15[[#This Row],[FECHA FIN CONVENIO]]&gt;TODAY(),"Vigente","Vencido")</f>
        <v>Vigente</v>
      </c>
      <c r="U42" s="156" t="s">
        <v>4939</v>
      </c>
      <c r="V42" s="157">
        <v>39686</v>
      </c>
      <c r="W42" s="157" t="s">
        <v>4940</v>
      </c>
      <c r="X42" s="157" t="s">
        <v>4941</v>
      </c>
      <c r="Y42" s="155">
        <v>5</v>
      </c>
      <c r="Z42" s="157">
        <v>46552</v>
      </c>
      <c r="AA42" s="155" t="s">
        <v>4942</v>
      </c>
      <c r="AB42" s="155">
        <v>0</v>
      </c>
      <c r="AC42" s="155">
        <v>0</v>
      </c>
      <c r="AD42" s="155" t="s">
        <v>4858</v>
      </c>
      <c r="AE42" s="155" t="s">
        <v>4859</v>
      </c>
    </row>
    <row r="43" spans="1:31" ht="31.5">
      <c r="A43" s="155">
        <v>42</v>
      </c>
      <c r="B43" s="156" t="s">
        <v>80</v>
      </c>
      <c r="C43" s="155" t="s">
        <v>58</v>
      </c>
      <c r="D43" s="155" t="s">
        <v>4790</v>
      </c>
      <c r="E43" s="158" t="s">
        <v>4768</v>
      </c>
      <c r="F43" s="158" t="s">
        <v>4752</v>
      </c>
      <c r="G43" s="158"/>
      <c r="H43" s="158"/>
      <c r="I43" s="158"/>
      <c r="J43" s="158"/>
      <c r="K43" s="158"/>
      <c r="L43" s="158" t="s">
        <v>4769</v>
      </c>
      <c r="M43" s="158"/>
      <c r="N43" s="158"/>
      <c r="O43" s="155" t="s">
        <v>4753</v>
      </c>
      <c r="P43" s="155" t="s">
        <v>4768</v>
      </c>
      <c r="Q43" s="158" t="s">
        <v>470</v>
      </c>
      <c r="R43" s="158" t="s">
        <v>470</v>
      </c>
      <c r="S43" s="158" t="s">
        <v>4752</v>
      </c>
      <c r="T43" s="155" t="str">
        <f ca="1">IF(Tabla15[[#This Row],[FECHA FIN CONVENIO]]&gt;TODAY(),"Vigente","Vencido")</f>
        <v>Vigente</v>
      </c>
      <c r="U43" s="156" t="s">
        <v>4943</v>
      </c>
      <c r="V43" s="157">
        <v>42307</v>
      </c>
      <c r="W43" s="157">
        <v>42307</v>
      </c>
      <c r="X43" s="155">
        <v>0</v>
      </c>
      <c r="Y43" s="155">
        <v>5</v>
      </c>
      <c r="Z43" s="157">
        <v>47100</v>
      </c>
      <c r="AA43" s="155" t="s">
        <v>4944</v>
      </c>
      <c r="AB43" s="155" t="s">
        <v>4945</v>
      </c>
      <c r="AC43" s="155">
        <v>0</v>
      </c>
      <c r="AD43" s="155" t="s">
        <v>4869</v>
      </c>
      <c r="AE43" s="155" t="s">
        <v>4859</v>
      </c>
    </row>
    <row r="44" spans="1:31">
      <c r="A44" s="155">
        <v>43</v>
      </c>
      <c r="B44" s="156" t="s">
        <v>81</v>
      </c>
      <c r="C44" s="155" t="s">
        <v>4756</v>
      </c>
      <c r="D44" s="155" t="s">
        <v>4802</v>
      </c>
      <c r="E44" s="158" t="s">
        <v>4768</v>
      </c>
      <c r="F44" s="158" t="s">
        <v>4752</v>
      </c>
      <c r="G44" s="158"/>
      <c r="H44" s="158"/>
      <c r="I44" s="158"/>
      <c r="J44" s="158"/>
      <c r="K44" s="158"/>
      <c r="L44" s="158" t="s">
        <v>4769</v>
      </c>
      <c r="M44" s="158"/>
      <c r="N44" s="158"/>
      <c r="O44" s="155" t="s">
        <v>4753</v>
      </c>
      <c r="P44" s="155" t="s">
        <v>4768</v>
      </c>
      <c r="Q44" s="158" t="s">
        <v>4752</v>
      </c>
      <c r="R44" s="158" t="s">
        <v>470</v>
      </c>
      <c r="S44" s="158" t="s">
        <v>4752</v>
      </c>
      <c r="T44" s="155" t="str">
        <f ca="1">IF(Tabla15[[#This Row],[FECHA FIN CONVENIO]]&gt;TODAY(),"Vigente","Vencido")</f>
        <v>Vigente</v>
      </c>
      <c r="U44" s="156" t="s">
        <v>4946</v>
      </c>
      <c r="V44" s="157">
        <v>41204</v>
      </c>
      <c r="W44" s="157" t="s">
        <v>4947</v>
      </c>
      <c r="X44" s="157">
        <v>42501</v>
      </c>
      <c r="Y44" s="155">
        <v>3</v>
      </c>
      <c r="Z44" s="157">
        <v>47295</v>
      </c>
      <c r="AA44" s="155" t="s">
        <v>4948</v>
      </c>
      <c r="AB44" s="155">
        <v>0</v>
      </c>
      <c r="AC44" s="155">
        <v>0</v>
      </c>
      <c r="AD44" s="155" t="s">
        <v>4858</v>
      </c>
      <c r="AE44" s="155" t="s">
        <v>4949</v>
      </c>
    </row>
    <row r="45" spans="1:31">
      <c r="A45" s="155">
        <v>44</v>
      </c>
      <c r="B45" s="156" t="s">
        <v>4761</v>
      </c>
      <c r="C45" s="155" t="s">
        <v>43</v>
      </c>
      <c r="D45" s="155" t="s">
        <v>4826</v>
      </c>
      <c r="E45" s="158" t="s">
        <v>4768</v>
      </c>
      <c r="F45" s="158" t="s">
        <v>4752</v>
      </c>
      <c r="G45" s="158"/>
      <c r="H45" s="158"/>
      <c r="I45" s="158"/>
      <c r="J45" s="158"/>
      <c r="K45" s="158"/>
      <c r="L45" s="158" t="s">
        <v>4769</v>
      </c>
      <c r="M45" s="158"/>
      <c r="N45" s="158"/>
      <c r="O45" s="155" t="s">
        <v>4753</v>
      </c>
      <c r="P45" s="155" t="s">
        <v>4768</v>
      </c>
      <c r="Q45" s="158" t="s">
        <v>4752</v>
      </c>
      <c r="R45" s="158" t="s">
        <v>4752</v>
      </c>
      <c r="S45" s="158" t="s">
        <v>4752</v>
      </c>
      <c r="T45" s="155" t="str">
        <f ca="1">IF(Tabla15[[#This Row],[FECHA FIN CONVENIO]]&gt;TODAY(),"Vigente","Vencido")</f>
        <v>Vigente</v>
      </c>
      <c r="U45" s="156">
        <v>0</v>
      </c>
      <c r="V45" s="155">
        <v>0</v>
      </c>
      <c r="W45" s="155">
        <v>0</v>
      </c>
      <c r="X45" s="155">
        <v>0</v>
      </c>
      <c r="Y45" s="155">
        <v>0</v>
      </c>
      <c r="Z45" s="157">
        <v>47386</v>
      </c>
      <c r="AA45" s="155">
        <v>0</v>
      </c>
      <c r="AB45" s="155">
        <v>0</v>
      </c>
      <c r="AC45" s="155">
        <v>0</v>
      </c>
      <c r="AD45" s="155">
        <v>0</v>
      </c>
      <c r="AE45" s="155">
        <v>0</v>
      </c>
    </row>
    <row r="46" spans="1:31" s="161" customFormat="1" ht="31.5">
      <c r="A46" s="155">
        <v>45</v>
      </c>
      <c r="B46" s="162" t="s">
        <v>83</v>
      </c>
      <c r="C46" s="161" t="s">
        <v>45</v>
      </c>
      <c r="D46" s="161" t="s">
        <v>4804</v>
      </c>
      <c r="E46" s="163" t="s">
        <v>4768</v>
      </c>
      <c r="F46" s="163" t="s">
        <v>4752</v>
      </c>
      <c r="G46" s="163"/>
      <c r="H46" s="163"/>
      <c r="I46" s="163"/>
      <c r="J46" s="163"/>
      <c r="K46" s="163"/>
      <c r="L46" s="163" t="s">
        <v>4769</v>
      </c>
      <c r="M46" s="163"/>
      <c r="N46" s="163"/>
      <c r="O46" s="161" t="s">
        <v>4753</v>
      </c>
      <c r="P46" s="161" t="s">
        <v>4768</v>
      </c>
      <c r="Q46" s="163" t="s">
        <v>4752</v>
      </c>
      <c r="R46" s="163" t="s">
        <v>4752</v>
      </c>
      <c r="S46" s="163" t="s">
        <v>4752</v>
      </c>
      <c r="T46" s="155" t="str">
        <f ca="1">IF(Tabla15[[#This Row],[FECHA FIN CONVENIO]]&gt;TODAY(),"Vigente","Vencido")</f>
        <v>Vigente</v>
      </c>
      <c r="U46" s="162" t="s">
        <v>4946</v>
      </c>
      <c r="V46" s="165" t="s">
        <v>4950</v>
      </c>
      <c r="W46" s="165" t="s">
        <v>4951</v>
      </c>
      <c r="X46" s="165">
        <v>42832</v>
      </c>
      <c r="Y46" s="161" t="s">
        <v>4952</v>
      </c>
      <c r="Z46" s="165">
        <v>46568</v>
      </c>
      <c r="AA46" s="161" t="s">
        <v>4953</v>
      </c>
      <c r="AB46" s="161" t="s">
        <v>4954</v>
      </c>
      <c r="AC46" s="161">
        <v>0</v>
      </c>
      <c r="AD46" s="161" t="s">
        <v>4858</v>
      </c>
      <c r="AE46" s="161" t="s">
        <v>4955</v>
      </c>
    </row>
    <row r="47" spans="1:31" ht="31.5">
      <c r="A47" s="155">
        <v>46</v>
      </c>
      <c r="B47" s="156" t="s">
        <v>84</v>
      </c>
      <c r="C47" s="155" t="s">
        <v>85</v>
      </c>
      <c r="D47" s="155" t="s">
        <v>4801</v>
      </c>
      <c r="E47" s="158" t="s">
        <v>4768</v>
      </c>
      <c r="F47" s="158" t="s">
        <v>4752</v>
      </c>
      <c r="G47" s="158"/>
      <c r="H47" s="158" t="s">
        <v>4752</v>
      </c>
      <c r="I47" s="158"/>
      <c r="J47" s="158"/>
      <c r="K47" s="158"/>
      <c r="L47" s="158" t="s">
        <v>4769</v>
      </c>
      <c r="M47" s="158"/>
      <c r="N47" s="158"/>
      <c r="O47" s="155" t="s">
        <v>4753</v>
      </c>
      <c r="P47" s="155" t="s">
        <v>4768</v>
      </c>
      <c r="Q47" s="158" t="s">
        <v>4752</v>
      </c>
      <c r="R47" s="158" t="s">
        <v>4752</v>
      </c>
      <c r="S47" s="158" t="s">
        <v>470</v>
      </c>
      <c r="T47" s="155" t="str">
        <f ca="1">IF(Tabla15[[#This Row],[FECHA FIN CONVENIO]]&gt;TODAY(),"Vigente","Vencido")</f>
        <v>Vigente</v>
      </c>
      <c r="U47" s="156" t="s">
        <v>4946</v>
      </c>
      <c r="V47" s="157">
        <v>41148</v>
      </c>
      <c r="W47" s="157" t="s">
        <v>4956</v>
      </c>
      <c r="X47" s="157">
        <v>42810</v>
      </c>
      <c r="Y47" s="155">
        <v>5</v>
      </c>
      <c r="Z47" s="157">
        <v>46308</v>
      </c>
      <c r="AA47" s="155" t="s">
        <v>4957</v>
      </c>
      <c r="AB47" s="155">
        <v>0</v>
      </c>
      <c r="AC47" s="155">
        <v>0</v>
      </c>
      <c r="AD47" s="155" t="s">
        <v>4869</v>
      </c>
      <c r="AE47" s="155" t="s">
        <v>4958</v>
      </c>
    </row>
    <row r="48" spans="1:31">
      <c r="A48" s="155">
        <v>47</v>
      </c>
      <c r="B48" s="156" t="s">
        <v>86</v>
      </c>
      <c r="C48" s="155" t="s">
        <v>87</v>
      </c>
      <c r="D48" s="155" t="s">
        <v>4805</v>
      </c>
      <c r="E48" s="158" t="s">
        <v>4768</v>
      </c>
      <c r="F48" s="158" t="s">
        <v>4752</v>
      </c>
      <c r="G48" s="158"/>
      <c r="H48" s="158" t="s">
        <v>4752</v>
      </c>
      <c r="I48" s="158" t="s">
        <v>4752</v>
      </c>
      <c r="J48" s="158" t="s">
        <v>4752</v>
      </c>
      <c r="K48" s="158"/>
      <c r="L48" s="158" t="s">
        <v>4769</v>
      </c>
      <c r="M48" s="158"/>
      <c r="N48" s="158"/>
      <c r="O48" s="155" t="s">
        <v>4753</v>
      </c>
      <c r="P48" s="155" t="s">
        <v>4768</v>
      </c>
      <c r="Q48" s="158" t="s">
        <v>4752</v>
      </c>
      <c r="R48" s="158" t="s">
        <v>4752</v>
      </c>
      <c r="S48" s="158" t="s">
        <v>4752</v>
      </c>
      <c r="T48" s="155" t="str">
        <f ca="1">IF(Tabla15[[#This Row],[FECHA FIN CONVENIO]]&gt;TODAY(),"Vigente","Vencido")</f>
        <v>Vigente</v>
      </c>
      <c r="U48" s="156">
        <v>0</v>
      </c>
      <c r="V48" s="155">
        <v>0</v>
      </c>
      <c r="W48" s="155">
        <v>0</v>
      </c>
      <c r="X48" s="155">
        <v>0</v>
      </c>
      <c r="Y48" s="155">
        <v>0</v>
      </c>
      <c r="Z48" s="157">
        <v>47601</v>
      </c>
      <c r="AA48" s="155" t="s">
        <v>4959</v>
      </c>
      <c r="AB48" s="155" t="s">
        <v>4960</v>
      </c>
      <c r="AC48" s="155">
        <v>0</v>
      </c>
      <c r="AD48" s="155">
        <v>0</v>
      </c>
      <c r="AE48" s="155">
        <v>0</v>
      </c>
    </row>
    <row r="49" spans="1:31" ht="31.5">
      <c r="A49" s="155">
        <v>48</v>
      </c>
      <c r="B49" s="156" t="s">
        <v>88</v>
      </c>
      <c r="C49" s="155" t="s">
        <v>58</v>
      </c>
      <c r="D49" s="155" t="s">
        <v>4806</v>
      </c>
      <c r="E49" s="158" t="s">
        <v>4768</v>
      </c>
      <c r="F49" s="158" t="s">
        <v>4752</v>
      </c>
      <c r="G49" s="158"/>
      <c r="H49" s="158" t="s">
        <v>4752</v>
      </c>
      <c r="I49" s="158" t="s">
        <v>4752</v>
      </c>
      <c r="J49" s="158" t="s">
        <v>4752</v>
      </c>
      <c r="K49" s="158"/>
      <c r="L49" s="158" t="s">
        <v>4769</v>
      </c>
      <c r="M49" s="158"/>
      <c r="N49" s="158"/>
      <c r="O49" s="155" t="s">
        <v>4753</v>
      </c>
      <c r="P49" s="155" t="s">
        <v>4768</v>
      </c>
      <c r="Q49" s="158" t="s">
        <v>4752</v>
      </c>
      <c r="R49" s="158" t="s">
        <v>470</v>
      </c>
      <c r="S49" s="158" t="s">
        <v>4752</v>
      </c>
      <c r="T49" s="155" t="str">
        <f ca="1">IF(Tabla15[[#This Row],[FECHA FIN CONVENIO]]&gt;TODAY(),"Vigente","Vencido")</f>
        <v>Vigente</v>
      </c>
      <c r="U49" s="156" t="s">
        <v>4946</v>
      </c>
      <c r="V49" s="157">
        <v>40851</v>
      </c>
      <c r="W49" s="157" t="s">
        <v>4961</v>
      </c>
      <c r="X49" s="157" t="s">
        <v>4962</v>
      </c>
      <c r="Y49" s="155">
        <v>5</v>
      </c>
      <c r="Z49" s="157">
        <v>46691</v>
      </c>
      <c r="AA49" s="155" t="s">
        <v>4963</v>
      </c>
      <c r="AB49" s="155">
        <v>0</v>
      </c>
      <c r="AC49" s="155">
        <v>0</v>
      </c>
      <c r="AD49" s="155" t="s">
        <v>4869</v>
      </c>
      <c r="AE49" s="155" t="s">
        <v>4859</v>
      </c>
    </row>
    <row r="50" spans="1:31" ht="31.5">
      <c r="A50" s="155">
        <v>49</v>
      </c>
      <c r="B50" s="156" t="s">
        <v>89</v>
      </c>
      <c r="C50" s="155" t="s">
        <v>90</v>
      </c>
      <c r="D50" s="155" t="s">
        <v>4807</v>
      </c>
      <c r="E50" s="158" t="s">
        <v>4768</v>
      </c>
      <c r="F50" s="158" t="s">
        <v>4752</v>
      </c>
      <c r="G50" s="158" t="s">
        <v>4752</v>
      </c>
      <c r="H50" s="158" t="s">
        <v>4752</v>
      </c>
      <c r="I50" s="158" t="s">
        <v>4752</v>
      </c>
      <c r="J50" s="158" t="s">
        <v>4752</v>
      </c>
      <c r="K50" s="158"/>
      <c r="L50" s="158" t="s">
        <v>4769</v>
      </c>
      <c r="M50" s="158"/>
      <c r="N50" s="158"/>
      <c r="O50" s="155" t="s">
        <v>4753</v>
      </c>
      <c r="P50" s="155" t="s">
        <v>4768</v>
      </c>
      <c r="Q50" s="158" t="s">
        <v>4752</v>
      </c>
      <c r="R50" s="158" t="s">
        <v>4752</v>
      </c>
      <c r="S50" s="158" t="s">
        <v>4752</v>
      </c>
      <c r="T50" s="155" t="str">
        <f ca="1">IF(Tabla15[[#This Row],[FECHA FIN CONVENIO]]&gt;TODAY(),"Vigente","Vencido")</f>
        <v>Vigente</v>
      </c>
      <c r="U50" s="156" t="s">
        <v>4964</v>
      </c>
      <c r="V50" s="157">
        <v>44032</v>
      </c>
      <c r="W50" s="157">
        <v>44032</v>
      </c>
      <c r="X50" s="157">
        <v>45858</v>
      </c>
      <c r="Y50" s="155">
        <v>5</v>
      </c>
      <c r="Z50" s="157">
        <v>47684</v>
      </c>
      <c r="AA50" s="155" t="s">
        <v>5034</v>
      </c>
      <c r="AB50" s="155">
        <v>0</v>
      </c>
      <c r="AC50" s="155">
        <v>0</v>
      </c>
      <c r="AD50" s="155">
        <v>0</v>
      </c>
      <c r="AE50" s="155" t="s">
        <v>4965</v>
      </c>
    </row>
    <row r="51" spans="1:31">
      <c r="A51" s="155">
        <v>50</v>
      </c>
      <c r="B51" s="156" t="s">
        <v>116</v>
      </c>
      <c r="C51" s="155" t="s">
        <v>79</v>
      </c>
      <c r="D51" s="155" t="s">
        <v>4821</v>
      </c>
      <c r="E51" s="158" t="s">
        <v>4768</v>
      </c>
      <c r="F51" s="158" t="s">
        <v>4752</v>
      </c>
      <c r="G51" s="158"/>
      <c r="H51" s="158" t="s">
        <v>4752</v>
      </c>
      <c r="I51" s="158" t="s">
        <v>4752</v>
      </c>
      <c r="J51" s="158" t="s">
        <v>4752</v>
      </c>
      <c r="K51" s="158"/>
      <c r="L51" s="158" t="s">
        <v>4769</v>
      </c>
      <c r="M51" s="158"/>
      <c r="N51" s="158"/>
      <c r="O51" s="155" t="s">
        <v>4753</v>
      </c>
      <c r="P51" s="155" t="s">
        <v>4768</v>
      </c>
      <c r="Q51" s="158" t="s">
        <v>4752</v>
      </c>
      <c r="R51" s="158" t="s">
        <v>470</v>
      </c>
      <c r="S51" s="158" t="s">
        <v>470</v>
      </c>
      <c r="T51" s="155" t="str">
        <f ca="1">IF(Tabla15[[#This Row],[FECHA FIN CONVENIO]]&gt;TODAY(),"Vigente","Vencido")</f>
        <v>Vigente</v>
      </c>
      <c r="U51" s="156">
        <v>0</v>
      </c>
      <c r="V51" s="155">
        <v>0</v>
      </c>
      <c r="W51" s="155">
        <v>0</v>
      </c>
      <c r="X51" s="155">
        <v>0</v>
      </c>
      <c r="Y51" s="155">
        <v>0</v>
      </c>
      <c r="Z51" s="157">
        <v>46861</v>
      </c>
      <c r="AA51" s="155">
        <v>0</v>
      </c>
      <c r="AB51" s="155">
        <v>0</v>
      </c>
      <c r="AC51" s="155">
        <v>0</v>
      </c>
      <c r="AD51" s="155">
        <v>0</v>
      </c>
      <c r="AE51" s="155">
        <v>0</v>
      </c>
    </row>
    <row r="52" spans="1:31" ht="31.5">
      <c r="A52" s="155">
        <v>51</v>
      </c>
      <c r="B52" s="156" t="s">
        <v>118</v>
      </c>
      <c r="C52" s="155" t="s">
        <v>169</v>
      </c>
      <c r="D52" s="155" t="s">
        <v>169</v>
      </c>
      <c r="E52" s="158" t="s">
        <v>4768</v>
      </c>
      <c r="F52" s="158" t="s">
        <v>4752</v>
      </c>
      <c r="G52" s="158" t="s">
        <v>4752</v>
      </c>
      <c r="H52" s="158" t="s">
        <v>4752</v>
      </c>
      <c r="I52" s="158" t="s">
        <v>4752</v>
      </c>
      <c r="J52" s="158" t="s">
        <v>4752</v>
      </c>
      <c r="K52" s="158"/>
      <c r="L52" s="158" t="s">
        <v>4769</v>
      </c>
      <c r="M52" s="158"/>
      <c r="N52" s="158"/>
      <c r="O52" s="155" t="s">
        <v>4753</v>
      </c>
      <c r="P52" s="155" t="s">
        <v>4768</v>
      </c>
      <c r="Q52" s="158" t="s">
        <v>4752</v>
      </c>
      <c r="R52" s="158" t="s">
        <v>4752</v>
      </c>
      <c r="S52" s="158" t="s">
        <v>4752</v>
      </c>
      <c r="T52" s="155" t="str">
        <f ca="1">IF(Tabla15[[#This Row],[FECHA FIN CONVENIO]]&gt;TODAY(),"Vigente","Vencido")</f>
        <v>Vigente</v>
      </c>
      <c r="U52" s="156">
        <v>0</v>
      </c>
      <c r="V52" s="155">
        <v>0</v>
      </c>
      <c r="W52" s="155">
        <v>0</v>
      </c>
      <c r="X52" s="155">
        <v>0</v>
      </c>
      <c r="Y52" s="155">
        <v>0</v>
      </c>
      <c r="Z52" s="157">
        <v>46872</v>
      </c>
      <c r="AA52" s="155">
        <v>0</v>
      </c>
      <c r="AB52" s="155">
        <v>0</v>
      </c>
      <c r="AC52" s="155">
        <v>0</v>
      </c>
      <c r="AD52" s="155">
        <v>0</v>
      </c>
      <c r="AE52" s="155">
        <v>0</v>
      </c>
    </row>
    <row r="53" spans="1:31" ht="31.5">
      <c r="A53" s="155">
        <v>52</v>
      </c>
      <c r="B53" s="156" t="s">
        <v>91</v>
      </c>
      <c r="C53" s="155" t="s">
        <v>41</v>
      </c>
      <c r="D53" s="155" t="s">
        <v>4808</v>
      </c>
      <c r="E53" s="158" t="s">
        <v>4768</v>
      </c>
      <c r="F53" s="158" t="s">
        <v>4752</v>
      </c>
      <c r="G53" s="158" t="s">
        <v>4752</v>
      </c>
      <c r="H53" s="158" t="s">
        <v>4752</v>
      </c>
      <c r="I53" s="158" t="s">
        <v>4752</v>
      </c>
      <c r="J53" s="158"/>
      <c r="K53" s="158"/>
      <c r="L53" s="158" t="s">
        <v>4769</v>
      </c>
      <c r="M53" s="158"/>
      <c r="N53" s="158"/>
      <c r="O53" s="155" t="s">
        <v>4753</v>
      </c>
      <c r="P53" s="155" t="s">
        <v>4768</v>
      </c>
      <c r="Q53" s="158" t="s">
        <v>4752</v>
      </c>
      <c r="R53" s="158" t="s">
        <v>4752</v>
      </c>
      <c r="S53" s="158" t="s">
        <v>4752</v>
      </c>
      <c r="T53" s="155" t="str">
        <f ca="1">IF(Tabla15[[#This Row],[FECHA FIN CONVENIO]]&gt;TODAY(),"Vigente","Vencido")</f>
        <v>Vigente</v>
      </c>
      <c r="U53" s="156" t="s">
        <v>4836</v>
      </c>
      <c r="V53" s="157">
        <v>34390</v>
      </c>
      <c r="W53" s="157">
        <v>41990</v>
      </c>
      <c r="X53" s="157" t="s">
        <v>4837</v>
      </c>
      <c r="Y53" s="155">
        <v>5</v>
      </c>
      <c r="Z53" s="157">
        <v>46352</v>
      </c>
      <c r="AA53" s="155" t="s">
        <v>4838</v>
      </c>
      <c r="AD53" s="155" t="s">
        <v>4839</v>
      </c>
      <c r="AE53" s="155" t="s">
        <v>5035</v>
      </c>
    </row>
    <row r="54" spans="1:31">
      <c r="A54" s="155">
        <v>53</v>
      </c>
      <c r="B54" s="156" t="s">
        <v>91</v>
      </c>
      <c r="C54" s="155" t="s">
        <v>41</v>
      </c>
      <c r="D54" s="155" t="s">
        <v>4808</v>
      </c>
      <c r="E54" s="158" t="s">
        <v>4769</v>
      </c>
      <c r="F54" s="158" t="s">
        <v>4752</v>
      </c>
      <c r="G54" s="158" t="s">
        <v>4752</v>
      </c>
      <c r="H54" s="158"/>
      <c r="I54" s="158"/>
      <c r="J54" s="158"/>
      <c r="K54" s="158"/>
      <c r="L54" s="158" t="s">
        <v>4768</v>
      </c>
      <c r="M54" s="158" t="s">
        <v>4752</v>
      </c>
      <c r="N54" s="158"/>
      <c r="O54" s="155" t="s">
        <v>446</v>
      </c>
      <c r="P54" s="155" t="s">
        <v>4768</v>
      </c>
      <c r="Q54" s="158" t="s">
        <v>4752</v>
      </c>
      <c r="R54" s="158" t="s">
        <v>4752</v>
      </c>
      <c r="S54" s="158" t="s">
        <v>4752</v>
      </c>
      <c r="T54" s="155" t="str">
        <f ca="1">IF(Tabla15[[#This Row],[FECHA FIN CONVENIO]]&gt;TODAY(),"Vigente","Vencido")</f>
        <v>Vigente</v>
      </c>
      <c r="U54" s="156" t="s">
        <v>4966</v>
      </c>
      <c r="V54" s="157">
        <v>36560</v>
      </c>
      <c r="W54" s="157" t="s">
        <v>4967</v>
      </c>
      <c r="X54" s="155">
        <v>0</v>
      </c>
      <c r="Y54" s="155">
        <v>1</v>
      </c>
      <c r="Z54" s="157">
        <v>46453</v>
      </c>
      <c r="AA54" s="155" t="s">
        <v>4968</v>
      </c>
      <c r="AB54" s="155">
        <v>0</v>
      </c>
      <c r="AC54" s="155" t="s">
        <v>4969</v>
      </c>
      <c r="AD54" s="155" t="s">
        <v>4839</v>
      </c>
      <c r="AE54" s="155" t="s">
        <v>4840</v>
      </c>
    </row>
    <row r="55" spans="1:31" s="161" customFormat="1" ht="31.5">
      <c r="A55" s="155">
        <v>54</v>
      </c>
      <c r="B55" s="162" t="s">
        <v>92</v>
      </c>
      <c r="C55" s="161" t="s">
        <v>93</v>
      </c>
      <c r="D55" s="161" t="s">
        <v>295</v>
      </c>
      <c r="E55" s="163" t="s">
        <v>4768</v>
      </c>
      <c r="F55" s="163" t="s">
        <v>4752</v>
      </c>
      <c r="G55" s="163" t="s">
        <v>4752</v>
      </c>
      <c r="H55" s="163"/>
      <c r="I55" s="163"/>
      <c r="J55" s="163"/>
      <c r="K55" s="163"/>
      <c r="L55" s="163" t="s">
        <v>4769</v>
      </c>
      <c r="M55" s="163"/>
      <c r="N55" s="163"/>
      <c r="O55" s="161" t="s">
        <v>4753</v>
      </c>
      <c r="P55" s="161" t="s">
        <v>4768</v>
      </c>
      <c r="Q55" s="163" t="s">
        <v>4752</v>
      </c>
      <c r="R55" s="163" t="s">
        <v>470</v>
      </c>
      <c r="S55" s="163" t="s">
        <v>470</v>
      </c>
      <c r="T55" s="155" t="str">
        <f ca="1">IF(Tabla15[[#This Row],[FECHA FIN CONVENIO]]&gt;TODAY(),"Vigente","Vencido")</f>
        <v>Vigente</v>
      </c>
      <c r="U55" s="162" t="s">
        <v>4970</v>
      </c>
      <c r="V55" s="165" t="s">
        <v>4971</v>
      </c>
      <c r="W55" s="165">
        <v>40023</v>
      </c>
      <c r="X55" s="161">
        <v>0</v>
      </c>
      <c r="Y55" s="161">
        <v>5</v>
      </c>
      <c r="Z55" s="165">
        <v>46538</v>
      </c>
      <c r="AA55" s="161" t="s">
        <v>4972</v>
      </c>
      <c r="AB55" s="161">
        <v>0</v>
      </c>
      <c r="AC55" s="161">
        <v>0</v>
      </c>
      <c r="AD55" s="161" t="s">
        <v>4869</v>
      </c>
      <c r="AE55" s="161" t="s">
        <v>4973</v>
      </c>
    </row>
    <row r="56" spans="1:31" ht="31.5">
      <c r="A56" s="155">
        <v>55</v>
      </c>
      <c r="B56" s="156" t="s">
        <v>94</v>
      </c>
      <c r="C56" s="155" t="s">
        <v>79</v>
      </c>
      <c r="D56" s="155" t="s">
        <v>4809</v>
      </c>
      <c r="E56" s="158" t="s">
        <v>4768</v>
      </c>
      <c r="F56" s="158" t="s">
        <v>4752</v>
      </c>
      <c r="G56" s="158"/>
      <c r="H56" s="158"/>
      <c r="I56" s="158"/>
      <c r="J56" s="158"/>
      <c r="K56" s="158"/>
      <c r="L56" s="158" t="s">
        <v>4769</v>
      </c>
      <c r="M56" s="158"/>
      <c r="N56" s="158"/>
      <c r="O56" s="155" t="s">
        <v>4753</v>
      </c>
      <c r="P56" s="155" t="s">
        <v>4768</v>
      </c>
      <c r="Q56" s="158" t="s">
        <v>4752</v>
      </c>
      <c r="R56" s="158" t="s">
        <v>470</v>
      </c>
      <c r="S56" s="158" t="s">
        <v>470</v>
      </c>
      <c r="T56" s="155" t="str">
        <f ca="1">IF(Tabla15[[#This Row],[FECHA FIN CONVENIO]]&gt;TODAY(),"Vigente","Vencido")</f>
        <v>Vigente</v>
      </c>
      <c r="U56" s="156" t="s">
        <v>4974</v>
      </c>
      <c r="V56" s="157">
        <v>38495</v>
      </c>
      <c r="W56" s="157" t="s">
        <v>4975</v>
      </c>
      <c r="X56" s="157" t="s">
        <v>4976</v>
      </c>
      <c r="Y56" s="155">
        <v>5</v>
      </c>
      <c r="Z56" s="157">
        <v>46603</v>
      </c>
      <c r="AA56" s="155" t="s">
        <v>4977</v>
      </c>
      <c r="AB56" s="155" t="s">
        <v>4978</v>
      </c>
      <c r="AC56" s="155">
        <v>0</v>
      </c>
      <c r="AD56" s="155" t="s">
        <v>4869</v>
      </c>
      <c r="AE56" s="155" t="s">
        <v>4979</v>
      </c>
    </row>
    <row r="57" spans="1:31">
      <c r="A57" s="155">
        <v>56</v>
      </c>
      <c r="B57" s="156" t="s">
        <v>94</v>
      </c>
      <c r="C57" s="155" t="s">
        <v>79</v>
      </c>
      <c r="D57" s="155" t="s">
        <v>4809</v>
      </c>
      <c r="E57" s="158" t="s">
        <v>4769</v>
      </c>
      <c r="F57" s="158"/>
      <c r="G57" s="158"/>
      <c r="H57" s="158"/>
      <c r="I57" s="158"/>
      <c r="J57" s="158"/>
      <c r="K57" s="158"/>
      <c r="L57" s="158" t="s">
        <v>4768</v>
      </c>
      <c r="M57" s="158" t="s">
        <v>4752</v>
      </c>
      <c r="N57" s="158"/>
      <c r="O57" s="155" t="s">
        <v>446</v>
      </c>
      <c r="P57" s="155" t="s">
        <v>4768</v>
      </c>
      <c r="Q57" s="158" t="s">
        <v>4752</v>
      </c>
      <c r="R57" s="158" t="s">
        <v>470</v>
      </c>
      <c r="S57" s="158" t="s">
        <v>470</v>
      </c>
      <c r="T57" s="155" t="str">
        <f ca="1">IF(Tabla15[[#This Row],[FECHA FIN CONVENIO]]&gt;TODAY(),"Vigente","Vencido")</f>
        <v>Vigente</v>
      </c>
      <c r="V57" s="157"/>
      <c r="W57" s="157"/>
      <c r="X57" s="157"/>
      <c r="Z57" s="157">
        <v>46603</v>
      </c>
      <c r="AA57" s="155" t="s">
        <v>5036</v>
      </c>
      <c r="AD57" s="155" t="s">
        <v>4834</v>
      </c>
      <c r="AE57" s="155" t="s">
        <v>4979</v>
      </c>
    </row>
    <row r="58" spans="1:31">
      <c r="A58" s="155">
        <v>57</v>
      </c>
      <c r="B58" s="156" t="s">
        <v>95</v>
      </c>
      <c r="C58" s="155" t="s">
        <v>96</v>
      </c>
      <c r="D58" s="155" t="s">
        <v>4810</v>
      </c>
      <c r="E58" s="158" t="s">
        <v>4768</v>
      </c>
      <c r="F58" s="158" t="s">
        <v>4752</v>
      </c>
      <c r="G58" s="158" t="s">
        <v>4752</v>
      </c>
      <c r="H58" s="158"/>
      <c r="I58" s="158"/>
      <c r="J58" s="158"/>
      <c r="K58" s="158"/>
      <c r="L58" s="158" t="s">
        <v>4769</v>
      </c>
      <c r="M58" s="158"/>
      <c r="N58" s="158"/>
      <c r="O58" s="155" t="s">
        <v>4753</v>
      </c>
      <c r="P58" s="155" t="s">
        <v>4768</v>
      </c>
      <c r="Q58" s="158" t="s">
        <v>4752</v>
      </c>
      <c r="R58" s="158" t="s">
        <v>4752</v>
      </c>
      <c r="S58" s="158" t="s">
        <v>470</v>
      </c>
      <c r="T58" s="155" t="str">
        <f ca="1">IF(Tabla15[[#This Row],[FECHA FIN CONVENIO]]&gt;TODAY(),"Vigente","Vencido")</f>
        <v>Vigente</v>
      </c>
      <c r="U58" s="156" t="s">
        <v>4980</v>
      </c>
      <c r="V58" s="157">
        <v>37580</v>
      </c>
      <c r="W58" s="157">
        <v>42318</v>
      </c>
      <c r="X58" s="157" t="s">
        <v>4837</v>
      </c>
      <c r="Y58" s="155">
        <v>3</v>
      </c>
      <c r="Z58" s="157">
        <v>46939</v>
      </c>
      <c r="AA58" s="155" t="s">
        <v>4981</v>
      </c>
      <c r="AB58" s="155" t="s">
        <v>4982</v>
      </c>
      <c r="AC58" s="155">
        <v>0</v>
      </c>
      <c r="AD58" s="155" t="s">
        <v>4869</v>
      </c>
      <c r="AE58" s="155" t="s">
        <v>4983</v>
      </c>
    </row>
    <row r="59" spans="1:31">
      <c r="A59" s="155">
        <v>58</v>
      </c>
      <c r="B59" s="156" t="s">
        <v>4760</v>
      </c>
      <c r="C59" s="155" t="s">
        <v>53</v>
      </c>
      <c r="D59" s="155" t="s">
        <v>4783</v>
      </c>
      <c r="E59" s="158" t="s">
        <v>4769</v>
      </c>
      <c r="F59" s="158"/>
      <c r="G59" s="158"/>
      <c r="H59" s="158"/>
      <c r="I59" s="158"/>
      <c r="J59" s="158"/>
      <c r="K59" s="158"/>
      <c r="L59" s="158" t="s">
        <v>4769</v>
      </c>
      <c r="M59" s="158"/>
      <c r="N59" s="158"/>
      <c r="O59" s="155" t="s">
        <v>4758</v>
      </c>
      <c r="P59" s="155" t="s">
        <v>4768</v>
      </c>
      <c r="Q59" s="158" t="s">
        <v>470</v>
      </c>
      <c r="R59" s="158" t="s">
        <v>470</v>
      </c>
      <c r="S59" s="158" t="s">
        <v>4752</v>
      </c>
      <c r="T59" s="155" t="str">
        <f ca="1">IF(Tabla15[[#This Row],[FECHA FIN CONVENIO]]&gt;TODAY(),"Vigente","Vencido")</f>
        <v>Vigente</v>
      </c>
      <c r="U59" s="156">
        <v>0</v>
      </c>
      <c r="V59" s="155">
        <v>0</v>
      </c>
      <c r="W59" s="155">
        <v>0</v>
      </c>
      <c r="X59" s="155">
        <v>0</v>
      </c>
      <c r="Y59" s="155">
        <v>0</v>
      </c>
      <c r="Z59" s="157">
        <v>47085</v>
      </c>
      <c r="AA59" s="155">
        <v>0</v>
      </c>
      <c r="AB59" s="155">
        <v>0</v>
      </c>
      <c r="AC59" s="155">
        <v>0</v>
      </c>
      <c r="AD59" s="155">
        <v>0</v>
      </c>
      <c r="AE59" s="155">
        <v>0</v>
      </c>
    </row>
    <row r="60" spans="1:31" ht="31.5">
      <c r="A60" s="155">
        <v>59</v>
      </c>
      <c r="B60" s="156" t="s">
        <v>4248</v>
      </c>
      <c r="C60" s="155" t="s">
        <v>62</v>
      </c>
      <c r="D60" s="155" t="s">
        <v>4823</v>
      </c>
      <c r="E60" s="158" t="s">
        <v>4769</v>
      </c>
      <c r="F60" s="158"/>
      <c r="G60" s="158"/>
      <c r="H60" s="158"/>
      <c r="I60" s="158"/>
      <c r="J60" s="158"/>
      <c r="K60" s="158"/>
      <c r="L60" s="158" t="s">
        <v>4769</v>
      </c>
      <c r="M60" s="158"/>
      <c r="N60" s="158"/>
      <c r="O60" s="155" t="s">
        <v>4758</v>
      </c>
      <c r="P60" s="155" t="s">
        <v>4769</v>
      </c>
      <c r="Q60" s="158" t="s">
        <v>470</v>
      </c>
      <c r="R60" s="158" t="s">
        <v>470</v>
      </c>
      <c r="S60" s="158" t="s">
        <v>470</v>
      </c>
      <c r="T60" s="155" t="str">
        <f ca="1">IF(Tabla15[[#This Row],[FECHA FIN CONVENIO]]&gt;TODAY(),"Vigente","Vencido")</f>
        <v>Vigente</v>
      </c>
      <c r="U60" s="156">
        <v>0</v>
      </c>
      <c r="V60" s="155">
        <v>0</v>
      </c>
      <c r="W60" s="155">
        <v>0</v>
      </c>
      <c r="X60" s="155">
        <v>0</v>
      </c>
      <c r="Y60" s="155">
        <v>0</v>
      </c>
      <c r="Z60" s="157">
        <v>47081</v>
      </c>
      <c r="AA60" s="155">
        <v>0</v>
      </c>
      <c r="AB60" s="155">
        <v>0</v>
      </c>
      <c r="AC60" s="155">
        <v>0</v>
      </c>
      <c r="AD60" s="155">
        <v>0</v>
      </c>
      <c r="AE60" s="155">
        <v>0</v>
      </c>
    </row>
    <row r="61" spans="1:31" s="161" customFormat="1" ht="31.5">
      <c r="A61" s="155">
        <v>60</v>
      </c>
      <c r="B61" s="162" t="s">
        <v>97</v>
      </c>
      <c r="C61" s="161" t="s">
        <v>87</v>
      </c>
      <c r="D61" s="161" t="s">
        <v>4811</v>
      </c>
      <c r="E61" s="163" t="s">
        <v>4768</v>
      </c>
      <c r="F61" s="163" t="s">
        <v>4752</v>
      </c>
      <c r="G61" s="163" t="s">
        <v>4752</v>
      </c>
      <c r="H61" s="163"/>
      <c r="I61" s="163"/>
      <c r="J61" s="163"/>
      <c r="K61" s="163"/>
      <c r="L61" s="163" t="s">
        <v>4769</v>
      </c>
      <c r="M61" s="163"/>
      <c r="N61" s="163"/>
      <c r="O61" s="161" t="s">
        <v>4753</v>
      </c>
      <c r="P61" s="161" t="s">
        <v>4768</v>
      </c>
      <c r="Q61" s="163" t="s">
        <v>4752</v>
      </c>
      <c r="R61" s="163" t="s">
        <v>4752</v>
      </c>
      <c r="S61" s="163" t="s">
        <v>4752</v>
      </c>
      <c r="T61" s="155" t="str">
        <f ca="1">IF(Tabla15[[#This Row],[FECHA FIN CONVENIO]]&gt;TODAY(),"Vigente","Vencido")</f>
        <v>Vigente</v>
      </c>
      <c r="U61" s="162" t="s">
        <v>4966</v>
      </c>
      <c r="V61" s="165" t="s">
        <v>4984</v>
      </c>
      <c r="W61" s="165" t="s">
        <v>4985</v>
      </c>
      <c r="X61" s="165">
        <v>43483</v>
      </c>
      <c r="Y61" s="161">
        <v>5</v>
      </c>
      <c r="Z61" s="165">
        <v>46940</v>
      </c>
      <c r="AA61" s="161" t="s">
        <v>4986</v>
      </c>
      <c r="AB61" s="161" t="s">
        <v>4987</v>
      </c>
      <c r="AC61" s="161">
        <v>0</v>
      </c>
      <c r="AD61" s="161" t="s">
        <v>4869</v>
      </c>
      <c r="AE61" s="161" t="s">
        <v>4988</v>
      </c>
    </row>
    <row r="62" spans="1:31" ht="47.25">
      <c r="A62" s="155">
        <v>61</v>
      </c>
      <c r="B62" s="156" t="s">
        <v>98</v>
      </c>
      <c r="C62" s="155" t="s">
        <v>79</v>
      </c>
      <c r="D62" s="155" t="s">
        <v>4812</v>
      </c>
      <c r="E62" s="158" t="s">
        <v>4768</v>
      </c>
      <c r="F62" s="158"/>
      <c r="G62" s="158" t="s">
        <v>4752</v>
      </c>
      <c r="H62" s="158"/>
      <c r="I62" s="158"/>
      <c r="J62" s="158"/>
      <c r="K62" s="158"/>
      <c r="L62" s="158" t="s">
        <v>4769</v>
      </c>
      <c r="M62" s="158"/>
      <c r="N62" s="158"/>
      <c r="O62" s="155" t="s">
        <v>4753</v>
      </c>
      <c r="P62" s="155" t="s">
        <v>4769</v>
      </c>
      <c r="Q62" s="158" t="s">
        <v>470</v>
      </c>
      <c r="R62" s="158" t="s">
        <v>470</v>
      </c>
      <c r="S62" s="158" t="s">
        <v>470</v>
      </c>
      <c r="T62" s="155" t="str">
        <f ca="1">IF(Tabla15[[#This Row],[FECHA FIN CONVENIO]]&gt;TODAY(),"Vigente","Vencido")</f>
        <v>Vigente</v>
      </c>
      <c r="U62" s="156" t="s">
        <v>4989</v>
      </c>
      <c r="V62" s="157">
        <v>41782</v>
      </c>
      <c r="W62" s="157" t="s">
        <v>4990</v>
      </c>
      <c r="X62" s="157">
        <v>43531</v>
      </c>
      <c r="Y62" s="155">
        <v>5</v>
      </c>
      <c r="Z62" s="157">
        <v>47303</v>
      </c>
      <c r="AA62" s="155">
        <v>0</v>
      </c>
      <c r="AB62" s="155" t="s">
        <v>4991</v>
      </c>
      <c r="AC62" s="155">
        <v>0</v>
      </c>
      <c r="AD62" s="155" t="s">
        <v>4834</v>
      </c>
      <c r="AE62" s="155" t="s">
        <v>4992</v>
      </c>
    </row>
    <row r="63" spans="1:31">
      <c r="A63" s="155">
        <v>62</v>
      </c>
      <c r="B63" s="156" t="s">
        <v>120</v>
      </c>
      <c r="C63" s="155" t="s">
        <v>60</v>
      </c>
      <c r="D63" s="155" t="s">
        <v>4813</v>
      </c>
      <c r="E63" s="158" t="s">
        <v>4768</v>
      </c>
      <c r="F63" s="158" t="s">
        <v>4752</v>
      </c>
      <c r="G63" s="158"/>
      <c r="H63" s="158"/>
      <c r="I63" s="158"/>
      <c r="J63" s="158"/>
      <c r="K63" s="158"/>
      <c r="L63" s="158" t="s">
        <v>4769</v>
      </c>
      <c r="M63" s="158"/>
      <c r="N63" s="158"/>
      <c r="O63" s="155" t="s">
        <v>4753</v>
      </c>
      <c r="P63" s="155" t="s">
        <v>4768</v>
      </c>
      <c r="Q63" s="158" t="s">
        <v>470</v>
      </c>
      <c r="R63" s="158" t="s">
        <v>470</v>
      </c>
      <c r="S63" s="158" t="s">
        <v>4752</v>
      </c>
      <c r="T63" s="155" t="str">
        <f ca="1">IF(Tabla15[[#This Row],[FECHA FIN CONVENIO]]&gt;TODAY(),"Vigente","Vencido")</f>
        <v>Vigente</v>
      </c>
      <c r="U63" s="156">
        <v>0</v>
      </c>
      <c r="V63" s="155">
        <v>0</v>
      </c>
      <c r="W63" s="155">
        <v>0</v>
      </c>
      <c r="X63" s="155">
        <v>0</v>
      </c>
      <c r="Y63" s="155">
        <v>0</v>
      </c>
      <c r="Z63" s="157">
        <v>46688</v>
      </c>
      <c r="AA63" s="155">
        <v>0</v>
      </c>
      <c r="AB63" s="155">
        <v>0</v>
      </c>
      <c r="AC63" s="155">
        <v>0</v>
      </c>
      <c r="AD63" s="155">
        <v>0</v>
      </c>
      <c r="AE63" s="155">
        <v>0</v>
      </c>
    </row>
    <row r="64" spans="1:31">
      <c r="A64" s="155">
        <v>63</v>
      </c>
      <c r="B64" s="156" t="s">
        <v>99</v>
      </c>
      <c r="C64" s="155" t="s">
        <v>39</v>
      </c>
      <c r="D64" s="155" t="s">
        <v>4814</v>
      </c>
      <c r="E64" s="158" t="s">
        <v>4768</v>
      </c>
      <c r="F64" s="158" t="s">
        <v>4752</v>
      </c>
      <c r="G64" s="158"/>
      <c r="H64" s="158"/>
      <c r="I64" s="158"/>
      <c r="J64" s="158"/>
      <c r="K64" s="158"/>
      <c r="L64" s="158" t="s">
        <v>4769</v>
      </c>
      <c r="M64" s="158"/>
      <c r="N64" s="158"/>
      <c r="O64" s="155" t="s">
        <v>4753</v>
      </c>
      <c r="P64" s="155" t="s">
        <v>4768</v>
      </c>
      <c r="Q64" s="158" t="s">
        <v>4752</v>
      </c>
      <c r="R64" s="158" t="s">
        <v>4752</v>
      </c>
      <c r="S64" s="158" t="s">
        <v>4752</v>
      </c>
      <c r="T64" s="155" t="str">
        <f ca="1">IF(Tabla15[[#This Row],[FECHA FIN CONVENIO]]&gt;TODAY(),"Vigente","Vencido")</f>
        <v>Vigente</v>
      </c>
      <c r="U64" s="156">
        <v>0</v>
      </c>
      <c r="V64" s="157">
        <v>43753</v>
      </c>
      <c r="W64" s="157">
        <v>43753</v>
      </c>
      <c r="X64" s="157">
        <v>45580</v>
      </c>
      <c r="Y64" s="155">
        <v>5</v>
      </c>
      <c r="Z64" s="157">
        <v>47406</v>
      </c>
      <c r="AA64" s="155">
        <v>0</v>
      </c>
      <c r="AB64" s="155" t="s">
        <v>4993</v>
      </c>
      <c r="AC64" s="155">
        <v>0</v>
      </c>
      <c r="AD64" s="155" t="s">
        <v>4869</v>
      </c>
      <c r="AE64" s="155" t="s">
        <v>4994</v>
      </c>
    </row>
    <row r="65" spans="1:31">
      <c r="A65" s="155">
        <v>64</v>
      </c>
      <c r="B65" s="156" t="s">
        <v>100</v>
      </c>
      <c r="C65" s="155" t="s">
        <v>39</v>
      </c>
      <c r="D65" s="155" t="s">
        <v>4815</v>
      </c>
      <c r="E65" s="158" t="s">
        <v>4768</v>
      </c>
      <c r="F65" s="158"/>
      <c r="G65" s="158" t="s">
        <v>4752</v>
      </c>
      <c r="H65" s="158"/>
      <c r="I65" s="158"/>
      <c r="J65" s="158"/>
      <c r="K65" s="158"/>
      <c r="L65" s="158" t="s">
        <v>4769</v>
      </c>
      <c r="M65" s="158"/>
      <c r="N65" s="158"/>
      <c r="O65" s="155" t="s">
        <v>4758</v>
      </c>
      <c r="P65" s="155" t="s">
        <v>4768</v>
      </c>
      <c r="Q65" s="158" t="s">
        <v>4752</v>
      </c>
      <c r="R65" s="158" t="s">
        <v>4752</v>
      </c>
      <c r="S65" s="158" t="s">
        <v>470</v>
      </c>
      <c r="T65" s="155" t="str">
        <f ca="1">IF(Tabla15[[#This Row],[FECHA FIN CONVENIO]]&gt;TODAY(),"Vigente","Vencido")</f>
        <v>Vigente</v>
      </c>
      <c r="U65" s="156">
        <v>0</v>
      </c>
      <c r="V65" s="157">
        <v>43376</v>
      </c>
      <c r="W65" s="157">
        <v>43376</v>
      </c>
      <c r="X65" s="157">
        <v>45202</v>
      </c>
      <c r="Y65" s="155">
        <v>5</v>
      </c>
      <c r="Z65" s="157">
        <v>47029</v>
      </c>
      <c r="AA65" s="155">
        <v>0</v>
      </c>
      <c r="AB65" s="155">
        <v>0</v>
      </c>
      <c r="AC65" s="155">
        <v>0</v>
      </c>
      <c r="AD65" s="155" t="s">
        <v>4869</v>
      </c>
      <c r="AE65" s="155" t="s">
        <v>4995</v>
      </c>
    </row>
    <row r="66" spans="1:31">
      <c r="A66" s="155">
        <v>65</v>
      </c>
      <c r="B66" s="156" t="s">
        <v>121</v>
      </c>
      <c r="C66" s="155" t="s">
        <v>60</v>
      </c>
      <c r="D66" s="155" t="s">
        <v>4816</v>
      </c>
      <c r="E66" s="158" t="s">
        <v>4768</v>
      </c>
      <c r="F66" s="158" t="s">
        <v>4752</v>
      </c>
      <c r="G66" s="158" t="s">
        <v>4752</v>
      </c>
      <c r="H66" s="158" t="s">
        <v>4752</v>
      </c>
      <c r="I66" s="158" t="s">
        <v>4752</v>
      </c>
      <c r="J66" s="158" t="s">
        <v>4752</v>
      </c>
      <c r="K66" s="158"/>
      <c r="L66" s="158" t="s">
        <v>4769</v>
      </c>
      <c r="M66" s="158"/>
      <c r="N66" s="158"/>
      <c r="O66" s="155" t="s">
        <v>4753</v>
      </c>
      <c r="P66" s="155" t="s">
        <v>4769</v>
      </c>
      <c r="Q66" s="158" t="s">
        <v>470</v>
      </c>
      <c r="R66" s="158" t="s">
        <v>470</v>
      </c>
      <c r="S66" s="158" t="s">
        <v>470</v>
      </c>
      <c r="T66" s="155" t="str">
        <f ca="1">IF(Tabla15[[#This Row],[FECHA FIN CONVENIO]]&gt;TODAY(),"Vigente","Vencido")</f>
        <v>Vigente</v>
      </c>
      <c r="U66" s="156" t="s">
        <v>4886</v>
      </c>
      <c r="V66" s="157">
        <v>37384</v>
      </c>
      <c r="W66" s="157">
        <v>43753</v>
      </c>
      <c r="X66" s="157" t="s">
        <v>4996</v>
      </c>
      <c r="Y66" s="155">
        <v>5</v>
      </c>
      <c r="Z66" s="157">
        <v>46273</v>
      </c>
      <c r="AA66" s="155" t="s">
        <v>4997</v>
      </c>
      <c r="AB66" s="155">
        <v>0</v>
      </c>
      <c r="AC66" s="155">
        <v>0</v>
      </c>
      <c r="AD66" s="155" t="s">
        <v>4858</v>
      </c>
      <c r="AE66" s="155" t="s">
        <v>4859</v>
      </c>
    </row>
    <row r="67" spans="1:31" ht="31.5">
      <c r="A67" s="155">
        <v>66</v>
      </c>
      <c r="B67" s="156" t="s">
        <v>101</v>
      </c>
      <c r="C67" s="155" t="s">
        <v>102</v>
      </c>
      <c r="D67" s="155" t="s">
        <v>4817</v>
      </c>
      <c r="E67" s="158" t="s">
        <v>4768</v>
      </c>
      <c r="F67" s="158" t="s">
        <v>4752</v>
      </c>
      <c r="G67" s="158" t="s">
        <v>4752</v>
      </c>
      <c r="H67" s="158" t="s">
        <v>4752</v>
      </c>
      <c r="I67" s="158" t="s">
        <v>4752</v>
      </c>
      <c r="J67" s="158" t="s">
        <v>4752</v>
      </c>
      <c r="K67" s="158"/>
      <c r="L67" s="158" t="s">
        <v>4769</v>
      </c>
      <c r="M67" s="158"/>
      <c r="N67" s="158"/>
      <c r="O67" s="155" t="s">
        <v>4753</v>
      </c>
      <c r="P67" s="155" t="s">
        <v>4768</v>
      </c>
      <c r="Q67" s="158" t="s">
        <v>4752</v>
      </c>
      <c r="R67" s="158" t="s">
        <v>4752</v>
      </c>
      <c r="S67" s="158" t="s">
        <v>4752</v>
      </c>
      <c r="T67" s="155" t="str">
        <f ca="1">IF(Tabla15[[#This Row],[FECHA FIN CONVENIO]]&gt;TODAY(),"Vigente","Vencido")</f>
        <v>Vigente</v>
      </c>
      <c r="U67" s="156" t="s">
        <v>4998</v>
      </c>
      <c r="V67" s="157">
        <v>39538</v>
      </c>
      <c r="W67" s="157" t="s">
        <v>4999</v>
      </c>
      <c r="X67" s="157" t="s">
        <v>5000</v>
      </c>
      <c r="Y67" s="155">
        <v>5</v>
      </c>
      <c r="Z67" s="157">
        <v>47360</v>
      </c>
      <c r="AA67" s="155" t="s">
        <v>5001</v>
      </c>
      <c r="AB67" s="155">
        <v>0</v>
      </c>
      <c r="AC67" s="155">
        <v>0</v>
      </c>
      <c r="AD67" s="155" t="s">
        <v>4869</v>
      </c>
      <c r="AE67" s="155" t="s">
        <v>5002</v>
      </c>
    </row>
    <row r="68" spans="1:31" s="161" customFormat="1" ht="31.5">
      <c r="A68" s="155">
        <v>67</v>
      </c>
      <c r="B68" s="162" t="s">
        <v>103</v>
      </c>
      <c r="C68" s="161" t="s">
        <v>60</v>
      </c>
      <c r="D68" s="161" t="s">
        <v>4818</v>
      </c>
      <c r="E68" s="163" t="s">
        <v>4768</v>
      </c>
      <c r="F68" s="163" t="s">
        <v>4752</v>
      </c>
      <c r="G68" s="163" t="s">
        <v>4752</v>
      </c>
      <c r="H68" s="163"/>
      <c r="I68" s="163"/>
      <c r="J68" s="163"/>
      <c r="K68" s="163"/>
      <c r="L68" s="163" t="s">
        <v>4769</v>
      </c>
      <c r="M68" s="163"/>
      <c r="N68" s="163"/>
      <c r="O68" s="161" t="s">
        <v>4753</v>
      </c>
      <c r="P68" s="161" t="s">
        <v>4768</v>
      </c>
      <c r="Q68" s="163" t="s">
        <v>4752</v>
      </c>
      <c r="R68" s="163" t="s">
        <v>4752</v>
      </c>
      <c r="S68" s="163" t="s">
        <v>4752</v>
      </c>
      <c r="T68" s="155" t="str">
        <f ca="1">IF(Tabla15[[#This Row],[FECHA FIN CONVENIO]]&gt;TODAY(),"Vigente","Vencido")</f>
        <v>Vigente</v>
      </c>
      <c r="U68" s="162" t="s">
        <v>5003</v>
      </c>
      <c r="V68" s="165" t="s">
        <v>5004</v>
      </c>
      <c r="W68" s="165" t="s">
        <v>5005</v>
      </c>
      <c r="X68" s="165" t="s">
        <v>5006</v>
      </c>
      <c r="Y68" s="161">
        <v>5</v>
      </c>
      <c r="Z68" s="165">
        <v>46263</v>
      </c>
      <c r="AA68" s="161" t="s">
        <v>5007</v>
      </c>
      <c r="AB68" s="161">
        <v>0</v>
      </c>
      <c r="AC68" s="161">
        <v>0</v>
      </c>
      <c r="AD68" s="161" t="s">
        <v>4858</v>
      </c>
      <c r="AE68" s="161" t="s">
        <v>5008</v>
      </c>
    </row>
    <row r="69" spans="1:31" s="161" customFormat="1" ht="31.5">
      <c r="A69" s="155">
        <v>68</v>
      </c>
      <c r="B69" s="162" t="s">
        <v>104</v>
      </c>
      <c r="C69" s="161" t="s">
        <v>90</v>
      </c>
      <c r="D69" s="161" t="s">
        <v>4819</v>
      </c>
      <c r="E69" s="163" t="s">
        <v>4768</v>
      </c>
      <c r="F69" s="163" t="s">
        <v>4752</v>
      </c>
      <c r="G69" s="163" t="s">
        <v>4752</v>
      </c>
      <c r="H69" s="163" t="s">
        <v>4752</v>
      </c>
      <c r="I69" s="163" t="s">
        <v>4752</v>
      </c>
      <c r="J69" s="163"/>
      <c r="K69" s="163"/>
      <c r="L69" s="163" t="s">
        <v>4769</v>
      </c>
      <c r="M69" s="163"/>
      <c r="N69" s="163"/>
      <c r="O69" s="161" t="s">
        <v>4753</v>
      </c>
      <c r="P69" s="161" t="s">
        <v>4768</v>
      </c>
      <c r="Q69" s="163" t="s">
        <v>4752</v>
      </c>
      <c r="R69" s="163" t="s">
        <v>470</v>
      </c>
      <c r="S69" s="163" t="s">
        <v>4752</v>
      </c>
      <c r="T69" s="155" t="str">
        <f ca="1">IF(Tabla15[[#This Row],[FECHA FIN CONVENIO]]&gt;TODAY(),"Vigente","Vencido")</f>
        <v>Vigente</v>
      </c>
      <c r="U69" s="162" t="s">
        <v>5009</v>
      </c>
      <c r="V69" s="165" t="s">
        <v>5010</v>
      </c>
      <c r="W69" s="165" t="s">
        <v>5011</v>
      </c>
      <c r="X69" s="165">
        <v>43280</v>
      </c>
      <c r="Y69" s="161">
        <v>5</v>
      </c>
      <c r="Z69" s="165">
        <v>46939</v>
      </c>
      <c r="AA69" s="161" t="s">
        <v>5012</v>
      </c>
      <c r="AB69" s="161">
        <v>0</v>
      </c>
      <c r="AC69" s="161" t="s">
        <v>5013</v>
      </c>
      <c r="AD69" s="161" t="s">
        <v>4869</v>
      </c>
      <c r="AE69" s="161" t="s">
        <v>5014</v>
      </c>
    </row>
    <row r="70" spans="1:31">
      <c r="A70" s="155">
        <v>69</v>
      </c>
      <c r="B70" s="156" t="s">
        <v>4250</v>
      </c>
      <c r="C70" s="155" t="s">
        <v>39</v>
      </c>
      <c r="D70" s="155" t="s">
        <v>4822</v>
      </c>
      <c r="E70" s="158" t="s">
        <v>4769</v>
      </c>
      <c r="F70" s="158"/>
      <c r="G70" s="158"/>
      <c r="H70" s="158"/>
      <c r="I70" s="158"/>
      <c r="J70" s="158"/>
      <c r="K70" s="158"/>
      <c r="L70" s="158" t="s">
        <v>4769</v>
      </c>
      <c r="M70" s="158"/>
      <c r="N70" s="158"/>
      <c r="O70" s="155" t="s">
        <v>4758</v>
      </c>
      <c r="P70" s="155" t="s">
        <v>4768</v>
      </c>
      <c r="Q70" s="158" t="s">
        <v>4752</v>
      </c>
      <c r="R70" s="158" t="s">
        <v>470</v>
      </c>
      <c r="S70" s="158" t="s">
        <v>4752</v>
      </c>
      <c r="T70" s="155" t="str">
        <f ca="1">IF(Tabla15[[#This Row],[FECHA FIN CONVENIO]]&gt;TODAY(),"Vigente","Vencido")</f>
        <v>Vigente</v>
      </c>
      <c r="U70" s="156">
        <v>47076</v>
      </c>
      <c r="V70" s="155">
        <v>0</v>
      </c>
      <c r="W70" s="155">
        <v>0</v>
      </c>
      <c r="X70" s="155">
        <v>0</v>
      </c>
      <c r="Y70" s="155">
        <v>0</v>
      </c>
      <c r="Z70" s="157">
        <v>47076</v>
      </c>
      <c r="AA70" s="155">
        <v>0</v>
      </c>
      <c r="AB70" s="155">
        <v>0</v>
      </c>
      <c r="AC70" s="155">
        <v>0</v>
      </c>
      <c r="AD70" s="155">
        <v>0</v>
      </c>
      <c r="AE70" s="155">
        <v>0</v>
      </c>
    </row>
    <row r="71" spans="1:31">
      <c r="A71" s="155">
        <v>70</v>
      </c>
      <c r="B71" s="156" t="s">
        <v>105</v>
      </c>
      <c r="C71" s="155" t="s">
        <v>65</v>
      </c>
      <c r="D71" s="155" t="s">
        <v>4820</v>
      </c>
      <c r="E71" s="158" t="s">
        <v>4768</v>
      </c>
      <c r="F71" s="158" t="s">
        <v>4752</v>
      </c>
      <c r="G71" s="158" t="s">
        <v>4752</v>
      </c>
      <c r="H71" s="158"/>
      <c r="I71" s="158"/>
      <c r="J71" s="158"/>
      <c r="K71" s="158"/>
      <c r="L71" s="158" t="s">
        <v>4769</v>
      </c>
      <c r="M71" s="158"/>
      <c r="N71" s="158"/>
      <c r="O71" s="155" t="s">
        <v>4753</v>
      </c>
      <c r="P71" s="155" t="s">
        <v>4768</v>
      </c>
      <c r="Q71" s="158" t="s">
        <v>4752</v>
      </c>
      <c r="R71" s="158" t="s">
        <v>4752</v>
      </c>
      <c r="S71" s="158" t="s">
        <v>4752</v>
      </c>
      <c r="T71" s="155" t="str">
        <f ca="1">IF(Tabla15[[#This Row],[FECHA FIN CONVENIO]]&gt;TODAY(),"Vigente","Vencido")</f>
        <v>Vigente</v>
      </c>
      <c r="U71" s="156" t="s">
        <v>5015</v>
      </c>
      <c r="V71" s="157">
        <v>39188</v>
      </c>
      <c r="W71" s="157" t="s">
        <v>5016</v>
      </c>
      <c r="X71" s="157" t="s">
        <v>5017</v>
      </c>
      <c r="Y71" s="155">
        <v>5</v>
      </c>
      <c r="Z71" s="157">
        <v>47043</v>
      </c>
      <c r="AA71" s="155" t="s">
        <v>5018</v>
      </c>
      <c r="AB71" s="155">
        <v>0</v>
      </c>
      <c r="AC71" s="155">
        <v>0</v>
      </c>
      <c r="AD71" s="155" t="s">
        <v>4869</v>
      </c>
      <c r="AE71" s="155" t="s">
        <v>5019</v>
      </c>
    </row>
    <row r="72" spans="1:31">
      <c r="A72" s="155">
        <v>71</v>
      </c>
      <c r="B72" s="156" t="s">
        <v>4251</v>
      </c>
      <c r="C72" s="155" t="s">
        <v>4759</v>
      </c>
      <c r="D72" s="155" t="s">
        <v>509</v>
      </c>
      <c r="E72" s="158" t="s">
        <v>4769</v>
      </c>
      <c r="F72" s="158"/>
      <c r="G72" s="158"/>
      <c r="H72" s="158"/>
      <c r="I72" s="158"/>
      <c r="J72" s="158"/>
      <c r="K72" s="158"/>
      <c r="L72" s="158" t="s">
        <v>4769</v>
      </c>
      <c r="M72" s="158"/>
      <c r="N72" s="158"/>
      <c r="O72" s="155" t="s">
        <v>4758</v>
      </c>
      <c r="P72" s="155" t="s">
        <v>4769</v>
      </c>
      <c r="Q72" s="158" t="s">
        <v>470</v>
      </c>
      <c r="R72" s="158" t="s">
        <v>470</v>
      </c>
      <c r="S72" s="158" t="s">
        <v>470</v>
      </c>
      <c r="T72" s="155" t="str">
        <f ca="1">IF(Tabla15[[#This Row],[FECHA FIN CONVENIO]]&gt;TODAY(),"Vigente","Vencido")</f>
        <v>Vigente</v>
      </c>
      <c r="U72" s="156">
        <v>0</v>
      </c>
      <c r="V72" s="155">
        <v>0</v>
      </c>
      <c r="W72" s="155">
        <v>0</v>
      </c>
      <c r="X72" s="155">
        <v>0</v>
      </c>
      <c r="Y72" s="155">
        <v>0</v>
      </c>
      <c r="Z72" s="157">
        <v>46785</v>
      </c>
      <c r="AA72" s="155">
        <v>0</v>
      </c>
      <c r="AB72" s="155" t="s">
        <v>5020</v>
      </c>
      <c r="AC72" s="155">
        <v>0</v>
      </c>
      <c r="AD72" s="155">
        <v>0</v>
      </c>
      <c r="AE72" s="155">
        <v>0</v>
      </c>
    </row>
    <row r="73" spans="1:31">
      <c r="A73" s="155">
        <v>72</v>
      </c>
      <c r="B73" s="156" t="s">
        <v>122</v>
      </c>
      <c r="C73" s="155" t="s">
        <v>4757</v>
      </c>
      <c r="D73" s="155" t="s">
        <v>4757</v>
      </c>
      <c r="E73" s="158" t="s">
        <v>4768</v>
      </c>
      <c r="F73" s="158" t="s">
        <v>4752</v>
      </c>
      <c r="G73" s="158"/>
      <c r="H73" s="158"/>
      <c r="I73" s="158"/>
      <c r="J73" s="158"/>
      <c r="K73" s="158"/>
      <c r="L73" s="158" t="s">
        <v>4769</v>
      </c>
      <c r="M73" s="158"/>
      <c r="N73" s="158"/>
      <c r="O73" s="155" t="s">
        <v>4753</v>
      </c>
      <c r="P73" s="155" t="s">
        <v>4768</v>
      </c>
      <c r="Q73" s="158" t="s">
        <v>4752</v>
      </c>
      <c r="R73" s="158" t="s">
        <v>4752</v>
      </c>
      <c r="S73" s="158" t="s">
        <v>4752</v>
      </c>
      <c r="T73" s="155" t="str">
        <f ca="1">IF(Tabla15[[#This Row],[FECHA FIN CONVENIO]]&gt;TODAY(),"Vigente","Vencido")</f>
        <v>Vigente</v>
      </c>
      <c r="U73" s="156">
        <v>0</v>
      </c>
      <c r="V73" s="155">
        <v>0</v>
      </c>
      <c r="W73" s="155">
        <v>0</v>
      </c>
      <c r="X73" s="155">
        <v>0</v>
      </c>
      <c r="Y73" s="155">
        <v>0</v>
      </c>
      <c r="Z73" s="157">
        <v>46645</v>
      </c>
      <c r="AA73" s="155">
        <v>0</v>
      </c>
      <c r="AB73" s="155">
        <v>0</v>
      </c>
      <c r="AC73" s="155">
        <v>0</v>
      </c>
      <c r="AD73" s="155">
        <v>0</v>
      </c>
      <c r="AE73" s="155">
        <v>0</v>
      </c>
    </row>
  </sheetData>
  <sortState xmlns:xlrd2="http://schemas.microsoft.com/office/spreadsheetml/2017/richdata2" ref="A2:AE70">
    <sortCondition ref="B2:B70"/>
  </sortState>
  <phoneticPr fontId="3" type="noConversion"/>
  <conditionalFormatting sqref="T2:T73">
    <cfRule type="expression" dxfId="26" priority="1">
      <formula>$T2="Vencido"</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2FF36-300C-4E9F-94A6-A91F22A04C7F}">
  <dimension ref="A1:D58"/>
  <sheetViews>
    <sheetView workbookViewId="0">
      <selection activeCell="F26" sqref="F26"/>
    </sheetView>
  </sheetViews>
  <sheetFormatPr baseColWidth="10" defaultColWidth="11.5703125" defaultRowHeight="15"/>
  <cols>
    <col min="1" max="1" width="10.7109375" customWidth="1"/>
    <col min="2" max="2" width="67" bestFit="1" customWidth="1"/>
    <col min="3" max="3" width="19.140625" bestFit="1" customWidth="1"/>
    <col min="4" max="4" width="11.85546875" customWidth="1"/>
  </cols>
  <sheetData>
    <row r="1" spans="1:4">
      <c r="A1" s="194" t="s">
        <v>13</v>
      </c>
      <c r="B1" s="195" t="s">
        <v>30</v>
      </c>
      <c r="C1" s="195" t="s">
        <v>4223</v>
      </c>
      <c r="D1" s="196" t="s">
        <v>4222</v>
      </c>
    </row>
    <row r="2" spans="1:4">
      <c r="A2" s="88">
        <v>2025</v>
      </c>
      <c r="B2" s="9" t="s">
        <v>34</v>
      </c>
      <c r="C2" s="9" t="s">
        <v>199</v>
      </c>
      <c r="D2" s="26" t="s">
        <v>4225</v>
      </c>
    </row>
    <row r="3" spans="1:4">
      <c r="A3" s="88">
        <v>2025</v>
      </c>
      <c r="B3" s="9" t="s">
        <v>36</v>
      </c>
      <c r="C3" s="9" t="s">
        <v>37</v>
      </c>
      <c r="D3" s="26" t="s">
        <v>4225</v>
      </c>
    </row>
    <row r="4" spans="1:4">
      <c r="A4" s="88">
        <v>2025</v>
      </c>
      <c r="B4" s="9" t="s">
        <v>38</v>
      </c>
      <c r="C4" s="9" t="s">
        <v>39</v>
      </c>
      <c r="D4" s="26" t="s">
        <v>4225</v>
      </c>
    </row>
    <row r="5" spans="1:4">
      <c r="A5" s="88">
        <v>2025</v>
      </c>
      <c r="B5" s="9" t="s">
        <v>109</v>
      </c>
      <c r="C5" s="9" t="s">
        <v>110</v>
      </c>
      <c r="D5" s="26" t="s">
        <v>4225</v>
      </c>
    </row>
    <row r="6" spans="1:4">
      <c r="A6" s="88">
        <v>2025</v>
      </c>
      <c r="B6" s="9" t="s">
        <v>40</v>
      </c>
      <c r="C6" s="9" t="s">
        <v>41</v>
      </c>
      <c r="D6" s="26" t="s">
        <v>4225</v>
      </c>
    </row>
    <row r="7" spans="1:4">
      <c r="A7" s="88">
        <v>2025</v>
      </c>
      <c r="B7" s="9" t="s">
        <v>42</v>
      </c>
      <c r="C7" s="9" t="s">
        <v>43</v>
      </c>
      <c r="D7" s="26" t="s">
        <v>4225</v>
      </c>
    </row>
    <row r="8" spans="1:4">
      <c r="A8" s="88">
        <v>2025</v>
      </c>
      <c r="B8" s="9" t="s">
        <v>44</v>
      </c>
      <c r="C8" s="9" t="s">
        <v>45</v>
      </c>
      <c r="D8" s="26" t="s">
        <v>4225</v>
      </c>
    </row>
    <row r="9" spans="1:4">
      <c r="A9" s="88">
        <v>2025</v>
      </c>
      <c r="B9" s="9" t="s">
        <v>46</v>
      </c>
      <c r="C9" s="9" t="s">
        <v>47</v>
      </c>
      <c r="D9" s="26" t="s">
        <v>4225</v>
      </c>
    </row>
    <row r="10" spans="1:4">
      <c r="A10" s="88">
        <v>2025</v>
      </c>
      <c r="B10" s="9" t="s">
        <v>48</v>
      </c>
      <c r="C10" s="9" t="s">
        <v>49</v>
      </c>
      <c r="D10" s="26" t="s">
        <v>4225</v>
      </c>
    </row>
    <row r="11" spans="1:4">
      <c r="A11" s="88">
        <v>2025</v>
      </c>
      <c r="B11" s="9" t="s">
        <v>50</v>
      </c>
      <c r="C11" s="9" t="s">
        <v>41</v>
      </c>
      <c r="D11" s="26" t="s">
        <v>4225</v>
      </c>
    </row>
    <row r="12" spans="1:4">
      <c r="A12" s="88">
        <v>2025</v>
      </c>
      <c r="B12" s="9" t="s">
        <v>51</v>
      </c>
      <c r="C12" s="9" t="s">
        <v>41</v>
      </c>
      <c r="D12" s="26" t="s">
        <v>4225</v>
      </c>
    </row>
    <row r="13" spans="1:4">
      <c r="A13" s="88">
        <v>2025</v>
      </c>
      <c r="B13" s="9" t="s">
        <v>52</v>
      </c>
      <c r="C13" s="9" t="s">
        <v>53</v>
      </c>
      <c r="D13" s="26" t="s">
        <v>4225</v>
      </c>
    </row>
    <row r="14" spans="1:4">
      <c r="A14" s="88">
        <v>2025</v>
      </c>
      <c r="B14" s="9" t="s">
        <v>54</v>
      </c>
      <c r="C14" s="9" t="s">
        <v>41</v>
      </c>
      <c r="D14" s="26" t="s">
        <v>4225</v>
      </c>
    </row>
    <row r="15" spans="1:4">
      <c r="A15" s="88">
        <v>2025</v>
      </c>
      <c r="B15" s="9" t="s">
        <v>55</v>
      </c>
      <c r="C15" s="9" t="s">
        <v>41</v>
      </c>
      <c r="D15" s="26" t="s">
        <v>4225</v>
      </c>
    </row>
    <row r="16" spans="1:4">
      <c r="A16" s="88">
        <v>2025</v>
      </c>
      <c r="B16" s="9" t="s">
        <v>56</v>
      </c>
      <c r="C16" s="9" t="s">
        <v>41</v>
      </c>
      <c r="D16" s="26" t="s">
        <v>4225</v>
      </c>
    </row>
    <row r="17" spans="1:4">
      <c r="A17" s="88">
        <v>2025</v>
      </c>
      <c r="B17" s="9" t="s">
        <v>57</v>
      </c>
      <c r="C17" s="9" t="s">
        <v>58</v>
      </c>
      <c r="D17" s="26" t="s">
        <v>4225</v>
      </c>
    </row>
    <row r="18" spans="1:4">
      <c r="A18" s="88">
        <v>2025</v>
      </c>
      <c r="B18" s="9" t="s">
        <v>59</v>
      </c>
      <c r="C18" s="9" t="s">
        <v>60</v>
      </c>
      <c r="D18" s="26" t="s">
        <v>4225</v>
      </c>
    </row>
    <row r="19" spans="1:4">
      <c r="A19" s="88">
        <v>2025</v>
      </c>
      <c r="B19" s="9" t="s">
        <v>61</v>
      </c>
      <c r="C19" s="9" t="s">
        <v>62</v>
      </c>
      <c r="D19" s="26" t="s">
        <v>4225</v>
      </c>
    </row>
    <row r="20" spans="1:4">
      <c r="A20" s="88">
        <v>2025</v>
      </c>
      <c r="B20" s="9" t="s">
        <v>63</v>
      </c>
      <c r="C20" s="9" t="s">
        <v>41</v>
      </c>
      <c r="D20" s="26" t="s">
        <v>4225</v>
      </c>
    </row>
    <row r="21" spans="1:4">
      <c r="A21" s="88">
        <v>2025</v>
      </c>
      <c r="B21" s="9" t="s">
        <v>64</v>
      </c>
      <c r="C21" s="9" t="s">
        <v>65</v>
      </c>
      <c r="D21" s="26" t="s">
        <v>4225</v>
      </c>
    </row>
    <row r="22" spans="1:4">
      <c r="A22" s="88">
        <v>2025</v>
      </c>
      <c r="B22" s="9" t="s">
        <v>66</v>
      </c>
      <c r="C22" s="9" t="s">
        <v>58</v>
      </c>
      <c r="D22" s="26" t="s">
        <v>4225</v>
      </c>
    </row>
    <row r="23" spans="1:4">
      <c r="A23" s="88">
        <v>2025</v>
      </c>
      <c r="B23" s="9" t="s">
        <v>67</v>
      </c>
      <c r="C23" s="9" t="s">
        <v>41</v>
      </c>
      <c r="D23" s="26" t="s">
        <v>4225</v>
      </c>
    </row>
    <row r="24" spans="1:4">
      <c r="A24" s="88">
        <v>2025</v>
      </c>
      <c r="B24" s="9" t="s">
        <v>68</v>
      </c>
      <c r="C24" s="9" t="s">
        <v>41</v>
      </c>
      <c r="D24" s="26" t="s">
        <v>4225</v>
      </c>
    </row>
    <row r="25" spans="1:4">
      <c r="A25" s="88">
        <v>2025</v>
      </c>
      <c r="B25" s="9" t="s">
        <v>111</v>
      </c>
      <c r="C25" s="9" t="s">
        <v>112</v>
      </c>
      <c r="D25" s="26" t="s">
        <v>4225</v>
      </c>
    </row>
    <row r="26" spans="1:4">
      <c r="A26" s="88">
        <v>2025</v>
      </c>
      <c r="B26" s="9" t="s">
        <v>70</v>
      </c>
      <c r="C26" s="9" t="s">
        <v>71</v>
      </c>
      <c r="D26" s="26" t="s">
        <v>4225</v>
      </c>
    </row>
    <row r="27" spans="1:4">
      <c r="A27" s="88">
        <v>2025</v>
      </c>
      <c r="B27" s="9" t="s">
        <v>72</v>
      </c>
      <c r="C27" s="9" t="s">
        <v>71</v>
      </c>
      <c r="D27" s="26" t="s">
        <v>4225</v>
      </c>
    </row>
    <row r="28" spans="1:4">
      <c r="A28" s="88">
        <v>2025</v>
      </c>
      <c r="B28" s="9" t="s">
        <v>73</v>
      </c>
      <c r="C28" s="9" t="s">
        <v>74</v>
      </c>
      <c r="D28" s="26" t="s">
        <v>4225</v>
      </c>
    </row>
    <row r="29" spans="1:4">
      <c r="A29" s="88">
        <v>2025</v>
      </c>
      <c r="B29" s="9" t="s">
        <v>75</v>
      </c>
      <c r="C29" s="9" t="s">
        <v>60</v>
      </c>
      <c r="D29" s="26" t="s">
        <v>4225</v>
      </c>
    </row>
    <row r="30" spans="1:4">
      <c r="A30" s="88">
        <v>2025</v>
      </c>
      <c r="B30" s="9" t="s">
        <v>76</v>
      </c>
      <c r="C30" s="9" t="s">
        <v>4754</v>
      </c>
      <c r="D30" s="26" t="s">
        <v>4225</v>
      </c>
    </row>
    <row r="31" spans="1:4">
      <c r="A31" s="88">
        <v>2025</v>
      </c>
      <c r="B31" s="9" t="s">
        <v>113</v>
      </c>
      <c r="C31" s="9" t="s">
        <v>114</v>
      </c>
      <c r="D31" s="26" t="s">
        <v>4225</v>
      </c>
    </row>
    <row r="32" spans="1:4">
      <c r="A32" s="88">
        <v>2025</v>
      </c>
      <c r="B32" s="9" t="s">
        <v>115</v>
      </c>
      <c r="C32" s="9" t="s">
        <v>39</v>
      </c>
      <c r="D32" s="26" t="s">
        <v>4225</v>
      </c>
    </row>
    <row r="33" spans="1:4">
      <c r="A33" s="88">
        <v>2025</v>
      </c>
      <c r="B33" s="9" t="s">
        <v>4560</v>
      </c>
      <c r="C33" s="9" t="s">
        <v>74</v>
      </c>
      <c r="D33" s="26" t="s">
        <v>4225</v>
      </c>
    </row>
    <row r="34" spans="1:4">
      <c r="A34" s="88">
        <v>2025</v>
      </c>
      <c r="B34" s="9" t="s">
        <v>78</v>
      </c>
      <c r="C34" s="9" t="s">
        <v>4755</v>
      </c>
      <c r="D34" s="26" t="s">
        <v>4225</v>
      </c>
    </row>
    <row r="35" spans="1:4">
      <c r="A35" s="88">
        <v>2025</v>
      </c>
      <c r="B35" s="9" t="s">
        <v>80</v>
      </c>
      <c r="C35" s="9" t="s">
        <v>58</v>
      </c>
      <c r="D35" s="26" t="s">
        <v>4225</v>
      </c>
    </row>
    <row r="36" spans="1:4">
      <c r="A36" s="88">
        <v>2025</v>
      </c>
      <c r="B36" s="9" t="s">
        <v>81</v>
      </c>
      <c r="C36" s="9" t="s">
        <v>4756</v>
      </c>
      <c r="D36" s="26" t="s">
        <v>4225</v>
      </c>
    </row>
    <row r="37" spans="1:4">
      <c r="A37" s="88">
        <v>2025</v>
      </c>
      <c r="B37" s="9" t="s">
        <v>4761</v>
      </c>
      <c r="C37" s="9" t="s">
        <v>43</v>
      </c>
      <c r="D37" s="26" t="s">
        <v>4225</v>
      </c>
    </row>
    <row r="38" spans="1:4">
      <c r="A38" s="88">
        <v>2025</v>
      </c>
      <c r="B38" s="9" t="s">
        <v>83</v>
      </c>
      <c r="C38" s="9" t="s">
        <v>45</v>
      </c>
      <c r="D38" s="26" t="s">
        <v>4225</v>
      </c>
    </row>
    <row r="39" spans="1:4">
      <c r="A39" s="88">
        <v>2025</v>
      </c>
      <c r="B39" s="9" t="s">
        <v>84</v>
      </c>
      <c r="C39" s="9" t="s">
        <v>85</v>
      </c>
      <c r="D39" s="26" t="s">
        <v>4225</v>
      </c>
    </row>
    <row r="40" spans="1:4">
      <c r="A40" s="88">
        <v>2025</v>
      </c>
      <c r="B40" s="9" t="s">
        <v>86</v>
      </c>
      <c r="C40" s="9" t="s">
        <v>87</v>
      </c>
      <c r="D40" s="26" t="s">
        <v>4225</v>
      </c>
    </row>
    <row r="41" spans="1:4">
      <c r="A41" s="88">
        <v>2025</v>
      </c>
      <c r="B41" s="9" t="s">
        <v>88</v>
      </c>
      <c r="C41" s="9" t="s">
        <v>58</v>
      </c>
      <c r="D41" s="26" t="s">
        <v>4225</v>
      </c>
    </row>
    <row r="42" spans="1:4">
      <c r="A42" s="88">
        <v>2025</v>
      </c>
      <c r="B42" s="9" t="s">
        <v>89</v>
      </c>
      <c r="C42" s="9" t="s">
        <v>90</v>
      </c>
      <c r="D42" s="26" t="s">
        <v>4225</v>
      </c>
    </row>
    <row r="43" spans="1:4">
      <c r="A43" s="88">
        <v>2025</v>
      </c>
      <c r="B43" s="9" t="s">
        <v>116</v>
      </c>
      <c r="C43" s="9" t="s">
        <v>79</v>
      </c>
      <c r="D43" s="26" t="s">
        <v>4225</v>
      </c>
    </row>
    <row r="44" spans="1:4">
      <c r="A44" s="88">
        <v>2025</v>
      </c>
      <c r="B44" s="9" t="s">
        <v>118</v>
      </c>
      <c r="C44" s="9" t="s">
        <v>169</v>
      </c>
      <c r="D44" s="26" t="s">
        <v>4225</v>
      </c>
    </row>
    <row r="45" spans="1:4">
      <c r="A45" s="88">
        <v>2025</v>
      </c>
      <c r="B45" s="9" t="s">
        <v>91</v>
      </c>
      <c r="C45" s="9" t="s">
        <v>41</v>
      </c>
      <c r="D45" s="26" t="s">
        <v>4225</v>
      </c>
    </row>
    <row r="46" spans="1:4">
      <c r="A46" s="88">
        <v>2025</v>
      </c>
      <c r="B46" s="9" t="s">
        <v>92</v>
      </c>
      <c r="C46" s="9" t="s">
        <v>93</v>
      </c>
      <c r="D46" s="26" t="s">
        <v>4225</v>
      </c>
    </row>
    <row r="47" spans="1:4">
      <c r="A47" s="88">
        <v>2025</v>
      </c>
      <c r="B47" s="9" t="s">
        <v>94</v>
      </c>
      <c r="C47" s="9" t="s">
        <v>79</v>
      </c>
      <c r="D47" s="26" t="s">
        <v>4225</v>
      </c>
    </row>
    <row r="48" spans="1:4">
      <c r="A48" s="88">
        <v>2025</v>
      </c>
      <c r="B48" s="9" t="s">
        <v>95</v>
      </c>
      <c r="C48" s="9" t="s">
        <v>96</v>
      </c>
      <c r="D48" s="26" t="s">
        <v>4225</v>
      </c>
    </row>
    <row r="49" spans="1:4">
      <c r="A49" s="88">
        <v>2025</v>
      </c>
      <c r="B49" s="9" t="s">
        <v>97</v>
      </c>
      <c r="C49" s="9" t="s">
        <v>87</v>
      </c>
      <c r="D49" s="26" t="s">
        <v>4225</v>
      </c>
    </row>
    <row r="50" spans="1:4">
      <c r="A50" s="88">
        <v>2025</v>
      </c>
      <c r="B50" s="9" t="s">
        <v>98</v>
      </c>
      <c r="C50" s="9" t="s">
        <v>79</v>
      </c>
      <c r="D50" s="26" t="s">
        <v>4225</v>
      </c>
    </row>
    <row r="51" spans="1:4">
      <c r="A51" s="88">
        <v>2025</v>
      </c>
      <c r="B51" s="9" t="s">
        <v>120</v>
      </c>
      <c r="C51" s="9" t="s">
        <v>60</v>
      </c>
      <c r="D51" s="26" t="s">
        <v>4225</v>
      </c>
    </row>
    <row r="52" spans="1:4">
      <c r="A52" s="88">
        <v>2025</v>
      </c>
      <c r="B52" s="9" t="s">
        <v>99</v>
      </c>
      <c r="C52" s="9" t="s">
        <v>39</v>
      </c>
      <c r="D52" s="26" t="s">
        <v>4225</v>
      </c>
    </row>
    <row r="53" spans="1:4">
      <c r="A53" s="88">
        <v>2025</v>
      </c>
      <c r="B53" s="9" t="s">
        <v>121</v>
      </c>
      <c r="C53" s="9" t="s">
        <v>60</v>
      </c>
      <c r="D53" s="26" t="s">
        <v>4225</v>
      </c>
    </row>
    <row r="54" spans="1:4">
      <c r="A54" s="88">
        <v>2025</v>
      </c>
      <c r="B54" s="9" t="s">
        <v>101</v>
      </c>
      <c r="C54" s="9" t="s">
        <v>102</v>
      </c>
      <c r="D54" s="26" t="s">
        <v>4225</v>
      </c>
    </row>
    <row r="55" spans="1:4">
      <c r="A55" s="88">
        <v>2025</v>
      </c>
      <c r="B55" s="9" t="s">
        <v>103</v>
      </c>
      <c r="C55" s="9" t="s">
        <v>60</v>
      </c>
      <c r="D55" s="26" t="s">
        <v>4225</v>
      </c>
    </row>
    <row r="56" spans="1:4">
      <c r="A56" s="88">
        <v>2025</v>
      </c>
      <c r="B56" s="9" t="s">
        <v>104</v>
      </c>
      <c r="C56" s="9" t="s">
        <v>90</v>
      </c>
      <c r="D56" s="26" t="s">
        <v>4225</v>
      </c>
    </row>
    <row r="57" spans="1:4">
      <c r="A57" s="88">
        <v>2025</v>
      </c>
      <c r="B57" s="9" t="s">
        <v>105</v>
      </c>
      <c r="C57" s="9" t="s">
        <v>65</v>
      </c>
      <c r="D57" s="26" t="s">
        <v>4225</v>
      </c>
    </row>
    <row r="58" spans="1:4">
      <c r="A58" s="197">
        <v>2025</v>
      </c>
      <c r="B58" s="198" t="s">
        <v>122</v>
      </c>
      <c r="C58" s="198" t="s">
        <v>4757</v>
      </c>
      <c r="D58" s="107" t="s">
        <v>4225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CFA3-26DA-4E4A-87F7-5FB859AF4BBF}">
  <dimension ref="A1:AF634"/>
  <sheetViews>
    <sheetView showGridLines="0" topLeftCell="L1" workbookViewId="0">
      <selection activeCell="O2" sqref="O2"/>
    </sheetView>
  </sheetViews>
  <sheetFormatPr baseColWidth="10" defaultColWidth="11.42578125" defaultRowHeight="15"/>
  <cols>
    <col min="1" max="1" width="20.140625" customWidth="1"/>
    <col min="2" max="2" width="18.42578125" customWidth="1"/>
    <col min="3" max="3" width="12.5703125" customWidth="1"/>
    <col min="5" max="5" width="19.42578125" customWidth="1"/>
    <col min="6" max="6" width="12.5703125" customWidth="1"/>
    <col min="7" max="7" width="11.7109375" customWidth="1"/>
    <col min="8" max="8" width="12.5703125" customWidth="1"/>
    <col min="9" max="9" width="11.7109375" customWidth="1"/>
    <col min="10" max="10" width="12.42578125" customWidth="1"/>
    <col min="11" max="11" width="18.42578125" customWidth="1"/>
    <col min="12" max="12" width="22" customWidth="1"/>
    <col min="13" max="13" width="15.140625" customWidth="1"/>
    <col min="15" max="16" width="18.85546875" customWidth="1"/>
    <col min="17" max="17" width="22.5703125" customWidth="1"/>
    <col min="18" max="18" width="24.42578125" customWidth="1"/>
    <col min="19" max="19" width="27.5703125" customWidth="1"/>
    <col min="20" max="20" width="46.7109375" customWidth="1"/>
    <col min="21" max="21" width="12.42578125" bestFit="1" customWidth="1"/>
    <col min="23" max="23" width="13.42578125" customWidth="1"/>
    <col min="24" max="24" width="13.85546875" style="2" customWidth="1"/>
    <col min="25" max="25" width="19.42578125" style="2" customWidth="1"/>
    <col min="26" max="26" width="15.7109375" customWidth="1"/>
  </cols>
  <sheetData>
    <row r="1" spans="1:26" ht="15.75" thickBot="1">
      <c r="A1" s="3" t="s">
        <v>0</v>
      </c>
      <c r="B1" s="3" t="s">
        <v>2</v>
      </c>
      <c r="C1" s="3" t="s">
        <v>4</v>
      </c>
      <c r="D1" s="3" t="s">
        <v>6</v>
      </c>
      <c r="E1" s="3" t="s">
        <v>8</v>
      </c>
      <c r="F1" s="3" t="s">
        <v>10</v>
      </c>
      <c r="G1" s="3" t="s">
        <v>12</v>
      </c>
      <c r="H1" s="3" t="s">
        <v>14</v>
      </c>
      <c r="I1" s="3" t="s">
        <v>16</v>
      </c>
      <c r="J1" s="4" t="s">
        <v>235</v>
      </c>
      <c r="K1" s="4" t="s">
        <v>18</v>
      </c>
      <c r="L1" s="4" t="s">
        <v>20</v>
      </c>
      <c r="M1" s="4" t="s">
        <v>22</v>
      </c>
      <c r="N1" s="4" t="s">
        <v>25</v>
      </c>
      <c r="O1" s="4" t="s">
        <v>21</v>
      </c>
      <c r="P1" s="4" t="s">
        <v>236</v>
      </c>
      <c r="Q1" s="4" t="s">
        <v>26</v>
      </c>
      <c r="R1" s="4" t="s">
        <v>27</v>
      </c>
      <c r="S1" s="4" t="s">
        <v>17</v>
      </c>
      <c r="T1" s="80" t="s">
        <v>30</v>
      </c>
      <c r="U1" s="4" t="s">
        <v>237</v>
      </c>
      <c r="V1" s="4" t="s">
        <v>19</v>
      </c>
      <c r="W1" s="4" t="s">
        <v>238</v>
      </c>
      <c r="X1" s="5" t="s">
        <v>239</v>
      </c>
      <c r="Y1" s="5" t="s">
        <v>240</v>
      </c>
      <c r="Z1" s="6" t="s">
        <v>241</v>
      </c>
    </row>
    <row r="2" spans="1:26">
      <c r="A2" s="64" t="s">
        <v>242</v>
      </c>
      <c r="B2" s="65">
        <v>201630492</v>
      </c>
      <c r="C2" s="65" t="s">
        <v>243</v>
      </c>
      <c r="D2" s="65" t="s">
        <v>244</v>
      </c>
      <c r="E2" s="65" t="s">
        <v>245</v>
      </c>
      <c r="F2" s="65" t="s">
        <v>217</v>
      </c>
      <c r="G2" s="65" t="s">
        <v>246</v>
      </c>
      <c r="H2" s="65"/>
      <c r="I2" s="65"/>
      <c r="J2" s="65" t="s">
        <v>247</v>
      </c>
      <c r="K2" s="65">
        <v>2020</v>
      </c>
      <c r="L2" s="65">
        <v>202010</v>
      </c>
      <c r="M2" s="65">
        <v>202010</v>
      </c>
      <c r="N2" s="65" t="s">
        <v>248</v>
      </c>
      <c r="O2" s="65" t="s">
        <v>213</v>
      </c>
      <c r="P2" s="65" t="s">
        <v>249</v>
      </c>
      <c r="Q2" s="65" t="s">
        <v>217</v>
      </c>
      <c r="R2" s="65" t="s">
        <v>246</v>
      </c>
      <c r="S2" s="65" t="s">
        <v>38</v>
      </c>
      <c r="T2" s="70" t="str">
        <f>_xlfn.XLOOKUP(Tabla1[[#This Row],[Universidad]],Conversiones!$B:$B,Conversiones!$C:$C)</f>
        <v>Aston University</v>
      </c>
      <c r="U2" s="69" t="str">
        <f>_xlfn.XLOOKUP(Tabla1[[#This Row],[Universidad KPIs]],Conversiones!$C:$C,Conversiones!$E:$E)</f>
        <v>Específico</v>
      </c>
      <c r="V2" s="65" t="s">
        <v>39</v>
      </c>
      <c r="W2" s="65" t="s">
        <v>250</v>
      </c>
      <c r="X2" s="66">
        <v>43850</v>
      </c>
      <c r="Y2" s="66">
        <v>43974</v>
      </c>
      <c r="Z2" s="65">
        <v>124</v>
      </c>
    </row>
    <row r="3" spans="1:26">
      <c r="A3" s="67" t="s">
        <v>251</v>
      </c>
      <c r="B3">
        <v>201530827</v>
      </c>
      <c r="C3" t="s">
        <v>252</v>
      </c>
      <c r="D3" t="s">
        <v>253</v>
      </c>
      <c r="E3" t="s">
        <v>254</v>
      </c>
      <c r="F3" t="s">
        <v>216</v>
      </c>
      <c r="G3" t="s">
        <v>246</v>
      </c>
      <c r="J3" t="s">
        <v>247</v>
      </c>
      <c r="K3">
        <v>2020</v>
      </c>
      <c r="L3">
        <v>202010</v>
      </c>
      <c r="M3">
        <v>202010</v>
      </c>
      <c r="N3" t="s">
        <v>248</v>
      </c>
      <c r="O3" t="s">
        <v>213</v>
      </c>
      <c r="P3" t="s">
        <v>249</v>
      </c>
      <c r="Q3" t="s">
        <v>216</v>
      </c>
      <c r="R3" t="s">
        <v>246</v>
      </c>
      <c r="S3" t="s">
        <v>255</v>
      </c>
      <c r="T3" s="70" t="str">
        <f>_xlfn.XLOOKUP(Tabla1[[#This Row],[Universidad]],Conversiones!$B:$B,Conversiones!$C:$C)</f>
        <v>ESC Rouen (NEOMA)</v>
      </c>
      <c r="U3" s="70" t="str">
        <f>_xlfn.XLOOKUP(Tabla1[[#This Row],[Universidad KPIs]],Conversiones!$C:$C,Conversiones!$E:$E)</f>
        <v>Específico</v>
      </c>
      <c r="V3" t="s">
        <v>41</v>
      </c>
      <c r="W3" t="s">
        <v>250</v>
      </c>
      <c r="X3" s="2">
        <v>43850</v>
      </c>
      <c r="Y3" s="2">
        <v>43974</v>
      </c>
      <c r="Z3">
        <v>124</v>
      </c>
    </row>
    <row r="4" spans="1:26">
      <c r="A4" s="68" t="s">
        <v>256</v>
      </c>
      <c r="B4" s="1">
        <v>201632865</v>
      </c>
      <c r="C4" s="1" t="s">
        <v>257</v>
      </c>
      <c r="D4" s="1" t="s">
        <v>258</v>
      </c>
      <c r="E4" s="1" t="s">
        <v>259</v>
      </c>
      <c r="F4" s="1" t="s">
        <v>216</v>
      </c>
      <c r="G4" s="1" t="s">
        <v>246</v>
      </c>
      <c r="H4" s="1"/>
      <c r="I4" s="1"/>
      <c r="J4" s="1" t="s">
        <v>247</v>
      </c>
      <c r="K4" s="1">
        <v>2020</v>
      </c>
      <c r="L4" s="1">
        <v>202010</v>
      </c>
      <c r="M4" s="1">
        <v>202010</v>
      </c>
      <c r="N4" s="1" t="s">
        <v>248</v>
      </c>
      <c r="O4" s="1" t="s">
        <v>213</v>
      </c>
      <c r="P4" s="1" t="s">
        <v>249</v>
      </c>
      <c r="Q4" s="1" t="s">
        <v>216</v>
      </c>
      <c r="R4" s="1" t="s">
        <v>246</v>
      </c>
      <c r="S4" s="1" t="s">
        <v>80</v>
      </c>
      <c r="T4" s="70" t="str">
        <f>_xlfn.XLOOKUP(Tabla1[[#This Row],[Universidad]],Conversiones!$B:$B,Conversiones!$C:$C)</f>
        <v>McGill University</v>
      </c>
      <c r="U4" s="70" t="str">
        <f>_xlfn.XLOOKUP(Tabla1[[#This Row],[Universidad KPIs]],Conversiones!$C:$C,Conversiones!$E:$E)</f>
        <v>Específico</v>
      </c>
      <c r="V4" s="1" t="s">
        <v>58</v>
      </c>
      <c r="W4" s="1" t="s">
        <v>260</v>
      </c>
      <c r="X4" s="55">
        <v>43850</v>
      </c>
      <c r="Y4" s="55">
        <v>43974</v>
      </c>
      <c r="Z4" s="1">
        <v>124</v>
      </c>
    </row>
    <row r="5" spans="1:26">
      <c r="A5" s="67" t="s">
        <v>261</v>
      </c>
      <c r="B5">
        <v>201712092</v>
      </c>
      <c r="C5" t="s">
        <v>262</v>
      </c>
      <c r="D5" t="s">
        <v>263</v>
      </c>
      <c r="E5" t="s">
        <v>264</v>
      </c>
      <c r="F5" t="s">
        <v>216</v>
      </c>
      <c r="G5" t="s">
        <v>246</v>
      </c>
      <c r="J5" t="s">
        <v>247</v>
      </c>
      <c r="K5">
        <v>2020</v>
      </c>
      <c r="L5">
        <v>202010</v>
      </c>
      <c r="M5">
        <v>202010</v>
      </c>
      <c r="N5" t="s">
        <v>248</v>
      </c>
      <c r="O5" t="s">
        <v>213</v>
      </c>
      <c r="P5" t="s">
        <v>249</v>
      </c>
      <c r="Q5" t="s">
        <v>216</v>
      </c>
      <c r="R5" t="s">
        <v>246</v>
      </c>
      <c r="S5" t="s">
        <v>61</v>
      </c>
      <c r="T5" s="70" t="str">
        <f>_xlfn.XLOOKUP(Tabla1[[#This Row],[Universidad]],Conversiones!$B:$B,Conversiones!$C:$C)</f>
        <v>Fundação Getulio Vargas</v>
      </c>
      <c r="U5" s="70" t="str">
        <f>_xlfn.XLOOKUP(Tabla1[[#This Row],[Universidad KPIs]],Conversiones!$C:$C,Conversiones!$E:$E)</f>
        <v>Específico</v>
      </c>
      <c r="V5" t="s">
        <v>62</v>
      </c>
      <c r="W5" t="s">
        <v>265</v>
      </c>
      <c r="X5" s="2">
        <v>43850</v>
      </c>
      <c r="Y5" s="2">
        <v>43974</v>
      </c>
      <c r="Z5">
        <v>124</v>
      </c>
    </row>
    <row r="6" spans="1:26">
      <c r="A6" s="68" t="s">
        <v>266</v>
      </c>
      <c r="B6" s="1">
        <v>201533453</v>
      </c>
      <c r="C6" s="1" t="s">
        <v>267</v>
      </c>
      <c r="D6" s="1" t="s">
        <v>268</v>
      </c>
      <c r="E6" s="1" t="s">
        <v>269</v>
      </c>
      <c r="F6" s="1" t="s">
        <v>216</v>
      </c>
      <c r="G6" s="1" t="s">
        <v>246</v>
      </c>
      <c r="H6" s="1"/>
      <c r="I6" s="1"/>
      <c r="J6" s="1" t="s">
        <v>247</v>
      </c>
      <c r="K6" s="1">
        <v>2020</v>
      </c>
      <c r="L6" s="1">
        <v>202010</v>
      </c>
      <c r="M6" s="1">
        <v>202010</v>
      </c>
      <c r="N6" s="1" t="s">
        <v>248</v>
      </c>
      <c r="O6" s="1" t="s">
        <v>213</v>
      </c>
      <c r="P6" s="1" t="s">
        <v>249</v>
      </c>
      <c r="Q6" s="1" t="s">
        <v>216</v>
      </c>
      <c r="R6" s="1" t="s">
        <v>246</v>
      </c>
      <c r="S6" s="1" t="s">
        <v>108</v>
      </c>
      <c r="T6" s="70" t="str">
        <f>_xlfn.XLOOKUP(Tabla1[[#This Row],[Universidad]],Conversiones!$B:$B,Conversiones!$C:$C)</f>
        <v>University of San Diego</v>
      </c>
      <c r="U6" s="70" t="str">
        <f>_xlfn.XLOOKUP(Tabla1[[#This Row],[Universidad KPIs]],Conversiones!$C:$C,Conversiones!$E:$E)</f>
        <v>General</v>
      </c>
      <c r="V6" s="1" t="s">
        <v>35</v>
      </c>
      <c r="W6" s="1" t="s">
        <v>260</v>
      </c>
      <c r="X6" s="55">
        <v>43850</v>
      </c>
      <c r="Y6" s="55">
        <v>43974</v>
      </c>
      <c r="Z6" s="1">
        <v>124</v>
      </c>
    </row>
    <row r="7" spans="1:26">
      <c r="A7" s="67" t="s">
        <v>270</v>
      </c>
      <c r="B7">
        <v>201718749</v>
      </c>
      <c r="C7" t="s">
        <v>271</v>
      </c>
      <c r="D7" t="s">
        <v>272</v>
      </c>
      <c r="E7" t="s">
        <v>273</v>
      </c>
      <c r="F7" t="s">
        <v>216</v>
      </c>
      <c r="G7" t="s">
        <v>246</v>
      </c>
      <c r="J7" t="s">
        <v>247</v>
      </c>
      <c r="K7">
        <v>2020</v>
      </c>
      <c r="L7">
        <v>202010</v>
      </c>
      <c r="M7">
        <v>202010</v>
      </c>
      <c r="N7" t="s">
        <v>248</v>
      </c>
      <c r="O7" t="s">
        <v>213</v>
      </c>
      <c r="P7" t="s">
        <v>249</v>
      </c>
      <c r="Q7" t="s">
        <v>216</v>
      </c>
      <c r="R7" t="s">
        <v>246</v>
      </c>
      <c r="S7" t="s">
        <v>274</v>
      </c>
      <c r="T7" s="70" t="str">
        <f>_xlfn.XLOOKUP(Tabla1[[#This Row],[Universidad]],Conversiones!$B:$B,Conversiones!$C:$C)</f>
        <v>Catolica Lisbon Business &amp; Economics. Universidade Católica Portuguesa</v>
      </c>
      <c r="U7" s="70" t="str">
        <f>_xlfn.XLOOKUP(Tabla1[[#This Row],[Universidad KPIs]],Conversiones!$C:$C,Conversiones!$E:$E)</f>
        <v>Específico</v>
      </c>
      <c r="V7" t="s">
        <v>45</v>
      </c>
      <c r="W7" t="s">
        <v>250</v>
      </c>
      <c r="X7" s="2">
        <v>43850</v>
      </c>
      <c r="Y7" s="2">
        <v>43974</v>
      </c>
      <c r="Z7">
        <v>124</v>
      </c>
    </row>
    <row r="8" spans="1:26">
      <c r="A8" s="68" t="s">
        <v>275</v>
      </c>
      <c r="B8" s="1">
        <v>201533477</v>
      </c>
      <c r="C8" s="1" t="s">
        <v>276</v>
      </c>
      <c r="D8" s="1" t="s">
        <v>277</v>
      </c>
      <c r="E8" s="1" t="s">
        <v>278</v>
      </c>
      <c r="F8" s="1" t="s">
        <v>216</v>
      </c>
      <c r="G8" s="1" t="s">
        <v>246</v>
      </c>
      <c r="H8" s="1"/>
      <c r="I8" s="1"/>
      <c r="J8" s="1" t="s">
        <v>247</v>
      </c>
      <c r="K8" s="1">
        <v>2020</v>
      </c>
      <c r="L8" s="1">
        <v>202010</v>
      </c>
      <c r="M8" s="1">
        <v>202010</v>
      </c>
      <c r="N8" s="1" t="s">
        <v>248</v>
      </c>
      <c r="O8" s="1" t="s">
        <v>213</v>
      </c>
      <c r="P8" s="1" t="s">
        <v>249</v>
      </c>
      <c r="Q8" s="1" t="s">
        <v>216</v>
      </c>
      <c r="R8" s="1" t="s">
        <v>246</v>
      </c>
      <c r="S8" s="1" t="s">
        <v>279</v>
      </c>
      <c r="T8" s="70" t="str">
        <f>_xlfn.XLOOKUP(Tabla1[[#This Row],[Universidad]],Conversiones!$B:$B,Conversiones!$C:$C)</f>
        <v>Toulouse Business School</v>
      </c>
      <c r="U8" s="70" t="str">
        <f>_xlfn.XLOOKUP(Tabla1[[#This Row],[Universidad KPIs]],Conversiones!$C:$C,Conversiones!$E:$E)</f>
        <v>Específico</v>
      </c>
      <c r="V8" s="1" t="s">
        <v>41</v>
      </c>
      <c r="W8" s="1" t="s">
        <v>250</v>
      </c>
      <c r="X8" s="55">
        <v>43850</v>
      </c>
      <c r="Y8" s="55">
        <v>43974</v>
      </c>
      <c r="Z8" s="1">
        <v>124</v>
      </c>
    </row>
    <row r="9" spans="1:26">
      <c r="A9" s="67" t="s">
        <v>280</v>
      </c>
      <c r="B9">
        <v>201613265</v>
      </c>
      <c r="C9" t="s">
        <v>281</v>
      </c>
      <c r="D9" t="s">
        <v>282</v>
      </c>
      <c r="E9" t="s">
        <v>283</v>
      </c>
      <c r="F9" t="s">
        <v>216</v>
      </c>
      <c r="G9" t="s">
        <v>246</v>
      </c>
      <c r="J9" t="s">
        <v>247</v>
      </c>
      <c r="K9">
        <v>2020</v>
      </c>
      <c r="L9">
        <v>202010</v>
      </c>
      <c r="M9">
        <v>202010</v>
      </c>
      <c r="N9" t="s">
        <v>248</v>
      </c>
      <c r="O9" t="s">
        <v>213</v>
      </c>
      <c r="P9" t="s">
        <v>249</v>
      </c>
      <c r="Q9" t="s">
        <v>216</v>
      </c>
      <c r="R9" t="s">
        <v>246</v>
      </c>
      <c r="S9" t="s">
        <v>284</v>
      </c>
      <c r="T9" s="70" t="str">
        <f>_xlfn.XLOOKUP(Tabla1[[#This Row],[Universidad]],Conversiones!$B:$B,Conversiones!$C:$C)</f>
        <v>HEC Lausanne</v>
      </c>
      <c r="U9" s="70" t="str">
        <f>_xlfn.XLOOKUP(Tabla1[[#This Row],[Universidad KPIs]],Conversiones!$C:$C,Conversiones!$E:$E)</f>
        <v>Específico</v>
      </c>
      <c r="V9" t="s">
        <v>65</v>
      </c>
      <c r="W9" t="s">
        <v>250</v>
      </c>
      <c r="X9" s="2">
        <v>43850</v>
      </c>
      <c r="Y9" s="2">
        <v>43974</v>
      </c>
      <c r="Z9">
        <v>124</v>
      </c>
    </row>
    <row r="10" spans="1:26">
      <c r="A10" s="68" t="s">
        <v>285</v>
      </c>
      <c r="B10" s="1">
        <v>201633153</v>
      </c>
      <c r="C10" s="1" t="s">
        <v>286</v>
      </c>
      <c r="D10" s="1" t="s">
        <v>287</v>
      </c>
      <c r="E10" s="1" t="s">
        <v>288</v>
      </c>
      <c r="F10" s="1" t="s">
        <v>216</v>
      </c>
      <c r="G10" s="1" t="s">
        <v>246</v>
      </c>
      <c r="H10" s="1"/>
      <c r="I10" s="1"/>
      <c r="J10" s="1" t="s">
        <v>247</v>
      </c>
      <c r="K10" s="1">
        <v>2020</v>
      </c>
      <c r="L10" s="1">
        <v>202010</v>
      </c>
      <c r="M10" s="1">
        <v>202010</v>
      </c>
      <c r="N10" s="1" t="s">
        <v>248</v>
      </c>
      <c r="O10" s="1" t="s">
        <v>213</v>
      </c>
      <c r="P10" s="1" t="s">
        <v>249</v>
      </c>
      <c r="Q10" s="1" t="s">
        <v>216</v>
      </c>
      <c r="R10" s="1" t="s">
        <v>246</v>
      </c>
      <c r="S10" s="1" t="s">
        <v>289</v>
      </c>
      <c r="T10" s="70" t="str">
        <f>_xlfn.XLOOKUP(Tabla1[[#This Row],[Universidad]],Conversiones!$B:$B,Conversiones!$C:$C)</f>
        <v>ESADE</v>
      </c>
      <c r="U10" s="70" t="str">
        <f>_xlfn.XLOOKUP(Tabla1[[#This Row],[Universidad KPIs]],Conversiones!$C:$C,Conversiones!$E:$E)</f>
        <v>Específico</v>
      </c>
      <c r="V10" s="1" t="s">
        <v>53</v>
      </c>
      <c r="W10" s="1" t="s">
        <v>250</v>
      </c>
      <c r="X10" s="55">
        <v>43850</v>
      </c>
      <c r="Y10" s="55">
        <v>43974</v>
      </c>
      <c r="Z10" s="1">
        <v>124</v>
      </c>
    </row>
    <row r="11" spans="1:26">
      <c r="A11" s="67" t="s">
        <v>290</v>
      </c>
      <c r="B11">
        <v>201630864</v>
      </c>
      <c r="C11" t="s">
        <v>291</v>
      </c>
      <c r="D11" t="s">
        <v>292</v>
      </c>
      <c r="E11" t="s">
        <v>293</v>
      </c>
      <c r="F11" t="s">
        <v>216</v>
      </c>
      <c r="G11" t="s">
        <v>246</v>
      </c>
      <c r="J11" t="s">
        <v>247</v>
      </c>
      <c r="K11">
        <v>2020</v>
      </c>
      <c r="L11">
        <v>202010</v>
      </c>
      <c r="M11">
        <v>202010</v>
      </c>
      <c r="N11" t="s">
        <v>248</v>
      </c>
      <c r="O11" t="s">
        <v>213</v>
      </c>
      <c r="P11" t="s">
        <v>249</v>
      </c>
      <c r="Q11" t="s">
        <v>216</v>
      </c>
      <c r="R11" t="s">
        <v>246</v>
      </c>
      <c r="S11" t="s">
        <v>78</v>
      </c>
      <c r="T11" s="70" t="str">
        <f>_xlfn.XLOOKUP(Tabla1[[#This Row],[Universidad]],Conversiones!$B:$B,Conversiones!$C:$C)</f>
        <v>Maastricht University</v>
      </c>
      <c r="U11" s="70" t="str">
        <f>_xlfn.XLOOKUP(Tabla1[[#This Row],[Universidad KPIs]],Conversiones!$C:$C,Conversiones!$E:$E)</f>
        <v>Específico</v>
      </c>
      <c r="V11" t="s">
        <v>79</v>
      </c>
      <c r="W11" t="s">
        <v>250</v>
      </c>
      <c r="X11" s="2">
        <v>43850</v>
      </c>
      <c r="Y11" s="2">
        <v>43974</v>
      </c>
      <c r="Z11">
        <v>124</v>
      </c>
    </row>
    <row r="12" spans="1:26">
      <c r="A12" s="68" t="s">
        <v>294</v>
      </c>
      <c r="B12" s="1">
        <v>201613991</v>
      </c>
      <c r="C12" s="1" t="s">
        <v>295</v>
      </c>
      <c r="D12" s="1" t="s">
        <v>296</v>
      </c>
      <c r="E12" s="1" t="s">
        <v>297</v>
      </c>
      <c r="F12" s="1" t="s">
        <v>216</v>
      </c>
      <c r="G12" s="1" t="s">
        <v>246</v>
      </c>
      <c r="H12" s="1"/>
      <c r="I12" s="1"/>
      <c r="J12" s="1" t="s">
        <v>247</v>
      </c>
      <c r="K12" s="1">
        <v>2020</v>
      </c>
      <c r="L12" s="1">
        <v>202010</v>
      </c>
      <c r="M12" s="1">
        <v>202010</v>
      </c>
      <c r="N12" s="1" t="s">
        <v>248</v>
      </c>
      <c r="O12" s="1" t="s">
        <v>213</v>
      </c>
      <c r="P12" s="1" t="s">
        <v>249</v>
      </c>
      <c r="Q12" s="1" t="s">
        <v>216</v>
      </c>
      <c r="R12" s="1" t="s">
        <v>246</v>
      </c>
      <c r="S12" s="1" t="s">
        <v>298</v>
      </c>
      <c r="T12" s="70" t="str">
        <f>_xlfn.XLOOKUP(Tabla1[[#This Row],[Universidad]],Conversiones!$B:$B,Conversiones!$C:$C)</f>
        <v>ESSEC</v>
      </c>
      <c r="U12" s="70" t="str">
        <f>_xlfn.XLOOKUP(Tabla1[[#This Row],[Universidad KPIs]],Conversiones!$C:$C,Conversiones!$E:$E)</f>
        <v>Específico</v>
      </c>
      <c r="V12" s="1" t="s">
        <v>41</v>
      </c>
      <c r="W12" s="1" t="s">
        <v>250</v>
      </c>
      <c r="X12" s="55">
        <v>43850</v>
      </c>
      <c r="Y12" s="55">
        <v>43974</v>
      </c>
      <c r="Z12" s="1">
        <v>124</v>
      </c>
    </row>
    <row r="13" spans="1:26">
      <c r="A13" s="67" t="s">
        <v>299</v>
      </c>
      <c r="B13">
        <v>201710974</v>
      </c>
      <c r="C13" t="s">
        <v>300</v>
      </c>
      <c r="D13" t="s">
        <v>301</v>
      </c>
      <c r="E13" t="s">
        <v>302</v>
      </c>
      <c r="F13" t="s">
        <v>216</v>
      </c>
      <c r="G13" t="s">
        <v>246</v>
      </c>
      <c r="J13" t="s">
        <v>247</v>
      </c>
      <c r="K13">
        <v>2020</v>
      </c>
      <c r="L13">
        <v>202010</v>
      </c>
      <c r="M13">
        <v>202010</v>
      </c>
      <c r="N13" t="s">
        <v>248</v>
      </c>
      <c r="O13" t="s">
        <v>213</v>
      </c>
      <c r="P13" t="s">
        <v>249</v>
      </c>
      <c r="Q13" t="s">
        <v>216</v>
      </c>
      <c r="R13" t="s">
        <v>246</v>
      </c>
      <c r="S13" t="s">
        <v>78</v>
      </c>
      <c r="T13" s="70" t="str">
        <f>_xlfn.XLOOKUP(Tabla1[[#This Row],[Universidad]],Conversiones!$B:$B,Conversiones!$C:$C)</f>
        <v>Maastricht University</v>
      </c>
      <c r="U13" s="70" t="str">
        <f>_xlfn.XLOOKUP(Tabla1[[#This Row],[Universidad KPIs]],Conversiones!$C:$C,Conversiones!$E:$E)</f>
        <v>Específico</v>
      </c>
      <c r="V13" t="s">
        <v>79</v>
      </c>
      <c r="W13" t="s">
        <v>250</v>
      </c>
      <c r="X13" s="2">
        <v>43850</v>
      </c>
      <c r="Y13" s="2">
        <v>43974</v>
      </c>
      <c r="Z13">
        <v>124</v>
      </c>
    </row>
    <row r="14" spans="1:26">
      <c r="A14" s="68" t="s">
        <v>303</v>
      </c>
      <c r="B14" s="1">
        <v>201533599</v>
      </c>
      <c r="C14" s="1" t="s">
        <v>304</v>
      </c>
      <c r="D14" s="1" t="s">
        <v>305</v>
      </c>
      <c r="E14" s="1" t="s">
        <v>306</v>
      </c>
      <c r="F14" s="1" t="s">
        <v>216</v>
      </c>
      <c r="G14" s="1" t="s">
        <v>246</v>
      </c>
      <c r="H14" s="1"/>
      <c r="I14" s="1"/>
      <c r="J14" s="1" t="s">
        <v>247</v>
      </c>
      <c r="K14" s="1">
        <v>2020</v>
      </c>
      <c r="L14" s="1">
        <v>202010</v>
      </c>
      <c r="M14" s="1">
        <v>202010</v>
      </c>
      <c r="N14" s="1" t="s">
        <v>248</v>
      </c>
      <c r="O14" s="1" t="s">
        <v>213</v>
      </c>
      <c r="P14" s="1" t="s">
        <v>249</v>
      </c>
      <c r="Q14" s="1" t="s">
        <v>216</v>
      </c>
      <c r="R14" s="1" t="s">
        <v>246</v>
      </c>
      <c r="S14" s="1" t="s">
        <v>307</v>
      </c>
      <c r="T14" s="70" t="str">
        <f>_xlfn.XLOOKUP(Tabla1[[#This Row],[Universidad]],Conversiones!$B:$B,Conversiones!$C:$C)</f>
        <v>University of Mannheim Business School</v>
      </c>
      <c r="U14" s="70" t="str">
        <f>_xlfn.XLOOKUP(Tabla1[[#This Row],[Universidad KPIs]],Conversiones!$C:$C,Conversiones!$E:$E)</f>
        <v>Específico</v>
      </c>
      <c r="V14" s="1" t="s">
        <v>60</v>
      </c>
      <c r="W14" s="1" t="s">
        <v>250</v>
      </c>
      <c r="X14" s="55">
        <v>43850</v>
      </c>
      <c r="Y14" s="55">
        <v>43974</v>
      </c>
      <c r="Z14" s="1">
        <v>124</v>
      </c>
    </row>
    <row r="15" spans="1:26">
      <c r="A15" s="67" t="s">
        <v>308</v>
      </c>
      <c r="B15">
        <v>201530055</v>
      </c>
      <c r="C15" t="s">
        <v>309</v>
      </c>
      <c r="D15" t="s">
        <v>310</v>
      </c>
      <c r="E15" t="s">
        <v>311</v>
      </c>
      <c r="F15" t="s">
        <v>217</v>
      </c>
      <c r="G15" t="s">
        <v>246</v>
      </c>
      <c r="J15" t="s">
        <v>247</v>
      </c>
      <c r="K15">
        <v>2020</v>
      </c>
      <c r="L15">
        <v>202010</v>
      </c>
      <c r="M15">
        <v>202010</v>
      </c>
      <c r="N15" t="s">
        <v>248</v>
      </c>
      <c r="O15" t="s">
        <v>213</v>
      </c>
      <c r="P15" t="s">
        <v>249</v>
      </c>
      <c r="Q15" t="s">
        <v>217</v>
      </c>
      <c r="R15" t="s">
        <v>246</v>
      </c>
      <c r="S15" t="s">
        <v>78</v>
      </c>
      <c r="T15" s="70" t="str">
        <f>_xlfn.XLOOKUP(Tabla1[[#This Row],[Universidad]],Conversiones!$B:$B,Conversiones!$C:$C)</f>
        <v>Maastricht University</v>
      </c>
      <c r="U15" s="70" t="str">
        <f>_xlfn.XLOOKUP(Tabla1[[#This Row],[Universidad KPIs]],Conversiones!$C:$C,Conversiones!$E:$E)</f>
        <v>Específico</v>
      </c>
      <c r="V15" t="s">
        <v>79</v>
      </c>
      <c r="W15" t="s">
        <v>250</v>
      </c>
      <c r="X15" s="2">
        <v>43850</v>
      </c>
      <c r="Y15" s="2">
        <v>43974</v>
      </c>
      <c r="Z15">
        <v>124</v>
      </c>
    </row>
    <row r="16" spans="1:26">
      <c r="A16" s="68" t="s">
        <v>312</v>
      </c>
      <c r="B16" s="1">
        <v>201632828</v>
      </c>
      <c r="C16" s="1" t="s">
        <v>313</v>
      </c>
      <c r="D16" s="1" t="s">
        <v>314</v>
      </c>
      <c r="E16" s="1" t="s">
        <v>315</v>
      </c>
      <c r="F16" s="1" t="s">
        <v>216</v>
      </c>
      <c r="G16" s="1" t="s">
        <v>246</v>
      </c>
      <c r="H16" s="1"/>
      <c r="I16" s="1"/>
      <c r="J16" s="1" t="s">
        <v>247</v>
      </c>
      <c r="K16" s="1">
        <v>2020</v>
      </c>
      <c r="L16" s="1">
        <v>202010</v>
      </c>
      <c r="M16" s="1">
        <v>202010</v>
      </c>
      <c r="N16" s="1" t="s">
        <v>248</v>
      </c>
      <c r="O16" s="1" t="s">
        <v>213</v>
      </c>
      <c r="P16" s="1" t="s">
        <v>249</v>
      </c>
      <c r="Q16" s="1" t="s">
        <v>216</v>
      </c>
      <c r="R16" s="1" t="s">
        <v>246</v>
      </c>
      <c r="S16" s="1" t="s">
        <v>279</v>
      </c>
      <c r="T16" s="70" t="str">
        <f>_xlfn.XLOOKUP(Tabla1[[#This Row],[Universidad]],Conversiones!$B:$B,Conversiones!$C:$C)</f>
        <v>Toulouse Business School</v>
      </c>
      <c r="U16" s="70" t="str">
        <f>_xlfn.XLOOKUP(Tabla1[[#This Row],[Universidad KPIs]],Conversiones!$C:$C,Conversiones!$E:$E)</f>
        <v>Específico</v>
      </c>
      <c r="V16" s="1" t="s">
        <v>41</v>
      </c>
      <c r="W16" s="1" t="s">
        <v>250</v>
      </c>
      <c r="X16" s="55">
        <v>43850</v>
      </c>
      <c r="Y16" s="55">
        <v>43974</v>
      </c>
      <c r="Z16" s="1">
        <v>124</v>
      </c>
    </row>
    <row r="17" spans="1:26">
      <c r="A17" s="67" t="s">
        <v>316</v>
      </c>
      <c r="B17">
        <v>201631141</v>
      </c>
      <c r="C17" t="s">
        <v>317</v>
      </c>
      <c r="D17" t="s">
        <v>318</v>
      </c>
      <c r="E17" t="s">
        <v>319</v>
      </c>
      <c r="F17" t="s">
        <v>216</v>
      </c>
      <c r="G17" t="s">
        <v>246</v>
      </c>
      <c r="J17" t="s">
        <v>247</v>
      </c>
      <c r="K17">
        <v>2020</v>
      </c>
      <c r="L17">
        <v>202010</v>
      </c>
      <c r="M17">
        <v>202010</v>
      </c>
      <c r="N17" t="s">
        <v>248</v>
      </c>
      <c r="O17" t="s">
        <v>213</v>
      </c>
      <c r="P17" t="s">
        <v>249</v>
      </c>
      <c r="Q17" t="s">
        <v>216</v>
      </c>
      <c r="R17" t="s">
        <v>246</v>
      </c>
      <c r="S17" t="s">
        <v>320</v>
      </c>
      <c r="T17" s="70" t="str">
        <f>_xlfn.XLOOKUP(Tabla1[[#This Row],[Universidad]],Conversiones!$B:$B,Conversiones!$C:$C)</f>
        <v>KLU Kühne Logistics University</v>
      </c>
      <c r="U17" s="70" t="str">
        <f>_xlfn.XLOOKUP(Tabla1[[#This Row],[Universidad KPIs]],Conversiones!$C:$C,Conversiones!$E:$E)</f>
        <v>Específico</v>
      </c>
      <c r="V17" t="s">
        <v>60</v>
      </c>
      <c r="W17" t="s">
        <v>250</v>
      </c>
      <c r="X17" s="2">
        <v>43850</v>
      </c>
      <c r="Y17" s="2">
        <v>43974</v>
      </c>
      <c r="Z17">
        <v>124</v>
      </c>
    </row>
    <row r="18" spans="1:26">
      <c r="A18" s="68" t="s">
        <v>321</v>
      </c>
      <c r="B18" s="1">
        <v>201533692</v>
      </c>
      <c r="C18" s="1" t="s">
        <v>322</v>
      </c>
      <c r="D18" s="1" t="s">
        <v>323</v>
      </c>
      <c r="E18" s="1" t="s">
        <v>324</v>
      </c>
      <c r="F18" s="1" t="s">
        <v>216</v>
      </c>
      <c r="G18" s="1" t="s">
        <v>246</v>
      </c>
      <c r="H18" s="1"/>
      <c r="I18" s="1"/>
      <c r="J18" s="1" t="s">
        <v>247</v>
      </c>
      <c r="K18" s="1">
        <v>2020</v>
      </c>
      <c r="L18" s="1">
        <v>202010</v>
      </c>
      <c r="M18" s="1">
        <v>202010</v>
      </c>
      <c r="N18" s="1" t="s">
        <v>248</v>
      </c>
      <c r="O18" s="1" t="s">
        <v>213</v>
      </c>
      <c r="P18" s="1" t="s">
        <v>249</v>
      </c>
      <c r="Q18" s="1" t="s">
        <v>216</v>
      </c>
      <c r="R18" s="1" t="s">
        <v>246</v>
      </c>
      <c r="S18" s="1" t="s">
        <v>325</v>
      </c>
      <c r="T18" s="70" t="str">
        <f>_xlfn.XLOOKUP(Tabla1[[#This Row],[Universidad]],Conversiones!$B:$B,Conversiones!$C:$C)</f>
        <v>Università Commerciale Luigi Bocconi</v>
      </c>
      <c r="U18" s="70" t="str">
        <f>_xlfn.XLOOKUP(Tabla1[[#This Row],[Universidad KPIs]],Conversiones!$C:$C,Conversiones!$E:$E)</f>
        <v>Específico</v>
      </c>
      <c r="V18" s="1" t="s">
        <v>87</v>
      </c>
      <c r="W18" s="1" t="s">
        <v>250</v>
      </c>
      <c r="X18" s="55">
        <v>43850</v>
      </c>
      <c r="Y18" s="55">
        <v>43974</v>
      </c>
      <c r="Z18" s="1">
        <v>124</v>
      </c>
    </row>
    <row r="19" spans="1:26">
      <c r="A19" s="67" t="s">
        <v>326</v>
      </c>
      <c r="B19">
        <v>201713178</v>
      </c>
      <c r="C19" t="s">
        <v>327</v>
      </c>
      <c r="D19" t="s">
        <v>328</v>
      </c>
      <c r="E19" t="s">
        <v>329</v>
      </c>
      <c r="F19" t="s">
        <v>216</v>
      </c>
      <c r="G19" t="s">
        <v>246</v>
      </c>
      <c r="J19" t="s">
        <v>247</v>
      </c>
      <c r="K19">
        <v>2020</v>
      </c>
      <c r="L19">
        <v>202010</v>
      </c>
      <c r="M19">
        <v>202010</v>
      </c>
      <c r="N19" t="s">
        <v>248</v>
      </c>
      <c r="O19" t="s">
        <v>213</v>
      </c>
      <c r="P19" t="s">
        <v>249</v>
      </c>
      <c r="Q19" t="s">
        <v>216</v>
      </c>
      <c r="R19" t="s">
        <v>246</v>
      </c>
      <c r="S19" t="s">
        <v>330</v>
      </c>
      <c r="T19" s="70" t="str">
        <f>_xlfn.XLOOKUP(Tabla1[[#This Row],[Universidad]],Conversiones!$B:$B,Conversiones!$C:$C)</f>
        <v>ITAM - Instituto Tecnológico Autónomo de México</v>
      </c>
      <c r="U19" s="70" t="str">
        <f>_xlfn.XLOOKUP(Tabla1[[#This Row],[Universidad KPIs]],Conversiones!$C:$C,Conversiones!$E:$E)</f>
        <v>Específico</v>
      </c>
      <c r="V19" t="s">
        <v>71</v>
      </c>
      <c r="W19" t="s">
        <v>260</v>
      </c>
      <c r="X19" s="2">
        <v>43850</v>
      </c>
      <c r="Y19" s="2">
        <v>43974</v>
      </c>
      <c r="Z19">
        <v>124</v>
      </c>
    </row>
    <row r="20" spans="1:26">
      <c r="A20" s="68" t="s">
        <v>331</v>
      </c>
      <c r="B20" s="1">
        <v>201614626</v>
      </c>
      <c r="C20" s="1" t="s">
        <v>332</v>
      </c>
      <c r="D20" s="1" t="s">
        <v>333</v>
      </c>
      <c r="E20" s="1" t="s">
        <v>334</v>
      </c>
      <c r="F20" s="1" t="s">
        <v>216</v>
      </c>
      <c r="G20" s="1" t="s">
        <v>246</v>
      </c>
      <c r="H20" s="1"/>
      <c r="I20" s="1"/>
      <c r="J20" s="1" t="s">
        <v>247</v>
      </c>
      <c r="K20" s="1">
        <v>2020</v>
      </c>
      <c r="L20" s="1">
        <v>202010</v>
      </c>
      <c r="M20" s="1">
        <v>202010</v>
      </c>
      <c r="N20" s="1" t="s">
        <v>248</v>
      </c>
      <c r="O20" s="1" t="s">
        <v>213</v>
      </c>
      <c r="P20" s="1" t="s">
        <v>249</v>
      </c>
      <c r="Q20" s="1" t="s">
        <v>216</v>
      </c>
      <c r="R20" s="1" t="s">
        <v>246</v>
      </c>
      <c r="S20" s="1" t="s">
        <v>335</v>
      </c>
      <c r="T20" s="70" t="str">
        <f>_xlfn.XLOOKUP(Tabla1[[#This Row],[Universidad]],Conversiones!$B:$B,Conversiones!$C:$C)</f>
        <v>HEC Montréal</v>
      </c>
      <c r="U20" s="70" t="str">
        <f>_xlfn.XLOOKUP(Tabla1[[#This Row],[Universidad KPIs]],Conversiones!$C:$C,Conversiones!$E:$E)</f>
        <v>Específico</v>
      </c>
      <c r="V20" s="1" t="s">
        <v>58</v>
      </c>
      <c r="W20" s="1" t="s">
        <v>260</v>
      </c>
      <c r="X20" s="55">
        <v>43850</v>
      </c>
      <c r="Y20" s="55">
        <v>43974</v>
      </c>
      <c r="Z20" s="1">
        <v>124</v>
      </c>
    </row>
    <row r="21" spans="1:26">
      <c r="A21" s="67" t="s">
        <v>336</v>
      </c>
      <c r="B21">
        <v>201533170</v>
      </c>
      <c r="C21" t="s">
        <v>337</v>
      </c>
      <c r="D21" t="s">
        <v>338</v>
      </c>
      <c r="E21" t="s">
        <v>339</v>
      </c>
      <c r="F21" t="s">
        <v>216</v>
      </c>
      <c r="G21" t="s">
        <v>246</v>
      </c>
      <c r="J21" t="s">
        <v>247</v>
      </c>
      <c r="K21">
        <v>2020</v>
      </c>
      <c r="L21">
        <v>202010</v>
      </c>
      <c r="M21">
        <v>202010</v>
      </c>
      <c r="N21" t="s">
        <v>248</v>
      </c>
      <c r="O21" t="s">
        <v>214</v>
      </c>
      <c r="P21" t="s">
        <v>340</v>
      </c>
      <c r="Q21" t="s">
        <v>216</v>
      </c>
      <c r="R21" t="s">
        <v>246</v>
      </c>
      <c r="S21" t="s">
        <v>341</v>
      </c>
      <c r="T21" s="70" t="str">
        <f>_xlfn.XLOOKUP(Tabla1[[#This Row],[Universidad]],Conversiones!$B:$B,Conversiones!$C:$C)</f>
        <v>A.B. Freeman School of Business, Tulane University</v>
      </c>
      <c r="U21" s="70" t="str">
        <f>_xlfn.XLOOKUP(Tabla1[[#This Row],[Universidad KPIs]],Conversiones!$C:$C,Conversiones!$E:$E)</f>
        <v>Específico</v>
      </c>
      <c r="V21" t="s">
        <v>35</v>
      </c>
      <c r="W21" t="s">
        <v>260</v>
      </c>
      <c r="X21" s="2">
        <v>43850</v>
      </c>
      <c r="Y21" s="2">
        <v>43974</v>
      </c>
      <c r="Z21">
        <v>124</v>
      </c>
    </row>
    <row r="22" spans="1:26">
      <c r="A22" s="68" t="s">
        <v>342</v>
      </c>
      <c r="B22" s="1">
        <v>201626135</v>
      </c>
      <c r="C22" s="1" t="s">
        <v>343</v>
      </c>
      <c r="D22" s="1" t="s">
        <v>344</v>
      </c>
      <c r="E22" s="1" t="s">
        <v>345</v>
      </c>
      <c r="F22" s="1" t="s">
        <v>217</v>
      </c>
      <c r="G22" s="1" t="s">
        <v>246</v>
      </c>
      <c r="H22" s="1"/>
      <c r="I22" s="1"/>
      <c r="J22" s="1" t="s">
        <v>247</v>
      </c>
      <c r="K22" s="1">
        <v>2020</v>
      </c>
      <c r="L22" s="1">
        <v>202010</v>
      </c>
      <c r="M22" s="1">
        <v>202010</v>
      </c>
      <c r="N22" s="1" t="s">
        <v>248</v>
      </c>
      <c r="O22" s="1" t="s">
        <v>213</v>
      </c>
      <c r="P22" s="1" t="s">
        <v>249</v>
      </c>
      <c r="Q22" s="1" t="s">
        <v>217</v>
      </c>
      <c r="R22" s="1" t="s">
        <v>246</v>
      </c>
      <c r="S22" s="1" t="s">
        <v>78</v>
      </c>
      <c r="T22" s="70" t="str">
        <f>_xlfn.XLOOKUP(Tabla1[[#This Row],[Universidad]],Conversiones!$B:$B,Conversiones!$C:$C)</f>
        <v>Maastricht University</v>
      </c>
      <c r="U22" s="70" t="str">
        <f>_xlfn.XLOOKUP(Tabla1[[#This Row],[Universidad KPIs]],Conversiones!$C:$C,Conversiones!$E:$E)</f>
        <v>Específico</v>
      </c>
      <c r="V22" s="1" t="s">
        <v>79</v>
      </c>
      <c r="W22" s="1" t="s">
        <v>250</v>
      </c>
      <c r="X22" s="55">
        <v>43850</v>
      </c>
      <c r="Y22" s="55">
        <v>43974</v>
      </c>
      <c r="Z22" s="1">
        <v>124</v>
      </c>
    </row>
    <row r="23" spans="1:26">
      <c r="A23" s="67" t="s">
        <v>346</v>
      </c>
      <c r="B23">
        <v>201516640</v>
      </c>
      <c r="C23" t="s">
        <v>347</v>
      </c>
      <c r="D23" t="s">
        <v>348</v>
      </c>
      <c r="E23" t="s">
        <v>349</v>
      </c>
      <c r="F23" t="s">
        <v>216</v>
      </c>
      <c r="G23" t="s">
        <v>246</v>
      </c>
      <c r="J23" t="s">
        <v>247</v>
      </c>
      <c r="K23">
        <v>2020</v>
      </c>
      <c r="L23">
        <v>202010</v>
      </c>
      <c r="M23">
        <v>202010</v>
      </c>
      <c r="N23" t="s">
        <v>248</v>
      </c>
      <c r="O23" t="s">
        <v>213</v>
      </c>
      <c r="P23" t="s">
        <v>249</v>
      </c>
      <c r="Q23" t="s">
        <v>216</v>
      </c>
      <c r="R23" t="s">
        <v>246</v>
      </c>
      <c r="S23" t="s">
        <v>350</v>
      </c>
      <c r="T23" s="70" t="str">
        <f>_xlfn.XLOOKUP(Tabla1[[#This Row],[Universidad]],Conversiones!$B:$B,Conversiones!$C:$C)</f>
        <v>Audencia. École de Management</v>
      </c>
      <c r="U23" s="70" t="str">
        <f>_xlfn.XLOOKUP(Tabla1[[#This Row],[Universidad KPIs]],Conversiones!$C:$C,Conversiones!$E:$E)</f>
        <v>Específico</v>
      </c>
      <c r="V23" t="s">
        <v>41</v>
      </c>
      <c r="W23" t="s">
        <v>250</v>
      </c>
      <c r="X23" s="2">
        <v>43850</v>
      </c>
      <c r="Y23" s="2">
        <v>43974</v>
      </c>
      <c r="Z23">
        <v>124</v>
      </c>
    </row>
    <row r="24" spans="1:26">
      <c r="A24" s="68" t="s">
        <v>351</v>
      </c>
      <c r="B24" s="1">
        <v>201614932</v>
      </c>
      <c r="C24" s="1" t="s">
        <v>295</v>
      </c>
      <c r="D24" s="1" t="s">
        <v>352</v>
      </c>
      <c r="E24" s="1" t="s">
        <v>353</v>
      </c>
      <c r="F24" s="1" t="s">
        <v>216</v>
      </c>
      <c r="G24" s="1" t="s">
        <v>246</v>
      </c>
      <c r="H24" s="1"/>
      <c r="I24" s="1"/>
      <c r="J24" s="1" t="s">
        <v>247</v>
      </c>
      <c r="K24" s="1">
        <v>2020</v>
      </c>
      <c r="L24" s="1">
        <v>202010</v>
      </c>
      <c r="M24" s="1">
        <v>202010</v>
      </c>
      <c r="N24" s="1" t="s">
        <v>248</v>
      </c>
      <c r="O24" s="1" t="s">
        <v>213</v>
      </c>
      <c r="P24" s="1" t="s">
        <v>249</v>
      </c>
      <c r="Q24" s="1" t="s">
        <v>216</v>
      </c>
      <c r="R24" s="1" t="s">
        <v>246</v>
      </c>
      <c r="S24" s="1" t="s">
        <v>104</v>
      </c>
      <c r="T24" s="70" t="str">
        <f>_xlfn.XLOOKUP(Tabla1[[#This Row],[Universidad]],Conversiones!$B:$B,Conversiones!$C:$C)</f>
        <v>University of Melbourne</v>
      </c>
      <c r="U24" s="70" t="str">
        <f>_xlfn.XLOOKUP(Tabla1[[#This Row],[Universidad KPIs]],Conversiones!$C:$C,Conversiones!$E:$E)</f>
        <v>Específico</v>
      </c>
      <c r="V24" s="1" t="s">
        <v>90</v>
      </c>
      <c r="W24" s="1" t="s">
        <v>354</v>
      </c>
      <c r="X24" s="55">
        <v>43850</v>
      </c>
      <c r="Y24" s="55">
        <v>43974</v>
      </c>
      <c r="Z24" s="1">
        <v>124</v>
      </c>
    </row>
    <row r="25" spans="1:26">
      <c r="A25" s="67" t="s">
        <v>355</v>
      </c>
      <c r="B25">
        <v>201631419</v>
      </c>
      <c r="C25" t="s">
        <v>286</v>
      </c>
      <c r="D25" t="s">
        <v>356</v>
      </c>
      <c r="E25" t="s">
        <v>357</v>
      </c>
      <c r="F25" t="s">
        <v>216</v>
      </c>
      <c r="G25" t="s">
        <v>246</v>
      </c>
      <c r="J25" t="s">
        <v>247</v>
      </c>
      <c r="K25">
        <v>2020</v>
      </c>
      <c r="L25">
        <v>202010</v>
      </c>
      <c r="M25">
        <v>202010</v>
      </c>
      <c r="N25" t="s">
        <v>248</v>
      </c>
      <c r="O25" t="s">
        <v>213</v>
      </c>
      <c r="P25" t="s">
        <v>249</v>
      </c>
      <c r="Q25" t="s">
        <v>216</v>
      </c>
      <c r="R25" t="s">
        <v>246</v>
      </c>
      <c r="S25" t="s">
        <v>341</v>
      </c>
      <c r="T25" s="70" t="str">
        <f>_xlfn.XLOOKUP(Tabla1[[#This Row],[Universidad]],Conversiones!$B:$B,Conversiones!$C:$C)</f>
        <v>A.B. Freeman School of Business, Tulane University</v>
      </c>
      <c r="U25" s="70" t="str">
        <f>_xlfn.XLOOKUP(Tabla1[[#This Row],[Universidad KPIs]],Conversiones!$C:$C,Conversiones!$E:$E)</f>
        <v>Específico</v>
      </c>
      <c r="V25" t="s">
        <v>35</v>
      </c>
      <c r="W25" t="s">
        <v>260</v>
      </c>
      <c r="X25" s="2">
        <v>43850</v>
      </c>
      <c r="Y25" s="2">
        <v>43974</v>
      </c>
      <c r="Z25">
        <v>124</v>
      </c>
    </row>
    <row r="26" spans="1:26">
      <c r="A26" s="68" t="s">
        <v>358</v>
      </c>
      <c r="B26" s="1">
        <v>201632657</v>
      </c>
      <c r="C26" s="1" t="s">
        <v>359</v>
      </c>
      <c r="D26" s="1" t="s">
        <v>360</v>
      </c>
      <c r="E26" s="1" t="s">
        <v>361</v>
      </c>
      <c r="F26" s="1" t="s">
        <v>216</v>
      </c>
      <c r="G26" s="1" t="s">
        <v>246</v>
      </c>
      <c r="H26" s="1"/>
      <c r="I26" s="1"/>
      <c r="J26" s="1" t="s">
        <v>247</v>
      </c>
      <c r="K26" s="1">
        <v>2020</v>
      </c>
      <c r="L26" s="1">
        <v>202010</v>
      </c>
      <c r="M26" s="1">
        <v>202010</v>
      </c>
      <c r="N26" s="1" t="s">
        <v>248</v>
      </c>
      <c r="O26" s="1" t="s">
        <v>213</v>
      </c>
      <c r="P26" s="1" t="s">
        <v>249</v>
      </c>
      <c r="Q26" s="1" t="s">
        <v>216</v>
      </c>
      <c r="R26" s="1" t="s">
        <v>246</v>
      </c>
      <c r="S26" s="1" t="s">
        <v>362</v>
      </c>
      <c r="T26" s="70" t="str">
        <f>_xlfn.XLOOKUP(Tabla1[[#This Row],[Universidad]],Conversiones!$B:$B,Conversiones!$C:$C)</f>
        <v>Frankfurt School of Finance and Management</v>
      </c>
      <c r="U26" s="70" t="str">
        <f>_xlfn.XLOOKUP(Tabla1[[#This Row],[Universidad KPIs]],Conversiones!$C:$C,Conversiones!$E:$E)</f>
        <v>Específico</v>
      </c>
      <c r="V26" s="1" t="s">
        <v>60</v>
      </c>
      <c r="W26" s="1" t="s">
        <v>250</v>
      </c>
      <c r="X26" s="55">
        <v>43850</v>
      </c>
      <c r="Y26" s="55">
        <v>43974</v>
      </c>
      <c r="Z26" s="1">
        <v>124</v>
      </c>
    </row>
    <row r="27" spans="1:26">
      <c r="A27" s="67" t="s">
        <v>363</v>
      </c>
      <c r="B27">
        <v>201633208</v>
      </c>
      <c r="C27" t="s">
        <v>364</v>
      </c>
      <c r="D27" t="s">
        <v>365</v>
      </c>
      <c r="E27" t="s">
        <v>366</v>
      </c>
      <c r="F27" t="s">
        <v>216</v>
      </c>
      <c r="G27" t="s">
        <v>246</v>
      </c>
      <c r="J27" t="s">
        <v>247</v>
      </c>
      <c r="K27">
        <v>2020</v>
      </c>
      <c r="L27">
        <v>202010</v>
      </c>
      <c r="M27">
        <v>202010</v>
      </c>
      <c r="N27" t="s">
        <v>248</v>
      </c>
      <c r="O27" t="s">
        <v>213</v>
      </c>
      <c r="P27" t="s">
        <v>249</v>
      </c>
      <c r="Q27" t="s">
        <v>216</v>
      </c>
      <c r="R27" t="s">
        <v>246</v>
      </c>
      <c r="S27" t="s">
        <v>279</v>
      </c>
      <c r="T27" s="70" t="str">
        <f>_xlfn.XLOOKUP(Tabla1[[#This Row],[Universidad]],Conversiones!$B:$B,Conversiones!$C:$C)</f>
        <v>Toulouse Business School</v>
      </c>
      <c r="U27" s="70" t="str">
        <f>_xlfn.XLOOKUP(Tabla1[[#This Row],[Universidad KPIs]],Conversiones!$C:$C,Conversiones!$E:$E)</f>
        <v>Específico</v>
      </c>
      <c r="V27" t="s">
        <v>41</v>
      </c>
      <c r="W27" t="s">
        <v>250</v>
      </c>
      <c r="X27" s="2">
        <v>43850</v>
      </c>
      <c r="Y27" s="2">
        <v>43974</v>
      </c>
      <c r="Z27">
        <v>124</v>
      </c>
    </row>
    <row r="28" spans="1:26">
      <c r="A28" s="68" t="s">
        <v>367</v>
      </c>
      <c r="B28" s="1">
        <v>201731261</v>
      </c>
      <c r="C28" s="1" t="s">
        <v>257</v>
      </c>
      <c r="D28" s="1" t="s">
        <v>368</v>
      </c>
      <c r="E28" s="1" t="s">
        <v>369</v>
      </c>
      <c r="F28" s="1" t="s">
        <v>216</v>
      </c>
      <c r="G28" s="1" t="s">
        <v>246</v>
      </c>
      <c r="H28" s="1"/>
      <c r="I28" s="1"/>
      <c r="J28" s="1" t="s">
        <v>247</v>
      </c>
      <c r="K28" s="1">
        <v>2020</v>
      </c>
      <c r="L28" s="1">
        <v>202010</v>
      </c>
      <c r="M28" s="1">
        <v>202010</v>
      </c>
      <c r="N28" s="1" t="s">
        <v>248</v>
      </c>
      <c r="O28" s="1" t="s">
        <v>213</v>
      </c>
      <c r="P28" s="1" t="s">
        <v>249</v>
      </c>
      <c r="Q28" s="1" t="s">
        <v>216</v>
      </c>
      <c r="R28" s="1" t="s">
        <v>246</v>
      </c>
      <c r="S28" s="1" t="s">
        <v>78</v>
      </c>
      <c r="T28" s="70" t="str">
        <f>_xlfn.XLOOKUP(Tabla1[[#This Row],[Universidad]],Conversiones!$B:$B,Conversiones!$C:$C)</f>
        <v>Maastricht University</v>
      </c>
      <c r="U28" s="70" t="str">
        <f>_xlfn.XLOOKUP(Tabla1[[#This Row],[Universidad KPIs]],Conversiones!$C:$C,Conversiones!$E:$E)</f>
        <v>Específico</v>
      </c>
      <c r="V28" s="1" t="s">
        <v>79</v>
      </c>
      <c r="W28" s="1" t="s">
        <v>250</v>
      </c>
      <c r="X28" s="55">
        <v>43850</v>
      </c>
      <c r="Y28" s="55">
        <v>43974</v>
      </c>
      <c r="Z28" s="1">
        <v>124</v>
      </c>
    </row>
    <row r="29" spans="1:26">
      <c r="A29" s="67" t="s">
        <v>370</v>
      </c>
      <c r="B29">
        <v>201415122</v>
      </c>
      <c r="C29" t="s">
        <v>371</v>
      </c>
      <c r="D29" t="s">
        <v>372</v>
      </c>
      <c r="E29" t="s">
        <v>373</v>
      </c>
      <c r="F29" t="s">
        <v>216</v>
      </c>
      <c r="G29" t="s">
        <v>246</v>
      </c>
      <c r="J29" t="s">
        <v>247</v>
      </c>
      <c r="K29">
        <v>2020</v>
      </c>
      <c r="L29">
        <v>202010</v>
      </c>
      <c r="M29">
        <v>202010</v>
      </c>
      <c r="N29" t="s">
        <v>248</v>
      </c>
      <c r="O29" t="s">
        <v>213</v>
      </c>
      <c r="P29" t="s">
        <v>249</v>
      </c>
      <c r="Q29" t="s">
        <v>216</v>
      </c>
      <c r="R29" t="s">
        <v>246</v>
      </c>
      <c r="S29" t="s">
        <v>374</v>
      </c>
      <c r="T29" s="70" t="str">
        <f>_xlfn.XLOOKUP(Tabla1[[#This Row],[Universidad]],Conversiones!$B:$B,Conversiones!$C:$C)</f>
        <v>University of Ljubljana</v>
      </c>
      <c r="U29" s="70" t="str">
        <f>_xlfn.XLOOKUP(Tabla1[[#This Row],[Universidad KPIs]],Conversiones!$C:$C,Conversiones!$E:$E)</f>
        <v>Específico</v>
      </c>
      <c r="V29" t="s">
        <v>102</v>
      </c>
      <c r="W29" t="s">
        <v>250</v>
      </c>
      <c r="X29" s="2">
        <v>43850</v>
      </c>
      <c r="Y29" s="2">
        <v>43974</v>
      </c>
      <c r="Z29">
        <v>124</v>
      </c>
    </row>
    <row r="30" spans="1:26">
      <c r="A30" s="68" t="s">
        <v>375</v>
      </c>
      <c r="B30" s="1">
        <v>201631699</v>
      </c>
      <c r="C30" s="1" t="s">
        <v>376</v>
      </c>
      <c r="D30" s="1" t="s">
        <v>377</v>
      </c>
      <c r="E30" s="1" t="s">
        <v>378</v>
      </c>
      <c r="F30" s="1" t="s">
        <v>216</v>
      </c>
      <c r="G30" s="1" t="s">
        <v>246</v>
      </c>
      <c r="H30" s="1"/>
      <c r="I30" s="1"/>
      <c r="J30" s="1" t="s">
        <v>247</v>
      </c>
      <c r="K30" s="1">
        <v>2020</v>
      </c>
      <c r="L30" s="1">
        <v>202010</v>
      </c>
      <c r="M30" s="1">
        <v>202010</v>
      </c>
      <c r="N30" s="1" t="s">
        <v>248</v>
      </c>
      <c r="O30" s="1" t="s">
        <v>213</v>
      </c>
      <c r="P30" s="1" t="s">
        <v>249</v>
      </c>
      <c r="Q30" s="1" t="s">
        <v>216</v>
      </c>
      <c r="R30" s="1" t="s">
        <v>246</v>
      </c>
      <c r="S30" s="1" t="s">
        <v>320</v>
      </c>
      <c r="T30" s="70" t="str">
        <f>_xlfn.XLOOKUP(Tabla1[[#This Row],[Universidad]],Conversiones!$B:$B,Conversiones!$C:$C)</f>
        <v>KLU Kühne Logistics University</v>
      </c>
      <c r="U30" s="70" t="str">
        <f>_xlfn.XLOOKUP(Tabla1[[#This Row],[Universidad KPIs]],Conversiones!$C:$C,Conversiones!$E:$E)</f>
        <v>Específico</v>
      </c>
      <c r="V30" s="1" t="s">
        <v>60</v>
      </c>
      <c r="W30" s="1" t="s">
        <v>250</v>
      </c>
      <c r="X30" s="55">
        <v>43850</v>
      </c>
      <c r="Y30" s="55">
        <v>43974</v>
      </c>
      <c r="Z30" s="1">
        <v>124</v>
      </c>
    </row>
    <row r="31" spans="1:26">
      <c r="A31" s="67" t="s">
        <v>379</v>
      </c>
      <c r="B31">
        <v>201415904</v>
      </c>
      <c r="C31" t="s">
        <v>380</v>
      </c>
      <c r="D31" t="s">
        <v>381</v>
      </c>
      <c r="E31" t="s">
        <v>382</v>
      </c>
      <c r="F31" t="s">
        <v>216</v>
      </c>
      <c r="G31" t="s">
        <v>246</v>
      </c>
      <c r="J31" t="s">
        <v>247</v>
      </c>
      <c r="K31">
        <v>2020</v>
      </c>
      <c r="L31">
        <v>202010</v>
      </c>
      <c r="M31">
        <v>202010</v>
      </c>
      <c r="N31" t="s">
        <v>248</v>
      </c>
      <c r="O31" t="s">
        <v>213</v>
      </c>
      <c r="P31" t="s">
        <v>249</v>
      </c>
      <c r="Q31" t="s">
        <v>216</v>
      </c>
      <c r="R31" t="s">
        <v>246</v>
      </c>
      <c r="S31" t="s">
        <v>383</v>
      </c>
      <c r="T31" s="70" t="str">
        <f>_xlfn.XLOOKUP(Tabla1[[#This Row],[Universidad]],Conversiones!$B:$B,Conversiones!$C:$C)</f>
        <v>Faculté des Sciences de l'Administration. FSA Laval</v>
      </c>
      <c r="U31" s="70" t="str">
        <f>_xlfn.XLOOKUP(Tabla1[[#This Row],[Universidad KPIs]],Conversiones!$C:$C,Conversiones!$E:$E)</f>
        <v>Específico</v>
      </c>
      <c r="V31" t="s">
        <v>58</v>
      </c>
      <c r="W31" t="s">
        <v>260</v>
      </c>
      <c r="X31" s="2">
        <v>43850</v>
      </c>
      <c r="Y31" s="2">
        <v>43974</v>
      </c>
      <c r="Z31">
        <v>124</v>
      </c>
    </row>
    <row r="32" spans="1:26">
      <c r="A32" s="68" t="s">
        <v>384</v>
      </c>
      <c r="B32" s="1">
        <v>201534307</v>
      </c>
      <c r="C32" s="1" t="s">
        <v>385</v>
      </c>
      <c r="D32" s="1" t="s">
        <v>386</v>
      </c>
      <c r="E32" s="1" t="s">
        <v>387</v>
      </c>
      <c r="F32" s="1" t="s">
        <v>216</v>
      </c>
      <c r="G32" s="1" t="s">
        <v>246</v>
      </c>
      <c r="H32" s="1"/>
      <c r="I32" s="1"/>
      <c r="J32" s="1" t="s">
        <v>247</v>
      </c>
      <c r="K32" s="1">
        <v>2020</v>
      </c>
      <c r="L32" s="1">
        <v>202010</v>
      </c>
      <c r="M32" s="1">
        <v>202010</v>
      </c>
      <c r="N32" s="1" t="s">
        <v>248</v>
      </c>
      <c r="O32" s="1" t="s">
        <v>213</v>
      </c>
      <c r="P32" s="1" t="s">
        <v>249</v>
      </c>
      <c r="Q32" s="1" t="s">
        <v>216</v>
      </c>
      <c r="R32" s="1" t="s">
        <v>246</v>
      </c>
      <c r="S32" s="1" t="s">
        <v>388</v>
      </c>
      <c r="T32" s="70" t="str">
        <f>_xlfn.XLOOKUP(Tabla1[[#This Row],[Universidad]],Conversiones!$B:$B,Conversiones!$C:$C)</f>
        <v>ESCP</v>
      </c>
      <c r="U32" s="70" t="str">
        <f>_xlfn.XLOOKUP(Tabla1[[#This Row],[Universidad KPIs]],Conversiones!$C:$C,Conversiones!$E:$E)</f>
        <v>Específico</v>
      </c>
      <c r="V32" s="1" t="s">
        <v>41</v>
      </c>
      <c r="W32" s="1" t="s">
        <v>250</v>
      </c>
      <c r="X32" s="55">
        <v>43850</v>
      </c>
      <c r="Y32" s="55">
        <v>43974</v>
      </c>
      <c r="Z32" s="1">
        <v>124</v>
      </c>
    </row>
    <row r="33" spans="1:26">
      <c r="A33" s="67" t="s">
        <v>389</v>
      </c>
      <c r="B33">
        <v>201631803</v>
      </c>
      <c r="C33" t="s">
        <v>390</v>
      </c>
      <c r="D33" t="s">
        <v>391</v>
      </c>
      <c r="E33" t="s">
        <v>392</v>
      </c>
      <c r="F33" t="s">
        <v>216</v>
      </c>
      <c r="G33" t="s">
        <v>246</v>
      </c>
      <c r="J33" t="s">
        <v>247</v>
      </c>
      <c r="K33">
        <v>2020</v>
      </c>
      <c r="L33">
        <v>202010</v>
      </c>
      <c r="M33">
        <v>202010</v>
      </c>
      <c r="N33" t="s">
        <v>248</v>
      </c>
      <c r="O33" t="s">
        <v>213</v>
      </c>
      <c r="P33" t="s">
        <v>249</v>
      </c>
      <c r="Q33" t="s">
        <v>216</v>
      </c>
      <c r="R33" t="s">
        <v>246</v>
      </c>
      <c r="S33" t="s">
        <v>78</v>
      </c>
      <c r="T33" s="70" t="str">
        <f>_xlfn.XLOOKUP(Tabla1[[#This Row],[Universidad]],Conversiones!$B:$B,Conversiones!$C:$C)</f>
        <v>Maastricht University</v>
      </c>
      <c r="U33" s="70" t="str">
        <f>_xlfn.XLOOKUP(Tabla1[[#This Row],[Universidad KPIs]],Conversiones!$C:$C,Conversiones!$E:$E)</f>
        <v>Específico</v>
      </c>
      <c r="V33" t="s">
        <v>79</v>
      </c>
      <c r="W33" t="s">
        <v>250</v>
      </c>
      <c r="X33" s="2">
        <v>43850</v>
      </c>
      <c r="Y33" s="2">
        <v>43974</v>
      </c>
      <c r="Z33">
        <v>124</v>
      </c>
    </row>
    <row r="34" spans="1:26">
      <c r="A34" s="68" t="s">
        <v>393</v>
      </c>
      <c r="B34" s="1">
        <v>201631809</v>
      </c>
      <c r="C34" s="1" t="s">
        <v>394</v>
      </c>
      <c r="D34" s="1" t="s">
        <v>395</v>
      </c>
      <c r="E34" s="1" t="s">
        <v>396</v>
      </c>
      <c r="F34" s="1" t="s">
        <v>216</v>
      </c>
      <c r="G34" s="1" t="s">
        <v>246</v>
      </c>
      <c r="H34" s="1"/>
      <c r="I34" s="1"/>
      <c r="J34" s="1" t="s">
        <v>247</v>
      </c>
      <c r="K34" s="1">
        <v>2020</v>
      </c>
      <c r="L34" s="1">
        <v>202010</v>
      </c>
      <c r="M34" s="1">
        <v>202010</v>
      </c>
      <c r="N34" s="1" t="s">
        <v>248</v>
      </c>
      <c r="O34" s="1" t="s">
        <v>213</v>
      </c>
      <c r="P34" s="1" t="s">
        <v>249</v>
      </c>
      <c r="Q34" s="1" t="s">
        <v>216</v>
      </c>
      <c r="R34" s="1" t="s">
        <v>246</v>
      </c>
      <c r="S34" s="1" t="s">
        <v>397</v>
      </c>
      <c r="T34" s="70" t="str">
        <f>_xlfn.XLOOKUP(Tabla1[[#This Row],[Universidad]],Conversiones!$B:$B,Conversiones!$C:$C)</f>
        <v>Roskilde University</v>
      </c>
      <c r="U34" s="70" t="str">
        <f>_xlfn.XLOOKUP(Tabla1[[#This Row],[Universidad KPIs]],Conversiones!$C:$C,Conversiones!$E:$E)</f>
        <v>General</v>
      </c>
      <c r="V34" s="1" t="s">
        <v>47</v>
      </c>
      <c r="W34" s="1" t="s">
        <v>250</v>
      </c>
      <c r="X34" s="55">
        <v>43850</v>
      </c>
      <c r="Y34" s="55">
        <v>43974</v>
      </c>
      <c r="Z34" s="1">
        <v>124</v>
      </c>
    </row>
    <row r="35" spans="1:26">
      <c r="A35" s="67" t="s">
        <v>398</v>
      </c>
      <c r="B35">
        <v>201631852</v>
      </c>
      <c r="C35" t="s">
        <v>364</v>
      </c>
      <c r="D35" t="s">
        <v>399</v>
      </c>
      <c r="E35" t="s">
        <v>400</v>
      </c>
      <c r="F35" t="s">
        <v>216</v>
      </c>
      <c r="G35" t="s">
        <v>246</v>
      </c>
      <c r="J35" t="s">
        <v>247</v>
      </c>
      <c r="K35">
        <v>2020</v>
      </c>
      <c r="L35">
        <v>202010</v>
      </c>
      <c r="M35">
        <v>202010</v>
      </c>
      <c r="N35" t="s">
        <v>248</v>
      </c>
      <c r="O35" t="s">
        <v>213</v>
      </c>
      <c r="P35" t="s">
        <v>401</v>
      </c>
      <c r="Q35" t="s">
        <v>216</v>
      </c>
      <c r="R35" t="s">
        <v>246</v>
      </c>
      <c r="S35" t="s">
        <v>140</v>
      </c>
      <c r="T35" s="70" t="str">
        <f>_xlfn.XLOOKUP(Tabla1[[#This Row],[Universidad]],Conversiones!$B:$B,Conversiones!$C:$C)</f>
        <v>Universidad Carlos III de Madrid</v>
      </c>
      <c r="U35" s="70" t="str">
        <f>_xlfn.XLOOKUP(Tabla1[[#This Row],[Universidad KPIs]],Conversiones!$C:$C,Conversiones!$E:$E)</f>
        <v>General</v>
      </c>
      <c r="V35" t="s">
        <v>53</v>
      </c>
      <c r="W35" t="s">
        <v>250</v>
      </c>
      <c r="X35" s="2">
        <v>43850</v>
      </c>
      <c r="Y35" s="2">
        <v>43974</v>
      </c>
      <c r="Z35">
        <v>124</v>
      </c>
    </row>
    <row r="36" spans="1:26">
      <c r="A36" s="68" t="s">
        <v>402</v>
      </c>
      <c r="B36" s="1">
        <v>201631960</v>
      </c>
      <c r="C36" s="1" t="s">
        <v>403</v>
      </c>
      <c r="D36" s="1" t="s">
        <v>404</v>
      </c>
      <c r="E36" s="1" t="s">
        <v>405</v>
      </c>
      <c r="F36" s="1" t="s">
        <v>216</v>
      </c>
      <c r="G36" s="1" t="s">
        <v>246</v>
      </c>
      <c r="H36" s="1"/>
      <c r="I36" s="1"/>
      <c r="J36" s="1" t="s">
        <v>247</v>
      </c>
      <c r="K36" s="1">
        <v>2020</v>
      </c>
      <c r="L36" s="1">
        <v>202010</v>
      </c>
      <c r="M36" s="1">
        <v>202010</v>
      </c>
      <c r="N36" s="1" t="s">
        <v>248</v>
      </c>
      <c r="O36" s="1" t="s">
        <v>213</v>
      </c>
      <c r="P36" s="1" t="s">
        <v>249</v>
      </c>
      <c r="Q36" s="1" t="s">
        <v>216</v>
      </c>
      <c r="R36" s="1" t="s">
        <v>246</v>
      </c>
      <c r="S36" s="1" t="s">
        <v>289</v>
      </c>
      <c r="T36" s="70" t="str">
        <f>_xlfn.XLOOKUP(Tabla1[[#This Row],[Universidad]],Conversiones!$B:$B,Conversiones!$C:$C)</f>
        <v>ESADE</v>
      </c>
      <c r="U36" s="70" t="str">
        <f>_xlfn.XLOOKUP(Tabla1[[#This Row],[Universidad KPIs]],Conversiones!$C:$C,Conversiones!$E:$E)</f>
        <v>Específico</v>
      </c>
      <c r="V36" s="1" t="s">
        <v>53</v>
      </c>
      <c r="W36" s="1" t="s">
        <v>250</v>
      </c>
      <c r="X36" s="55">
        <v>43850</v>
      </c>
      <c r="Y36" s="55">
        <v>43974</v>
      </c>
      <c r="Z36" s="1">
        <v>124</v>
      </c>
    </row>
    <row r="37" spans="1:26">
      <c r="A37" s="67" t="s">
        <v>406</v>
      </c>
      <c r="B37">
        <v>201631333</v>
      </c>
      <c r="C37" t="s">
        <v>407</v>
      </c>
      <c r="D37" t="s">
        <v>408</v>
      </c>
      <c r="E37" t="s">
        <v>409</v>
      </c>
      <c r="F37" t="s">
        <v>216</v>
      </c>
      <c r="G37" t="s">
        <v>246</v>
      </c>
      <c r="J37" t="s">
        <v>247</v>
      </c>
      <c r="K37">
        <v>2020</v>
      </c>
      <c r="L37">
        <v>202010</v>
      </c>
      <c r="M37">
        <v>202010</v>
      </c>
      <c r="N37" t="s">
        <v>248</v>
      </c>
      <c r="O37" t="s">
        <v>213</v>
      </c>
      <c r="P37" t="s">
        <v>249</v>
      </c>
      <c r="Q37" t="s">
        <v>216</v>
      </c>
      <c r="R37" t="s">
        <v>246</v>
      </c>
      <c r="S37" t="s">
        <v>410</v>
      </c>
      <c r="T37" s="70" t="str">
        <f>_xlfn.XLOOKUP(Tabla1[[#This Row],[Universidad]],Conversiones!$B:$B,Conversiones!$C:$C)</f>
        <v xml:space="preserve">CBS- Copenhagen Business School  </v>
      </c>
      <c r="U37" s="70" t="str">
        <f>_xlfn.XLOOKUP(Tabla1[[#This Row],[Universidad KPIs]],Conversiones!$C:$C,Conversiones!$E:$E)</f>
        <v>Específico</v>
      </c>
      <c r="V37" t="s">
        <v>47</v>
      </c>
      <c r="W37" t="s">
        <v>250</v>
      </c>
      <c r="X37" s="2">
        <v>43850</v>
      </c>
      <c r="Y37" s="2">
        <v>43974</v>
      </c>
      <c r="Z37">
        <v>124</v>
      </c>
    </row>
    <row r="38" spans="1:26">
      <c r="A38" s="68" t="s">
        <v>411</v>
      </c>
      <c r="B38" s="1">
        <v>201633398</v>
      </c>
      <c r="C38" s="1" t="s">
        <v>257</v>
      </c>
      <c r="D38" s="1" t="s">
        <v>412</v>
      </c>
      <c r="E38" s="1" t="s">
        <v>413</v>
      </c>
      <c r="F38" s="1" t="s">
        <v>216</v>
      </c>
      <c r="G38" s="1" t="s">
        <v>246</v>
      </c>
      <c r="H38" s="1"/>
      <c r="I38" s="1"/>
      <c r="J38" s="1" t="s">
        <v>247</v>
      </c>
      <c r="K38" s="1">
        <v>2020</v>
      </c>
      <c r="L38" s="1">
        <v>202010</v>
      </c>
      <c r="M38" s="1">
        <v>202010</v>
      </c>
      <c r="N38" s="1" t="s">
        <v>248</v>
      </c>
      <c r="O38" s="1" t="s">
        <v>213</v>
      </c>
      <c r="P38" s="1" t="s">
        <v>249</v>
      </c>
      <c r="Q38" s="1" t="s">
        <v>216</v>
      </c>
      <c r="R38" s="1" t="s">
        <v>246</v>
      </c>
      <c r="S38" s="1" t="s">
        <v>284</v>
      </c>
      <c r="T38" s="70" t="str">
        <f>_xlfn.XLOOKUP(Tabla1[[#This Row],[Universidad]],Conversiones!$B:$B,Conversiones!$C:$C)</f>
        <v>HEC Lausanne</v>
      </c>
      <c r="U38" s="70" t="str">
        <f>_xlfn.XLOOKUP(Tabla1[[#This Row],[Universidad KPIs]],Conversiones!$C:$C,Conversiones!$E:$E)</f>
        <v>Específico</v>
      </c>
      <c r="V38" s="1" t="s">
        <v>65</v>
      </c>
      <c r="W38" s="1" t="s">
        <v>250</v>
      </c>
      <c r="X38" s="55">
        <v>43850</v>
      </c>
      <c r="Y38" s="55">
        <v>43974</v>
      </c>
      <c r="Z38" s="1">
        <v>124</v>
      </c>
    </row>
    <row r="39" spans="1:26">
      <c r="A39" s="67" t="s">
        <v>414</v>
      </c>
      <c r="B39">
        <v>201632170</v>
      </c>
      <c r="C39" t="s">
        <v>376</v>
      </c>
      <c r="D39" t="s">
        <v>415</v>
      </c>
      <c r="E39" t="s">
        <v>416</v>
      </c>
      <c r="F39" t="s">
        <v>216</v>
      </c>
      <c r="G39" t="s">
        <v>246</v>
      </c>
      <c r="J39" t="s">
        <v>247</v>
      </c>
      <c r="K39">
        <v>2020</v>
      </c>
      <c r="L39">
        <v>202010</v>
      </c>
      <c r="M39">
        <v>202010</v>
      </c>
      <c r="N39" t="s">
        <v>248</v>
      </c>
      <c r="O39" t="s">
        <v>213</v>
      </c>
      <c r="P39" t="s">
        <v>249</v>
      </c>
      <c r="Q39" t="s">
        <v>216</v>
      </c>
      <c r="R39" t="s">
        <v>246</v>
      </c>
      <c r="S39" t="s">
        <v>410</v>
      </c>
      <c r="T39" s="70" t="str">
        <f>_xlfn.XLOOKUP(Tabla1[[#This Row],[Universidad]],Conversiones!$B:$B,Conversiones!$C:$C)</f>
        <v xml:space="preserve">CBS- Copenhagen Business School  </v>
      </c>
      <c r="U39" s="70" t="str">
        <f>_xlfn.XLOOKUP(Tabla1[[#This Row],[Universidad KPIs]],Conversiones!$C:$C,Conversiones!$E:$E)</f>
        <v>Específico</v>
      </c>
      <c r="V39" t="s">
        <v>47</v>
      </c>
      <c r="W39" t="s">
        <v>250</v>
      </c>
      <c r="X39" s="2">
        <v>43850</v>
      </c>
      <c r="Y39" s="2">
        <v>43974</v>
      </c>
      <c r="Z39">
        <v>124</v>
      </c>
    </row>
    <row r="40" spans="1:26">
      <c r="A40" s="68" t="s">
        <v>417</v>
      </c>
      <c r="B40" s="1">
        <v>201632319</v>
      </c>
      <c r="C40" s="1" t="s">
        <v>407</v>
      </c>
      <c r="D40" s="1" t="s">
        <v>418</v>
      </c>
      <c r="E40" s="1" t="s">
        <v>419</v>
      </c>
      <c r="F40" s="1" t="s">
        <v>216</v>
      </c>
      <c r="G40" s="1" t="s">
        <v>246</v>
      </c>
      <c r="H40" s="1"/>
      <c r="I40" s="1"/>
      <c r="J40" s="1" t="s">
        <v>247</v>
      </c>
      <c r="K40" s="1">
        <v>2020</v>
      </c>
      <c r="L40" s="1">
        <v>202010</v>
      </c>
      <c r="M40" s="1">
        <v>202010</v>
      </c>
      <c r="N40" s="1" t="s">
        <v>248</v>
      </c>
      <c r="O40" s="1" t="s">
        <v>213</v>
      </c>
      <c r="P40" s="1" t="s">
        <v>249</v>
      </c>
      <c r="Q40" s="1" t="s">
        <v>216</v>
      </c>
      <c r="R40" s="1" t="s">
        <v>246</v>
      </c>
      <c r="S40" s="1" t="s">
        <v>38</v>
      </c>
      <c r="T40" s="70" t="str">
        <f>_xlfn.XLOOKUP(Tabla1[[#This Row],[Universidad]],Conversiones!$B:$B,Conversiones!$C:$C)</f>
        <v>Aston University</v>
      </c>
      <c r="U40" s="70" t="str">
        <f>_xlfn.XLOOKUP(Tabla1[[#This Row],[Universidad KPIs]],Conversiones!$C:$C,Conversiones!$E:$E)</f>
        <v>Específico</v>
      </c>
      <c r="V40" s="1" t="s">
        <v>39</v>
      </c>
      <c r="W40" s="1" t="s">
        <v>250</v>
      </c>
      <c r="X40" s="55">
        <v>43850</v>
      </c>
      <c r="Y40" s="55">
        <v>43974</v>
      </c>
      <c r="Z40" s="1">
        <v>124</v>
      </c>
    </row>
    <row r="41" spans="1:26">
      <c r="A41" s="67" t="s">
        <v>420</v>
      </c>
      <c r="B41">
        <v>201517393</v>
      </c>
      <c r="C41" t="s">
        <v>421</v>
      </c>
      <c r="D41" t="s">
        <v>422</v>
      </c>
      <c r="E41" t="s">
        <v>423</v>
      </c>
      <c r="F41" t="s">
        <v>216</v>
      </c>
      <c r="G41" t="s">
        <v>246</v>
      </c>
      <c r="J41" t="s">
        <v>247</v>
      </c>
      <c r="K41">
        <v>2020</v>
      </c>
      <c r="L41">
        <v>202010</v>
      </c>
      <c r="M41">
        <v>202010</v>
      </c>
      <c r="N41" t="s">
        <v>248</v>
      </c>
      <c r="O41" t="s">
        <v>213</v>
      </c>
      <c r="P41" t="s">
        <v>249</v>
      </c>
      <c r="Q41" t="s">
        <v>216</v>
      </c>
      <c r="R41" t="s">
        <v>246</v>
      </c>
      <c r="S41" t="s">
        <v>424</v>
      </c>
      <c r="T41" s="70" t="str">
        <f>_xlfn.XLOOKUP(Tabla1[[#This Row],[Universidad]],Conversiones!$B:$B,Conversiones!$C:$C)</f>
        <v>Nova School of Business and Economics</v>
      </c>
      <c r="U41" s="70" t="str">
        <f>_xlfn.XLOOKUP(Tabla1[[#This Row],[Universidad KPIs]],Conversiones!$C:$C,Conversiones!$E:$E)</f>
        <v>Específico</v>
      </c>
      <c r="V41" t="s">
        <v>45</v>
      </c>
      <c r="W41" t="s">
        <v>250</v>
      </c>
      <c r="X41" s="2">
        <v>43850</v>
      </c>
      <c r="Y41" s="2">
        <v>43974</v>
      </c>
      <c r="Z41">
        <v>124</v>
      </c>
    </row>
    <row r="42" spans="1:26">
      <c r="A42" s="68" t="s">
        <v>425</v>
      </c>
      <c r="B42" s="1">
        <v>201811070</v>
      </c>
      <c r="C42" s="1" t="s">
        <v>426</v>
      </c>
      <c r="D42" s="1" t="s">
        <v>427</v>
      </c>
      <c r="E42" s="1" t="s">
        <v>428</v>
      </c>
      <c r="F42" s="1" t="s">
        <v>216</v>
      </c>
      <c r="G42" s="1" t="s">
        <v>246</v>
      </c>
      <c r="H42" s="1"/>
      <c r="I42" s="1"/>
      <c r="J42" s="1" t="s">
        <v>247</v>
      </c>
      <c r="K42" s="1">
        <v>2020</v>
      </c>
      <c r="L42" s="1">
        <v>202010</v>
      </c>
      <c r="M42" s="1">
        <v>202010</v>
      </c>
      <c r="N42" s="1" t="s">
        <v>248</v>
      </c>
      <c r="O42" s="1" t="s">
        <v>213</v>
      </c>
      <c r="P42" s="1" t="s">
        <v>249</v>
      </c>
      <c r="Q42" s="1" t="s">
        <v>216</v>
      </c>
      <c r="R42" s="1" t="s">
        <v>246</v>
      </c>
      <c r="S42" s="1" t="s">
        <v>325</v>
      </c>
      <c r="T42" s="70" t="str">
        <f>_xlfn.XLOOKUP(Tabla1[[#This Row],[Universidad]],Conversiones!$B:$B,Conversiones!$C:$C)</f>
        <v>Università Commerciale Luigi Bocconi</v>
      </c>
      <c r="U42" s="70" t="str">
        <f>_xlfn.XLOOKUP(Tabla1[[#This Row],[Universidad KPIs]],Conversiones!$C:$C,Conversiones!$E:$E)</f>
        <v>Específico</v>
      </c>
      <c r="V42" s="1" t="s">
        <v>87</v>
      </c>
      <c r="W42" s="1" t="s">
        <v>250</v>
      </c>
      <c r="X42" s="55">
        <v>43850</v>
      </c>
      <c r="Y42" s="55">
        <v>43974</v>
      </c>
      <c r="Z42" s="1">
        <v>124</v>
      </c>
    </row>
    <row r="43" spans="1:26">
      <c r="A43" s="67" t="s">
        <v>429</v>
      </c>
      <c r="B43">
        <v>201715367</v>
      </c>
      <c r="C43" t="s">
        <v>430</v>
      </c>
      <c r="D43" t="s">
        <v>431</v>
      </c>
      <c r="E43" t="s">
        <v>432</v>
      </c>
      <c r="F43" t="s">
        <v>216</v>
      </c>
      <c r="G43" t="s">
        <v>246</v>
      </c>
      <c r="J43" t="s">
        <v>247</v>
      </c>
      <c r="K43">
        <v>2020</v>
      </c>
      <c r="L43">
        <v>202010</v>
      </c>
      <c r="M43">
        <v>202010</v>
      </c>
      <c r="N43" t="s">
        <v>248</v>
      </c>
      <c r="O43" t="s">
        <v>213</v>
      </c>
      <c r="P43" t="s">
        <v>249</v>
      </c>
      <c r="Q43" t="s">
        <v>216</v>
      </c>
      <c r="R43" t="s">
        <v>246</v>
      </c>
      <c r="S43" t="s">
        <v>274</v>
      </c>
      <c r="T43" s="70" t="str">
        <f>_xlfn.XLOOKUP(Tabla1[[#This Row],[Universidad]],Conversiones!$B:$B,Conversiones!$C:$C)</f>
        <v>Catolica Lisbon Business &amp; Economics. Universidade Católica Portuguesa</v>
      </c>
      <c r="U43" s="70" t="str">
        <f>_xlfn.XLOOKUP(Tabla1[[#This Row],[Universidad KPIs]],Conversiones!$C:$C,Conversiones!$E:$E)</f>
        <v>Específico</v>
      </c>
      <c r="V43" t="s">
        <v>45</v>
      </c>
      <c r="W43" t="s">
        <v>250</v>
      </c>
      <c r="X43" s="2">
        <v>43850</v>
      </c>
      <c r="Y43" s="2">
        <v>43974</v>
      </c>
      <c r="Z43">
        <v>124</v>
      </c>
    </row>
    <row r="44" spans="1:26">
      <c r="A44" s="68" t="s">
        <v>433</v>
      </c>
      <c r="B44" s="1">
        <v>201630473</v>
      </c>
      <c r="C44" s="1" t="s">
        <v>434</v>
      </c>
      <c r="D44" s="1" t="s">
        <v>435</v>
      </c>
      <c r="E44" s="1" t="s">
        <v>436</v>
      </c>
      <c r="F44" s="1" t="s">
        <v>216</v>
      </c>
      <c r="G44" s="1" t="s">
        <v>246</v>
      </c>
      <c r="H44" s="1"/>
      <c r="I44" s="1"/>
      <c r="J44" s="1" t="s">
        <v>247</v>
      </c>
      <c r="K44" s="1">
        <v>2020</v>
      </c>
      <c r="L44" s="1">
        <v>202019</v>
      </c>
      <c r="M44" s="1">
        <v>202019</v>
      </c>
      <c r="N44" s="1" t="s">
        <v>248</v>
      </c>
      <c r="O44" s="1" t="s">
        <v>215</v>
      </c>
      <c r="P44" s="1" t="s">
        <v>437</v>
      </c>
      <c r="Q44" s="1" t="s">
        <v>216</v>
      </c>
      <c r="R44" s="1" t="s">
        <v>246</v>
      </c>
      <c r="S44" s="1" t="s">
        <v>181</v>
      </c>
      <c r="T44" s="70" t="str">
        <f>_xlfn.XLOOKUP(Tabla1[[#This Row],[Universidad]],Conversiones!$B:$B,Conversiones!$C:$C)</f>
        <v>Cornell University</v>
      </c>
      <c r="U44" s="70" t="str">
        <f>_xlfn.XLOOKUP(Tabla1[[#This Row],[Universidad KPIs]],Conversiones!$C:$C,Conversiones!$E:$E)</f>
        <v>General</v>
      </c>
      <c r="V44" s="1" t="s">
        <v>35</v>
      </c>
      <c r="W44" s="1" t="s">
        <v>260</v>
      </c>
      <c r="X44" s="55">
        <v>43998</v>
      </c>
      <c r="Y44" s="55">
        <v>44051</v>
      </c>
      <c r="Z44" s="1">
        <v>53</v>
      </c>
    </row>
    <row r="45" spans="1:26">
      <c r="A45" s="67" t="s">
        <v>438</v>
      </c>
      <c r="B45">
        <v>201327028</v>
      </c>
      <c r="C45" t="s">
        <v>439</v>
      </c>
      <c r="D45" t="s">
        <v>440</v>
      </c>
      <c r="E45" t="s">
        <v>441</v>
      </c>
      <c r="F45" t="s">
        <v>216</v>
      </c>
      <c r="G45" t="s">
        <v>246</v>
      </c>
      <c r="J45" t="s">
        <v>247</v>
      </c>
      <c r="K45">
        <v>2020</v>
      </c>
      <c r="L45">
        <v>202019</v>
      </c>
      <c r="M45">
        <v>202019</v>
      </c>
      <c r="N45" t="s">
        <v>248</v>
      </c>
      <c r="O45" t="s">
        <v>215</v>
      </c>
      <c r="P45" t="s">
        <v>437</v>
      </c>
      <c r="Q45" t="s">
        <v>216</v>
      </c>
      <c r="R45" t="s">
        <v>246</v>
      </c>
      <c r="S45" t="s">
        <v>181</v>
      </c>
      <c r="T45" s="70" t="str">
        <f>_xlfn.XLOOKUP(Tabla1[[#This Row],[Universidad]],Conversiones!$B:$B,Conversiones!$C:$C)</f>
        <v>Cornell University</v>
      </c>
      <c r="U45" s="70" t="str">
        <f>_xlfn.XLOOKUP(Tabla1[[#This Row],[Universidad KPIs]],Conversiones!$C:$C,Conversiones!$E:$E)</f>
        <v>General</v>
      </c>
      <c r="V45" t="s">
        <v>35</v>
      </c>
      <c r="W45" t="s">
        <v>260</v>
      </c>
      <c r="X45" s="2">
        <v>43998</v>
      </c>
      <c r="Y45" s="2">
        <v>44051</v>
      </c>
      <c r="Z45">
        <v>53</v>
      </c>
    </row>
    <row r="46" spans="1:26">
      <c r="A46" s="68" t="s">
        <v>442</v>
      </c>
      <c r="B46" s="1">
        <v>201630419</v>
      </c>
      <c r="C46" s="1" t="s">
        <v>443</v>
      </c>
      <c r="D46" s="1" t="s">
        <v>444</v>
      </c>
      <c r="E46" s="1" t="s">
        <v>445</v>
      </c>
      <c r="F46" s="1" t="s">
        <v>216</v>
      </c>
      <c r="G46" s="1" t="s">
        <v>246</v>
      </c>
      <c r="H46" s="1"/>
      <c r="I46" s="1"/>
      <c r="J46" s="1" t="s">
        <v>247</v>
      </c>
      <c r="K46" s="1">
        <v>2020</v>
      </c>
      <c r="L46" s="1">
        <v>202020</v>
      </c>
      <c r="M46" s="1">
        <v>202020</v>
      </c>
      <c r="N46" s="1" t="s">
        <v>248</v>
      </c>
      <c r="O46" s="1" t="s">
        <v>214</v>
      </c>
      <c r="P46" s="1" t="s">
        <v>446</v>
      </c>
      <c r="Q46" s="1" t="s">
        <v>216</v>
      </c>
      <c r="R46" s="1" t="s">
        <v>246</v>
      </c>
      <c r="S46" s="1" t="s">
        <v>279</v>
      </c>
      <c r="T46" s="70" t="str">
        <f>_xlfn.XLOOKUP(Tabla1[[#This Row],[Universidad]],Conversiones!$B:$B,Conversiones!$C:$C)</f>
        <v>Toulouse Business School</v>
      </c>
      <c r="U46" s="70" t="str">
        <f>_xlfn.XLOOKUP(Tabla1[[#This Row],[Universidad KPIs]],Conversiones!$C:$C,Conversiones!$E:$E)</f>
        <v>Específico</v>
      </c>
      <c r="V46" s="1" t="s">
        <v>41</v>
      </c>
      <c r="W46" s="1" t="s">
        <v>250</v>
      </c>
      <c r="X46" s="55">
        <v>44053</v>
      </c>
      <c r="Y46" s="55">
        <v>44170</v>
      </c>
      <c r="Z46" s="1">
        <v>117</v>
      </c>
    </row>
    <row r="47" spans="1:26">
      <c r="A47" s="67" t="s">
        <v>447</v>
      </c>
      <c r="B47">
        <v>201614350</v>
      </c>
      <c r="C47" t="s">
        <v>448</v>
      </c>
      <c r="D47" t="s">
        <v>449</v>
      </c>
      <c r="E47" t="s">
        <v>450</v>
      </c>
      <c r="F47" t="s">
        <v>216</v>
      </c>
      <c r="G47" t="s">
        <v>246</v>
      </c>
      <c r="J47" t="s">
        <v>247</v>
      </c>
      <c r="K47">
        <v>2020</v>
      </c>
      <c r="L47">
        <v>202020</v>
      </c>
      <c r="M47">
        <v>202020</v>
      </c>
      <c r="N47" t="s">
        <v>248</v>
      </c>
      <c r="O47" t="s">
        <v>213</v>
      </c>
      <c r="P47" t="s">
        <v>249</v>
      </c>
      <c r="Q47" t="s">
        <v>216</v>
      </c>
      <c r="R47" t="s">
        <v>246</v>
      </c>
      <c r="S47" t="s">
        <v>284</v>
      </c>
      <c r="T47" s="70" t="str">
        <f>_xlfn.XLOOKUP(Tabla1[[#This Row],[Universidad]],Conversiones!$B:$B,Conversiones!$C:$C)</f>
        <v>HEC Lausanne</v>
      </c>
      <c r="U47" s="70" t="str">
        <f>_xlfn.XLOOKUP(Tabla1[[#This Row],[Universidad KPIs]],Conversiones!$C:$C,Conversiones!$E:$E)</f>
        <v>Específico</v>
      </c>
      <c r="V47" t="s">
        <v>65</v>
      </c>
      <c r="W47" t="s">
        <v>250</v>
      </c>
      <c r="X47" s="2">
        <v>44053</v>
      </c>
      <c r="Y47" s="2">
        <v>44170</v>
      </c>
      <c r="Z47">
        <v>117</v>
      </c>
    </row>
    <row r="48" spans="1:26">
      <c r="A48" s="68" t="s">
        <v>451</v>
      </c>
      <c r="B48" s="1">
        <v>201632930</v>
      </c>
      <c r="C48" s="1" t="s">
        <v>452</v>
      </c>
      <c r="D48" s="1" t="s">
        <v>453</v>
      </c>
      <c r="E48" s="1" t="s">
        <v>454</v>
      </c>
      <c r="F48" s="1" t="s">
        <v>216</v>
      </c>
      <c r="G48" s="1" t="s">
        <v>246</v>
      </c>
      <c r="H48" s="1"/>
      <c r="I48" s="1"/>
      <c r="J48" s="1" t="s">
        <v>247</v>
      </c>
      <c r="K48" s="1">
        <v>2020</v>
      </c>
      <c r="L48" s="1">
        <v>202020</v>
      </c>
      <c r="M48" s="1">
        <v>202020</v>
      </c>
      <c r="N48" s="1" t="s">
        <v>248</v>
      </c>
      <c r="O48" s="1" t="s">
        <v>213</v>
      </c>
      <c r="P48" s="1" t="s">
        <v>249</v>
      </c>
      <c r="Q48" s="1" t="s">
        <v>216</v>
      </c>
      <c r="R48" s="1" t="s">
        <v>246</v>
      </c>
      <c r="S48" s="1" t="s">
        <v>455</v>
      </c>
      <c r="T48" s="70" t="str">
        <f>_xlfn.XLOOKUP(Tabla1[[#This Row],[Universidad]],Conversiones!$B:$B,Conversiones!$C:$C)</f>
        <v>Aalto University</v>
      </c>
      <c r="U48" s="70" t="str">
        <f>_xlfn.XLOOKUP(Tabla1[[#This Row],[Universidad KPIs]],Conversiones!$C:$C,Conversiones!$E:$E)</f>
        <v>Específico</v>
      </c>
      <c r="V48" s="1" t="s">
        <v>37</v>
      </c>
      <c r="W48" s="1" t="s">
        <v>250</v>
      </c>
      <c r="X48" s="55">
        <v>44053</v>
      </c>
      <c r="Y48" s="55">
        <v>44170</v>
      </c>
      <c r="Z48" s="1">
        <v>117</v>
      </c>
    </row>
    <row r="49" spans="1:26">
      <c r="A49" s="67" t="s">
        <v>456</v>
      </c>
      <c r="B49">
        <v>201631456</v>
      </c>
      <c r="C49" t="s">
        <v>457</v>
      </c>
      <c r="D49" t="s">
        <v>458</v>
      </c>
      <c r="E49" t="s">
        <v>459</v>
      </c>
      <c r="F49" t="s">
        <v>460</v>
      </c>
      <c r="G49" t="s">
        <v>461</v>
      </c>
      <c r="H49" t="s">
        <v>216</v>
      </c>
      <c r="I49" t="s">
        <v>246</v>
      </c>
      <c r="J49" t="s">
        <v>247</v>
      </c>
      <c r="K49">
        <v>2020</v>
      </c>
      <c r="L49">
        <v>202020</v>
      </c>
      <c r="M49">
        <v>202020</v>
      </c>
      <c r="N49" t="s">
        <v>248</v>
      </c>
      <c r="O49" t="s">
        <v>214</v>
      </c>
      <c r="P49" t="s">
        <v>446</v>
      </c>
      <c r="Q49" t="s">
        <v>216</v>
      </c>
      <c r="R49" t="s">
        <v>246</v>
      </c>
      <c r="S49" t="s">
        <v>279</v>
      </c>
      <c r="T49" s="70" t="str">
        <f>_xlfn.XLOOKUP(Tabla1[[#This Row],[Universidad]],Conversiones!$B:$B,Conversiones!$C:$C)</f>
        <v>Toulouse Business School</v>
      </c>
      <c r="U49" s="70" t="str">
        <f>_xlfn.XLOOKUP(Tabla1[[#This Row],[Universidad KPIs]],Conversiones!$C:$C,Conversiones!$E:$E)</f>
        <v>Específico</v>
      </c>
      <c r="V49" t="s">
        <v>41</v>
      </c>
      <c r="W49" t="s">
        <v>250</v>
      </c>
      <c r="X49" s="2">
        <v>44053</v>
      </c>
      <c r="Y49" s="2">
        <v>44170</v>
      </c>
      <c r="Z49">
        <v>117</v>
      </c>
    </row>
    <row r="50" spans="1:26">
      <c r="A50" s="68" t="s">
        <v>462</v>
      </c>
      <c r="B50" s="1">
        <v>201517114</v>
      </c>
      <c r="C50" s="1" t="s">
        <v>463</v>
      </c>
      <c r="D50" s="1" t="s">
        <v>464</v>
      </c>
      <c r="E50" s="1" t="s">
        <v>465</v>
      </c>
      <c r="F50" s="1" t="s">
        <v>216</v>
      </c>
      <c r="G50" s="1" t="s">
        <v>246</v>
      </c>
      <c r="H50" s="1" t="s">
        <v>466</v>
      </c>
      <c r="I50" s="1" t="s">
        <v>467</v>
      </c>
      <c r="J50" s="1" t="s">
        <v>247</v>
      </c>
      <c r="K50" s="1">
        <v>2020</v>
      </c>
      <c r="L50" s="1">
        <v>202020</v>
      </c>
      <c r="M50" s="1">
        <v>202020</v>
      </c>
      <c r="N50" s="1" t="s">
        <v>248</v>
      </c>
      <c r="O50" s="1" t="s">
        <v>214</v>
      </c>
      <c r="P50" s="1" t="s">
        <v>446</v>
      </c>
      <c r="Q50" s="1" t="s">
        <v>216</v>
      </c>
      <c r="R50" s="1" t="s">
        <v>246</v>
      </c>
      <c r="S50" s="1" t="s">
        <v>279</v>
      </c>
      <c r="T50" s="70" t="str">
        <f>_xlfn.XLOOKUP(Tabla1[[#This Row],[Universidad]],Conversiones!$B:$B,Conversiones!$C:$C)</f>
        <v>Toulouse Business School</v>
      </c>
      <c r="U50" s="70" t="str">
        <f>_xlfn.XLOOKUP(Tabla1[[#This Row],[Universidad KPIs]],Conversiones!$C:$C,Conversiones!$E:$E)</f>
        <v>Específico</v>
      </c>
      <c r="V50" s="1" t="s">
        <v>41</v>
      </c>
      <c r="W50" s="1" t="s">
        <v>250</v>
      </c>
      <c r="X50" s="55">
        <v>44053</v>
      </c>
      <c r="Y50" s="55">
        <v>44170</v>
      </c>
      <c r="Z50" s="1">
        <v>117</v>
      </c>
    </row>
    <row r="51" spans="1:26">
      <c r="A51" s="67" t="s">
        <v>406</v>
      </c>
      <c r="B51">
        <v>201631333</v>
      </c>
      <c r="C51" t="s">
        <v>468</v>
      </c>
      <c r="D51" t="s">
        <v>408</v>
      </c>
      <c r="E51" t="s">
        <v>469</v>
      </c>
      <c r="F51" t="s">
        <v>216</v>
      </c>
      <c r="G51" t="s">
        <v>246</v>
      </c>
      <c r="H51" t="s">
        <v>470</v>
      </c>
      <c r="J51" t="s">
        <v>247</v>
      </c>
      <c r="K51">
        <v>2020</v>
      </c>
      <c r="L51">
        <v>202020</v>
      </c>
      <c r="M51">
        <v>202020</v>
      </c>
      <c r="N51" t="s">
        <v>248</v>
      </c>
      <c r="O51" t="s">
        <v>214</v>
      </c>
      <c r="P51" t="s">
        <v>446</v>
      </c>
      <c r="Q51" t="s">
        <v>216</v>
      </c>
      <c r="R51" t="s">
        <v>246</v>
      </c>
      <c r="S51" t="s">
        <v>279</v>
      </c>
      <c r="T51" s="70" t="str">
        <f>_xlfn.XLOOKUP(Tabla1[[#This Row],[Universidad]],Conversiones!$B:$B,Conversiones!$C:$C)</f>
        <v>Toulouse Business School</v>
      </c>
      <c r="U51" s="70" t="str">
        <f>_xlfn.XLOOKUP(Tabla1[[#This Row],[Universidad KPIs]],Conversiones!$C:$C,Conversiones!$E:$E)</f>
        <v>Específico</v>
      </c>
      <c r="V51" t="s">
        <v>41</v>
      </c>
      <c r="W51" t="s">
        <v>250</v>
      </c>
      <c r="X51" s="2">
        <v>44053</v>
      </c>
      <c r="Y51" s="2">
        <v>44170</v>
      </c>
      <c r="Z51">
        <v>117</v>
      </c>
    </row>
    <row r="52" spans="1:26">
      <c r="A52" s="68" t="s">
        <v>471</v>
      </c>
      <c r="B52" s="1">
        <v>201632495</v>
      </c>
      <c r="C52" s="1" t="s">
        <v>468</v>
      </c>
      <c r="D52" s="1" t="s">
        <v>472</v>
      </c>
      <c r="E52" s="1" t="s">
        <v>473</v>
      </c>
      <c r="F52" s="1" t="s">
        <v>216</v>
      </c>
      <c r="G52" s="1" t="s">
        <v>246</v>
      </c>
      <c r="H52" s="1"/>
      <c r="I52" s="1"/>
      <c r="J52" s="1" t="s">
        <v>247</v>
      </c>
      <c r="K52" s="1">
        <v>2020</v>
      </c>
      <c r="L52" s="1">
        <v>202020</v>
      </c>
      <c r="M52" s="1">
        <v>202020</v>
      </c>
      <c r="N52" s="1" t="s">
        <v>248</v>
      </c>
      <c r="O52" s="1" t="s">
        <v>214</v>
      </c>
      <c r="P52" s="1" t="s">
        <v>446</v>
      </c>
      <c r="Q52" s="1" t="s">
        <v>216</v>
      </c>
      <c r="R52" s="1" t="s">
        <v>246</v>
      </c>
      <c r="S52" s="1" t="s">
        <v>91</v>
      </c>
      <c r="T52" s="70" t="str">
        <f>_xlfn.XLOOKUP(Tabla1[[#This Row],[Universidad]],Conversiones!$B:$B,Conversiones!$C:$C)</f>
        <v>Toulouse Business School</v>
      </c>
      <c r="U52" s="70" t="str">
        <f>_xlfn.XLOOKUP(Tabla1[[#This Row],[Universidad KPIs]],Conversiones!$C:$C,Conversiones!$E:$E)</f>
        <v>Específico</v>
      </c>
      <c r="V52" s="1" t="s">
        <v>41</v>
      </c>
      <c r="W52" s="1" t="s">
        <v>250</v>
      </c>
      <c r="X52" s="55">
        <v>44053</v>
      </c>
      <c r="Y52" s="55">
        <v>44170</v>
      </c>
      <c r="Z52" s="1">
        <v>117</v>
      </c>
    </row>
    <row r="53" spans="1:26">
      <c r="A53" s="67" t="s">
        <v>474</v>
      </c>
      <c r="B53">
        <v>201813783</v>
      </c>
      <c r="C53" t="s">
        <v>475</v>
      </c>
      <c r="D53" t="s">
        <v>476</v>
      </c>
      <c r="E53" t="s">
        <v>477</v>
      </c>
      <c r="F53" t="s">
        <v>216</v>
      </c>
      <c r="G53" t="s">
        <v>246</v>
      </c>
      <c r="J53" t="s">
        <v>247</v>
      </c>
      <c r="K53">
        <v>2021</v>
      </c>
      <c r="L53">
        <v>202110</v>
      </c>
      <c r="M53">
        <v>202110</v>
      </c>
      <c r="N53" t="s">
        <v>248</v>
      </c>
      <c r="O53" t="s">
        <v>213</v>
      </c>
      <c r="P53" t="s">
        <v>249</v>
      </c>
      <c r="Q53" t="s">
        <v>216</v>
      </c>
      <c r="R53" t="s">
        <v>246</v>
      </c>
      <c r="S53" t="s">
        <v>284</v>
      </c>
      <c r="T53" s="70" t="str">
        <f>_xlfn.XLOOKUP(Tabla1[[#This Row],[Universidad]],Conversiones!$B:$B,Conversiones!$C:$C)</f>
        <v>HEC Lausanne</v>
      </c>
      <c r="U53" s="70" t="str">
        <f>_xlfn.XLOOKUP(Tabla1[[#This Row],[Universidad KPIs]],Conversiones!$C:$C,Conversiones!$E:$E)</f>
        <v>Específico</v>
      </c>
      <c r="V53" t="s">
        <v>65</v>
      </c>
      <c r="W53" t="s">
        <v>250</v>
      </c>
      <c r="X53" s="2">
        <v>44221</v>
      </c>
      <c r="Y53" s="2">
        <v>44345</v>
      </c>
      <c r="Z53">
        <v>124</v>
      </c>
    </row>
    <row r="54" spans="1:26">
      <c r="A54" s="68" t="s">
        <v>478</v>
      </c>
      <c r="B54" s="1">
        <v>201731617</v>
      </c>
      <c r="C54" s="1" t="s">
        <v>257</v>
      </c>
      <c r="D54" s="1" t="s">
        <v>479</v>
      </c>
      <c r="E54" s="1" t="s">
        <v>480</v>
      </c>
      <c r="F54" s="1" t="s">
        <v>216</v>
      </c>
      <c r="G54" s="1" t="s">
        <v>246</v>
      </c>
      <c r="H54" s="1"/>
      <c r="I54" s="1"/>
      <c r="J54" s="1" t="s">
        <v>247</v>
      </c>
      <c r="K54" s="1">
        <v>2021</v>
      </c>
      <c r="L54" s="1">
        <v>202110</v>
      </c>
      <c r="M54" s="1">
        <v>202110</v>
      </c>
      <c r="N54" s="1" t="s">
        <v>248</v>
      </c>
      <c r="O54" s="1" t="s">
        <v>213</v>
      </c>
      <c r="P54" s="1" t="s">
        <v>249</v>
      </c>
      <c r="Q54" s="1" t="s">
        <v>216</v>
      </c>
      <c r="R54" s="1" t="s">
        <v>246</v>
      </c>
      <c r="S54" s="1" t="s">
        <v>78</v>
      </c>
      <c r="T54" s="70" t="str">
        <f>_xlfn.XLOOKUP(Tabla1[[#This Row],[Universidad]],Conversiones!$B:$B,Conversiones!$C:$C)</f>
        <v>Maastricht University</v>
      </c>
      <c r="U54" s="70" t="str">
        <f>_xlfn.XLOOKUP(Tabla1[[#This Row],[Universidad KPIs]],Conversiones!$C:$C,Conversiones!$E:$E)</f>
        <v>Específico</v>
      </c>
      <c r="V54" s="1" t="s">
        <v>79</v>
      </c>
      <c r="W54" s="1" t="s">
        <v>250</v>
      </c>
      <c r="X54" s="55">
        <v>44221</v>
      </c>
      <c r="Y54" s="55">
        <v>44345</v>
      </c>
      <c r="Z54" s="1">
        <v>124</v>
      </c>
    </row>
    <row r="55" spans="1:26">
      <c r="A55" s="67" t="s">
        <v>481</v>
      </c>
      <c r="B55">
        <v>201715966</v>
      </c>
      <c r="C55" t="s">
        <v>482</v>
      </c>
      <c r="D55" t="s">
        <v>483</v>
      </c>
      <c r="E55" t="s">
        <v>484</v>
      </c>
      <c r="F55" t="s">
        <v>216</v>
      </c>
      <c r="G55" t="s">
        <v>246</v>
      </c>
      <c r="J55" t="s">
        <v>247</v>
      </c>
      <c r="K55">
        <v>2021</v>
      </c>
      <c r="L55">
        <v>202110</v>
      </c>
      <c r="M55">
        <v>202110</v>
      </c>
      <c r="N55" t="s">
        <v>248</v>
      </c>
      <c r="O55" t="s">
        <v>213</v>
      </c>
      <c r="P55" t="s">
        <v>249</v>
      </c>
      <c r="Q55" t="s">
        <v>216</v>
      </c>
      <c r="R55" t="s">
        <v>246</v>
      </c>
      <c r="S55" t="s">
        <v>335</v>
      </c>
      <c r="T55" s="70" t="str">
        <f>_xlfn.XLOOKUP(Tabla1[[#This Row],[Universidad]],Conversiones!$B:$B,Conversiones!$C:$C)</f>
        <v>HEC Montréal</v>
      </c>
      <c r="U55" s="70" t="str">
        <f>_xlfn.XLOOKUP(Tabla1[[#This Row],[Universidad KPIs]],Conversiones!$C:$C,Conversiones!$E:$E)</f>
        <v>Específico</v>
      </c>
      <c r="V55" t="s">
        <v>58</v>
      </c>
      <c r="W55" t="s">
        <v>260</v>
      </c>
      <c r="X55" s="2">
        <v>44221</v>
      </c>
      <c r="Y55" s="2">
        <v>44345</v>
      </c>
      <c r="Z55">
        <v>124</v>
      </c>
    </row>
    <row r="56" spans="1:26">
      <c r="A56" s="68" t="s">
        <v>485</v>
      </c>
      <c r="B56" s="1">
        <v>201716866</v>
      </c>
      <c r="C56" s="1" t="s">
        <v>486</v>
      </c>
      <c r="D56" s="1" t="s">
        <v>487</v>
      </c>
      <c r="E56" s="1" t="s">
        <v>488</v>
      </c>
      <c r="F56" s="1" t="s">
        <v>216</v>
      </c>
      <c r="G56" s="1" t="s">
        <v>246</v>
      </c>
      <c r="H56" s="1"/>
      <c r="I56" s="1"/>
      <c r="J56" s="1" t="s">
        <v>247</v>
      </c>
      <c r="K56" s="1">
        <v>2021</v>
      </c>
      <c r="L56" s="1">
        <v>202110</v>
      </c>
      <c r="M56" s="1">
        <v>202110</v>
      </c>
      <c r="N56" s="1" t="s">
        <v>248</v>
      </c>
      <c r="O56" s="1" t="s">
        <v>213</v>
      </c>
      <c r="P56" s="1" t="s">
        <v>249</v>
      </c>
      <c r="Q56" s="1" t="s">
        <v>216</v>
      </c>
      <c r="R56" s="1" t="s">
        <v>246</v>
      </c>
      <c r="S56" s="1" t="s">
        <v>78</v>
      </c>
      <c r="T56" s="70" t="str">
        <f>_xlfn.XLOOKUP(Tabla1[[#This Row],[Universidad]],Conversiones!$B:$B,Conversiones!$C:$C)</f>
        <v>Maastricht University</v>
      </c>
      <c r="U56" s="70" t="str">
        <f>_xlfn.XLOOKUP(Tabla1[[#This Row],[Universidad KPIs]],Conversiones!$C:$C,Conversiones!$E:$E)</f>
        <v>Específico</v>
      </c>
      <c r="V56" s="1" t="s">
        <v>79</v>
      </c>
      <c r="W56" s="1" t="s">
        <v>250</v>
      </c>
      <c r="X56" s="55">
        <v>44221</v>
      </c>
      <c r="Y56" s="55">
        <v>44345</v>
      </c>
      <c r="Z56" s="1">
        <v>124</v>
      </c>
    </row>
    <row r="57" spans="1:26">
      <c r="A57" s="67" t="s">
        <v>489</v>
      </c>
      <c r="B57">
        <v>201730500</v>
      </c>
      <c r="C57" t="s">
        <v>490</v>
      </c>
      <c r="D57" t="s">
        <v>491</v>
      </c>
      <c r="E57" t="s">
        <v>492</v>
      </c>
      <c r="F57" t="s">
        <v>216</v>
      </c>
      <c r="G57" t="s">
        <v>246</v>
      </c>
      <c r="H57" t="s">
        <v>460</v>
      </c>
      <c r="I57" t="s">
        <v>461</v>
      </c>
      <c r="J57" t="s">
        <v>247</v>
      </c>
      <c r="K57">
        <v>2021</v>
      </c>
      <c r="L57">
        <v>202110</v>
      </c>
      <c r="M57">
        <v>202110</v>
      </c>
      <c r="N57" t="s">
        <v>248</v>
      </c>
      <c r="O57" t="s">
        <v>213</v>
      </c>
      <c r="P57" t="s">
        <v>249</v>
      </c>
      <c r="Q57" t="s">
        <v>216</v>
      </c>
      <c r="R57" t="s">
        <v>246</v>
      </c>
      <c r="S57" t="s">
        <v>493</v>
      </c>
      <c r="T57" s="70" t="str">
        <f>_xlfn.XLOOKUP(Tabla1[[#This Row],[Universidad]],Conversiones!$B:$B,Conversiones!$C:$C)</f>
        <v>University of Saint Gallen</v>
      </c>
      <c r="U57" s="70" t="str">
        <f>_xlfn.XLOOKUP(Tabla1[[#This Row],[Universidad KPIs]],Conversiones!$C:$C,Conversiones!$E:$E)</f>
        <v>Específico</v>
      </c>
      <c r="V57" t="s">
        <v>65</v>
      </c>
      <c r="W57" t="s">
        <v>250</v>
      </c>
      <c r="X57" s="2">
        <v>44221</v>
      </c>
      <c r="Y57" s="2">
        <v>44345</v>
      </c>
      <c r="Z57">
        <v>124</v>
      </c>
    </row>
    <row r="58" spans="1:26">
      <c r="A58" s="68" t="s">
        <v>494</v>
      </c>
      <c r="B58" s="1">
        <v>201630612</v>
      </c>
      <c r="C58" s="1" t="s">
        <v>495</v>
      </c>
      <c r="D58" s="1" t="s">
        <v>496</v>
      </c>
      <c r="E58" s="1" t="s">
        <v>497</v>
      </c>
      <c r="F58" s="1" t="s">
        <v>216</v>
      </c>
      <c r="G58" s="1" t="s">
        <v>246</v>
      </c>
      <c r="H58" s="1"/>
      <c r="I58" s="1"/>
      <c r="J58" s="1" t="s">
        <v>247</v>
      </c>
      <c r="K58" s="1">
        <v>2021</v>
      </c>
      <c r="L58" s="1">
        <v>202110</v>
      </c>
      <c r="M58" s="1">
        <v>202110</v>
      </c>
      <c r="N58" s="1" t="s">
        <v>248</v>
      </c>
      <c r="O58" s="1" t="s">
        <v>213</v>
      </c>
      <c r="P58" s="1" t="s">
        <v>249</v>
      </c>
      <c r="Q58" s="1" t="s">
        <v>216</v>
      </c>
      <c r="R58" s="1" t="s">
        <v>246</v>
      </c>
      <c r="S58" s="1" t="s">
        <v>138</v>
      </c>
      <c r="T58" s="70" t="str">
        <f>_xlfn.XLOOKUP(Tabla1[[#This Row],[Universidad]],Conversiones!$B:$B,Conversiones!$C:$C)</f>
        <v>Technische Universität München</v>
      </c>
      <c r="U58" s="70" t="str">
        <f>_xlfn.XLOOKUP(Tabla1[[#This Row],[Universidad KPIs]],Conversiones!$C:$C,Conversiones!$E:$E)</f>
        <v>General</v>
      </c>
      <c r="V58" s="1" t="s">
        <v>60</v>
      </c>
      <c r="W58" s="1" t="s">
        <v>250</v>
      </c>
      <c r="X58" s="55">
        <v>44221</v>
      </c>
      <c r="Y58" s="55">
        <v>44345</v>
      </c>
      <c r="Z58" s="1">
        <v>124</v>
      </c>
    </row>
    <row r="59" spans="1:26">
      <c r="A59" s="67" t="s">
        <v>498</v>
      </c>
      <c r="B59">
        <v>201729813</v>
      </c>
      <c r="C59" t="s">
        <v>499</v>
      </c>
      <c r="D59" t="s">
        <v>500</v>
      </c>
      <c r="E59" t="s">
        <v>501</v>
      </c>
      <c r="F59" t="s">
        <v>216</v>
      </c>
      <c r="G59" t="s">
        <v>246</v>
      </c>
      <c r="J59" t="s">
        <v>247</v>
      </c>
      <c r="K59">
        <v>2021</v>
      </c>
      <c r="L59">
        <v>202110</v>
      </c>
      <c r="M59">
        <v>202110</v>
      </c>
      <c r="N59" t="s">
        <v>248</v>
      </c>
      <c r="O59" t="s">
        <v>213</v>
      </c>
      <c r="P59" t="s">
        <v>249</v>
      </c>
      <c r="Q59" t="s">
        <v>216</v>
      </c>
      <c r="R59" t="s">
        <v>246</v>
      </c>
      <c r="S59" t="s">
        <v>274</v>
      </c>
      <c r="T59" s="70" t="str">
        <f>_xlfn.XLOOKUP(Tabla1[[#This Row],[Universidad]],Conversiones!$B:$B,Conversiones!$C:$C)</f>
        <v>Catolica Lisbon Business &amp; Economics. Universidade Católica Portuguesa</v>
      </c>
      <c r="U59" s="70" t="str">
        <f>_xlfn.XLOOKUP(Tabla1[[#This Row],[Universidad KPIs]],Conversiones!$C:$C,Conversiones!$E:$E)</f>
        <v>Específico</v>
      </c>
      <c r="V59" t="s">
        <v>45</v>
      </c>
      <c r="W59" t="s">
        <v>250</v>
      </c>
      <c r="X59" s="2">
        <v>44221</v>
      </c>
      <c r="Y59" s="2">
        <v>44345</v>
      </c>
      <c r="Z59">
        <v>124</v>
      </c>
    </row>
    <row r="60" spans="1:26">
      <c r="A60" s="68" t="s">
        <v>502</v>
      </c>
      <c r="B60" s="1">
        <v>201630495</v>
      </c>
      <c r="C60" s="1" t="s">
        <v>503</v>
      </c>
      <c r="D60" s="1" t="s">
        <v>504</v>
      </c>
      <c r="E60" s="1" t="s">
        <v>505</v>
      </c>
      <c r="F60" s="1" t="s">
        <v>216</v>
      </c>
      <c r="G60" s="1" t="s">
        <v>246</v>
      </c>
      <c r="H60" s="1" t="s">
        <v>506</v>
      </c>
      <c r="I60" s="1" t="s">
        <v>507</v>
      </c>
      <c r="J60" s="1" t="s">
        <v>247</v>
      </c>
      <c r="K60" s="1">
        <v>2021</v>
      </c>
      <c r="L60" s="1">
        <v>202110</v>
      </c>
      <c r="M60" s="1">
        <v>202020</v>
      </c>
      <c r="N60" s="1" t="s">
        <v>248</v>
      </c>
      <c r="O60" s="1" t="s">
        <v>213</v>
      </c>
      <c r="P60" s="1" t="s">
        <v>249</v>
      </c>
      <c r="Q60" s="1" t="s">
        <v>216</v>
      </c>
      <c r="R60" s="1" t="s">
        <v>246</v>
      </c>
      <c r="S60" s="1" t="s">
        <v>410</v>
      </c>
      <c r="T60" s="70" t="str">
        <f>_xlfn.XLOOKUP(Tabla1[[#This Row],[Universidad]],Conversiones!$B:$B,Conversiones!$C:$C)</f>
        <v xml:space="preserve">CBS- Copenhagen Business School  </v>
      </c>
      <c r="U60" s="70" t="str">
        <f>_xlfn.XLOOKUP(Tabla1[[#This Row],[Universidad KPIs]],Conversiones!$C:$C,Conversiones!$E:$E)</f>
        <v>Específico</v>
      </c>
      <c r="V60" s="1" t="s">
        <v>47</v>
      </c>
      <c r="W60" s="1" t="s">
        <v>250</v>
      </c>
      <c r="X60" s="55">
        <v>44221</v>
      </c>
      <c r="Y60" s="55">
        <v>44345</v>
      </c>
      <c r="Z60" s="1">
        <v>124</v>
      </c>
    </row>
    <row r="61" spans="1:26">
      <c r="A61" s="67" t="s">
        <v>508</v>
      </c>
      <c r="B61">
        <v>201712862</v>
      </c>
      <c r="C61" t="s">
        <v>509</v>
      </c>
      <c r="D61" t="s">
        <v>510</v>
      </c>
      <c r="E61" t="s">
        <v>511</v>
      </c>
      <c r="F61" t="s">
        <v>216</v>
      </c>
      <c r="G61" t="s">
        <v>246</v>
      </c>
      <c r="H61" t="s">
        <v>512</v>
      </c>
      <c r="I61" t="s">
        <v>513</v>
      </c>
      <c r="J61" t="s">
        <v>247</v>
      </c>
      <c r="K61">
        <v>2021</v>
      </c>
      <c r="L61">
        <v>202110</v>
      </c>
      <c r="M61">
        <v>202110</v>
      </c>
      <c r="N61" t="s">
        <v>248</v>
      </c>
      <c r="O61" t="s">
        <v>213</v>
      </c>
      <c r="P61" t="s">
        <v>249</v>
      </c>
      <c r="Q61" t="s">
        <v>216</v>
      </c>
      <c r="R61" t="s">
        <v>246</v>
      </c>
      <c r="S61" t="s">
        <v>388</v>
      </c>
      <c r="T61" s="70" t="str">
        <f>_xlfn.XLOOKUP(Tabla1[[#This Row],[Universidad]],Conversiones!$B:$B,Conversiones!$C:$C)</f>
        <v>ESCP</v>
      </c>
      <c r="U61" s="70" t="str">
        <f>_xlfn.XLOOKUP(Tabla1[[#This Row],[Universidad KPIs]],Conversiones!$C:$C,Conversiones!$E:$E)</f>
        <v>Específico</v>
      </c>
      <c r="V61" t="s">
        <v>41</v>
      </c>
      <c r="W61" t="s">
        <v>250</v>
      </c>
      <c r="X61" s="2">
        <v>44221</v>
      </c>
      <c r="Y61" s="2">
        <v>44345</v>
      </c>
      <c r="Z61">
        <v>124</v>
      </c>
    </row>
    <row r="62" spans="1:26">
      <c r="A62" s="68" t="s">
        <v>514</v>
      </c>
      <c r="B62" s="1">
        <v>201631007</v>
      </c>
      <c r="C62" s="1" t="s">
        <v>286</v>
      </c>
      <c r="D62" s="1" t="s">
        <v>515</v>
      </c>
      <c r="E62" s="1" t="s">
        <v>516</v>
      </c>
      <c r="F62" s="1" t="s">
        <v>216</v>
      </c>
      <c r="G62" s="1" t="s">
        <v>246</v>
      </c>
      <c r="H62" s="1"/>
      <c r="I62" s="1"/>
      <c r="J62" s="1" t="s">
        <v>247</v>
      </c>
      <c r="K62" s="1">
        <v>2021</v>
      </c>
      <c r="L62" s="1">
        <v>202110</v>
      </c>
      <c r="M62" s="1">
        <v>202020</v>
      </c>
      <c r="N62" s="1" t="s">
        <v>248</v>
      </c>
      <c r="O62" s="1" t="s">
        <v>213</v>
      </c>
      <c r="P62" s="1" t="s">
        <v>249</v>
      </c>
      <c r="Q62" s="1" t="s">
        <v>216</v>
      </c>
      <c r="R62" s="1" t="s">
        <v>246</v>
      </c>
      <c r="S62" s="1" t="s">
        <v>279</v>
      </c>
      <c r="T62" s="70" t="str">
        <f>_xlfn.XLOOKUP(Tabla1[[#This Row],[Universidad]],Conversiones!$B:$B,Conversiones!$C:$C)</f>
        <v>Toulouse Business School</v>
      </c>
      <c r="U62" s="70" t="str">
        <f>_xlfn.XLOOKUP(Tabla1[[#This Row],[Universidad KPIs]],Conversiones!$C:$C,Conversiones!$E:$E)</f>
        <v>Específico</v>
      </c>
      <c r="V62" s="1" t="s">
        <v>41</v>
      </c>
      <c r="W62" s="1" t="s">
        <v>250</v>
      </c>
      <c r="X62" s="55">
        <v>44221</v>
      </c>
      <c r="Y62" s="55">
        <v>44345</v>
      </c>
      <c r="Z62" s="1">
        <v>124</v>
      </c>
    </row>
    <row r="63" spans="1:26">
      <c r="A63" s="67" t="s">
        <v>517</v>
      </c>
      <c r="B63">
        <v>201729515</v>
      </c>
      <c r="C63" t="s">
        <v>403</v>
      </c>
      <c r="D63" t="s">
        <v>518</v>
      </c>
      <c r="E63" t="s">
        <v>519</v>
      </c>
      <c r="F63" t="s">
        <v>216</v>
      </c>
      <c r="G63" t="s">
        <v>246</v>
      </c>
      <c r="J63" t="s">
        <v>247</v>
      </c>
      <c r="K63">
        <v>2021</v>
      </c>
      <c r="L63">
        <v>202110</v>
      </c>
      <c r="M63">
        <v>202020</v>
      </c>
      <c r="N63" t="s">
        <v>248</v>
      </c>
      <c r="O63" t="s">
        <v>213</v>
      </c>
      <c r="P63" t="s">
        <v>249</v>
      </c>
      <c r="Q63" t="s">
        <v>216</v>
      </c>
      <c r="R63" t="s">
        <v>246</v>
      </c>
      <c r="S63" t="s">
        <v>78</v>
      </c>
      <c r="T63" s="70" t="str">
        <f>_xlfn.XLOOKUP(Tabla1[[#This Row],[Universidad]],Conversiones!$B:$B,Conversiones!$C:$C)</f>
        <v>Maastricht University</v>
      </c>
      <c r="U63" s="70" t="str">
        <f>_xlfn.XLOOKUP(Tabla1[[#This Row],[Universidad KPIs]],Conversiones!$C:$C,Conversiones!$E:$E)</f>
        <v>Específico</v>
      </c>
      <c r="V63" t="s">
        <v>79</v>
      </c>
      <c r="W63" t="s">
        <v>250</v>
      </c>
      <c r="X63" s="2">
        <v>44221</v>
      </c>
      <c r="Y63" s="2">
        <v>44345</v>
      </c>
      <c r="Z63">
        <v>124</v>
      </c>
    </row>
    <row r="64" spans="1:26">
      <c r="A64" s="68" t="s">
        <v>520</v>
      </c>
      <c r="B64" s="1">
        <v>201631231</v>
      </c>
      <c r="C64" s="1" t="s">
        <v>521</v>
      </c>
      <c r="D64" s="1" t="s">
        <v>522</v>
      </c>
      <c r="E64" s="1" t="s">
        <v>523</v>
      </c>
      <c r="F64" s="1" t="s">
        <v>512</v>
      </c>
      <c r="G64" s="1" t="s">
        <v>513</v>
      </c>
      <c r="H64" s="1" t="s">
        <v>216</v>
      </c>
      <c r="I64" s="1" t="s">
        <v>246</v>
      </c>
      <c r="J64" s="1" t="s">
        <v>247</v>
      </c>
      <c r="K64" s="1">
        <v>2021</v>
      </c>
      <c r="L64" s="1">
        <v>202110</v>
      </c>
      <c r="M64" s="1">
        <v>202020</v>
      </c>
      <c r="N64" s="1" t="s">
        <v>248</v>
      </c>
      <c r="O64" s="1" t="s">
        <v>213</v>
      </c>
      <c r="P64" s="1" t="s">
        <v>249</v>
      </c>
      <c r="Q64" s="1" t="s">
        <v>216</v>
      </c>
      <c r="R64" s="1" t="s">
        <v>246</v>
      </c>
      <c r="S64" s="1" t="s">
        <v>78</v>
      </c>
      <c r="T64" s="70" t="str">
        <f>_xlfn.XLOOKUP(Tabla1[[#This Row],[Universidad]],Conversiones!$B:$B,Conversiones!$C:$C)</f>
        <v>Maastricht University</v>
      </c>
      <c r="U64" s="70" t="str">
        <f>_xlfn.XLOOKUP(Tabla1[[#This Row],[Universidad KPIs]],Conversiones!$C:$C,Conversiones!$E:$E)</f>
        <v>Específico</v>
      </c>
      <c r="V64" s="1" t="s">
        <v>79</v>
      </c>
      <c r="W64" s="1" t="s">
        <v>250</v>
      </c>
      <c r="X64" s="55">
        <v>44221</v>
      </c>
      <c r="Y64" s="55">
        <v>44345</v>
      </c>
      <c r="Z64" s="1">
        <v>124</v>
      </c>
    </row>
    <row r="65" spans="1:26">
      <c r="A65" s="67" t="s">
        <v>524</v>
      </c>
      <c r="B65">
        <v>201822171</v>
      </c>
      <c r="C65" t="s">
        <v>525</v>
      </c>
      <c r="D65" t="s">
        <v>526</v>
      </c>
      <c r="E65" t="s">
        <v>527</v>
      </c>
      <c r="F65" t="s">
        <v>216</v>
      </c>
      <c r="G65" t="s">
        <v>246</v>
      </c>
      <c r="J65" t="s">
        <v>247</v>
      </c>
      <c r="K65">
        <v>2021</v>
      </c>
      <c r="L65">
        <v>202110</v>
      </c>
      <c r="M65">
        <v>202020</v>
      </c>
      <c r="N65" t="s">
        <v>248</v>
      </c>
      <c r="O65" t="s">
        <v>213</v>
      </c>
      <c r="P65" t="s">
        <v>249</v>
      </c>
      <c r="Q65" t="s">
        <v>216</v>
      </c>
      <c r="R65" t="s">
        <v>246</v>
      </c>
      <c r="S65" t="s">
        <v>528</v>
      </c>
      <c r="T65" s="70" t="str">
        <f>_xlfn.XLOOKUP(Tabla1[[#This Row],[Universidad]],Conversiones!$B:$B,Conversiones!$C:$C)</f>
        <v>ICN Business School - Institut Commercial de Nancy</v>
      </c>
      <c r="U65" s="70" t="str">
        <f>_xlfn.XLOOKUP(Tabla1[[#This Row],[Universidad KPIs]],Conversiones!$C:$C,Conversiones!$E:$E)</f>
        <v>Específico</v>
      </c>
      <c r="V65" t="s">
        <v>41</v>
      </c>
      <c r="W65" t="s">
        <v>250</v>
      </c>
      <c r="X65" s="2">
        <v>44221</v>
      </c>
      <c r="Y65" s="2">
        <v>44345</v>
      </c>
      <c r="Z65">
        <v>124</v>
      </c>
    </row>
    <row r="66" spans="1:26">
      <c r="A66" s="68" t="s">
        <v>529</v>
      </c>
      <c r="B66" s="1">
        <v>201632729</v>
      </c>
      <c r="C66" s="1" t="s">
        <v>434</v>
      </c>
      <c r="D66" s="1" t="s">
        <v>530</v>
      </c>
      <c r="E66" s="1" t="s">
        <v>531</v>
      </c>
      <c r="F66" s="1" t="s">
        <v>216</v>
      </c>
      <c r="G66" s="1" t="s">
        <v>246</v>
      </c>
      <c r="H66" s="1" t="s">
        <v>460</v>
      </c>
      <c r="I66" s="1" t="s">
        <v>461</v>
      </c>
      <c r="J66" s="1" t="s">
        <v>247</v>
      </c>
      <c r="K66" s="1">
        <v>2021</v>
      </c>
      <c r="L66" s="1">
        <v>202110</v>
      </c>
      <c r="M66" s="1">
        <v>202020</v>
      </c>
      <c r="N66" s="1" t="s">
        <v>248</v>
      </c>
      <c r="O66" s="1" t="s">
        <v>213</v>
      </c>
      <c r="P66" s="1" t="s">
        <v>249</v>
      </c>
      <c r="Q66" s="1" t="s">
        <v>216</v>
      </c>
      <c r="R66" s="1" t="s">
        <v>246</v>
      </c>
      <c r="S66" s="1" t="s">
        <v>279</v>
      </c>
      <c r="T66" s="70" t="str">
        <f>_xlfn.XLOOKUP(Tabla1[[#This Row],[Universidad]],Conversiones!$B:$B,Conversiones!$C:$C)</f>
        <v>Toulouse Business School</v>
      </c>
      <c r="U66" s="70" t="str">
        <f>_xlfn.XLOOKUP(Tabla1[[#This Row],[Universidad KPIs]],Conversiones!$C:$C,Conversiones!$E:$E)</f>
        <v>Específico</v>
      </c>
      <c r="V66" s="1" t="s">
        <v>41</v>
      </c>
      <c r="W66" s="1" t="s">
        <v>250</v>
      </c>
      <c r="X66" s="55">
        <v>44221</v>
      </c>
      <c r="Y66" s="55">
        <v>44345</v>
      </c>
      <c r="Z66" s="1">
        <v>124</v>
      </c>
    </row>
    <row r="67" spans="1:26">
      <c r="A67" s="67" t="s">
        <v>532</v>
      </c>
      <c r="B67">
        <v>201714722</v>
      </c>
      <c r="C67" t="s">
        <v>304</v>
      </c>
      <c r="D67" t="s">
        <v>533</v>
      </c>
      <c r="E67" t="s">
        <v>534</v>
      </c>
      <c r="F67" t="s">
        <v>216</v>
      </c>
      <c r="G67" t="s">
        <v>246</v>
      </c>
      <c r="J67" t="s">
        <v>535</v>
      </c>
      <c r="K67">
        <v>2021</v>
      </c>
      <c r="L67">
        <v>202110</v>
      </c>
      <c r="M67">
        <v>202110</v>
      </c>
      <c r="N67" t="s">
        <v>248</v>
      </c>
      <c r="O67" t="s">
        <v>213</v>
      </c>
      <c r="P67" t="s">
        <v>249</v>
      </c>
      <c r="Q67" t="s">
        <v>216</v>
      </c>
      <c r="R67" t="s">
        <v>246</v>
      </c>
      <c r="S67" t="s">
        <v>536</v>
      </c>
      <c r="T67" s="70" t="str">
        <f>_xlfn.XLOOKUP(Tabla1[[#This Row],[Universidad]],Conversiones!$B:$B,Conversiones!$C:$C)</f>
        <v>NUCB- Nagoya University of commerce and business</v>
      </c>
      <c r="U67" s="70" t="str">
        <f>_xlfn.XLOOKUP(Tabla1[[#This Row],[Universidad KPIs]],Conversiones!$C:$C,Conversiones!$E:$E)</f>
        <v>Específico</v>
      </c>
      <c r="V67" t="s">
        <v>85</v>
      </c>
      <c r="W67" t="s">
        <v>537</v>
      </c>
      <c r="X67" s="2">
        <v>44221</v>
      </c>
      <c r="Y67" s="2">
        <v>44345</v>
      </c>
      <c r="Z67">
        <v>124</v>
      </c>
    </row>
    <row r="68" spans="1:26">
      <c r="A68" s="68" t="s">
        <v>538</v>
      </c>
      <c r="B68" s="1">
        <v>201633753</v>
      </c>
      <c r="C68" s="1" t="s">
        <v>539</v>
      </c>
      <c r="D68" s="1" t="s">
        <v>540</v>
      </c>
      <c r="E68" s="1" t="s">
        <v>541</v>
      </c>
      <c r="F68" s="1" t="s">
        <v>216</v>
      </c>
      <c r="G68" s="1" t="s">
        <v>246</v>
      </c>
      <c r="H68" s="1"/>
      <c r="I68" s="1"/>
      <c r="J68" s="1" t="s">
        <v>247</v>
      </c>
      <c r="K68" s="1">
        <v>2021</v>
      </c>
      <c r="L68" s="1">
        <v>202110</v>
      </c>
      <c r="M68" s="1">
        <v>202110</v>
      </c>
      <c r="N68" s="1" t="s">
        <v>248</v>
      </c>
      <c r="O68" s="1" t="s">
        <v>213</v>
      </c>
      <c r="P68" s="1" t="s">
        <v>249</v>
      </c>
      <c r="Q68" s="1" t="s">
        <v>216</v>
      </c>
      <c r="R68" s="1" t="s">
        <v>246</v>
      </c>
      <c r="S68" s="1" t="s">
        <v>78</v>
      </c>
      <c r="T68" s="70" t="str">
        <f>_xlfn.XLOOKUP(Tabla1[[#This Row],[Universidad]],Conversiones!$B:$B,Conversiones!$C:$C)</f>
        <v>Maastricht University</v>
      </c>
      <c r="U68" s="70" t="str">
        <f>_xlfn.XLOOKUP(Tabla1[[#This Row],[Universidad KPIs]],Conversiones!$C:$C,Conversiones!$E:$E)</f>
        <v>Específico</v>
      </c>
      <c r="V68" s="1" t="s">
        <v>79</v>
      </c>
      <c r="W68" s="1" t="s">
        <v>250</v>
      </c>
      <c r="X68" s="55">
        <v>44221</v>
      </c>
      <c r="Y68" s="55">
        <v>44345</v>
      </c>
      <c r="Z68" s="1">
        <v>124</v>
      </c>
    </row>
    <row r="69" spans="1:26">
      <c r="A69" s="67" t="s">
        <v>542</v>
      </c>
      <c r="B69">
        <v>201730520</v>
      </c>
      <c r="C69" t="s">
        <v>267</v>
      </c>
      <c r="D69" t="s">
        <v>543</v>
      </c>
      <c r="E69" t="s">
        <v>544</v>
      </c>
      <c r="F69" t="s">
        <v>216</v>
      </c>
      <c r="G69" t="s">
        <v>246</v>
      </c>
      <c r="J69" t="s">
        <v>247</v>
      </c>
      <c r="K69">
        <v>2021</v>
      </c>
      <c r="L69">
        <v>202110</v>
      </c>
      <c r="M69">
        <v>202110</v>
      </c>
      <c r="N69" t="s">
        <v>248</v>
      </c>
      <c r="O69" t="s">
        <v>213</v>
      </c>
      <c r="P69" t="s">
        <v>249</v>
      </c>
      <c r="Q69" t="s">
        <v>216</v>
      </c>
      <c r="R69" t="s">
        <v>246</v>
      </c>
      <c r="S69" t="s">
        <v>388</v>
      </c>
      <c r="T69" s="70" t="str">
        <f>_xlfn.XLOOKUP(Tabla1[[#This Row],[Universidad]],Conversiones!$B:$B,Conversiones!$C:$C)</f>
        <v>ESCP</v>
      </c>
      <c r="U69" s="70" t="str">
        <f>_xlfn.XLOOKUP(Tabla1[[#This Row],[Universidad KPIs]],Conversiones!$C:$C,Conversiones!$E:$E)</f>
        <v>Específico</v>
      </c>
      <c r="V69" t="s">
        <v>41</v>
      </c>
      <c r="W69" t="s">
        <v>250</v>
      </c>
      <c r="X69" s="2">
        <v>44221</v>
      </c>
      <c r="Y69" s="2">
        <v>44345</v>
      </c>
      <c r="Z69">
        <v>124</v>
      </c>
    </row>
    <row r="70" spans="1:26">
      <c r="A70" s="68" t="s">
        <v>545</v>
      </c>
      <c r="B70" s="1">
        <v>201731812</v>
      </c>
      <c r="C70" s="1" t="s">
        <v>546</v>
      </c>
      <c r="D70" s="1" t="s">
        <v>547</v>
      </c>
      <c r="E70" s="1" t="s">
        <v>548</v>
      </c>
      <c r="F70" s="1" t="s">
        <v>216</v>
      </c>
      <c r="G70" s="1" t="s">
        <v>246</v>
      </c>
      <c r="H70" s="1"/>
      <c r="I70" s="1"/>
      <c r="J70" s="1" t="s">
        <v>247</v>
      </c>
      <c r="K70" s="1">
        <v>2021</v>
      </c>
      <c r="L70" s="1">
        <v>202110</v>
      </c>
      <c r="M70" s="1">
        <v>202020</v>
      </c>
      <c r="N70" s="1" t="s">
        <v>248</v>
      </c>
      <c r="O70" s="1" t="s">
        <v>213</v>
      </c>
      <c r="P70" s="1" t="s">
        <v>249</v>
      </c>
      <c r="Q70" s="1" t="s">
        <v>216</v>
      </c>
      <c r="R70" s="1" t="s">
        <v>246</v>
      </c>
      <c r="S70" s="1" t="s">
        <v>289</v>
      </c>
      <c r="T70" s="70" t="str">
        <f>_xlfn.XLOOKUP(Tabla1[[#This Row],[Universidad]],Conversiones!$B:$B,Conversiones!$C:$C)</f>
        <v>ESADE</v>
      </c>
      <c r="U70" s="70" t="str">
        <f>_xlfn.XLOOKUP(Tabla1[[#This Row],[Universidad KPIs]],Conversiones!$C:$C,Conversiones!$E:$E)</f>
        <v>Específico</v>
      </c>
      <c r="V70" s="1" t="s">
        <v>53</v>
      </c>
      <c r="W70" s="1" t="s">
        <v>250</v>
      </c>
      <c r="X70" s="55">
        <v>44221</v>
      </c>
      <c r="Y70" s="55">
        <v>44345</v>
      </c>
      <c r="Z70" s="1">
        <v>124</v>
      </c>
    </row>
    <row r="71" spans="1:26">
      <c r="A71" s="67" t="s">
        <v>549</v>
      </c>
      <c r="B71">
        <v>201629865</v>
      </c>
      <c r="C71" t="s">
        <v>550</v>
      </c>
      <c r="D71" t="s">
        <v>551</v>
      </c>
      <c r="E71" t="s">
        <v>552</v>
      </c>
      <c r="F71" t="s">
        <v>216</v>
      </c>
      <c r="G71" t="s">
        <v>246</v>
      </c>
      <c r="J71" t="s">
        <v>535</v>
      </c>
      <c r="K71">
        <v>2021</v>
      </c>
      <c r="L71">
        <v>202119</v>
      </c>
      <c r="M71">
        <v>202119</v>
      </c>
      <c r="N71" t="s">
        <v>248</v>
      </c>
      <c r="O71" t="s">
        <v>553</v>
      </c>
      <c r="P71" t="s">
        <v>437</v>
      </c>
      <c r="Q71" t="s">
        <v>216</v>
      </c>
      <c r="R71" t="s">
        <v>246</v>
      </c>
      <c r="S71" t="s">
        <v>181</v>
      </c>
      <c r="T71" s="70" t="str">
        <f>_xlfn.XLOOKUP(Tabla1[[#This Row],[Universidad]],Conversiones!$B:$B,Conversiones!$C:$C)</f>
        <v>Cornell University</v>
      </c>
      <c r="U71" s="70" t="str">
        <f>_xlfn.XLOOKUP(Tabla1[[#This Row],[Universidad KPIs]],Conversiones!$C:$C,Conversiones!$E:$E)</f>
        <v>General</v>
      </c>
      <c r="V71" t="s">
        <v>35</v>
      </c>
      <c r="W71" t="s">
        <v>260</v>
      </c>
      <c r="X71" s="2">
        <v>44355</v>
      </c>
      <c r="Y71" s="2">
        <v>44408</v>
      </c>
      <c r="Z71">
        <v>53</v>
      </c>
    </row>
    <row r="72" spans="1:26">
      <c r="A72" s="68" t="s">
        <v>554</v>
      </c>
      <c r="B72" s="1">
        <v>201630649</v>
      </c>
      <c r="C72" s="1" t="s">
        <v>555</v>
      </c>
      <c r="D72" s="1" t="s">
        <v>556</v>
      </c>
      <c r="E72" s="1" t="s">
        <v>557</v>
      </c>
      <c r="F72" s="1" t="s">
        <v>216</v>
      </c>
      <c r="G72" s="1" t="s">
        <v>246</v>
      </c>
      <c r="H72" s="1"/>
      <c r="I72" s="1"/>
      <c r="J72" s="1" t="s">
        <v>535</v>
      </c>
      <c r="K72" s="1">
        <v>2021</v>
      </c>
      <c r="L72" s="1">
        <v>202119</v>
      </c>
      <c r="M72" s="1">
        <v>202119</v>
      </c>
      <c r="N72" s="1" t="s">
        <v>248</v>
      </c>
      <c r="O72" s="1" t="s">
        <v>553</v>
      </c>
      <c r="P72" s="1" t="s">
        <v>437</v>
      </c>
      <c r="Q72" s="1" t="s">
        <v>216</v>
      </c>
      <c r="R72" s="1" t="s">
        <v>246</v>
      </c>
      <c r="S72" s="1" t="s">
        <v>181</v>
      </c>
      <c r="T72" s="70" t="str">
        <f>_xlfn.XLOOKUP(Tabla1[[#This Row],[Universidad]],Conversiones!$B:$B,Conversiones!$C:$C)</f>
        <v>Cornell University</v>
      </c>
      <c r="U72" s="70" t="str">
        <f>_xlfn.XLOOKUP(Tabla1[[#This Row],[Universidad KPIs]],Conversiones!$C:$C,Conversiones!$E:$E)</f>
        <v>General</v>
      </c>
      <c r="V72" s="1" t="s">
        <v>35</v>
      </c>
      <c r="W72" s="1" t="s">
        <v>260</v>
      </c>
      <c r="X72" s="55">
        <v>44355</v>
      </c>
      <c r="Y72" s="55">
        <v>44408</v>
      </c>
      <c r="Z72" s="1">
        <v>53</v>
      </c>
    </row>
    <row r="73" spans="1:26">
      <c r="A73" s="67" t="s">
        <v>558</v>
      </c>
      <c r="B73">
        <v>201719929</v>
      </c>
      <c r="C73" t="s">
        <v>555</v>
      </c>
      <c r="D73" t="s">
        <v>559</v>
      </c>
      <c r="E73" t="s">
        <v>560</v>
      </c>
      <c r="F73" t="s">
        <v>216</v>
      </c>
      <c r="G73" t="s">
        <v>246</v>
      </c>
      <c r="J73" t="s">
        <v>535</v>
      </c>
      <c r="K73">
        <v>2021</v>
      </c>
      <c r="L73">
        <v>202119</v>
      </c>
      <c r="M73">
        <v>202119</v>
      </c>
      <c r="N73" t="s">
        <v>248</v>
      </c>
      <c r="O73" t="s">
        <v>553</v>
      </c>
      <c r="P73" t="s">
        <v>437</v>
      </c>
      <c r="Q73" t="s">
        <v>216</v>
      </c>
      <c r="R73" t="s">
        <v>246</v>
      </c>
      <c r="S73" t="s">
        <v>181</v>
      </c>
      <c r="T73" s="70" t="str">
        <f>_xlfn.XLOOKUP(Tabla1[[#This Row],[Universidad]],Conversiones!$B:$B,Conversiones!$C:$C)</f>
        <v>Cornell University</v>
      </c>
      <c r="U73" s="70" t="str">
        <f>_xlfn.XLOOKUP(Tabla1[[#This Row],[Universidad KPIs]],Conversiones!$C:$C,Conversiones!$E:$E)</f>
        <v>General</v>
      </c>
      <c r="V73" t="s">
        <v>35</v>
      </c>
      <c r="W73" t="s">
        <v>260</v>
      </c>
      <c r="X73" s="2">
        <v>44355</v>
      </c>
      <c r="Y73" s="2">
        <v>44408</v>
      </c>
      <c r="Z73">
        <v>53</v>
      </c>
    </row>
    <row r="74" spans="1:26">
      <c r="A74" s="68" t="s">
        <v>561</v>
      </c>
      <c r="B74" s="1">
        <v>201632389</v>
      </c>
      <c r="C74" s="1" t="s">
        <v>562</v>
      </c>
      <c r="D74" s="1" t="s">
        <v>563</v>
      </c>
      <c r="E74" s="1" t="s">
        <v>564</v>
      </c>
      <c r="F74" s="1" t="s">
        <v>216</v>
      </c>
      <c r="G74" s="1" t="s">
        <v>246</v>
      </c>
      <c r="H74" s="1"/>
      <c r="I74" s="1"/>
      <c r="J74" s="1" t="s">
        <v>535</v>
      </c>
      <c r="K74" s="1">
        <v>2021</v>
      </c>
      <c r="L74" s="1">
        <v>202119</v>
      </c>
      <c r="M74" s="1">
        <v>202119</v>
      </c>
      <c r="N74" s="1" t="s">
        <v>248</v>
      </c>
      <c r="O74" s="1" t="s">
        <v>553</v>
      </c>
      <c r="P74" s="1" t="s">
        <v>437</v>
      </c>
      <c r="Q74" s="1" t="s">
        <v>216</v>
      </c>
      <c r="R74" s="1" t="s">
        <v>246</v>
      </c>
      <c r="S74" s="1" t="s">
        <v>181</v>
      </c>
      <c r="T74" s="70" t="str">
        <f>_xlfn.XLOOKUP(Tabla1[[#This Row],[Universidad]],Conversiones!$B:$B,Conversiones!$C:$C)</f>
        <v>Cornell University</v>
      </c>
      <c r="U74" s="70" t="str">
        <f>_xlfn.XLOOKUP(Tabla1[[#This Row],[Universidad KPIs]],Conversiones!$C:$C,Conversiones!$E:$E)</f>
        <v>General</v>
      </c>
      <c r="V74" s="1" t="s">
        <v>35</v>
      </c>
      <c r="W74" s="1" t="s">
        <v>260</v>
      </c>
      <c r="X74" s="55">
        <v>44355</v>
      </c>
      <c r="Y74" s="55">
        <v>44408</v>
      </c>
      <c r="Z74" s="1">
        <v>53</v>
      </c>
    </row>
    <row r="75" spans="1:26">
      <c r="A75" s="67" t="s">
        <v>565</v>
      </c>
      <c r="B75">
        <v>201729127</v>
      </c>
      <c r="C75" t="s">
        <v>243</v>
      </c>
      <c r="D75" t="s">
        <v>566</v>
      </c>
      <c r="E75" t="s">
        <v>567</v>
      </c>
      <c r="F75" t="s">
        <v>216</v>
      </c>
      <c r="G75" t="s">
        <v>246</v>
      </c>
      <c r="J75" t="s">
        <v>535</v>
      </c>
      <c r="K75">
        <v>2021</v>
      </c>
      <c r="L75">
        <v>202119</v>
      </c>
      <c r="M75">
        <v>202119</v>
      </c>
      <c r="N75" t="s">
        <v>248</v>
      </c>
      <c r="O75" t="s">
        <v>553</v>
      </c>
      <c r="P75" t="s">
        <v>437</v>
      </c>
      <c r="Q75" t="s">
        <v>216</v>
      </c>
      <c r="R75" t="s">
        <v>246</v>
      </c>
      <c r="S75" t="s">
        <v>181</v>
      </c>
      <c r="T75" s="70" t="str">
        <f>_xlfn.XLOOKUP(Tabla1[[#This Row],[Universidad]],Conversiones!$B:$B,Conversiones!$C:$C)</f>
        <v>Cornell University</v>
      </c>
      <c r="U75" s="70" t="str">
        <f>_xlfn.XLOOKUP(Tabla1[[#This Row],[Universidad KPIs]],Conversiones!$C:$C,Conversiones!$E:$E)</f>
        <v>General</v>
      </c>
      <c r="V75" t="s">
        <v>35</v>
      </c>
      <c r="W75" t="s">
        <v>260</v>
      </c>
      <c r="X75" s="2">
        <v>44355</v>
      </c>
      <c r="Y75" s="2">
        <v>44408</v>
      </c>
      <c r="Z75">
        <v>53</v>
      </c>
    </row>
    <row r="76" spans="1:26">
      <c r="A76" s="68" t="s">
        <v>568</v>
      </c>
      <c r="B76" s="1">
        <v>201730158</v>
      </c>
      <c r="C76" s="1" t="s">
        <v>569</v>
      </c>
      <c r="D76" s="1" t="s">
        <v>570</v>
      </c>
      <c r="E76" s="1" t="s">
        <v>571</v>
      </c>
      <c r="F76" s="1" t="s">
        <v>216</v>
      </c>
      <c r="G76" s="1" t="s">
        <v>246</v>
      </c>
      <c r="H76" s="1"/>
      <c r="I76" s="1"/>
      <c r="J76" s="1" t="s">
        <v>535</v>
      </c>
      <c r="K76" s="1">
        <v>2021</v>
      </c>
      <c r="L76" s="1">
        <v>202119</v>
      </c>
      <c r="M76" s="1">
        <v>202119</v>
      </c>
      <c r="N76" s="1" t="s">
        <v>248</v>
      </c>
      <c r="O76" s="1" t="s">
        <v>553</v>
      </c>
      <c r="P76" s="1" t="s">
        <v>437</v>
      </c>
      <c r="Q76" s="1" t="s">
        <v>216</v>
      </c>
      <c r="R76" s="1" t="s">
        <v>246</v>
      </c>
      <c r="S76" s="1" t="s">
        <v>181</v>
      </c>
      <c r="T76" s="70" t="str">
        <f>_xlfn.XLOOKUP(Tabla1[[#This Row],[Universidad]],Conversiones!$B:$B,Conversiones!$C:$C)</f>
        <v>Cornell University</v>
      </c>
      <c r="U76" s="70" t="str">
        <f>_xlfn.XLOOKUP(Tabla1[[#This Row],[Universidad KPIs]],Conversiones!$C:$C,Conversiones!$E:$E)</f>
        <v>General</v>
      </c>
      <c r="V76" s="1" t="s">
        <v>35</v>
      </c>
      <c r="W76" s="1" t="s">
        <v>260</v>
      </c>
      <c r="X76" s="55">
        <v>44355</v>
      </c>
      <c r="Y76" s="55">
        <v>44408</v>
      </c>
      <c r="Z76" s="1">
        <v>53</v>
      </c>
    </row>
    <row r="77" spans="1:26">
      <c r="A77" s="67" t="s">
        <v>572</v>
      </c>
      <c r="B77">
        <v>201729052</v>
      </c>
      <c r="C77" t="s">
        <v>573</v>
      </c>
      <c r="D77" t="s">
        <v>574</v>
      </c>
      <c r="E77" t="s">
        <v>575</v>
      </c>
      <c r="F77" t="s">
        <v>216</v>
      </c>
      <c r="G77" t="s">
        <v>246</v>
      </c>
      <c r="J77" t="s">
        <v>535</v>
      </c>
      <c r="K77">
        <v>2021</v>
      </c>
      <c r="L77">
        <v>202119</v>
      </c>
      <c r="M77">
        <v>202119</v>
      </c>
      <c r="N77" t="s">
        <v>248</v>
      </c>
      <c r="O77" t="s">
        <v>553</v>
      </c>
      <c r="P77" t="s">
        <v>437</v>
      </c>
      <c r="Q77" t="s">
        <v>216</v>
      </c>
      <c r="R77" t="s">
        <v>246</v>
      </c>
      <c r="S77" t="s">
        <v>181</v>
      </c>
      <c r="T77" s="70" t="str">
        <f>_xlfn.XLOOKUP(Tabla1[[#This Row],[Universidad]],Conversiones!$B:$B,Conversiones!$C:$C)</f>
        <v>Cornell University</v>
      </c>
      <c r="U77" s="70" t="str">
        <f>_xlfn.XLOOKUP(Tabla1[[#This Row],[Universidad KPIs]],Conversiones!$C:$C,Conversiones!$E:$E)</f>
        <v>General</v>
      </c>
      <c r="V77" t="s">
        <v>35</v>
      </c>
      <c r="W77" t="s">
        <v>260</v>
      </c>
      <c r="X77" s="2">
        <v>44355</v>
      </c>
      <c r="Y77" s="2">
        <v>44408</v>
      </c>
      <c r="Z77">
        <v>53</v>
      </c>
    </row>
    <row r="78" spans="1:26">
      <c r="A78" s="68" t="s">
        <v>576</v>
      </c>
      <c r="B78" s="1">
        <v>201729731</v>
      </c>
      <c r="C78" s="1" t="s">
        <v>443</v>
      </c>
      <c r="D78" s="1" t="s">
        <v>577</v>
      </c>
      <c r="E78" s="1" t="s">
        <v>578</v>
      </c>
      <c r="F78" s="1" t="s">
        <v>216</v>
      </c>
      <c r="G78" s="1" t="s">
        <v>246</v>
      </c>
      <c r="H78" s="1"/>
      <c r="I78" s="1"/>
      <c r="J78" s="1" t="s">
        <v>535</v>
      </c>
      <c r="K78" s="1">
        <v>2021</v>
      </c>
      <c r="L78" s="1">
        <v>202119</v>
      </c>
      <c r="M78" s="1">
        <v>202119</v>
      </c>
      <c r="N78" s="1" t="s">
        <v>248</v>
      </c>
      <c r="O78" s="1" t="s">
        <v>553</v>
      </c>
      <c r="P78" s="1" t="s">
        <v>437</v>
      </c>
      <c r="Q78" s="1" t="s">
        <v>216</v>
      </c>
      <c r="R78" s="1" t="s">
        <v>246</v>
      </c>
      <c r="S78" s="1" t="s">
        <v>181</v>
      </c>
      <c r="T78" s="70" t="str">
        <f>_xlfn.XLOOKUP(Tabla1[[#This Row],[Universidad]],Conversiones!$B:$B,Conversiones!$C:$C)</f>
        <v>Cornell University</v>
      </c>
      <c r="U78" s="70" t="str">
        <f>_xlfn.XLOOKUP(Tabla1[[#This Row],[Universidad KPIs]],Conversiones!$C:$C,Conversiones!$E:$E)</f>
        <v>General</v>
      </c>
      <c r="V78" s="1" t="s">
        <v>35</v>
      </c>
      <c r="W78" s="1" t="s">
        <v>260</v>
      </c>
      <c r="X78" s="55">
        <v>44355</v>
      </c>
      <c r="Y78" s="55">
        <v>44408</v>
      </c>
      <c r="Z78" s="1">
        <v>53</v>
      </c>
    </row>
    <row r="79" spans="1:26">
      <c r="A79" s="67" t="s">
        <v>579</v>
      </c>
      <c r="B79">
        <v>201530867</v>
      </c>
      <c r="C79" t="s">
        <v>580</v>
      </c>
      <c r="D79" t="s">
        <v>581</v>
      </c>
      <c r="E79" t="s">
        <v>582</v>
      </c>
      <c r="F79" t="s">
        <v>216</v>
      </c>
      <c r="G79" t="s">
        <v>246</v>
      </c>
      <c r="J79" t="s">
        <v>247</v>
      </c>
      <c r="K79">
        <v>2021</v>
      </c>
      <c r="L79">
        <v>202120</v>
      </c>
      <c r="M79">
        <v>202120</v>
      </c>
      <c r="N79" t="s">
        <v>248</v>
      </c>
      <c r="O79" t="s">
        <v>214</v>
      </c>
      <c r="P79" t="s">
        <v>446</v>
      </c>
      <c r="Q79" t="s">
        <v>216</v>
      </c>
      <c r="R79" t="s">
        <v>246</v>
      </c>
      <c r="S79" t="s">
        <v>91</v>
      </c>
      <c r="T79" s="70" t="str">
        <f>_xlfn.XLOOKUP(Tabla1[[#This Row],[Universidad]],Conversiones!$B:$B,Conversiones!$C:$C)</f>
        <v>Toulouse Business School</v>
      </c>
      <c r="U79" s="70" t="str">
        <f>_xlfn.XLOOKUP(Tabla1[[#This Row],[Universidad KPIs]],Conversiones!$C:$C,Conversiones!$E:$E)</f>
        <v>Específico</v>
      </c>
      <c r="V79" t="s">
        <v>41</v>
      </c>
      <c r="W79" t="s">
        <v>250</v>
      </c>
      <c r="X79" s="2">
        <v>44417</v>
      </c>
      <c r="Y79" s="2">
        <v>44534</v>
      </c>
      <c r="Z79">
        <v>117</v>
      </c>
    </row>
    <row r="80" spans="1:26">
      <c r="A80" s="68" t="s">
        <v>583</v>
      </c>
      <c r="B80" s="1">
        <v>202023082</v>
      </c>
      <c r="C80" s="1" t="s">
        <v>584</v>
      </c>
      <c r="D80" s="1" t="s">
        <v>585</v>
      </c>
      <c r="E80" s="1" t="s">
        <v>586</v>
      </c>
      <c r="F80" s="1" t="s">
        <v>219</v>
      </c>
      <c r="G80" s="1" t="s">
        <v>246</v>
      </c>
      <c r="H80" s="1"/>
      <c r="I80" s="1"/>
      <c r="J80" s="1" t="s">
        <v>247</v>
      </c>
      <c r="K80" s="1">
        <v>2021</v>
      </c>
      <c r="L80" s="1">
        <v>202120</v>
      </c>
      <c r="M80" s="1">
        <v>202120</v>
      </c>
      <c r="N80" s="1" t="s">
        <v>587</v>
      </c>
      <c r="O80" s="1" t="s">
        <v>213</v>
      </c>
      <c r="P80" s="1" t="s">
        <v>588</v>
      </c>
      <c r="Q80" s="1" t="s">
        <v>219</v>
      </c>
      <c r="R80" s="1" t="s">
        <v>246</v>
      </c>
      <c r="S80" s="1" t="s">
        <v>589</v>
      </c>
      <c r="T80" s="70" t="str">
        <f>_xlfn.XLOOKUP(Tabla1[[#This Row],[Universidad]],Conversiones!$B:$B,Conversiones!$C:$C)</f>
        <v>JIBS Jönköping International Business School</v>
      </c>
      <c r="U80" s="70" t="str">
        <f>_xlfn.XLOOKUP(Tabla1[[#This Row],[Universidad KPIs]],Conversiones!$C:$C,Conversiones!$E:$E)</f>
        <v>Específico</v>
      </c>
      <c r="V80" s="1" t="s">
        <v>74</v>
      </c>
      <c r="W80" s="1" t="s">
        <v>250</v>
      </c>
      <c r="X80" s="55">
        <v>44417</v>
      </c>
      <c r="Y80" s="55">
        <v>44534</v>
      </c>
      <c r="Z80" s="1">
        <v>117</v>
      </c>
    </row>
    <row r="81" spans="1:26">
      <c r="A81" s="67" t="s">
        <v>590</v>
      </c>
      <c r="B81">
        <v>201812666</v>
      </c>
      <c r="C81" t="s">
        <v>426</v>
      </c>
      <c r="D81" t="s">
        <v>591</v>
      </c>
      <c r="E81" t="s">
        <v>592</v>
      </c>
      <c r="F81" t="s">
        <v>216</v>
      </c>
      <c r="G81" t="s">
        <v>246</v>
      </c>
      <c r="J81" t="s">
        <v>247</v>
      </c>
      <c r="K81">
        <v>2021</v>
      </c>
      <c r="L81">
        <v>202120</v>
      </c>
      <c r="M81">
        <v>202120</v>
      </c>
      <c r="N81" t="s">
        <v>248</v>
      </c>
      <c r="O81" t="s">
        <v>213</v>
      </c>
      <c r="P81" t="s">
        <v>249</v>
      </c>
      <c r="Q81" t="s">
        <v>216</v>
      </c>
      <c r="R81" t="s">
        <v>246</v>
      </c>
      <c r="S81" t="s">
        <v>388</v>
      </c>
      <c r="T81" s="70" t="str">
        <f>_xlfn.XLOOKUP(Tabla1[[#This Row],[Universidad]],Conversiones!$B:$B,Conversiones!$C:$C)</f>
        <v>ESCP</v>
      </c>
      <c r="U81" s="70" t="str">
        <f>_xlfn.XLOOKUP(Tabla1[[#This Row],[Universidad KPIs]],Conversiones!$C:$C,Conversiones!$E:$E)</f>
        <v>Específico</v>
      </c>
      <c r="V81" t="s">
        <v>41</v>
      </c>
      <c r="W81" t="s">
        <v>250</v>
      </c>
      <c r="X81" s="2">
        <v>44417</v>
      </c>
      <c r="Y81" s="2">
        <v>44534</v>
      </c>
      <c r="Z81">
        <v>117</v>
      </c>
    </row>
    <row r="82" spans="1:26">
      <c r="A82" s="68" t="s">
        <v>593</v>
      </c>
      <c r="B82" s="1">
        <v>201731042</v>
      </c>
      <c r="C82" s="1" t="s">
        <v>426</v>
      </c>
      <c r="D82" s="1" t="s">
        <v>594</v>
      </c>
      <c r="E82" s="1" t="s">
        <v>595</v>
      </c>
      <c r="F82" s="1" t="s">
        <v>216</v>
      </c>
      <c r="G82" s="1" t="s">
        <v>246</v>
      </c>
      <c r="H82" s="1"/>
      <c r="I82" s="1"/>
      <c r="J82" s="1" t="s">
        <v>247</v>
      </c>
      <c r="K82" s="1">
        <v>2021</v>
      </c>
      <c r="L82" s="1">
        <v>202120</v>
      </c>
      <c r="M82" s="1">
        <v>202120</v>
      </c>
      <c r="N82" s="1" t="s">
        <v>248</v>
      </c>
      <c r="O82" s="1" t="s">
        <v>213</v>
      </c>
      <c r="P82" s="1" t="s">
        <v>249</v>
      </c>
      <c r="Q82" s="1" t="s">
        <v>216</v>
      </c>
      <c r="R82" s="1" t="s">
        <v>246</v>
      </c>
      <c r="S82" s="1" t="s">
        <v>78</v>
      </c>
      <c r="T82" s="70" t="str">
        <f>_xlfn.XLOOKUP(Tabla1[[#This Row],[Universidad]],Conversiones!$B:$B,Conversiones!$C:$C)</f>
        <v>Maastricht University</v>
      </c>
      <c r="U82" s="70" t="str">
        <f>_xlfn.XLOOKUP(Tabla1[[#This Row],[Universidad KPIs]],Conversiones!$C:$C,Conversiones!$E:$E)</f>
        <v>Específico</v>
      </c>
      <c r="V82" s="1" t="s">
        <v>79</v>
      </c>
      <c r="W82" s="1" t="s">
        <v>250</v>
      </c>
      <c r="X82" s="55">
        <v>44417</v>
      </c>
      <c r="Y82" s="55">
        <v>44534</v>
      </c>
      <c r="Z82" s="1">
        <v>117</v>
      </c>
    </row>
    <row r="83" spans="1:26">
      <c r="A83" s="67" t="s">
        <v>596</v>
      </c>
      <c r="B83">
        <v>201631731</v>
      </c>
      <c r="C83" t="s">
        <v>597</v>
      </c>
      <c r="D83" t="s">
        <v>598</v>
      </c>
      <c r="E83" t="s">
        <v>599</v>
      </c>
      <c r="F83" t="s">
        <v>216</v>
      </c>
      <c r="G83" t="s">
        <v>246</v>
      </c>
      <c r="H83" t="s">
        <v>600</v>
      </c>
      <c r="I83" t="s">
        <v>507</v>
      </c>
      <c r="J83" t="s">
        <v>247</v>
      </c>
      <c r="K83">
        <v>2021</v>
      </c>
      <c r="L83">
        <v>202120</v>
      </c>
      <c r="M83">
        <v>202120</v>
      </c>
      <c r="N83" t="s">
        <v>248</v>
      </c>
      <c r="O83" t="s">
        <v>214</v>
      </c>
      <c r="P83" t="s">
        <v>446</v>
      </c>
      <c r="Q83" t="s">
        <v>216</v>
      </c>
      <c r="R83" t="s">
        <v>246</v>
      </c>
      <c r="S83" t="s">
        <v>91</v>
      </c>
      <c r="T83" s="70" t="str">
        <f>_xlfn.XLOOKUP(Tabla1[[#This Row],[Universidad]],Conversiones!$B:$B,Conversiones!$C:$C)</f>
        <v>Toulouse Business School</v>
      </c>
      <c r="U83" s="70" t="str">
        <f>_xlfn.XLOOKUP(Tabla1[[#This Row],[Universidad KPIs]],Conversiones!$C:$C,Conversiones!$E:$E)</f>
        <v>Específico</v>
      </c>
      <c r="V83" t="s">
        <v>41</v>
      </c>
      <c r="W83" t="s">
        <v>250</v>
      </c>
      <c r="X83" s="2">
        <v>44417</v>
      </c>
      <c r="Y83" s="2">
        <v>44534</v>
      </c>
      <c r="Z83">
        <v>117</v>
      </c>
    </row>
    <row r="84" spans="1:26">
      <c r="A84" s="68" t="s">
        <v>601</v>
      </c>
      <c r="B84" s="1">
        <v>201729094</v>
      </c>
      <c r="C84" s="1" t="s">
        <v>602</v>
      </c>
      <c r="D84" s="1" t="s">
        <v>603</v>
      </c>
      <c r="E84" s="1" t="s">
        <v>604</v>
      </c>
      <c r="F84" s="1" t="s">
        <v>216</v>
      </c>
      <c r="G84" s="1" t="s">
        <v>246</v>
      </c>
      <c r="H84" s="1"/>
      <c r="I84" s="1"/>
      <c r="J84" s="1" t="s">
        <v>247</v>
      </c>
      <c r="K84" s="1">
        <v>2021</v>
      </c>
      <c r="L84" s="1">
        <v>202120</v>
      </c>
      <c r="M84" s="1">
        <v>202120</v>
      </c>
      <c r="N84" s="1" t="s">
        <v>248</v>
      </c>
      <c r="O84" s="1" t="s">
        <v>213</v>
      </c>
      <c r="P84" s="1" t="s">
        <v>249</v>
      </c>
      <c r="Q84" s="1" t="s">
        <v>216</v>
      </c>
      <c r="R84" s="1" t="s">
        <v>246</v>
      </c>
      <c r="S84" s="1" t="s">
        <v>255</v>
      </c>
      <c r="T84" s="70" t="str">
        <f>_xlfn.XLOOKUP(Tabla1[[#This Row],[Universidad]],Conversiones!$B:$B,Conversiones!$C:$C)</f>
        <v>ESC Rouen (NEOMA)</v>
      </c>
      <c r="U84" s="70" t="str">
        <f>_xlfn.XLOOKUP(Tabla1[[#This Row],[Universidad KPIs]],Conversiones!$C:$C,Conversiones!$E:$E)</f>
        <v>Específico</v>
      </c>
      <c r="V84" s="1" t="s">
        <v>41</v>
      </c>
      <c r="W84" s="1" t="s">
        <v>250</v>
      </c>
      <c r="X84" s="55">
        <v>44417</v>
      </c>
      <c r="Y84" s="55">
        <v>44534</v>
      </c>
      <c r="Z84" s="1">
        <v>117</v>
      </c>
    </row>
    <row r="85" spans="1:26">
      <c r="A85" s="67" t="s">
        <v>605</v>
      </c>
      <c r="B85">
        <v>201823217</v>
      </c>
      <c r="C85" t="s">
        <v>602</v>
      </c>
      <c r="D85" t="s">
        <v>606</v>
      </c>
      <c r="E85" t="s">
        <v>607</v>
      </c>
      <c r="F85" t="s">
        <v>216</v>
      </c>
      <c r="G85" t="s">
        <v>246</v>
      </c>
      <c r="J85" t="s">
        <v>247</v>
      </c>
      <c r="K85">
        <v>2021</v>
      </c>
      <c r="L85">
        <v>202120</v>
      </c>
      <c r="M85">
        <v>202120</v>
      </c>
      <c r="N85" t="s">
        <v>248</v>
      </c>
      <c r="O85" t="s">
        <v>213</v>
      </c>
      <c r="P85" t="s">
        <v>249</v>
      </c>
      <c r="Q85" t="s">
        <v>216</v>
      </c>
      <c r="R85" t="s">
        <v>246</v>
      </c>
      <c r="S85" t="s">
        <v>608</v>
      </c>
      <c r="T85" s="70" t="str">
        <f>_xlfn.XLOOKUP(Tabla1[[#This Row],[Universidad]],Conversiones!$B:$B,Conversiones!$C:$C)</f>
        <v>IE Instituto Empresa</v>
      </c>
      <c r="U85" s="70" t="str">
        <f>_xlfn.XLOOKUP(Tabla1[[#This Row],[Universidad KPIs]],Conversiones!$C:$C,Conversiones!$E:$E)</f>
        <v>General</v>
      </c>
      <c r="V85" t="s">
        <v>53</v>
      </c>
      <c r="W85" t="s">
        <v>250</v>
      </c>
      <c r="X85" s="2">
        <v>44417</v>
      </c>
      <c r="Y85" s="2">
        <v>44534</v>
      </c>
      <c r="Z85">
        <v>117</v>
      </c>
    </row>
    <row r="86" spans="1:26">
      <c r="A86" s="68" t="s">
        <v>609</v>
      </c>
      <c r="B86" s="1">
        <v>201731645</v>
      </c>
      <c r="C86" s="1" t="s">
        <v>610</v>
      </c>
      <c r="D86" s="1" t="s">
        <v>611</v>
      </c>
      <c r="E86" s="1" t="s">
        <v>612</v>
      </c>
      <c r="F86" s="1" t="s">
        <v>216</v>
      </c>
      <c r="G86" s="1" t="s">
        <v>246</v>
      </c>
      <c r="H86" s="1" t="s">
        <v>216</v>
      </c>
      <c r="I86" s="1" t="s">
        <v>246</v>
      </c>
      <c r="J86" s="1" t="s">
        <v>247</v>
      </c>
      <c r="K86" s="1">
        <v>2021</v>
      </c>
      <c r="L86" s="1">
        <v>202120</v>
      </c>
      <c r="M86" s="1">
        <v>202120</v>
      </c>
      <c r="N86" s="1" t="s">
        <v>248</v>
      </c>
      <c r="O86" s="1" t="s">
        <v>213</v>
      </c>
      <c r="P86" s="1" t="s">
        <v>249</v>
      </c>
      <c r="Q86" s="1" t="s">
        <v>216</v>
      </c>
      <c r="R86" s="1" t="s">
        <v>246</v>
      </c>
      <c r="S86" s="1" t="s">
        <v>613</v>
      </c>
      <c r="T86" s="70" t="str">
        <f>_xlfn.XLOOKUP(Tabla1[[#This Row],[Universidad]],Conversiones!$B:$B,Conversiones!$C:$C)</f>
        <v>Audencia. École de Management</v>
      </c>
      <c r="U86" s="70" t="str">
        <f>_xlfn.XLOOKUP(Tabla1[[#This Row],[Universidad KPIs]],Conversiones!$C:$C,Conversiones!$E:$E)</f>
        <v>Específico</v>
      </c>
      <c r="V86" s="1" t="s">
        <v>41</v>
      </c>
      <c r="W86" s="1" t="s">
        <v>250</v>
      </c>
      <c r="X86" s="55">
        <v>44417</v>
      </c>
      <c r="Y86" s="55">
        <v>44534</v>
      </c>
      <c r="Z86" s="1">
        <v>117</v>
      </c>
    </row>
    <row r="87" spans="1:26">
      <c r="A87" s="67" t="s">
        <v>614</v>
      </c>
      <c r="B87">
        <v>201817308</v>
      </c>
      <c r="C87" t="s">
        <v>267</v>
      </c>
      <c r="D87" t="s">
        <v>615</v>
      </c>
      <c r="E87" t="s">
        <v>616</v>
      </c>
      <c r="F87" t="s">
        <v>216</v>
      </c>
      <c r="G87" t="s">
        <v>246</v>
      </c>
      <c r="H87" t="s">
        <v>617</v>
      </c>
      <c r="I87" t="s">
        <v>618</v>
      </c>
      <c r="J87" t="s">
        <v>247</v>
      </c>
      <c r="K87">
        <v>2021</v>
      </c>
      <c r="L87">
        <v>202120</v>
      </c>
      <c r="M87">
        <v>202120</v>
      </c>
      <c r="N87" t="s">
        <v>248</v>
      </c>
      <c r="O87" t="s">
        <v>213</v>
      </c>
      <c r="P87" t="s">
        <v>249</v>
      </c>
      <c r="Q87" t="s">
        <v>216</v>
      </c>
      <c r="R87" t="s">
        <v>246</v>
      </c>
      <c r="S87" t="s">
        <v>619</v>
      </c>
      <c r="T87" s="70" t="str">
        <f>_xlfn.XLOOKUP(Tabla1[[#This Row],[Universidad]],Conversiones!$B:$B,Conversiones!$C:$C)</f>
        <v>Grenoble. École de Management</v>
      </c>
      <c r="U87" s="70" t="str">
        <f>_xlfn.XLOOKUP(Tabla1[[#This Row],[Universidad KPIs]],Conversiones!$C:$C,Conversiones!$E:$E)</f>
        <v>Específico</v>
      </c>
      <c r="V87" t="s">
        <v>41</v>
      </c>
      <c r="W87" t="s">
        <v>250</v>
      </c>
      <c r="X87" s="2">
        <v>44417</v>
      </c>
      <c r="Y87" s="2">
        <v>44534</v>
      </c>
      <c r="Z87">
        <v>117</v>
      </c>
    </row>
    <row r="88" spans="1:26">
      <c r="A88" s="68" t="s">
        <v>620</v>
      </c>
      <c r="B88" s="1">
        <v>201632175</v>
      </c>
      <c r="C88" s="1" t="s">
        <v>621</v>
      </c>
      <c r="D88" s="1" t="s">
        <v>622</v>
      </c>
      <c r="E88" s="1" t="s">
        <v>623</v>
      </c>
      <c r="F88" s="1" t="s">
        <v>216</v>
      </c>
      <c r="G88" s="1" t="s">
        <v>246</v>
      </c>
      <c r="H88" s="1" t="s">
        <v>460</v>
      </c>
      <c r="I88" s="1" t="s">
        <v>461</v>
      </c>
      <c r="J88" s="1" t="s">
        <v>247</v>
      </c>
      <c r="K88" s="1">
        <v>2021</v>
      </c>
      <c r="L88" s="1">
        <v>202120</v>
      </c>
      <c r="M88" s="1">
        <v>202120</v>
      </c>
      <c r="N88" s="1" t="s">
        <v>248</v>
      </c>
      <c r="O88" s="1" t="s">
        <v>213</v>
      </c>
      <c r="P88" s="1" t="s">
        <v>249</v>
      </c>
      <c r="Q88" s="1" t="s">
        <v>216</v>
      </c>
      <c r="R88" s="1" t="s">
        <v>246</v>
      </c>
      <c r="S88" s="1" t="s">
        <v>608</v>
      </c>
      <c r="T88" s="70" t="str">
        <f>_xlfn.XLOOKUP(Tabla1[[#This Row],[Universidad]],Conversiones!$B:$B,Conversiones!$C:$C)</f>
        <v>IE Instituto Empresa</v>
      </c>
      <c r="U88" s="70" t="str">
        <f>_xlfn.XLOOKUP(Tabla1[[#This Row],[Universidad KPIs]],Conversiones!$C:$C,Conversiones!$E:$E)</f>
        <v>General</v>
      </c>
      <c r="V88" s="1" t="s">
        <v>53</v>
      </c>
      <c r="W88" s="1" t="s">
        <v>250</v>
      </c>
      <c r="X88" s="55">
        <v>44417</v>
      </c>
      <c r="Y88" s="55">
        <v>44534</v>
      </c>
      <c r="Z88" s="1">
        <v>117</v>
      </c>
    </row>
    <row r="89" spans="1:26">
      <c r="A89" s="67" t="s">
        <v>624</v>
      </c>
      <c r="B89">
        <v>201822046</v>
      </c>
      <c r="C89" t="s">
        <v>625</v>
      </c>
      <c r="D89" t="s">
        <v>626</v>
      </c>
      <c r="E89" t="s">
        <v>627</v>
      </c>
      <c r="F89" t="s">
        <v>216</v>
      </c>
      <c r="G89" t="s">
        <v>246</v>
      </c>
      <c r="J89" t="s">
        <v>247</v>
      </c>
      <c r="K89">
        <v>2021</v>
      </c>
      <c r="L89">
        <v>202120</v>
      </c>
      <c r="M89">
        <v>202120</v>
      </c>
      <c r="N89" t="s">
        <v>248</v>
      </c>
      <c r="O89" t="s">
        <v>213</v>
      </c>
      <c r="P89" t="s">
        <v>249</v>
      </c>
      <c r="Q89" t="s">
        <v>216</v>
      </c>
      <c r="R89" t="s">
        <v>246</v>
      </c>
      <c r="S89" t="s">
        <v>255</v>
      </c>
      <c r="T89" s="70" t="str">
        <f>_xlfn.XLOOKUP(Tabla1[[#This Row],[Universidad]],Conversiones!$B:$B,Conversiones!$C:$C)</f>
        <v>ESC Rouen (NEOMA)</v>
      </c>
      <c r="U89" s="70" t="str">
        <f>_xlfn.XLOOKUP(Tabla1[[#This Row],[Universidad KPIs]],Conversiones!$C:$C,Conversiones!$E:$E)</f>
        <v>Específico</v>
      </c>
      <c r="V89" t="s">
        <v>41</v>
      </c>
      <c r="W89" t="s">
        <v>250</v>
      </c>
      <c r="X89" s="2">
        <v>44417</v>
      </c>
      <c r="Y89" s="2">
        <v>44534</v>
      </c>
      <c r="Z89">
        <v>117</v>
      </c>
    </row>
    <row r="90" spans="1:26">
      <c r="A90" s="68" t="s">
        <v>628</v>
      </c>
      <c r="B90" s="1">
        <v>201821704</v>
      </c>
      <c r="C90" s="1" t="s">
        <v>629</v>
      </c>
      <c r="D90" s="1" t="s">
        <v>630</v>
      </c>
      <c r="E90" s="1" t="s">
        <v>631</v>
      </c>
      <c r="F90" s="1" t="s">
        <v>216</v>
      </c>
      <c r="G90" s="1" t="s">
        <v>246</v>
      </c>
      <c r="H90" s="1"/>
      <c r="I90" s="1"/>
      <c r="J90" s="1" t="s">
        <v>247</v>
      </c>
      <c r="K90" s="1">
        <v>2021</v>
      </c>
      <c r="L90" s="1">
        <v>202120</v>
      </c>
      <c r="M90" s="1">
        <v>202120</v>
      </c>
      <c r="N90" s="1" t="s">
        <v>248</v>
      </c>
      <c r="O90" s="1" t="s">
        <v>214</v>
      </c>
      <c r="P90" s="1" t="s">
        <v>446</v>
      </c>
      <c r="Q90" s="1" t="s">
        <v>216</v>
      </c>
      <c r="R90" s="1" t="s">
        <v>246</v>
      </c>
      <c r="S90" s="1" t="s">
        <v>91</v>
      </c>
      <c r="T90" s="70" t="str">
        <f>_xlfn.XLOOKUP(Tabla1[[#This Row],[Universidad]],Conversiones!$B:$B,Conversiones!$C:$C)</f>
        <v>Toulouse Business School</v>
      </c>
      <c r="U90" s="70" t="str">
        <f>_xlfn.XLOOKUP(Tabla1[[#This Row],[Universidad KPIs]],Conversiones!$C:$C,Conversiones!$E:$E)</f>
        <v>Específico</v>
      </c>
      <c r="V90" s="1" t="s">
        <v>41</v>
      </c>
      <c r="W90" s="1" t="s">
        <v>250</v>
      </c>
      <c r="X90" s="55">
        <v>44417</v>
      </c>
      <c r="Y90" s="55">
        <v>44534</v>
      </c>
      <c r="Z90" s="1">
        <v>117</v>
      </c>
    </row>
    <row r="91" spans="1:26">
      <c r="A91" s="67" t="s">
        <v>632</v>
      </c>
      <c r="B91">
        <v>201812285</v>
      </c>
      <c r="C91" t="s">
        <v>555</v>
      </c>
      <c r="D91" t="s">
        <v>633</v>
      </c>
      <c r="E91" t="s">
        <v>634</v>
      </c>
      <c r="F91" t="s">
        <v>216</v>
      </c>
      <c r="G91" t="s">
        <v>246</v>
      </c>
      <c r="J91" t="s">
        <v>247</v>
      </c>
      <c r="K91">
        <v>2021</v>
      </c>
      <c r="L91">
        <v>202120</v>
      </c>
      <c r="M91">
        <v>202120</v>
      </c>
      <c r="N91" t="s">
        <v>248</v>
      </c>
      <c r="O91" t="s">
        <v>213</v>
      </c>
      <c r="P91" t="s">
        <v>249</v>
      </c>
      <c r="Q91" t="s">
        <v>216</v>
      </c>
      <c r="R91" t="s">
        <v>246</v>
      </c>
      <c r="S91" t="s">
        <v>374</v>
      </c>
      <c r="T91" s="70" t="str">
        <f>_xlfn.XLOOKUP(Tabla1[[#This Row],[Universidad]],Conversiones!$B:$B,Conversiones!$C:$C)</f>
        <v>University of Ljubljana</v>
      </c>
      <c r="U91" s="70" t="str">
        <f>_xlfn.XLOOKUP(Tabla1[[#This Row],[Universidad KPIs]],Conversiones!$C:$C,Conversiones!$E:$E)</f>
        <v>Específico</v>
      </c>
      <c r="V91" t="s">
        <v>102</v>
      </c>
      <c r="W91" t="s">
        <v>250</v>
      </c>
      <c r="X91" s="2">
        <v>44417</v>
      </c>
      <c r="Y91" s="2">
        <v>44534</v>
      </c>
      <c r="Z91">
        <v>117</v>
      </c>
    </row>
    <row r="92" spans="1:26">
      <c r="A92" s="68" t="s">
        <v>635</v>
      </c>
      <c r="B92" s="1">
        <v>201729190</v>
      </c>
      <c r="C92" s="1" t="s">
        <v>636</v>
      </c>
      <c r="D92" s="1" t="s">
        <v>637</v>
      </c>
      <c r="E92" s="1" t="s">
        <v>638</v>
      </c>
      <c r="F92" s="1" t="s">
        <v>216</v>
      </c>
      <c r="G92" s="1" t="s">
        <v>246</v>
      </c>
      <c r="H92" s="1"/>
      <c r="I92" s="1"/>
      <c r="J92" s="1" t="s">
        <v>247</v>
      </c>
      <c r="K92" s="1">
        <v>2021</v>
      </c>
      <c r="L92" s="1">
        <v>202120</v>
      </c>
      <c r="M92" s="1">
        <v>202020</v>
      </c>
      <c r="N92" s="1" t="s">
        <v>248</v>
      </c>
      <c r="O92" s="1" t="s">
        <v>213</v>
      </c>
      <c r="P92" s="1" t="s">
        <v>249</v>
      </c>
      <c r="Q92" s="1" t="s">
        <v>216</v>
      </c>
      <c r="R92" s="1" t="s">
        <v>246</v>
      </c>
      <c r="S92" s="1" t="s">
        <v>320</v>
      </c>
      <c r="T92" s="70" t="str">
        <f>_xlfn.XLOOKUP(Tabla1[[#This Row],[Universidad]],Conversiones!$B:$B,Conversiones!$C:$C)</f>
        <v>KLU Kühne Logistics University</v>
      </c>
      <c r="U92" s="70" t="str">
        <f>_xlfn.XLOOKUP(Tabla1[[#This Row],[Universidad KPIs]],Conversiones!$C:$C,Conversiones!$E:$E)</f>
        <v>Específico</v>
      </c>
      <c r="V92" s="1" t="s">
        <v>60</v>
      </c>
      <c r="W92" s="1" t="s">
        <v>250</v>
      </c>
      <c r="X92" s="55">
        <v>44417</v>
      </c>
      <c r="Y92" s="55">
        <v>44534</v>
      </c>
      <c r="Z92" s="1">
        <v>117</v>
      </c>
    </row>
    <row r="93" spans="1:26">
      <c r="A93" s="67" t="s">
        <v>639</v>
      </c>
      <c r="B93">
        <v>201820578</v>
      </c>
      <c r="C93" t="s">
        <v>300</v>
      </c>
      <c r="D93" t="s">
        <v>640</v>
      </c>
      <c r="E93" t="s">
        <v>641</v>
      </c>
      <c r="F93" t="s">
        <v>216</v>
      </c>
      <c r="G93" t="s">
        <v>246</v>
      </c>
      <c r="J93" t="s">
        <v>247</v>
      </c>
      <c r="K93">
        <v>2021</v>
      </c>
      <c r="L93">
        <v>202120</v>
      </c>
      <c r="M93">
        <v>202120</v>
      </c>
      <c r="N93" t="s">
        <v>248</v>
      </c>
      <c r="O93" t="s">
        <v>213</v>
      </c>
      <c r="P93" t="s">
        <v>249</v>
      </c>
      <c r="Q93" t="s">
        <v>216</v>
      </c>
      <c r="R93" t="s">
        <v>246</v>
      </c>
      <c r="S93" t="s">
        <v>255</v>
      </c>
      <c r="T93" s="70" t="str">
        <f>_xlfn.XLOOKUP(Tabla1[[#This Row],[Universidad]],Conversiones!$B:$B,Conversiones!$C:$C)</f>
        <v>ESC Rouen (NEOMA)</v>
      </c>
      <c r="U93" s="70" t="str">
        <f>_xlfn.XLOOKUP(Tabla1[[#This Row],[Universidad KPIs]],Conversiones!$C:$C,Conversiones!$E:$E)</f>
        <v>Específico</v>
      </c>
      <c r="V93" t="s">
        <v>41</v>
      </c>
      <c r="W93" t="s">
        <v>250</v>
      </c>
      <c r="X93" s="2">
        <v>44417</v>
      </c>
      <c r="Y93" s="2">
        <v>44534</v>
      </c>
      <c r="Z93">
        <v>117</v>
      </c>
    </row>
    <row r="94" spans="1:26">
      <c r="A94" s="68" t="s">
        <v>642</v>
      </c>
      <c r="B94" s="1">
        <v>201821606</v>
      </c>
      <c r="C94" s="1" t="s">
        <v>643</v>
      </c>
      <c r="D94" s="1" t="s">
        <v>644</v>
      </c>
      <c r="E94" s="1" t="s">
        <v>645</v>
      </c>
      <c r="F94" s="1" t="s">
        <v>216</v>
      </c>
      <c r="G94" s="1" t="s">
        <v>246</v>
      </c>
      <c r="H94" s="1"/>
      <c r="I94" s="1"/>
      <c r="J94" s="1" t="s">
        <v>247</v>
      </c>
      <c r="K94" s="1">
        <v>2021</v>
      </c>
      <c r="L94" s="1">
        <v>202120</v>
      </c>
      <c r="M94" s="1">
        <v>202120</v>
      </c>
      <c r="N94" s="1" t="s">
        <v>248</v>
      </c>
      <c r="O94" s="1" t="s">
        <v>213</v>
      </c>
      <c r="P94" s="1" t="s">
        <v>249</v>
      </c>
      <c r="Q94" s="1" t="s">
        <v>216</v>
      </c>
      <c r="R94" s="1" t="s">
        <v>246</v>
      </c>
      <c r="S94" s="1" t="s">
        <v>646</v>
      </c>
      <c r="T94" s="70" t="str">
        <f>_xlfn.XLOOKUP(Tabla1[[#This Row],[Universidad]],Conversiones!$B:$B,Conversiones!$C:$C)</f>
        <v>Aalto University</v>
      </c>
      <c r="U94" s="70" t="str">
        <f>_xlfn.XLOOKUP(Tabla1[[#This Row],[Universidad KPIs]],Conversiones!$C:$C,Conversiones!$E:$E)</f>
        <v>Específico</v>
      </c>
      <c r="V94" s="1" t="s">
        <v>37</v>
      </c>
      <c r="W94" s="1" t="s">
        <v>250</v>
      </c>
      <c r="X94" s="55">
        <v>44417</v>
      </c>
      <c r="Y94" s="55">
        <v>44534</v>
      </c>
      <c r="Z94" s="1">
        <v>117</v>
      </c>
    </row>
    <row r="95" spans="1:26">
      <c r="A95" s="67" t="s">
        <v>647</v>
      </c>
      <c r="B95">
        <v>201813542</v>
      </c>
      <c r="C95" t="s">
        <v>555</v>
      </c>
      <c r="D95" t="s">
        <v>648</v>
      </c>
      <c r="E95" t="s">
        <v>649</v>
      </c>
      <c r="F95" t="s">
        <v>216</v>
      </c>
      <c r="G95" t="s">
        <v>246</v>
      </c>
      <c r="J95" t="s">
        <v>247</v>
      </c>
      <c r="K95">
        <v>2021</v>
      </c>
      <c r="L95">
        <v>202120</v>
      </c>
      <c r="M95">
        <v>202120</v>
      </c>
      <c r="N95" t="s">
        <v>248</v>
      </c>
      <c r="O95" t="s">
        <v>213</v>
      </c>
      <c r="P95" t="s">
        <v>249</v>
      </c>
      <c r="Q95" t="s">
        <v>216</v>
      </c>
      <c r="R95" t="s">
        <v>246</v>
      </c>
      <c r="S95" t="s">
        <v>320</v>
      </c>
      <c r="T95" s="70" t="str">
        <f>_xlfn.XLOOKUP(Tabla1[[#This Row],[Universidad]],Conversiones!$B:$B,Conversiones!$C:$C)</f>
        <v>KLU Kühne Logistics University</v>
      </c>
      <c r="U95" s="70" t="str">
        <f>_xlfn.XLOOKUP(Tabla1[[#This Row],[Universidad KPIs]],Conversiones!$C:$C,Conversiones!$E:$E)</f>
        <v>Específico</v>
      </c>
      <c r="V95" t="s">
        <v>60</v>
      </c>
      <c r="W95" t="s">
        <v>250</v>
      </c>
      <c r="X95" s="2">
        <v>44417</v>
      </c>
      <c r="Y95" s="2">
        <v>44534</v>
      </c>
      <c r="Z95">
        <v>117</v>
      </c>
    </row>
    <row r="96" spans="1:26">
      <c r="A96" s="68" t="s">
        <v>650</v>
      </c>
      <c r="B96" s="1">
        <v>201730144</v>
      </c>
      <c r="C96" s="1" t="s">
        <v>651</v>
      </c>
      <c r="D96" s="1" t="s">
        <v>652</v>
      </c>
      <c r="E96" s="1" t="s">
        <v>653</v>
      </c>
      <c r="F96" s="1" t="s">
        <v>216</v>
      </c>
      <c r="G96" s="1" t="s">
        <v>246</v>
      </c>
      <c r="H96" s="1"/>
      <c r="I96" s="1"/>
      <c r="J96" s="1" t="s">
        <v>247</v>
      </c>
      <c r="K96" s="1">
        <v>2021</v>
      </c>
      <c r="L96" s="1">
        <v>202120</v>
      </c>
      <c r="M96" s="1">
        <v>202120</v>
      </c>
      <c r="N96" s="1" t="s">
        <v>248</v>
      </c>
      <c r="O96" s="1" t="s">
        <v>213</v>
      </c>
      <c r="P96" s="1" t="s">
        <v>249</v>
      </c>
      <c r="Q96" s="1" t="s">
        <v>216</v>
      </c>
      <c r="R96" s="1" t="s">
        <v>246</v>
      </c>
      <c r="S96" s="1" t="s">
        <v>289</v>
      </c>
      <c r="T96" s="70" t="str">
        <f>_xlfn.XLOOKUP(Tabla1[[#This Row],[Universidad]],Conversiones!$B:$B,Conversiones!$C:$C)</f>
        <v>ESADE</v>
      </c>
      <c r="U96" s="70" t="str">
        <f>_xlfn.XLOOKUP(Tabla1[[#This Row],[Universidad KPIs]],Conversiones!$C:$C,Conversiones!$E:$E)</f>
        <v>Específico</v>
      </c>
      <c r="V96" s="1" t="s">
        <v>53</v>
      </c>
      <c r="W96" s="1" t="s">
        <v>250</v>
      </c>
      <c r="X96" s="55">
        <v>44417</v>
      </c>
      <c r="Y96" s="55">
        <v>44534</v>
      </c>
      <c r="Z96" s="1">
        <v>117</v>
      </c>
    </row>
    <row r="97" spans="1:26">
      <c r="A97" s="67" t="s">
        <v>654</v>
      </c>
      <c r="B97">
        <v>201632593</v>
      </c>
      <c r="C97" t="s">
        <v>655</v>
      </c>
      <c r="D97" t="s">
        <v>656</v>
      </c>
      <c r="E97" t="s">
        <v>657</v>
      </c>
      <c r="F97" t="s">
        <v>216</v>
      </c>
      <c r="G97" t="s">
        <v>246</v>
      </c>
      <c r="J97" t="s">
        <v>247</v>
      </c>
      <c r="K97">
        <v>2021</v>
      </c>
      <c r="L97">
        <v>202120</v>
      </c>
      <c r="M97">
        <v>202120</v>
      </c>
      <c r="N97" t="s">
        <v>248</v>
      </c>
      <c r="O97" t="s">
        <v>213</v>
      </c>
      <c r="P97" t="s">
        <v>249</v>
      </c>
      <c r="Q97" t="s">
        <v>216</v>
      </c>
      <c r="R97" t="s">
        <v>246</v>
      </c>
      <c r="S97" t="s">
        <v>493</v>
      </c>
      <c r="T97" s="70" t="str">
        <f>_xlfn.XLOOKUP(Tabla1[[#This Row],[Universidad]],Conversiones!$B:$B,Conversiones!$C:$C)</f>
        <v>University of Saint Gallen</v>
      </c>
      <c r="U97" s="70" t="str">
        <f>_xlfn.XLOOKUP(Tabla1[[#This Row],[Universidad KPIs]],Conversiones!$C:$C,Conversiones!$E:$E)</f>
        <v>Específico</v>
      </c>
      <c r="V97" t="s">
        <v>65</v>
      </c>
      <c r="W97" t="s">
        <v>250</v>
      </c>
      <c r="X97" s="2">
        <v>44417</v>
      </c>
      <c r="Y97" s="2">
        <v>44534</v>
      </c>
      <c r="Z97">
        <v>117</v>
      </c>
    </row>
    <row r="98" spans="1:26">
      <c r="A98" s="68" t="s">
        <v>658</v>
      </c>
      <c r="B98" s="1">
        <v>201533177</v>
      </c>
      <c r="C98" s="1" t="s">
        <v>659</v>
      </c>
      <c r="D98" s="1" t="s">
        <v>660</v>
      </c>
      <c r="E98" s="1" t="s">
        <v>661</v>
      </c>
      <c r="F98" s="1" t="s">
        <v>216</v>
      </c>
      <c r="G98" s="1" t="s">
        <v>246</v>
      </c>
      <c r="H98" s="1"/>
      <c r="I98" s="1"/>
      <c r="J98" s="1" t="s">
        <v>247</v>
      </c>
      <c r="K98" s="1">
        <v>2021</v>
      </c>
      <c r="L98" s="1">
        <v>202120</v>
      </c>
      <c r="M98" s="1">
        <v>202120</v>
      </c>
      <c r="N98" s="1" t="s">
        <v>248</v>
      </c>
      <c r="O98" s="1" t="s">
        <v>213</v>
      </c>
      <c r="P98" s="1" t="s">
        <v>249</v>
      </c>
      <c r="Q98" s="1" t="s">
        <v>216</v>
      </c>
      <c r="R98" s="1" t="s">
        <v>246</v>
      </c>
      <c r="S98" s="1" t="s">
        <v>38</v>
      </c>
      <c r="T98" s="70" t="str">
        <f>_xlfn.XLOOKUP(Tabla1[[#This Row],[Universidad]],Conversiones!$B:$B,Conversiones!$C:$C)</f>
        <v>Aston University</v>
      </c>
      <c r="U98" s="70" t="str">
        <f>_xlfn.XLOOKUP(Tabla1[[#This Row],[Universidad KPIs]],Conversiones!$C:$C,Conversiones!$E:$E)</f>
        <v>Específico</v>
      </c>
      <c r="V98" s="1" t="s">
        <v>39</v>
      </c>
      <c r="W98" s="1" t="s">
        <v>250</v>
      </c>
      <c r="X98" s="55">
        <v>44417</v>
      </c>
      <c r="Y98" s="55">
        <v>44534</v>
      </c>
      <c r="Z98" s="1">
        <v>117</v>
      </c>
    </row>
    <row r="99" spans="1:26">
      <c r="A99" s="67" t="s">
        <v>662</v>
      </c>
      <c r="B99">
        <v>201630389</v>
      </c>
      <c r="C99" t="s">
        <v>663</v>
      </c>
      <c r="D99" t="s">
        <v>664</v>
      </c>
      <c r="E99" t="s">
        <v>665</v>
      </c>
      <c r="F99" t="s">
        <v>216</v>
      </c>
      <c r="G99" t="s">
        <v>246</v>
      </c>
      <c r="H99" t="s">
        <v>512</v>
      </c>
      <c r="I99" t="s">
        <v>513</v>
      </c>
      <c r="J99" t="s">
        <v>247</v>
      </c>
      <c r="K99">
        <v>2021</v>
      </c>
      <c r="L99">
        <v>202120</v>
      </c>
      <c r="M99">
        <v>202120</v>
      </c>
      <c r="N99" t="s">
        <v>248</v>
      </c>
      <c r="O99" t="s">
        <v>213</v>
      </c>
      <c r="P99" t="s">
        <v>249</v>
      </c>
      <c r="Q99" t="s">
        <v>216</v>
      </c>
      <c r="R99" t="s">
        <v>246</v>
      </c>
      <c r="S99" t="s">
        <v>38</v>
      </c>
      <c r="T99" s="70" t="str">
        <f>_xlfn.XLOOKUP(Tabla1[[#This Row],[Universidad]],Conversiones!$B:$B,Conversiones!$C:$C)</f>
        <v>Aston University</v>
      </c>
      <c r="U99" s="70" t="str">
        <f>_xlfn.XLOOKUP(Tabla1[[#This Row],[Universidad KPIs]],Conversiones!$C:$C,Conversiones!$E:$E)</f>
        <v>Específico</v>
      </c>
      <c r="V99" t="s">
        <v>39</v>
      </c>
      <c r="W99" t="s">
        <v>250</v>
      </c>
      <c r="X99" s="2">
        <v>44417</v>
      </c>
      <c r="Y99" s="2">
        <v>44534</v>
      </c>
      <c r="Z99">
        <v>117</v>
      </c>
    </row>
    <row r="100" spans="1:26">
      <c r="A100" s="68" t="s">
        <v>666</v>
      </c>
      <c r="B100" s="1">
        <v>201729853</v>
      </c>
      <c r="C100" s="1" t="s">
        <v>667</v>
      </c>
      <c r="D100" s="1" t="s">
        <v>668</v>
      </c>
      <c r="E100" s="1" t="s">
        <v>669</v>
      </c>
      <c r="F100" s="1" t="s">
        <v>216</v>
      </c>
      <c r="G100" s="1" t="s">
        <v>246</v>
      </c>
      <c r="H100" s="1" t="s">
        <v>216</v>
      </c>
      <c r="I100" s="1" t="s">
        <v>246</v>
      </c>
      <c r="J100" s="1" t="s">
        <v>247</v>
      </c>
      <c r="K100" s="1">
        <v>2021</v>
      </c>
      <c r="L100" s="1">
        <v>202120</v>
      </c>
      <c r="M100" s="1">
        <v>202020</v>
      </c>
      <c r="N100" s="1" t="s">
        <v>248</v>
      </c>
      <c r="O100" s="1" t="s">
        <v>213</v>
      </c>
      <c r="P100" s="1" t="s">
        <v>249</v>
      </c>
      <c r="Q100" s="1" t="s">
        <v>216</v>
      </c>
      <c r="R100" s="1" t="s">
        <v>246</v>
      </c>
      <c r="S100" s="1" t="s">
        <v>424</v>
      </c>
      <c r="T100" s="70" t="str">
        <f>_xlfn.XLOOKUP(Tabla1[[#This Row],[Universidad]],Conversiones!$B:$B,Conversiones!$C:$C)</f>
        <v>Nova School of Business and Economics</v>
      </c>
      <c r="U100" s="70" t="str">
        <f>_xlfn.XLOOKUP(Tabla1[[#This Row],[Universidad KPIs]],Conversiones!$C:$C,Conversiones!$E:$E)</f>
        <v>Específico</v>
      </c>
      <c r="V100" s="1" t="s">
        <v>45</v>
      </c>
      <c r="W100" s="1" t="s">
        <v>250</v>
      </c>
      <c r="X100" s="55">
        <v>44417</v>
      </c>
      <c r="Y100" s="55">
        <v>44534</v>
      </c>
      <c r="Z100" s="1">
        <v>117</v>
      </c>
    </row>
    <row r="101" spans="1:26">
      <c r="A101" s="67" t="s">
        <v>670</v>
      </c>
      <c r="B101">
        <v>201821511</v>
      </c>
      <c r="C101" t="s">
        <v>403</v>
      </c>
      <c r="D101" t="s">
        <v>671</v>
      </c>
      <c r="E101" t="s">
        <v>672</v>
      </c>
      <c r="F101" t="s">
        <v>216</v>
      </c>
      <c r="G101" t="s">
        <v>246</v>
      </c>
      <c r="J101" t="s">
        <v>247</v>
      </c>
      <c r="K101">
        <v>2021</v>
      </c>
      <c r="L101">
        <v>202120</v>
      </c>
      <c r="M101">
        <v>202120</v>
      </c>
      <c r="N101" t="s">
        <v>248</v>
      </c>
      <c r="O101" t="s">
        <v>213</v>
      </c>
      <c r="P101" t="s">
        <v>249</v>
      </c>
      <c r="Q101" t="s">
        <v>216</v>
      </c>
      <c r="R101" t="s">
        <v>246</v>
      </c>
      <c r="S101" t="s">
        <v>274</v>
      </c>
      <c r="T101" s="70" t="str">
        <f>_xlfn.XLOOKUP(Tabla1[[#This Row],[Universidad]],Conversiones!$B:$B,Conversiones!$C:$C)</f>
        <v>Catolica Lisbon Business &amp; Economics. Universidade Católica Portuguesa</v>
      </c>
      <c r="U101" s="70" t="str">
        <f>_xlfn.XLOOKUP(Tabla1[[#This Row],[Universidad KPIs]],Conversiones!$C:$C,Conversiones!$E:$E)</f>
        <v>Específico</v>
      </c>
      <c r="V101" t="s">
        <v>45</v>
      </c>
      <c r="W101" t="s">
        <v>250</v>
      </c>
      <c r="X101" s="2">
        <v>44417</v>
      </c>
      <c r="Y101" s="2">
        <v>44534</v>
      </c>
      <c r="Z101">
        <v>117</v>
      </c>
    </row>
    <row r="102" spans="1:26">
      <c r="A102" s="68" t="s">
        <v>673</v>
      </c>
      <c r="B102" s="1">
        <v>201512297</v>
      </c>
      <c r="C102" s="1" t="s">
        <v>674</v>
      </c>
      <c r="D102" s="1" t="s">
        <v>675</v>
      </c>
      <c r="E102" s="1" t="s">
        <v>676</v>
      </c>
      <c r="F102" s="1" t="s">
        <v>216</v>
      </c>
      <c r="G102" s="1" t="s">
        <v>246</v>
      </c>
      <c r="H102" s="1"/>
      <c r="I102" s="1"/>
      <c r="J102" s="1" t="s">
        <v>247</v>
      </c>
      <c r="K102" s="1">
        <v>2021</v>
      </c>
      <c r="L102" s="1">
        <v>202120</v>
      </c>
      <c r="M102" s="1">
        <v>202120</v>
      </c>
      <c r="N102" s="1" t="s">
        <v>248</v>
      </c>
      <c r="O102" s="1" t="s">
        <v>214</v>
      </c>
      <c r="P102" s="1" t="s">
        <v>446</v>
      </c>
      <c r="Q102" s="1" t="s">
        <v>216</v>
      </c>
      <c r="R102" s="1" t="s">
        <v>246</v>
      </c>
      <c r="S102" s="1" t="s">
        <v>91</v>
      </c>
      <c r="T102" s="70" t="str">
        <f>_xlfn.XLOOKUP(Tabla1[[#This Row],[Universidad]],Conversiones!$B:$B,Conversiones!$C:$C)</f>
        <v>Toulouse Business School</v>
      </c>
      <c r="U102" s="70" t="str">
        <f>_xlfn.XLOOKUP(Tabla1[[#This Row],[Universidad KPIs]],Conversiones!$C:$C,Conversiones!$E:$E)</f>
        <v>Específico</v>
      </c>
      <c r="V102" s="1" t="s">
        <v>41</v>
      </c>
      <c r="W102" s="1" t="s">
        <v>250</v>
      </c>
      <c r="X102" s="55">
        <v>44417</v>
      </c>
      <c r="Y102" s="55">
        <v>44534</v>
      </c>
      <c r="Z102" s="1">
        <v>117</v>
      </c>
    </row>
    <row r="103" spans="1:26">
      <c r="A103" s="67" t="s">
        <v>677</v>
      </c>
      <c r="B103">
        <v>201812100</v>
      </c>
      <c r="C103" t="s">
        <v>678</v>
      </c>
      <c r="D103" t="s">
        <v>679</v>
      </c>
      <c r="E103" t="s">
        <v>680</v>
      </c>
      <c r="F103" t="s">
        <v>216</v>
      </c>
      <c r="G103" t="s">
        <v>246</v>
      </c>
      <c r="J103" t="s">
        <v>247</v>
      </c>
      <c r="K103">
        <v>2021</v>
      </c>
      <c r="L103">
        <v>202120</v>
      </c>
      <c r="M103">
        <v>202020</v>
      </c>
      <c r="N103" t="s">
        <v>248</v>
      </c>
      <c r="O103" t="s">
        <v>213</v>
      </c>
      <c r="P103" t="s">
        <v>249</v>
      </c>
      <c r="Q103" t="s">
        <v>216</v>
      </c>
      <c r="R103" t="s">
        <v>246</v>
      </c>
      <c r="S103" t="s">
        <v>78</v>
      </c>
      <c r="T103" s="70" t="str">
        <f>_xlfn.XLOOKUP(Tabla1[[#This Row],[Universidad]],Conversiones!$B:$B,Conversiones!$C:$C)</f>
        <v>Maastricht University</v>
      </c>
      <c r="U103" s="70" t="str">
        <f>_xlfn.XLOOKUP(Tabla1[[#This Row],[Universidad KPIs]],Conversiones!$C:$C,Conversiones!$E:$E)</f>
        <v>Específico</v>
      </c>
      <c r="V103" t="s">
        <v>79</v>
      </c>
      <c r="W103" t="s">
        <v>250</v>
      </c>
      <c r="X103" s="2">
        <v>44417</v>
      </c>
      <c r="Y103" s="2">
        <v>44534</v>
      </c>
      <c r="Z103">
        <v>117</v>
      </c>
    </row>
    <row r="104" spans="1:26">
      <c r="A104" s="68" t="s">
        <v>681</v>
      </c>
      <c r="B104" s="1">
        <v>201821349</v>
      </c>
      <c r="C104" s="1" t="s">
        <v>682</v>
      </c>
      <c r="D104" s="1" t="s">
        <v>683</v>
      </c>
      <c r="E104" s="1" t="s">
        <v>684</v>
      </c>
      <c r="F104" s="1" t="s">
        <v>216</v>
      </c>
      <c r="G104" s="1" t="s">
        <v>246</v>
      </c>
      <c r="H104" s="1"/>
      <c r="I104" s="1"/>
      <c r="J104" s="1" t="s">
        <v>247</v>
      </c>
      <c r="K104" s="1">
        <v>2021</v>
      </c>
      <c r="L104" s="1">
        <v>202120</v>
      </c>
      <c r="M104" s="1">
        <v>202120</v>
      </c>
      <c r="N104" s="1" t="s">
        <v>248</v>
      </c>
      <c r="O104" s="1" t="s">
        <v>213</v>
      </c>
      <c r="P104" s="1" t="s">
        <v>249</v>
      </c>
      <c r="Q104" s="1" t="s">
        <v>216</v>
      </c>
      <c r="R104" s="1" t="s">
        <v>246</v>
      </c>
      <c r="S104" s="1" t="s">
        <v>410</v>
      </c>
      <c r="T104" s="70" t="str">
        <f>_xlfn.XLOOKUP(Tabla1[[#This Row],[Universidad]],Conversiones!$B:$B,Conversiones!$C:$C)</f>
        <v xml:space="preserve">CBS- Copenhagen Business School  </v>
      </c>
      <c r="U104" s="70" t="str">
        <f>_xlfn.XLOOKUP(Tabla1[[#This Row],[Universidad KPIs]],Conversiones!$C:$C,Conversiones!$E:$E)</f>
        <v>Específico</v>
      </c>
      <c r="V104" s="1" t="s">
        <v>47</v>
      </c>
      <c r="W104" s="1" t="s">
        <v>250</v>
      </c>
      <c r="X104" s="55">
        <v>44417</v>
      </c>
      <c r="Y104" s="55">
        <v>44534</v>
      </c>
      <c r="Z104" s="1">
        <v>117</v>
      </c>
    </row>
    <row r="105" spans="1:26">
      <c r="A105" s="67" t="s">
        <v>685</v>
      </c>
      <c r="B105">
        <v>201821385</v>
      </c>
      <c r="C105" t="s">
        <v>503</v>
      </c>
      <c r="D105" t="s">
        <v>686</v>
      </c>
      <c r="E105" t="s">
        <v>687</v>
      </c>
      <c r="F105" t="s">
        <v>216</v>
      </c>
      <c r="G105" t="s">
        <v>246</v>
      </c>
      <c r="J105" t="s">
        <v>247</v>
      </c>
      <c r="K105">
        <v>2021</v>
      </c>
      <c r="L105">
        <v>202120</v>
      </c>
      <c r="M105">
        <v>202120</v>
      </c>
      <c r="N105" t="s">
        <v>248</v>
      </c>
      <c r="O105" t="s">
        <v>213</v>
      </c>
      <c r="P105" t="s">
        <v>249</v>
      </c>
      <c r="Q105" t="s">
        <v>216</v>
      </c>
      <c r="R105" t="s">
        <v>246</v>
      </c>
      <c r="S105" t="s">
        <v>528</v>
      </c>
      <c r="T105" s="70" t="str">
        <f>_xlfn.XLOOKUP(Tabla1[[#This Row],[Universidad]],Conversiones!$B:$B,Conversiones!$C:$C)</f>
        <v>ICN Business School - Institut Commercial de Nancy</v>
      </c>
      <c r="U105" s="70" t="str">
        <f>_xlfn.XLOOKUP(Tabla1[[#This Row],[Universidad KPIs]],Conversiones!$C:$C,Conversiones!$E:$E)</f>
        <v>Específico</v>
      </c>
      <c r="V105" t="s">
        <v>41</v>
      </c>
      <c r="W105" t="s">
        <v>250</v>
      </c>
      <c r="X105" s="2">
        <v>44417</v>
      </c>
      <c r="Y105" s="2">
        <v>44534</v>
      </c>
      <c r="Z105">
        <v>117</v>
      </c>
    </row>
    <row r="106" spans="1:26">
      <c r="A106" s="68" t="s">
        <v>688</v>
      </c>
      <c r="B106" s="1">
        <v>201821774</v>
      </c>
      <c r="C106" s="1" t="s">
        <v>689</v>
      </c>
      <c r="D106" s="1" t="s">
        <v>690</v>
      </c>
      <c r="E106" s="1" t="s">
        <v>691</v>
      </c>
      <c r="F106" s="1" t="s">
        <v>216</v>
      </c>
      <c r="G106" s="1" t="s">
        <v>246</v>
      </c>
      <c r="H106" s="1"/>
      <c r="I106" s="1"/>
      <c r="J106" s="1" t="s">
        <v>247</v>
      </c>
      <c r="K106" s="1">
        <v>2021</v>
      </c>
      <c r="L106" s="1">
        <v>202120</v>
      </c>
      <c r="M106" s="1">
        <v>202120</v>
      </c>
      <c r="N106" s="1" t="s">
        <v>248</v>
      </c>
      <c r="O106" s="1" t="s">
        <v>213</v>
      </c>
      <c r="P106" s="1" t="s">
        <v>249</v>
      </c>
      <c r="Q106" s="1" t="s">
        <v>216</v>
      </c>
      <c r="R106" s="1" t="s">
        <v>246</v>
      </c>
      <c r="S106" s="1" t="s">
        <v>157</v>
      </c>
      <c r="T106" s="70" t="str">
        <f>_xlfn.XLOOKUP(Tabla1[[#This Row],[Universidad]],Conversiones!$B:$B,Conversiones!$C:$C)</f>
        <v>UniversitÃ  Ca' Foscari Venezia</v>
      </c>
      <c r="U106" s="70" t="str">
        <f>_xlfn.XLOOKUP(Tabla1[[#This Row],[Universidad KPIs]],Conversiones!$C:$C,Conversiones!$E:$E)</f>
        <v>General</v>
      </c>
      <c r="V106" s="1" t="s">
        <v>87</v>
      </c>
      <c r="W106" s="1" t="s">
        <v>250</v>
      </c>
      <c r="X106" s="55">
        <v>44417</v>
      </c>
      <c r="Y106" s="55">
        <v>44534</v>
      </c>
      <c r="Z106" s="1">
        <v>117</v>
      </c>
    </row>
    <row r="107" spans="1:26">
      <c r="A107" s="67" t="s">
        <v>692</v>
      </c>
      <c r="B107">
        <v>201730080</v>
      </c>
      <c r="C107" t="s">
        <v>295</v>
      </c>
      <c r="D107" t="s">
        <v>693</v>
      </c>
      <c r="E107" t="s">
        <v>694</v>
      </c>
      <c r="F107" t="s">
        <v>216</v>
      </c>
      <c r="G107" t="s">
        <v>246</v>
      </c>
      <c r="H107" t="s">
        <v>512</v>
      </c>
      <c r="I107" t="s">
        <v>513</v>
      </c>
      <c r="J107" t="s">
        <v>247</v>
      </c>
      <c r="K107">
        <v>2021</v>
      </c>
      <c r="L107">
        <v>202120</v>
      </c>
      <c r="M107">
        <v>202020</v>
      </c>
      <c r="N107" t="s">
        <v>248</v>
      </c>
      <c r="O107" t="s">
        <v>213</v>
      </c>
      <c r="P107" t="s">
        <v>249</v>
      </c>
      <c r="Q107" t="s">
        <v>216</v>
      </c>
      <c r="R107" t="s">
        <v>246</v>
      </c>
      <c r="S107" t="s">
        <v>424</v>
      </c>
      <c r="T107" s="70" t="str">
        <f>_xlfn.XLOOKUP(Tabla1[[#This Row],[Universidad]],Conversiones!$B:$B,Conversiones!$C:$C)</f>
        <v>Nova School of Business and Economics</v>
      </c>
      <c r="U107" s="70" t="str">
        <f>_xlfn.XLOOKUP(Tabla1[[#This Row],[Universidad KPIs]],Conversiones!$C:$C,Conversiones!$E:$E)</f>
        <v>Específico</v>
      </c>
      <c r="V107" t="s">
        <v>45</v>
      </c>
      <c r="W107" t="s">
        <v>250</v>
      </c>
      <c r="X107" s="2">
        <v>44417</v>
      </c>
      <c r="Y107" s="2">
        <v>44534</v>
      </c>
      <c r="Z107">
        <v>117</v>
      </c>
    </row>
    <row r="108" spans="1:26">
      <c r="A108" s="68" t="s">
        <v>695</v>
      </c>
      <c r="B108" s="1">
        <v>201730725</v>
      </c>
      <c r="C108" s="1" t="s">
        <v>376</v>
      </c>
      <c r="D108" s="1" t="s">
        <v>696</v>
      </c>
      <c r="E108" s="1" t="s">
        <v>697</v>
      </c>
      <c r="F108" s="1" t="s">
        <v>216</v>
      </c>
      <c r="G108" s="1" t="s">
        <v>246</v>
      </c>
      <c r="H108" s="1"/>
      <c r="I108" s="1"/>
      <c r="J108" s="1" t="s">
        <v>247</v>
      </c>
      <c r="K108" s="1">
        <v>2021</v>
      </c>
      <c r="L108" s="1">
        <v>202120</v>
      </c>
      <c r="M108" s="1">
        <v>202120</v>
      </c>
      <c r="N108" s="1" t="s">
        <v>248</v>
      </c>
      <c r="O108" s="1" t="s">
        <v>213</v>
      </c>
      <c r="P108" s="1" t="s">
        <v>249</v>
      </c>
      <c r="Q108" s="1" t="s">
        <v>216</v>
      </c>
      <c r="R108" s="1" t="s">
        <v>246</v>
      </c>
      <c r="S108" s="1" t="s">
        <v>341</v>
      </c>
      <c r="T108" s="70" t="str">
        <f>_xlfn.XLOOKUP(Tabla1[[#This Row],[Universidad]],Conversiones!$B:$B,Conversiones!$C:$C)</f>
        <v>A.B. Freeman School of Business, Tulane University</v>
      </c>
      <c r="U108" s="70" t="str">
        <f>_xlfn.XLOOKUP(Tabla1[[#This Row],[Universidad KPIs]],Conversiones!$C:$C,Conversiones!$E:$E)</f>
        <v>Específico</v>
      </c>
      <c r="V108" s="1" t="s">
        <v>35</v>
      </c>
      <c r="W108" s="1" t="s">
        <v>260</v>
      </c>
      <c r="X108" s="55">
        <v>44417</v>
      </c>
      <c r="Y108" s="55">
        <v>44534</v>
      </c>
      <c r="Z108" s="1">
        <v>117</v>
      </c>
    </row>
    <row r="109" spans="1:26">
      <c r="A109" s="67" t="s">
        <v>698</v>
      </c>
      <c r="B109">
        <v>201822623</v>
      </c>
      <c r="C109" t="s">
        <v>699</v>
      </c>
      <c r="D109" t="s">
        <v>700</v>
      </c>
      <c r="E109" t="s">
        <v>701</v>
      </c>
      <c r="F109" t="s">
        <v>216</v>
      </c>
      <c r="G109" t="s">
        <v>246</v>
      </c>
      <c r="J109" t="s">
        <v>247</v>
      </c>
      <c r="K109">
        <v>2021</v>
      </c>
      <c r="L109">
        <v>202120</v>
      </c>
      <c r="M109">
        <v>202120</v>
      </c>
      <c r="N109" t="s">
        <v>248</v>
      </c>
      <c r="O109" t="s">
        <v>213</v>
      </c>
      <c r="P109" t="s">
        <v>249</v>
      </c>
      <c r="Q109" t="s">
        <v>216</v>
      </c>
      <c r="R109" t="s">
        <v>246</v>
      </c>
      <c r="S109" t="s">
        <v>255</v>
      </c>
      <c r="T109" s="70" t="str">
        <f>_xlfn.XLOOKUP(Tabla1[[#This Row],[Universidad]],Conversiones!$B:$B,Conversiones!$C:$C)</f>
        <v>ESC Rouen (NEOMA)</v>
      </c>
      <c r="U109" s="70" t="str">
        <f>_xlfn.XLOOKUP(Tabla1[[#This Row],[Universidad KPIs]],Conversiones!$C:$C,Conversiones!$E:$E)</f>
        <v>Específico</v>
      </c>
      <c r="V109" t="s">
        <v>41</v>
      </c>
      <c r="W109" t="s">
        <v>250</v>
      </c>
      <c r="X109" s="2">
        <v>44417</v>
      </c>
      <c r="Y109" s="2">
        <v>44534</v>
      </c>
      <c r="Z109">
        <v>117</v>
      </c>
    </row>
    <row r="110" spans="1:26">
      <c r="A110" s="68" t="s">
        <v>702</v>
      </c>
      <c r="B110" s="1">
        <v>201730722</v>
      </c>
      <c r="C110" s="1" t="s">
        <v>703</v>
      </c>
      <c r="D110" s="1" t="s">
        <v>704</v>
      </c>
      <c r="E110" s="1" t="s">
        <v>705</v>
      </c>
      <c r="F110" s="1" t="s">
        <v>216</v>
      </c>
      <c r="G110" s="1" t="s">
        <v>246</v>
      </c>
      <c r="H110" s="1"/>
      <c r="I110" s="1"/>
      <c r="J110" s="1" t="s">
        <v>247</v>
      </c>
      <c r="K110" s="1">
        <v>2021</v>
      </c>
      <c r="L110" s="1">
        <v>202120</v>
      </c>
      <c r="M110" s="1">
        <v>202020</v>
      </c>
      <c r="N110" s="1" t="s">
        <v>248</v>
      </c>
      <c r="O110" s="1" t="s">
        <v>213</v>
      </c>
      <c r="P110" s="1" t="s">
        <v>249</v>
      </c>
      <c r="Q110" s="1" t="s">
        <v>216</v>
      </c>
      <c r="R110" s="1" t="s">
        <v>246</v>
      </c>
      <c r="S110" s="1" t="s">
        <v>298</v>
      </c>
      <c r="T110" s="70" t="str">
        <f>_xlfn.XLOOKUP(Tabla1[[#This Row],[Universidad]],Conversiones!$B:$B,Conversiones!$C:$C)</f>
        <v>ESSEC</v>
      </c>
      <c r="U110" s="70" t="str">
        <f>_xlfn.XLOOKUP(Tabla1[[#This Row],[Universidad KPIs]],Conversiones!$C:$C,Conversiones!$E:$E)</f>
        <v>Específico</v>
      </c>
      <c r="V110" s="1" t="s">
        <v>41</v>
      </c>
      <c r="W110" s="1" t="s">
        <v>250</v>
      </c>
      <c r="X110" s="55">
        <v>44417</v>
      </c>
      <c r="Y110" s="55">
        <v>44534</v>
      </c>
      <c r="Z110" s="1">
        <v>117</v>
      </c>
    </row>
    <row r="111" spans="1:26">
      <c r="A111" s="67" t="s">
        <v>706</v>
      </c>
      <c r="B111">
        <v>201730800</v>
      </c>
      <c r="C111" t="s">
        <v>364</v>
      </c>
      <c r="D111" t="s">
        <v>707</v>
      </c>
      <c r="E111" t="s">
        <v>708</v>
      </c>
      <c r="F111" t="s">
        <v>216</v>
      </c>
      <c r="G111" t="s">
        <v>246</v>
      </c>
      <c r="J111" t="s">
        <v>247</v>
      </c>
      <c r="K111">
        <v>2021</v>
      </c>
      <c r="L111">
        <v>202120</v>
      </c>
      <c r="M111">
        <v>202120</v>
      </c>
      <c r="N111" t="s">
        <v>248</v>
      </c>
      <c r="O111" t="s">
        <v>213</v>
      </c>
      <c r="P111" t="s">
        <v>249</v>
      </c>
      <c r="Q111" t="s">
        <v>216</v>
      </c>
      <c r="R111" t="s">
        <v>246</v>
      </c>
      <c r="S111" t="s">
        <v>341</v>
      </c>
      <c r="T111" s="70" t="str">
        <f>_xlfn.XLOOKUP(Tabla1[[#This Row],[Universidad]],Conversiones!$B:$B,Conversiones!$C:$C)</f>
        <v>A.B. Freeman School of Business, Tulane University</v>
      </c>
      <c r="U111" s="70" t="str">
        <f>_xlfn.XLOOKUP(Tabla1[[#This Row],[Universidad KPIs]],Conversiones!$C:$C,Conversiones!$E:$E)</f>
        <v>Específico</v>
      </c>
      <c r="V111" t="s">
        <v>35</v>
      </c>
      <c r="W111" t="s">
        <v>260</v>
      </c>
      <c r="X111" s="2">
        <v>44417</v>
      </c>
      <c r="Y111" s="2">
        <v>44534</v>
      </c>
      <c r="Z111">
        <v>117</v>
      </c>
    </row>
    <row r="112" spans="1:26">
      <c r="A112" s="68" t="s">
        <v>709</v>
      </c>
      <c r="B112" s="1">
        <v>201823004</v>
      </c>
      <c r="C112" s="1" t="s">
        <v>364</v>
      </c>
      <c r="D112" s="1" t="s">
        <v>710</v>
      </c>
      <c r="E112" s="1" t="s">
        <v>711</v>
      </c>
      <c r="F112" s="1" t="s">
        <v>216</v>
      </c>
      <c r="G112" s="1" t="s">
        <v>246</v>
      </c>
      <c r="H112" s="1"/>
      <c r="I112" s="1"/>
      <c r="J112" s="1" t="s">
        <v>247</v>
      </c>
      <c r="K112" s="1">
        <v>2021</v>
      </c>
      <c r="L112" s="1">
        <v>202120</v>
      </c>
      <c r="M112" s="1">
        <v>202120</v>
      </c>
      <c r="N112" s="1" t="s">
        <v>248</v>
      </c>
      <c r="O112" s="1" t="s">
        <v>213</v>
      </c>
      <c r="P112" s="1" t="s">
        <v>249</v>
      </c>
      <c r="Q112" s="1" t="s">
        <v>216</v>
      </c>
      <c r="R112" s="1" t="s">
        <v>246</v>
      </c>
      <c r="S112" s="1" t="s">
        <v>78</v>
      </c>
      <c r="T112" s="70" t="str">
        <f>_xlfn.XLOOKUP(Tabla1[[#This Row],[Universidad]],Conversiones!$B:$B,Conversiones!$C:$C)</f>
        <v>Maastricht University</v>
      </c>
      <c r="U112" s="70" t="str">
        <f>_xlfn.XLOOKUP(Tabla1[[#This Row],[Universidad KPIs]],Conversiones!$C:$C,Conversiones!$E:$E)</f>
        <v>Específico</v>
      </c>
      <c r="V112" s="1" t="s">
        <v>79</v>
      </c>
      <c r="W112" s="1" t="s">
        <v>250</v>
      </c>
      <c r="X112" s="55">
        <v>44417</v>
      </c>
      <c r="Y112" s="55">
        <v>44534</v>
      </c>
      <c r="Z112" s="1">
        <v>117</v>
      </c>
    </row>
    <row r="113" spans="1:26">
      <c r="A113" s="67" t="s">
        <v>712</v>
      </c>
      <c r="B113">
        <v>201023321</v>
      </c>
      <c r="C113" t="s">
        <v>713</v>
      </c>
      <c r="D113" t="s">
        <v>714</v>
      </c>
      <c r="E113" t="s">
        <v>715</v>
      </c>
      <c r="F113" t="s">
        <v>219</v>
      </c>
      <c r="G113" t="s">
        <v>246</v>
      </c>
      <c r="J113" t="s">
        <v>247</v>
      </c>
      <c r="K113">
        <v>2021</v>
      </c>
      <c r="L113">
        <v>202120</v>
      </c>
      <c r="M113">
        <v>202120</v>
      </c>
      <c r="N113" t="s">
        <v>587</v>
      </c>
      <c r="O113" t="s">
        <v>213</v>
      </c>
      <c r="P113" t="s">
        <v>588</v>
      </c>
      <c r="Q113" t="s">
        <v>219</v>
      </c>
      <c r="R113" t="s">
        <v>246</v>
      </c>
      <c r="S113" t="s">
        <v>589</v>
      </c>
      <c r="T113" s="70" t="str">
        <f>_xlfn.XLOOKUP(Tabla1[[#This Row],[Universidad]],Conversiones!$B:$B,Conversiones!$C:$C)</f>
        <v>JIBS Jönköping International Business School</v>
      </c>
      <c r="U113" s="70" t="str">
        <f>_xlfn.XLOOKUP(Tabla1[[#This Row],[Universidad KPIs]],Conversiones!$C:$C,Conversiones!$E:$E)</f>
        <v>Específico</v>
      </c>
      <c r="V113" t="s">
        <v>74</v>
      </c>
      <c r="W113" t="s">
        <v>250</v>
      </c>
      <c r="X113" s="2">
        <v>44417</v>
      </c>
      <c r="Y113" s="2">
        <v>44534</v>
      </c>
      <c r="Z113">
        <v>117</v>
      </c>
    </row>
    <row r="114" spans="1:26">
      <c r="A114" s="68" t="s">
        <v>716</v>
      </c>
      <c r="B114" s="1">
        <v>201730584</v>
      </c>
      <c r="C114" s="1" t="s">
        <v>403</v>
      </c>
      <c r="D114" s="1" t="s">
        <v>717</v>
      </c>
      <c r="E114" s="1" t="s">
        <v>718</v>
      </c>
      <c r="F114" s="1" t="s">
        <v>216</v>
      </c>
      <c r="G114" s="1" t="s">
        <v>246</v>
      </c>
      <c r="H114" s="1" t="s">
        <v>460</v>
      </c>
      <c r="I114" s="1" t="s">
        <v>461</v>
      </c>
      <c r="J114" s="1" t="s">
        <v>247</v>
      </c>
      <c r="K114" s="1">
        <v>2021</v>
      </c>
      <c r="L114" s="1">
        <v>202120</v>
      </c>
      <c r="M114" s="1">
        <v>202120</v>
      </c>
      <c r="N114" s="1" t="s">
        <v>248</v>
      </c>
      <c r="O114" s="1" t="s">
        <v>214</v>
      </c>
      <c r="P114" s="1" t="s">
        <v>446</v>
      </c>
      <c r="Q114" s="1" t="s">
        <v>216</v>
      </c>
      <c r="R114" s="1" t="s">
        <v>246</v>
      </c>
      <c r="S114" s="1" t="s">
        <v>91</v>
      </c>
      <c r="T114" s="70" t="str">
        <f>_xlfn.XLOOKUP(Tabla1[[#This Row],[Universidad]],Conversiones!$B:$B,Conversiones!$C:$C)</f>
        <v>Toulouse Business School</v>
      </c>
      <c r="U114" s="70" t="str">
        <f>_xlfn.XLOOKUP(Tabla1[[#This Row],[Universidad KPIs]],Conversiones!$C:$C,Conversiones!$E:$E)</f>
        <v>Específico</v>
      </c>
      <c r="V114" s="1" t="s">
        <v>41</v>
      </c>
      <c r="W114" s="1" t="s">
        <v>250</v>
      </c>
      <c r="X114" s="55">
        <v>44417</v>
      </c>
      <c r="Y114" s="55">
        <v>44534</v>
      </c>
      <c r="Z114" s="1">
        <v>117</v>
      </c>
    </row>
    <row r="115" spans="1:26">
      <c r="A115" s="67" t="s">
        <v>719</v>
      </c>
      <c r="B115">
        <v>201812610</v>
      </c>
      <c r="C115" t="s">
        <v>720</v>
      </c>
      <c r="D115" t="s">
        <v>721</v>
      </c>
      <c r="E115" t="s">
        <v>722</v>
      </c>
      <c r="F115" t="s">
        <v>216</v>
      </c>
      <c r="G115" t="s">
        <v>246</v>
      </c>
      <c r="J115" t="s">
        <v>247</v>
      </c>
      <c r="K115">
        <v>2022</v>
      </c>
      <c r="L115">
        <v>202210</v>
      </c>
      <c r="M115">
        <v>202210</v>
      </c>
      <c r="N115" t="s">
        <v>248</v>
      </c>
      <c r="O115" t="s">
        <v>213</v>
      </c>
      <c r="P115" t="s">
        <v>249</v>
      </c>
      <c r="Q115" t="s">
        <v>216</v>
      </c>
      <c r="R115" t="s">
        <v>246</v>
      </c>
      <c r="S115" t="s">
        <v>166</v>
      </c>
      <c r="T115" s="70" t="str">
        <f>_xlfn.XLOOKUP(Tabla1[[#This Row],[Universidad]],Conversiones!$B:$B,Conversiones!$C:$C)</f>
        <v>University of Oklahoma</v>
      </c>
      <c r="U115" s="70" t="str">
        <f>_xlfn.XLOOKUP(Tabla1[[#This Row],[Universidad KPIs]],Conversiones!$C:$C,Conversiones!$E:$E)</f>
        <v>General</v>
      </c>
      <c r="V115" t="s">
        <v>35</v>
      </c>
      <c r="W115" t="s">
        <v>260</v>
      </c>
      <c r="X115" s="2">
        <v>44585</v>
      </c>
      <c r="Y115" s="2">
        <v>44709</v>
      </c>
      <c r="Z115">
        <v>124</v>
      </c>
    </row>
    <row r="116" spans="1:26">
      <c r="A116" s="68" t="s">
        <v>723</v>
      </c>
      <c r="B116" s="1">
        <v>201911405</v>
      </c>
      <c r="C116" s="1" t="s">
        <v>724</v>
      </c>
      <c r="D116" s="1" t="s">
        <v>725</v>
      </c>
      <c r="E116" s="1" t="s">
        <v>726</v>
      </c>
      <c r="F116" s="1" t="s">
        <v>216</v>
      </c>
      <c r="G116" s="1" t="s">
        <v>246</v>
      </c>
      <c r="H116" s="1">
        <v>0</v>
      </c>
      <c r="I116" s="1">
        <v>0</v>
      </c>
      <c r="J116" s="1" t="s">
        <v>247</v>
      </c>
      <c r="K116" s="1">
        <v>2022</v>
      </c>
      <c r="L116" s="1">
        <v>202220</v>
      </c>
      <c r="M116" s="1">
        <v>202220</v>
      </c>
      <c r="N116" s="1" t="s">
        <v>248</v>
      </c>
      <c r="O116" s="1" t="s">
        <v>213</v>
      </c>
      <c r="P116" s="1" t="s">
        <v>249</v>
      </c>
      <c r="Q116" s="1" t="s">
        <v>216</v>
      </c>
      <c r="R116" s="1" t="s">
        <v>246</v>
      </c>
      <c r="S116" s="1" t="s">
        <v>135</v>
      </c>
      <c r="T116" s="70" t="str">
        <f>_xlfn.XLOOKUP(Tabla1[[#This Row],[Universidad]],Conversiones!$B:$B,Conversiones!$C:$C)</f>
        <v>Pontificia Universidade Católica do Rio Grande do Sul (PUCRS)</v>
      </c>
      <c r="U116" s="70" t="str">
        <f>_xlfn.XLOOKUP(Tabla1[[#This Row],[Universidad KPIs]],Conversiones!$C:$C,Conversiones!$E:$E)</f>
        <v>General</v>
      </c>
      <c r="V116" s="1" t="s">
        <v>62</v>
      </c>
      <c r="W116" s="1" t="s">
        <v>265</v>
      </c>
      <c r="X116" s="55">
        <v>44781</v>
      </c>
      <c r="Y116" s="55">
        <v>44898</v>
      </c>
      <c r="Z116" s="1">
        <v>117</v>
      </c>
    </row>
    <row r="117" spans="1:26">
      <c r="A117" s="67" t="s">
        <v>727</v>
      </c>
      <c r="B117">
        <v>201920653</v>
      </c>
      <c r="C117" t="s">
        <v>728</v>
      </c>
      <c r="D117" t="s">
        <v>729</v>
      </c>
      <c r="E117" t="s">
        <v>730</v>
      </c>
      <c r="F117" t="s">
        <v>216</v>
      </c>
      <c r="G117" t="s">
        <v>246</v>
      </c>
      <c r="H117" t="s">
        <v>460</v>
      </c>
      <c r="I117" t="s">
        <v>461</v>
      </c>
      <c r="J117" t="s">
        <v>247</v>
      </c>
      <c r="K117">
        <v>2022</v>
      </c>
      <c r="L117">
        <v>202210</v>
      </c>
      <c r="M117">
        <v>202210</v>
      </c>
      <c r="N117" t="s">
        <v>248</v>
      </c>
      <c r="O117" t="s">
        <v>213</v>
      </c>
      <c r="P117" t="s">
        <v>249</v>
      </c>
      <c r="Q117" t="s">
        <v>216</v>
      </c>
      <c r="R117" t="s">
        <v>246</v>
      </c>
      <c r="S117" t="s">
        <v>158</v>
      </c>
      <c r="T117" s="70" t="str">
        <f>_xlfn.XLOOKUP(Tabla1[[#This Row],[Universidad]],Conversiones!$B:$B,Conversiones!$C:$C)</f>
        <v>Universitat Politècnica de Catalunya</v>
      </c>
      <c r="U117" s="70" t="str">
        <f>_xlfn.XLOOKUP(Tabla1[[#This Row],[Universidad KPIs]],Conversiones!$C:$C,Conversiones!$E:$E)</f>
        <v>General</v>
      </c>
      <c r="V117" t="s">
        <v>53</v>
      </c>
      <c r="W117" t="s">
        <v>250</v>
      </c>
      <c r="X117" s="2">
        <v>44585</v>
      </c>
      <c r="Y117" s="2">
        <v>44709</v>
      </c>
      <c r="Z117">
        <v>124</v>
      </c>
    </row>
    <row r="118" spans="1:26">
      <c r="A118" s="68" t="s">
        <v>731</v>
      </c>
      <c r="B118" s="1">
        <v>201731824</v>
      </c>
      <c r="C118" s="1" t="s">
        <v>732</v>
      </c>
      <c r="D118" s="1" t="s">
        <v>733</v>
      </c>
      <c r="E118" s="1" t="s">
        <v>734</v>
      </c>
      <c r="F118" s="1" t="s">
        <v>216</v>
      </c>
      <c r="G118" s="1" t="s">
        <v>246</v>
      </c>
      <c r="H118" s="1"/>
      <c r="I118" s="1"/>
      <c r="J118" s="1" t="s">
        <v>247</v>
      </c>
      <c r="K118" s="1">
        <v>2022</v>
      </c>
      <c r="L118" s="1">
        <v>202210</v>
      </c>
      <c r="M118" s="1">
        <v>202210</v>
      </c>
      <c r="N118" s="1" t="s">
        <v>248</v>
      </c>
      <c r="O118" s="1" t="s">
        <v>213</v>
      </c>
      <c r="P118" s="1" t="s">
        <v>249</v>
      </c>
      <c r="Q118" s="1" t="s">
        <v>216</v>
      </c>
      <c r="R118" s="1" t="s">
        <v>246</v>
      </c>
      <c r="S118" s="1" t="s">
        <v>38</v>
      </c>
      <c r="T118" s="70" t="str">
        <f>_xlfn.XLOOKUP(Tabla1[[#This Row],[Universidad]],Conversiones!$B:$B,Conversiones!$C:$C)</f>
        <v>Aston University</v>
      </c>
      <c r="U118" s="70" t="str">
        <f>_xlfn.XLOOKUP(Tabla1[[#This Row],[Universidad KPIs]],Conversiones!$C:$C,Conversiones!$E:$E)</f>
        <v>Específico</v>
      </c>
      <c r="V118" s="1" t="s">
        <v>39</v>
      </c>
      <c r="W118" s="1" t="s">
        <v>250</v>
      </c>
      <c r="X118" s="55">
        <v>44585</v>
      </c>
      <c r="Y118" s="55">
        <v>44709</v>
      </c>
      <c r="Z118" s="1">
        <v>124</v>
      </c>
    </row>
    <row r="119" spans="1:26">
      <c r="A119" s="67" t="s">
        <v>735</v>
      </c>
      <c r="B119">
        <v>201921846</v>
      </c>
      <c r="C119" t="s">
        <v>376</v>
      </c>
      <c r="D119" t="s">
        <v>736</v>
      </c>
      <c r="E119" t="s">
        <v>737</v>
      </c>
      <c r="F119" t="s">
        <v>216</v>
      </c>
      <c r="G119" t="s">
        <v>246</v>
      </c>
      <c r="J119" t="s">
        <v>247</v>
      </c>
      <c r="K119">
        <v>2022</v>
      </c>
      <c r="L119">
        <v>202220</v>
      </c>
      <c r="M119">
        <v>202220</v>
      </c>
      <c r="N119" t="s">
        <v>248</v>
      </c>
      <c r="O119" t="s">
        <v>214</v>
      </c>
      <c r="P119" t="s">
        <v>446</v>
      </c>
      <c r="Q119" t="s">
        <v>216</v>
      </c>
      <c r="R119" t="s">
        <v>246</v>
      </c>
      <c r="S119" t="s">
        <v>738</v>
      </c>
      <c r="T119" s="70" t="str">
        <f>_xlfn.XLOOKUP(Tabla1[[#This Row],[Universidad]],Conversiones!$B:$B,Conversiones!$C:$C)</f>
        <v>Universidad de Tilburg</v>
      </c>
      <c r="U119" s="70" t="str">
        <f>_xlfn.XLOOKUP(Tabla1[[#This Row],[Universidad KPIs]],Conversiones!$C:$C,Conversiones!$E:$E)</f>
        <v>Específico</v>
      </c>
      <c r="V119" t="s">
        <v>79</v>
      </c>
      <c r="W119" t="s">
        <v>250</v>
      </c>
      <c r="X119" s="2">
        <v>44781</v>
      </c>
      <c r="Y119" s="2">
        <v>44898</v>
      </c>
      <c r="Z119">
        <v>117</v>
      </c>
    </row>
    <row r="120" spans="1:26">
      <c r="A120" s="68" t="s">
        <v>739</v>
      </c>
      <c r="B120" s="1">
        <v>201820676</v>
      </c>
      <c r="C120" s="1" t="s">
        <v>740</v>
      </c>
      <c r="D120" s="1" t="s">
        <v>741</v>
      </c>
      <c r="E120" s="1" t="s">
        <v>742</v>
      </c>
      <c r="F120" s="1" t="s">
        <v>216</v>
      </c>
      <c r="G120" s="1" t="s">
        <v>246</v>
      </c>
      <c r="H120" s="1"/>
      <c r="I120" s="1"/>
      <c r="J120" s="1" t="s">
        <v>247</v>
      </c>
      <c r="K120" s="1">
        <v>2022</v>
      </c>
      <c r="L120" s="1">
        <v>202210</v>
      </c>
      <c r="M120" s="1">
        <v>202210</v>
      </c>
      <c r="N120" s="1" t="s">
        <v>248</v>
      </c>
      <c r="O120" s="1" t="s">
        <v>213</v>
      </c>
      <c r="P120" s="1" t="s">
        <v>249</v>
      </c>
      <c r="Q120" s="1" t="s">
        <v>216</v>
      </c>
      <c r="R120" s="1" t="s">
        <v>246</v>
      </c>
      <c r="S120" s="1" t="s">
        <v>50</v>
      </c>
      <c r="T120" s="70" t="str">
        <f>_xlfn.XLOOKUP(Tabla1[[#This Row],[Universidad]],Conversiones!$B:$B,Conversiones!$C:$C)</f>
        <v>EDHEC Business School</v>
      </c>
      <c r="U120" s="70" t="str">
        <f>_xlfn.XLOOKUP(Tabla1[[#This Row],[Universidad KPIs]],Conversiones!$C:$C,Conversiones!$E:$E)</f>
        <v>Específico</v>
      </c>
      <c r="V120" s="1" t="s">
        <v>41</v>
      </c>
      <c r="W120" s="1" t="s">
        <v>250</v>
      </c>
      <c r="X120" s="55">
        <v>44585</v>
      </c>
      <c r="Y120" s="55">
        <v>44709</v>
      </c>
      <c r="Z120" s="1">
        <v>124</v>
      </c>
    </row>
    <row r="121" spans="1:26">
      <c r="A121" s="67" t="s">
        <v>743</v>
      </c>
      <c r="B121">
        <v>201820690</v>
      </c>
      <c r="C121" t="s">
        <v>667</v>
      </c>
      <c r="D121" t="s">
        <v>744</v>
      </c>
      <c r="E121" t="s">
        <v>745</v>
      </c>
      <c r="F121" t="s">
        <v>216</v>
      </c>
      <c r="G121" t="s">
        <v>246</v>
      </c>
      <c r="J121" t="s">
        <v>247</v>
      </c>
      <c r="K121">
        <v>2022</v>
      </c>
      <c r="L121">
        <v>202210</v>
      </c>
      <c r="M121">
        <v>202210</v>
      </c>
      <c r="N121" t="s">
        <v>248</v>
      </c>
      <c r="O121" t="s">
        <v>213</v>
      </c>
      <c r="P121" t="s">
        <v>249</v>
      </c>
      <c r="Q121" t="s">
        <v>216</v>
      </c>
      <c r="R121" t="s">
        <v>246</v>
      </c>
      <c r="S121" t="s">
        <v>78</v>
      </c>
      <c r="T121" s="70" t="str">
        <f>_xlfn.XLOOKUP(Tabla1[[#This Row],[Universidad]],Conversiones!$B:$B,Conversiones!$C:$C)</f>
        <v>Maastricht University</v>
      </c>
      <c r="U121" s="70" t="str">
        <f>_xlfn.XLOOKUP(Tabla1[[#This Row],[Universidad KPIs]],Conversiones!$C:$C,Conversiones!$E:$E)</f>
        <v>Específico</v>
      </c>
      <c r="V121" t="s">
        <v>79</v>
      </c>
      <c r="W121" t="s">
        <v>250</v>
      </c>
      <c r="X121" s="2">
        <v>44585</v>
      </c>
      <c r="Y121" s="2">
        <v>44709</v>
      </c>
      <c r="Z121">
        <v>124</v>
      </c>
    </row>
    <row r="122" spans="1:26">
      <c r="A122" s="68" t="s">
        <v>746</v>
      </c>
      <c r="B122" s="1">
        <v>201729155</v>
      </c>
      <c r="C122" s="1" t="s">
        <v>747</v>
      </c>
      <c r="D122" s="1" t="s">
        <v>748</v>
      </c>
      <c r="E122" s="1" t="s">
        <v>749</v>
      </c>
      <c r="F122" s="1" t="s">
        <v>512</v>
      </c>
      <c r="G122" s="1" t="s">
        <v>513</v>
      </c>
      <c r="H122" s="1" t="s">
        <v>216</v>
      </c>
      <c r="I122" s="1" t="s">
        <v>246</v>
      </c>
      <c r="J122" s="1" t="s">
        <v>247</v>
      </c>
      <c r="K122" s="1">
        <v>2022</v>
      </c>
      <c r="L122" s="1">
        <v>202210</v>
      </c>
      <c r="M122" s="1">
        <v>202210</v>
      </c>
      <c r="N122" s="1" t="s">
        <v>248</v>
      </c>
      <c r="O122" s="1" t="s">
        <v>213</v>
      </c>
      <c r="P122" s="1" t="s">
        <v>249</v>
      </c>
      <c r="Q122" s="1" t="s">
        <v>216</v>
      </c>
      <c r="R122" s="1" t="s">
        <v>246</v>
      </c>
      <c r="S122" s="1" t="s">
        <v>307</v>
      </c>
      <c r="T122" s="70" t="str">
        <f>_xlfn.XLOOKUP(Tabla1[[#This Row],[Universidad]],Conversiones!$B:$B,Conversiones!$C:$C)</f>
        <v>University of Mannheim Business School</v>
      </c>
      <c r="U122" s="70" t="str">
        <f>_xlfn.XLOOKUP(Tabla1[[#This Row],[Universidad KPIs]],Conversiones!$C:$C,Conversiones!$E:$E)</f>
        <v>Específico</v>
      </c>
      <c r="V122" s="1" t="s">
        <v>60</v>
      </c>
      <c r="W122" s="1" t="s">
        <v>250</v>
      </c>
      <c r="X122" s="55">
        <v>44585</v>
      </c>
      <c r="Y122" s="55">
        <v>44709</v>
      </c>
      <c r="Z122" s="1">
        <v>124</v>
      </c>
    </row>
    <row r="123" spans="1:26">
      <c r="A123" s="67" t="s">
        <v>750</v>
      </c>
      <c r="B123">
        <v>201820707</v>
      </c>
      <c r="C123" t="s">
        <v>751</v>
      </c>
      <c r="D123" t="s">
        <v>752</v>
      </c>
      <c r="E123" t="s">
        <v>753</v>
      </c>
      <c r="F123" t="s">
        <v>216</v>
      </c>
      <c r="G123" t="s">
        <v>246</v>
      </c>
      <c r="J123" t="s">
        <v>247</v>
      </c>
      <c r="K123">
        <v>2022</v>
      </c>
      <c r="L123">
        <v>202210</v>
      </c>
      <c r="M123">
        <v>202110</v>
      </c>
      <c r="N123" t="s">
        <v>248</v>
      </c>
      <c r="O123" t="s">
        <v>213</v>
      </c>
      <c r="P123" t="s">
        <v>249</v>
      </c>
      <c r="Q123" t="s">
        <v>216</v>
      </c>
      <c r="R123" t="s">
        <v>246</v>
      </c>
      <c r="S123" t="s">
        <v>754</v>
      </c>
      <c r="T123" s="70" t="str">
        <f>_xlfn.XLOOKUP(Tabla1[[#This Row],[Universidad]],Conversiones!$B:$B,Conversiones!$C:$C)</f>
        <v>HEC Lausanne</v>
      </c>
      <c r="U123" s="70" t="str">
        <f>_xlfn.XLOOKUP(Tabla1[[#This Row],[Universidad KPIs]],Conversiones!$C:$C,Conversiones!$E:$E)</f>
        <v>Específico</v>
      </c>
      <c r="V123" t="s">
        <v>65</v>
      </c>
      <c r="W123" t="s">
        <v>250</v>
      </c>
      <c r="X123" s="2">
        <v>44585</v>
      </c>
      <c r="Y123" s="2">
        <v>44709</v>
      </c>
      <c r="Z123">
        <v>124</v>
      </c>
    </row>
    <row r="124" spans="1:26">
      <c r="A124" s="68" t="s">
        <v>755</v>
      </c>
      <c r="B124" s="1">
        <v>201812841</v>
      </c>
      <c r="C124" s="1" t="s">
        <v>756</v>
      </c>
      <c r="D124" s="1" t="s">
        <v>757</v>
      </c>
      <c r="E124" s="1" t="s">
        <v>758</v>
      </c>
      <c r="F124" s="1" t="s">
        <v>216</v>
      </c>
      <c r="G124" s="1" t="s">
        <v>246</v>
      </c>
      <c r="H124" s="1" t="s">
        <v>466</v>
      </c>
      <c r="I124" s="1" t="s">
        <v>467</v>
      </c>
      <c r="J124" s="1" t="s">
        <v>247</v>
      </c>
      <c r="K124" s="1">
        <v>2022</v>
      </c>
      <c r="L124" s="1">
        <v>202220</v>
      </c>
      <c r="M124" s="1">
        <v>202220</v>
      </c>
      <c r="N124" s="1" t="s">
        <v>248</v>
      </c>
      <c r="O124" s="1" t="s">
        <v>213</v>
      </c>
      <c r="P124" s="1" t="s">
        <v>249</v>
      </c>
      <c r="Q124" s="1" t="s">
        <v>216</v>
      </c>
      <c r="R124" s="1" t="s">
        <v>246</v>
      </c>
      <c r="S124" s="1" t="s">
        <v>255</v>
      </c>
      <c r="T124" s="70" t="str">
        <f>_xlfn.XLOOKUP(Tabla1[[#This Row],[Universidad]],Conversiones!$B:$B,Conversiones!$C:$C)</f>
        <v>ESC Rouen (NEOMA)</v>
      </c>
      <c r="U124" s="70" t="str">
        <f>_xlfn.XLOOKUP(Tabla1[[#This Row],[Universidad KPIs]],Conversiones!$C:$C,Conversiones!$E:$E)</f>
        <v>Específico</v>
      </c>
      <c r="V124" s="1" t="s">
        <v>41</v>
      </c>
      <c r="W124" s="1" t="s">
        <v>250</v>
      </c>
      <c r="X124" s="55">
        <v>44781</v>
      </c>
      <c r="Y124" s="55">
        <v>44898</v>
      </c>
      <c r="Z124" s="1">
        <v>117</v>
      </c>
    </row>
    <row r="125" spans="1:26">
      <c r="A125" s="67" t="s">
        <v>759</v>
      </c>
      <c r="B125">
        <v>201921928</v>
      </c>
      <c r="C125" t="s">
        <v>267</v>
      </c>
      <c r="D125" t="s">
        <v>760</v>
      </c>
      <c r="E125" t="s">
        <v>761</v>
      </c>
      <c r="F125" t="s">
        <v>216</v>
      </c>
      <c r="G125" t="s">
        <v>246</v>
      </c>
      <c r="H125">
        <v>0</v>
      </c>
      <c r="I125">
        <v>0</v>
      </c>
      <c r="J125" t="s">
        <v>247</v>
      </c>
      <c r="K125">
        <v>2022</v>
      </c>
      <c r="L125">
        <v>202220</v>
      </c>
      <c r="M125">
        <v>202220</v>
      </c>
      <c r="N125" t="s">
        <v>248</v>
      </c>
      <c r="O125" t="s">
        <v>213</v>
      </c>
      <c r="P125" t="s">
        <v>249</v>
      </c>
      <c r="Q125" t="s">
        <v>216</v>
      </c>
      <c r="R125" t="s">
        <v>246</v>
      </c>
      <c r="S125" t="s">
        <v>78</v>
      </c>
      <c r="T125" s="70" t="str">
        <f>_xlfn.XLOOKUP(Tabla1[[#This Row],[Universidad]],Conversiones!$B:$B,Conversiones!$C:$C)</f>
        <v>Maastricht University</v>
      </c>
      <c r="U125" s="70" t="str">
        <f>_xlfn.XLOOKUP(Tabla1[[#This Row],[Universidad KPIs]],Conversiones!$C:$C,Conversiones!$E:$E)</f>
        <v>Específico</v>
      </c>
      <c r="V125" t="s">
        <v>79</v>
      </c>
      <c r="W125" t="s">
        <v>250</v>
      </c>
      <c r="X125" s="2">
        <v>44781</v>
      </c>
      <c r="Y125" s="2">
        <v>44898</v>
      </c>
      <c r="Z125">
        <v>117</v>
      </c>
    </row>
    <row r="126" spans="1:26">
      <c r="A126" s="68" t="s">
        <v>762</v>
      </c>
      <c r="B126" s="1">
        <v>201820792</v>
      </c>
      <c r="C126" s="1" t="s">
        <v>364</v>
      </c>
      <c r="D126" s="1" t="s">
        <v>763</v>
      </c>
      <c r="E126" s="1" t="s">
        <v>764</v>
      </c>
      <c r="F126" s="1" t="s">
        <v>216</v>
      </c>
      <c r="G126" s="1" t="s">
        <v>246</v>
      </c>
      <c r="H126" s="1"/>
      <c r="I126" s="1"/>
      <c r="J126" s="1" t="s">
        <v>247</v>
      </c>
      <c r="K126" s="1">
        <v>2022</v>
      </c>
      <c r="L126" s="1">
        <v>202220</v>
      </c>
      <c r="M126" s="1">
        <v>202220</v>
      </c>
      <c r="N126" s="1" t="s">
        <v>248</v>
      </c>
      <c r="O126" s="1" t="s">
        <v>213</v>
      </c>
      <c r="P126" s="1" t="s">
        <v>249</v>
      </c>
      <c r="Q126" s="1" t="s">
        <v>216</v>
      </c>
      <c r="R126" s="1" t="s">
        <v>246</v>
      </c>
      <c r="S126" s="1" t="s">
        <v>255</v>
      </c>
      <c r="T126" s="70" t="str">
        <f>_xlfn.XLOOKUP(Tabla1[[#This Row],[Universidad]],Conversiones!$B:$B,Conversiones!$C:$C)</f>
        <v>ESC Rouen (NEOMA)</v>
      </c>
      <c r="U126" s="70" t="str">
        <f>_xlfn.XLOOKUP(Tabla1[[#This Row],[Universidad KPIs]],Conversiones!$C:$C,Conversiones!$E:$E)</f>
        <v>Específico</v>
      </c>
      <c r="V126" s="1" t="s">
        <v>41</v>
      </c>
      <c r="W126" s="1" t="s">
        <v>250</v>
      </c>
      <c r="X126" s="55">
        <v>44781</v>
      </c>
      <c r="Y126" s="55">
        <v>44898</v>
      </c>
      <c r="Z126" s="1">
        <v>117</v>
      </c>
    </row>
    <row r="127" spans="1:26">
      <c r="A127" s="67" t="s">
        <v>765</v>
      </c>
      <c r="B127">
        <v>201820793</v>
      </c>
      <c r="C127" t="s">
        <v>766</v>
      </c>
      <c r="D127" t="s">
        <v>767</v>
      </c>
      <c r="E127" t="s">
        <v>768</v>
      </c>
      <c r="F127" t="s">
        <v>216</v>
      </c>
      <c r="G127" t="s">
        <v>246</v>
      </c>
      <c r="J127" t="s">
        <v>247</v>
      </c>
      <c r="K127">
        <v>2022</v>
      </c>
      <c r="L127">
        <v>202210</v>
      </c>
      <c r="M127">
        <v>202210</v>
      </c>
      <c r="N127" t="s">
        <v>248</v>
      </c>
      <c r="O127" t="s">
        <v>213</v>
      </c>
      <c r="P127" t="s">
        <v>249</v>
      </c>
      <c r="Q127" t="s">
        <v>216</v>
      </c>
      <c r="R127" t="s">
        <v>246</v>
      </c>
      <c r="S127" t="s">
        <v>154</v>
      </c>
      <c r="T127" s="70" t="str">
        <f>_xlfn.XLOOKUP(Tabla1[[#This Row],[Universidad]],Conversiones!$B:$B,Conversiones!$C:$C)</f>
        <v>Università degli Studi 'Ca' Foscari' di Venezia</v>
      </c>
      <c r="U127" s="70" t="str">
        <f>_xlfn.XLOOKUP(Tabla1[[#This Row],[Universidad KPIs]],Conversiones!$C:$C,Conversiones!$E:$E)</f>
        <v>General</v>
      </c>
      <c r="V127" t="s">
        <v>87</v>
      </c>
      <c r="W127" t="s">
        <v>250</v>
      </c>
      <c r="X127" s="2">
        <v>44585</v>
      </c>
      <c r="Y127" s="2">
        <v>44709</v>
      </c>
      <c r="Z127">
        <v>124</v>
      </c>
    </row>
    <row r="128" spans="1:26">
      <c r="A128" s="68" t="s">
        <v>769</v>
      </c>
      <c r="B128" s="1">
        <v>201729225</v>
      </c>
      <c r="C128" s="1" t="s">
        <v>443</v>
      </c>
      <c r="D128" s="1" t="s">
        <v>770</v>
      </c>
      <c r="E128" s="1" t="s">
        <v>771</v>
      </c>
      <c r="F128" s="1" t="s">
        <v>216</v>
      </c>
      <c r="G128" s="1" t="s">
        <v>246</v>
      </c>
      <c r="H128" s="1"/>
      <c r="I128" s="1"/>
      <c r="J128" s="1" t="s">
        <v>247</v>
      </c>
      <c r="K128" s="1">
        <v>2022</v>
      </c>
      <c r="L128" s="1">
        <v>202210</v>
      </c>
      <c r="M128" s="1">
        <v>202120</v>
      </c>
      <c r="N128" s="1" t="s">
        <v>248</v>
      </c>
      <c r="O128" s="1" t="s">
        <v>213</v>
      </c>
      <c r="P128" s="1" t="s">
        <v>249</v>
      </c>
      <c r="Q128" s="1" t="s">
        <v>216</v>
      </c>
      <c r="R128" s="1" t="s">
        <v>246</v>
      </c>
      <c r="S128" s="1" t="s">
        <v>362</v>
      </c>
      <c r="T128" s="70" t="str">
        <f>_xlfn.XLOOKUP(Tabla1[[#This Row],[Universidad]],Conversiones!$B:$B,Conversiones!$C:$C)</f>
        <v>Frankfurt School of Finance and Management</v>
      </c>
      <c r="U128" s="70" t="str">
        <f>_xlfn.XLOOKUP(Tabla1[[#This Row],[Universidad KPIs]],Conversiones!$C:$C,Conversiones!$E:$E)</f>
        <v>Específico</v>
      </c>
      <c r="V128" s="1" t="s">
        <v>60</v>
      </c>
      <c r="W128" s="1" t="s">
        <v>250</v>
      </c>
      <c r="X128" s="55">
        <v>44585</v>
      </c>
      <c r="Y128" s="55">
        <v>44709</v>
      </c>
      <c r="Z128" s="1">
        <v>124</v>
      </c>
    </row>
    <row r="129" spans="1:26">
      <c r="A129" s="67" t="s">
        <v>772</v>
      </c>
      <c r="B129">
        <v>201921990</v>
      </c>
      <c r="C129" t="s">
        <v>267</v>
      </c>
      <c r="D129" t="s">
        <v>773</v>
      </c>
      <c r="E129" t="s">
        <v>774</v>
      </c>
      <c r="F129" t="s">
        <v>216</v>
      </c>
      <c r="G129" t="s">
        <v>246</v>
      </c>
      <c r="H129">
        <v>0</v>
      </c>
      <c r="I129">
        <v>0</v>
      </c>
      <c r="J129" t="s">
        <v>247</v>
      </c>
      <c r="K129">
        <v>2022</v>
      </c>
      <c r="L129">
        <v>202220</v>
      </c>
      <c r="M129">
        <v>202220</v>
      </c>
      <c r="N129" t="s">
        <v>248</v>
      </c>
      <c r="O129" t="s">
        <v>213</v>
      </c>
      <c r="P129" t="s">
        <v>249</v>
      </c>
      <c r="Q129" t="s">
        <v>216</v>
      </c>
      <c r="R129" t="s">
        <v>246</v>
      </c>
      <c r="S129" t="s">
        <v>279</v>
      </c>
      <c r="T129" s="70" t="str">
        <f>_xlfn.XLOOKUP(Tabla1[[#This Row],[Universidad]],Conversiones!$B:$B,Conversiones!$C:$C)</f>
        <v>Toulouse Business School</v>
      </c>
      <c r="U129" s="70" t="str">
        <f>_xlfn.XLOOKUP(Tabla1[[#This Row],[Universidad KPIs]],Conversiones!$C:$C,Conversiones!$E:$E)</f>
        <v>Específico</v>
      </c>
      <c r="V129" t="s">
        <v>41</v>
      </c>
      <c r="W129" t="s">
        <v>250</v>
      </c>
      <c r="X129" s="2">
        <v>44781</v>
      </c>
      <c r="Y129" s="2">
        <v>44898</v>
      </c>
      <c r="Z129">
        <v>117</v>
      </c>
    </row>
    <row r="130" spans="1:26">
      <c r="A130" s="68" t="s">
        <v>775</v>
      </c>
      <c r="B130" s="1">
        <v>201911830</v>
      </c>
      <c r="C130" s="1" t="s">
        <v>776</v>
      </c>
      <c r="D130" s="1" t="s">
        <v>777</v>
      </c>
      <c r="E130" s="1" t="s">
        <v>778</v>
      </c>
      <c r="F130" s="1" t="s">
        <v>216</v>
      </c>
      <c r="G130" s="1" t="s">
        <v>246</v>
      </c>
      <c r="H130" s="1" t="s">
        <v>779</v>
      </c>
      <c r="I130" s="1" t="s">
        <v>780</v>
      </c>
      <c r="J130" s="1" t="s">
        <v>247</v>
      </c>
      <c r="K130" s="1">
        <v>2022</v>
      </c>
      <c r="L130" s="1">
        <v>202220</v>
      </c>
      <c r="M130" s="1">
        <v>202220</v>
      </c>
      <c r="N130" s="1" t="s">
        <v>248</v>
      </c>
      <c r="O130" s="1" t="s">
        <v>213</v>
      </c>
      <c r="P130" s="1" t="s">
        <v>249</v>
      </c>
      <c r="Q130" s="1" t="s">
        <v>216</v>
      </c>
      <c r="R130" s="1" t="s">
        <v>246</v>
      </c>
      <c r="S130" s="1" t="s">
        <v>781</v>
      </c>
      <c r="T130" s="70" t="str">
        <f>_xlfn.XLOOKUP(Tabla1[[#This Row],[Universidad]],Conversiones!$B:$B,Conversiones!$C:$C)</f>
        <v>ITESM-EGADE -Instituto tecnológico y de estudios superiores de Monterrey</v>
      </c>
      <c r="U130" s="70" t="str">
        <f>_xlfn.XLOOKUP(Tabla1[[#This Row],[Universidad KPIs]],Conversiones!$C:$C,Conversiones!$E:$E)</f>
        <v>Específico</v>
      </c>
      <c r="V130" s="1" t="s">
        <v>71</v>
      </c>
      <c r="W130" s="1" t="s">
        <v>260</v>
      </c>
      <c r="X130" s="55">
        <v>44781</v>
      </c>
      <c r="Y130" s="55">
        <v>44898</v>
      </c>
      <c r="Z130" s="1">
        <v>117</v>
      </c>
    </row>
    <row r="131" spans="1:26">
      <c r="A131" s="67" t="s">
        <v>782</v>
      </c>
      <c r="B131">
        <v>201819805</v>
      </c>
      <c r="C131" t="s">
        <v>783</v>
      </c>
      <c r="D131" t="s">
        <v>784</v>
      </c>
      <c r="E131" t="s">
        <v>785</v>
      </c>
      <c r="F131" t="s">
        <v>216</v>
      </c>
      <c r="G131" t="s">
        <v>246</v>
      </c>
      <c r="J131" t="s">
        <v>247</v>
      </c>
      <c r="K131">
        <v>2022</v>
      </c>
      <c r="L131">
        <v>202210</v>
      </c>
      <c r="M131">
        <v>202210</v>
      </c>
      <c r="N131" t="s">
        <v>248</v>
      </c>
      <c r="O131" t="s">
        <v>213</v>
      </c>
      <c r="P131" t="s">
        <v>249</v>
      </c>
      <c r="Q131" t="s">
        <v>216</v>
      </c>
      <c r="R131" t="s">
        <v>246</v>
      </c>
      <c r="S131" t="s">
        <v>307</v>
      </c>
      <c r="T131" s="70" t="str">
        <f>_xlfn.XLOOKUP(Tabla1[[#This Row],[Universidad]],Conversiones!$B:$B,Conversiones!$C:$C)</f>
        <v>University of Mannheim Business School</v>
      </c>
      <c r="U131" s="70" t="str">
        <f>_xlfn.XLOOKUP(Tabla1[[#This Row],[Universidad KPIs]],Conversiones!$C:$C,Conversiones!$E:$E)</f>
        <v>Específico</v>
      </c>
      <c r="V131" t="s">
        <v>60</v>
      </c>
      <c r="W131" t="s">
        <v>250</v>
      </c>
      <c r="X131" s="2">
        <v>44585</v>
      </c>
      <c r="Y131" s="2">
        <v>44709</v>
      </c>
      <c r="Z131">
        <v>124</v>
      </c>
    </row>
    <row r="132" spans="1:26">
      <c r="A132" s="68" t="s">
        <v>786</v>
      </c>
      <c r="B132" s="1">
        <v>201820849</v>
      </c>
      <c r="C132" s="1" t="s">
        <v>787</v>
      </c>
      <c r="D132" s="1" t="s">
        <v>788</v>
      </c>
      <c r="E132" s="1" t="s">
        <v>789</v>
      </c>
      <c r="F132" s="1" t="s">
        <v>216</v>
      </c>
      <c r="G132" s="1" t="s">
        <v>246</v>
      </c>
      <c r="H132" s="1"/>
      <c r="I132" s="1"/>
      <c r="J132" s="1" t="s">
        <v>247</v>
      </c>
      <c r="K132" s="1">
        <v>2022</v>
      </c>
      <c r="L132" s="1">
        <v>202220</v>
      </c>
      <c r="M132" s="1">
        <v>202220</v>
      </c>
      <c r="N132" s="1" t="s">
        <v>248</v>
      </c>
      <c r="O132" s="1" t="s">
        <v>214</v>
      </c>
      <c r="P132" s="1" t="s">
        <v>446</v>
      </c>
      <c r="Q132" s="1" t="s">
        <v>216</v>
      </c>
      <c r="R132" s="1" t="s">
        <v>246</v>
      </c>
      <c r="S132" s="1" t="s">
        <v>279</v>
      </c>
      <c r="T132" s="70" t="str">
        <f>_xlfn.XLOOKUP(Tabla1[[#This Row],[Universidad]],Conversiones!$B:$B,Conversiones!$C:$C)</f>
        <v>Toulouse Business School</v>
      </c>
      <c r="U132" s="70" t="str">
        <f>_xlfn.XLOOKUP(Tabla1[[#This Row],[Universidad KPIs]],Conversiones!$C:$C,Conversiones!$E:$E)</f>
        <v>Específico</v>
      </c>
      <c r="V132" s="1" t="s">
        <v>41</v>
      </c>
      <c r="W132" s="1" t="s">
        <v>250</v>
      </c>
      <c r="X132" s="55">
        <v>44781</v>
      </c>
      <c r="Y132" s="55">
        <v>44898</v>
      </c>
      <c r="Z132" s="1">
        <v>117</v>
      </c>
    </row>
    <row r="133" spans="1:26">
      <c r="A133" s="67" t="s">
        <v>790</v>
      </c>
      <c r="B133">
        <v>201813045</v>
      </c>
      <c r="C133" t="s">
        <v>300</v>
      </c>
      <c r="D133" t="s">
        <v>791</v>
      </c>
      <c r="E133" t="s">
        <v>792</v>
      </c>
      <c r="F133" t="s">
        <v>460</v>
      </c>
      <c r="G133" t="s">
        <v>461</v>
      </c>
      <c r="H133" t="s">
        <v>216</v>
      </c>
      <c r="I133" t="s">
        <v>246</v>
      </c>
      <c r="J133" t="s">
        <v>247</v>
      </c>
      <c r="K133">
        <v>2022</v>
      </c>
      <c r="L133">
        <v>202210</v>
      </c>
      <c r="M133">
        <v>202210</v>
      </c>
      <c r="N133" t="s">
        <v>248</v>
      </c>
      <c r="O133" t="s">
        <v>213</v>
      </c>
      <c r="P133" t="s">
        <v>249</v>
      </c>
      <c r="Q133" t="s">
        <v>216</v>
      </c>
      <c r="R133" t="s">
        <v>246</v>
      </c>
      <c r="S133" t="s">
        <v>78</v>
      </c>
      <c r="T133" s="70" t="str">
        <f>_xlfn.XLOOKUP(Tabla1[[#This Row],[Universidad]],Conversiones!$B:$B,Conversiones!$C:$C)</f>
        <v>Maastricht University</v>
      </c>
      <c r="U133" s="70" t="str">
        <f>_xlfn.XLOOKUP(Tabla1[[#This Row],[Universidad KPIs]],Conversiones!$C:$C,Conversiones!$E:$E)</f>
        <v>Específico</v>
      </c>
      <c r="V133" t="s">
        <v>79</v>
      </c>
      <c r="W133" t="s">
        <v>250</v>
      </c>
      <c r="X133" s="2">
        <v>44585</v>
      </c>
      <c r="Y133" s="2">
        <v>44709</v>
      </c>
      <c r="Z133">
        <v>124</v>
      </c>
    </row>
    <row r="134" spans="1:26">
      <c r="A134" s="68" t="s">
        <v>793</v>
      </c>
      <c r="B134" s="1">
        <v>201820401</v>
      </c>
      <c r="C134" s="1" t="s">
        <v>426</v>
      </c>
      <c r="D134" s="1" t="s">
        <v>794</v>
      </c>
      <c r="E134" s="1" t="s">
        <v>795</v>
      </c>
      <c r="F134" s="1" t="s">
        <v>216</v>
      </c>
      <c r="G134" s="1" t="s">
        <v>246</v>
      </c>
      <c r="H134" s="1"/>
      <c r="I134" s="1"/>
      <c r="J134" s="1" t="s">
        <v>247</v>
      </c>
      <c r="K134" s="1">
        <v>2022</v>
      </c>
      <c r="L134" s="1">
        <v>202210</v>
      </c>
      <c r="M134" s="1">
        <v>202210</v>
      </c>
      <c r="N134" s="1" t="s">
        <v>248</v>
      </c>
      <c r="O134" s="1" t="s">
        <v>213</v>
      </c>
      <c r="P134" s="1" t="s">
        <v>249</v>
      </c>
      <c r="Q134" s="1" t="s">
        <v>216</v>
      </c>
      <c r="R134" s="1" t="s">
        <v>246</v>
      </c>
      <c r="S134" s="1" t="s">
        <v>493</v>
      </c>
      <c r="T134" s="70" t="str">
        <f>_xlfn.XLOOKUP(Tabla1[[#This Row],[Universidad]],Conversiones!$B:$B,Conversiones!$C:$C)</f>
        <v>University of Saint Gallen</v>
      </c>
      <c r="U134" s="70" t="str">
        <f>_xlfn.XLOOKUP(Tabla1[[#This Row],[Universidad KPIs]],Conversiones!$C:$C,Conversiones!$E:$E)</f>
        <v>Específico</v>
      </c>
      <c r="V134" s="1" t="s">
        <v>65</v>
      </c>
      <c r="W134" s="1" t="s">
        <v>250</v>
      </c>
      <c r="X134" s="55">
        <v>44585</v>
      </c>
      <c r="Y134" s="55">
        <v>44709</v>
      </c>
      <c r="Z134" s="1">
        <v>124</v>
      </c>
    </row>
    <row r="135" spans="1:26">
      <c r="A135" s="67" t="s">
        <v>796</v>
      </c>
      <c r="B135">
        <v>201820879</v>
      </c>
      <c r="C135" t="s">
        <v>403</v>
      </c>
      <c r="D135" t="s">
        <v>797</v>
      </c>
      <c r="E135" t="s">
        <v>798</v>
      </c>
      <c r="F135" t="s">
        <v>216</v>
      </c>
      <c r="G135" t="s">
        <v>246</v>
      </c>
      <c r="J135" t="s">
        <v>247</v>
      </c>
      <c r="K135">
        <v>2022</v>
      </c>
      <c r="L135">
        <v>202210</v>
      </c>
      <c r="M135">
        <v>202210</v>
      </c>
      <c r="N135" t="s">
        <v>248</v>
      </c>
      <c r="O135" t="s">
        <v>213</v>
      </c>
      <c r="P135" t="s">
        <v>249</v>
      </c>
      <c r="Q135" t="s">
        <v>216</v>
      </c>
      <c r="R135" t="s">
        <v>246</v>
      </c>
      <c r="S135" t="s">
        <v>613</v>
      </c>
      <c r="T135" s="70" t="str">
        <f>_xlfn.XLOOKUP(Tabla1[[#This Row],[Universidad]],Conversiones!$B:$B,Conversiones!$C:$C)</f>
        <v>Audencia. École de Management</v>
      </c>
      <c r="U135" s="70" t="str">
        <f>_xlfn.XLOOKUP(Tabla1[[#This Row],[Universidad KPIs]],Conversiones!$C:$C,Conversiones!$E:$E)</f>
        <v>Específico</v>
      </c>
      <c r="V135" t="s">
        <v>41</v>
      </c>
      <c r="W135" t="s">
        <v>250</v>
      </c>
      <c r="X135" s="2">
        <v>44585</v>
      </c>
      <c r="Y135" s="2">
        <v>44709</v>
      </c>
      <c r="Z135">
        <v>124</v>
      </c>
    </row>
    <row r="136" spans="1:26">
      <c r="A136" s="68" t="s">
        <v>799</v>
      </c>
      <c r="B136" s="1">
        <v>201911984</v>
      </c>
      <c r="C136" s="1" t="s">
        <v>800</v>
      </c>
      <c r="D136" s="1" t="s">
        <v>801</v>
      </c>
      <c r="E136" s="1" t="s">
        <v>802</v>
      </c>
      <c r="F136" s="1" t="s">
        <v>512</v>
      </c>
      <c r="G136" s="1" t="s">
        <v>513</v>
      </c>
      <c r="H136" s="1" t="s">
        <v>216</v>
      </c>
      <c r="I136" s="1" t="s">
        <v>246</v>
      </c>
      <c r="J136" s="1" t="s">
        <v>247</v>
      </c>
      <c r="K136" s="1">
        <v>2022</v>
      </c>
      <c r="L136" s="1">
        <v>202220</v>
      </c>
      <c r="M136" s="1">
        <v>202220</v>
      </c>
      <c r="N136" s="1" t="s">
        <v>248</v>
      </c>
      <c r="O136" s="1" t="s">
        <v>213</v>
      </c>
      <c r="P136" s="1" t="s">
        <v>249</v>
      </c>
      <c r="Q136" s="1" t="s">
        <v>216</v>
      </c>
      <c r="R136" s="1" t="s">
        <v>246</v>
      </c>
      <c r="S136" s="1" t="s">
        <v>528</v>
      </c>
      <c r="T136" s="70" t="str">
        <f>_xlfn.XLOOKUP(Tabla1[[#This Row],[Universidad]],Conversiones!$B:$B,Conversiones!$C:$C)</f>
        <v>ICN Business School - Institut Commercial de Nancy</v>
      </c>
      <c r="U136" s="70" t="str">
        <f>_xlfn.XLOOKUP(Tabla1[[#This Row],[Universidad KPIs]],Conversiones!$C:$C,Conversiones!$E:$E)</f>
        <v>Específico</v>
      </c>
      <c r="V136" s="1" t="s">
        <v>41</v>
      </c>
      <c r="W136" s="1" t="s">
        <v>250</v>
      </c>
      <c r="X136" s="55">
        <v>44781</v>
      </c>
      <c r="Y136" s="55">
        <v>44898</v>
      </c>
      <c r="Z136" s="1">
        <v>117</v>
      </c>
    </row>
    <row r="137" spans="1:26">
      <c r="A137" s="67" t="s">
        <v>803</v>
      </c>
      <c r="B137">
        <v>201820881</v>
      </c>
      <c r="C137" t="s">
        <v>804</v>
      </c>
      <c r="D137" t="s">
        <v>805</v>
      </c>
      <c r="E137" t="s">
        <v>806</v>
      </c>
      <c r="F137" t="s">
        <v>460</v>
      </c>
      <c r="G137" t="s">
        <v>461</v>
      </c>
      <c r="H137" t="s">
        <v>216</v>
      </c>
      <c r="I137" t="s">
        <v>246</v>
      </c>
      <c r="J137" t="s">
        <v>247</v>
      </c>
      <c r="K137">
        <v>2022</v>
      </c>
      <c r="L137">
        <v>202210</v>
      </c>
      <c r="M137">
        <v>202210</v>
      </c>
      <c r="N137" t="s">
        <v>248</v>
      </c>
      <c r="O137" t="s">
        <v>213</v>
      </c>
      <c r="P137" t="s">
        <v>249</v>
      </c>
      <c r="Q137" t="s">
        <v>216</v>
      </c>
      <c r="R137" t="s">
        <v>246</v>
      </c>
      <c r="S137" t="s">
        <v>289</v>
      </c>
      <c r="T137" s="70" t="str">
        <f>_xlfn.XLOOKUP(Tabla1[[#This Row],[Universidad]],Conversiones!$B:$B,Conversiones!$C:$C)</f>
        <v>ESADE</v>
      </c>
      <c r="U137" s="70" t="str">
        <f>_xlfn.XLOOKUP(Tabla1[[#This Row],[Universidad KPIs]],Conversiones!$C:$C,Conversiones!$E:$E)</f>
        <v>Específico</v>
      </c>
      <c r="V137" t="s">
        <v>53</v>
      </c>
      <c r="W137" t="s">
        <v>250</v>
      </c>
      <c r="X137" s="2">
        <v>44585</v>
      </c>
      <c r="Y137" s="2">
        <v>44709</v>
      </c>
      <c r="Z137">
        <v>124</v>
      </c>
    </row>
    <row r="138" spans="1:26">
      <c r="A138" s="68" t="s">
        <v>807</v>
      </c>
      <c r="B138" s="1">
        <v>202014221</v>
      </c>
      <c r="C138" s="1" t="s">
        <v>808</v>
      </c>
      <c r="D138" s="1" t="s">
        <v>809</v>
      </c>
      <c r="E138" s="1" t="s">
        <v>810</v>
      </c>
      <c r="F138" s="1" t="s">
        <v>216</v>
      </c>
      <c r="G138" s="1" t="s">
        <v>246</v>
      </c>
      <c r="H138" s="1"/>
      <c r="I138" s="1"/>
      <c r="J138" s="1" t="s">
        <v>247</v>
      </c>
      <c r="K138" s="1">
        <v>2022</v>
      </c>
      <c r="L138" s="1">
        <v>202220</v>
      </c>
      <c r="M138" s="1">
        <v>202220</v>
      </c>
      <c r="N138" s="1" t="s">
        <v>248</v>
      </c>
      <c r="O138" s="1" t="s">
        <v>213</v>
      </c>
      <c r="P138" s="1" t="s">
        <v>249</v>
      </c>
      <c r="Q138" s="1" t="s">
        <v>216</v>
      </c>
      <c r="R138" s="1" t="s">
        <v>246</v>
      </c>
      <c r="S138" s="1" t="s">
        <v>48</v>
      </c>
      <c r="T138" s="70" t="str">
        <f>_xlfn.XLOOKUP(Tabla1[[#This Row],[Universidad]],Conversiones!$B:$B,Conversiones!$C:$C)</f>
        <v>City University of Hong Kong</v>
      </c>
      <c r="U138" s="70" t="str">
        <f>_xlfn.XLOOKUP(Tabla1[[#This Row],[Universidad KPIs]],Conversiones!$C:$C,Conversiones!$E:$E)</f>
        <v>Específico</v>
      </c>
      <c r="V138" s="1" t="s">
        <v>49</v>
      </c>
      <c r="W138" s="1" t="s">
        <v>537</v>
      </c>
      <c r="X138" s="55">
        <v>44781</v>
      </c>
      <c r="Y138" s="55">
        <v>44898</v>
      </c>
      <c r="Z138" s="1">
        <v>117</v>
      </c>
    </row>
    <row r="139" spans="1:26">
      <c r="A139" s="67" t="s">
        <v>811</v>
      </c>
      <c r="B139">
        <v>201820930</v>
      </c>
      <c r="C139" t="s">
        <v>812</v>
      </c>
      <c r="D139" t="s">
        <v>813</v>
      </c>
      <c r="E139" t="s">
        <v>814</v>
      </c>
      <c r="F139" t="s">
        <v>216</v>
      </c>
      <c r="G139" t="s">
        <v>246</v>
      </c>
      <c r="H139">
        <v>0</v>
      </c>
      <c r="I139">
        <v>0</v>
      </c>
      <c r="J139" t="s">
        <v>247</v>
      </c>
      <c r="K139">
        <v>2022</v>
      </c>
      <c r="L139">
        <v>202220</v>
      </c>
      <c r="M139">
        <v>202220</v>
      </c>
      <c r="N139" t="s">
        <v>248</v>
      </c>
      <c r="O139" t="s">
        <v>213</v>
      </c>
      <c r="P139" t="s">
        <v>249</v>
      </c>
      <c r="Q139" t="s">
        <v>216</v>
      </c>
      <c r="R139" t="s">
        <v>246</v>
      </c>
      <c r="S139" t="s">
        <v>341</v>
      </c>
      <c r="T139" s="70" t="str">
        <f>_xlfn.XLOOKUP(Tabla1[[#This Row],[Universidad]],Conversiones!$B:$B,Conversiones!$C:$C)</f>
        <v>A.B. Freeman School of Business, Tulane University</v>
      </c>
      <c r="U139" s="70" t="str">
        <f>_xlfn.XLOOKUP(Tabla1[[#This Row],[Universidad KPIs]],Conversiones!$C:$C,Conversiones!$E:$E)</f>
        <v>Específico</v>
      </c>
      <c r="V139" t="s">
        <v>35</v>
      </c>
      <c r="W139" t="s">
        <v>260</v>
      </c>
      <c r="X139" s="2">
        <v>44781</v>
      </c>
      <c r="Y139" s="2">
        <v>44898</v>
      </c>
      <c r="Z139">
        <v>117</v>
      </c>
    </row>
    <row r="140" spans="1:26">
      <c r="A140" s="68" t="s">
        <v>815</v>
      </c>
      <c r="B140" s="1">
        <v>201820409</v>
      </c>
      <c r="C140" s="1" t="s">
        <v>655</v>
      </c>
      <c r="D140" s="1" t="s">
        <v>816</v>
      </c>
      <c r="E140" s="1" t="s">
        <v>817</v>
      </c>
      <c r="F140" s="1" t="s">
        <v>216</v>
      </c>
      <c r="G140" s="1" t="s">
        <v>246</v>
      </c>
      <c r="H140" s="1"/>
      <c r="I140" s="1"/>
      <c r="J140" s="1" t="s">
        <v>247</v>
      </c>
      <c r="K140" s="1">
        <v>2022</v>
      </c>
      <c r="L140" s="1">
        <v>202210</v>
      </c>
      <c r="M140" s="1">
        <v>202210</v>
      </c>
      <c r="N140" s="1" t="s">
        <v>248</v>
      </c>
      <c r="O140" s="1" t="s">
        <v>213</v>
      </c>
      <c r="P140" s="1" t="s">
        <v>249</v>
      </c>
      <c r="Q140" s="1" t="s">
        <v>216</v>
      </c>
      <c r="R140" s="1" t="s">
        <v>246</v>
      </c>
      <c r="S140" s="1" t="s">
        <v>608</v>
      </c>
      <c r="T140" s="70" t="str">
        <f>_xlfn.XLOOKUP(Tabla1[[#This Row],[Universidad]],Conversiones!$B:$B,Conversiones!$C:$C)</f>
        <v>IE Instituto Empresa</v>
      </c>
      <c r="U140" s="70" t="str">
        <f>_xlfn.XLOOKUP(Tabla1[[#This Row],[Universidad KPIs]],Conversiones!$C:$C,Conversiones!$E:$E)</f>
        <v>General</v>
      </c>
      <c r="V140" s="1" t="s">
        <v>53</v>
      </c>
      <c r="W140" s="1" t="s">
        <v>250</v>
      </c>
      <c r="X140" s="55">
        <v>44585</v>
      </c>
      <c r="Y140" s="55">
        <v>44709</v>
      </c>
      <c r="Z140" s="1">
        <v>124</v>
      </c>
    </row>
    <row r="141" spans="1:26">
      <c r="A141" s="67" t="s">
        <v>818</v>
      </c>
      <c r="B141">
        <v>201712743</v>
      </c>
      <c r="C141" t="s">
        <v>819</v>
      </c>
      <c r="D141" t="s">
        <v>820</v>
      </c>
      <c r="E141" t="s">
        <v>821</v>
      </c>
      <c r="F141" t="s">
        <v>216</v>
      </c>
      <c r="G141" t="s">
        <v>246</v>
      </c>
      <c r="J141" t="s">
        <v>247</v>
      </c>
      <c r="K141">
        <v>2022</v>
      </c>
      <c r="L141">
        <v>202210</v>
      </c>
      <c r="M141">
        <v>202210</v>
      </c>
      <c r="N141" t="s">
        <v>248</v>
      </c>
      <c r="O141" t="s">
        <v>213</v>
      </c>
      <c r="P141" t="s">
        <v>249</v>
      </c>
      <c r="Q141" t="s">
        <v>216</v>
      </c>
      <c r="R141" t="s">
        <v>246</v>
      </c>
      <c r="S141" t="s">
        <v>255</v>
      </c>
      <c r="T141" s="70" t="str">
        <f>_xlfn.XLOOKUP(Tabla1[[#This Row],[Universidad]],Conversiones!$B:$B,Conversiones!$C:$C)</f>
        <v>ESC Rouen (NEOMA)</v>
      </c>
      <c r="U141" s="70" t="str">
        <f>_xlfn.XLOOKUP(Tabla1[[#This Row],[Universidad KPIs]],Conversiones!$C:$C,Conversiones!$E:$E)</f>
        <v>Específico</v>
      </c>
      <c r="V141" t="s">
        <v>41</v>
      </c>
      <c r="W141" t="s">
        <v>250</v>
      </c>
      <c r="X141" s="2">
        <v>44585</v>
      </c>
      <c r="Y141" s="2">
        <v>44709</v>
      </c>
      <c r="Z141">
        <v>124</v>
      </c>
    </row>
    <row r="142" spans="1:26">
      <c r="A142" s="68" t="s">
        <v>822</v>
      </c>
      <c r="B142" s="1">
        <v>201912173</v>
      </c>
      <c r="C142" s="1" t="s">
        <v>823</v>
      </c>
      <c r="D142" s="1" t="s">
        <v>824</v>
      </c>
      <c r="E142" s="1" t="s">
        <v>825</v>
      </c>
      <c r="F142" s="1" t="s">
        <v>216</v>
      </c>
      <c r="G142" s="1" t="s">
        <v>246</v>
      </c>
      <c r="H142" s="1" t="s">
        <v>512</v>
      </c>
      <c r="I142" s="1" t="s">
        <v>513</v>
      </c>
      <c r="J142" s="1" t="s">
        <v>247</v>
      </c>
      <c r="K142" s="1">
        <v>2022</v>
      </c>
      <c r="L142" s="1">
        <v>202220</v>
      </c>
      <c r="M142" s="1">
        <v>202220</v>
      </c>
      <c r="N142" s="1" t="s">
        <v>248</v>
      </c>
      <c r="O142" s="1" t="s">
        <v>213</v>
      </c>
      <c r="P142" s="1" t="s">
        <v>249</v>
      </c>
      <c r="Q142" s="1" t="s">
        <v>216</v>
      </c>
      <c r="R142" s="1" t="s">
        <v>246</v>
      </c>
      <c r="S142" s="1" t="s">
        <v>162</v>
      </c>
      <c r="T142" s="70" t="str">
        <f>_xlfn.XLOOKUP(Tabla1[[#This Row],[Universidad]],Conversiones!$B:$B,Conversiones!$C:$C)</f>
        <v>Université Paris-Dauphine</v>
      </c>
      <c r="U142" s="70" t="str">
        <f>_xlfn.XLOOKUP(Tabla1[[#This Row],[Universidad KPIs]],Conversiones!$C:$C,Conversiones!$E:$E)</f>
        <v>General</v>
      </c>
      <c r="V142" s="1" t="s">
        <v>41</v>
      </c>
      <c r="W142" s="1" t="s">
        <v>250</v>
      </c>
      <c r="X142" s="55">
        <v>44781</v>
      </c>
      <c r="Y142" s="55">
        <v>44898</v>
      </c>
      <c r="Z142" s="1">
        <v>117</v>
      </c>
    </row>
    <row r="143" spans="1:26">
      <c r="A143" s="67" t="s">
        <v>826</v>
      </c>
      <c r="B143">
        <v>201813367</v>
      </c>
      <c r="C143" t="s">
        <v>827</v>
      </c>
      <c r="D143" t="s">
        <v>828</v>
      </c>
      <c r="E143" t="s">
        <v>829</v>
      </c>
      <c r="F143" t="s">
        <v>216</v>
      </c>
      <c r="G143" t="s">
        <v>246</v>
      </c>
      <c r="H143" t="s">
        <v>460</v>
      </c>
      <c r="I143" t="s">
        <v>461</v>
      </c>
      <c r="J143" t="s">
        <v>247</v>
      </c>
      <c r="K143">
        <v>2022</v>
      </c>
      <c r="L143">
        <v>202220</v>
      </c>
      <c r="M143">
        <v>202220</v>
      </c>
      <c r="N143" t="s">
        <v>248</v>
      </c>
      <c r="O143" t="s">
        <v>213</v>
      </c>
      <c r="P143" t="s">
        <v>249</v>
      </c>
      <c r="Q143" t="s">
        <v>216</v>
      </c>
      <c r="R143" t="s">
        <v>246</v>
      </c>
      <c r="S143" t="s">
        <v>78</v>
      </c>
      <c r="T143" s="70" t="str">
        <f>_xlfn.XLOOKUP(Tabla1[[#This Row],[Universidad]],Conversiones!$B:$B,Conversiones!$C:$C)</f>
        <v>Maastricht University</v>
      </c>
      <c r="U143" s="70" t="str">
        <f>_xlfn.XLOOKUP(Tabla1[[#This Row],[Universidad KPIs]],Conversiones!$C:$C,Conversiones!$E:$E)</f>
        <v>Específico</v>
      </c>
      <c r="V143" t="s">
        <v>79</v>
      </c>
      <c r="W143" t="s">
        <v>250</v>
      </c>
      <c r="X143" s="2">
        <v>44781</v>
      </c>
      <c r="Y143" s="2">
        <v>44898</v>
      </c>
      <c r="Z143">
        <v>117</v>
      </c>
    </row>
    <row r="144" spans="1:26">
      <c r="A144" s="68" t="s">
        <v>830</v>
      </c>
      <c r="B144" s="1">
        <v>201922191</v>
      </c>
      <c r="C144" s="1" t="s">
        <v>831</v>
      </c>
      <c r="D144" s="1" t="s">
        <v>832</v>
      </c>
      <c r="E144" s="1" t="s">
        <v>833</v>
      </c>
      <c r="F144" s="1" t="s">
        <v>216</v>
      </c>
      <c r="G144" s="1" t="s">
        <v>246</v>
      </c>
      <c r="H144" s="1" t="s">
        <v>512</v>
      </c>
      <c r="I144" s="1" t="s">
        <v>513</v>
      </c>
      <c r="J144" s="1" t="s">
        <v>247</v>
      </c>
      <c r="K144" s="1">
        <v>2022</v>
      </c>
      <c r="L144" s="1">
        <v>202220</v>
      </c>
      <c r="M144" s="1">
        <v>202220</v>
      </c>
      <c r="N144" s="1" t="s">
        <v>248</v>
      </c>
      <c r="O144" s="1" t="s">
        <v>213</v>
      </c>
      <c r="P144" s="1" t="s">
        <v>834</v>
      </c>
      <c r="Q144" s="1" t="s">
        <v>216</v>
      </c>
      <c r="R144" s="1" t="s">
        <v>246</v>
      </c>
      <c r="S144" s="1" t="s">
        <v>158</v>
      </c>
      <c r="T144" s="70" t="str">
        <f>_xlfn.XLOOKUP(Tabla1[[#This Row],[Universidad]],Conversiones!$B:$B,Conversiones!$C:$C)</f>
        <v>Universitat Politècnica de Catalunya</v>
      </c>
      <c r="U144" s="70" t="str">
        <f>_xlfn.XLOOKUP(Tabla1[[#This Row],[Universidad KPIs]],Conversiones!$C:$C,Conversiones!$E:$E)</f>
        <v>General</v>
      </c>
      <c r="V144" s="1" t="s">
        <v>53</v>
      </c>
      <c r="W144" s="1" t="s">
        <v>250</v>
      </c>
      <c r="X144" s="55">
        <v>44781</v>
      </c>
      <c r="Y144" s="55">
        <v>44898</v>
      </c>
      <c r="Z144" s="1">
        <v>117</v>
      </c>
    </row>
    <row r="145" spans="1:26">
      <c r="A145" s="67" t="s">
        <v>835</v>
      </c>
      <c r="B145">
        <v>200623017</v>
      </c>
      <c r="C145" t="s">
        <v>836</v>
      </c>
      <c r="D145" t="s">
        <v>837</v>
      </c>
      <c r="E145" t="s">
        <v>838</v>
      </c>
      <c r="F145" t="s">
        <v>220</v>
      </c>
      <c r="G145" t="s">
        <v>246</v>
      </c>
      <c r="J145" t="s">
        <v>247</v>
      </c>
      <c r="K145">
        <v>2022</v>
      </c>
      <c r="L145">
        <v>202220</v>
      </c>
      <c r="M145">
        <v>202220</v>
      </c>
      <c r="N145" t="s">
        <v>587</v>
      </c>
      <c r="O145" t="s">
        <v>213</v>
      </c>
      <c r="P145" t="s">
        <v>588</v>
      </c>
      <c r="Q145" t="s">
        <v>220</v>
      </c>
      <c r="R145" t="s">
        <v>246</v>
      </c>
      <c r="S145" t="s">
        <v>839</v>
      </c>
      <c r="T145" s="70" t="str">
        <f>_xlfn.XLOOKUP(Tabla1[[#This Row],[Universidad]],Conversiones!$B:$B,Conversiones!$C:$C)</f>
        <v>London Business School</v>
      </c>
      <c r="U145" s="70" t="str">
        <f>_xlfn.XLOOKUP(Tabla1[[#This Row],[Universidad KPIs]],Conversiones!$C:$C,Conversiones!$E:$E)</f>
        <v>Específico</v>
      </c>
      <c r="V145" t="s">
        <v>39</v>
      </c>
      <c r="W145" t="s">
        <v>250</v>
      </c>
      <c r="X145" s="2">
        <v>44781</v>
      </c>
      <c r="Y145" s="2">
        <v>44898</v>
      </c>
      <c r="Z145">
        <v>117</v>
      </c>
    </row>
    <row r="146" spans="1:26">
      <c r="A146" s="68" t="s">
        <v>840</v>
      </c>
      <c r="B146" s="1">
        <v>201912523</v>
      </c>
      <c r="C146" s="1" t="s">
        <v>728</v>
      </c>
      <c r="D146" s="1" t="s">
        <v>648</v>
      </c>
      <c r="E146" s="1" t="s">
        <v>841</v>
      </c>
      <c r="F146" s="1" t="s">
        <v>216</v>
      </c>
      <c r="G146" s="1" t="s">
        <v>246</v>
      </c>
      <c r="H146" s="1" t="s">
        <v>460</v>
      </c>
      <c r="I146" s="1" t="s">
        <v>461</v>
      </c>
      <c r="J146" s="1" t="s">
        <v>247</v>
      </c>
      <c r="K146" s="1">
        <v>2022</v>
      </c>
      <c r="L146" s="1">
        <v>202220</v>
      </c>
      <c r="M146" s="1">
        <v>202220</v>
      </c>
      <c r="N146" s="1" t="s">
        <v>248</v>
      </c>
      <c r="O146" s="1" t="s">
        <v>213</v>
      </c>
      <c r="P146" s="1" t="s">
        <v>249</v>
      </c>
      <c r="Q146" s="1" t="s">
        <v>216</v>
      </c>
      <c r="R146" s="1" t="s">
        <v>246</v>
      </c>
      <c r="S146" s="1" t="s">
        <v>298</v>
      </c>
      <c r="T146" s="70" t="str">
        <f>_xlfn.XLOOKUP(Tabla1[[#This Row],[Universidad]],Conversiones!$B:$B,Conversiones!$C:$C)</f>
        <v>ESSEC</v>
      </c>
      <c r="U146" s="70" t="str">
        <f>_xlfn.XLOOKUP(Tabla1[[#This Row],[Universidad KPIs]],Conversiones!$C:$C,Conversiones!$E:$E)</f>
        <v>Específico</v>
      </c>
      <c r="V146" s="1" t="s">
        <v>41</v>
      </c>
      <c r="W146" s="1" t="s">
        <v>250</v>
      </c>
      <c r="X146" s="55">
        <v>44781</v>
      </c>
      <c r="Y146" s="55">
        <v>44898</v>
      </c>
      <c r="Z146" s="1">
        <v>117</v>
      </c>
    </row>
    <row r="147" spans="1:26">
      <c r="A147" s="67" t="s">
        <v>842</v>
      </c>
      <c r="B147">
        <v>201821140</v>
      </c>
      <c r="C147" t="s">
        <v>843</v>
      </c>
      <c r="D147" t="s">
        <v>844</v>
      </c>
      <c r="E147" t="s">
        <v>845</v>
      </c>
      <c r="F147" t="s">
        <v>216</v>
      </c>
      <c r="G147" t="s">
        <v>246</v>
      </c>
      <c r="J147" t="s">
        <v>247</v>
      </c>
      <c r="K147">
        <v>2022</v>
      </c>
      <c r="L147">
        <v>202210</v>
      </c>
      <c r="M147">
        <v>202210</v>
      </c>
      <c r="N147" t="s">
        <v>248</v>
      </c>
      <c r="O147" t="s">
        <v>213</v>
      </c>
      <c r="P147" t="s">
        <v>249</v>
      </c>
      <c r="Q147" t="s">
        <v>216</v>
      </c>
      <c r="R147" t="s">
        <v>246</v>
      </c>
      <c r="S147" t="s">
        <v>155</v>
      </c>
      <c r="T147" s="70" t="str">
        <f>_xlfn.XLOOKUP(Tabla1[[#This Row],[Universidad]],Conversiones!$B:$B,Conversiones!$C:$C)</f>
        <v>Università degli Studi di Bologna 'Alma Mater Studiorum'</v>
      </c>
      <c r="U147" s="70" t="str">
        <f>_xlfn.XLOOKUP(Tabla1[[#This Row],[Universidad KPIs]],Conversiones!$C:$C,Conversiones!$E:$E)</f>
        <v>General</v>
      </c>
      <c r="V147" t="s">
        <v>87</v>
      </c>
      <c r="W147" t="s">
        <v>250</v>
      </c>
      <c r="X147" s="2">
        <v>44585</v>
      </c>
      <c r="Y147" s="2">
        <v>44709</v>
      </c>
      <c r="Z147">
        <v>124</v>
      </c>
    </row>
    <row r="148" spans="1:26">
      <c r="A148" s="68" t="s">
        <v>846</v>
      </c>
      <c r="B148" s="1">
        <v>201819907</v>
      </c>
      <c r="C148" s="1" t="s">
        <v>295</v>
      </c>
      <c r="D148" s="1" t="s">
        <v>847</v>
      </c>
      <c r="E148" s="1" t="s">
        <v>848</v>
      </c>
      <c r="F148" s="1" t="s">
        <v>216</v>
      </c>
      <c r="G148" s="1" t="s">
        <v>246</v>
      </c>
      <c r="H148" s="1"/>
      <c r="I148" s="1"/>
      <c r="J148" s="1" t="s">
        <v>247</v>
      </c>
      <c r="K148" s="1">
        <v>2022</v>
      </c>
      <c r="L148" s="1">
        <v>202210</v>
      </c>
      <c r="M148" s="1">
        <v>202210</v>
      </c>
      <c r="N148" s="1" t="s">
        <v>248</v>
      </c>
      <c r="O148" s="1" t="s">
        <v>213</v>
      </c>
      <c r="P148" s="1" t="s">
        <v>249</v>
      </c>
      <c r="Q148" s="1" t="s">
        <v>216</v>
      </c>
      <c r="R148" s="1" t="s">
        <v>246</v>
      </c>
      <c r="S148" s="1" t="s">
        <v>781</v>
      </c>
      <c r="T148" s="70" t="str">
        <f>_xlfn.XLOOKUP(Tabla1[[#This Row],[Universidad]],Conversiones!$B:$B,Conversiones!$C:$C)</f>
        <v>ITESM-EGADE -Instituto tecnológico y de estudios superiores de Monterrey</v>
      </c>
      <c r="U148" s="70" t="str">
        <f>_xlfn.XLOOKUP(Tabla1[[#This Row],[Universidad KPIs]],Conversiones!$C:$C,Conversiones!$E:$E)</f>
        <v>Específico</v>
      </c>
      <c r="V148" s="1" t="s">
        <v>71</v>
      </c>
      <c r="W148" s="1" t="s">
        <v>260</v>
      </c>
      <c r="X148" s="55">
        <v>44585</v>
      </c>
      <c r="Y148" s="55">
        <v>44709</v>
      </c>
      <c r="Z148" s="1">
        <v>124</v>
      </c>
    </row>
    <row r="149" spans="1:26">
      <c r="A149" s="67" t="s">
        <v>849</v>
      </c>
      <c r="B149">
        <v>201821166</v>
      </c>
      <c r="C149" t="s">
        <v>257</v>
      </c>
      <c r="D149" t="s">
        <v>850</v>
      </c>
      <c r="E149" t="s">
        <v>851</v>
      </c>
      <c r="F149" t="s">
        <v>216</v>
      </c>
      <c r="G149" t="s">
        <v>246</v>
      </c>
      <c r="J149" t="s">
        <v>247</v>
      </c>
      <c r="K149">
        <v>2022</v>
      </c>
      <c r="L149">
        <v>202210</v>
      </c>
      <c r="M149">
        <v>202210</v>
      </c>
      <c r="N149" t="s">
        <v>248</v>
      </c>
      <c r="O149" t="s">
        <v>213</v>
      </c>
      <c r="P149" t="s">
        <v>249</v>
      </c>
      <c r="Q149" t="s">
        <v>216</v>
      </c>
      <c r="R149" t="s">
        <v>246</v>
      </c>
      <c r="S149" t="s">
        <v>274</v>
      </c>
      <c r="T149" s="70" t="str">
        <f>_xlfn.XLOOKUP(Tabla1[[#This Row],[Universidad]],Conversiones!$B:$B,Conversiones!$C:$C)</f>
        <v>Catolica Lisbon Business &amp; Economics. Universidade Católica Portuguesa</v>
      </c>
      <c r="U149" s="70" t="str">
        <f>_xlfn.XLOOKUP(Tabla1[[#This Row],[Universidad KPIs]],Conversiones!$C:$C,Conversiones!$E:$E)</f>
        <v>Específico</v>
      </c>
      <c r="V149" t="s">
        <v>45</v>
      </c>
      <c r="W149" t="s">
        <v>250</v>
      </c>
      <c r="X149" s="2">
        <v>44585</v>
      </c>
      <c r="Y149" s="2">
        <v>44709</v>
      </c>
      <c r="Z149">
        <v>124</v>
      </c>
    </row>
    <row r="150" spans="1:26">
      <c r="A150" s="68" t="s">
        <v>852</v>
      </c>
      <c r="B150" s="1">
        <v>201822342</v>
      </c>
      <c r="C150" s="1" t="s">
        <v>853</v>
      </c>
      <c r="D150" s="1" t="s">
        <v>854</v>
      </c>
      <c r="E150" s="1" t="s">
        <v>855</v>
      </c>
      <c r="F150" s="1" t="s">
        <v>216</v>
      </c>
      <c r="G150" s="1" t="s">
        <v>246</v>
      </c>
      <c r="H150" s="1"/>
      <c r="I150" s="1"/>
      <c r="J150" s="1" t="s">
        <v>247</v>
      </c>
      <c r="K150" s="1">
        <v>2022</v>
      </c>
      <c r="L150" s="1">
        <v>202220</v>
      </c>
      <c r="M150" s="1">
        <v>202220</v>
      </c>
      <c r="N150" s="1" t="s">
        <v>248</v>
      </c>
      <c r="O150" s="1" t="s">
        <v>214</v>
      </c>
      <c r="P150" s="1" t="s">
        <v>446</v>
      </c>
      <c r="Q150" s="1" t="s">
        <v>216</v>
      </c>
      <c r="R150" s="1" t="s">
        <v>246</v>
      </c>
      <c r="S150" s="1" t="s">
        <v>279</v>
      </c>
      <c r="T150" s="70" t="str">
        <f>_xlfn.XLOOKUP(Tabla1[[#This Row],[Universidad]],Conversiones!$B:$B,Conversiones!$C:$C)</f>
        <v>Toulouse Business School</v>
      </c>
      <c r="U150" s="70" t="str">
        <f>_xlfn.XLOOKUP(Tabla1[[#This Row],[Universidad KPIs]],Conversiones!$C:$C,Conversiones!$E:$E)</f>
        <v>Específico</v>
      </c>
      <c r="V150" s="1" t="s">
        <v>41</v>
      </c>
      <c r="W150" s="1" t="s">
        <v>250</v>
      </c>
      <c r="X150" s="55">
        <v>44781</v>
      </c>
      <c r="Y150" s="55">
        <v>44898</v>
      </c>
      <c r="Z150" s="1">
        <v>117</v>
      </c>
    </row>
    <row r="151" spans="1:26">
      <c r="A151" s="67" t="s">
        <v>856</v>
      </c>
      <c r="B151">
        <v>201821189</v>
      </c>
      <c r="C151" t="s">
        <v>327</v>
      </c>
      <c r="D151" t="s">
        <v>857</v>
      </c>
      <c r="E151" t="s">
        <v>858</v>
      </c>
      <c r="F151" t="s">
        <v>216</v>
      </c>
      <c r="G151" t="s">
        <v>246</v>
      </c>
      <c r="J151" t="s">
        <v>247</v>
      </c>
      <c r="K151">
        <v>2022</v>
      </c>
      <c r="L151">
        <v>202210</v>
      </c>
      <c r="M151">
        <v>202210</v>
      </c>
      <c r="N151" t="s">
        <v>248</v>
      </c>
      <c r="O151" t="s">
        <v>213</v>
      </c>
      <c r="P151" t="s">
        <v>249</v>
      </c>
      <c r="Q151" t="s">
        <v>216</v>
      </c>
      <c r="R151" t="s">
        <v>246</v>
      </c>
      <c r="S151" t="s">
        <v>289</v>
      </c>
      <c r="T151" s="70" t="str">
        <f>_xlfn.XLOOKUP(Tabla1[[#This Row],[Universidad]],Conversiones!$B:$B,Conversiones!$C:$C)</f>
        <v>ESADE</v>
      </c>
      <c r="U151" s="70" t="str">
        <f>_xlfn.XLOOKUP(Tabla1[[#This Row],[Universidad KPIs]],Conversiones!$C:$C,Conversiones!$E:$E)</f>
        <v>Específico</v>
      </c>
      <c r="V151" t="s">
        <v>53</v>
      </c>
      <c r="W151" t="s">
        <v>250</v>
      </c>
      <c r="X151" s="2">
        <v>44585</v>
      </c>
      <c r="Y151" s="2">
        <v>44709</v>
      </c>
      <c r="Z151">
        <v>124</v>
      </c>
    </row>
    <row r="152" spans="1:26">
      <c r="A152" s="68" t="s">
        <v>859</v>
      </c>
      <c r="B152" s="1">
        <v>201822773</v>
      </c>
      <c r="C152" s="1" t="s">
        <v>376</v>
      </c>
      <c r="D152" s="1" t="s">
        <v>860</v>
      </c>
      <c r="E152" s="1" t="s">
        <v>861</v>
      </c>
      <c r="F152" s="1" t="s">
        <v>216</v>
      </c>
      <c r="G152" s="1" t="s">
        <v>246</v>
      </c>
      <c r="H152" s="1"/>
      <c r="I152" s="1"/>
      <c r="J152" s="1" t="s">
        <v>247</v>
      </c>
      <c r="K152" s="1">
        <v>2022</v>
      </c>
      <c r="L152" s="1">
        <v>202220</v>
      </c>
      <c r="M152" s="1">
        <v>202220</v>
      </c>
      <c r="N152" s="1" t="s">
        <v>248</v>
      </c>
      <c r="O152" s="1" t="s">
        <v>213</v>
      </c>
      <c r="P152" s="1" t="s">
        <v>249</v>
      </c>
      <c r="Q152" s="1" t="s">
        <v>216</v>
      </c>
      <c r="R152" s="1" t="s">
        <v>246</v>
      </c>
      <c r="S152" s="1" t="s">
        <v>137</v>
      </c>
      <c r="T152" s="70" t="str">
        <f>_xlfn.XLOOKUP(Tabla1[[#This Row],[Universidad]],Conversiones!$B:$B,Conversiones!$C:$C)</f>
        <v>St. John's University</v>
      </c>
      <c r="U152" s="70" t="str">
        <f>_xlfn.XLOOKUP(Tabla1[[#This Row],[Universidad KPIs]],Conversiones!$C:$C,Conversiones!$E:$E)</f>
        <v>General</v>
      </c>
      <c r="V152" s="1" t="s">
        <v>35</v>
      </c>
      <c r="W152" s="1" t="s">
        <v>260</v>
      </c>
      <c r="X152" s="55">
        <v>44781</v>
      </c>
      <c r="Y152" s="55">
        <v>44898</v>
      </c>
      <c r="Z152" s="1">
        <v>117</v>
      </c>
    </row>
    <row r="153" spans="1:26">
      <c r="A153" s="67" t="s">
        <v>862</v>
      </c>
      <c r="B153">
        <v>201820464</v>
      </c>
      <c r="C153" t="s">
        <v>569</v>
      </c>
      <c r="D153" t="s">
        <v>863</v>
      </c>
      <c r="E153" t="s">
        <v>864</v>
      </c>
      <c r="F153" t="s">
        <v>216</v>
      </c>
      <c r="G153" t="s">
        <v>246</v>
      </c>
      <c r="H153" t="s">
        <v>460</v>
      </c>
      <c r="I153" t="s">
        <v>461</v>
      </c>
      <c r="J153" t="s">
        <v>247</v>
      </c>
      <c r="K153">
        <v>2022</v>
      </c>
      <c r="L153">
        <v>202220</v>
      </c>
      <c r="M153">
        <v>202220</v>
      </c>
      <c r="N153" t="s">
        <v>248</v>
      </c>
      <c r="O153" t="s">
        <v>213</v>
      </c>
      <c r="P153" t="s">
        <v>249</v>
      </c>
      <c r="Q153" t="s">
        <v>216</v>
      </c>
      <c r="R153" t="s">
        <v>246</v>
      </c>
      <c r="S153" t="s">
        <v>738</v>
      </c>
      <c r="T153" s="70" t="str">
        <f>_xlfn.XLOOKUP(Tabla1[[#This Row],[Universidad]],Conversiones!$B:$B,Conversiones!$C:$C)</f>
        <v>Universidad de Tilburg</v>
      </c>
      <c r="U153" s="70" t="str">
        <f>_xlfn.XLOOKUP(Tabla1[[#This Row],[Universidad KPIs]],Conversiones!$C:$C,Conversiones!$E:$E)</f>
        <v>Específico</v>
      </c>
      <c r="V153" t="s">
        <v>79</v>
      </c>
      <c r="W153" t="s">
        <v>250</v>
      </c>
      <c r="X153" s="2">
        <v>44781</v>
      </c>
      <c r="Y153" s="2">
        <v>44898</v>
      </c>
      <c r="Z153">
        <v>117</v>
      </c>
    </row>
    <row r="154" spans="1:26">
      <c r="A154" s="68" t="s">
        <v>865</v>
      </c>
      <c r="B154" s="1">
        <v>201821204</v>
      </c>
      <c r="C154" s="1" t="s">
        <v>866</v>
      </c>
      <c r="D154" s="1" t="s">
        <v>867</v>
      </c>
      <c r="E154" s="1" t="s">
        <v>868</v>
      </c>
      <c r="F154" s="1" t="s">
        <v>216</v>
      </c>
      <c r="G154" s="1" t="s">
        <v>246</v>
      </c>
      <c r="H154" s="1"/>
      <c r="I154" s="1"/>
      <c r="J154" s="1" t="s">
        <v>247</v>
      </c>
      <c r="K154" s="1">
        <v>2022</v>
      </c>
      <c r="L154" s="1">
        <v>202220</v>
      </c>
      <c r="M154" s="1">
        <v>202220</v>
      </c>
      <c r="N154" s="1" t="s">
        <v>248</v>
      </c>
      <c r="O154" s="1" t="s">
        <v>214</v>
      </c>
      <c r="P154" s="1" t="s">
        <v>446</v>
      </c>
      <c r="Q154" s="1" t="s">
        <v>216</v>
      </c>
      <c r="R154" s="1" t="s">
        <v>246</v>
      </c>
      <c r="S154" s="1" t="s">
        <v>279</v>
      </c>
      <c r="T154" s="70" t="str">
        <f>_xlfn.XLOOKUP(Tabla1[[#This Row],[Universidad]],Conversiones!$B:$B,Conversiones!$C:$C)</f>
        <v>Toulouse Business School</v>
      </c>
      <c r="U154" s="70" t="str">
        <f>_xlfn.XLOOKUP(Tabla1[[#This Row],[Universidad KPIs]],Conversiones!$C:$C,Conversiones!$E:$E)</f>
        <v>Específico</v>
      </c>
      <c r="V154" s="1" t="s">
        <v>41</v>
      </c>
      <c r="W154" s="1" t="s">
        <v>250</v>
      </c>
      <c r="X154" s="55">
        <v>44781</v>
      </c>
      <c r="Y154" s="55">
        <v>44898</v>
      </c>
      <c r="Z154" s="1">
        <v>117</v>
      </c>
    </row>
    <row r="155" spans="1:26">
      <c r="A155" s="67" t="s">
        <v>869</v>
      </c>
      <c r="B155">
        <v>201922398</v>
      </c>
      <c r="C155" t="s">
        <v>870</v>
      </c>
      <c r="D155" t="s">
        <v>871</v>
      </c>
      <c r="E155" t="s">
        <v>872</v>
      </c>
      <c r="F155" t="s">
        <v>216</v>
      </c>
      <c r="G155" t="s">
        <v>246</v>
      </c>
      <c r="H155">
        <v>0</v>
      </c>
      <c r="I155">
        <v>0</v>
      </c>
      <c r="J155" t="s">
        <v>247</v>
      </c>
      <c r="K155">
        <v>2022</v>
      </c>
      <c r="L155">
        <v>202220</v>
      </c>
      <c r="M155">
        <v>202220</v>
      </c>
      <c r="N155" t="s">
        <v>248</v>
      </c>
      <c r="O155" t="s">
        <v>213</v>
      </c>
      <c r="P155" t="s">
        <v>249</v>
      </c>
      <c r="Q155" t="s">
        <v>216</v>
      </c>
      <c r="R155" t="s">
        <v>246</v>
      </c>
      <c r="S155" t="s">
        <v>255</v>
      </c>
      <c r="T155" s="70" t="str">
        <f>_xlfn.XLOOKUP(Tabla1[[#This Row],[Universidad]],Conversiones!$B:$B,Conversiones!$C:$C)</f>
        <v>ESC Rouen (NEOMA)</v>
      </c>
      <c r="U155" s="70" t="str">
        <f>_xlfn.XLOOKUP(Tabla1[[#This Row],[Universidad KPIs]],Conversiones!$C:$C,Conversiones!$E:$E)</f>
        <v>Específico</v>
      </c>
      <c r="V155" t="s">
        <v>41</v>
      </c>
      <c r="W155" t="s">
        <v>250</v>
      </c>
      <c r="X155" s="2">
        <v>44781</v>
      </c>
      <c r="Y155" s="2">
        <v>44898</v>
      </c>
      <c r="Z155">
        <v>117</v>
      </c>
    </row>
    <row r="156" spans="1:26">
      <c r="A156" s="68" t="s">
        <v>474</v>
      </c>
      <c r="B156" s="1">
        <v>201813783</v>
      </c>
      <c r="C156" s="1" t="s">
        <v>475</v>
      </c>
      <c r="D156" s="1" t="s">
        <v>476</v>
      </c>
      <c r="E156" s="1" t="s">
        <v>477</v>
      </c>
      <c r="F156" s="1" t="s">
        <v>216</v>
      </c>
      <c r="G156" s="1" t="s">
        <v>246</v>
      </c>
      <c r="H156" s="1"/>
      <c r="I156" s="1"/>
      <c r="J156" s="1" t="s">
        <v>247</v>
      </c>
      <c r="K156" s="1">
        <v>2022</v>
      </c>
      <c r="L156" s="1">
        <v>202220</v>
      </c>
      <c r="M156" s="1">
        <v>202220</v>
      </c>
      <c r="N156" s="1" t="s">
        <v>248</v>
      </c>
      <c r="O156" s="1" t="s">
        <v>214</v>
      </c>
      <c r="P156" s="1" t="s">
        <v>446</v>
      </c>
      <c r="Q156" s="1" t="s">
        <v>216</v>
      </c>
      <c r="R156" s="1" t="s">
        <v>246</v>
      </c>
      <c r="S156" s="1" t="s">
        <v>279</v>
      </c>
      <c r="T156" s="70" t="str">
        <f>_xlfn.XLOOKUP(Tabla1[[#This Row],[Universidad]],Conversiones!$B:$B,Conversiones!$C:$C)</f>
        <v>Toulouse Business School</v>
      </c>
      <c r="U156" s="70" t="str">
        <f>_xlfn.XLOOKUP(Tabla1[[#This Row],[Universidad KPIs]],Conversiones!$C:$C,Conversiones!$E:$E)</f>
        <v>Específico</v>
      </c>
      <c r="V156" s="1" t="s">
        <v>41</v>
      </c>
      <c r="W156" s="1" t="s">
        <v>250</v>
      </c>
      <c r="X156" s="55">
        <v>44781</v>
      </c>
      <c r="Y156" s="55">
        <v>44898</v>
      </c>
      <c r="Z156" s="1">
        <v>117</v>
      </c>
    </row>
    <row r="157" spans="1:26">
      <c r="A157" s="67" t="s">
        <v>873</v>
      </c>
      <c r="B157">
        <v>201514290</v>
      </c>
      <c r="C157" t="s">
        <v>874</v>
      </c>
      <c r="D157" t="s">
        <v>875</v>
      </c>
      <c r="E157" t="s">
        <v>876</v>
      </c>
      <c r="F157" t="s">
        <v>216</v>
      </c>
      <c r="G157" t="s">
        <v>246</v>
      </c>
      <c r="J157" t="s">
        <v>247</v>
      </c>
      <c r="K157">
        <v>2022</v>
      </c>
      <c r="L157">
        <v>202219</v>
      </c>
      <c r="M157">
        <v>202219</v>
      </c>
      <c r="N157" t="s">
        <v>248</v>
      </c>
      <c r="O157" t="s">
        <v>553</v>
      </c>
      <c r="P157" t="s">
        <v>437</v>
      </c>
      <c r="Q157" t="s">
        <v>216</v>
      </c>
      <c r="R157" t="s">
        <v>246</v>
      </c>
      <c r="S157" t="s">
        <v>181</v>
      </c>
      <c r="T157" s="70" t="str">
        <f>_xlfn.XLOOKUP(Tabla1[[#This Row],[Universidad]],Conversiones!$B:$B,Conversiones!$C:$C)</f>
        <v>Cornell University</v>
      </c>
      <c r="U157" s="70" t="str">
        <f>_xlfn.XLOOKUP(Tabla1[[#This Row],[Universidad KPIs]],Conversiones!$C:$C,Conversiones!$E:$E)</f>
        <v>General</v>
      </c>
      <c r="V157" t="s">
        <v>35</v>
      </c>
      <c r="W157" t="s">
        <v>260</v>
      </c>
      <c r="X157" s="2">
        <v>44718</v>
      </c>
      <c r="Y157" s="2">
        <v>44772</v>
      </c>
      <c r="Z157">
        <v>54</v>
      </c>
    </row>
    <row r="158" spans="1:26">
      <c r="A158" s="68" t="s">
        <v>877</v>
      </c>
      <c r="B158" s="1">
        <v>201730940</v>
      </c>
      <c r="C158" s="1" t="s">
        <v>878</v>
      </c>
      <c r="D158" s="1" t="s">
        <v>879</v>
      </c>
      <c r="E158" s="1" t="s">
        <v>880</v>
      </c>
      <c r="F158" s="1" t="s">
        <v>216</v>
      </c>
      <c r="G158" s="1" t="s">
        <v>246</v>
      </c>
      <c r="H158" s="1"/>
      <c r="I158" s="1"/>
      <c r="J158" s="1" t="s">
        <v>247</v>
      </c>
      <c r="K158" s="1">
        <v>2022</v>
      </c>
      <c r="L158" s="1">
        <v>202210</v>
      </c>
      <c r="M158" s="1">
        <v>202210</v>
      </c>
      <c r="N158" s="1" t="s">
        <v>248</v>
      </c>
      <c r="O158" s="1" t="s">
        <v>213</v>
      </c>
      <c r="P158" s="1" t="s">
        <v>249</v>
      </c>
      <c r="Q158" s="1" t="s">
        <v>216</v>
      </c>
      <c r="R158" s="1" t="s">
        <v>246</v>
      </c>
      <c r="S158" s="1" t="s">
        <v>284</v>
      </c>
      <c r="T158" s="70" t="str">
        <f>_xlfn.XLOOKUP(Tabla1[[#This Row],[Universidad]],Conversiones!$B:$B,Conversiones!$C:$C)</f>
        <v>HEC Lausanne</v>
      </c>
      <c r="U158" s="70" t="str">
        <f>_xlfn.XLOOKUP(Tabla1[[#This Row],[Universidad KPIs]],Conversiones!$C:$C,Conversiones!$E:$E)</f>
        <v>Específico</v>
      </c>
      <c r="V158" s="1" t="s">
        <v>65</v>
      </c>
      <c r="W158" s="1" t="s">
        <v>250</v>
      </c>
      <c r="X158" s="55">
        <v>44585</v>
      </c>
      <c r="Y158" s="55">
        <v>44709</v>
      </c>
      <c r="Z158" s="1">
        <v>124</v>
      </c>
    </row>
    <row r="159" spans="1:26">
      <c r="A159" s="67" t="s">
        <v>881</v>
      </c>
      <c r="B159">
        <v>201821298</v>
      </c>
      <c r="C159" t="s">
        <v>555</v>
      </c>
      <c r="D159" t="s">
        <v>882</v>
      </c>
      <c r="E159" t="s">
        <v>883</v>
      </c>
      <c r="F159" t="s">
        <v>216</v>
      </c>
      <c r="G159" t="s">
        <v>246</v>
      </c>
      <c r="J159" t="s">
        <v>247</v>
      </c>
      <c r="K159">
        <v>2022</v>
      </c>
      <c r="L159">
        <v>202220</v>
      </c>
      <c r="M159">
        <v>202220</v>
      </c>
      <c r="N159" t="s">
        <v>248</v>
      </c>
      <c r="O159" t="s">
        <v>213</v>
      </c>
      <c r="P159" t="s">
        <v>834</v>
      </c>
      <c r="Q159" t="s">
        <v>216</v>
      </c>
      <c r="R159" t="s">
        <v>246</v>
      </c>
      <c r="S159" t="s">
        <v>156</v>
      </c>
      <c r="T159" s="70" t="str">
        <f>_xlfn.XLOOKUP(Tabla1[[#This Row],[Universidad]],Conversiones!$B:$B,Conversiones!$C:$C)</f>
        <v>Università degli Studi di Genova</v>
      </c>
      <c r="U159" s="70" t="str">
        <f>_xlfn.XLOOKUP(Tabla1[[#This Row],[Universidad KPIs]],Conversiones!$C:$C,Conversiones!$E:$E)</f>
        <v>General</v>
      </c>
      <c r="V159" t="s">
        <v>87</v>
      </c>
      <c r="W159" t="s">
        <v>250</v>
      </c>
      <c r="X159" s="2">
        <v>44781</v>
      </c>
      <c r="Y159" s="2">
        <v>44898</v>
      </c>
      <c r="Z159">
        <v>117</v>
      </c>
    </row>
    <row r="160" spans="1:26">
      <c r="A160" s="68" t="s">
        <v>576</v>
      </c>
      <c r="B160" s="1">
        <v>201729731</v>
      </c>
      <c r="C160" s="1" t="s">
        <v>443</v>
      </c>
      <c r="D160" s="1" t="s">
        <v>884</v>
      </c>
      <c r="E160" s="1" t="s">
        <v>885</v>
      </c>
      <c r="F160" s="1" t="s">
        <v>216</v>
      </c>
      <c r="G160" s="1" t="s">
        <v>246</v>
      </c>
      <c r="H160" s="1" t="s">
        <v>460</v>
      </c>
      <c r="I160" s="1" t="s">
        <v>461</v>
      </c>
      <c r="J160" s="1" t="s">
        <v>247</v>
      </c>
      <c r="K160" s="1">
        <v>2022</v>
      </c>
      <c r="L160" s="1">
        <v>202210</v>
      </c>
      <c r="M160" s="1">
        <v>202210</v>
      </c>
      <c r="N160" s="1" t="s">
        <v>248</v>
      </c>
      <c r="O160" s="1" t="s">
        <v>213</v>
      </c>
      <c r="P160" s="1" t="s">
        <v>249</v>
      </c>
      <c r="Q160" s="1" t="s">
        <v>216</v>
      </c>
      <c r="R160" s="1" t="s">
        <v>246</v>
      </c>
      <c r="S160" s="1" t="s">
        <v>78</v>
      </c>
      <c r="T160" s="70" t="str">
        <f>_xlfn.XLOOKUP(Tabla1[[#This Row],[Universidad]],Conversiones!$B:$B,Conversiones!$C:$C)</f>
        <v>Maastricht University</v>
      </c>
      <c r="U160" s="70" t="str">
        <f>_xlfn.XLOOKUP(Tabla1[[#This Row],[Universidad KPIs]],Conversiones!$C:$C,Conversiones!$E:$E)</f>
        <v>Específico</v>
      </c>
      <c r="V160" s="1" t="s">
        <v>79</v>
      </c>
      <c r="W160" s="1" t="s">
        <v>250</v>
      </c>
      <c r="X160" s="55">
        <v>44585</v>
      </c>
      <c r="Y160" s="55">
        <v>44709</v>
      </c>
      <c r="Z160" s="1">
        <v>124</v>
      </c>
    </row>
    <row r="161" spans="1:26">
      <c r="A161" s="67" t="s">
        <v>576</v>
      </c>
      <c r="B161">
        <v>201729731</v>
      </c>
      <c r="C161" t="s">
        <v>443</v>
      </c>
      <c r="D161" t="s">
        <v>884</v>
      </c>
      <c r="E161" t="s">
        <v>885</v>
      </c>
      <c r="F161" t="s">
        <v>216</v>
      </c>
      <c r="G161" t="s">
        <v>246</v>
      </c>
      <c r="J161" t="s">
        <v>247</v>
      </c>
      <c r="K161">
        <v>2022</v>
      </c>
      <c r="L161">
        <v>202219</v>
      </c>
      <c r="M161">
        <v>202219</v>
      </c>
      <c r="N161" t="s">
        <v>248</v>
      </c>
      <c r="O161" t="s">
        <v>553</v>
      </c>
      <c r="P161" t="s">
        <v>437</v>
      </c>
      <c r="Q161" t="s">
        <v>216</v>
      </c>
      <c r="R161" t="s">
        <v>246</v>
      </c>
      <c r="S161" t="s">
        <v>181</v>
      </c>
      <c r="T161" s="70" t="str">
        <f>_xlfn.XLOOKUP(Tabla1[[#This Row],[Universidad]],Conversiones!$B:$B,Conversiones!$C:$C)</f>
        <v>Cornell University</v>
      </c>
      <c r="U161" s="70" t="str">
        <f>_xlfn.XLOOKUP(Tabla1[[#This Row],[Universidad KPIs]],Conversiones!$C:$C,Conversiones!$E:$E)</f>
        <v>General</v>
      </c>
      <c r="V161" t="s">
        <v>35</v>
      </c>
      <c r="W161" t="s">
        <v>260</v>
      </c>
      <c r="X161" s="2">
        <v>44718</v>
      </c>
      <c r="Y161" s="2">
        <v>44772</v>
      </c>
      <c r="Z161">
        <v>54</v>
      </c>
    </row>
    <row r="162" spans="1:26">
      <c r="A162" s="68" t="s">
        <v>886</v>
      </c>
      <c r="B162" s="1">
        <v>201731849</v>
      </c>
      <c r="C162" s="1" t="s">
        <v>887</v>
      </c>
      <c r="D162" s="1" t="s">
        <v>870</v>
      </c>
      <c r="E162" s="1" t="s">
        <v>888</v>
      </c>
      <c r="F162" s="1" t="s">
        <v>216</v>
      </c>
      <c r="G162" s="1" t="s">
        <v>246</v>
      </c>
      <c r="H162" s="1"/>
      <c r="I162" s="1"/>
      <c r="J162" s="1" t="s">
        <v>247</v>
      </c>
      <c r="K162" s="1">
        <v>2022</v>
      </c>
      <c r="L162" s="1">
        <v>202210</v>
      </c>
      <c r="M162" s="1">
        <v>202120</v>
      </c>
      <c r="N162" s="1" t="s">
        <v>248</v>
      </c>
      <c r="O162" s="1" t="s">
        <v>213</v>
      </c>
      <c r="P162" s="1" t="s">
        <v>249</v>
      </c>
      <c r="Q162" s="1" t="s">
        <v>216</v>
      </c>
      <c r="R162" s="1" t="s">
        <v>246</v>
      </c>
      <c r="S162" s="1" t="s">
        <v>619</v>
      </c>
      <c r="T162" s="70" t="str">
        <f>_xlfn.XLOOKUP(Tabla1[[#This Row],[Universidad]],Conversiones!$B:$B,Conversiones!$C:$C)</f>
        <v>Grenoble. École de Management</v>
      </c>
      <c r="U162" s="70" t="str">
        <f>_xlfn.XLOOKUP(Tabla1[[#This Row],[Universidad KPIs]],Conversiones!$C:$C,Conversiones!$E:$E)</f>
        <v>Específico</v>
      </c>
      <c r="V162" s="1" t="s">
        <v>41</v>
      </c>
      <c r="W162" s="1" t="s">
        <v>250</v>
      </c>
      <c r="X162" s="55">
        <v>44585</v>
      </c>
      <c r="Y162" s="55">
        <v>44709</v>
      </c>
      <c r="Z162" s="1">
        <v>124</v>
      </c>
    </row>
    <row r="163" spans="1:26">
      <c r="A163" s="67" t="s">
        <v>889</v>
      </c>
      <c r="B163">
        <v>201922500</v>
      </c>
      <c r="C163" t="s">
        <v>434</v>
      </c>
      <c r="D163" t="s">
        <v>890</v>
      </c>
      <c r="E163" t="s">
        <v>891</v>
      </c>
      <c r="F163" t="s">
        <v>216</v>
      </c>
      <c r="G163" t="s">
        <v>246</v>
      </c>
      <c r="J163" t="s">
        <v>247</v>
      </c>
      <c r="K163">
        <v>2022</v>
      </c>
      <c r="L163">
        <v>202210</v>
      </c>
      <c r="M163">
        <v>202210</v>
      </c>
      <c r="N163" t="s">
        <v>248</v>
      </c>
      <c r="O163" t="s">
        <v>213</v>
      </c>
      <c r="P163" t="s">
        <v>249</v>
      </c>
      <c r="Q163" t="s">
        <v>216</v>
      </c>
      <c r="R163" t="s">
        <v>246</v>
      </c>
      <c r="S163" t="s">
        <v>892</v>
      </c>
      <c r="T163" s="70" t="str">
        <f>_xlfn.XLOOKUP(Tabla1[[#This Row],[Universidad]],Conversiones!$B:$B,Conversiones!$C:$C)</f>
        <v>Johannes Gutemberg - Universität Mainz</v>
      </c>
      <c r="U163" s="70" t="str">
        <f>_xlfn.XLOOKUP(Tabla1[[#This Row],[Universidad KPIs]],Conversiones!$C:$C,Conversiones!$E:$E)</f>
        <v>General</v>
      </c>
      <c r="V163" t="s">
        <v>60</v>
      </c>
      <c r="W163" t="s">
        <v>250</v>
      </c>
      <c r="X163" s="2">
        <v>44585</v>
      </c>
      <c r="Y163" s="2">
        <v>44709</v>
      </c>
      <c r="Z163">
        <v>124</v>
      </c>
    </row>
    <row r="164" spans="1:26">
      <c r="A164" s="68" t="s">
        <v>893</v>
      </c>
      <c r="B164" s="1">
        <v>201621030</v>
      </c>
      <c r="C164" s="1" t="s">
        <v>364</v>
      </c>
      <c r="D164" s="1" t="s">
        <v>894</v>
      </c>
      <c r="E164" s="1" t="s">
        <v>895</v>
      </c>
      <c r="F164" s="1" t="s">
        <v>216</v>
      </c>
      <c r="G164" s="1" t="s">
        <v>246</v>
      </c>
      <c r="H164" s="1"/>
      <c r="I164" s="1"/>
      <c r="J164" s="1" t="s">
        <v>247</v>
      </c>
      <c r="K164" s="1">
        <v>2022</v>
      </c>
      <c r="L164" s="1">
        <v>202210</v>
      </c>
      <c r="M164" s="1">
        <v>202210</v>
      </c>
      <c r="N164" s="1" t="s">
        <v>248</v>
      </c>
      <c r="O164" s="1" t="s">
        <v>213</v>
      </c>
      <c r="P164" s="1" t="s">
        <v>249</v>
      </c>
      <c r="Q164" s="1" t="s">
        <v>216</v>
      </c>
      <c r="R164" s="1" t="s">
        <v>246</v>
      </c>
      <c r="S164" s="1" t="s">
        <v>335</v>
      </c>
      <c r="T164" s="70" t="str">
        <f>_xlfn.XLOOKUP(Tabla1[[#This Row],[Universidad]],Conversiones!$B:$B,Conversiones!$C:$C)</f>
        <v>HEC Montréal</v>
      </c>
      <c r="U164" s="70" t="str">
        <f>_xlfn.XLOOKUP(Tabla1[[#This Row],[Universidad KPIs]],Conversiones!$C:$C,Conversiones!$E:$E)</f>
        <v>Específico</v>
      </c>
      <c r="V164" s="1" t="s">
        <v>58</v>
      </c>
      <c r="W164" s="1" t="s">
        <v>260</v>
      </c>
      <c r="X164" s="55">
        <v>44585</v>
      </c>
      <c r="Y164" s="55">
        <v>44709</v>
      </c>
      <c r="Z164" s="1">
        <v>124</v>
      </c>
    </row>
    <row r="165" spans="1:26">
      <c r="A165" s="67" t="s">
        <v>681</v>
      </c>
      <c r="B165">
        <v>201821349</v>
      </c>
      <c r="C165" t="s">
        <v>682</v>
      </c>
      <c r="D165" t="s">
        <v>683</v>
      </c>
      <c r="E165" t="s">
        <v>684</v>
      </c>
      <c r="F165" t="s">
        <v>216</v>
      </c>
      <c r="G165" t="s">
        <v>246</v>
      </c>
      <c r="J165" t="s">
        <v>247</v>
      </c>
      <c r="K165">
        <v>2022</v>
      </c>
      <c r="L165">
        <v>202220</v>
      </c>
      <c r="M165">
        <v>202220</v>
      </c>
      <c r="N165" t="s">
        <v>248</v>
      </c>
      <c r="O165" t="s">
        <v>214</v>
      </c>
      <c r="P165" t="s">
        <v>446</v>
      </c>
      <c r="Q165" t="s">
        <v>216</v>
      </c>
      <c r="R165" t="s">
        <v>246</v>
      </c>
      <c r="S165" t="s">
        <v>279</v>
      </c>
      <c r="T165" s="70" t="str">
        <f>_xlfn.XLOOKUP(Tabla1[[#This Row],[Universidad]],Conversiones!$B:$B,Conversiones!$C:$C)</f>
        <v>Toulouse Business School</v>
      </c>
      <c r="U165" s="70" t="str">
        <f>_xlfn.XLOOKUP(Tabla1[[#This Row],[Universidad KPIs]],Conversiones!$C:$C,Conversiones!$E:$E)</f>
        <v>Específico</v>
      </c>
      <c r="V165" t="s">
        <v>41</v>
      </c>
      <c r="W165" t="s">
        <v>250</v>
      </c>
      <c r="X165" s="2">
        <v>44781</v>
      </c>
      <c r="Y165" s="2">
        <v>44898</v>
      </c>
      <c r="Z165">
        <v>117</v>
      </c>
    </row>
    <row r="166" spans="1:26">
      <c r="A166" s="68" t="s">
        <v>896</v>
      </c>
      <c r="B166" s="1">
        <v>201425780</v>
      </c>
      <c r="C166" s="1" t="s">
        <v>897</v>
      </c>
      <c r="D166" s="1" t="s">
        <v>898</v>
      </c>
      <c r="E166" s="1" t="s">
        <v>899</v>
      </c>
      <c r="F166" s="1" t="s">
        <v>218</v>
      </c>
      <c r="G166" s="1" t="s">
        <v>246</v>
      </c>
      <c r="H166" s="1"/>
      <c r="I166" s="1"/>
      <c r="J166" s="1" t="s">
        <v>247</v>
      </c>
      <c r="K166" s="1">
        <v>2022</v>
      </c>
      <c r="L166" s="1">
        <v>202210</v>
      </c>
      <c r="M166" s="1">
        <v>202210</v>
      </c>
      <c r="N166" s="1" t="s">
        <v>587</v>
      </c>
      <c r="O166" s="1" t="s">
        <v>213</v>
      </c>
      <c r="P166" s="1" t="s">
        <v>588</v>
      </c>
      <c r="Q166" s="1" t="s">
        <v>218</v>
      </c>
      <c r="R166" s="1" t="s">
        <v>246</v>
      </c>
      <c r="S166" s="1" t="s">
        <v>78</v>
      </c>
      <c r="T166" s="70" t="str">
        <f>_xlfn.XLOOKUP(Tabla1[[#This Row],[Universidad]],Conversiones!$B:$B,Conversiones!$C:$C)</f>
        <v>Maastricht University</v>
      </c>
      <c r="U166" s="70" t="str">
        <f>_xlfn.XLOOKUP(Tabla1[[#This Row],[Universidad KPIs]],Conversiones!$C:$C,Conversiones!$E:$E)</f>
        <v>Específico</v>
      </c>
      <c r="V166" s="1" t="s">
        <v>79</v>
      </c>
      <c r="W166" s="1" t="s">
        <v>250</v>
      </c>
      <c r="X166" s="55">
        <v>44585</v>
      </c>
      <c r="Y166" s="55">
        <v>44709</v>
      </c>
      <c r="Z166" s="1">
        <v>124</v>
      </c>
    </row>
    <row r="167" spans="1:26">
      <c r="A167" s="67" t="s">
        <v>900</v>
      </c>
      <c r="B167">
        <v>201218661</v>
      </c>
      <c r="C167" t="s">
        <v>901</v>
      </c>
      <c r="D167" t="s">
        <v>902</v>
      </c>
      <c r="E167" t="s">
        <v>903</v>
      </c>
      <c r="F167" t="s">
        <v>221</v>
      </c>
      <c r="G167" t="s">
        <v>246</v>
      </c>
      <c r="J167" t="s">
        <v>247</v>
      </c>
      <c r="K167">
        <v>2022</v>
      </c>
      <c r="L167">
        <v>202220</v>
      </c>
      <c r="M167">
        <v>202220</v>
      </c>
      <c r="N167" t="s">
        <v>587</v>
      </c>
      <c r="O167" t="s">
        <v>213</v>
      </c>
      <c r="P167" t="s">
        <v>588</v>
      </c>
      <c r="Q167" t="s">
        <v>221</v>
      </c>
      <c r="R167" t="s">
        <v>246</v>
      </c>
      <c r="S167" t="s">
        <v>298</v>
      </c>
      <c r="T167" s="70" t="str">
        <f>_xlfn.XLOOKUP(Tabla1[[#This Row],[Universidad]],Conversiones!$B:$B,Conversiones!$C:$C)</f>
        <v>ESSEC</v>
      </c>
      <c r="U167" s="70" t="str">
        <f>_xlfn.XLOOKUP(Tabla1[[#This Row],[Universidad KPIs]],Conversiones!$C:$C,Conversiones!$E:$E)</f>
        <v>Específico</v>
      </c>
      <c r="V167" t="s">
        <v>41</v>
      </c>
      <c r="W167" t="s">
        <v>250</v>
      </c>
      <c r="X167" s="2">
        <v>44781</v>
      </c>
      <c r="Y167" s="2">
        <v>44898</v>
      </c>
      <c r="Z167">
        <v>117</v>
      </c>
    </row>
    <row r="168" spans="1:26">
      <c r="A168" s="68" t="s">
        <v>904</v>
      </c>
      <c r="B168" s="1">
        <v>201922540</v>
      </c>
      <c r="C168" s="1" t="s">
        <v>327</v>
      </c>
      <c r="D168" s="1" t="s">
        <v>905</v>
      </c>
      <c r="E168" s="1" t="s">
        <v>906</v>
      </c>
      <c r="F168" s="1" t="s">
        <v>216</v>
      </c>
      <c r="G168" s="1" t="s">
        <v>246</v>
      </c>
      <c r="H168" s="1">
        <v>0</v>
      </c>
      <c r="I168" s="1">
        <v>0</v>
      </c>
      <c r="J168" s="1" t="s">
        <v>247</v>
      </c>
      <c r="K168" s="1">
        <v>2022</v>
      </c>
      <c r="L168" s="1">
        <v>202220</v>
      </c>
      <c r="M168" s="1">
        <v>202220</v>
      </c>
      <c r="N168" s="1" t="s">
        <v>248</v>
      </c>
      <c r="O168" s="1" t="s">
        <v>213</v>
      </c>
      <c r="P168" s="1" t="s">
        <v>249</v>
      </c>
      <c r="Q168" s="1" t="s">
        <v>216</v>
      </c>
      <c r="R168" s="1" t="s">
        <v>246</v>
      </c>
      <c r="S168" s="1" t="s">
        <v>341</v>
      </c>
      <c r="T168" s="70" t="str">
        <f>_xlfn.XLOOKUP(Tabla1[[#This Row],[Universidad]],Conversiones!$B:$B,Conversiones!$C:$C)</f>
        <v>A.B. Freeman School of Business, Tulane University</v>
      </c>
      <c r="U168" s="70" t="str">
        <f>_xlfn.XLOOKUP(Tabla1[[#This Row],[Universidad KPIs]],Conversiones!$C:$C,Conversiones!$E:$E)</f>
        <v>Específico</v>
      </c>
      <c r="V168" s="1" t="s">
        <v>35</v>
      </c>
      <c r="W168" s="1" t="s">
        <v>260</v>
      </c>
      <c r="X168" s="55">
        <v>44781</v>
      </c>
      <c r="Y168" s="55">
        <v>44898</v>
      </c>
      <c r="Z168" s="1">
        <v>117</v>
      </c>
    </row>
    <row r="169" spans="1:26">
      <c r="A169" s="67" t="s">
        <v>907</v>
      </c>
      <c r="B169">
        <v>201535796</v>
      </c>
      <c r="C169" t="s">
        <v>364</v>
      </c>
      <c r="D169" t="s">
        <v>908</v>
      </c>
      <c r="E169" t="s">
        <v>909</v>
      </c>
      <c r="F169" t="s">
        <v>216</v>
      </c>
      <c r="G169" t="s">
        <v>246</v>
      </c>
      <c r="J169" t="s">
        <v>247</v>
      </c>
      <c r="K169">
        <v>2022</v>
      </c>
      <c r="L169">
        <v>202210</v>
      </c>
      <c r="M169">
        <v>202110</v>
      </c>
      <c r="N169" t="s">
        <v>248</v>
      </c>
      <c r="O169" t="s">
        <v>213</v>
      </c>
      <c r="P169" t="s">
        <v>249</v>
      </c>
      <c r="Q169" t="s">
        <v>216</v>
      </c>
      <c r="R169" t="s">
        <v>246</v>
      </c>
      <c r="S169" t="s">
        <v>613</v>
      </c>
      <c r="T169" s="70" t="str">
        <f>_xlfn.XLOOKUP(Tabla1[[#This Row],[Universidad]],Conversiones!$B:$B,Conversiones!$C:$C)</f>
        <v>Audencia. École de Management</v>
      </c>
      <c r="U169" s="70" t="str">
        <f>_xlfn.XLOOKUP(Tabla1[[#This Row],[Universidad KPIs]],Conversiones!$C:$C,Conversiones!$E:$E)</f>
        <v>Específico</v>
      </c>
      <c r="V169" t="s">
        <v>41</v>
      </c>
      <c r="W169" t="s">
        <v>250</v>
      </c>
      <c r="X169" s="2">
        <v>44585</v>
      </c>
      <c r="Y169" s="2">
        <v>44709</v>
      </c>
      <c r="Z169">
        <v>124</v>
      </c>
    </row>
    <row r="170" spans="1:26">
      <c r="A170" s="68" t="s">
        <v>910</v>
      </c>
      <c r="B170" s="1">
        <v>201821403</v>
      </c>
      <c r="C170" s="1" t="s">
        <v>911</v>
      </c>
      <c r="D170" s="1" t="s">
        <v>912</v>
      </c>
      <c r="E170" s="1" t="s">
        <v>913</v>
      </c>
      <c r="F170" s="1" t="s">
        <v>216</v>
      </c>
      <c r="G170" s="1" t="s">
        <v>246</v>
      </c>
      <c r="H170" s="1"/>
      <c r="I170" s="1"/>
      <c r="J170" s="1" t="s">
        <v>247</v>
      </c>
      <c r="K170" s="1">
        <v>2022</v>
      </c>
      <c r="L170" s="1">
        <v>202210</v>
      </c>
      <c r="M170" s="1">
        <v>202210</v>
      </c>
      <c r="N170" s="1" t="s">
        <v>248</v>
      </c>
      <c r="O170" s="1" t="s">
        <v>213</v>
      </c>
      <c r="P170" s="1" t="s">
        <v>249</v>
      </c>
      <c r="Q170" s="1" t="s">
        <v>216</v>
      </c>
      <c r="R170" s="1" t="s">
        <v>246</v>
      </c>
      <c r="S170" s="1" t="s">
        <v>914</v>
      </c>
      <c r="T170" s="70" t="str">
        <f>_xlfn.XLOOKUP(Tabla1[[#This Row],[Universidad]],Conversiones!$B:$B,Conversiones!$C:$C)</f>
        <v>Universidad Jean Moulin Lyon 3</v>
      </c>
      <c r="U170" s="70" t="str">
        <f>_xlfn.XLOOKUP(Tabla1[[#This Row],[Universidad KPIs]],Conversiones!$C:$C,Conversiones!$E:$E)</f>
        <v>General</v>
      </c>
      <c r="V170" s="1" t="s">
        <v>41</v>
      </c>
      <c r="W170" s="1" t="s">
        <v>250</v>
      </c>
      <c r="X170" s="55">
        <v>44585</v>
      </c>
      <c r="Y170" s="55">
        <v>44709</v>
      </c>
      <c r="Z170" s="1">
        <v>124</v>
      </c>
    </row>
    <row r="171" spans="1:26">
      <c r="A171" s="67" t="s">
        <v>915</v>
      </c>
      <c r="B171">
        <v>201822829</v>
      </c>
      <c r="C171" t="s">
        <v>713</v>
      </c>
      <c r="D171" t="s">
        <v>916</v>
      </c>
      <c r="E171" t="s">
        <v>917</v>
      </c>
      <c r="F171" t="s">
        <v>216</v>
      </c>
      <c r="G171" t="s">
        <v>246</v>
      </c>
      <c r="J171" t="s">
        <v>247</v>
      </c>
      <c r="K171">
        <v>2022</v>
      </c>
      <c r="L171">
        <v>202220</v>
      </c>
      <c r="M171">
        <v>202220</v>
      </c>
      <c r="N171" t="s">
        <v>248</v>
      </c>
      <c r="O171" t="s">
        <v>214</v>
      </c>
      <c r="P171" t="s">
        <v>446</v>
      </c>
      <c r="Q171" t="s">
        <v>216</v>
      </c>
      <c r="R171" t="s">
        <v>246</v>
      </c>
      <c r="S171" t="s">
        <v>279</v>
      </c>
      <c r="T171" s="70" t="str">
        <f>_xlfn.XLOOKUP(Tabla1[[#This Row],[Universidad]],Conversiones!$B:$B,Conversiones!$C:$C)</f>
        <v>Toulouse Business School</v>
      </c>
      <c r="U171" s="70" t="str">
        <f>_xlfn.XLOOKUP(Tabla1[[#This Row],[Universidad KPIs]],Conversiones!$C:$C,Conversiones!$E:$E)</f>
        <v>Específico</v>
      </c>
      <c r="V171" t="s">
        <v>41</v>
      </c>
      <c r="W171" t="s">
        <v>250</v>
      </c>
      <c r="X171" s="2">
        <v>44781</v>
      </c>
      <c r="Y171" s="2">
        <v>44898</v>
      </c>
      <c r="Z171">
        <v>117</v>
      </c>
    </row>
    <row r="172" spans="1:26">
      <c r="A172" s="68" t="s">
        <v>918</v>
      </c>
      <c r="B172" s="1">
        <v>201922720</v>
      </c>
      <c r="C172" s="1" t="s">
        <v>300</v>
      </c>
      <c r="D172" s="1" t="s">
        <v>919</v>
      </c>
      <c r="E172" s="1" t="s">
        <v>920</v>
      </c>
      <c r="F172" s="1" t="s">
        <v>216</v>
      </c>
      <c r="G172" s="1" t="s">
        <v>246</v>
      </c>
      <c r="H172" s="1"/>
      <c r="I172" s="1"/>
      <c r="J172" s="1" t="s">
        <v>247</v>
      </c>
      <c r="K172" s="1">
        <v>2022</v>
      </c>
      <c r="L172" s="1">
        <v>202210</v>
      </c>
      <c r="M172" s="1">
        <v>202210</v>
      </c>
      <c r="N172" s="1" t="s">
        <v>248</v>
      </c>
      <c r="O172" s="1" t="s">
        <v>213</v>
      </c>
      <c r="P172" s="1" t="s">
        <v>249</v>
      </c>
      <c r="Q172" s="1" t="s">
        <v>216</v>
      </c>
      <c r="R172" s="1" t="s">
        <v>246</v>
      </c>
      <c r="S172" s="1" t="s">
        <v>137</v>
      </c>
      <c r="T172" s="70" t="str">
        <f>_xlfn.XLOOKUP(Tabla1[[#This Row],[Universidad]],Conversiones!$B:$B,Conversiones!$C:$C)</f>
        <v>St. John's University</v>
      </c>
      <c r="U172" s="70" t="str">
        <f>_xlfn.XLOOKUP(Tabla1[[#This Row],[Universidad KPIs]],Conversiones!$C:$C,Conversiones!$E:$E)</f>
        <v>General</v>
      </c>
      <c r="V172" s="1" t="s">
        <v>35</v>
      </c>
      <c r="W172" s="1" t="s">
        <v>260</v>
      </c>
      <c r="X172" s="55">
        <v>44585</v>
      </c>
      <c r="Y172" s="55">
        <v>44709</v>
      </c>
      <c r="Z172" s="1">
        <v>124</v>
      </c>
    </row>
    <row r="173" spans="1:26">
      <c r="A173" s="67" t="s">
        <v>921</v>
      </c>
      <c r="B173">
        <v>201821545</v>
      </c>
      <c r="C173" t="s">
        <v>922</v>
      </c>
      <c r="D173" t="s">
        <v>923</v>
      </c>
      <c r="E173" t="s">
        <v>924</v>
      </c>
      <c r="F173" t="s">
        <v>216</v>
      </c>
      <c r="G173" t="s">
        <v>246</v>
      </c>
      <c r="J173" t="s">
        <v>247</v>
      </c>
      <c r="K173">
        <v>2022</v>
      </c>
      <c r="L173">
        <v>202210</v>
      </c>
      <c r="M173">
        <v>202210</v>
      </c>
      <c r="N173" t="s">
        <v>248</v>
      </c>
      <c r="O173" t="s">
        <v>213</v>
      </c>
      <c r="P173" t="s">
        <v>249</v>
      </c>
      <c r="Q173" t="s">
        <v>216</v>
      </c>
      <c r="R173" t="s">
        <v>246</v>
      </c>
      <c r="S173" t="s">
        <v>608</v>
      </c>
      <c r="T173" s="70" t="str">
        <f>_xlfn.XLOOKUP(Tabla1[[#This Row],[Universidad]],Conversiones!$B:$B,Conversiones!$C:$C)</f>
        <v>IE Instituto Empresa</v>
      </c>
      <c r="U173" s="70" t="str">
        <f>_xlfn.XLOOKUP(Tabla1[[#This Row],[Universidad KPIs]],Conversiones!$C:$C,Conversiones!$E:$E)</f>
        <v>General</v>
      </c>
      <c r="V173" t="s">
        <v>53</v>
      </c>
      <c r="W173" t="s">
        <v>250</v>
      </c>
      <c r="X173" s="2">
        <v>44585</v>
      </c>
      <c r="Y173" s="2">
        <v>44709</v>
      </c>
      <c r="Z173">
        <v>124</v>
      </c>
    </row>
    <row r="174" spans="1:26">
      <c r="A174" s="68" t="s">
        <v>925</v>
      </c>
      <c r="B174" s="1">
        <v>200411241</v>
      </c>
      <c r="C174" s="1" t="s">
        <v>926</v>
      </c>
      <c r="D174" s="1" t="s">
        <v>927</v>
      </c>
      <c r="E174" s="1" t="s">
        <v>928</v>
      </c>
      <c r="F174" s="1" t="s">
        <v>220</v>
      </c>
      <c r="G174" s="1" t="s">
        <v>246</v>
      </c>
      <c r="H174" s="1"/>
      <c r="I174" s="1"/>
      <c r="J174" s="1" t="s">
        <v>247</v>
      </c>
      <c r="K174" s="1">
        <v>2022</v>
      </c>
      <c r="L174" s="1">
        <v>202210</v>
      </c>
      <c r="M174" s="1">
        <v>202210</v>
      </c>
      <c r="N174" s="1" t="s">
        <v>587</v>
      </c>
      <c r="O174" s="1" t="s">
        <v>213</v>
      </c>
      <c r="P174" s="1" t="s">
        <v>588</v>
      </c>
      <c r="Q174" s="1" t="s">
        <v>220</v>
      </c>
      <c r="R174" s="1" t="s">
        <v>246</v>
      </c>
      <c r="S174" s="1" t="s">
        <v>298</v>
      </c>
      <c r="T174" s="70" t="str">
        <f>_xlfn.XLOOKUP(Tabla1[[#This Row],[Universidad]],Conversiones!$B:$B,Conversiones!$C:$C)</f>
        <v>ESSEC</v>
      </c>
      <c r="U174" s="70" t="str">
        <f>_xlfn.XLOOKUP(Tabla1[[#This Row],[Universidad KPIs]],Conversiones!$C:$C,Conversiones!$E:$E)</f>
        <v>Específico</v>
      </c>
      <c r="V174" s="1" t="s">
        <v>41</v>
      </c>
      <c r="W174" s="1" t="s">
        <v>250</v>
      </c>
      <c r="X174" s="55">
        <v>44585</v>
      </c>
      <c r="Y174" s="55">
        <v>44709</v>
      </c>
      <c r="Z174" s="1">
        <v>124</v>
      </c>
    </row>
    <row r="175" spans="1:26">
      <c r="A175" s="67" t="s">
        <v>929</v>
      </c>
      <c r="B175">
        <v>201923603</v>
      </c>
      <c r="C175" t="s">
        <v>295</v>
      </c>
      <c r="D175" t="s">
        <v>930</v>
      </c>
      <c r="E175" t="s">
        <v>931</v>
      </c>
      <c r="F175" t="s">
        <v>216</v>
      </c>
      <c r="G175" t="s">
        <v>246</v>
      </c>
      <c r="J175" t="s">
        <v>247</v>
      </c>
      <c r="K175">
        <v>2022</v>
      </c>
      <c r="L175">
        <v>202220</v>
      </c>
      <c r="M175">
        <v>202220</v>
      </c>
      <c r="N175" t="s">
        <v>248</v>
      </c>
      <c r="O175" t="s">
        <v>213</v>
      </c>
      <c r="P175" t="s">
        <v>249</v>
      </c>
      <c r="Q175" t="s">
        <v>216</v>
      </c>
      <c r="R175" t="s">
        <v>246</v>
      </c>
      <c r="S175" t="s">
        <v>274</v>
      </c>
      <c r="T175" s="70" t="str">
        <f>_xlfn.XLOOKUP(Tabla1[[#This Row],[Universidad]],Conversiones!$B:$B,Conversiones!$C:$C)</f>
        <v>Catolica Lisbon Business &amp; Economics. Universidade Católica Portuguesa</v>
      </c>
      <c r="U175" s="70" t="str">
        <f>_xlfn.XLOOKUP(Tabla1[[#This Row],[Universidad KPIs]],Conversiones!$C:$C,Conversiones!$E:$E)</f>
        <v>Específico</v>
      </c>
      <c r="V175" t="s">
        <v>45</v>
      </c>
      <c r="W175" t="s">
        <v>250</v>
      </c>
      <c r="X175" s="2">
        <v>44781</v>
      </c>
      <c r="Y175" s="2">
        <v>44898</v>
      </c>
      <c r="Z175">
        <v>117</v>
      </c>
    </row>
    <row r="176" spans="1:26">
      <c r="A176" s="68" t="s">
        <v>932</v>
      </c>
      <c r="B176" s="1">
        <v>201616137</v>
      </c>
      <c r="C176" s="1" t="s">
        <v>933</v>
      </c>
      <c r="D176" s="1" t="s">
        <v>934</v>
      </c>
      <c r="E176" s="1" t="s">
        <v>935</v>
      </c>
      <c r="F176" s="1" t="s">
        <v>216</v>
      </c>
      <c r="G176" s="1" t="s">
        <v>246</v>
      </c>
      <c r="H176" s="1"/>
      <c r="I176" s="1"/>
      <c r="J176" s="1" t="s">
        <v>247</v>
      </c>
      <c r="K176" s="1">
        <v>2022</v>
      </c>
      <c r="L176" s="1">
        <v>202210</v>
      </c>
      <c r="M176" s="1">
        <v>202210</v>
      </c>
      <c r="N176" s="1" t="s">
        <v>248</v>
      </c>
      <c r="O176" s="1" t="s">
        <v>213</v>
      </c>
      <c r="P176" s="1" t="s">
        <v>249</v>
      </c>
      <c r="Q176" s="1" t="s">
        <v>216</v>
      </c>
      <c r="R176" s="1" t="s">
        <v>246</v>
      </c>
      <c r="S176" s="1" t="s">
        <v>335</v>
      </c>
      <c r="T176" s="70" t="str">
        <f>_xlfn.XLOOKUP(Tabla1[[#This Row],[Universidad]],Conversiones!$B:$B,Conversiones!$C:$C)</f>
        <v>HEC Montréal</v>
      </c>
      <c r="U176" s="70" t="str">
        <f>_xlfn.XLOOKUP(Tabla1[[#This Row],[Universidad KPIs]],Conversiones!$C:$C,Conversiones!$E:$E)</f>
        <v>Específico</v>
      </c>
      <c r="V176" s="1" t="s">
        <v>58</v>
      </c>
      <c r="W176" s="1" t="s">
        <v>260</v>
      </c>
      <c r="X176" s="55">
        <v>44585</v>
      </c>
      <c r="Y176" s="55">
        <v>44709</v>
      </c>
      <c r="Z176" s="1">
        <v>124</v>
      </c>
    </row>
    <row r="177" spans="1:26">
      <c r="A177" s="67" t="s">
        <v>936</v>
      </c>
      <c r="B177">
        <v>201922780</v>
      </c>
      <c r="C177" t="s">
        <v>327</v>
      </c>
      <c r="D177" t="s">
        <v>937</v>
      </c>
      <c r="E177" t="s">
        <v>938</v>
      </c>
      <c r="F177" t="s">
        <v>216</v>
      </c>
      <c r="G177" t="s">
        <v>246</v>
      </c>
      <c r="J177" t="s">
        <v>247</v>
      </c>
      <c r="K177">
        <v>2022</v>
      </c>
      <c r="L177">
        <v>202220</v>
      </c>
      <c r="M177">
        <v>202220</v>
      </c>
      <c r="N177" t="s">
        <v>248</v>
      </c>
      <c r="O177" t="s">
        <v>213</v>
      </c>
      <c r="P177" t="s">
        <v>249</v>
      </c>
      <c r="Q177" t="s">
        <v>216</v>
      </c>
      <c r="R177" t="s">
        <v>246</v>
      </c>
      <c r="S177" t="s">
        <v>289</v>
      </c>
      <c r="T177" s="70" t="str">
        <f>_xlfn.XLOOKUP(Tabla1[[#This Row],[Universidad]],Conversiones!$B:$B,Conversiones!$C:$C)</f>
        <v>ESADE</v>
      </c>
      <c r="U177" s="70" t="str">
        <f>_xlfn.XLOOKUP(Tabla1[[#This Row],[Universidad KPIs]],Conversiones!$C:$C,Conversiones!$E:$E)</f>
        <v>Específico</v>
      </c>
      <c r="V177" t="s">
        <v>53</v>
      </c>
      <c r="W177" t="s">
        <v>250</v>
      </c>
      <c r="X177" s="2">
        <v>44781</v>
      </c>
      <c r="Y177" s="2">
        <v>44898</v>
      </c>
      <c r="Z177">
        <v>117</v>
      </c>
    </row>
    <row r="178" spans="1:26">
      <c r="A178" s="68" t="s">
        <v>939</v>
      </c>
      <c r="B178" s="1">
        <v>201922820</v>
      </c>
      <c r="C178" s="1" t="s">
        <v>720</v>
      </c>
      <c r="D178" s="1" t="s">
        <v>940</v>
      </c>
      <c r="E178" s="1" t="s">
        <v>941</v>
      </c>
      <c r="F178" s="1" t="s">
        <v>216</v>
      </c>
      <c r="G178" s="1" t="s">
        <v>246</v>
      </c>
      <c r="H178" s="1"/>
      <c r="I178" s="1"/>
      <c r="J178" s="1" t="s">
        <v>247</v>
      </c>
      <c r="K178" s="1">
        <v>2022</v>
      </c>
      <c r="L178" s="1">
        <v>202210</v>
      </c>
      <c r="M178" s="1">
        <v>202210</v>
      </c>
      <c r="N178" s="1" t="s">
        <v>248</v>
      </c>
      <c r="O178" s="1" t="s">
        <v>213</v>
      </c>
      <c r="P178" s="1" t="s">
        <v>249</v>
      </c>
      <c r="Q178" s="1" t="s">
        <v>216</v>
      </c>
      <c r="R178" s="1" t="s">
        <v>246</v>
      </c>
      <c r="S178" s="1" t="s">
        <v>166</v>
      </c>
      <c r="T178" s="70" t="str">
        <f>_xlfn.XLOOKUP(Tabla1[[#This Row],[Universidad]],Conversiones!$B:$B,Conversiones!$C:$C)</f>
        <v>University of Oklahoma</v>
      </c>
      <c r="U178" s="70" t="str">
        <f>_xlfn.XLOOKUP(Tabla1[[#This Row],[Universidad KPIs]],Conversiones!$C:$C,Conversiones!$E:$E)</f>
        <v>General</v>
      </c>
      <c r="V178" s="1" t="s">
        <v>35</v>
      </c>
      <c r="W178" s="1" t="s">
        <v>260</v>
      </c>
      <c r="X178" s="55">
        <v>44585</v>
      </c>
      <c r="Y178" s="55">
        <v>44709</v>
      </c>
      <c r="Z178" s="1">
        <v>124</v>
      </c>
    </row>
    <row r="179" spans="1:26">
      <c r="A179" s="67" t="s">
        <v>942</v>
      </c>
      <c r="B179">
        <v>201921092</v>
      </c>
      <c r="C179" t="s">
        <v>732</v>
      </c>
      <c r="D179" t="s">
        <v>943</v>
      </c>
      <c r="E179" t="s">
        <v>944</v>
      </c>
      <c r="F179" t="s">
        <v>216</v>
      </c>
      <c r="G179" t="s">
        <v>246</v>
      </c>
      <c r="J179" t="s">
        <v>247</v>
      </c>
      <c r="K179">
        <v>2022</v>
      </c>
      <c r="L179">
        <v>202220</v>
      </c>
      <c r="M179">
        <v>202220</v>
      </c>
      <c r="N179" t="s">
        <v>248</v>
      </c>
      <c r="O179" t="s">
        <v>214</v>
      </c>
      <c r="P179" t="s">
        <v>446</v>
      </c>
      <c r="Q179" t="s">
        <v>216</v>
      </c>
      <c r="R179" t="s">
        <v>246</v>
      </c>
      <c r="S179" t="s">
        <v>279</v>
      </c>
      <c r="T179" s="70" t="str">
        <f>_xlfn.XLOOKUP(Tabla1[[#This Row],[Universidad]],Conversiones!$B:$B,Conversiones!$C:$C)</f>
        <v>Toulouse Business School</v>
      </c>
      <c r="U179" s="70" t="str">
        <f>_xlfn.XLOOKUP(Tabla1[[#This Row],[Universidad KPIs]],Conversiones!$C:$C,Conversiones!$E:$E)</f>
        <v>Específico</v>
      </c>
      <c r="V179" t="s">
        <v>41</v>
      </c>
      <c r="W179" t="s">
        <v>250</v>
      </c>
      <c r="X179" s="2">
        <v>44781</v>
      </c>
      <c r="Y179" s="2">
        <v>44898</v>
      </c>
      <c r="Z179">
        <v>117</v>
      </c>
    </row>
    <row r="180" spans="1:26">
      <c r="A180" s="68" t="s">
        <v>945</v>
      </c>
      <c r="B180" s="1">
        <v>201821669</v>
      </c>
      <c r="C180" s="1" t="s">
        <v>946</v>
      </c>
      <c r="D180" s="1" t="s">
        <v>943</v>
      </c>
      <c r="E180" s="1" t="s">
        <v>947</v>
      </c>
      <c r="F180" s="1" t="s">
        <v>216</v>
      </c>
      <c r="G180" s="1" t="s">
        <v>246</v>
      </c>
      <c r="H180" s="1"/>
      <c r="I180" s="1"/>
      <c r="J180" s="1" t="s">
        <v>247</v>
      </c>
      <c r="K180" s="1">
        <v>2022</v>
      </c>
      <c r="L180" s="1">
        <v>202220</v>
      </c>
      <c r="M180" s="1">
        <v>202220</v>
      </c>
      <c r="N180" s="1" t="s">
        <v>248</v>
      </c>
      <c r="O180" s="1" t="s">
        <v>214</v>
      </c>
      <c r="P180" s="1" t="s">
        <v>446</v>
      </c>
      <c r="Q180" s="1" t="s">
        <v>216</v>
      </c>
      <c r="R180" s="1" t="s">
        <v>246</v>
      </c>
      <c r="S180" s="1" t="s">
        <v>279</v>
      </c>
      <c r="T180" s="70" t="str">
        <f>_xlfn.XLOOKUP(Tabla1[[#This Row],[Universidad]],Conversiones!$B:$B,Conversiones!$C:$C)</f>
        <v>Toulouse Business School</v>
      </c>
      <c r="U180" s="70" t="str">
        <f>_xlfn.XLOOKUP(Tabla1[[#This Row],[Universidad KPIs]],Conversiones!$C:$C,Conversiones!$E:$E)</f>
        <v>Específico</v>
      </c>
      <c r="V180" s="1" t="s">
        <v>41</v>
      </c>
      <c r="W180" s="1" t="s">
        <v>250</v>
      </c>
      <c r="X180" s="55">
        <v>44781</v>
      </c>
      <c r="Y180" s="55">
        <v>44898</v>
      </c>
      <c r="Z180" s="1">
        <v>117</v>
      </c>
    </row>
    <row r="181" spans="1:26">
      <c r="A181" s="67" t="s">
        <v>948</v>
      </c>
      <c r="B181">
        <v>201922849</v>
      </c>
      <c r="C181" t="s">
        <v>949</v>
      </c>
      <c r="D181" t="s">
        <v>950</v>
      </c>
      <c r="E181" t="s">
        <v>951</v>
      </c>
      <c r="F181" t="s">
        <v>216</v>
      </c>
      <c r="G181" t="s">
        <v>246</v>
      </c>
      <c r="J181" t="s">
        <v>247</v>
      </c>
      <c r="K181">
        <v>2022</v>
      </c>
      <c r="L181">
        <v>202220</v>
      </c>
      <c r="M181">
        <v>202220</v>
      </c>
      <c r="N181" t="s">
        <v>248</v>
      </c>
      <c r="O181" t="s">
        <v>213</v>
      </c>
      <c r="P181" t="s">
        <v>249</v>
      </c>
      <c r="Q181" t="s">
        <v>216</v>
      </c>
      <c r="R181" t="s">
        <v>246</v>
      </c>
      <c r="S181" t="s">
        <v>952</v>
      </c>
      <c r="T181" s="70" t="str">
        <f>_xlfn.XLOOKUP(Tabla1[[#This Row],[Universidad]],Conversiones!$B:$B,Conversiones!$C:$C)</f>
        <v>Queens University School of Business</v>
      </c>
      <c r="U181" s="70" t="str">
        <f>_xlfn.XLOOKUP(Tabla1[[#This Row],[Universidad KPIs]],Conversiones!$C:$C,Conversiones!$E:$E)</f>
        <v>Específico</v>
      </c>
      <c r="V181" t="s">
        <v>58</v>
      </c>
      <c r="W181" t="s">
        <v>260</v>
      </c>
      <c r="X181" s="2">
        <v>44781</v>
      </c>
      <c r="Y181" s="2">
        <v>44898</v>
      </c>
      <c r="Z181">
        <v>117</v>
      </c>
    </row>
    <row r="182" spans="1:26">
      <c r="A182" s="68" t="s">
        <v>953</v>
      </c>
      <c r="B182" s="1">
        <v>201814645</v>
      </c>
      <c r="C182" s="1" t="s">
        <v>546</v>
      </c>
      <c r="D182" s="1" t="s">
        <v>954</v>
      </c>
      <c r="E182" s="1" t="s">
        <v>955</v>
      </c>
      <c r="F182" s="1" t="s">
        <v>216</v>
      </c>
      <c r="G182" s="1" t="s">
        <v>246</v>
      </c>
      <c r="H182" s="1"/>
      <c r="I182" s="1"/>
      <c r="J182" s="1" t="s">
        <v>247</v>
      </c>
      <c r="K182" s="1">
        <v>2022</v>
      </c>
      <c r="L182" s="1">
        <v>202220</v>
      </c>
      <c r="M182" s="1">
        <v>202220</v>
      </c>
      <c r="N182" s="1" t="s">
        <v>248</v>
      </c>
      <c r="O182" s="1" t="s">
        <v>213</v>
      </c>
      <c r="P182" s="1" t="s">
        <v>249</v>
      </c>
      <c r="Q182" s="1" t="s">
        <v>216</v>
      </c>
      <c r="R182" s="1" t="s">
        <v>246</v>
      </c>
      <c r="S182" s="1" t="s">
        <v>255</v>
      </c>
      <c r="T182" s="70" t="str">
        <f>_xlfn.XLOOKUP(Tabla1[[#This Row],[Universidad]],Conversiones!$B:$B,Conversiones!$C:$C)</f>
        <v>ESC Rouen (NEOMA)</v>
      </c>
      <c r="U182" s="70" t="str">
        <f>_xlfn.XLOOKUP(Tabla1[[#This Row],[Universidad KPIs]],Conversiones!$C:$C,Conversiones!$E:$E)</f>
        <v>Específico</v>
      </c>
      <c r="V182" s="1" t="s">
        <v>41</v>
      </c>
      <c r="W182" s="1" t="s">
        <v>250</v>
      </c>
      <c r="X182" s="55">
        <v>44781</v>
      </c>
      <c r="Y182" s="55">
        <v>44898</v>
      </c>
      <c r="Z182" s="1">
        <v>117</v>
      </c>
    </row>
    <row r="183" spans="1:26">
      <c r="A183" s="67" t="s">
        <v>956</v>
      </c>
      <c r="B183">
        <v>201714414</v>
      </c>
      <c r="C183" t="s">
        <v>659</v>
      </c>
      <c r="D183" t="s">
        <v>957</v>
      </c>
      <c r="E183" t="s">
        <v>958</v>
      </c>
      <c r="F183" t="s">
        <v>959</v>
      </c>
      <c r="G183" t="s">
        <v>507</v>
      </c>
      <c r="H183" t="s">
        <v>216</v>
      </c>
      <c r="I183" t="s">
        <v>246</v>
      </c>
      <c r="J183" t="s">
        <v>247</v>
      </c>
      <c r="K183">
        <v>2022</v>
      </c>
      <c r="L183">
        <v>202210</v>
      </c>
      <c r="M183">
        <v>202210</v>
      </c>
      <c r="N183" t="s">
        <v>248</v>
      </c>
      <c r="O183" t="s">
        <v>213</v>
      </c>
      <c r="P183" t="s">
        <v>249</v>
      </c>
      <c r="Q183" t="s">
        <v>216</v>
      </c>
      <c r="R183" t="s">
        <v>246</v>
      </c>
      <c r="S183" t="s">
        <v>289</v>
      </c>
      <c r="T183" s="70" t="str">
        <f>_xlfn.XLOOKUP(Tabla1[[#This Row],[Universidad]],Conversiones!$B:$B,Conversiones!$C:$C)</f>
        <v>ESADE</v>
      </c>
      <c r="U183" s="70" t="str">
        <f>_xlfn.XLOOKUP(Tabla1[[#This Row],[Universidad KPIs]],Conversiones!$C:$C,Conversiones!$E:$E)</f>
        <v>Específico</v>
      </c>
      <c r="V183" t="s">
        <v>53</v>
      </c>
      <c r="W183" t="s">
        <v>250</v>
      </c>
      <c r="X183" s="2">
        <v>44585</v>
      </c>
      <c r="Y183" s="2">
        <v>44709</v>
      </c>
      <c r="Z183">
        <v>124</v>
      </c>
    </row>
    <row r="184" spans="1:26">
      <c r="A184" s="68" t="s">
        <v>960</v>
      </c>
      <c r="B184" s="1">
        <v>201631942</v>
      </c>
      <c r="C184" s="1" t="s">
        <v>961</v>
      </c>
      <c r="D184" s="1" t="s">
        <v>962</v>
      </c>
      <c r="E184" s="1" t="s">
        <v>963</v>
      </c>
      <c r="F184" s="1" t="s">
        <v>466</v>
      </c>
      <c r="G184" s="1" t="s">
        <v>467</v>
      </c>
      <c r="H184" s="1" t="s">
        <v>216</v>
      </c>
      <c r="I184" s="1" t="s">
        <v>246</v>
      </c>
      <c r="J184" s="1" t="s">
        <v>247</v>
      </c>
      <c r="K184" s="1">
        <v>2022</v>
      </c>
      <c r="L184" s="1">
        <v>202220</v>
      </c>
      <c r="M184" s="1">
        <v>202220</v>
      </c>
      <c r="N184" s="1" t="s">
        <v>248</v>
      </c>
      <c r="O184" s="1" t="s">
        <v>213</v>
      </c>
      <c r="P184" s="1" t="s">
        <v>249</v>
      </c>
      <c r="Q184" s="1" t="s">
        <v>216</v>
      </c>
      <c r="R184" s="1" t="s">
        <v>246</v>
      </c>
      <c r="S184" s="1" t="s">
        <v>341</v>
      </c>
      <c r="T184" s="70" t="str">
        <f>_xlfn.XLOOKUP(Tabla1[[#This Row],[Universidad]],Conversiones!$B:$B,Conversiones!$C:$C)</f>
        <v>A.B. Freeman School of Business, Tulane University</v>
      </c>
      <c r="U184" s="70" t="str">
        <f>_xlfn.XLOOKUP(Tabla1[[#This Row],[Universidad KPIs]],Conversiones!$C:$C,Conversiones!$E:$E)</f>
        <v>Específico</v>
      </c>
      <c r="V184" s="1" t="s">
        <v>35</v>
      </c>
      <c r="W184" s="1" t="s">
        <v>260</v>
      </c>
      <c r="X184" s="55">
        <v>44781</v>
      </c>
      <c r="Y184" s="55">
        <v>44898</v>
      </c>
      <c r="Z184" s="1">
        <v>117</v>
      </c>
    </row>
    <row r="185" spans="1:26">
      <c r="A185" s="67" t="s">
        <v>964</v>
      </c>
      <c r="B185">
        <v>201821743</v>
      </c>
      <c r="C185" t="s">
        <v>965</v>
      </c>
      <c r="D185" t="s">
        <v>966</v>
      </c>
      <c r="E185" t="s">
        <v>967</v>
      </c>
      <c r="F185" t="s">
        <v>216</v>
      </c>
      <c r="G185" t="s">
        <v>246</v>
      </c>
      <c r="H185" t="s">
        <v>512</v>
      </c>
      <c r="I185" t="s">
        <v>513</v>
      </c>
      <c r="J185" t="s">
        <v>247</v>
      </c>
      <c r="K185">
        <v>2022</v>
      </c>
      <c r="L185">
        <v>202220</v>
      </c>
      <c r="M185">
        <v>202220</v>
      </c>
      <c r="N185" t="s">
        <v>248</v>
      </c>
      <c r="O185" t="s">
        <v>213</v>
      </c>
      <c r="P185" t="s">
        <v>834</v>
      </c>
      <c r="Q185" t="s">
        <v>216</v>
      </c>
      <c r="R185" t="s">
        <v>246</v>
      </c>
      <c r="S185" t="s">
        <v>144</v>
      </c>
      <c r="T185" s="70" t="str">
        <f>_xlfn.XLOOKUP(Tabla1[[#This Row],[Universidad]],Conversiones!$B:$B,Conversiones!$C:$C)</f>
        <v>Universidad de Cantabria</v>
      </c>
      <c r="U185" s="70" t="str">
        <f>_xlfn.XLOOKUP(Tabla1[[#This Row],[Universidad KPIs]],Conversiones!$C:$C,Conversiones!$E:$E)</f>
        <v>General</v>
      </c>
      <c r="V185" t="s">
        <v>53</v>
      </c>
      <c r="W185" t="s">
        <v>250</v>
      </c>
      <c r="X185" s="2">
        <v>44781</v>
      </c>
      <c r="Y185" s="2">
        <v>44898</v>
      </c>
      <c r="Z185">
        <v>117</v>
      </c>
    </row>
    <row r="186" spans="1:26">
      <c r="A186" s="68" t="s">
        <v>968</v>
      </c>
      <c r="B186" s="1">
        <v>201822945</v>
      </c>
      <c r="C186" s="1" t="s">
        <v>969</v>
      </c>
      <c r="D186" s="1" t="s">
        <v>970</v>
      </c>
      <c r="E186" s="1" t="s">
        <v>971</v>
      </c>
      <c r="F186" s="1" t="s">
        <v>216</v>
      </c>
      <c r="G186" s="1" t="s">
        <v>246</v>
      </c>
      <c r="H186" s="1"/>
      <c r="I186" s="1"/>
      <c r="J186" s="1" t="s">
        <v>247</v>
      </c>
      <c r="K186" s="1">
        <v>2022</v>
      </c>
      <c r="L186" s="1">
        <v>202220</v>
      </c>
      <c r="M186" s="1">
        <v>202220</v>
      </c>
      <c r="N186" s="1" t="s">
        <v>248</v>
      </c>
      <c r="O186" s="1" t="s">
        <v>213</v>
      </c>
      <c r="P186" s="1" t="s">
        <v>249</v>
      </c>
      <c r="Q186" s="1" t="s">
        <v>216</v>
      </c>
      <c r="R186" s="1" t="s">
        <v>246</v>
      </c>
      <c r="S186" s="1" t="s">
        <v>307</v>
      </c>
      <c r="T186" s="70" t="str">
        <f>_xlfn.XLOOKUP(Tabla1[[#This Row],[Universidad]],Conversiones!$B:$B,Conversiones!$C:$C)</f>
        <v>University of Mannheim Business School</v>
      </c>
      <c r="U186" s="70" t="str">
        <f>_xlfn.XLOOKUP(Tabla1[[#This Row],[Universidad KPIs]],Conversiones!$C:$C,Conversiones!$E:$E)</f>
        <v>Específico</v>
      </c>
      <c r="V186" s="1" t="s">
        <v>60</v>
      </c>
      <c r="W186" s="1" t="s">
        <v>250</v>
      </c>
      <c r="X186" s="55">
        <v>44781</v>
      </c>
      <c r="Y186" s="55">
        <v>44898</v>
      </c>
      <c r="Z186" s="1">
        <v>117</v>
      </c>
    </row>
    <row r="187" spans="1:26">
      <c r="A187" s="67" t="s">
        <v>972</v>
      </c>
      <c r="B187">
        <v>201910491</v>
      </c>
      <c r="C187" t="s">
        <v>853</v>
      </c>
      <c r="D187" t="s">
        <v>973</v>
      </c>
      <c r="E187" t="s">
        <v>974</v>
      </c>
      <c r="F187" t="s">
        <v>216</v>
      </c>
      <c r="G187" t="s">
        <v>246</v>
      </c>
      <c r="J187" t="s">
        <v>247</v>
      </c>
      <c r="K187">
        <v>2022</v>
      </c>
      <c r="L187">
        <v>202220</v>
      </c>
      <c r="M187">
        <v>202220</v>
      </c>
      <c r="N187" t="s">
        <v>248</v>
      </c>
      <c r="O187" t="s">
        <v>213</v>
      </c>
      <c r="P187" t="s">
        <v>249</v>
      </c>
      <c r="Q187" t="s">
        <v>216</v>
      </c>
      <c r="R187" t="s">
        <v>246</v>
      </c>
      <c r="S187" t="s">
        <v>289</v>
      </c>
      <c r="T187" s="70" t="str">
        <f>_xlfn.XLOOKUP(Tabla1[[#This Row],[Universidad]],Conversiones!$B:$B,Conversiones!$C:$C)</f>
        <v>ESADE</v>
      </c>
      <c r="U187" s="70" t="str">
        <f>_xlfn.XLOOKUP(Tabla1[[#This Row],[Universidad KPIs]],Conversiones!$C:$C,Conversiones!$E:$E)</f>
        <v>Específico</v>
      </c>
      <c r="V187" t="s">
        <v>53</v>
      </c>
      <c r="W187" t="s">
        <v>250</v>
      </c>
      <c r="X187" s="2">
        <v>44781</v>
      </c>
      <c r="Y187" s="2">
        <v>44898</v>
      </c>
      <c r="Z187">
        <v>117</v>
      </c>
    </row>
    <row r="188" spans="1:26">
      <c r="A188" s="68" t="s">
        <v>975</v>
      </c>
      <c r="B188" s="1">
        <v>201922964</v>
      </c>
      <c r="C188" s="1" t="s">
        <v>976</v>
      </c>
      <c r="D188" s="1" t="s">
        <v>977</v>
      </c>
      <c r="E188" s="1" t="s">
        <v>978</v>
      </c>
      <c r="F188" s="1" t="s">
        <v>216</v>
      </c>
      <c r="G188" s="1" t="s">
        <v>246</v>
      </c>
      <c r="H188" s="1"/>
      <c r="I188" s="1"/>
      <c r="J188" s="1" t="s">
        <v>247</v>
      </c>
      <c r="K188" s="1">
        <v>2022</v>
      </c>
      <c r="L188" s="1">
        <v>202220</v>
      </c>
      <c r="M188" s="1">
        <v>202220</v>
      </c>
      <c r="N188" s="1" t="s">
        <v>248</v>
      </c>
      <c r="O188" s="1" t="s">
        <v>214</v>
      </c>
      <c r="P188" s="1" t="s">
        <v>446</v>
      </c>
      <c r="Q188" s="1" t="s">
        <v>216</v>
      </c>
      <c r="R188" s="1" t="s">
        <v>246</v>
      </c>
      <c r="S188" s="1" t="s">
        <v>279</v>
      </c>
      <c r="T188" s="70" t="str">
        <f>_xlfn.XLOOKUP(Tabla1[[#This Row],[Universidad]],Conversiones!$B:$B,Conversiones!$C:$C)</f>
        <v>Toulouse Business School</v>
      </c>
      <c r="U188" s="70" t="str">
        <f>_xlfn.XLOOKUP(Tabla1[[#This Row],[Universidad KPIs]],Conversiones!$C:$C,Conversiones!$E:$E)</f>
        <v>Específico</v>
      </c>
      <c r="V188" s="1" t="s">
        <v>41</v>
      </c>
      <c r="W188" s="1" t="s">
        <v>250</v>
      </c>
      <c r="X188" s="55">
        <v>44781</v>
      </c>
      <c r="Y188" s="55">
        <v>44898</v>
      </c>
      <c r="Z188" s="1">
        <v>117</v>
      </c>
    </row>
    <row r="189" spans="1:26">
      <c r="A189" s="67" t="s">
        <v>979</v>
      </c>
      <c r="B189">
        <v>201822949</v>
      </c>
      <c r="C189" t="s">
        <v>980</v>
      </c>
      <c r="D189" t="s">
        <v>981</v>
      </c>
      <c r="E189" t="s">
        <v>982</v>
      </c>
      <c r="F189" t="s">
        <v>216</v>
      </c>
      <c r="G189" t="s">
        <v>246</v>
      </c>
      <c r="J189" t="s">
        <v>247</v>
      </c>
      <c r="K189">
        <v>2022</v>
      </c>
      <c r="L189">
        <v>202220</v>
      </c>
      <c r="M189">
        <v>202220</v>
      </c>
      <c r="N189" t="s">
        <v>248</v>
      </c>
      <c r="O189" t="s">
        <v>213</v>
      </c>
      <c r="P189" t="s">
        <v>249</v>
      </c>
      <c r="Q189" t="s">
        <v>216</v>
      </c>
      <c r="R189" t="s">
        <v>246</v>
      </c>
      <c r="S189" t="s">
        <v>362</v>
      </c>
      <c r="T189" s="70" t="str">
        <f>_xlfn.XLOOKUP(Tabla1[[#This Row],[Universidad]],Conversiones!$B:$B,Conversiones!$C:$C)</f>
        <v>Frankfurt School of Finance and Management</v>
      </c>
      <c r="U189" s="70" t="str">
        <f>_xlfn.XLOOKUP(Tabla1[[#This Row],[Universidad KPIs]],Conversiones!$C:$C,Conversiones!$E:$E)</f>
        <v>Específico</v>
      </c>
      <c r="V189" t="s">
        <v>60</v>
      </c>
      <c r="W189" t="s">
        <v>250</v>
      </c>
      <c r="X189" s="2">
        <v>44781</v>
      </c>
      <c r="Y189" s="2">
        <v>44898</v>
      </c>
      <c r="Z189">
        <v>117</v>
      </c>
    </row>
    <row r="190" spans="1:26">
      <c r="A190" s="68" t="s">
        <v>983</v>
      </c>
      <c r="B190" s="1">
        <v>201730257</v>
      </c>
      <c r="C190" s="1" t="s">
        <v>728</v>
      </c>
      <c r="D190" s="1" t="s">
        <v>984</v>
      </c>
      <c r="E190" s="1" t="s">
        <v>985</v>
      </c>
      <c r="F190" s="1" t="s">
        <v>216</v>
      </c>
      <c r="G190" s="1" t="s">
        <v>246</v>
      </c>
      <c r="H190" s="1" t="s">
        <v>216</v>
      </c>
      <c r="I190" s="1" t="s">
        <v>246</v>
      </c>
      <c r="J190" s="1" t="s">
        <v>247</v>
      </c>
      <c r="K190" s="1">
        <v>2022</v>
      </c>
      <c r="L190" s="1">
        <v>202210</v>
      </c>
      <c r="M190" s="1">
        <v>202210</v>
      </c>
      <c r="N190" s="1" t="s">
        <v>248</v>
      </c>
      <c r="O190" s="1" t="s">
        <v>213</v>
      </c>
      <c r="P190" s="1" t="s">
        <v>249</v>
      </c>
      <c r="Q190" s="1" t="s">
        <v>216</v>
      </c>
      <c r="R190" s="1" t="s">
        <v>246</v>
      </c>
      <c r="S190" s="1" t="s">
        <v>410</v>
      </c>
      <c r="T190" s="70" t="str">
        <f>_xlfn.XLOOKUP(Tabla1[[#This Row],[Universidad]],Conversiones!$B:$B,Conversiones!$C:$C)</f>
        <v xml:space="preserve">CBS- Copenhagen Business School  </v>
      </c>
      <c r="U190" s="70" t="str">
        <f>_xlfn.XLOOKUP(Tabla1[[#This Row],[Universidad KPIs]],Conversiones!$C:$C,Conversiones!$E:$E)</f>
        <v>Específico</v>
      </c>
      <c r="V190" s="1" t="s">
        <v>47</v>
      </c>
      <c r="W190" s="1" t="s">
        <v>250</v>
      </c>
      <c r="X190" s="55">
        <v>44585</v>
      </c>
      <c r="Y190" s="55">
        <v>44709</v>
      </c>
      <c r="Z190" s="1">
        <v>124</v>
      </c>
    </row>
    <row r="191" spans="1:26">
      <c r="A191" s="67" t="s">
        <v>986</v>
      </c>
      <c r="B191">
        <v>201814932</v>
      </c>
      <c r="C191" t="s">
        <v>987</v>
      </c>
      <c r="D191" t="s">
        <v>988</v>
      </c>
      <c r="E191" t="s">
        <v>989</v>
      </c>
      <c r="F191" t="s">
        <v>216</v>
      </c>
      <c r="G191" t="s">
        <v>246</v>
      </c>
      <c r="J191" t="s">
        <v>247</v>
      </c>
      <c r="K191">
        <v>2022</v>
      </c>
      <c r="L191">
        <v>202210</v>
      </c>
      <c r="M191">
        <v>202210</v>
      </c>
      <c r="N191" t="s">
        <v>248</v>
      </c>
      <c r="O191" t="s">
        <v>213</v>
      </c>
      <c r="P191" t="s">
        <v>249</v>
      </c>
      <c r="Q191" t="s">
        <v>216</v>
      </c>
      <c r="R191" t="s">
        <v>246</v>
      </c>
      <c r="S191" t="s">
        <v>160</v>
      </c>
      <c r="T191" s="70" t="str">
        <f>_xlfn.XLOOKUP(Tabla1[[#This Row],[Universidad]],Conversiones!$B:$B,Conversiones!$C:$C)</f>
        <v>Université de Bordeaux</v>
      </c>
      <c r="U191" s="70" t="str">
        <f>_xlfn.XLOOKUP(Tabla1[[#This Row],[Universidad KPIs]],Conversiones!$C:$C,Conversiones!$E:$E)</f>
        <v>General</v>
      </c>
      <c r="V191" t="s">
        <v>41</v>
      </c>
      <c r="W191" t="s">
        <v>250</v>
      </c>
      <c r="X191" s="2">
        <v>44585</v>
      </c>
      <c r="Y191" s="2">
        <v>44709</v>
      </c>
      <c r="Z191">
        <v>124</v>
      </c>
    </row>
    <row r="192" spans="1:26">
      <c r="A192" s="68" t="s">
        <v>990</v>
      </c>
      <c r="B192" s="1">
        <v>201822266</v>
      </c>
      <c r="C192" s="1" t="s">
        <v>991</v>
      </c>
      <c r="D192" s="1" t="s">
        <v>992</v>
      </c>
      <c r="E192" s="1" t="s">
        <v>993</v>
      </c>
      <c r="F192" s="1" t="s">
        <v>216</v>
      </c>
      <c r="G192" s="1" t="s">
        <v>246</v>
      </c>
      <c r="H192" s="1" t="s">
        <v>994</v>
      </c>
      <c r="I192" s="1" t="s">
        <v>995</v>
      </c>
      <c r="J192" s="1" t="s">
        <v>247</v>
      </c>
      <c r="K192" s="1">
        <v>2022</v>
      </c>
      <c r="L192" s="1">
        <v>202210</v>
      </c>
      <c r="M192" s="1">
        <v>202210</v>
      </c>
      <c r="N192" s="1" t="s">
        <v>248</v>
      </c>
      <c r="O192" s="1" t="s">
        <v>213</v>
      </c>
      <c r="P192" s="1" t="s">
        <v>249</v>
      </c>
      <c r="Q192" s="1" t="s">
        <v>216</v>
      </c>
      <c r="R192" s="1" t="s">
        <v>246</v>
      </c>
      <c r="S192" s="1" t="s">
        <v>274</v>
      </c>
      <c r="T192" s="70" t="str">
        <f>_xlfn.XLOOKUP(Tabla1[[#This Row],[Universidad]],Conversiones!$B:$B,Conversiones!$C:$C)</f>
        <v>Catolica Lisbon Business &amp; Economics. Universidade Católica Portuguesa</v>
      </c>
      <c r="U192" s="70" t="str">
        <f>_xlfn.XLOOKUP(Tabla1[[#This Row],[Universidad KPIs]],Conversiones!$C:$C,Conversiones!$E:$E)</f>
        <v>Específico</v>
      </c>
      <c r="V192" s="1" t="s">
        <v>45</v>
      </c>
      <c r="W192" s="1" t="s">
        <v>250</v>
      </c>
      <c r="X192" s="55">
        <v>44585</v>
      </c>
      <c r="Y192" s="55">
        <v>44709</v>
      </c>
      <c r="Z192" s="1">
        <v>124</v>
      </c>
    </row>
    <row r="193" spans="1:26">
      <c r="A193" s="67" t="s">
        <v>996</v>
      </c>
      <c r="B193">
        <v>202027964</v>
      </c>
      <c r="C193" t="s">
        <v>997</v>
      </c>
      <c r="D193" t="s">
        <v>998</v>
      </c>
      <c r="E193" t="s">
        <v>999</v>
      </c>
      <c r="F193" t="s">
        <v>219</v>
      </c>
      <c r="G193" t="s">
        <v>246</v>
      </c>
      <c r="J193" t="s">
        <v>247</v>
      </c>
      <c r="K193">
        <v>2022</v>
      </c>
      <c r="L193">
        <v>202220</v>
      </c>
      <c r="M193">
        <v>202220</v>
      </c>
      <c r="N193" t="s">
        <v>587</v>
      </c>
      <c r="O193" t="s">
        <v>213</v>
      </c>
      <c r="P193" t="s">
        <v>588</v>
      </c>
      <c r="Q193" t="s">
        <v>219</v>
      </c>
      <c r="R193" t="s">
        <v>246</v>
      </c>
      <c r="S193" t="s">
        <v>320</v>
      </c>
      <c r="T193" s="70" t="str">
        <f>_xlfn.XLOOKUP(Tabla1[[#This Row],[Universidad]],Conversiones!$B:$B,Conversiones!$C:$C)</f>
        <v>KLU Kühne Logistics University</v>
      </c>
      <c r="U193" s="70" t="str">
        <f>_xlfn.XLOOKUP(Tabla1[[#This Row],[Universidad KPIs]],Conversiones!$C:$C,Conversiones!$E:$E)</f>
        <v>Específico</v>
      </c>
      <c r="V193" t="s">
        <v>60</v>
      </c>
      <c r="W193" t="s">
        <v>250</v>
      </c>
      <c r="X193" s="2">
        <v>44781</v>
      </c>
      <c r="Y193" s="2">
        <v>44898</v>
      </c>
      <c r="Z193">
        <v>117</v>
      </c>
    </row>
    <row r="194" spans="1:26">
      <c r="A194" s="68" t="s">
        <v>1000</v>
      </c>
      <c r="B194" s="1">
        <v>201820439</v>
      </c>
      <c r="C194" s="1" t="s">
        <v>257</v>
      </c>
      <c r="D194" s="1" t="s">
        <v>1001</v>
      </c>
      <c r="E194" s="1" t="s">
        <v>1002</v>
      </c>
      <c r="F194" s="1" t="s">
        <v>216</v>
      </c>
      <c r="G194" s="1" t="s">
        <v>246</v>
      </c>
      <c r="H194" s="1"/>
      <c r="I194" s="1"/>
      <c r="J194" s="1" t="s">
        <v>247</v>
      </c>
      <c r="K194" s="1">
        <v>2022</v>
      </c>
      <c r="L194" s="1">
        <v>202210</v>
      </c>
      <c r="M194" s="1">
        <v>202210</v>
      </c>
      <c r="N194" s="1" t="s">
        <v>248</v>
      </c>
      <c r="O194" s="1" t="s">
        <v>213</v>
      </c>
      <c r="P194" s="1" t="s">
        <v>249</v>
      </c>
      <c r="Q194" s="1" t="s">
        <v>216</v>
      </c>
      <c r="R194" s="1" t="s">
        <v>246</v>
      </c>
      <c r="S194" s="1" t="s">
        <v>155</v>
      </c>
      <c r="T194" s="70" t="str">
        <f>_xlfn.XLOOKUP(Tabla1[[#This Row],[Universidad]],Conversiones!$B:$B,Conversiones!$C:$C)</f>
        <v>Università degli Studi di Bologna 'Alma Mater Studiorum'</v>
      </c>
      <c r="U194" s="70" t="str">
        <f>_xlfn.XLOOKUP(Tabla1[[#This Row],[Universidad KPIs]],Conversiones!$C:$C,Conversiones!$E:$E)</f>
        <v>General</v>
      </c>
      <c r="V194" s="1" t="s">
        <v>87</v>
      </c>
      <c r="W194" s="1" t="s">
        <v>250</v>
      </c>
      <c r="X194" s="55">
        <v>44585</v>
      </c>
      <c r="Y194" s="55">
        <v>44709</v>
      </c>
      <c r="Z194" s="1">
        <v>124</v>
      </c>
    </row>
    <row r="195" spans="1:26">
      <c r="A195" s="67" t="s">
        <v>1003</v>
      </c>
      <c r="B195">
        <v>202013351</v>
      </c>
      <c r="C195" t="s">
        <v>961</v>
      </c>
      <c r="D195" t="s">
        <v>1004</v>
      </c>
      <c r="E195" t="s">
        <v>1005</v>
      </c>
      <c r="F195" t="s">
        <v>216</v>
      </c>
      <c r="G195" t="s">
        <v>246</v>
      </c>
      <c r="J195" t="s">
        <v>247</v>
      </c>
      <c r="K195">
        <v>2022</v>
      </c>
      <c r="L195">
        <v>202210</v>
      </c>
      <c r="M195">
        <v>202210</v>
      </c>
      <c r="N195" t="s">
        <v>248</v>
      </c>
      <c r="O195" t="s">
        <v>213</v>
      </c>
      <c r="P195" t="s">
        <v>249</v>
      </c>
      <c r="Q195" t="s">
        <v>216</v>
      </c>
      <c r="R195" t="s">
        <v>246</v>
      </c>
      <c r="S195" t="s">
        <v>410</v>
      </c>
      <c r="T195" s="70" t="str">
        <f>_xlfn.XLOOKUP(Tabla1[[#This Row],[Universidad]],Conversiones!$B:$B,Conversiones!$C:$C)</f>
        <v xml:space="preserve">CBS- Copenhagen Business School  </v>
      </c>
      <c r="U195" s="70" t="str">
        <f>_xlfn.XLOOKUP(Tabla1[[#This Row],[Universidad KPIs]],Conversiones!$C:$C,Conversiones!$E:$E)</f>
        <v>Específico</v>
      </c>
      <c r="V195" t="s">
        <v>47</v>
      </c>
      <c r="W195" t="s">
        <v>250</v>
      </c>
      <c r="X195" s="2">
        <v>44585</v>
      </c>
      <c r="Y195" s="2">
        <v>44709</v>
      </c>
      <c r="Z195">
        <v>124</v>
      </c>
    </row>
    <row r="196" spans="1:26">
      <c r="A196" s="68" t="s">
        <v>1006</v>
      </c>
      <c r="B196" s="1">
        <v>201821835</v>
      </c>
      <c r="C196" s="1" t="s">
        <v>728</v>
      </c>
      <c r="D196" s="1" t="s">
        <v>1007</v>
      </c>
      <c r="E196" s="1" t="s">
        <v>1008</v>
      </c>
      <c r="F196" s="1" t="s">
        <v>216</v>
      </c>
      <c r="G196" s="1" t="s">
        <v>246</v>
      </c>
      <c r="H196" s="1"/>
      <c r="I196" s="1"/>
      <c r="J196" s="1" t="s">
        <v>247</v>
      </c>
      <c r="K196" s="1">
        <v>2022</v>
      </c>
      <c r="L196" s="1">
        <v>202210</v>
      </c>
      <c r="M196" s="1">
        <v>202210</v>
      </c>
      <c r="N196" s="1" t="s">
        <v>248</v>
      </c>
      <c r="O196" s="1" t="s">
        <v>213</v>
      </c>
      <c r="P196" s="1" t="s">
        <v>249</v>
      </c>
      <c r="Q196" s="1" t="s">
        <v>216</v>
      </c>
      <c r="R196" s="1" t="s">
        <v>246</v>
      </c>
      <c r="S196" s="1" t="s">
        <v>335</v>
      </c>
      <c r="T196" s="70" t="str">
        <f>_xlfn.XLOOKUP(Tabla1[[#This Row],[Universidad]],Conversiones!$B:$B,Conversiones!$C:$C)</f>
        <v>HEC Montréal</v>
      </c>
      <c r="U196" s="70" t="str">
        <f>_xlfn.XLOOKUP(Tabla1[[#This Row],[Universidad KPIs]],Conversiones!$C:$C,Conversiones!$E:$E)</f>
        <v>Específico</v>
      </c>
      <c r="V196" s="1" t="s">
        <v>58</v>
      </c>
      <c r="W196" s="1" t="s">
        <v>260</v>
      </c>
      <c r="X196" s="55">
        <v>44585</v>
      </c>
      <c r="Y196" s="55">
        <v>44709</v>
      </c>
      <c r="Z196" s="1">
        <v>124</v>
      </c>
    </row>
    <row r="197" spans="1:26">
      <c r="A197" s="67" t="s">
        <v>1009</v>
      </c>
      <c r="B197">
        <v>201923030</v>
      </c>
      <c r="C197" t="s">
        <v>1010</v>
      </c>
      <c r="D197" t="s">
        <v>1011</v>
      </c>
      <c r="E197" t="s">
        <v>1012</v>
      </c>
      <c r="F197" t="s">
        <v>216</v>
      </c>
      <c r="G197" t="s">
        <v>246</v>
      </c>
      <c r="J197" t="s">
        <v>247</v>
      </c>
      <c r="K197">
        <v>2022</v>
      </c>
      <c r="L197">
        <v>202220</v>
      </c>
      <c r="M197">
        <v>202220</v>
      </c>
      <c r="N197" t="s">
        <v>248</v>
      </c>
      <c r="O197" t="s">
        <v>213</v>
      </c>
      <c r="P197" t="s">
        <v>249</v>
      </c>
      <c r="Q197" t="s">
        <v>216</v>
      </c>
      <c r="R197" t="s">
        <v>246</v>
      </c>
      <c r="S197" t="s">
        <v>608</v>
      </c>
      <c r="T197" s="70" t="str">
        <f>_xlfn.XLOOKUP(Tabla1[[#This Row],[Universidad]],Conversiones!$B:$B,Conversiones!$C:$C)</f>
        <v>IE Instituto Empresa</v>
      </c>
      <c r="U197" s="70" t="str">
        <f>_xlfn.XLOOKUP(Tabla1[[#This Row],[Universidad KPIs]],Conversiones!$C:$C,Conversiones!$E:$E)</f>
        <v>General</v>
      </c>
      <c r="V197" t="s">
        <v>53</v>
      </c>
      <c r="W197" t="s">
        <v>250</v>
      </c>
      <c r="X197" s="2">
        <v>44781</v>
      </c>
      <c r="Y197" s="2">
        <v>44898</v>
      </c>
      <c r="Z197">
        <v>117</v>
      </c>
    </row>
    <row r="198" spans="1:26">
      <c r="A198" s="68" t="s">
        <v>1013</v>
      </c>
      <c r="B198" s="1">
        <v>201812318</v>
      </c>
      <c r="C198" s="1" t="s">
        <v>1014</v>
      </c>
      <c r="D198" s="1" t="s">
        <v>1015</v>
      </c>
      <c r="E198" s="1" t="s">
        <v>1016</v>
      </c>
      <c r="F198" s="1" t="s">
        <v>217</v>
      </c>
      <c r="G198" s="1" t="s">
        <v>246</v>
      </c>
      <c r="H198" s="1" t="s">
        <v>216</v>
      </c>
      <c r="I198" s="1" t="s">
        <v>246</v>
      </c>
      <c r="J198" s="1" t="s">
        <v>247</v>
      </c>
      <c r="K198" s="1">
        <v>2022</v>
      </c>
      <c r="L198" s="1">
        <v>202220</v>
      </c>
      <c r="M198" s="1">
        <v>202220</v>
      </c>
      <c r="N198" s="1" t="s">
        <v>248</v>
      </c>
      <c r="O198" s="1" t="s">
        <v>213</v>
      </c>
      <c r="P198" s="1" t="s">
        <v>249</v>
      </c>
      <c r="Q198" s="1" t="s">
        <v>216</v>
      </c>
      <c r="R198" s="1" t="s">
        <v>246</v>
      </c>
      <c r="S198" s="1" t="s">
        <v>320</v>
      </c>
      <c r="T198" s="70" t="str">
        <f>_xlfn.XLOOKUP(Tabla1[[#This Row],[Universidad]],Conversiones!$B:$B,Conversiones!$C:$C)</f>
        <v>KLU Kühne Logistics University</v>
      </c>
      <c r="U198" s="70" t="str">
        <f>_xlfn.XLOOKUP(Tabla1[[#This Row],[Universidad KPIs]],Conversiones!$C:$C,Conversiones!$E:$E)</f>
        <v>Específico</v>
      </c>
      <c r="V198" s="1" t="s">
        <v>60</v>
      </c>
      <c r="W198" s="1" t="s">
        <v>250</v>
      </c>
      <c r="X198" s="55">
        <v>44781</v>
      </c>
      <c r="Y198" s="55">
        <v>44898</v>
      </c>
      <c r="Z198" s="1">
        <v>117</v>
      </c>
    </row>
    <row r="199" spans="1:26">
      <c r="A199" s="67" t="s">
        <v>1017</v>
      </c>
      <c r="B199">
        <v>202013487</v>
      </c>
      <c r="C199" t="s">
        <v>1018</v>
      </c>
      <c r="D199" t="s">
        <v>1019</v>
      </c>
      <c r="E199" t="s">
        <v>1020</v>
      </c>
      <c r="F199" t="s">
        <v>216</v>
      </c>
      <c r="G199" t="s">
        <v>246</v>
      </c>
      <c r="J199" t="s">
        <v>247</v>
      </c>
      <c r="K199">
        <v>2022</v>
      </c>
      <c r="L199">
        <v>202220</v>
      </c>
      <c r="M199">
        <v>202220</v>
      </c>
      <c r="N199" t="s">
        <v>248</v>
      </c>
      <c r="O199" t="s">
        <v>213</v>
      </c>
      <c r="P199" t="s">
        <v>249</v>
      </c>
      <c r="Q199" t="s">
        <v>216</v>
      </c>
      <c r="R199" t="s">
        <v>246</v>
      </c>
      <c r="S199" t="s">
        <v>374</v>
      </c>
      <c r="T199" s="70" t="str">
        <f>_xlfn.XLOOKUP(Tabla1[[#This Row],[Universidad]],Conversiones!$B:$B,Conversiones!$C:$C)</f>
        <v>University of Ljubljana</v>
      </c>
      <c r="U199" s="70" t="str">
        <f>_xlfn.XLOOKUP(Tabla1[[#This Row],[Universidad KPIs]],Conversiones!$C:$C,Conversiones!$E:$E)</f>
        <v>Específico</v>
      </c>
      <c r="V199" t="s">
        <v>102</v>
      </c>
      <c r="W199" t="s">
        <v>250</v>
      </c>
      <c r="X199" s="2">
        <v>44781</v>
      </c>
      <c r="Y199" s="2">
        <v>44898</v>
      </c>
      <c r="Z199">
        <v>117</v>
      </c>
    </row>
    <row r="200" spans="1:26">
      <c r="A200" s="68" t="s">
        <v>1021</v>
      </c>
      <c r="B200" s="1">
        <v>201815223</v>
      </c>
      <c r="C200" s="1" t="s">
        <v>295</v>
      </c>
      <c r="D200" s="1" t="s">
        <v>1022</v>
      </c>
      <c r="E200" s="1" t="s">
        <v>1023</v>
      </c>
      <c r="F200" s="1" t="s">
        <v>216</v>
      </c>
      <c r="G200" s="1" t="s">
        <v>246</v>
      </c>
      <c r="H200" s="1"/>
      <c r="I200" s="1"/>
      <c r="J200" s="1" t="s">
        <v>247</v>
      </c>
      <c r="K200" s="1">
        <v>2022</v>
      </c>
      <c r="L200" s="1">
        <v>202219</v>
      </c>
      <c r="M200" s="1">
        <v>202219</v>
      </c>
      <c r="N200" s="1" t="s">
        <v>248</v>
      </c>
      <c r="O200" s="1" t="s">
        <v>553</v>
      </c>
      <c r="P200" s="1" t="s">
        <v>437</v>
      </c>
      <c r="Q200" s="1" t="s">
        <v>216</v>
      </c>
      <c r="R200" s="1" t="s">
        <v>246</v>
      </c>
      <c r="S200" s="1" t="s">
        <v>181</v>
      </c>
      <c r="T200" s="70" t="str">
        <f>_xlfn.XLOOKUP(Tabla1[[#This Row],[Universidad]],Conversiones!$B:$B,Conversiones!$C:$C)</f>
        <v>Cornell University</v>
      </c>
      <c r="U200" s="70" t="str">
        <f>_xlfn.XLOOKUP(Tabla1[[#This Row],[Universidad KPIs]],Conversiones!$C:$C,Conversiones!$E:$E)</f>
        <v>General</v>
      </c>
      <c r="V200" s="1" t="s">
        <v>35</v>
      </c>
      <c r="W200" s="1" t="s">
        <v>260</v>
      </c>
      <c r="X200" s="55">
        <v>44718</v>
      </c>
      <c r="Y200" s="55">
        <v>44772</v>
      </c>
      <c r="Z200" s="1">
        <v>54</v>
      </c>
    </row>
    <row r="201" spans="1:26">
      <c r="A201" s="67" t="s">
        <v>1024</v>
      </c>
      <c r="B201">
        <v>202013553</v>
      </c>
      <c r="C201" t="s">
        <v>286</v>
      </c>
      <c r="D201" t="s">
        <v>1025</v>
      </c>
      <c r="E201" t="s">
        <v>1026</v>
      </c>
      <c r="F201" t="s">
        <v>216</v>
      </c>
      <c r="G201" t="s">
        <v>246</v>
      </c>
      <c r="J201" t="s">
        <v>247</v>
      </c>
      <c r="K201">
        <v>2022</v>
      </c>
      <c r="L201">
        <v>202220</v>
      </c>
      <c r="M201">
        <v>202220</v>
      </c>
      <c r="N201" t="s">
        <v>248</v>
      </c>
      <c r="O201" t="s">
        <v>213</v>
      </c>
      <c r="P201" t="s">
        <v>249</v>
      </c>
      <c r="Q201" t="s">
        <v>216</v>
      </c>
      <c r="R201" t="s">
        <v>246</v>
      </c>
      <c r="S201" t="s">
        <v>38</v>
      </c>
      <c r="T201" s="70" t="str">
        <f>_xlfn.XLOOKUP(Tabla1[[#This Row],[Universidad]],Conversiones!$B:$B,Conversiones!$C:$C)</f>
        <v>Aston University</v>
      </c>
      <c r="U201" s="70" t="str">
        <f>_xlfn.XLOOKUP(Tabla1[[#This Row],[Universidad KPIs]],Conversiones!$C:$C,Conversiones!$E:$E)</f>
        <v>Específico</v>
      </c>
      <c r="V201" t="s">
        <v>39</v>
      </c>
      <c r="W201" t="s">
        <v>250</v>
      </c>
      <c r="X201" s="2">
        <v>44781</v>
      </c>
      <c r="Y201" s="2">
        <v>44898</v>
      </c>
      <c r="Z201">
        <v>117</v>
      </c>
    </row>
    <row r="202" spans="1:26">
      <c r="A202" s="68" t="s">
        <v>1027</v>
      </c>
      <c r="B202" s="1">
        <v>201821914</v>
      </c>
      <c r="C202" s="1" t="s">
        <v>1028</v>
      </c>
      <c r="D202" s="1" t="s">
        <v>1029</v>
      </c>
      <c r="E202" s="1" t="s">
        <v>1030</v>
      </c>
      <c r="F202" s="1" t="s">
        <v>216</v>
      </c>
      <c r="G202" s="1" t="s">
        <v>246</v>
      </c>
      <c r="H202" s="1"/>
      <c r="I202" s="1"/>
      <c r="J202" s="1" t="s">
        <v>247</v>
      </c>
      <c r="K202" s="1">
        <v>2022</v>
      </c>
      <c r="L202" s="1">
        <v>202210</v>
      </c>
      <c r="M202" s="1">
        <v>202210</v>
      </c>
      <c r="N202" s="1" t="s">
        <v>248</v>
      </c>
      <c r="O202" s="1" t="s">
        <v>213</v>
      </c>
      <c r="P202" s="1" t="s">
        <v>249</v>
      </c>
      <c r="Q202" s="1" t="s">
        <v>216</v>
      </c>
      <c r="R202" s="1" t="s">
        <v>246</v>
      </c>
      <c r="S202" s="1" t="s">
        <v>952</v>
      </c>
      <c r="T202" s="70" t="str">
        <f>_xlfn.XLOOKUP(Tabla1[[#This Row],[Universidad]],Conversiones!$B:$B,Conversiones!$C:$C)</f>
        <v>Queens University School of Business</v>
      </c>
      <c r="U202" s="70" t="str">
        <f>_xlfn.XLOOKUP(Tabla1[[#This Row],[Universidad KPIs]],Conversiones!$C:$C,Conversiones!$E:$E)</f>
        <v>Específico</v>
      </c>
      <c r="V202" s="1" t="s">
        <v>58</v>
      </c>
      <c r="W202" s="1" t="s">
        <v>260</v>
      </c>
      <c r="X202" s="55">
        <v>44585</v>
      </c>
      <c r="Y202" s="55">
        <v>44709</v>
      </c>
      <c r="Z202" s="1">
        <v>124</v>
      </c>
    </row>
    <row r="203" spans="1:26">
      <c r="A203" s="67" t="s">
        <v>1031</v>
      </c>
      <c r="B203">
        <v>201921925</v>
      </c>
      <c r="C203" t="s">
        <v>1032</v>
      </c>
      <c r="D203" t="s">
        <v>1033</v>
      </c>
      <c r="E203" t="s">
        <v>1034</v>
      </c>
      <c r="F203" t="s">
        <v>216</v>
      </c>
      <c r="G203" t="s">
        <v>246</v>
      </c>
      <c r="J203" t="s">
        <v>247</v>
      </c>
      <c r="K203">
        <v>2022</v>
      </c>
      <c r="L203">
        <v>202210</v>
      </c>
      <c r="M203">
        <v>202210</v>
      </c>
      <c r="N203" t="s">
        <v>248</v>
      </c>
      <c r="O203" t="s">
        <v>213</v>
      </c>
      <c r="P203" t="s">
        <v>249</v>
      </c>
      <c r="Q203" t="s">
        <v>216</v>
      </c>
      <c r="R203" t="s">
        <v>246</v>
      </c>
      <c r="S203" t="s">
        <v>50</v>
      </c>
      <c r="T203" s="70" t="str">
        <f>_xlfn.XLOOKUP(Tabla1[[#This Row],[Universidad]],Conversiones!$B:$B,Conversiones!$C:$C)</f>
        <v>EDHEC Business School</v>
      </c>
      <c r="U203" s="70" t="str">
        <f>_xlfn.XLOOKUP(Tabla1[[#This Row],[Universidad KPIs]],Conversiones!$C:$C,Conversiones!$E:$E)</f>
        <v>Específico</v>
      </c>
      <c r="V203" t="s">
        <v>41</v>
      </c>
      <c r="W203" t="s">
        <v>250</v>
      </c>
      <c r="X203" s="2">
        <v>44585</v>
      </c>
      <c r="Y203" s="2">
        <v>44709</v>
      </c>
      <c r="Z203">
        <v>124</v>
      </c>
    </row>
    <row r="204" spans="1:26">
      <c r="A204" s="68" t="s">
        <v>1035</v>
      </c>
      <c r="B204" s="1">
        <v>201715713</v>
      </c>
      <c r="C204" s="1" t="s">
        <v>327</v>
      </c>
      <c r="D204" s="1" t="s">
        <v>1036</v>
      </c>
      <c r="E204" s="1" t="s">
        <v>1037</v>
      </c>
      <c r="F204" s="1" t="s">
        <v>1038</v>
      </c>
      <c r="G204" s="1" t="s">
        <v>507</v>
      </c>
      <c r="H204" s="1" t="s">
        <v>216</v>
      </c>
      <c r="I204" s="1" t="s">
        <v>246</v>
      </c>
      <c r="J204" s="1" t="s">
        <v>247</v>
      </c>
      <c r="K204" s="1">
        <v>2022</v>
      </c>
      <c r="L204" s="1">
        <v>202210</v>
      </c>
      <c r="M204" s="1">
        <v>202210</v>
      </c>
      <c r="N204" s="1" t="s">
        <v>248</v>
      </c>
      <c r="O204" s="1" t="s">
        <v>213</v>
      </c>
      <c r="P204" s="1" t="s">
        <v>249</v>
      </c>
      <c r="Q204" s="1" t="s">
        <v>216</v>
      </c>
      <c r="R204" s="1" t="s">
        <v>246</v>
      </c>
      <c r="S204" s="1" t="s">
        <v>298</v>
      </c>
      <c r="T204" s="70" t="str">
        <f>_xlfn.XLOOKUP(Tabla1[[#This Row],[Universidad]],Conversiones!$B:$B,Conversiones!$C:$C)</f>
        <v>ESSEC</v>
      </c>
      <c r="U204" s="70" t="str">
        <f>_xlfn.XLOOKUP(Tabla1[[#This Row],[Universidad KPIs]],Conversiones!$C:$C,Conversiones!$E:$E)</f>
        <v>Específico</v>
      </c>
      <c r="V204" s="1" t="s">
        <v>41</v>
      </c>
      <c r="W204" s="1" t="s">
        <v>250</v>
      </c>
      <c r="X204" s="55">
        <v>44585</v>
      </c>
      <c r="Y204" s="55">
        <v>44709</v>
      </c>
      <c r="Z204" s="1">
        <v>124</v>
      </c>
    </row>
    <row r="205" spans="1:26">
      <c r="A205" s="67" t="s">
        <v>1039</v>
      </c>
      <c r="B205">
        <v>201821945</v>
      </c>
      <c r="C205" t="s">
        <v>1040</v>
      </c>
      <c r="D205" t="s">
        <v>1041</v>
      </c>
      <c r="E205" t="s">
        <v>1042</v>
      </c>
      <c r="F205" t="s">
        <v>216</v>
      </c>
      <c r="G205" t="s">
        <v>246</v>
      </c>
      <c r="J205" t="s">
        <v>247</v>
      </c>
      <c r="K205">
        <v>2022</v>
      </c>
      <c r="L205">
        <v>202220</v>
      </c>
      <c r="M205">
        <v>202220</v>
      </c>
      <c r="N205" t="s">
        <v>248</v>
      </c>
      <c r="O205" t="s">
        <v>213</v>
      </c>
      <c r="P205" t="s">
        <v>249</v>
      </c>
      <c r="Q205" t="s">
        <v>216</v>
      </c>
      <c r="R205" t="s">
        <v>246</v>
      </c>
      <c r="S205" t="s">
        <v>274</v>
      </c>
      <c r="T205" s="70" t="str">
        <f>_xlfn.XLOOKUP(Tabla1[[#This Row],[Universidad]],Conversiones!$B:$B,Conversiones!$C:$C)</f>
        <v>Catolica Lisbon Business &amp; Economics. Universidade Católica Portuguesa</v>
      </c>
      <c r="U205" s="70" t="str">
        <f>_xlfn.XLOOKUP(Tabla1[[#This Row],[Universidad KPIs]],Conversiones!$C:$C,Conversiones!$E:$E)</f>
        <v>Específico</v>
      </c>
      <c r="V205" t="s">
        <v>45</v>
      </c>
      <c r="W205" t="s">
        <v>250</v>
      </c>
      <c r="X205" s="2">
        <v>44781</v>
      </c>
      <c r="Y205" s="2">
        <v>44898</v>
      </c>
      <c r="Z205">
        <v>117</v>
      </c>
    </row>
    <row r="206" spans="1:26">
      <c r="A206" s="68" t="s">
        <v>1043</v>
      </c>
      <c r="B206" s="1">
        <v>201729366</v>
      </c>
      <c r="C206" s="1" t="s">
        <v>1044</v>
      </c>
      <c r="D206" s="1" t="s">
        <v>1045</v>
      </c>
      <c r="E206" s="1" t="s">
        <v>1046</v>
      </c>
      <c r="F206" s="1" t="s">
        <v>216</v>
      </c>
      <c r="G206" s="1" t="s">
        <v>246</v>
      </c>
      <c r="H206" s="1"/>
      <c r="I206" s="1"/>
      <c r="J206" s="1" t="s">
        <v>247</v>
      </c>
      <c r="K206" s="1">
        <v>2022</v>
      </c>
      <c r="L206" s="1">
        <v>202210</v>
      </c>
      <c r="M206" s="1">
        <v>202120</v>
      </c>
      <c r="N206" s="1" t="s">
        <v>248</v>
      </c>
      <c r="O206" s="1" t="s">
        <v>213</v>
      </c>
      <c r="P206" s="1" t="s">
        <v>249</v>
      </c>
      <c r="Q206" s="1" t="s">
        <v>216</v>
      </c>
      <c r="R206" s="1" t="s">
        <v>246</v>
      </c>
      <c r="S206" s="1" t="s">
        <v>255</v>
      </c>
      <c r="T206" s="70" t="str">
        <f>_xlfn.XLOOKUP(Tabla1[[#This Row],[Universidad]],Conversiones!$B:$B,Conversiones!$C:$C)</f>
        <v>ESC Rouen (NEOMA)</v>
      </c>
      <c r="U206" s="70" t="str">
        <f>_xlfn.XLOOKUP(Tabla1[[#This Row],[Universidad KPIs]],Conversiones!$C:$C,Conversiones!$E:$E)</f>
        <v>Específico</v>
      </c>
      <c r="V206" s="1" t="s">
        <v>41</v>
      </c>
      <c r="W206" s="1" t="s">
        <v>250</v>
      </c>
      <c r="X206" s="55">
        <v>44585</v>
      </c>
      <c r="Y206" s="55">
        <v>44709</v>
      </c>
      <c r="Z206" s="1">
        <v>124</v>
      </c>
    </row>
    <row r="207" spans="1:26">
      <c r="A207" s="67" t="s">
        <v>1047</v>
      </c>
      <c r="B207">
        <v>201923195</v>
      </c>
      <c r="C207" t="s">
        <v>1048</v>
      </c>
      <c r="D207" t="s">
        <v>1049</v>
      </c>
      <c r="E207" t="s">
        <v>1050</v>
      </c>
      <c r="F207" t="s">
        <v>216</v>
      </c>
      <c r="G207" t="s">
        <v>246</v>
      </c>
      <c r="J207" t="s">
        <v>247</v>
      </c>
      <c r="K207">
        <v>2022</v>
      </c>
      <c r="L207">
        <v>202210</v>
      </c>
      <c r="M207">
        <v>202210</v>
      </c>
      <c r="N207" t="s">
        <v>248</v>
      </c>
      <c r="O207" t="s">
        <v>213</v>
      </c>
      <c r="P207" t="s">
        <v>249</v>
      </c>
      <c r="Q207" t="s">
        <v>216</v>
      </c>
      <c r="R207" t="s">
        <v>246</v>
      </c>
      <c r="S207" t="s">
        <v>155</v>
      </c>
      <c r="T207" s="70" t="str">
        <f>_xlfn.XLOOKUP(Tabla1[[#This Row],[Universidad]],Conversiones!$B:$B,Conversiones!$C:$C)</f>
        <v>Università degli Studi di Bologna 'Alma Mater Studiorum'</v>
      </c>
      <c r="U207" s="70" t="str">
        <f>_xlfn.XLOOKUP(Tabla1[[#This Row],[Universidad KPIs]],Conversiones!$C:$C,Conversiones!$E:$E)</f>
        <v>General</v>
      </c>
      <c r="V207" t="s">
        <v>87</v>
      </c>
      <c r="W207" t="s">
        <v>250</v>
      </c>
      <c r="X207" s="2">
        <v>44585</v>
      </c>
      <c r="Y207" s="2">
        <v>44709</v>
      </c>
      <c r="Z207">
        <v>124</v>
      </c>
    </row>
    <row r="208" spans="1:26">
      <c r="A208" s="68" t="s">
        <v>1051</v>
      </c>
      <c r="B208" s="1">
        <v>201731049</v>
      </c>
      <c r="C208" s="1" t="s">
        <v>1052</v>
      </c>
      <c r="D208" s="1" t="s">
        <v>1053</v>
      </c>
      <c r="E208" s="1" t="s">
        <v>1054</v>
      </c>
      <c r="F208" s="1" t="s">
        <v>216</v>
      </c>
      <c r="G208" s="1" t="s">
        <v>246</v>
      </c>
      <c r="H208" s="1"/>
      <c r="I208" s="1"/>
      <c r="J208" s="1" t="s">
        <v>247</v>
      </c>
      <c r="K208" s="1">
        <v>2022</v>
      </c>
      <c r="L208" s="1">
        <v>202220</v>
      </c>
      <c r="M208" s="1">
        <v>202220</v>
      </c>
      <c r="N208" s="1" t="s">
        <v>248</v>
      </c>
      <c r="O208" s="1" t="s">
        <v>213</v>
      </c>
      <c r="P208" s="1" t="s">
        <v>249</v>
      </c>
      <c r="Q208" s="1" t="s">
        <v>216</v>
      </c>
      <c r="R208" s="1" t="s">
        <v>246</v>
      </c>
      <c r="S208" s="1" t="s">
        <v>608</v>
      </c>
      <c r="T208" s="70" t="str">
        <f>_xlfn.XLOOKUP(Tabla1[[#This Row],[Universidad]],Conversiones!$B:$B,Conversiones!$C:$C)</f>
        <v>IE Instituto Empresa</v>
      </c>
      <c r="U208" s="70" t="str">
        <f>_xlfn.XLOOKUP(Tabla1[[#This Row],[Universidad KPIs]],Conversiones!$C:$C,Conversiones!$E:$E)</f>
        <v>General</v>
      </c>
      <c r="V208" s="1" t="s">
        <v>53</v>
      </c>
      <c r="W208" s="1" t="s">
        <v>250</v>
      </c>
      <c r="X208" s="55">
        <v>44781</v>
      </c>
      <c r="Y208" s="55">
        <v>44898</v>
      </c>
      <c r="Z208" s="1">
        <v>117</v>
      </c>
    </row>
    <row r="209" spans="1:26">
      <c r="A209" s="67" t="s">
        <v>1055</v>
      </c>
      <c r="B209">
        <v>201914560</v>
      </c>
      <c r="C209" t="s">
        <v>667</v>
      </c>
      <c r="D209" t="s">
        <v>1056</v>
      </c>
      <c r="E209" t="s">
        <v>1057</v>
      </c>
      <c r="F209" t="s">
        <v>216</v>
      </c>
      <c r="G209" t="s">
        <v>246</v>
      </c>
      <c r="H209" t="s">
        <v>512</v>
      </c>
      <c r="I209" t="s">
        <v>513</v>
      </c>
      <c r="J209" t="s">
        <v>247</v>
      </c>
      <c r="K209">
        <v>2022</v>
      </c>
      <c r="L209">
        <v>202220</v>
      </c>
      <c r="M209">
        <v>202220</v>
      </c>
      <c r="N209" t="s">
        <v>248</v>
      </c>
      <c r="O209" t="s">
        <v>213</v>
      </c>
      <c r="P209" t="s">
        <v>249</v>
      </c>
      <c r="Q209" t="s">
        <v>216</v>
      </c>
      <c r="R209" t="s">
        <v>246</v>
      </c>
      <c r="S209" t="s">
        <v>383</v>
      </c>
      <c r="T209" s="70" t="str">
        <f>_xlfn.XLOOKUP(Tabla1[[#This Row],[Universidad]],Conversiones!$B:$B,Conversiones!$C:$C)</f>
        <v>Faculté des Sciences de l'Administration. FSA Laval</v>
      </c>
      <c r="U209" s="70" t="str">
        <f>_xlfn.XLOOKUP(Tabla1[[#This Row],[Universidad KPIs]],Conversiones!$C:$C,Conversiones!$E:$E)</f>
        <v>Específico</v>
      </c>
      <c r="V209" t="s">
        <v>58</v>
      </c>
      <c r="W209" t="s">
        <v>260</v>
      </c>
      <c r="X209" s="2">
        <v>44781</v>
      </c>
      <c r="Y209" s="2">
        <v>44898</v>
      </c>
      <c r="Z209">
        <v>117</v>
      </c>
    </row>
    <row r="210" spans="1:26">
      <c r="A210" s="68" t="s">
        <v>1058</v>
      </c>
      <c r="B210" s="1">
        <v>201823029</v>
      </c>
      <c r="C210" s="1" t="s">
        <v>267</v>
      </c>
      <c r="D210" s="1" t="s">
        <v>1059</v>
      </c>
      <c r="E210" s="1" t="s">
        <v>1060</v>
      </c>
      <c r="F210" s="1" t="s">
        <v>216</v>
      </c>
      <c r="G210" s="1" t="s">
        <v>246</v>
      </c>
      <c r="H210" s="1" t="s">
        <v>460</v>
      </c>
      <c r="I210" s="1" t="s">
        <v>461</v>
      </c>
      <c r="J210" s="1" t="s">
        <v>247</v>
      </c>
      <c r="K210" s="1">
        <v>2022</v>
      </c>
      <c r="L210" s="1">
        <v>202220</v>
      </c>
      <c r="M210" s="1">
        <v>202220</v>
      </c>
      <c r="N210" s="1" t="s">
        <v>248</v>
      </c>
      <c r="O210" s="1" t="s">
        <v>213</v>
      </c>
      <c r="P210" s="1" t="s">
        <v>249</v>
      </c>
      <c r="Q210" s="1" t="s">
        <v>216</v>
      </c>
      <c r="R210" s="1" t="s">
        <v>246</v>
      </c>
      <c r="S210" s="1" t="s">
        <v>279</v>
      </c>
      <c r="T210" s="70" t="str">
        <f>_xlfn.XLOOKUP(Tabla1[[#This Row],[Universidad]],Conversiones!$B:$B,Conversiones!$C:$C)</f>
        <v>Toulouse Business School</v>
      </c>
      <c r="U210" s="70" t="str">
        <f>_xlfn.XLOOKUP(Tabla1[[#This Row],[Universidad KPIs]],Conversiones!$C:$C,Conversiones!$E:$E)</f>
        <v>Específico</v>
      </c>
      <c r="V210" s="1" t="s">
        <v>41</v>
      </c>
      <c r="W210" s="1" t="s">
        <v>250</v>
      </c>
      <c r="X210" s="55">
        <v>44781</v>
      </c>
      <c r="Y210" s="55">
        <v>44898</v>
      </c>
      <c r="Z210" s="1">
        <v>117</v>
      </c>
    </row>
    <row r="211" spans="1:26">
      <c r="A211" s="67" t="s">
        <v>1061</v>
      </c>
      <c r="B211">
        <v>201822007</v>
      </c>
      <c r="C211" t="s">
        <v>327</v>
      </c>
      <c r="D211" t="s">
        <v>1062</v>
      </c>
      <c r="E211" t="s">
        <v>1063</v>
      </c>
      <c r="F211" t="s">
        <v>216</v>
      </c>
      <c r="G211" t="s">
        <v>246</v>
      </c>
      <c r="H211" t="s">
        <v>460</v>
      </c>
      <c r="I211" t="s">
        <v>461</v>
      </c>
      <c r="J211" t="s">
        <v>247</v>
      </c>
      <c r="K211">
        <v>2022</v>
      </c>
      <c r="L211">
        <v>202210</v>
      </c>
      <c r="M211">
        <v>202210</v>
      </c>
      <c r="N211" t="s">
        <v>248</v>
      </c>
      <c r="O211" t="s">
        <v>213</v>
      </c>
      <c r="P211" t="s">
        <v>249</v>
      </c>
      <c r="Q211" t="s">
        <v>216</v>
      </c>
      <c r="R211" t="s">
        <v>246</v>
      </c>
      <c r="S211" t="s">
        <v>78</v>
      </c>
      <c r="T211" s="70" t="str">
        <f>_xlfn.XLOOKUP(Tabla1[[#This Row],[Universidad]],Conversiones!$B:$B,Conversiones!$C:$C)</f>
        <v>Maastricht University</v>
      </c>
      <c r="U211" s="70" t="str">
        <f>_xlfn.XLOOKUP(Tabla1[[#This Row],[Universidad KPIs]],Conversiones!$C:$C,Conversiones!$E:$E)</f>
        <v>Específico</v>
      </c>
      <c r="V211" t="s">
        <v>79</v>
      </c>
      <c r="W211" t="s">
        <v>250</v>
      </c>
      <c r="X211" s="2">
        <v>44585</v>
      </c>
      <c r="Y211" s="2">
        <v>44709</v>
      </c>
      <c r="Z211">
        <v>124</v>
      </c>
    </row>
    <row r="212" spans="1:26">
      <c r="A212" s="68" t="s">
        <v>1064</v>
      </c>
      <c r="B212" s="1">
        <v>201924010</v>
      </c>
      <c r="C212" s="1" t="s">
        <v>1065</v>
      </c>
      <c r="D212" s="1" t="s">
        <v>1066</v>
      </c>
      <c r="E212" s="1" t="s">
        <v>1067</v>
      </c>
      <c r="F212" s="1" t="s">
        <v>216</v>
      </c>
      <c r="G212" s="1" t="s">
        <v>246</v>
      </c>
      <c r="H212" s="1"/>
      <c r="I212" s="1"/>
      <c r="J212" s="1" t="s">
        <v>247</v>
      </c>
      <c r="K212" s="1">
        <v>2022</v>
      </c>
      <c r="L212" s="1">
        <v>202220</v>
      </c>
      <c r="M212" s="1">
        <v>202220</v>
      </c>
      <c r="N212" s="1" t="s">
        <v>248</v>
      </c>
      <c r="O212" s="1" t="s">
        <v>214</v>
      </c>
      <c r="P212" s="1" t="s">
        <v>446</v>
      </c>
      <c r="Q212" s="1" t="s">
        <v>216</v>
      </c>
      <c r="R212" s="1" t="s">
        <v>246</v>
      </c>
      <c r="S212" s="1" t="s">
        <v>738</v>
      </c>
      <c r="T212" s="70" t="str">
        <f>_xlfn.XLOOKUP(Tabla1[[#This Row],[Universidad]],Conversiones!$B:$B,Conversiones!$C:$C)</f>
        <v>Universidad de Tilburg</v>
      </c>
      <c r="U212" s="70" t="str">
        <f>_xlfn.XLOOKUP(Tabla1[[#This Row],[Universidad KPIs]],Conversiones!$C:$C,Conversiones!$E:$E)</f>
        <v>Específico</v>
      </c>
      <c r="V212" s="1" t="s">
        <v>79</v>
      </c>
      <c r="W212" s="1" t="s">
        <v>250</v>
      </c>
      <c r="X212" s="55">
        <v>44781</v>
      </c>
      <c r="Y212" s="55">
        <v>44898</v>
      </c>
      <c r="Z212" s="1">
        <v>117</v>
      </c>
    </row>
    <row r="213" spans="1:26">
      <c r="A213" s="67" t="s">
        <v>1068</v>
      </c>
      <c r="B213">
        <v>201730540</v>
      </c>
      <c r="C213" t="s">
        <v>1069</v>
      </c>
      <c r="D213" t="s">
        <v>1070</v>
      </c>
      <c r="E213" t="s">
        <v>1071</v>
      </c>
      <c r="F213" t="s">
        <v>216</v>
      </c>
      <c r="G213" t="s">
        <v>246</v>
      </c>
      <c r="H213" t="s">
        <v>779</v>
      </c>
      <c r="I213" t="s">
        <v>780</v>
      </c>
      <c r="J213" t="s">
        <v>247</v>
      </c>
      <c r="K213">
        <v>2022</v>
      </c>
      <c r="L213">
        <v>202220</v>
      </c>
      <c r="M213">
        <v>202220</v>
      </c>
      <c r="N213" t="s">
        <v>248</v>
      </c>
      <c r="O213" t="s">
        <v>213</v>
      </c>
      <c r="P213" t="s">
        <v>249</v>
      </c>
      <c r="Q213" t="s">
        <v>216</v>
      </c>
      <c r="R213" t="s">
        <v>246</v>
      </c>
      <c r="S213" t="s">
        <v>78</v>
      </c>
      <c r="T213" s="70" t="str">
        <f>_xlfn.XLOOKUP(Tabla1[[#This Row],[Universidad]],Conversiones!$B:$B,Conversiones!$C:$C)</f>
        <v>Maastricht University</v>
      </c>
      <c r="U213" s="70" t="str">
        <f>_xlfn.XLOOKUP(Tabla1[[#This Row],[Universidad KPIs]],Conversiones!$C:$C,Conversiones!$E:$E)</f>
        <v>Específico</v>
      </c>
      <c r="V213" t="s">
        <v>79</v>
      </c>
      <c r="W213" t="s">
        <v>250</v>
      </c>
      <c r="X213" s="2">
        <v>44781</v>
      </c>
      <c r="Y213" s="2">
        <v>44898</v>
      </c>
      <c r="Z213">
        <v>117</v>
      </c>
    </row>
    <row r="214" spans="1:26">
      <c r="A214" s="68" t="s">
        <v>1072</v>
      </c>
      <c r="B214" s="1">
        <v>201815531</v>
      </c>
      <c r="C214" s="1" t="s">
        <v>1073</v>
      </c>
      <c r="D214" s="1" t="s">
        <v>1074</v>
      </c>
      <c r="E214" s="1" t="s">
        <v>1075</v>
      </c>
      <c r="F214" s="1" t="s">
        <v>216</v>
      </c>
      <c r="G214" s="1" t="s">
        <v>246</v>
      </c>
      <c r="H214" s="1"/>
      <c r="I214" s="1"/>
      <c r="J214" s="1" t="s">
        <v>247</v>
      </c>
      <c r="K214" s="1">
        <v>2022</v>
      </c>
      <c r="L214" s="1">
        <v>202210</v>
      </c>
      <c r="M214" s="1">
        <v>202120</v>
      </c>
      <c r="N214" s="1" t="s">
        <v>248</v>
      </c>
      <c r="O214" s="1" t="s">
        <v>213</v>
      </c>
      <c r="P214" s="1" t="s">
        <v>249</v>
      </c>
      <c r="Q214" s="1" t="s">
        <v>216</v>
      </c>
      <c r="R214" s="1" t="s">
        <v>246</v>
      </c>
      <c r="S214" s="1" t="s">
        <v>781</v>
      </c>
      <c r="T214" s="70" t="str">
        <f>_xlfn.XLOOKUP(Tabla1[[#This Row],[Universidad]],Conversiones!$B:$B,Conversiones!$C:$C)</f>
        <v>ITESM-EGADE -Instituto tecnológico y de estudios superiores de Monterrey</v>
      </c>
      <c r="U214" s="70" t="str">
        <f>_xlfn.XLOOKUP(Tabla1[[#This Row],[Universidad KPIs]],Conversiones!$C:$C,Conversiones!$E:$E)</f>
        <v>Específico</v>
      </c>
      <c r="V214" s="1" t="s">
        <v>71</v>
      </c>
      <c r="W214" s="1" t="s">
        <v>260</v>
      </c>
      <c r="X214" s="55">
        <v>44585</v>
      </c>
      <c r="Y214" s="55">
        <v>44709</v>
      </c>
      <c r="Z214" s="1">
        <v>124</v>
      </c>
    </row>
    <row r="215" spans="1:26">
      <c r="A215" s="67" t="s">
        <v>1076</v>
      </c>
      <c r="B215">
        <v>201822037</v>
      </c>
      <c r="C215" t="s">
        <v>376</v>
      </c>
      <c r="D215" t="s">
        <v>1077</v>
      </c>
      <c r="E215" t="s">
        <v>1078</v>
      </c>
      <c r="F215" t="s">
        <v>216</v>
      </c>
      <c r="G215" t="s">
        <v>246</v>
      </c>
      <c r="J215" t="s">
        <v>247</v>
      </c>
      <c r="K215">
        <v>2022</v>
      </c>
      <c r="L215">
        <v>202210</v>
      </c>
      <c r="M215">
        <v>202120</v>
      </c>
      <c r="N215" t="s">
        <v>248</v>
      </c>
      <c r="O215" t="s">
        <v>213</v>
      </c>
      <c r="P215" t="s">
        <v>249</v>
      </c>
      <c r="Q215" t="s">
        <v>216</v>
      </c>
      <c r="R215" t="s">
        <v>246</v>
      </c>
      <c r="S215" t="s">
        <v>91</v>
      </c>
      <c r="T215" s="70" t="str">
        <f>_xlfn.XLOOKUP(Tabla1[[#This Row],[Universidad]],Conversiones!$B:$B,Conversiones!$C:$C)</f>
        <v>Toulouse Business School</v>
      </c>
      <c r="U215" s="70" t="str">
        <f>_xlfn.XLOOKUP(Tabla1[[#This Row],[Universidad KPIs]],Conversiones!$C:$C,Conversiones!$E:$E)</f>
        <v>Específico</v>
      </c>
      <c r="V215" t="s">
        <v>41</v>
      </c>
      <c r="W215" t="s">
        <v>250</v>
      </c>
      <c r="X215" s="2">
        <v>44585</v>
      </c>
      <c r="Y215" s="2">
        <v>44709</v>
      </c>
      <c r="Z215">
        <v>124</v>
      </c>
    </row>
    <row r="216" spans="1:26">
      <c r="A216" s="68" t="s">
        <v>1079</v>
      </c>
      <c r="B216" s="1">
        <v>201923283</v>
      </c>
      <c r="C216" s="1" t="s">
        <v>1080</v>
      </c>
      <c r="D216" s="1" t="s">
        <v>1081</v>
      </c>
      <c r="E216" s="1" t="s">
        <v>1082</v>
      </c>
      <c r="F216" s="1" t="s">
        <v>216</v>
      </c>
      <c r="G216" s="1" t="s">
        <v>246</v>
      </c>
      <c r="H216" s="1" t="s">
        <v>1083</v>
      </c>
      <c r="I216" s="1" t="s">
        <v>995</v>
      </c>
      <c r="J216" s="1" t="s">
        <v>247</v>
      </c>
      <c r="K216" s="1">
        <v>2022</v>
      </c>
      <c r="L216" s="1">
        <v>202220</v>
      </c>
      <c r="M216" s="1">
        <v>202220</v>
      </c>
      <c r="N216" s="1" t="s">
        <v>248</v>
      </c>
      <c r="O216" s="1" t="s">
        <v>213</v>
      </c>
      <c r="P216" s="1" t="s">
        <v>249</v>
      </c>
      <c r="Q216" s="1" t="s">
        <v>216</v>
      </c>
      <c r="R216" s="1" t="s">
        <v>246</v>
      </c>
      <c r="S216" s="1" t="s">
        <v>341</v>
      </c>
      <c r="T216" s="70" t="str">
        <f>_xlfn.XLOOKUP(Tabla1[[#This Row],[Universidad]],Conversiones!$B:$B,Conversiones!$C:$C)</f>
        <v>A.B. Freeman School of Business, Tulane University</v>
      </c>
      <c r="U216" s="70" t="str">
        <f>_xlfn.XLOOKUP(Tabla1[[#This Row],[Universidad KPIs]],Conversiones!$C:$C,Conversiones!$E:$E)</f>
        <v>Específico</v>
      </c>
      <c r="V216" s="1" t="s">
        <v>35</v>
      </c>
      <c r="W216" s="1" t="s">
        <v>260</v>
      </c>
      <c r="X216" s="55">
        <v>44781</v>
      </c>
      <c r="Y216" s="55">
        <v>44898</v>
      </c>
      <c r="Z216" s="1">
        <v>117</v>
      </c>
    </row>
    <row r="217" spans="1:26">
      <c r="A217" s="67" t="s">
        <v>1084</v>
      </c>
      <c r="B217">
        <v>201923690</v>
      </c>
      <c r="C217" t="s">
        <v>434</v>
      </c>
      <c r="D217" t="s">
        <v>1085</v>
      </c>
      <c r="E217" t="s">
        <v>1086</v>
      </c>
      <c r="F217" t="s">
        <v>216</v>
      </c>
      <c r="G217" t="s">
        <v>246</v>
      </c>
      <c r="H217">
        <v>0</v>
      </c>
      <c r="I217">
        <v>0</v>
      </c>
      <c r="J217" t="s">
        <v>247</v>
      </c>
      <c r="K217">
        <v>2022</v>
      </c>
      <c r="L217">
        <v>202220</v>
      </c>
      <c r="M217">
        <v>202220</v>
      </c>
      <c r="N217" t="s">
        <v>248</v>
      </c>
      <c r="O217" t="s">
        <v>213</v>
      </c>
      <c r="P217" t="s">
        <v>249</v>
      </c>
      <c r="Q217" t="s">
        <v>216</v>
      </c>
      <c r="R217" t="s">
        <v>246</v>
      </c>
      <c r="S217" t="s">
        <v>279</v>
      </c>
      <c r="T217" s="70" t="str">
        <f>_xlfn.XLOOKUP(Tabla1[[#This Row],[Universidad]],Conversiones!$B:$B,Conversiones!$C:$C)</f>
        <v>Toulouse Business School</v>
      </c>
      <c r="U217" s="70" t="str">
        <f>_xlfn.XLOOKUP(Tabla1[[#This Row],[Universidad KPIs]],Conversiones!$C:$C,Conversiones!$E:$E)</f>
        <v>Específico</v>
      </c>
      <c r="V217" t="s">
        <v>41</v>
      </c>
      <c r="W217" t="s">
        <v>250</v>
      </c>
      <c r="X217" s="2">
        <v>44781</v>
      </c>
      <c r="Y217" s="2">
        <v>44898</v>
      </c>
      <c r="Z217">
        <v>117</v>
      </c>
    </row>
    <row r="218" spans="1:26">
      <c r="A218" s="68" t="s">
        <v>1087</v>
      </c>
      <c r="B218" s="1">
        <v>200722238</v>
      </c>
      <c r="C218" s="1" t="s">
        <v>495</v>
      </c>
      <c r="D218" s="1" t="s">
        <v>1088</v>
      </c>
      <c r="E218" s="1" t="s">
        <v>1089</v>
      </c>
      <c r="F218" s="1" t="s">
        <v>220</v>
      </c>
      <c r="G218" s="1" t="s">
        <v>246</v>
      </c>
      <c r="H218" s="1"/>
      <c r="I218" s="1"/>
      <c r="J218" s="1" t="s">
        <v>247</v>
      </c>
      <c r="K218" s="1">
        <v>2022</v>
      </c>
      <c r="L218" s="1">
        <v>202210</v>
      </c>
      <c r="M218" s="1">
        <v>202210</v>
      </c>
      <c r="N218" s="1" t="s">
        <v>587</v>
      </c>
      <c r="O218" s="1" t="s">
        <v>213</v>
      </c>
      <c r="P218" s="1" t="s">
        <v>588</v>
      </c>
      <c r="Q218" s="1" t="s">
        <v>220</v>
      </c>
      <c r="R218" s="1" t="s">
        <v>246</v>
      </c>
      <c r="S218" s="1" t="s">
        <v>362</v>
      </c>
      <c r="T218" s="70" t="str">
        <f>_xlfn.XLOOKUP(Tabla1[[#This Row],[Universidad]],Conversiones!$B:$B,Conversiones!$C:$C)</f>
        <v>Frankfurt School of Finance and Management</v>
      </c>
      <c r="U218" s="70" t="str">
        <f>_xlfn.XLOOKUP(Tabla1[[#This Row],[Universidad KPIs]],Conversiones!$C:$C,Conversiones!$E:$E)</f>
        <v>Específico</v>
      </c>
      <c r="V218" s="1" t="s">
        <v>60</v>
      </c>
      <c r="W218" s="1" t="s">
        <v>250</v>
      </c>
      <c r="X218" s="55">
        <v>44585</v>
      </c>
      <c r="Y218" s="55">
        <v>44709</v>
      </c>
      <c r="Z218" s="1">
        <v>124</v>
      </c>
    </row>
    <row r="219" spans="1:26">
      <c r="A219" s="67" t="s">
        <v>1090</v>
      </c>
      <c r="B219">
        <v>201923331</v>
      </c>
      <c r="C219" t="s">
        <v>364</v>
      </c>
      <c r="D219" t="s">
        <v>1091</v>
      </c>
      <c r="E219" t="s">
        <v>1092</v>
      </c>
      <c r="F219" t="s">
        <v>216</v>
      </c>
      <c r="G219" t="s">
        <v>246</v>
      </c>
      <c r="J219" t="s">
        <v>247</v>
      </c>
      <c r="K219">
        <v>2022</v>
      </c>
      <c r="L219">
        <v>202210</v>
      </c>
      <c r="M219">
        <v>202210</v>
      </c>
      <c r="N219" t="s">
        <v>248</v>
      </c>
      <c r="O219" t="s">
        <v>213</v>
      </c>
      <c r="P219" t="s">
        <v>249</v>
      </c>
      <c r="Q219" t="s">
        <v>216</v>
      </c>
      <c r="R219" t="s">
        <v>246</v>
      </c>
      <c r="S219" t="s">
        <v>78</v>
      </c>
      <c r="T219" s="70" t="str">
        <f>_xlfn.XLOOKUP(Tabla1[[#This Row],[Universidad]],Conversiones!$B:$B,Conversiones!$C:$C)</f>
        <v>Maastricht University</v>
      </c>
      <c r="U219" s="70" t="str">
        <f>_xlfn.XLOOKUP(Tabla1[[#This Row],[Universidad KPIs]],Conversiones!$C:$C,Conversiones!$E:$E)</f>
        <v>Específico</v>
      </c>
      <c r="V219" t="s">
        <v>79</v>
      </c>
      <c r="W219" t="s">
        <v>250</v>
      </c>
      <c r="X219" s="2">
        <v>44585</v>
      </c>
      <c r="Y219" s="2">
        <v>44709</v>
      </c>
      <c r="Z219">
        <v>124</v>
      </c>
    </row>
    <row r="220" spans="1:26">
      <c r="A220" s="68" t="s">
        <v>1093</v>
      </c>
      <c r="B220" s="1">
        <v>201822327</v>
      </c>
      <c r="C220" s="1" t="s">
        <v>434</v>
      </c>
      <c r="D220" s="1" t="s">
        <v>1094</v>
      </c>
      <c r="E220" s="1" t="s">
        <v>1095</v>
      </c>
      <c r="F220" s="1" t="s">
        <v>216</v>
      </c>
      <c r="G220" s="1" t="s">
        <v>246</v>
      </c>
      <c r="H220" s="1"/>
      <c r="I220" s="1"/>
      <c r="J220" s="1" t="s">
        <v>247</v>
      </c>
      <c r="K220" s="1">
        <v>2022</v>
      </c>
      <c r="L220" s="1">
        <v>202210</v>
      </c>
      <c r="M220" s="1">
        <v>202120</v>
      </c>
      <c r="N220" s="1" t="s">
        <v>248</v>
      </c>
      <c r="O220" s="1" t="s">
        <v>213</v>
      </c>
      <c r="P220" s="1" t="s">
        <v>249</v>
      </c>
      <c r="Q220" s="1" t="s">
        <v>216</v>
      </c>
      <c r="R220" s="1" t="s">
        <v>246</v>
      </c>
      <c r="S220" s="1" t="s">
        <v>91</v>
      </c>
      <c r="T220" s="70" t="str">
        <f>_xlfn.XLOOKUP(Tabla1[[#This Row],[Universidad]],Conversiones!$B:$B,Conversiones!$C:$C)</f>
        <v>Toulouse Business School</v>
      </c>
      <c r="U220" s="70" t="str">
        <f>_xlfn.XLOOKUP(Tabla1[[#This Row],[Universidad KPIs]],Conversiones!$C:$C,Conversiones!$E:$E)</f>
        <v>Específico</v>
      </c>
      <c r="V220" s="1" t="s">
        <v>41</v>
      </c>
      <c r="W220" s="1" t="s">
        <v>250</v>
      </c>
      <c r="X220" s="55">
        <v>44585</v>
      </c>
      <c r="Y220" s="55">
        <v>44709</v>
      </c>
      <c r="Z220" s="1">
        <v>124</v>
      </c>
    </row>
    <row r="221" spans="1:26">
      <c r="A221" s="67" t="s">
        <v>1096</v>
      </c>
      <c r="B221">
        <v>201815611</v>
      </c>
      <c r="C221" t="s">
        <v>1097</v>
      </c>
      <c r="D221" t="s">
        <v>1098</v>
      </c>
      <c r="E221" t="s">
        <v>1099</v>
      </c>
      <c r="F221" t="s">
        <v>216</v>
      </c>
      <c r="G221" t="s">
        <v>246</v>
      </c>
      <c r="J221" t="s">
        <v>247</v>
      </c>
      <c r="K221">
        <v>2022</v>
      </c>
      <c r="L221">
        <v>202210</v>
      </c>
      <c r="M221">
        <v>202210</v>
      </c>
      <c r="N221" t="s">
        <v>248</v>
      </c>
      <c r="O221" t="s">
        <v>213</v>
      </c>
      <c r="P221" t="s">
        <v>249</v>
      </c>
      <c r="Q221" t="s">
        <v>216</v>
      </c>
      <c r="R221" t="s">
        <v>246</v>
      </c>
      <c r="S221" t="s">
        <v>50</v>
      </c>
      <c r="T221" s="70" t="str">
        <f>_xlfn.XLOOKUP(Tabla1[[#This Row],[Universidad]],Conversiones!$B:$B,Conversiones!$C:$C)</f>
        <v>EDHEC Business School</v>
      </c>
      <c r="U221" s="70" t="str">
        <f>_xlfn.XLOOKUP(Tabla1[[#This Row],[Universidad KPIs]],Conversiones!$C:$C,Conversiones!$E:$E)</f>
        <v>Específico</v>
      </c>
      <c r="V221" t="s">
        <v>41</v>
      </c>
      <c r="W221" t="s">
        <v>250</v>
      </c>
      <c r="X221" s="2">
        <v>44585</v>
      </c>
      <c r="Y221" s="2">
        <v>44709</v>
      </c>
      <c r="Z221">
        <v>124</v>
      </c>
    </row>
    <row r="222" spans="1:26">
      <c r="A222" s="68" t="s">
        <v>1100</v>
      </c>
      <c r="B222" s="1">
        <v>201914792</v>
      </c>
      <c r="C222" s="1" t="s">
        <v>1101</v>
      </c>
      <c r="D222" s="1" t="s">
        <v>1102</v>
      </c>
      <c r="E222" s="1" t="s">
        <v>1103</v>
      </c>
      <c r="F222" s="1" t="s">
        <v>466</v>
      </c>
      <c r="G222" s="1" t="s">
        <v>467</v>
      </c>
      <c r="H222" s="1" t="s">
        <v>216</v>
      </c>
      <c r="I222" s="1" t="s">
        <v>246</v>
      </c>
      <c r="J222" s="1" t="s">
        <v>247</v>
      </c>
      <c r="K222" s="1">
        <v>2022</v>
      </c>
      <c r="L222" s="1">
        <v>202220</v>
      </c>
      <c r="M222" s="1">
        <v>202220</v>
      </c>
      <c r="N222" s="1" t="s">
        <v>248</v>
      </c>
      <c r="O222" s="1" t="s">
        <v>213</v>
      </c>
      <c r="P222" s="1" t="s">
        <v>249</v>
      </c>
      <c r="Q222" s="1" t="s">
        <v>216</v>
      </c>
      <c r="R222" s="1" t="s">
        <v>246</v>
      </c>
      <c r="S222" s="1" t="s">
        <v>289</v>
      </c>
      <c r="T222" s="70" t="str">
        <f>_xlfn.XLOOKUP(Tabla1[[#This Row],[Universidad]],Conversiones!$B:$B,Conversiones!$C:$C)</f>
        <v>ESADE</v>
      </c>
      <c r="U222" s="70" t="str">
        <f>_xlfn.XLOOKUP(Tabla1[[#This Row],[Universidad KPIs]],Conversiones!$C:$C,Conversiones!$E:$E)</f>
        <v>Específico</v>
      </c>
      <c r="V222" s="1" t="s">
        <v>53</v>
      </c>
      <c r="W222" s="1" t="s">
        <v>250</v>
      </c>
      <c r="X222" s="55">
        <v>44781</v>
      </c>
      <c r="Y222" s="55">
        <v>44898</v>
      </c>
      <c r="Z222" s="1">
        <v>117</v>
      </c>
    </row>
    <row r="223" spans="1:26">
      <c r="A223" s="67" t="s">
        <v>1104</v>
      </c>
      <c r="B223">
        <v>201822093</v>
      </c>
      <c r="C223" t="s">
        <v>636</v>
      </c>
      <c r="D223" t="s">
        <v>1105</v>
      </c>
      <c r="E223" t="s">
        <v>1106</v>
      </c>
      <c r="F223" t="s">
        <v>216</v>
      </c>
      <c r="G223" t="s">
        <v>246</v>
      </c>
      <c r="J223" t="s">
        <v>247</v>
      </c>
      <c r="K223">
        <v>2022</v>
      </c>
      <c r="L223">
        <v>202210</v>
      </c>
      <c r="M223">
        <v>202110</v>
      </c>
      <c r="N223" t="s">
        <v>248</v>
      </c>
      <c r="O223" t="s">
        <v>213</v>
      </c>
      <c r="P223" t="s">
        <v>249</v>
      </c>
      <c r="Q223" t="s">
        <v>216</v>
      </c>
      <c r="R223" t="s">
        <v>246</v>
      </c>
      <c r="S223" t="s">
        <v>307</v>
      </c>
      <c r="T223" s="70" t="str">
        <f>_xlfn.XLOOKUP(Tabla1[[#This Row],[Universidad]],Conversiones!$B:$B,Conversiones!$C:$C)</f>
        <v>University of Mannheim Business School</v>
      </c>
      <c r="U223" s="70" t="str">
        <f>_xlfn.XLOOKUP(Tabla1[[#This Row],[Universidad KPIs]],Conversiones!$C:$C,Conversiones!$E:$E)</f>
        <v>Específico</v>
      </c>
      <c r="V223" t="s">
        <v>60</v>
      </c>
      <c r="W223" t="s">
        <v>250</v>
      </c>
      <c r="X223" s="2">
        <v>44585</v>
      </c>
      <c r="Y223" s="2">
        <v>44709</v>
      </c>
      <c r="Z223">
        <v>124</v>
      </c>
    </row>
    <row r="224" spans="1:26">
      <c r="A224" s="68" t="s">
        <v>1107</v>
      </c>
      <c r="B224" s="1">
        <v>201730611</v>
      </c>
      <c r="C224" s="1" t="s">
        <v>509</v>
      </c>
      <c r="D224" s="1" t="s">
        <v>1108</v>
      </c>
      <c r="E224" s="1" t="s">
        <v>1109</v>
      </c>
      <c r="F224" s="1" t="s">
        <v>1038</v>
      </c>
      <c r="G224" s="1" t="s">
        <v>507</v>
      </c>
      <c r="H224" s="1" t="s">
        <v>216</v>
      </c>
      <c r="I224" s="1" t="s">
        <v>246</v>
      </c>
      <c r="J224" s="1" t="s">
        <v>247</v>
      </c>
      <c r="K224" s="1">
        <v>2022</v>
      </c>
      <c r="L224" s="1">
        <v>202210</v>
      </c>
      <c r="M224" s="1">
        <v>202210</v>
      </c>
      <c r="N224" s="1" t="s">
        <v>248</v>
      </c>
      <c r="O224" s="1" t="s">
        <v>213</v>
      </c>
      <c r="P224" s="1" t="s">
        <v>249</v>
      </c>
      <c r="Q224" s="1" t="s">
        <v>216</v>
      </c>
      <c r="R224" s="1" t="s">
        <v>246</v>
      </c>
      <c r="S224" s="1" t="s">
        <v>320</v>
      </c>
      <c r="T224" s="70" t="str">
        <f>_xlfn.XLOOKUP(Tabla1[[#This Row],[Universidad]],Conversiones!$B:$B,Conversiones!$C:$C)</f>
        <v>KLU Kühne Logistics University</v>
      </c>
      <c r="U224" s="70" t="str">
        <f>_xlfn.XLOOKUP(Tabla1[[#This Row],[Universidad KPIs]],Conversiones!$C:$C,Conversiones!$E:$E)</f>
        <v>Específico</v>
      </c>
      <c r="V224" s="1" t="s">
        <v>60</v>
      </c>
      <c r="W224" s="1" t="s">
        <v>250</v>
      </c>
      <c r="X224" s="55">
        <v>44585</v>
      </c>
      <c r="Y224" s="55">
        <v>44709</v>
      </c>
      <c r="Z224" s="1">
        <v>124</v>
      </c>
    </row>
    <row r="225" spans="1:26">
      <c r="A225" s="67" t="s">
        <v>1110</v>
      </c>
      <c r="B225">
        <v>201632461</v>
      </c>
      <c r="C225" t="s">
        <v>1111</v>
      </c>
      <c r="D225" t="s">
        <v>1112</v>
      </c>
      <c r="E225" t="s">
        <v>1113</v>
      </c>
      <c r="F225" t="s">
        <v>216</v>
      </c>
      <c r="G225" t="s">
        <v>246</v>
      </c>
      <c r="H225" t="s">
        <v>512</v>
      </c>
      <c r="I225" t="s">
        <v>513</v>
      </c>
      <c r="J225" t="s">
        <v>247</v>
      </c>
      <c r="K225">
        <v>2022</v>
      </c>
      <c r="L225">
        <v>202220</v>
      </c>
      <c r="M225">
        <v>202220</v>
      </c>
      <c r="N225" t="s">
        <v>248</v>
      </c>
      <c r="O225" t="s">
        <v>214</v>
      </c>
      <c r="P225" t="s">
        <v>446</v>
      </c>
      <c r="Q225" t="s">
        <v>216</v>
      </c>
      <c r="R225" t="s">
        <v>246</v>
      </c>
      <c r="S225" t="s">
        <v>279</v>
      </c>
      <c r="T225" s="70" t="str">
        <f>_xlfn.XLOOKUP(Tabla1[[#This Row],[Universidad]],Conversiones!$B:$B,Conversiones!$C:$C)</f>
        <v>Toulouse Business School</v>
      </c>
      <c r="U225" s="70" t="str">
        <f>_xlfn.XLOOKUP(Tabla1[[#This Row],[Universidad KPIs]],Conversiones!$C:$C,Conversiones!$E:$E)</f>
        <v>Específico</v>
      </c>
      <c r="V225" t="s">
        <v>41</v>
      </c>
      <c r="W225" t="s">
        <v>250</v>
      </c>
      <c r="X225" s="2">
        <v>44781</v>
      </c>
      <c r="Y225" s="2">
        <v>44898</v>
      </c>
      <c r="Z225">
        <v>117</v>
      </c>
    </row>
    <row r="226" spans="1:26">
      <c r="A226" s="68" t="s">
        <v>1114</v>
      </c>
      <c r="B226" s="1">
        <v>202011085</v>
      </c>
      <c r="C226" s="1" t="s">
        <v>1115</v>
      </c>
      <c r="D226" s="1" t="s">
        <v>1116</v>
      </c>
      <c r="E226" s="1" t="s">
        <v>1117</v>
      </c>
      <c r="F226" s="1" t="s">
        <v>216</v>
      </c>
      <c r="G226" s="1" t="s">
        <v>246</v>
      </c>
      <c r="H226" s="1"/>
      <c r="I226" s="1"/>
      <c r="J226" s="1" t="s">
        <v>247</v>
      </c>
      <c r="K226" s="1">
        <v>2023</v>
      </c>
      <c r="L226" s="1">
        <v>202310</v>
      </c>
      <c r="M226" s="1">
        <v>202310</v>
      </c>
      <c r="N226" s="1" t="s">
        <v>248</v>
      </c>
      <c r="O226" s="1" t="s">
        <v>213</v>
      </c>
      <c r="P226" s="1" t="s">
        <v>249</v>
      </c>
      <c r="Q226" s="1" t="s">
        <v>216</v>
      </c>
      <c r="R226" s="1" t="s">
        <v>246</v>
      </c>
      <c r="S226" s="1" t="s">
        <v>455</v>
      </c>
      <c r="T226" s="70" t="str">
        <f>_xlfn.XLOOKUP(Tabla1[[#This Row],[Universidad]],Conversiones!$B:$B,Conversiones!$C:$C)</f>
        <v>Aalto University</v>
      </c>
      <c r="U226" s="70" t="str">
        <f>_xlfn.XLOOKUP(Tabla1[[#This Row],[Universidad KPIs]],Conversiones!$C:$C,Conversiones!$E:$E)</f>
        <v>Específico</v>
      </c>
      <c r="V226" s="1" t="s">
        <v>37</v>
      </c>
      <c r="W226" s="1" t="s">
        <v>250</v>
      </c>
      <c r="X226" s="55">
        <v>44949</v>
      </c>
      <c r="Y226" s="55">
        <v>45073</v>
      </c>
      <c r="Z226" s="1">
        <v>124</v>
      </c>
    </row>
    <row r="227" spans="1:26">
      <c r="A227" s="67" t="s">
        <v>1118</v>
      </c>
      <c r="B227">
        <v>201922236</v>
      </c>
      <c r="C227" t="s">
        <v>509</v>
      </c>
      <c r="D227" t="s">
        <v>1119</v>
      </c>
      <c r="E227" t="s">
        <v>1120</v>
      </c>
      <c r="F227" t="s">
        <v>216</v>
      </c>
      <c r="G227" t="s">
        <v>246</v>
      </c>
      <c r="J227" t="s">
        <v>247</v>
      </c>
      <c r="K227">
        <v>2023</v>
      </c>
      <c r="L227">
        <v>202310</v>
      </c>
      <c r="M227">
        <v>202310</v>
      </c>
      <c r="N227" t="s">
        <v>248</v>
      </c>
      <c r="O227" t="s">
        <v>213</v>
      </c>
      <c r="P227" t="s">
        <v>1121</v>
      </c>
      <c r="Q227" t="s">
        <v>216</v>
      </c>
      <c r="R227" t="s">
        <v>246</v>
      </c>
      <c r="S227" t="s">
        <v>124</v>
      </c>
      <c r="T227" s="70" t="str">
        <f>_xlfn.XLOOKUP(Tabla1[[#This Row],[Universidad]],Conversiones!$B:$B,Conversiones!$C:$C)</f>
        <v>American University of Central Asia</v>
      </c>
      <c r="U227" s="70" t="str">
        <f>_xlfn.XLOOKUP(Tabla1[[#This Row],[Universidad KPIs]],Conversiones!$C:$C,Conversiones!$E:$E)</f>
        <v>General</v>
      </c>
      <c r="V227" t="s">
        <v>125</v>
      </c>
      <c r="W227" t="s">
        <v>537</v>
      </c>
      <c r="X227" s="2">
        <v>44949</v>
      </c>
      <c r="Y227" s="2">
        <v>45073</v>
      </c>
      <c r="Z227">
        <v>124</v>
      </c>
    </row>
    <row r="228" spans="1:26">
      <c r="A228" s="68" t="s">
        <v>1122</v>
      </c>
      <c r="B228" s="1">
        <v>201812055</v>
      </c>
      <c r="C228" s="1" t="s">
        <v>1123</v>
      </c>
      <c r="D228" s="1" t="s">
        <v>1124</v>
      </c>
      <c r="E228" s="1" t="s">
        <v>1125</v>
      </c>
      <c r="F228" s="1" t="s">
        <v>216</v>
      </c>
      <c r="G228" s="1" t="s">
        <v>246</v>
      </c>
      <c r="H228" s="1" t="s">
        <v>617</v>
      </c>
      <c r="I228" s="1" t="s">
        <v>618</v>
      </c>
      <c r="J228" s="1" t="s">
        <v>247</v>
      </c>
      <c r="K228" s="1">
        <v>2023</v>
      </c>
      <c r="L228" s="1">
        <v>202310</v>
      </c>
      <c r="M228" s="1">
        <v>202310</v>
      </c>
      <c r="N228" s="1" t="s">
        <v>248</v>
      </c>
      <c r="O228" s="1" t="s">
        <v>213</v>
      </c>
      <c r="P228" s="1" t="s">
        <v>249</v>
      </c>
      <c r="Q228" s="1" t="s">
        <v>216</v>
      </c>
      <c r="R228" s="1" t="s">
        <v>246</v>
      </c>
      <c r="S228" s="1" t="s">
        <v>38</v>
      </c>
      <c r="T228" s="70" t="str">
        <f>_xlfn.XLOOKUP(Tabla1[[#This Row],[Universidad]],Conversiones!$B:$B,Conversiones!$C:$C)</f>
        <v>Aston University</v>
      </c>
      <c r="U228" s="70" t="str">
        <f>_xlfn.XLOOKUP(Tabla1[[#This Row],[Universidad KPIs]],Conversiones!$C:$C,Conversiones!$E:$E)</f>
        <v>Específico</v>
      </c>
      <c r="V228" s="1" t="s">
        <v>39</v>
      </c>
      <c r="W228" s="1" t="s">
        <v>250</v>
      </c>
      <c r="X228" s="55">
        <v>44949</v>
      </c>
      <c r="Y228" s="55">
        <v>45073</v>
      </c>
      <c r="Z228" s="1">
        <v>124</v>
      </c>
    </row>
    <row r="229" spans="1:26">
      <c r="A229" s="67" t="s">
        <v>1126</v>
      </c>
      <c r="B229">
        <v>202012645</v>
      </c>
      <c r="C229" t="s">
        <v>1127</v>
      </c>
      <c r="D229" t="s">
        <v>1128</v>
      </c>
      <c r="E229" t="s">
        <v>1129</v>
      </c>
      <c r="F229" t="s">
        <v>216</v>
      </c>
      <c r="G229" t="s">
        <v>246</v>
      </c>
      <c r="J229" t="s">
        <v>247</v>
      </c>
      <c r="K229">
        <v>2023</v>
      </c>
      <c r="L229">
        <v>202310</v>
      </c>
      <c r="M229">
        <v>202310</v>
      </c>
      <c r="N229" t="s">
        <v>248</v>
      </c>
      <c r="O229" t="s">
        <v>213</v>
      </c>
      <c r="P229" t="s">
        <v>249</v>
      </c>
      <c r="Q229" t="s">
        <v>216</v>
      </c>
      <c r="R229" t="s">
        <v>246</v>
      </c>
      <c r="S229" t="s">
        <v>350</v>
      </c>
      <c r="T229" s="70" t="str">
        <f>_xlfn.XLOOKUP(Tabla1[[#This Row],[Universidad]],Conversiones!$B:$B,Conversiones!$C:$C)</f>
        <v>Audencia. École de Management</v>
      </c>
      <c r="U229" s="70" t="str">
        <f>_xlfn.XLOOKUP(Tabla1[[#This Row],[Universidad KPIs]],Conversiones!$C:$C,Conversiones!$E:$E)</f>
        <v>Específico</v>
      </c>
      <c r="V229" t="s">
        <v>41</v>
      </c>
      <c r="W229" t="s">
        <v>250</v>
      </c>
      <c r="X229" s="2">
        <v>44949</v>
      </c>
      <c r="Y229" s="2">
        <v>45073</v>
      </c>
      <c r="Z229">
        <v>124</v>
      </c>
    </row>
    <row r="230" spans="1:26">
      <c r="A230" s="68" t="s">
        <v>1130</v>
      </c>
      <c r="B230" s="1">
        <v>202020714</v>
      </c>
      <c r="C230" s="1" t="s">
        <v>1131</v>
      </c>
      <c r="D230" s="1" t="s">
        <v>1132</v>
      </c>
      <c r="E230" s="1" t="s">
        <v>1133</v>
      </c>
      <c r="F230" s="1" t="s">
        <v>216</v>
      </c>
      <c r="G230" s="1" t="s">
        <v>246</v>
      </c>
      <c r="H230" s="1"/>
      <c r="I230" s="1"/>
      <c r="J230" s="1" t="s">
        <v>247</v>
      </c>
      <c r="K230" s="1">
        <v>2023</v>
      </c>
      <c r="L230" s="1">
        <v>202310</v>
      </c>
      <c r="M230" s="1">
        <v>202310</v>
      </c>
      <c r="N230" s="1" t="s">
        <v>248</v>
      </c>
      <c r="O230" s="1" t="s">
        <v>213</v>
      </c>
      <c r="P230" s="1" t="s">
        <v>249</v>
      </c>
      <c r="Q230" s="1" t="s">
        <v>216</v>
      </c>
      <c r="R230" s="1" t="s">
        <v>246</v>
      </c>
      <c r="S230" s="1" t="s">
        <v>350</v>
      </c>
      <c r="T230" s="70" t="str">
        <f>_xlfn.XLOOKUP(Tabla1[[#This Row],[Universidad]],Conversiones!$B:$B,Conversiones!$C:$C)</f>
        <v>Audencia. École de Management</v>
      </c>
      <c r="U230" s="70" t="str">
        <f>_xlfn.XLOOKUP(Tabla1[[#This Row],[Universidad KPIs]],Conversiones!$C:$C,Conversiones!$E:$E)</f>
        <v>Específico</v>
      </c>
      <c r="V230" s="1" t="s">
        <v>41</v>
      </c>
      <c r="W230" s="1" t="s">
        <v>250</v>
      </c>
      <c r="X230" s="55">
        <v>44949</v>
      </c>
      <c r="Y230" s="55">
        <v>45073</v>
      </c>
      <c r="Z230" s="1">
        <v>124</v>
      </c>
    </row>
    <row r="231" spans="1:26">
      <c r="A231" s="67" t="s">
        <v>1134</v>
      </c>
      <c r="B231">
        <v>201622073</v>
      </c>
      <c r="C231" t="s">
        <v>1135</v>
      </c>
      <c r="D231" t="s">
        <v>1136</v>
      </c>
      <c r="E231" t="s">
        <v>1137</v>
      </c>
      <c r="F231" t="s">
        <v>216</v>
      </c>
      <c r="G231" t="s">
        <v>246</v>
      </c>
      <c r="J231" t="s">
        <v>247</v>
      </c>
      <c r="K231">
        <v>2023</v>
      </c>
      <c r="L231">
        <v>202310</v>
      </c>
      <c r="M231">
        <v>202310</v>
      </c>
      <c r="N231" t="s">
        <v>248</v>
      </c>
      <c r="O231" t="s">
        <v>213</v>
      </c>
      <c r="P231" t="s">
        <v>249</v>
      </c>
      <c r="Q231" t="s">
        <v>216</v>
      </c>
      <c r="R231" t="s">
        <v>246</v>
      </c>
      <c r="S231" t="s">
        <v>1138</v>
      </c>
      <c r="T231" s="70" t="str">
        <f>_xlfn.XLOOKUP(Tabla1[[#This Row],[Universidad]],Conversiones!$B:$B,Conversiones!$C:$C)</f>
        <v>BI Norwegian Business School</v>
      </c>
      <c r="U231" s="70" t="str">
        <f>_xlfn.XLOOKUP(Tabla1[[#This Row],[Universidad KPIs]],Conversiones!$C:$C,Conversiones!$E:$E)</f>
        <v>Específico</v>
      </c>
      <c r="V231" t="s">
        <v>43</v>
      </c>
      <c r="W231" t="s">
        <v>250</v>
      </c>
      <c r="X231" s="2">
        <v>44949</v>
      </c>
      <c r="Y231" s="2">
        <v>45073</v>
      </c>
      <c r="Z231">
        <v>124</v>
      </c>
    </row>
    <row r="232" spans="1:26">
      <c r="A232" s="68" t="s">
        <v>1139</v>
      </c>
      <c r="B232" s="1">
        <v>201913938</v>
      </c>
      <c r="C232" s="1" t="s">
        <v>426</v>
      </c>
      <c r="D232" s="1" t="s">
        <v>1140</v>
      </c>
      <c r="E232" s="1" t="s">
        <v>1141</v>
      </c>
      <c r="F232" s="1" t="s">
        <v>216</v>
      </c>
      <c r="G232" s="1" t="s">
        <v>246</v>
      </c>
      <c r="H232" s="1"/>
      <c r="I232" s="1"/>
      <c r="J232" s="1" t="s">
        <v>247</v>
      </c>
      <c r="K232" s="1">
        <v>2023</v>
      </c>
      <c r="L232" s="1">
        <v>202310</v>
      </c>
      <c r="M232" s="1">
        <v>202310</v>
      </c>
      <c r="N232" s="1" t="s">
        <v>248</v>
      </c>
      <c r="O232" s="1" t="s">
        <v>213</v>
      </c>
      <c r="P232" s="1" t="s">
        <v>249</v>
      </c>
      <c r="Q232" s="1" t="s">
        <v>216</v>
      </c>
      <c r="R232" s="1" t="s">
        <v>246</v>
      </c>
      <c r="S232" s="1" t="s">
        <v>1138</v>
      </c>
      <c r="T232" s="70" t="str">
        <f>_xlfn.XLOOKUP(Tabla1[[#This Row],[Universidad]],Conversiones!$B:$B,Conversiones!$C:$C)</f>
        <v>BI Norwegian Business School</v>
      </c>
      <c r="U232" s="70" t="str">
        <f>_xlfn.XLOOKUP(Tabla1[[#This Row],[Universidad KPIs]],Conversiones!$C:$C,Conversiones!$E:$E)</f>
        <v>Específico</v>
      </c>
      <c r="V232" s="1" t="s">
        <v>43</v>
      </c>
      <c r="W232" s="1" t="s">
        <v>250</v>
      </c>
      <c r="X232" s="55">
        <v>44949</v>
      </c>
      <c r="Y232" s="55">
        <v>45073</v>
      </c>
      <c r="Z232" s="1">
        <v>124</v>
      </c>
    </row>
    <row r="233" spans="1:26">
      <c r="A233" s="67" t="s">
        <v>1142</v>
      </c>
      <c r="B233">
        <v>201922477</v>
      </c>
      <c r="C233" t="s">
        <v>1143</v>
      </c>
      <c r="D233" t="s">
        <v>1144</v>
      </c>
      <c r="E233" t="s">
        <v>1145</v>
      </c>
      <c r="F233" t="s">
        <v>216</v>
      </c>
      <c r="G233" t="s">
        <v>246</v>
      </c>
      <c r="J233" t="s">
        <v>247</v>
      </c>
      <c r="K233">
        <v>2023</v>
      </c>
      <c r="L233">
        <v>202310</v>
      </c>
      <c r="M233">
        <v>202310</v>
      </c>
      <c r="N233" t="s">
        <v>248</v>
      </c>
      <c r="O233" t="s">
        <v>213</v>
      </c>
      <c r="P233" t="s">
        <v>249</v>
      </c>
      <c r="Q233" t="s">
        <v>216</v>
      </c>
      <c r="R233" t="s">
        <v>246</v>
      </c>
      <c r="S233" t="s">
        <v>48</v>
      </c>
      <c r="T233" s="70" t="str">
        <f>_xlfn.XLOOKUP(Tabla1[[#This Row],[Universidad]],Conversiones!$B:$B,Conversiones!$C:$C)</f>
        <v>City University of Hong Kong</v>
      </c>
      <c r="U233" s="70" t="str">
        <f>_xlfn.XLOOKUP(Tabla1[[#This Row],[Universidad KPIs]],Conversiones!$C:$C,Conversiones!$E:$E)</f>
        <v>Específico</v>
      </c>
      <c r="V233" t="s">
        <v>49</v>
      </c>
      <c r="W233" t="s">
        <v>537</v>
      </c>
      <c r="X233" s="2">
        <v>44949</v>
      </c>
      <c r="Y233" s="2">
        <v>45073</v>
      </c>
      <c r="Z233">
        <v>124</v>
      </c>
    </row>
    <row r="234" spans="1:26">
      <c r="A234" s="68" t="s">
        <v>1146</v>
      </c>
      <c r="B234" s="1">
        <v>202020568</v>
      </c>
      <c r="C234" s="1" t="s">
        <v>300</v>
      </c>
      <c r="D234" s="1" t="s">
        <v>1147</v>
      </c>
      <c r="E234" s="1" t="s">
        <v>1148</v>
      </c>
      <c r="F234" s="1" t="s">
        <v>216</v>
      </c>
      <c r="G234" s="1" t="s">
        <v>246</v>
      </c>
      <c r="H234" s="1"/>
      <c r="I234" s="1"/>
      <c r="J234" s="1" t="s">
        <v>247</v>
      </c>
      <c r="K234" s="1">
        <v>2023</v>
      </c>
      <c r="L234" s="1">
        <v>202310</v>
      </c>
      <c r="M234" s="1">
        <v>202310</v>
      </c>
      <c r="N234" s="1" t="s">
        <v>248</v>
      </c>
      <c r="O234" s="1" t="s">
        <v>213</v>
      </c>
      <c r="P234" s="1" t="s">
        <v>249</v>
      </c>
      <c r="Q234" s="1" t="s">
        <v>216</v>
      </c>
      <c r="R234" s="1" t="s">
        <v>246</v>
      </c>
      <c r="S234" s="1" t="s">
        <v>335</v>
      </c>
      <c r="T234" s="70" t="str">
        <f>_xlfn.XLOOKUP(Tabla1[[#This Row],[Universidad]],Conversiones!$B:$B,Conversiones!$C:$C)</f>
        <v>HEC Montréal</v>
      </c>
      <c r="U234" s="70" t="str">
        <f>_xlfn.XLOOKUP(Tabla1[[#This Row],[Universidad KPIs]],Conversiones!$C:$C,Conversiones!$E:$E)</f>
        <v>Específico</v>
      </c>
      <c r="V234" s="1" t="s">
        <v>58</v>
      </c>
      <c r="W234" s="1" t="s">
        <v>260</v>
      </c>
      <c r="X234" s="55">
        <v>44949</v>
      </c>
      <c r="Y234" s="55">
        <v>45073</v>
      </c>
      <c r="Z234" s="1">
        <v>124</v>
      </c>
    </row>
    <row r="235" spans="1:26">
      <c r="A235" s="67" t="s">
        <v>1149</v>
      </c>
      <c r="B235">
        <v>201914594</v>
      </c>
      <c r="C235" t="s">
        <v>1150</v>
      </c>
      <c r="D235" t="s">
        <v>1151</v>
      </c>
      <c r="E235" t="s">
        <v>1152</v>
      </c>
      <c r="F235" t="s">
        <v>216</v>
      </c>
      <c r="G235" t="s">
        <v>246</v>
      </c>
      <c r="J235" t="s">
        <v>247</v>
      </c>
      <c r="K235">
        <v>2023</v>
      </c>
      <c r="L235">
        <v>202310</v>
      </c>
      <c r="M235">
        <v>202310</v>
      </c>
      <c r="N235" t="s">
        <v>248</v>
      </c>
      <c r="O235" t="s">
        <v>213</v>
      </c>
      <c r="P235" t="s">
        <v>249</v>
      </c>
      <c r="Q235" t="s">
        <v>216</v>
      </c>
      <c r="R235" t="s">
        <v>246</v>
      </c>
      <c r="S235" t="s">
        <v>335</v>
      </c>
      <c r="T235" s="70" t="str">
        <f>_xlfn.XLOOKUP(Tabla1[[#This Row],[Universidad]],Conversiones!$B:$B,Conversiones!$C:$C)</f>
        <v>HEC Montréal</v>
      </c>
      <c r="U235" s="70" t="str">
        <f>_xlfn.XLOOKUP(Tabla1[[#This Row],[Universidad KPIs]],Conversiones!$C:$C,Conversiones!$E:$E)</f>
        <v>Específico</v>
      </c>
      <c r="V235" t="s">
        <v>58</v>
      </c>
      <c r="W235" t="s">
        <v>260</v>
      </c>
      <c r="X235" s="2">
        <v>44949</v>
      </c>
      <c r="Y235" s="2">
        <v>45073</v>
      </c>
      <c r="Z235">
        <v>124</v>
      </c>
    </row>
    <row r="236" spans="1:26">
      <c r="A236" s="68" t="s">
        <v>1153</v>
      </c>
      <c r="B236" s="1">
        <v>201912183</v>
      </c>
      <c r="C236" s="1" t="s">
        <v>1154</v>
      </c>
      <c r="D236" s="1" t="s">
        <v>1155</v>
      </c>
      <c r="E236" s="1" t="s">
        <v>1156</v>
      </c>
      <c r="F236" s="1" t="s">
        <v>460</v>
      </c>
      <c r="G236" s="1" t="s">
        <v>461</v>
      </c>
      <c r="H236" s="1" t="s">
        <v>216</v>
      </c>
      <c r="I236" s="1" t="s">
        <v>246</v>
      </c>
      <c r="J236" s="1" t="s">
        <v>247</v>
      </c>
      <c r="K236" s="1">
        <v>2023</v>
      </c>
      <c r="L236" s="1">
        <v>202310</v>
      </c>
      <c r="M236" s="1">
        <v>202310</v>
      </c>
      <c r="N236" s="1" t="s">
        <v>248</v>
      </c>
      <c r="O236" s="1" t="s">
        <v>213</v>
      </c>
      <c r="P236" s="1" t="s">
        <v>249</v>
      </c>
      <c r="Q236" s="1" t="s">
        <v>216</v>
      </c>
      <c r="R236" s="1" t="s">
        <v>246</v>
      </c>
      <c r="S236" s="1" t="s">
        <v>50</v>
      </c>
      <c r="T236" s="70" t="str">
        <f>_xlfn.XLOOKUP(Tabla1[[#This Row],[Universidad]],Conversiones!$B:$B,Conversiones!$C:$C)</f>
        <v>EDHEC Business School</v>
      </c>
      <c r="U236" s="70" t="str">
        <f>_xlfn.XLOOKUP(Tabla1[[#This Row],[Universidad KPIs]],Conversiones!$C:$C,Conversiones!$E:$E)</f>
        <v>Específico</v>
      </c>
      <c r="V236" s="1" t="s">
        <v>41</v>
      </c>
      <c r="W236" s="1" t="s">
        <v>250</v>
      </c>
      <c r="X236" s="55">
        <v>44949</v>
      </c>
      <c r="Y236" s="55">
        <v>45073</v>
      </c>
      <c r="Z236" s="1">
        <v>124</v>
      </c>
    </row>
    <row r="237" spans="1:26">
      <c r="A237" s="67" t="s">
        <v>1157</v>
      </c>
      <c r="B237">
        <v>202021752</v>
      </c>
      <c r="C237" t="s">
        <v>300</v>
      </c>
      <c r="D237" t="s">
        <v>1158</v>
      </c>
      <c r="E237" t="s">
        <v>1159</v>
      </c>
      <c r="F237" t="s">
        <v>216</v>
      </c>
      <c r="G237" t="s">
        <v>246</v>
      </c>
      <c r="J237" t="s">
        <v>247</v>
      </c>
      <c r="K237">
        <v>2023</v>
      </c>
      <c r="L237">
        <v>202310</v>
      </c>
      <c r="M237">
        <v>202310</v>
      </c>
      <c r="N237" t="s">
        <v>248</v>
      </c>
      <c r="O237" t="s">
        <v>213</v>
      </c>
      <c r="P237" t="s">
        <v>249</v>
      </c>
      <c r="Q237" t="s">
        <v>216</v>
      </c>
      <c r="R237" t="s">
        <v>246</v>
      </c>
      <c r="S237" t="s">
        <v>50</v>
      </c>
      <c r="T237" s="70" t="str">
        <f>_xlfn.XLOOKUP(Tabla1[[#This Row],[Universidad]],Conversiones!$B:$B,Conversiones!$C:$C)</f>
        <v>EDHEC Business School</v>
      </c>
      <c r="U237" s="70" t="str">
        <f>_xlfn.XLOOKUP(Tabla1[[#This Row],[Universidad KPIs]],Conversiones!$C:$C,Conversiones!$E:$E)</f>
        <v>Específico</v>
      </c>
      <c r="V237" t="s">
        <v>41</v>
      </c>
      <c r="W237" t="s">
        <v>250</v>
      </c>
      <c r="X237" s="2">
        <v>44949</v>
      </c>
      <c r="Y237" s="2">
        <v>45073</v>
      </c>
      <c r="Z237">
        <v>124</v>
      </c>
    </row>
    <row r="238" spans="1:26">
      <c r="A238" s="68" t="s">
        <v>1160</v>
      </c>
      <c r="B238" s="1">
        <v>201922757</v>
      </c>
      <c r="C238" s="1" t="s">
        <v>327</v>
      </c>
      <c r="D238" s="1" t="s">
        <v>1161</v>
      </c>
      <c r="E238" s="1" t="s">
        <v>1162</v>
      </c>
      <c r="F238" s="1" t="s">
        <v>216</v>
      </c>
      <c r="G238" s="1" t="s">
        <v>246</v>
      </c>
      <c r="H238" s="1"/>
      <c r="I238" s="1"/>
      <c r="J238" s="1" t="s">
        <v>247</v>
      </c>
      <c r="K238" s="1">
        <v>2023</v>
      </c>
      <c r="L238" s="1">
        <v>202310</v>
      </c>
      <c r="M238" s="1">
        <v>202310</v>
      </c>
      <c r="N238" s="1" t="s">
        <v>248</v>
      </c>
      <c r="O238" s="1" t="s">
        <v>213</v>
      </c>
      <c r="P238" s="1" t="s">
        <v>249</v>
      </c>
      <c r="Q238" s="1" t="s">
        <v>216</v>
      </c>
      <c r="R238" s="1" t="s">
        <v>246</v>
      </c>
      <c r="S238" s="1" t="s">
        <v>388</v>
      </c>
      <c r="T238" s="70" t="str">
        <f>_xlfn.XLOOKUP(Tabla1[[#This Row],[Universidad]],Conversiones!$B:$B,Conversiones!$C:$C)</f>
        <v>ESCP</v>
      </c>
      <c r="U238" s="70" t="str">
        <f>_xlfn.XLOOKUP(Tabla1[[#This Row],[Universidad KPIs]],Conversiones!$C:$C,Conversiones!$E:$E)</f>
        <v>Específico</v>
      </c>
      <c r="V238" s="1" t="s">
        <v>41</v>
      </c>
      <c r="W238" s="1" t="s">
        <v>250</v>
      </c>
      <c r="X238" s="55">
        <v>44949</v>
      </c>
      <c r="Y238" s="55">
        <v>45073</v>
      </c>
      <c r="Z238" s="1">
        <v>124</v>
      </c>
    </row>
    <row r="239" spans="1:26">
      <c r="A239" s="67" t="s">
        <v>1163</v>
      </c>
      <c r="B239">
        <v>201923210</v>
      </c>
      <c r="C239" t="s">
        <v>364</v>
      </c>
      <c r="D239" t="s">
        <v>1164</v>
      </c>
      <c r="E239" t="s">
        <v>1165</v>
      </c>
      <c r="F239" t="s">
        <v>216</v>
      </c>
      <c r="G239" t="s">
        <v>246</v>
      </c>
      <c r="J239" t="s">
        <v>247</v>
      </c>
      <c r="K239">
        <v>2023</v>
      </c>
      <c r="L239">
        <v>202310</v>
      </c>
      <c r="M239">
        <v>202310</v>
      </c>
      <c r="N239" t="s">
        <v>248</v>
      </c>
      <c r="O239" t="s">
        <v>213</v>
      </c>
      <c r="P239" t="s">
        <v>249</v>
      </c>
      <c r="Q239" t="s">
        <v>216</v>
      </c>
      <c r="R239" t="s">
        <v>246</v>
      </c>
      <c r="S239" t="s">
        <v>388</v>
      </c>
      <c r="T239" s="70" t="str">
        <f>_xlfn.XLOOKUP(Tabla1[[#This Row],[Universidad]],Conversiones!$B:$B,Conversiones!$C:$C)</f>
        <v>ESCP</v>
      </c>
      <c r="U239" s="70" t="str">
        <f>_xlfn.XLOOKUP(Tabla1[[#This Row],[Universidad KPIs]],Conversiones!$C:$C,Conversiones!$E:$E)</f>
        <v>Específico</v>
      </c>
      <c r="V239" t="s">
        <v>41</v>
      </c>
      <c r="W239" t="s">
        <v>250</v>
      </c>
      <c r="X239" s="2">
        <v>44949</v>
      </c>
      <c r="Y239" s="2">
        <v>45073</v>
      </c>
      <c r="Z239">
        <v>124</v>
      </c>
    </row>
    <row r="240" spans="1:26">
      <c r="A240" s="68" t="s">
        <v>1166</v>
      </c>
      <c r="B240" s="1">
        <v>201922497</v>
      </c>
      <c r="C240" s="1" t="s">
        <v>946</v>
      </c>
      <c r="D240" s="1" t="s">
        <v>1167</v>
      </c>
      <c r="E240" s="1" t="s">
        <v>1168</v>
      </c>
      <c r="F240" s="1" t="s">
        <v>216</v>
      </c>
      <c r="G240" s="1" t="s">
        <v>246</v>
      </c>
      <c r="H240" s="1"/>
      <c r="I240" s="1"/>
      <c r="J240" s="1" t="s">
        <v>247</v>
      </c>
      <c r="K240" s="1">
        <v>2023</v>
      </c>
      <c r="L240" s="1">
        <v>202310</v>
      </c>
      <c r="M240" s="1">
        <v>202310</v>
      </c>
      <c r="N240" s="1" t="s">
        <v>248</v>
      </c>
      <c r="O240" s="1" t="s">
        <v>213</v>
      </c>
      <c r="P240" s="1" t="s">
        <v>249</v>
      </c>
      <c r="Q240" s="1" t="s">
        <v>216</v>
      </c>
      <c r="R240" s="1" t="s">
        <v>246</v>
      </c>
      <c r="S240" s="1" t="s">
        <v>298</v>
      </c>
      <c r="T240" s="70" t="str">
        <f>_xlfn.XLOOKUP(Tabla1[[#This Row],[Universidad]],Conversiones!$B:$B,Conversiones!$C:$C)</f>
        <v>ESSEC</v>
      </c>
      <c r="U240" s="70" t="str">
        <f>_xlfn.XLOOKUP(Tabla1[[#This Row],[Universidad KPIs]],Conversiones!$C:$C,Conversiones!$E:$E)</f>
        <v>Específico</v>
      </c>
      <c r="V240" s="1" t="s">
        <v>41</v>
      </c>
      <c r="W240" s="1" t="s">
        <v>250</v>
      </c>
      <c r="X240" s="55">
        <v>44949</v>
      </c>
      <c r="Y240" s="55">
        <v>45073</v>
      </c>
      <c r="Z240" s="1">
        <v>124</v>
      </c>
    </row>
    <row r="241" spans="1:26">
      <c r="A241" s="67" t="s">
        <v>1169</v>
      </c>
      <c r="B241">
        <v>201922863</v>
      </c>
      <c r="C241" t="s">
        <v>663</v>
      </c>
      <c r="D241" t="s">
        <v>1170</v>
      </c>
      <c r="E241" t="s">
        <v>1171</v>
      </c>
      <c r="F241" t="s">
        <v>216</v>
      </c>
      <c r="G241" t="s">
        <v>246</v>
      </c>
      <c r="J241" t="s">
        <v>247</v>
      </c>
      <c r="K241">
        <v>2023</v>
      </c>
      <c r="L241">
        <v>202310</v>
      </c>
      <c r="M241">
        <v>202310</v>
      </c>
      <c r="N241" t="s">
        <v>248</v>
      </c>
      <c r="O241" t="s">
        <v>213</v>
      </c>
      <c r="P241" t="s">
        <v>249</v>
      </c>
      <c r="Q241" t="s">
        <v>216</v>
      </c>
      <c r="R241" t="s">
        <v>246</v>
      </c>
      <c r="S241" t="s">
        <v>298</v>
      </c>
      <c r="T241" s="70" t="str">
        <f>_xlfn.XLOOKUP(Tabla1[[#This Row],[Universidad]],Conversiones!$B:$B,Conversiones!$C:$C)</f>
        <v>ESSEC</v>
      </c>
      <c r="U241" s="70" t="str">
        <f>_xlfn.XLOOKUP(Tabla1[[#This Row],[Universidad KPIs]],Conversiones!$C:$C,Conversiones!$E:$E)</f>
        <v>Específico</v>
      </c>
      <c r="V241" t="s">
        <v>41</v>
      </c>
      <c r="W241" t="s">
        <v>250</v>
      </c>
      <c r="X241" s="2">
        <v>44949</v>
      </c>
      <c r="Y241" s="2">
        <v>45073</v>
      </c>
      <c r="Z241">
        <v>124</v>
      </c>
    </row>
    <row r="242" spans="1:26">
      <c r="A242" s="68" t="s">
        <v>1172</v>
      </c>
      <c r="B242" s="1">
        <v>201913215</v>
      </c>
      <c r="C242" s="1" t="s">
        <v>1173</v>
      </c>
      <c r="D242" s="1" t="s">
        <v>1174</v>
      </c>
      <c r="E242" s="1" t="s">
        <v>1175</v>
      </c>
      <c r="F242" s="1" t="s">
        <v>216</v>
      </c>
      <c r="G242" s="1" t="s">
        <v>246</v>
      </c>
      <c r="H242" s="1" t="s">
        <v>460</v>
      </c>
      <c r="I242" s="1" t="s">
        <v>461</v>
      </c>
      <c r="J242" s="1" t="s">
        <v>247</v>
      </c>
      <c r="K242" s="1">
        <v>2023</v>
      </c>
      <c r="L242" s="1">
        <v>202310</v>
      </c>
      <c r="M242" s="1">
        <v>202310</v>
      </c>
      <c r="N242" s="1" t="s">
        <v>248</v>
      </c>
      <c r="O242" s="1" t="s">
        <v>213</v>
      </c>
      <c r="P242" s="1" t="s">
        <v>249</v>
      </c>
      <c r="Q242" s="1" t="s">
        <v>216</v>
      </c>
      <c r="R242" s="1" t="s">
        <v>246</v>
      </c>
      <c r="S242" s="1" t="s">
        <v>362</v>
      </c>
      <c r="T242" s="70" t="str">
        <f>_xlfn.XLOOKUP(Tabla1[[#This Row],[Universidad]],Conversiones!$B:$B,Conversiones!$C:$C)</f>
        <v>Frankfurt School of Finance and Management</v>
      </c>
      <c r="U242" s="70" t="str">
        <f>_xlfn.XLOOKUP(Tabla1[[#This Row],[Universidad KPIs]],Conversiones!$C:$C,Conversiones!$E:$E)</f>
        <v>Específico</v>
      </c>
      <c r="V242" s="1" t="s">
        <v>60</v>
      </c>
      <c r="W242" s="1" t="s">
        <v>250</v>
      </c>
      <c r="X242" s="55">
        <v>44949</v>
      </c>
      <c r="Y242" s="55">
        <v>45073</v>
      </c>
      <c r="Z242" s="1">
        <v>124</v>
      </c>
    </row>
    <row r="243" spans="1:26">
      <c r="A243" s="67" t="s">
        <v>1176</v>
      </c>
      <c r="B243">
        <v>202014993</v>
      </c>
      <c r="C243" t="s">
        <v>1177</v>
      </c>
      <c r="D243" t="s">
        <v>1178</v>
      </c>
      <c r="E243" t="s">
        <v>1179</v>
      </c>
      <c r="F243" t="s">
        <v>216</v>
      </c>
      <c r="G243" t="s">
        <v>246</v>
      </c>
      <c r="H243" t="s">
        <v>506</v>
      </c>
      <c r="I243" t="s">
        <v>507</v>
      </c>
      <c r="J243" t="s">
        <v>247</v>
      </c>
      <c r="K243">
        <v>2023</v>
      </c>
      <c r="L243">
        <v>202310</v>
      </c>
      <c r="M243">
        <v>202310</v>
      </c>
      <c r="N243" t="s">
        <v>248</v>
      </c>
      <c r="O243" t="s">
        <v>213</v>
      </c>
      <c r="P243" t="s">
        <v>249</v>
      </c>
      <c r="Q243" t="s">
        <v>216</v>
      </c>
      <c r="R243" t="s">
        <v>246</v>
      </c>
      <c r="S243" t="s">
        <v>61</v>
      </c>
      <c r="T243" s="70" t="str">
        <f>_xlfn.XLOOKUP(Tabla1[[#This Row],[Universidad]],Conversiones!$B:$B,Conversiones!$C:$C)</f>
        <v>Fundação Getulio Vargas</v>
      </c>
      <c r="U243" s="70" t="str">
        <f>_xlfn.XLOOKUP(Tabla1[[#This Row],[Universidad KPIs]],Conversiones!$C:$C,Conversiones!$E:$E)</f>
        <v>Específico</v>
      </c>
      <c r="V243" t="s">
        <v>62</v>
      </c>
      <c r="W243" t="s">
        <v>265</v>
      </c>
      <c r="X243" s="2">
        <v>44949</v>
      </c>
      <c r="Y243" s="2">
        <v>45073</v>
      </c>
      <c r="Z243">
        <v>124</v>
      </c>
    </row>
    <row r="244" spans="1:26">
      <c r="A244" s="68" t="s">
        <v>1180</v>
      </c>
      <c r="B244" s="1">
        <v>201921912</v>
      </c>
      <c r="C244" s="1" t="s">
        <v>1181</v>
      </c>
      <c r="D244" s="1" t="s">
        <v>1182</v>
      </c>
      <c r="E244" s="1" t="s">
        <v>1183</v>
      </c>
      <c r="F244" s="1" t="s">
        <v>216</v>
      </c>
      <c r="G244" s="1" t="s">
        <v>246</v>
      </c>
      <c r="H244" s="1"/>
      <c r="I244" s="1"/>
      <c r="J244" s="1" t="s">
        <v>247</v>
      </c>
      <c r="K244" s="1">
        <v>2023</v>
      </c>
      <c r="L244" s="1">
        <v>202310</v>
      </c>
      <c r="M244" s="1">
        <v>202310</v>
      </c>
      <c r="N244" s="1" t="s">
        <v>248</v>
      </c>
      <c r="O244" s="1" t="s">
        <v>213</v>
      </c>
      <c r="P244" s="1" t="s">
        <v>249</v>
      </c>
      <c r="Q244" s="1" t="s">
        <v>216</v>
      </c>
      <c r="R244" s="1" t="s">
        <v>246</v>
      </c>
      <c r="S244" s="1" t="s">
        <v>61</v>
      </c>
      <c r="T244" s="70" t="str">
        <f>_xlfn.XLOOKUP(Tabla1[[#This Row],[Universidad]],Conversiones!$B:$B,Conversiones!$C:$C)</f>
        <v>Fundação Getulio Vargas</v>
      </c>
      <c r="U244" s="70" t="str">
        <f>_xlfn.XLOOKUP(Tabla1[[#This Row],[Universidad KPIs]],Conversiones!$C:$C,Conversiones!$E:$E)</f>
        <v>Específico</v>
      </c>
      <c r="V244" s="1" t="s">
        <v>62</v>
      </c>
      <c r="W244" s="1" t="s">
        <v>265</v>
      </c>
      <c r="X244" s="55">
        <v>44949</v>
      </c>
      <c r="Y244" s="55">
        <v>45073</v>
      </c>
      <c r="Z244" s="1">
        <v>124</v>
      </c>
    </row>
    <row r="245" spans="1:26">
      <c r="A245" s="67" t="s">
        <v>1184</v>
      </c>
      <c r="B245">
        <v>202021003</v>
      </c>
      <c r="C245" t="s">
        <v>555</v>
      </c>
      <c r="D245" t="s">
        <v>1185</v>
      </c>
      <c r="E245" t="s">
        <v>1186</v>
      </c>
      <c r="F245" t="s">
        <v>216</v>
      </c>
      <c r="G245" t="s">
        <v>246</v>
      </c>
      <c r="J245" t="s">
        <v>247</v>
      </c>
      <c r="K245">
        <v>2023</v>
      </c>
      <c r="L245">
        <v>202310</v>
      </c>
      <c r="M245">
        <v>202310</v>
      </c>
      <c r="N245" t="s">
        <v>248</v>
      </c>
      <c r="O245" t="s">
        <v>213</v>
      </c>
      <c r="P245" t="s">
        <v>249</v>
      </c>
      <c r="Q245" t="s">
        <v>216</v>
      </c>
      <c r="R245" t="s">
        <v>246</v>
      </c>
      <c r="S245" t="s">
        <v>619</v>
      </c>
      <c r="T245" s="70" t="str">
        <f>_xlfn.XLOOKUP(Tabla1[[#This Row],[Universidad]],Conversiones!$B:$B,Conversiones!$C:$C)</f>
        <v>Grenoble. École de Management</v>
      </c>
      <c r="U245" s="70" t="str">
        <f>_xlfn.XLOOKUP(Tabla1[[#This Row],[Universidad KPIs]],Conversiones!$C:$C,Conversiones!$E:$E)</f>
        <v>Específico</v>
      </c>
      <c r="V245" t="s">
        <v>41</v>
      </c>
      <c r="W245" t="s">
        <v>250</v>
      </c>
      <c r="X245" s="2">
        <v>44949</v>
      </c>
      <c r="Y245" s="2">
        <v>45073</v>
      </c>
      <c r="Z245">
        <v>124</v>
      </c>
    </row>
    <row r="246" spans="1:26">
      <c r="A246" s="68" t="s">
        <v>1187</v>
      </c>
      <c r="B246" s="1">
        <v>201624136</v>
      </c>
      <c r="C246" s="1" t="s">
        <v>1188</v>
      </c>
      <c r="D246" s="1" t="s">
        <v>1189</v>
      </c>
      <c r="E246" s="1" t="s">
        <v>1190</v>
      </c>
      <c r="F246" s="1" t="s">
        <v>216</v>
      </c>
      <c r="G246" s="1" t="s">
        <v>246</v>
      </c>
      <c r="H246" s="1" t="s">
        <v>460</v>
      </c>
      <c r="I246" s="1" t="s">
        <v>461</v>
      </c>
      <c r="J246" s="1" t="s">
        <v>247</v>
      </c>
      <c r="K246" s="1">
        <v>2023</v>
      </c>
      <c r="L246" s="1">
        <v>202310</v>
      </c>
      <c r="M246" s="1">
        <v>202310</v>
      </c>
      <c r="N246" s="1" t="s">
        <v>248</v>
      </c>
      <c r="O246" s="1" t="s">
        <v>213</v>
      </c>
      <c r="P246" s="1" t="s">
        <v>249</v>
      </c>
      <c r="Q246" s="1" t="s">
        <v>216</v>
      </c>
      <c r="R246" s="1" t="s">
        <v>246</v>
      </c>
      <c r="S246" s="1" t="s">
        <v>410</v>
      </c>
      <c r="T246" s="70" t="str">
        <f>_xlfn.XLOOKUP(Tabla1[[#This Row],[Universidad]],Conversiones!$B:$B,Conversiones!$C:$C)</f>
        <v xml:space="preserve">CBS- Copenhagen Business School  </v>
      </c>
      <c r="U246" s="70" t="str">
        <f>_xlfn.XLOOKUP(Tabla1[[#This Row],[Universidad KPIs]],Conversiones!$C:$C,Conversiones!$E:$E)</f>
        <v>Específico</v>
      </c>
      <c r="V246" s="1" t="s">
        <v>47</v>
      </c>
      <c r="W246" s="1" t="s">
        <v>250</v>
      </c>
      <c r="X246" s="55">
        <v>44949</v>
      </c>
      <c r="Y246" s="55">
        <v>45073</v>
      </c>
      <c r="Z246" s="1">
        <v>124</v>
      </c>
    </row>
    <row r="247" spans="1:26">
      <c r="A247" s="67" t="s">
        <v>1191</v>
      </c>
      <c r="B247">
        <v>202011065</v>
      </c>
      <c r="C247" t="s">
        <v>555</v>
      </c>
      <c r="D247" t="s">
        <v>1192</v>
      </c>
      <c r="E247" t="s">
        <v>1193</v>
      </c>
      <c r="F247" t="s">
        <v>216</v>
      </c>
      <c r="G247" t="s">
        <v>246</v>
      </c>
      <c r="J247" t="s">
        <v>247</v>
      </c>
      <c r="K247">
        <v>2023</v>
      </c>
      <c r="L247">
        <v>202310</v>
      </c>
      <c r="M247">
        <v>202310</v>
      </c>
      <c r="N247" t="s">
        <v>248</v>
      </c>
      <c r="O247" t="s">
        <v>213</v>
      </c>
      <c r="P247" t="s">
        <v>249</v>
      </c>
      <c r="Q247" t="s">
        <v>216</v>
      </c>
      <c r="R247" t="s">
        <v>246</v>
      </c>
      <c r="S247" t="s">
        <v>528</v>
      </c>
      <c r="T247" s="70" t="str">
        <f>_xlfn.XLOOKUP(Tabla1[[#This Row],[Universidad]],Conversiones!$B:$B,Conversiones!$C:$C)</f>
        <v>ICN Business School - Institut Commercial de Nancy</v>
      </c>
      <c r="U247" s="70" t="str">
        <f>_xlfn.XLOOKUP(Tabla1[[#This Row],[Universidad KPIs]],Conversiones!$C:$C,Conversiones!$E:$E)</f>
        <v>Específico</v>
      </c>
      <c r="V247" t="s">
        <v>41</v>
      </c>
      <c r="W247" t="s">
        <v>250</v>
      </c>
      <c r="X247" s="2">
        <v>44949</v>
      </c>
      <c r="Y247" s="2">
        <v>45073</v>
      </c>
      <c r="Z247">
        <v>124</v>
      </c>
    </row>
    <row r="248" spans="1:26">
      <c r="A248" s="68" t="s">
        <v>1194</v>
      </c>
      <c r="B248" s="1">
        <v>202013460</v>
      </c>
      <c r="C248" s="1" t="s">
        <v>257</v>
      </c>
      <c r="D248" s="1" t="s">
        <v>1195</v>
      </c>
      <c r="E248" s="1" t="s">
        <v>1196</v>
      </c>
      <c r="F248" s="1" t="s">
        <v>216</v>
      </c>
      <c r="G248" s="1" t="s">
        <v>246</v>
      </c>
      <c r="H248" s="1"/>
      <c r="I248" s="1"/>
      <c r="J248" s="1" t="s">
        <v>247</v>
      </c>
      <c r="K248" s="1">
        <v>2023</v>
      </c>
      <c r="L248" s="1">
        <v>202310</v>
      </c>
      <c r="M248" s="1">
        <v>202310</v>
      </c>
      <c r="N248" s="1" t="s">
        <v>248</v>
      </c>
      <c r="O248" s="1" t="s">
        <v>213</v>
      </c>
      <c r="P248" s="1" t="s">
        <v>249</v>
      </c>
      <c r="Q248" s="1" t="s">
        <v>216</v>
      </c>
      <c r="R248" s="1" t="s">
        <v>246</v>
      </c>
      <c r="S248" s="1" t="s">
        <v>528</v>
      </c>
      <c r="T248" s="70" t="str">
        <f>_xlfn.XLOOKUP(Tabla1[[#This Row],[Universidad]],Conversiones!$B:$B,Conversiones!$C:$C)</f>
        <v>ICN Business School - Institut Commercial de Nancy</v>
      </c>
      <c r="U248" s="70" t="str">
        <f>_xlfn.XLOOKUP(Tabla1[[#This Row],[Universidad KPIs]],Conversiones!$C:$C,Conversiones!$E:$E)</f>
        <v>Específico</v>
      </c>
      <c r="V248" s="1" t="s">
        <v>41</v>
      </c>
      <c r="W248" s="1" t="s">
        <v>250</v>
      </c>
      <c r="X248" s="55">
        <v>44949</v>
      </c>
      <c r="Y248" s="55">
        <v>45073</v>
      </c>
      <c r="Z248" s="1">
        <v>124</v>
      </c>
    </row>
    <row r="249" spans="1:26">
      <c r="A249" s="67" t="s">
        <v>1197</v>
      </c>
      <c r="B249">
        <v>202020784</v>
      </c>
      <c r="C249" t="s">
        <v>866</v>
      </c>
      <c r="D249" t="s">
        <v>1198</v>
      </c>
      <c r="E249" t="s">
        <v>1199</v>
      </c>
      <c r="F249" t="s">
        <v>216</v>
      </c>
      <c r="G249" t="s">
        <v>246</v>
      </c>
      <c r="J249" t="s">
        <v>247</v>
      </c>
      <c r="K249">
        <v>2023</v>
      </c>
      <c r="L249">
        <v>202310</v>
      </c>
      <c r="M249">
        <v>202310</v>
      </c>
      <c r="N249" t="s">
        <v>248</v>
      </c>
      <c r="O249" t="s">
        <v>213</v>
      </c>
      <c r="P249" t="s">
        <v>249</v>
      </c>
      <c r="Q249" t="s">
        <v>216</v>
      </c>
      <c r="R249" t="s">
        <v>246</v>
      </c>
      <c r="S249" t="s">
        <v>608</v>
      </c>
      <c r="T249" s="70" t="str">
        <f>_xlfn.XLOOKUP(Tabla1[[#This Row],[Universidad]],Conversiones!$B:$B,Conversiones!$C:$C)</f>
        <v>IE Instituto Empresa</v>
      </c>
      <c r="U249" s="70" t="str">
        <f>_xlfn.XLOOKUP(Tabla1[[#This Row],[Universidad KPIs]],Conversiones!$C:$C,Conversiones!$E:$E)</f>
        <v>General</v>
      </c>
      <c r="V249" t="s">
        <v>53</v>
      </c>
      <c r="W249" t="s">
        <v>250</v>
      </c>
      <c r="X249" s="2">
        <v>44949</v>
      </c>
      <c r="Y249" s="2">
        <v>45073</v>
      </c>
      <c r="Z249">
        <v>124</v>
      </c>
    </row>
    <row r="250" spans="1:26">
      <c r="A250" s="68" t="s">
        <v>1200</v>
      </c>
      <c r="B250" s="1">
        <v>201820723</v>
      </c>
      <c r="C250" s="1" t="s">
        <v>728</v>
      </c>
      <c r="D250" s="1" t="s">
        <v>1201</v>
      </c>
      <c r="E250" s="1" t="s">
        <v>1202</v>
      </c>
      <c r="F250" s="1" t="s">
        <v>460</v>
      </c>
      <c r="G250" s="1" t="s">
        <v>461</v>
      </c>
      <c r="H250" s="1" t="s">
        <v>216</v>
      </c>
      <c r="I250" s="1" t="s">
        <v>246</v>
      </c>
      <c r="J250" s="1" t="s">
        <v>247</v>
      </c>
      <c r="K250" s="1">
        <v>2023</v>
      </c>
      <c r="L250" s="1">
        <v>202310</v>
      </c>
      <c r="M250" s="1">
        <v>202310</v>
      </c>
      <c r="N250" s="1" t="s">
        <v>248</v>
      </c>
      <c r="O250" s="1" t="s">
        <v>213</v>
      </c>
      <c r="P250" s="1" t="s">
        <v>249</v>
      </c>
      <c r="Q250" s="1" t="s">
        <v>216</v>
      </c>
      <c r="R250" s="1" t="s">
        <v>246</v>
      </c>
      <c r="S250" s="1" t="s">
        <v>781</v>
      </c>
      <c r="T250" s="70" t="str">
        <f>_xlfn.XLOOKUP(Tabla1[[#This Row],[Universidad]],Conversiones!$B:$B,Conversiones!$C:$C)</f>
        <v>ITESM-EGADE -Instituto tecnológico y de estudios superiores de Monterrey</v>
      </c>
      <c r="U250" s="70" t="str">
        <f>_xlfn.XLOOKUP(Tabla1[[#This Row],[Universidad KPIs]],Conversiones!$C:$C,Conversiones!$E:$E)</f>
        <v>Específico</v>
      </c>
      <c r="V250" s="1" t="s">
        <v>71</v>
      </c>
      <c r="W250" s="1" t="s">
        <v>260</v>
      </c>
      <c r="X250" s="55">
        <v>44949</v>
      </c>
      <c r="Y250" s="55">
        <v>45073</v>
      </c>
      <c r="Z250" s="1">
        <v>124</v>
      </c>
    </row>
    <row r="251" spans="1:26">
      <c r="A251" s="67" t="s">
        <v>1203</v>
      </c>
      <c r="B251">
        <v>202021981</v>
      </c>
      <c r="C251" t="s">
        <v>546</v>
      </c>
      <c r="D251" t="s">
        <v>1204</v>
      </c>
      <c r="E251" t="s">
        <v>1205</v>
      </c>
      <c r="F251" t="s">
        <v>216</v>
      </c>
      <c r="G251" t="s">
        <v>246</v>
      </c>
      <c r="J251" t="s">
        <v>247</v>
      </c>
      <c r="K251">
        <v>2023</v>
      </c>
      <c r="L251">
        <v>202310</v>
      </c>
      <c r="M251">
        <v>202310</v>
      </c>
      <c r="N251" t="s">
        <v>248</v>
      </c>
      <c r="O251" t="s">
        <v>213</v>
      </c>
      <c r="P251" t="s">
        <v>249</v>
      </c>
      <c r="Q251" t="s">
        <v>216</v>
      </c>
      <c r="R251" t="s">
        <v>246</v>
      </c>
      <c r="S251" t="s">
        <v>320</v>
      </c>
      <c r="T251" s="70" t="str">
        <f>_xlfn.XLOOKUP(Tabla1[[#This Row],[Universidad]],Conversiones!$B:$B,Conversiones!$C:$C)</f>
        <v>KLU Kühne Logistics University</v>
      </c>
      <c r="U251" s="70" t="str">
        <f>_xlfn.XLOOKUP(Tabla1[[#This Row],[Universidad KPIs]],Conversiones!$C:$C,Conversiones!$E:$E)</f>
        <v>Específico</v>
      </c>
      <c r="V251" t="s">
        <v>60</v>
      </c>
      <c r="W251" t="s">
        <v>250</v>
      </c>
      <c r="X251" s="2">
        <v>44949</v>
      </c>
      <c r="Y251" s="2">
        <v>45073</v>
      </c>
      <c r="Z251">
        <v>124</v>
      </c>
    </row>
    <row r="252" spans="1:26">
      <c r="A252" s="68" t="s">
        <v>1206</v>
      </c>
      <c r="B252" s="1">
        <v>201820550</v>
      </c>
      <c r="C252" s="1" t="s">
        <v>468</v>
      </c>
      <c r="D252" s="1" t="s">
        <v>1207</v>
      </c>
      <c r="E252" s="1" t="s">
        <v>1208</v>
      </c>
      <c r="F252" s="1" t="s">
        <v>460</v>
      </c>
      <c r="G252" s="1" t="s">
        <v>461</v>
      </c>
      <c r="H252" s="1" t="s">
        <v>216</v>
      </c>
      <c r="I252" s="1" t="s">
        <v>246</v>
      </c>
      <c r="J252" s="1" t="s">
        <v>247</v>
      </c>
      <c r="K252" s="1">
        <v>2023</v>
      </c>
      <c r="L252" s="1">
        <v>202310</v>
      </c>
      <c r="M252" s="1">
        <v>202310</v>
      </c>
      <c r="N252" s="1" t="s">
        <v>248</v>
      </c>
      <c r="O252" s="1" t="s">
        <v>213</v>
      </c>
      <c r="P252" s="1" t="s">
        <v>249</v>
      </c>
      <c r="Q252" s="1" t="s">
        <v>216</v>
      </c>
      <c r="R252" s="1" t="s">
        <v>246</v>
      </c>
      <c r="S252" s="1" t="s">
        <v>78</v>
      </c>
      <c r="T252" s="70" t="str">
        <f>_xlfn.XLOOKUP(Tabla1[[#This Row],[Universidad]],Conversiones!$B:$B,Conversiones!$C:$C)</f>
        <v>Maastricht University</v>
      </c>
      <c r="U252" s="70" t="str">
        <f>_xlfn.XLOOKUP(Tabla1[[#This Row],[Universidad KPIs]],Conversiones!$C:$C,Conversiones!$E:$E)</f>
        <v>Específico</v>
      </c>
      <c r="V252" s="1" t="s">
        <v>79</v>
      </c>
      <c r="W252" s="1" t="s">
        <v>250</v>
      </c>
      <c r="X252" s="55">
        <v>44949</v>
      </c>
      <c r="Y252" s="55">
        <v>45073</v>
      </c>
      <c r="Z252" s="1">
        <v>124</v>
      </c>
    </row>
    <row r="253" spans="1:26">
      <c r="A253" s="67" t="s">
        <v>1209</v>
      </c>
      <c r="B253">
        <v>201921583</v>
      </c>
      <c r="C253" t="s">
        <v>569</v>
      </c>
      <c r="D253" t="s">
        <v>1210</v>
      </c>
      <c r="E253" t="s">
        <v>1211</v>
      </c>
      <c r="F253" t="s">
        <v>216</v>
      </c>
      <c r="G253" t="s">
        <v>246</v>
      </c>
      <c r="J253" t="s">
        <v>247</v>
      </c>
      <c r="K253">
        <v>2023</v>
      </c>
      <c r="L253">
        <v>202310</v>
      </c>
      <c r="M253">
        <v>202310</v>
      </c>
      <c r="N253" t="s">
        <v>248</v>
      </c>
      <c r="O253" t="s">
        <v>213</v>
      </c>
      <c r="P253" t="s">
        <v>249</v>
      </c>
      <c r="Q253" t="s">
        <v>216</v>
      </c>
      <c r="R253" t="s">
        <v>246</v>
      </c>
      <c r="S253" t="s">
        <v>78</v>
      </c>
      <c r="T253" s="70" t="str">
        <f>_xlfn.XLOOKUP(Tabla1[[#This Row],[Universidad]],Conversiones!$B:$B,Conversiones!$C:$C)</f>
        <v>Maastricht University</v>
      </c>
      <c r="U253" s="70" t="str">
        <f>_xlfn.XLOOKUP(Tabla1[[#This Row],[Universidad KPIs]],Conversiones!$C:$C,Conversiones!$E:$E)</f>
        <v>Específico</v>
      </c>
      <c r="V253" t="s">
        <v>79</v>
      </c>
      <c r="W253" t="s">
        <v>250</v>
      </c>
      <c r="X253" s="2">
        <v>44949</v>
      </c>
      <c r="Y253" s="2">
        <v>45073</v>
      </c>
      <c r="Z253">
        <v>124</v>
      </c>
    </row>
    <row r="254" spans="1:26">
      <c r="A254" s="68" t="s">
        <v>1212</v>
      </c>
      <c r="B254" s="1">
        <v>201912057</v>
      </c>
      <c r="C254" s="1" t="s">
        <v>327</v>
      </c>
      <c r="D254" s="1" t="s">
        <v>1213</v>
      </c>
      <c r="E254" s="1" t="s">
        <v>1214</v>
      </c>
      <c r="F254" s="1" t="s">
        <v>216</v>
      </c>
      <c r="G254" s="1" t="s">
        <v>246</v>
      </c>
      <c r="H254" s="1"/>
      <c r="I254" s="1"/>
      <c r="J254" s="1" t="s">
        <v>247</v>
      </c>
      <c r="K254" s="1">
        <v>2023</v>
      </c>
      <c r="L254" s="1">
        <v>202310</v>
      </c>
      <c r="M254" s="1">
        <v>202310</v>
      </c>
      <c r="N254" s="1" t="s">
        <v>248</v>
      </c>
      <c r="O254" s="1" t="s">
        <v>213</v>
      </c>
      <c r="P254" s="1" t="s">
        <v>249</v>
      </c>
      <c r="Q254" s="1" t="s">
        <v>216</v>
      </c>
      <c r="R254" s="1" t="s">
        <v>246</v>
      </c>
      <c r="S254" s="1" t="s">
        <v>78</v>
      </c>
      <c r="T254" s="70" t="str">
        <f>_xlfn.XLOOKUP(Tabla1[[#This Row],[Universidad]],Conversiones!$B:$B,Conversiones!$C:$C)</f>
        <v>Maastricht University</v>
      </c>
      <c r="U254" s="70" t="str">
        <f>_xlfn.XLOOKUP(Tabla1[[#This Row],[Universidad KPIs]],Conversiones!$C:$C,Conversiones!$E:$E)</f>
        <v>Específico</v>
      </c>
      <c r="V254" s="1" t="s">
        <v>79</v>
      </c>
      <c r="W254" s="1" t="s">
        <v>250</v>
      </c>
      <c r="X254" s="55">
        <v>44949</v>
      </c>
      <c r="Y254" s="55">
        <v>45073</v>
      </c>
      <c r="Z254" s="1">
        <v>124</v>
      </c>
    </row>
    <row r="255" spans="1:26">
      <c r="A255" s="67" t="s">
        <v>1215</v>
      </c>
      <c r="B255">
        <v>201912081</v>
      </c>
      <c r="C255" t="s">
        <v>1216</v>
      </c>
      <c r="D255" t="s">
        <v>1217</v>
      </c>
      <c r="E255" t="s">
        <v>1218</v>
      </c>
      <c r="F255" t="s">
        <v>216</v>
      </c>
      <c r="G255" t="s">
        <v>246</v>
      </c>
      <c r="H255" t="s">
        <v>1219</v>
      </c>
      <c r="I255" t="s">
        <v>513</v>
      </c>
      <c r="J255" t="s">
        <v>247</v>
      </c>
      <c r="K255">
        <v>2023</v>
      </c>
      <c r="L255">
        <v>202310</v>
      </c>
      <c r="M255">
        <v>202310</v>
      </c>
      <c r="N255" t="s">
        <v>248</v>
      </c>
      <c r="O255" t="s">
        <v>213</v>
      </c>
      <c r="P255" t="s">
        <v>249</v>
      </c>
      <c r="Q255" t="s">
        <v>216</v>
      </c>
      <c r="R255" t="s">
        <v>246</v>
      </c>
      <c r="S255" t="s">
        <v>78</v>
      </c>
      <c r="T255" s="70" t="str">
        <f>_xlfn.XLOOKUP(Tabla1[[#This Row],[Universidad]],Conversiones!$B:$B,Conversiones!$C:$C)</f>
        <v>Maastricht University</v>
      </c>
      <c r="U255" s="70" t="str">
        <f>_xlfn.XLOOKUP(Tabla1[[#This Row],[Universidad KPIs]],Conversiones!$C:$C,Conversiones!$E:$E)</f>
        <v>Específico</v>
      </c>
      <c r="V255" t="s">
        <v>79</v>
      </c>
      <c r="W255" t="s">
        <v>250</v>
      </c>
      <c r="X255" s="2">
        <v>44949</v>
      </c>
      <c r="Y255" s="2">
        <v>45073</v>
      </c>
      <c r="Z255">
        <v>124</v>
      </c>
    </row>
    <row r="256" spans="1:26">
      <c r="A256" s="68" t="s">
        <v>1220</v>
      </c>
      <c r="B256" s="1">
        <v>201923754</v>
      </c>
      <c r="C256" s="1" t="s">
        <v>1221</v>
      </c>
      <c r="D256" s="1" t="s">
        <v>1222</v>
      </c>
      <c r="E256" s="1" t="s">
        <v>1223</v>
      </c>
      <c r="F256" s="1" t="s">
        <v>216</v>
      </c>
      <c r="G256" s="1" t="s">
        <v>246</v>
      </c>
      <c r="H256" s="1"/>
      <c r="I256" s="1"/>
      <c r="J256" s="1" t="s">
        <v>247</v>
      </c>
      <c r="K256" s="1">
        <v>2023</v>
      </c>
      <c r="L256" s="1">
        <v>202310</v>
      </c>
      <c r="M256" s="1">
        <v>202310</v>
      </c>
      <c r="N256" s="1" t="s">
        <v>248</v>
      </c>
      <c r="O256" s="1" t="s">
        <v>213</v>
      </c>
      <c r="P256" s="1" t="s">
        <v>249</v>
      </c>
      <c r="Q256" s="1" t="s">
        <v>216</v>
      </c>
      <c r="R256" s="1" t="s">
        <v>246</v>
      </c>
      <c r="S256" s="1" t="s">
        <v>78</v>
      </c>
      <c r="T256" s="70" t="str">
        <f>_xlfn.XLOOKUP(Tabla1[[#This Row],[Universidad]],Conversiones!$B:$B,Conversiones!$C:$C)</f>
        <v>Maastricht University</v>
      </c>
      <c r="U256" s="70" t="str">
        <f>_xlfn.XLOOKUP(Tabla1[[#This Row],[Universidad KPIs]],Conversiones!$C:$C,Conversiones!$E:$E)</f>
        <v>Específico</v>
      </c>
      <c r="V256" s="1" t="s">
        <v>79</v>
      </c>
      <c r="W256" s="1" t="s">
        <v>250</v>
      </c>
      <c r="X256" s="55">
        <v>44949</v>
      </c>
      <c r="Y256" s="55">
        <v>45073</v>
      </c>
      <c r="Z256" s="1">
        <v>124</v>
      </c>
    </row>
    <row r="257" spans="1:26">
      <c r="A257" s="67" t="s">
        <v>1224</v>
      </c>
      <c r="B257">
        <v>201815766</v>
      </c>
      <c r="C257" t="s">
        <v>663</v>
      </c>
      <c r="D257" t="s">
        <v>1225</v>
      </c>
      <c r="E257" t="s">
        <v>1226</v>
      </c>
      <c r="F257" t="s">
        <v>216</v>
      </c>
      <c r="G257" t="s">
        <v>246</v>
      </c>
      <c r="H257" t="s">
        <v>460</v>
      </c>
      <c r="I257" t="s">
        <v>461</v>
      </c>
      <c r="J257" t="s">
        <v>247</v>
      </c>
      <c r="K257">
        <v>2023</v>
      </c>
      <c r="L257">
        <v>202310</v>
      </c>
      <c r="M257">
        <v>202310</v>
      </c>
      <c r="N257" t="s">
        <v>248</v>
      </c>
      <c r="O257" t="s">
        <v>213</v>
      </c>
      <c r="P257" t="s">
        <v>249</v>
      </c>
      <c r="Q257" t="s">
        <v>216</v>
      </c>
      <c r="R257" t="s">
        <v>246</v>
      </c>
      <c r="S257" t="s">
        <v>78</v>
      </c>
      <c r="T257" s="70" t="str">
        <f>_xlfn.XLOOKUP(Tabla1[[#This Row],[Universidad]],Conversiones!$B:$B,Conversiones!$C:$C)</f>
        <v>Maastricht University</v>
      </c>
      <c r="U257" s="70" t="str">
        <f>_xlfn.XLOOKUP(Tabla1[[#This Row],[Universidad KPIs]],Conversiones!$C:$C,Conversiones!$E:$E)</f>
        <v>Específico</v>
      </c>
      <c r="V257" t="s">
        <v>79</v>
      </c>
      <c r="W257" t="s">
        <v>250</v>
      </c>
      <c r="X257" s="2">
        <v>44949</v>
      </c>
      <c r="Y257" s="2">
        <v>45073</v>
      </c>
      <c r="Z257">
        <v>124</v>
      </c>
    </row>
    <row r="258" spans="1:26">
      <c r="A258" s="68" t="s">
        <v>1227</v>
      </c>
      <c r="B258" s="1">
        <v>201923608</v>
      </c>
      <c r="C258" s="1" t="s">
        <v>1228</v>
      </c>
      <c r="D258" s="1" t="s">
        <v>1229</v>
      </c>
      <c r="E258" s="1" t="s">
        <v>1230</v>
      </c>
      <c r="F258" s="1" t="s">
        <v>216</v>
      </c>
      <c r="G258" s="1" t="s">
        <v>246</v>
      </c>
      <c r="H258" s="1"/>
      <c r="I258" s="1"/>
      <c r="J258" s="1" t="s">
        <v>247</v>
      </c>
      <c r="K258" s="1">
        <v>2023</v>
      </c>
      <c r="L258" s="1">
        <v>202310</v>
      </c>
      <c r="M258" s="1">
        <v>202310</v>
      </c>
      <c r="N258" s="1" t="s">
        <v>248</v>
      </c>
      <c r="O258" s="1" t="s">
        <v>213</v>
      </c>
      <c r="P258" s="1" t="s">
        <v>249</v>
      </c>
      <c r="Q258" s="1" t="s">
        <v>216</v>
      </c>
      <c r="R258" s="1" t="s">
        <v>246</v>
      </c>
      <c r="S258" s="1" t="s">
        <v>78</v>
      </c>
      <c r="T258" s="70" t="str">
        <f>_xlfn.XLOOKUP(Tabla1[[#This Row],[Universidad]],Conversiones!$B:$B,Conversiones!$C:$C)</f>
        <v>Maastricht University</v>
      </c>
      <c r="U258" s="70" t="str">
        <f>_xlfn.XLOOKUP(Tabla1[[#This Row],[Universidad KPIs]],Conversiones!$C:$C,Conversiones!$E:$E)</f>
        <v>Específico</v>
      </c>
      <c r="V258" s="1" t="s">
        <v>79</v>
      </c>
      <c r="W258" s="1" t="s">
        <v>250</v>
      </c>
      <c r="X258" s="55">
        <v>44949</v>
      </c>
      <c r="Y258" s="55">
        <v>45073</v>
      </c>
      <c r="Z258" s="1">
        <v>124</v>
      </c>
    </row>
    <row r="259" spans="1:26">
      <c r="A259" s="67" t="s">
        <v>1231</v>
      </c>
      <c r="B259">
        <v>201922843</v>
      </c>
      <c r="C259" t="s">
        <v>403</v>
      </c>
      <c r="D259" t="s">
        <v>1232</v>
      </c>
      <c r="E259" t="s">
        <v>1233</v>
      </c>
      <c r="F259" t="s">
        <v>216</v>
      </c>
      <c r="G259" t="s">
        <v>246</v>
      </c>
      <c r="J259" t="s">
        <v>247</v>
      </c>
      <c r="K259">
        <v>2023</v>
      </c>
      <c r="L259">
        <v>202310</v>
      </c>
      <c r="M259">
        <v>202310</v>
      </c>
      <c r="N259" t="s">
        <v>248</v>
      </c>
      <c r="O259" t="s">
        <v>213</v>
      </c>
      <c r="P259" t="s">
        <v>249</v>
      </c>
      <c r="Q259" t="s">
        <v>216</v>
      </c>
      <c r="R259" t="s">
        <v>246</v>
      </c>
      <c r="S259" t="s">
        <v>78</v>
      </c>
      <c r="T259" s="70" t="str">
        <f>_xlfn.XLOOKUP(Tabla1[[#This Row],[Universidad]],Conversiones!$B:$B,Conversiones!$C:$C)</f>
        <v>Maastricht University</v>
      </c>
      <c r="U259" s="70" t="str">
        <f>_xlfn.XLOOKUP(Tabla1[[#This Row],[Universidad KPIs]],Conversiones!$C:$C,Conversiones!$E:$E)</f>
        <v>Específico</v>
      </c>
      <c r="V259" t="s">
        <v>79</v>
      </c>
      <c r="W259" t="s">
        <v>250</v>
      </c>
      <c r="X259" s="2">
        <v>44949</v>
      </c>
      <c r="Y259" s="2">
        <v>45073</v>
      </c>
      <c r="Z259">
        <v>124</v>
      </c>
    </row>
    <row r="260" spans="1:26">
      <c r="A260" s="68" t="s">
        <v>1234</v>
      </c>
      <c r="B260" s="1">
        <v>201922587</v>
      </c>
      <c r="C260" s="1" t="s">
        <v>286</v>
      </c>
      <c r="D260" s="1" t="s">
        <v>1235</v>
      </c>
      <c r="E260" s="1" t="s">
        <v>1236</v>
      </c>
      <c r="F260" s="1" t="s">
        <v>216</v>
      </c>
      <c r="G260" s="1" t="s">
        <v>246</v>
      </c>
      <c r="H260" s="1"/>
      <c r="I260" s="1"/>
      <c r="J260" s="1" t="s">
        <v>247</v>
      </c>
      <c r="K260" s="1">
        <v>2023</v>
      </c>
      <c r="L260" s="1">
        <v>202310</v>
      </c>
      <c r="M260" s="1">
        <v>202310</v>
      </c>
      <c r="N260" s="1" t="s">
        <v>248</v>
      </c>
      <c r="O260" s="1" t="s">
        <v>213</v>
      </c>
      <c r="P260" s="1" t="s">
        <v>249</v>
      </c>
      <c r="Q260" s="1" t="s">
        <v>216</v>
      </c>
      <c r="R260" s="1" t="s">
        <v>246</v>
      </c>
      <c r="S260" s="1" t="s">
        <v>536</v>
      </c>
      <c r="T260" s="70" t="str">
        <f>_xlfn.XLOOKUP(Tabla1[[#This Row],[Universidad]],Conversiones!$B:$B,Conversiones!$C:$C)</f>
        <v>NUCB- Nagoya University of commerce and business</v>
      </c>
      <c r="U260" s="70" t="str">
        <f>_xlfn.XLOOKUP(Tabla1[[#This Row],[Universidad KPIs]],Conversiones!$C:$C,Conversiones!$E:$E)</f>
        <v>Específico</v>
      </c>
      <c r="V260" s="1" t="s">
        <v>85</v>
      </c>
      <c r="W260" s="1" t="s">
        <v>537</v>
      </c>
      <c r="X260" s="55">
        <v>44949</v>
      </c>
      <c r="Y260" s="55">
        <v>45073</v>
      </c>
      <c r="Z260" s="1">
        <v>124</v>
      </c>
    </row>
    <row r="261" spans="1:26">
      <c r="A261" s="67" t="s">
        <v>1237</v>
      </c>
      <c r="B261">
        <v>201819983</v>
      </c>
      <c r="C261" t="s">
        <v>961</v>
      </c>
      <c r="D261" t="s">
        <v>1238</v>
      </c>
      <c r="E261" t="s">
        <v>1239</v>
      </c>
      <c r="F261" t="s">
        <v>216</v>
      </c>
      <c r="G261" t="s">
        <v>246</v>
      </c>
      <c r="J261" t="s">
        <v>247</v>
      </c>
      <c r="K261">
        <v>2023</v>
      </c>
      <c r="L261">
        <v>202310</v>
      </c>
      <c r="M261">
        <v>202310</v>
      </c>
      <c r="N261" t="s">
        <v>248</v>
      </c>
      <c r="O261" t="s">
        <v>213</v>
      </c>
      <c r="P261" t="s">
        <v>249</v>
      </c>
      <c r="Q261" t="s">
        <v>216</v>
      </c>
      <c r="R261" t="s">
        <v>246</v>
      </c>
      <c r="S261" t="s">
        <v>255</v>
      </c>
      <c r="T261" s="70" t="str">
        <f>_xlfn.XLOOKUP(Tabla1[[#This Row],[Universidad]],Conversiones!$B:$B,Conversiones!$C:$C)</f>
        <v>ESC Rouen (NEOMA)</v>
      </c>
      <c r="U261" s="70" t="str">
        <f>_xlfn.XLOOKUP(Tabla1[[#This Row],[Universidad KPIs]],Conversiones!$C:$C,Conversiones!$E:$E)</f>
        <v>Específico</v>
      </c>
      <c r="V261" t="s">
        <v>41</v>
      </c>
      <c r="W261" t="s">
        <v>250</v>
      </c>
      <c r="X261" s="2">
        <v>44949</v>
      </c>
      <c r="Y261" s="2">
        <v>45073</v>
      </c>
      <c r="Z261">
        <v>124</v>
      </c>
    </row>
    <row r="262" spans="1:26">
      <c r="A262" s="68" t="s">
        <v>1240</v>
      </c>
      <c r="B262" s="1">
        <v>201922763</v>
      </c>
      <c r="C262" s="1" t="s">
        <v>468</v>
      </c>
      <c r="D262" s="1" t="s">
        <v>1241</v>
      </c>
      <c r="E262" s="1" t="s">
        <v>1242</v>
      </c>
      <c r="F262" s="1" t="s">
        <v>216</v>
      </c>
      <c r="G262" s="1" t="s">
        <v>246</v>
      </c>
      <c r="H262" s="1"/>
      <c r="I262" s="1"/>
      <c r="J262" s="1" t="s">
        <v>247</v>
      </c>
      <c r="K262" s="1">
        <v>2023</v>
      </c>
      <c r="L262" s="1">
        <v>202310</v>
      </c>
      <c r="M262" s="1">
        <v>202310</v>
      </c>
      <c r="N262" s="1" t="s">
        <v>248</v>
      </c>
      <c r="O262" s="1" t="s">
        <v>213</v>
      </c>
      <c r="P262" s="1" t="s">
        <v>249</v>
      </c>
      <c r="Q262" s="1" t="s">
        <v>216</v>
      </c>
      <c r="R262" s="1" t="s">
        <v>246</v>
      </c>
      <c r="S262" s="1" t="s">
        <v>255</v>
      </c>
      <c r="T262" s="70" t="str">
        <f>_xlfn.XLOOKUP(Tabla1[[#This Row],[Universidad]],Conversiones!$B:$B,Conversiones!$C:$C)</f>
        <v>ESC Rouen (NEOMA)</v>
      </c>
      <c r="U262" s="70" t="str">
        <f>_xlfn.XLOOKUP(Tabla1[[#This Row],[Universidad KPIs]],Conversiones!$C:$C,Conversiones!$E:$E)</f>
        <v>Específico</v>
      </c>
      <c r="V262" s="1" t="s">
        <v>41</v>
      </c>
      <c r="W262" s="1" t="s">
        <v>250</v>
      </c>
      <c r="X262" s="55">
        <v>44949</v>
      </c>
      <c r="Y262" s="55">
        <v>45073</v>
      </c>
      <c r="Z262" s="1">
        <v>124</v>
      </c>
    </row>
    <row r="263" spans="1:26">
      <c r="A263" s="67" t="s">
        <v>1243</v>
      </c>
      <c r="B263">
        <v>201914203</v>
      </c>
      <c r="C263" t="s">
        <v>300</v>
      </c>
      <c r="D263" t="s">
        <v>1244</v>
      </c>
      <c r="E263" t="s">
        <v>1245</v>
      </c>
      <c r="F263" t="s">
        <v>216</v>
      </c>
      <c r="G263" t="s">
        <v>246</v>
      </c>
      <c r="H263" t="s">
        <v>512</v>
      </c>
      <c r="I263" t="s">
        <v>513</v>
      </c>
      <c r="J263" t="s">
        <v>247</v>
      </c>
      <c r="K263">
        <v>2023</v>
      </c>
      <c r="L263">
        <v>202310</v>
      </c>
      <c r="M263">
        <v>202310</v>
      </c>
      <c r="N263" t="s">
        <v>248</v>
      </c>
      <c r="O263" t="s">
        <v>213</v>
      </c>
      <c r="P263" t="s">
        <v>249</v>
      </c>
      <c r="Q263" t="s">
        <v>216</v>
      </c>
      <c r="R263" t="s">
        <v>246</v>
      </c>
      <c r="S263" t="s">
        <v>255</v>
      </c>
      <c r="T263" s="70" t="str">
        <f>_xlfn.XLOOKUP(Tabla1[[#This Row],[Universidad]],Conversiones!$B:$B,Conversiones!$C:$C)</f>
        <v>ESC Rouen (NEOMA)</v>
      </c>
      <c r="U263" s="70" t="str">
        <f>_xlfn.XLOOKUP(Tabla1[[#This Row],[Universidad KPIs]],Conversiones!$C:$C,Conversiones!$E:$E)</f>
        <v>Específico</v>
      </c>
      <c r="V263" t="s">
        <v>41</v>
      </c>
      <c r="W263" t="s">
        <v>250</v>
      </c>
      <c r="X263" s="2">
        <v>44949</v>
      </c>
      <c r="Y263" s="2">
        <v>45073</v>
      </c>
      <c r="Z263">
        <v>124</v>
      </c>
    </row>
    <row r="264" spans="1:26">
      <c r="A264" s="68" t="s">
        <v>1246</v>
      </c>
      <c r="B264" s="1">
        <v>201822094</v>
      </c>
      <c r="C264" s="1" t="s">
        <v>740</v>
      </c>
      <c r="D264" s="1" t="s">
        <v>1247</v>
      </c>
      <c r="E264" s="1" t="s">
        <v>1248</v>
      </c>
      <c r="F264" s="1" t="s">
        <v>460</v>
      </c>
      <c r="G264" s="1" t="s">
        <v>461</v>
      </c>
      <c r="H264" s="1" t="s">
        <v>216</v>
      </c>
      <c r="I264" s="1" t="s">
        <v>246</v>
      </c>
      <c r="J264" s="1" t="s">
        <v>247</v>
      </c>
      <c r="K264" s="1">
        <v>2023</v>
      </c>
      <c r="L264" s="1">
        <v>202310</v>
      </c>
      <c r="M264" s="1">
        <v>202310</v>
      </c>
      <c r="N264" s="1" t="s">
        <v>248</v>
      </c>
      <c r="O264" s="1" t="s">
        <v>213</v>
      </c>
      <c r="P264" s="1" t="s">
        <v>249</v>
      </c>
      <c r="Q264" s="1" t="s">
        <v>216</v>
      </c>
      <c r="R264" s="1" t="s">
        <v>246</v>
      </c>
      <c r="S264" s="1" t="s">
        <v>132</v>
      </c>
      <c r="T264" s="70" t="str">
        <f>_xlfn.XLOOKUP(Tabla1[[#This Row],[Universidad]],Conversiones!$B:$B,Conversiones!$C:$C)</f>
        <v>Northumbria University, Newcastle</v>
      </c>
      <c r="U264" s="70" t="str">
        <f>_xlfn.XLOOKUP(Tabla1[[#This Row],[Universidad KPIs]],Conversiones!$C:$C,Conversiones!$E:$E)</f>
        <v>General</v>
      </c>
      <c r="V264" s="1" t="s">
        <v>39</v>
      </c>
      <c r="W264" s="1" t="s">
        <v>250</v>
      </c>
      <c r="X264" s="55">
        <v>44949</v>
      </c>
      <c r="Y264" s="55">
        <v>45073</v>
      </c>
      <c r="Z264" s="1">
        <v>124</v>
      </c>
    </row>
    <row r="265" spans="1:26">
      <c r="A265" s="67" t="s">
        <v>1249</v>
      </c>
      <c r="B265">
        <v>202022371</v>
      </c>
      <c r="C265" t="s">
        <v>503</v>
      </c>
      <c r="D265" t="s">
        <v>1250</v>
      </c>
      <c r="E265" t="s">
        <v>1251</v>
      </c>
      <c r="F265" t="s">
        <v>216</v>
      </c>
      <c r="G265" t="s">
        <v>246</v>
      </c>
      <c r="J265" t="s">
        <v>247</v>
      </c>
      <c r="K265">
        <v>2023</v>
      </c>
      <c r="L265">
        <v>202310</v>
      </c>
      <c r="M265">
        <v>202310</v>
      </c>
      <c r="N265" t="s">
        <v>248</v>
      </c>
      <c r="O265" t="s">
        <v>213</v>
      </c>
      <c r="P265" t="s">
        <v>249</v>
      </c>
      <c r="Q265" t="s">
        <v>216</v>
      </c>
      <c r="R265" t="s">
        <v>246</v>
      </c>
      <c r="S265" t="s">
        <v>536</v>
      </c>
      <c r="T265" s="70" t="str">
        <f>_xlfn.XLOOKUP(Tabla1[[#This Row],[Universidad]],Conversiones!$B:$B,Conversiones!$C:$C)</f>
        <v>NUCB- Nagoya University of commerce and business</v>
      </c>
      <c r="U265" s="70" t="str">
        <f>_xlfn.XLOOKUP(Tabla1[[#This Row],[Universidad KPIs]],Conversiones!$C:$C,Conversiones!$E:$E)</f>
        <v>Específico</v>
      </c>
      <c r="V265" t="s">
        <v>85</v>
      </c>
      <c r="W265" t="s">
        <v>537</v>
      </c>
      <c r="X265" s="2">
        <v>44949</v>
      </c>
      <c r="Y265" s="2">
        <v>45073</v>
      </c>
      <c r="Z265">
        <v>124</v>
      </c>
    </row>
    <row r="266" spans="1:26">
      <c r="A266" s="68" t="s">
        <v>1252</v>
      </c>
      <c r="B266" s="1">
        <v>201912995</v>
      </c>
      <c r="C266" s="1" t="s">
        <v>421</v>
      </c>
      <c r="D266" s="1" t="s">
        <v>1253</v>
      </c>
      <c r="E266" s="1" t="s">
        <v>1254</v>
      </c>
      <c r="F266" s="1" t="s">
        <v>216</v>
      </c>
      <c r="G266" s="1" t="s">
        <v>246</v>
      </c>
      <c r="H266" s="1"/>
      <c r="I266" s="1"/>
      <c r="J266" s="1" t="s">
        <v>247</v>
      </c>
      <c r="K266" s="1">
        <v>2023</v>
      </c>
      <c r="L266" s="1">
        <v>202310</v>
      </c>
      <c r="M266" s="1">
        <v>202310</v>
      </c>
      <c r="N266" s="1" t="s">
        <v>248</v>
      </c>
      <c r="O266" s="1" t="s">
        <v>213</v>
      </c>
      <c r="P266" s="1" t="s">
        <v>249</v>
      </c>
      <c r="Q266" s="1" t="s">
        <v>216</v>
      </c>
      <c r="R266" s="1" t="s">
        <v>246</v>
      </c>
      <c r="S266" s="1" t="s">
        <v>86</v>
      </c>
      <c r="T266" s="70" t="str">
        <f>_xlfn.XLOOKUP(Tabla1[[#This Row],[Universidad]],Conversiones!$B:$B,Conversiones!$C:$C)</f>
        <v>Politecnico di Milano</v>
      </c>
      <c r="U266" s="70" t="str">
        <f>_xlfn.XLOOKUP(Tabla1[[#This Row],[Universidad KPIs]],Conversiones!$C:$C,Conversiones!$E:$E)</f>
        <v>Específico</v>
      </c>
      <c r="V266" s="1" t="s">
        <v>87</v>
      </c>
      <c r="W266" s="1" t="s">
        <v>250</v>
      </c>
      <c r="X266" s="55">
        <v>44949</v>
      </c>
      <c r="Y266" s="55">
        <v>45073</v>
      </c>
      <c r="Z266" s="1">
        <v>124</v>
      </c>
    </row>
    <row r="267" spans="1:26">
      <c r="A267" s="67" t="s">
        <v>1255</v>
      </c>
      <c r="B267">
        <v>201822237</v>
      </c>
      <c r="C267" t="s">
        <v>1256</v>
      </c>
      <c r="D267" t="s">
        <v>1257</v>
      </c>
      <c r="E267" t="s">
        <v>1258</v>
      </c>
      <c r="F267" t="s">
        <v>216</v>
      </c>
      <c r="G267" t="s">
        <v>246</v>
      </c>
      <c r="H267" t="s">
        <v>460</v>
      </c>
      <c r="I267" t="s">
        <v>461</v>
      </c>
      <c r="J267" t="s">
        <v>247</v>
      </c>
      <c r="K267">
        <v>2023</v>
      </c>
      <c r="L267">
        <v>202310</v>
      </c>
      <c r="M267">
        <v>202310</v>
      </c>
      <c r="N267" t="s">
        <v>248</v>
      </c>
      <c r="O267" t="s">
        <v>213</v>
      </c>
      <c r="P267" t="s">
        <v>249</v>
      </c>
      <c r="Q267" t="s">
        <v>216</v>
      </c>
      <c r="R267" t="s">
        <v>246</v>
      </c>
      <c r="S267" t="s">
        <v>86</v>
      </c>
      <c r="T267" s="70" t="str">
        <f>_xlfn.XLOOKUP(Tabla1[[#This Row],[Universidad]],Conversiones!$B:$B,Conversiones!$C:$C)</f>
        <v>Politecnico di Milano</v>
      </c>
      <c r="U267" s="70" t="str">
        <f>_xlfn.XLOOKUP(Tabla1[[#This Row],[Universidad KPIs]],Conversiones!$C:$C,Conversiones!$E:$E)</f>
        <v>Específico</v>
      </c>
      <c r="V267" t="s">
        <v>87</v>
      </c>
      <c r="W267" t="s">
        <v>250</v>
      </c>
      <c r="X267" s="2">
        <v>44949</v>
      </c>
      <c r="Y267" s="2">
        <v>45073</v>
      </c>
      <c r="Z267">
        <v>124</v>
      </c>
    </row>
    <row r="268" spans="1:26">
      <c r="A268" s="68" t="s">
        <v>1259</v>
      </c>
      <c r="B268" s="1">
        <v>201913968</v>
      </c>
      <c r="C268" s="1" t="s">
        <v>1150</v>
      </c>
      <c r="D268" s="1" t="s">
        <v>1260</v>
      </c>
      <c r="E268" s="1" t="s">
        <v>1261</v>
      </c>
      <c r="F268" s="1" t="s">
        <v>216</v>
      </c>
      <c r="G268" s="1" t="s">
        <v>246</v>
      </c>
      <c r="H268" s="1"/>
      <c r="I268" s="1"/>
      <c r="J268" s="1" t="s">
        <v>247</v>
      </c>
      <c r="K268" s="1">
        <v>2023</v>
      </c>
      <c r="L268" s="1">
        <v>202310</v>
      </c>
      <c r="M268" s="1">
        <v>202310</v>
      </c>
      <c r="N268" s="1" t="s">
        <v>248</v>
      </c>
      <c r="O268" s="1" t="s">
        <v>213</v>
      </c>
      <c r="P268" s="1" t="s">
        <v>249</v>
      </c>
      <c r="Q268" s="1" t="s">
        <v>216</v>
      </c>
      <c r="R268" s="1" t="s">
        <v>246</v>
      </c>
      <c r="S268" s="1" t="s">
        <v>86</v>
      </c>
      <c r="T268" s="70" t="str">
        <f>_xlfn.XLOOKUP(Tabla1[[#This Row],[Universidad]],Conversiones!$B:$B,Conversiones!$C:$C)</f>
        <v>Politecnico di Milano</v>
      </c>
      <c r="U268" s="70" t="str">
        <f>_xlfn.XLOOKUP(Tabla1[[#This Row],[Universidad KPIs]],Conversiones!$C:$C,Conversiones!$E:$E)</f>
        <v>Específico</v>
      </c>
      <c r="V268" s="1" t="s">
        <v>87</v>
      </c>
      <c r="W268" s="1" t="s">
        <v>250</v>
      </c>
      <c r="X268" s="55">
        <v>44949</v>
      </c>
      <c r="Y268" s="55">
        <v>45073</v>
      </c>
      <c r="Z268" s="1">
        <v>124</v>
      </c>
    </row>
    <row r="269" spans="1:26">
      <c r="A269" s="67" t="s">
        <v>1262</v>
      </c>
      <c r="B269">
        <v>201913892</v>
      </c>
      <c r="C269" t="s">
        <v>1263</v>
      </c>
      <c r="D269" t="s">
        <v>1264</v>
      </c>
      <c r="E269" t="s">
        <v>1265</v>
      </c>
      <c r="F269" t="s">
        <v>216</v>
      </c>
      <c r="G269" t="s">
        <v>246</v>
      </c>
      <c r="J269" t="s">
        <v>247</v>
      </c>
      <c r="K269">
        <v>2023</v>
      </c>
      <c r="L269">
        <v>202310</v>
      </c>
      <c r="M269">
        <v>202310</v>
      </c>
      <c r="N269" t="s">
        <v>248</v>
      </c>
      <c r="O269" t="s">
        <v>213</v>
      </c>
      <c r="P269" t="s">
        <v>834</v>
      </c>
      <c r="Q269" t="s">
        <v>216</v>
      </c>
      <c r="R269" t="s">
        <v>246</v>
      </c>
      <c r="S269" t="s">
        <v>134</v>
      </c>
      <c r="T269" s="70" t="str">
        <f>_xlfn.XLOOKUP(Tabla1[[#This Row],[Universidad]],Conversiones!$B:$B,Conversiones!$C:$C)</f>
        <v>Pontificia Universidad Católica del Perú</v>
      </c>
      <c r="U269" s="70" t="str">
        <f>_xlfn.XLOOKUP(Tabla1[[#This Row],[Universidad KPIs]],Conversiones!$C:$C,Conversiones!$E:$E)</f>
        <v>General</v>
      </c>
      <c r="V269" t="s">
        <v>96</v>
      </c>
      <c r="W269" t="s">
        <v>265</v>
      </c>
      <c r="X269" s="2">
        <v>44949</v>
      </c>
      <c r="Y269" s="2">
        <v>45073</v>
      </c>
      <c r="Z269">
        <v>124</v>
      </c>
    </row>
    <row r="270" spans="1:26">
      <c r="A270" s="68" t="s">
        <v>1266</v>
      </c>
      <c r="B270" s="1">
        <v>202022187</v>
      </c>
      <c r="C270" s="1" t="s">
        <v>1267</v>
      </c>
      <c r="D270" s="1" t="s">
        <v>1268</v>
      </c>
      <c r="E270" s="1" t="s">
        <v>1269</v>
      </c>
      <c r="F270" s="1" t="s">
        <v>216</v>
      </c>
      <c r="G270" s="1" t="s">
        <v>246</v>
      </c>
      <c r="H270" s="1"/>
      <c r="I270" s="1"/>
      <c r="J270" s="1" t="s">
        <v>247</v>
      </c>
      <c r="K270" s="1">
        <v>2023</v>
      </c>
      <c r="L270" s="1">
        <v>202310</v>
      </c>
      <c r="M270" s="1">
        <v>202310</v>
      </c>
      <c r="N270" s="1" t="s">
        <v>248</v>
      </c>
      <c r="O270" s="1" t="s">
        <v>213</v>
      </c>
      <c r="P270" s="1" t="s">
        <v>249</v>
      </c>
      <c r="Q270" s="1" t="s">
        <v>216</v>
      </c>
      <c r="R270" s="1" t="s">
        <v>246</v>
      </c>
      <c r="S270" s="1" t="s">
        <v>738</v>
      </c>
      <c r="T270" s="70" t="str">
        <f>_xlfn.XLOOKUP(Tabla1[[#This Row],[Universidad]],Conversiones!$B:$B,Conversiones!$C:$C)</f>
        <v>Universidad de Tilburg</v>
      </c>
      <c r="U270" s="70" t="str">
        <f>_xlfn.XLOOKUP(Tabla1[[#This Row],[Universidad KPIs]],Conversiones!$C:$C,Conversiones!$E:$E)</f>
        <v>Específico</v>
      </c>
      <c r="V270" s="1" t="s">
        <v>79</v>
      </c>
      <c r="W270" s="1" t="s">
        <v>250</v>
      </c>
      <c r="X270" s="55">
        <v>44949</v>
      </c>
      <c r="Y270" s="55">
        <v>45073</v>
      </c>
      <c r="Z270" s="1">
        <v>124</v>
      </c>
    </row>
    <row r="271" spans="1:26">
      <c r="A271" s="67" t="s">
        <v>1270</v>
      </c>
      <c r="B271">
        <v>201922091</v>
      </c>
      <c r="C271" t="s">
        <v>1271</v>
      </c>
      <c r="D271" t="s">
        <v>1272</v>
      </c>
      <c r="E271" t="s">
        <v>1273</v>
      </c>
      <c r="F271" t="s">
        <v>216</v>
      </c>
      <c r="G271" t="s">
        <v>246</v>
      </c>
      <c r="J271" t="s">
        <v>247</v>
      </c>
      <c r="K271">
        <v>2023</v>
      </c>
      <c r="L271">
        <v>202310</v>
      </c>
      <c r="M271">
        <v>202310</v>
      </c>
      <c r="N271" t="s">
        <v>248</v>
      </c>
      <c r="O271" t="s">
        <v>213</v>
      </c>
      <c r="P271" t="s">
        <v>249</v>
      </c>
      <c r="Q271" t="s">
        <v>216</v>
      </c>
      <c r="R271" t="s">
        <v>246</v>
      </c>
      <c r="S271" t="s">
        <v>279</v>
      </c>
      <c r="T271" s="70" t="str">
        <f>_xlfn.XLOOKUP(Tabla1[[#This Row],[Universidad]],Conversiones!$B:$B,Conversiones!$C:$C)</f>
        <v>Toulouse Business School</v>
      </c>
      <c r="U271" s="70" t="str">
        <f>_xlfn.XLOOKUP(Tabla1[[#This Row],[Universidad KPIs]],Conversiones!$C:$C,Conversiones!$E:$E)</f>
        <v>Específico</v>
      </c>
      <c r="V271" t="s">
        <v>41</v>
      </c>
      <c r="W271" t="s">
        <v>250</v>
      </c>
      <c r="X271" s="2">
        <v>44949</v>
      </c>
      <c r="Y271" s="2">
        <v>45073</v>
      </c>
      <c r="Z271">
        <v>124</v>
      </c>
    </row>
    <row r="272" spans="1:26">
      <c r="A272" s="68" t="s">
        <v>1274</v>
      </c>
      <c r="B272" s="1">
        <v>201711058</v>
      </c>
      <c r="C272" s="1" t="s">
        <v>376</v>
      </c>
      <c r="D272" s="1" t="s">
        <v>1275</v>
      </c>
      <c r="E272" s="1" t="s">
        <v>1276</v>
      </c>
      <c r="F272" s="1" t="s">
        <v>216</v>
      </c>
      <c r="G272" s="1" t="s">
        <v>246</v>
      </c>
      <c r="H272" s="1"/>
      <c r="I272" s="1"/>
      <c r="J272" s="1" t="s">
        <v>247</v>
      </c>
      <c r="K272" s="1">
        <v>2023</v>
      </c>
      <c r="L272" s="1">
        <v>202310</v>
      </c>
      <c r="M272" s="1">
        <v>202310</v>
      </c>
      <c r="N272" s="1" t="s">
        <v>248</v>
      </c>
      <c r="O272" s="1" t="s">
        <v>213</v>
      </c>
      <c r="P272" s="1" t="s">
        <v>249</v>
      </c>
      <c r="Q272" s="1" t="s">
        <v>216</v>
      </c>
      <c r="R272" s="1" t="s">
        <v>246</v>
      </c>
      <c r="S272" s="1" t="s">
        <v>279</v>
      </c>
      <c r="T272" s="70" t="str">
        <f>_xlfn.XLOOKUP(Tabla1[[#This Row],[Universidad]],Conversiones!$B:$B,Conversiones!$C:$C)</f>
        <v>Toulouse Business School</v>
      </c>
      <c r="U272" s="70" t="str">
        <f>_xlfn.XLOOKUP(Tabla1[[#This Row],[Universidad KPIs]],Conversiones!$C:$C,Conversiones!$E:$E)</f>
        <v>Específico</v>
      </c>
      <c r="V272" s="1" t="s">
        <v>41</v>
      </c>
      <c r="W272" s="1" t="s">
        <v>250</v>
      </c>
      <c r="X272" s="55">
        <v>44949</v>
      </c>
      <c r="Y272" s="55">
        <v>45073</v>
      </c>
      <c r="Z272" s="1">
        <v>124</v>
      </c>
    </row>
    <row r="273" spans="1:26">
      <c r="A273" s="67" t="s">
        <v>1277</v>
      </c>
      <c r="B273">
        <v>202013791</v>
      </c>
      <c r="C273" t="s">
        <v>569</v>
      </c>
      <c r="D273" t="s">
        <v>1278</v>
      </c>
      <c r="E273" t="s">
        <v>1279</v>
      </c>
      <c r="F273" t="s">
        <v>216</v>
      </c>
      <c r="G273" t="s">
        <v>246</v>
      </c>
      <c r="H273" t="s">
        <v>617</v>
      </c>
      <c r="I273" t="s">
        <v>618</v>
      </c>
      <c r="J273" t="s">
        <v>247</v>
      </c>
      <c r="K273">
        <v>2023</v>
      </c>
      <c r="L273">
        <v>202310</v>
      </c>
      <c r="M273">
        <v>202310</v>
      </c>
      <c r="N273" t="s">
        <v>248</v>
      </c>
      <c r="O273" t="s">
        <v>213</v>
      </c>
      <c r="P273" t="s">
        <v>249</v>
      </c>
      <c r="Q273" t="s">
        <v>216</v>
      </c>
      <c r="R273" t="s">
        <v>246</v>
      </c>
      <c r="S273" t="s">
        <v>279</v>
      </c>
      <c r="T273" s="70" t="str">
        <f>_xlfn.XLOOKUP(Tabla1[[#This Row],[Universidad]],Conversiones!$B:$B,Conversiones!$C:$C)</f>
        <v>Toulouse Business School</v>
      </c>
      <c r="U273" s="70" t="str">
        <f>_xlfn.XLOOKUP(Tabla1[[#This Row],[Universidad KPIs]],Conversiones!$C:$C,Conversiones!$E:$E)</f>
        <v>Específico</v>
      </c>
      <c r="V273" t="s">
        <v>41</v>
      </c>
      <c r="W273" t="s">
        <v>250</v>
      </c>
      <c r="X273" s="2">
        <v>44949</v>
      </c>
      <c r="Y273" s="2">
        <v>45073</v>
      </c>
      <c r="Z273">
        <v>124</v>
      </c>
    </row>
    <row r="274" spans="1:26">
      <c r="A274" s="68" t="s">
        <v>1280</v>
      </c>
      <c r="B274" s="1">
        <v>201922227</v>
      </c>
      <c r="C274" s="1" t="s">
        <v>1281</v>
      </c>
      <c r="D274" s="1" t="s">
        <v>1282</v>
      </c>
      <c r="E274" s="1" t="s">
        <v>1283</v>
      </c>
      <c r="F274" s="1" t="s">
        <v>216</v>
      </c>
      <c r="G274" s="1" t="s">
        <v>246</v>
      </c>
      <c r="H274" s="1"/>
      <c r="I274" s="1"/>
      <c r="J274" s="1" t="s">
        <v>247</v>
      </c>
      <c r="K274" s="1">
        <v>2023</v>
      </c>
      <c r="L274" s="1">
        <v>202310</v>
      </c>
      <c r="M274" s="1">
        <v>202310</v>
      </c>
      <c r="N274" s="1" t="s">
        <v>248</v>
      </c>
      <c r="O274" s="1" t="s">
        <v>213</v>
      </c>
      <c r="P274" s="1" t="s">
        <v>249</v>
      </c>
      <c r="Q274" s="1" t="s">
        <v>216</v>
      </c>
      <c r="R274" s="1" t="s">
        <v>246</v>
      </c>
      <c r="S274" s="1" t="s">
        <v>341</v>
      </c>
      <c r="T274" s="70" t="str">
        <f>_xlfn.XLOOKUP(Tabla1[[#This Row],[Universidad]],Conversiones!$B:$B,Conversiones!$C:$C)</f>
        <v>A.B. Freeman School of Business, Tulane University</v>
      </c>
      <c r="U274" s="70" t="str">
        <f>_xlfn.XLOOKUP(Tabla1[[#This Row],[Universidad KPIs]],Conversiones!$C:$C,Conversiones!$E:$E)</f>
        <v>Específico</v>
      </c>
      <c r="V274" s="1" t="s">
        <v>35</v>
      </c>
      <c r="W274" s="1" t="s">
        <v>260</v>
      </c>
      <c r="X274" s="55">
        <v>44949</v>
      </c>
      <c r="Y274" s="55">
        <v>45073</v>
      </c>
      <c r="Z274" s="1">
        <v>124</v>
      </c>
    </row>
    <row r="275" spans="1:26">
      <c r="A275" s="67" t="s">
        <v>1284</v>
      </c>
      <c r="B275">
        <v>201913646</v>
      </c>
      <c r="C275" t="s">
        <v>1285</v>
      </c>
      <c r="D275" t="s">
        <v>1286</v>
      </c>
      <c r="E275" t="s">
        <v>1287</v>
      </c>
      <c r="F275" t="s">
        <v>460</v>
      </c>
      <c r="G275" t="s">
        <v>461</v>
      </c>
      <c r="H275" t="s">
        <v>216</v>
      </c>
      <c r="I275" t="s">
        <v>246</v>
      </c>
      <c r="J275" t="s">
        <v>247</v>
      </c>
      <c r="K275">
        <v>2023</v>
      </c>
      <c r="L275">
        <v>202310</v>
      </c>
      <c r="M275">
        <v>202310</v>
      </c>
      <c r="N275" t="s">
        <v>248</v>
      </c>
      <c r="O275" t="s">
        <v>213</v>
      </c>
      <c r="P275" t="s">
        <v>249</v>
      </c>
      <c r="Q275" t="s">
        <v>216</v>
      </c>
      <c r="R275" t="s">
        <v>246</v>
      </c>
      <c r="S275" t="s">
        <v>341</v>
      </c>
      <c r="T275" s="70" t="str">
        <f>_xlfn.XLOOKUP(Tabla1[[#This Row],[Universidad]],Conversiones!$B:$B,Conversiones!$C:$C)</f>
        <v>A.B. Freeman School of Business, Tulane University</v>
      </c>
      <c r="U275" s="70" t="str">
        <f>_xlfn.XLOOKUP(Tabla1[[#This Row],[Universidad KPIs]],Conversiones!$C:$C,Conversiones!$E:$E)</f>
        <v>Específico</v>
      </c>
      <c r="V275" t="s">
        <v>35</v>
      </c>
      <c r="W275" t="s">
        <v>260</v>
      </c>
      <c r="X275" s="2">
        <v>44949</v>
      </c>
      <c r="Y275" s="2">
        <v>45073</v>
      </c>
      <c r="Z275">
        <v>124</v>
      </c>
    </row>
    <row r="276" spans="1:26">
      <c r="A276" s="68" t="s">
        <v>1288</v>
      </c>
      <c r="B276" s="1">
        <v>201922840</v>
      </c>
      <c r="C276" s="1" t="s">
        <v>922</v>
      </c>
      <c r="D276" s="1" t="s">
        <v>1289</v>
      </c>
      <c r="E276" s="1" t="s">
        <v>1290</v>
      </c>
      <c r="F276" s="1" t="s">
        <v>216</v>
      </c>
      <c r="G276" s="1" t="s">
        <v>246</v>
      </c>
      <c r="H276" s="1"/>
      <c r="I276" s="1"/>
      <c r="J276" s="1" t="s">
        <v>247</v>
      </c>
      <c r="K276" s="1">
        <v>2023</v>
      </c>
      <c r="L276" s="1">
        <v>202310</v>
      </c>
      <c r="M276" s="1">
        <v>202310</v>
      </c>
      <c r="N276" s="1" t="s">
        <v>248</v>
      </c>
      <c r="O276" s="1" t="s">
        <v>213</v>
      </c>
      <c r="P276" s="1" t="s">
        <v>249</v>
      </c>
      <c r="Q276" s="1" t="s">
        <v>216</v>
      </c>
      <c r="R276" s="1" t="s">
        <v>246</v>
      </c>
      <c r="S276" s="1" t="s">
        <v>341</v>
      </c>
      <c r="T276" s="70" t="str">
        <f>_xlfn.XLOOKUP(Tabla1[[#This Row],[Universidad]],Conversiones!$B:$B,Conversiones!$C:$C)</f>
        <v>A.B. Freeman School of Business, Tulane University</v>
      </c>
      <c r="U276" s="70" t="str">
        <f>_xlfn.XLOOKUP(Tabla1[[#This Row],[Universidad KPIs]],Conversiones!$C:$C,Conversiones!$E:$E)</f>
        <v>Específico</v>
      </c>
      <c r="V276" s="1" t="s">
        <v>35</v>
      </c>
      <c r="W276" s="1" t="s">
        <v>260</v>
      </c>
      <c r="X276" s="55">
        <v>44949</v>
      </c>
      <c r="Y276" s="55">
        <v>45073</v>
      </c>
      <c r="Z276" s="1">
        <v>124</v>
      </c>
    </row>
    <row r="277" spans="1:26">
      <c r="A277" s="67" t="s">
        <v>1291</v>
      </c>
      <c r="B277">
        <v>201720451</v>
      </c>
      <c r="C277" t="s">
        <v>1292</v>
      </c>
      <c r="D277" t="s">
        <v>1293</v>
      </c>
      <c r="E277" t="s">
        <v>1294</v>
      </c>
      <c r="F277" t="s">
        <v>1295</v>
      </c>
      <c r="G277" t="s">
        <v>995</v>
      </c>
      <c r="H277" t="s">
        <v>216</v>
      </c>
      <c r="I277" t="s">
        <v>246</v>
      </c>
      <c r="J277" t="s">
        <v>247</v>
      </c>
      <c r="K277">
        <v>2023</v>
      </c>
      <c r="L277">
        <v>202310</v>
      </c>
      <c r="M277">
        <v>202310</v>
      </c>
      <c r="N277" t="s">
        <v>248</v>
      </c>
      <c r="O277" t="s">
        <v>213</v>
      </c>
      <c r="P277" t="s">
        <v>834</v>
      </c>
      <c r="Q277" t="s">
        <v>216</v>
      </c>
      <c r="R277" t="s">
        <v>246</v>
      </c>
      <c r="S277" t="s">
        <v>144</v>
      </c>
      <c r="T277" s="70" t="str">
        <f>_xlfn.XLOOKUP(Tabla1[[#This Row],[Universidad]],Conversiones!$B:$B,Conversiones!$C:$C)</f>
        <v>Universidad de Cantabria</v>
      </c>
      <c r="U277" s="70" t="str">
        <f>_xlfn.XLOOKUP(Tabla1[[#This Row],[Universidad KPIs]],Conversiones!$C:$C,Conversiones!$E:$E)</f>
        <v>General</v>
      </c>
      <c r="V277" t="s">
        <v>53</v>
      </c>
      <c r="W277" t="s">
        <v>250</v>
      </c>
      <c r="X277" s="2">
        <v>44949</v>
      </c>
      <c r="Y277" s="2">
        <v>45073</v>
      </c>
      <c r="Z277">
        <v>124</v>
      </c>
    </row>
    <row r="278" spans="1:26">
      <c r="A278" s="68" t="s">
        <v>1296</v>
      </c>
      <c r="B278" s="1">
        <v>201820804</v>
      </c>
      <c r="C278" s="1" t="s">
        <v>703</v>
      </c>
      <c r="D278" s="1" t="s">
        <v>1297</v>
      </c>
      <c r="E278" s="1" t="s">
        <v>1298</v>
      </c>
      <c r="F278" s="1" t="s">
        <v>216</v>
      </c>
      <c r="G278" s="1" t="s">
        <v>246</v>
      </c>
      <c r="H278" s="1"/>
      <c r="I278" s="1"/>
      <c r="J278" s="1" t="s">
        <v>247</v>
      </c>
      <c r="K278" s="1">
        <v>2023</v>
      </c>
      <c r="L278" s="1">
        <v>202310</v>
      </c>
      <c r="M278" s="1">
        <v>202310</v>
      </c>
      <c r="N278" s="1" t="s">
        <v>248</v>
      </c>
      <c r="O278" s="1" t="s">
        <v>213</v>
      </c>
      <c r="P278" s="1" t="s">
        <v>834</v>
      </c>
      <c r="Q278" s="1" t="s">
        <v>216</v>
      </c>
      <c r="R278" s="1" t="s">
        <v>246</v>
      </c>
      <c r="S278" s="1" t="s">
        <v>145</v>
      </c>
      <c r="T278" s="70" t="str">
        <f>_xlfn.XLOOKUP(Tabla1[[#This Row],[Universidad]],Conversiones!$B:$B,Conversiones!$C:$C)</f>
        <v>Universidad de Málaga</v>
      </c>
      <c r="U278" s="70" t="str">
        <f>_xlfn.XLOOKUP(Tabla1[[#This Row],[Universidad KPIs]],Conversiones!$C:$C,Conversiones!$E:$E)</f>
        <v>General</v>
      </c>
      <c r="V278" s="1" t="s">
        <v>53</v>
      </c>
      <c r="W278" s="1" t="s">
        <v>250</v>
      </c>
      <c r="X278" s="55">
        <v>44949</v>
      </c>
      <c r="Y278" s="55">
        <v>45073</v>
      </c>
      <c r="Z278" s="1">
        <v>124</v>
      </c>
    </row>
    <row r="279" spans="1:26">
      <c r="A279" s="67" t="s">
        <v>1299</v>
      </c>
      <c r="B279">
        <v>201910513</v>
      </c>
      <c r="C279" t="s">
        <v>364</v>
      </c>
      <c r="D279" t="s">
        <v>1300</v>
      </c>
      <c r="E279" t="s">
        <v>1301</v>
      </c>
      <c r="F279" t="s">
        <v>216</v>
      </c>
      <c r="G279" t="s">
        <v>246</v>
      </c>
      <c r="J279" t="s">
        <v>247</v>
      </c>
      <c r="K279">
        <v>2023</v>
      </c>
      <c r="L279">
        <v>202310</v>
      </c>
      <c r="M279">
        <v>202310</v>
      </c>
      <c r="N279" t="s">
        <v>248</v>
      </c>
      <c r="O279" t="s">
        <v>213</v>
      </c>
      <c r="P279" t="s">
        <v>834</v>
      </c>
      <c r="Q279" t="s">
        <v>216</v>
      </c>
      <c r="R279" t="s">
        <v>246</v>
      </c>
      <c r="S279" t="s">
        <v>145</v>
      </c>
      <c r="T279" s="70" t="str">
        <f>_xlfn.XLOOKUP(Tabla1[[#This Row],[Universidad]],Conversiones!$B:$B,Conversiones!$C:$C)</f>
        <v>Universidad de Málaga</v>
      </c>
      <c r="U279" s="70" t="str">
        <f>_xlfn.XLOOKUP(Tabla1[[#This Row],[Universidad KPIs]],Conversiones!$C:$C,Conversiones!$E:$E)</f>
        <v>General</v>
      </c>
      <c r="V279" t="s">
        <v>53</v>
      </c>
      <c r="W279" t="s">
        <v>250</v>
      </c>
      <c r="X279" s="2">
        <v>44949</v>
      </c>
      <c r="Y279" s="2">
        <v>45073</v>
      </c>
      <c r="Z279">
        <v>124</v>
      </c>
    </row>
    <row r="280" spans="1:26">
      <c r="A280" s="68" t="s">
        <v>1302</v>
      </c>
      <c r="B280" s="1">
        <v>202014606</v>
      </c>
      <c r="C280" s="1" t="s">
        <v>1303</v>
      </c>
      <c r="D280" s="1" t="s">
        <v>1304</v>
      </c>
      <c r="E280" s="1" t="s">
        <v>1305</v>
      </c>
      <c r="F280" s="1" t="s">
        <v>216</v>
      </c>
      <c r="G280" s="1" t="s">
        <v>246</v>
      </c>
      <c r="H280" s="1"/>
      <c r="I280" s="1"/>
      <c r="J280" s="1" t="s">
        <v>247</v>
      </c>
      <c r="K280" s="1">
        <v>2023</v>
      </c>
      <c r="L280" s="1">
        <v>202310</v>
      </c>
      <c r="M280" s="1">
        <v>202310</v>
      </c>
      <c r="N280" s="1" t="s">
        <v>248</v>
      </c>
      <c r="O280" s="1" t="s">
        <v>213</v>
      </c>
      <c r="P280" s="1" t="s">
        <v>249</v>
      </c>
      <c r="Q280" s="1" t="s">
        <v>216</v>
      </c>
      <c r="R280" s="1" t="s">
        <v>246</v>
      </c>
      <c r="S280" s="1" t="s">
        <v>1306</v>
      </c>
      <c r="T280" s="70" t="str">
        <f>_xlfn.XLOOKUP(Tabla1[[#This Row],[Universidad]],Conversiones!$B:$B,Conversiones!$C:$C)</f>
        <v>Universidad del Pacífico</v>
      </c>
      <c r="U280" s="70" t="str">
        <f>_xlfn.XLOOKUP(Tabla1[[#This Row],[Universidad KPIs]],Conversiones!$C:$C,Conversiones!$E:$E)</f>
        <v>Específico</v>
      </c>
      <c r="V280" s="1" t="s">
        <v>96</v>
      </c>
      <c r="W280" s="1" t="s">
        <v>265</v>
      </c>
      <c r="X280" s="55">
        <v>44949</v>
      </c>
      <c r="Y280" s="55">
        <v>45073</v>
      </c>
      <c r="Z280" s="1">
        <v>124</v>
      </c>
    </row>
    <row r="281" spans="1:26">
      <c r="A281" s="67" t="s">
        <v>1307</v>
      </c>
      <c r="B281">
        <v>202020598</v>
      </c>
      <c r="C281" t="s">
        <v>300</v>
      </c>
      <c r="D281" t="s">
        <v>1308</v>
      </c>
      <c r="E281" t="s">
        <v>1309</v>
      </c>
      <c r="F281" t="s">
        <v>216</v>
      </c>
      <c r="G281" t="s">
        <v>246</v>
      </c>
      <c r="H281" t="s">
        <v>779</v>
      </c>
      <c r="I281" t="s">
        <v>780</v>
      </c>
      <c r="J281" t="s">
        <v>247</v>
      </c>
      <c r="K281">
        <v>2023</v>
      </c>
      <c r="L281">
        <v>202310</v>
      </c>
      <c r="M281">
        <v>202310</v>
      </c>
      <c r="N281" t="s">
        <v>248</v>
      </c>
      <c r="O281" t="s">
        <v>213</v>
      </c>
      <c r="P281" t="s">
        <v>249</v>
      </c>
      <c r="Q281" t="s">
        <v>216</v>
      </c>
      <c r="R281" t="s">
        <v>246</v>
      </c>
      <c r="S281" t="s">
        <v>274</v>
      </c>
      <c r="T281" s="70" t="str">
        <f>_xlfn.XLOOKUP(Tabla1[[#This Row],[Universidad]],Conversiones!$B:$B,Conversiones!$C:$C)</f>
        <v>Catolica Lisbon Business &amp; Economics. Universidade Católica Portuguesa</v>
      </c>
      <c r="U281" s="70" t="str">
        <f>_xlfn.XLOOKUP(Tabla1[[#This Row],[Universidad KPIs]],Conversiones!$C:$C,Conversiones!$E:$E)</f>
        <v>Específico</v>
      </c>
      <c r="V281" t="s">
        <v>45</v>
      </c>
      <c r="W281" t="s">
        <v>250</v>
      </c>
      <c r="X281" s="2">
        <v>44949</v>
      </c>
      <c r="Y281" s="2">
        <v>45073</v>
      </c>
      <c r="Z281">
        <v>124</v>
      </c>
    </row>
    <row r="282" spans="1:26">
      <c r="A282" s="68" t="s">
        <v>1310</v>
      </c>
      <c r="B282" s="1">
        <v>201923571</v>
      </c>
      <c r="C282" s="1" t="s">
        <v>286</v>
      </c>
      <c r="D282" s="1" t="s">
        <v>1311</v>
      </c>
      <c r="E282" s="1" t="s">
        <v>1312</v>
      </c>
      <c r="F282" s="1" t="s">
        <v>216</v>
      </c>
      <c r="G282" s="1" t="s">
        <v>246</v>
      </c>
      <c r="H282" s="1"/>
      <c r="I282" s="1"/>
      <c r="J282" s="1" t="s">
        <v>247</v>
      </c>
      <c r="K282" s="1">
        <v>2023</v>
      </c>
      <c r="L282" s="1">
        <v>202310</v>
      </c>
      <c r="M282" s="1">
        <v>202310</v>
      </c>
      <c r="N282" s="1" t="s">
        <v>248</v>
      </c>
      <c r="O282" s="1" t="s">
        <v>213</v>
      </c>
      <c r="P282" s="1" t="s">
        <v>249</v>
      </c>
      <c r="Q282" s="1" t="s">
        <v>216</v>
      </c>
      <c r="R282" s="1" t="s">
        <v>246</v>
      </c>
      <c r="S282" s="1" t="s">
        <v>274</v>
      </c>
      <c r="T282" s="70" t="str">
        <f>_xlfn.XLOOKUP(Tabla1[[#This Row],[Universidad]],Conversiones!$B:$B,Conversiones!$C:$C)</f>
        <v>Catolica Lisbon Business &amp; Economics. Universidade Católica Portuguesa</v>
      </c>
      <c r="U282" s="70" t="str">
        <f>_xlfn.XLOOKUP(Tabla1[[#This Row],[Universidad KPIs]],Conversiones!$C:$C,Conversiones!$E:$E)</f>
        <v>Específico</v>
      </c>
      <c r="V282" s="1" t="s">
        <v>45</v>
      </c>
      <c r="W282" s="1" t="s">
        <v>250</v>
      </c>
      <c r="X282" s="55">
        <v>44949</v>
      </c>
      <c r="Y282" s="55">
        <v>45073</v>
      </c>
      <c r="Z282" s="1">
        <v>124</v>
      </c>
    </row>
    <row r="283" spans="1:26">
      <c r="A283" s="67" t="s">
        <v>1313</v>
      </c>
      <c r="B283">
        <v>202022215</v>
      </c>
      <c r="C283" t="s">
        <v>1314</v>
      </c>
      <c r="D283" t="s">
        <v>1315</v>
      </c>
      <c r="E283" t="s">
        <v>1316</v>
      </c>
      <c r="F283" t="s">
        <v>216</v>
      </c>
      <c r="G283" t="s">
        <v>246</v>
      </c>
      <c r="J283" t="s">
        <v>247</v>
      </c>
      <c r="K283">
        <v>2023</v>
      </c>
      <c r="L283">
        <v>202310</v>
      </c>
      <c r="M283">
        <v>202310</v>
      </c>
      <c r="N283" t="s">
        <v>248</v>
      </c>
      <c r="O283" t="s">
        <v>213</v>
      </c>
      <c r="P283" t="s">
        <v>249</v>
      </c>
      <c r="Q283" t="s">
        <v>216</v>
      </c>
      <c r="R283" t="s">
        <v>246</v>
      </c>
      <c r="S283" t="s">
        <v>274</v>
      </c>
      <c r="T283" s="70" t="str">
        <f>_xlfn.XLOOKUP(Tabla1[[#This Row],[Universidad]],Conversiones!$B:$B,Conversiones!$C:$C)</f>
        <v>Catolica Lisbon Business &amp; Economics. Universidade Católica Portuguesa</v>
      </c>
      <c r="U283" s="70" t="str">
        <f>_xlfn.XLOOKUP(Tabla1[[#This Row],[Universidad KPIs]],Conversiones!$C:$C,Conversiones!$E:$E)</f>
        <v>Específico</v>
      </c>
      <c r="V283" t="s">
        <v>45</v>
      </c>
      <c r="W283" t="s">
        <v>250</v>
      </c>
      <c r="X283" s="2">
        <v>44949</v>
      </c>
      <c r="Y283" s="2">
        <v>45073</v>
      </c>
      <c r="Z283">
        <v>124</v>
      </c>
    </row>
    <row r="284" spans="1:26">
      <c r="A284" s="68" t="s">
        <v>1317</v>
      </c>
      <c r="B284" s="1">
        <v>201922798</v>
      </c>
      <c r="C284" s="1" t="s">
        <v>1318</v>
      </c>
      <c r="D284" s="1" t="s">
        <v>1319</v>
      </c>
      <c r="E284" s="1" t="s">
        <v>1320</v>
      </c>
      <c r="F284" s="1" t="s">
        <v>466</v>
      </c>
      <c r="G284" s="1" t="s">
        <v>467</v>
      </c>
      <c r="H284" s="1" t="s">
        <v>216</v>
      </c>
      <c r="I284" s="1" t="s">
        <v>246</v>
      </c>
      <c r="J284" s="1" t="s">
        <v>247</v>
      </c>
      <c r="K284" s="1">
        <v>2023</v>
      </c>
      <c r="L284" s="1">
        <v>202310</v>
      </c>
      <c r="M284" s="1">
        <v>202310</v>
      </c>
      <c r="N284" s="1" t="s">
        <v>248</v>
      </c>
      <c r="O284" s="1" t="s">
        <v>213</v>
      </c>
      <c r="P284" s="1" t="s">
        <v>249</v>
      </c>
      <c r="Q284" s="1" t="s">
        <v>216</v>
      </c>
      <c r="R284" s="1" t="s">
        <v>246</v>
      </c>
      <c r="S284" s="1" t="s">
        <v>424</v>
      </c>
      <c r="T284" s="70" t="str">
        <f>_xlfn.XLOOKUP(Tabla1[[#This Row],[Universidad]],Conversiones!$B:$B,Conversiones!$C:$C)</f>
        <v>Nova School of Business and Economics</v>
      </c>
      <c r="U284" s="70" t="str">
        <f>_xlfn.XLOOKUP(Tabla1[[#This Row],[Universidad KPIs]],Conversiones!$C:$C,Conversiones!$E:$E)</f>
        <v>Específico</v>
      </c>
      <c r="V284" s="1" t="s">
        <v>45</v>
      </c>
      <c r="W284" s="1" t="s">
        <v>250</v>
      </c>
      <c r="X284" s="55">
        <v>44949</v>
      </c>
      <c r="Y284" s="55">
        <v>45073</v>
      </c>
      <c r="Z284" s="1">
        <v>124</v>
      </c>
    </row>
    <row r="285" spans="1:26">
      <c r="A285" s="67" t="s">
        <v>1321</v>
      </c>
      <c r="B285">
        <v>202022298</v>
      </c>
      <c r="C285" t="s">
        <v>403</v>
      </c>
      <c r="D285" t="s">
        <v>1322</v>
      </c>
      <c r="E285" t="s">
        <v>1323</v>
      </c>
      <c r="F285" t="s">
        <v>216</v>
      </c>
      <c r="G285" t="s">
        <v>246</v>
      </c>
      <c r="J285" t="s">
        <v>247</v>
      </c>
      <c r="K285">
        <v>2023</v>
      </c>
      <c r="L285">
        <v>202310</v>
      </c>
      <c r="M285">
        <v>202310</v>
      </c>
      <c r="N285" t="s">
        <v>248</v>
      </c>
      <c r="O285" t="s">
        <v>213</v>
      </c>
      <c r="P285" t="s">
        <v>249</v>
      </c>
      <c r="Q285" t="s">
        <v>216</v>
      </c>
      <c r="R285" t="s">
        <v>246</v>
      </c>
      <c r="S285" t="s">
        <v>424</v>
      </c>
      <c r="T285" s="70" t="str">
        <f>_xlfn.XLOOKUP(Tabla1[[#This Row],[Universidad]],Conversiones!$B:$B,Conversiones!$C:$C)</f>
        <v>Nova School of Business and Economics</v>
      </c>
      <c r="U285" s="70" t="str">
        <f>_xlfn.XLOOKUP(Tabla1[[#This Row],[Universidad KPIs]],Conversiones!$C:$C,Conversiones!$E:$E)</f>
        <v>Específico</v>
      </c>
      <c r="V285" t="s">
        <v>45</v>
      </c>
      <c r="W285" t="s">
        <v>250</v>
      </c>
      <c r="X285" s="2">
        <v>44949</v>
      </c>
      <c r="Y285" s="2">
        <v>45073</v>
      </c>
      <c r="Z285">
        <v>124</v>
      </c>
    </row>
    <row r="286" spans="1:26">
      <c r="A286" s="68" t="s">
        <v>1324</v>
      </c>
      <c r="B286" s="1">
        <v>201923367</v>
      </c>
      <c r="C286" s="1" t="s">
        <v>475</v>
      </c>
      <c r="D286" s="1" t="s">
        <v>1325</v>
      </c>
      <c r="E286" s="1" t="s">
        <v>1326</v>
      </c>
      <c r="F286" s="1" t="s">
        <v>216</v>
      </c>
      <c r="G286" s="1" t="s">
        <v>246</v>
      </c>
      <c r="H286" s="1"/>
      <c r="I286" s="1"/>
      <c r="J286" s="1" t="s">
        <v>247</v>
      </c>
      <c r="K286" s="1">
        <v>2023</v>
      </c>
      <c r="L286" s="1">
        <v>202310</v>
      </c>
      <c r="M286" s="1">
        <v>202310</v>
      </c>
      <c r="N286" s="1" t="s">
        <v>248</v>
      </c>
      <c r="O286" s="1" t="s">
        <v>213</v>
      </c>
      <c r="P286" s="1" t="s">
        <v>249</v>
      </c>
      <c r="Q286" s="1" t="s">
        <v>216</v>
      </c>
      <c r="R286" s="1" t="s">
        <v>246</v>
      </c>
      <c r="S286" s="1" t="s">
        <v>155</v>
      </c>
      <c r="T286" s="70" t="str">
        <f>_xlfn.XLOOKUP(Tabla1[[#This Row],[Universidad]],Conversiones!$B:$B,Conversiones!$C:$C)</f>
        <v>Università degli Studi di Bologna 'Alma Mater Studiorum'</v>
      </c>
      <c r="U286" s="70" t="str">
        <f>_xlfn.XLOOKUP(Tabla1[[#This Row],[Universidad KPIs]],Conversiones!$C:$C,Conversiones!$E:$E)</f>
        <v>General</v>
      </c>
      <c r="V286" s="1" t="s">
        <v>87</v>
      </c>
      <c r="W286" s="1" t="s">
        <v>250</v>
      </c>
      <c r="X286" s="55">
        <v>44949</v>
      </c>
      <c r="Y286" s="55">
        <v>45073</v>
      </c>
      <c r="Z286" s="1">
        <v>124</v>
      </c>
    </row>
    <row r="287" spans="1:26">
      <c r="A287" s="67" t="s">
        <v>1327</v>
      </c>
      <c r="B287">
        <v>201822150</v>
      </c>
      <c r="C287" t="s">
        <v>1328</v>
      </c>
      <c r="D287" t="s">
        <v>1329</v>
      </c>
      <c r="E287" t="s">
        <v>1330</v>
      </c>
      <c r="F287" t="s">
        <v>216</v>
      </c>
      <c r="G287" t="s">
        <v>246</v>
      </c>
      <c r="J287" t="s">
        <v>247</v>
      </c>
      <c r="K287">
        <v>2023</v>
      </c>
      <c r="L287">
        <v>202310</v>
      </c>
      <c r="M287">
        <v>202310</v>
      </c>
      <c r="N287" t="s">
        <v>248</v>
      </c>
      <c r="O287" t="s">
        <v>213</v>
      </c>
      <c r="P287" t="s">
        <v>834</v>
      </c>
      <c r="Q287" t="s">
        <v>216</v>
      </c>
      <c r="R287" t="s">
        <v>246</v>
      </c>
      <c r="S287" t="s">
        <v>156</v>
      </c>
      <c r="T287" s="70" t="str">
        <f>_xlfn.XLOOKUP(Tabla1[[#This Row],[Universidad]],Conversiones!$B:$B,Conversiones!$C:$C)</f>
        <v>Università degli Studi di Genova</v>
      </c>
      <c r="U287" s="70" t="str">
        <f>_xlfn.XLOOKUP(Tabla1[[#This Row],[Universidad KPIs]],Conversiones!$C:$C,Conversiones!$E:$E)</f>
        <v>General</v>
      </c>
      <c r="V287" t="s">
        <v>87</v>
      </c>
      <c r="W287" t="s">
        <v>250</v>
      </c>
      <c r="X287" s="2">
        <v>44949</v>
      </c>
      <c r="Y287" s="2">
        <v>45073</v>
      </c>
      <c r="Z287">
        <v>124</v>
      </c>
    </row>
    <row r="288" spans="1:26">
      <c r="A288" s="68" t="s">
        <v>1331</v>
      </c>
      <c r="B288" s="1">
        <v>202021218</v>
      </c>
      <c r="C288" s="1" t="s">
        <v>1332</v>
      </c>
      <c r="D288" s="1" t="s">
        <v>1333</v>
      </c>
      <c r="E288" s="1" t="s">
        <v>1334</v>
      </c>
      <c r="F288" s="1" t="s">
        <v>216</v>
      </c>
      <c r="G288" s="1" t="s">
        <v>246</v>
      </c>
      <c r="H288" s="1" t="s">
        <v>460</v>
      </c>
      <c r="I288" s="1" t="s">
        <v>461</v>
      </c>
      <c r="J288" s="1" t="s">
        <v>247</v>
      </c>
      <c r="K288" s="1">
        <v>2023</v>
      </c>
      <c r="L288" s="1">
        <v>202310</v>
      </c>
      <c r="M288" s="1">
        <v>202310</v>
      </c>
      <c r="N288" s="1" t="s">
        <v>248</v>
      </c>
      <c r="O288" s="1" t="s">
        <v>213</v>
      </c>
      <c r="P288" s="1" t="s">
        <v>249</v>
      </c>
      <c r="Q288" s="1" t="s">
        <v>216</v>
      </c>
      <c r="R288" s="1" t="s">
        <v>246</v>
      </c>
      <c r="S288" s="1" t="s">
        <v>307</v>
      </c>
      <c r="T288" s="70" t="str">
        <f>_xlfn.XLOOKUP(Tabla1[[#This Row],[Universidad]],Conversiones!$B:$B,Conversiones!$C:$C)</f>
        <v>University of Mannheim Business School</v>
      </c>
      <c r="U288" s="70" t="str">
        <f>_xlfn.XLOOKUP(Tabla1[[#This Row],[Universidad KPIs]],Conversiones!$C:$C,Conversiones!$E:$E)</f>
        <v>Específico</v>
      </c>
      <c r="V288" s="1" t="s">
        <v>60</v>
      </c>
      <c r="W288" s="1" t="s">
        <v>250</v>
      </c>
      <c r="X288" s="55">
        <v>44949</v>
      </c>
      <c r="Y288" s="55">
        <v>45073</v>
      </c>
      <c r="Z288" s="1">
        <v>124</v>
      </c>
    </row>
    <row r="289" spans="1:26">
      <c r="A289" s="67" t="s">
        <v>1335</v>
      </c>
      <c r="B289">
        <v>202012689</v>
      </c>
      <c r="C289" t="s">
        <v>1336</v>
      </c>
      <c r="D289" t="s">
        <v>1337</v>
      </c>
      <c r="E289" t="s">
        <v>1338</v>
      </c>
      <c r="F289" t="s">
        <v>216</v>
      </c>
      <c r="G289" t="s">
        <v>246</v>
      </c>
      <c r="J289" t="s">
        <v>247</v>
      </c>
      <c r="K289">
        <v>2023</v>
      </c>
      <c r="L289">
        <v>202310</v>
      </c>
      <c r="M289">
        <v>202310</v>
      </c>
      <c r="N289" t="s">
        <v>248</v>
      </c>
      <c r="O289" t="s">
        <v>213</v>
      </c>
      <c r="P289" t="s">
        <v>249</v>
      </c>
      <c r="Q289" t="s">
        <v>216</v>
      </c>
      <c r="R289" t="s">
        <v>246</v>
      </c>
      <c r="S289" t="s">
        <v>307</v>
      </c>
      <c r="T289" s="70" t="str">
        <f>_xlfn.XLOOKUP(Tabla1[[#This Row],[Universidad]],Conversiones!$B:$B,Conversiones!$C:$C)</f>
        <v>University of Mannheim Business School</v>
      </c>
      <c r="U289" s="70" t="str">
        <f>_xlfn.XLOOKUP(Tabla1[[#This Row],[Universidad KPIs]],Conversiones!$C:$C,Conversiones!$E:$E)</f>
        <v>Específico</v>
      </c>
      <c r="V289" t="s">
        <v>60</v>
      </c>
      <c r="W289" t="s">
        <v>250</v>
      </c>
      <c r="X289" s="2">
        <v>44949</v>
      </c>
      <c r="Y289" s="2">
        <v>45073</v>
      </c>
      <c r="Z289">
        <v>124</v>
      </c>
    </row>
    <row r="290" spans="1:26">
      <c r="A290" s="68" t="s">
        <v>1339</v>
      </c>
      <c r="B290" s="1">
        <v>201911476</v>
      </c>
      <c r="C290" s="1" t="s">
        <v>776</v>
      </c>
      <c r="D290" s="1" t="s">
        <v>1340</v>
      </c>
      <c r="E290" s="1" t="s">
        <v>1341</v>
      </c>
      <c r="F290" s="1" t="s">
        <v>216</v>
      </c>
      <c r="G290" s="1" t="s">
        <v>246</v>
      </c>
      <c r="H290" s="1"/>
      <c r="I290" s="1"/>
      <c r="J290" s="1" t="s">
        <v>247</v>
      </c>
      <c r="K290" s="1">
        <v>2023</v>
      </c>
      <c r="L290" s="1">
        <v>202310</v>
      </c>
      <c r="M290" s="1">
        <v>202310</v>
      </c>
      <c r="N290" s="1" t="s">
        <v>248</v>
      </c>
      <c r="O290" s="1" t="s">
        <v>213</v>
      </c>
      <c r="P290" s="1" t="s">
        <v>834</v>
      </c>
      <c r="Q290" s="1" t="s">
        <v>216</v>
      </c>
      <c r="R290" s="1" t="s">
        <v>246</v>
      </c>
      <c r="S290" s="1" t="s">
        <v>158</v>
      </c>
      <c r="T290" s="70" t="str">
        <f>_xlfn.XLOOKUP(Tabla1[[#This Row],[Universidad]],Conversiones!$B:$B,Conversiones!$C:$C)</f>
        <v>Universitat Politècnica de Catalunya</v>
      </c>
      <c r="U290" s="70" t="str">
        <f>_xlfn.XLOOKUP(Tabla1[[#This Row],[Universidad KPIs]],Conversiones!$C:$C,Conversiones!$E:$E)</f>
        <v>General</v>
      </c>
      <c r="V290" s="1" t="s">
        <v>53</v>
      </c>
      <c r="W290" s="1" t="s">
        <v>250</v>
      </c>
      <c r="X290" s="55">
        <v>44949</v>
      </c>
      <c r="Y290" s="55">
        <v>45073</v>
      </c>
      <c r="Z290" s="1">
        <v>124</v>
      </c>
    </row>
    <row r="291" spans="1:26">
      <c r="A291" s="67" t="s">
        <v>1342</v>
      </c>
      <c r="B291">
        <v>202021605</v>
      </c>
      <c r="C291" t="s">
        <v>1343</v>
      </c>
      <c r="D291" t="s">
        <v>1344</v>
      </c>
      <c r="E291" t="s">
        <v>1345</v>
      </c>
      <c r="F291" t="s">
        <v>216</v>
      </c>
      <c r="G291" t="s">
        <v>246</v>
      </c>
      <c r="J291" t="s">
        <v>247</v>
      </c>
      <c r="K291">
        <v>2023</v>
      </c>
      <c r="L291">
        <v>202310</v>
      </c>
      <c r="M291">
        <v>202310</v>
      </c>
      <c r="N291" t="s">
        <v>248</v>
      </c>
      <c r="O291" t="s">
        <v>213</v>
      </c>
      <c r="P291" t="s">
        <v>834</v>
      </c>
      <c r="Q291" t="s">
        <v>216</v>
      </c>
      <c r="R291" t="s">
        <v>246</v>
      </c>
      <c r="S291" t="s">
        <v>158</v>
      </c>
      <c r="T291" s="70" t="str">
        <f>_xlfn.XLOOKUP(Tabla1[[#This Row],[Universidad]],Conversiones!$B:$B,Conversiones!$C:$C)</f>
        <v>Universitat Politècnica de Catalunya</v>
      </c>
      <c r="U291" s="70" t="str">
        <f>_xlfn.XLOOKUP(Tabla1[[#This Row],[Universidad KPIs]],Conversiones!$C:$C,Conversiones!$E:$E)</f>
        <v>General</v>
      </c>
      <c r="V291" t="s">
        <v>53</v>
      </c>
      <c r="W291" t="s">
        <v>250</v>
      </c>
      <c r="X291" s="2">
        <v>44949</v>
      </c>
      <c r="Y291" s="2">
        <v>45073</v>
      </c>
      <c r="Z291">
        <v>124</v>
      </c>
    </row>
    <row r="292" spans="1:26">
      <c r="A292" s="68" t="s">
        <v>1346</v>
      </c>
      <c r="B292" s="1">
        <v>201921122</v>
      </c>
      <c r="C292" s="1" t="s">
        <v>1347</v>
      </c>
      <c r="D292" s="1" t="s">
        <v>1348</v>
      </c>
      <c r="E292" s="1" t="s">
        <v>1349</v>
      </c>
      <c r="F292" s="1" t="s">
        <v>216</v>
      </c>
      <c r="G292" s="1" t="s">
        <v>246</v>
      </c>
      <c r="H292" s="1"/>
      <c r="I292" s="1"/>
      <c r="J292" s="1" t="s">
        <v>247</v>
      </c>
      <c r="K292" s="1">
        <v>2023</v>
      </c>
      <c r="L292" s="1">
        <v>202310</v>
      </c>
      <c r="M292" s="1">
        <v>202310</v>
      </c>
      <c r="N292" s="1" t="s">
        <v>248</v>
      </c>
      <c r="O292" s="1" t="s">
        <v>213</v>
      </c>
      <c r="P292" s="1" t="s">
        <v>249</v>
      </c>
      <c r="Q292" s="1" t="s">
        <v>216</v>
      </c>
      <c r="R292" s="1" t="s">
        <v>246</v>
      </c>
      <c r="S292" s="1" t="s">
        <v>289</v>
      </c>
      <c r="T292" s="70" t="str">
        <f>_xlfn.XLOOKUP(Tabla1[[#This Row],[Universidad]],Conversiones!$B:$B,Conversiones!$C:$C)</f>
        <v>ESADE</v>
      </c>
      <c r="U292" s="70" t="str">
        <f>_xlfn.XLOOKUP(Tabla1[[#This Row],[Universidad KPIs]],Conversiones!$C:$C,Conversiones!$E:$E)</f>
        <v>Específico</v>
      </c>
      <c r="V292" s="1" t="s">
        <v>53</v>
      </c>
      <c r="W292" s="1" t="s">
        <v>250</v>
      </c>
      <c r="X292" s="55">
        <v>44949</v>
      </c>
      <c r="Y292" s="55">
        <v>45073</v>
      </c>
      <c r="Z292" s="1">
        <v>124</v>
      </c>
    </row>
    <row r="293" spans="1:26">
      <c r="A293" s="67" t="s">
        <v>1350</v>
      </c>
      <c r="B293">
        <v>201923038</v>
      </c>
      <c r="C293" t="s">
        <v>949</v>
      </c>
      <c r="D293" t="s">
        <v>1351</v>
      </c>
      <c r="E293" t="s">
        <v>1352</v>
      </c>
      <c r="F293" t="s">
        <v>216</v>
      </c>
      <c r="G293" t="s">
        <v>246</v>
      </c>
      <c r="J293" t="s">
        <v>247</v>
      </c>
      <c r="K293">
        <v>2023</v>
      </c>
      <c r="L293">
        <v>202310</v>
      </c>
      <c r="M293">
        <v>202310</v>
      </c>
      <c r="N293" t="s">
        <v>248</v>
      </c>
      <c r="O293" t="s">
        <v>213</v>
      </c>
      <c r="P293" t="s">
        <v>249</v>
      </c>
      <c r="Q293" t="s">
        <v>216</v>
      </c>
      <c r="R293" t="s">
        <v>246</v>
      </c>
      <c r="S293" t="s">
        <v>289</v>
      </c>
      <c r="T293" s="70" t="str">
        <f>_xlfn.XLOOKUP(Tabla1[[#This Row],[Universidad]],Conversiones!$B:$B,Conversiones!$C:$C)</f>
        <v>ESADE</v>
      </c>
      <c r="U293" s="70" t="str">
        <f>_xlfn.XLOOKUP(Tabla1[[#This Row],[Universidad KPIs]],Conversiones!$C:$C,Conversiones!$E:$E)</f>
        <v>Específico</v>
      </c>
      <c r="V293" t="s">
        <v>53</v>
      </c>
      <c r="W293" t="s">
        <v>250</v>
      </c>
      <c r="X293" s="2">
        <v>44949</v>
      </c>
      <c r="Y293" s="2">
        <v>45073</v>
      </c>
      <c r="Z293">
        <v>124</v>
      </c>
    </row>
    <row r="294" spans="1:26">
      <c r="A294" s="68" t="s">
        <v>1353</v>
      </c>
      <c r="B294" s="1">
        <v>202011982</v>
      </c>
      <c r="C294" s="1" t="s">
        <v>961</v>
      </c>
      <c r="D294" s="1" t="s">
        <v>1354</v>
      </c>
      <c r="E294" s="1" t="s">
        <v>1355</v>
      </c>
      <c r="F294" s="1" t="s">
        <v>216</v>
      </c>
      <c r="G294" s="1" t="s">
        <v>246</v>
      </c>
      <c r="H294" s="1"/>
      <c r="I294" s="1"/>
      <c r="J294" s="1" t="s">
        <v>247</v>
      </c>
      <c r="K294" s="1">
        <v>2023</v>
      </c>
      <c r="L294" s="1">
        <v>202310</v>
      </c>
      <c r="M294" s="1">
        <v>202310</v>
      </c>
      <c r="N294" s="1" t="s">
        <v>248</v>
      </c>
      <c r="O294" s="1" t="s">
        <v>213</v>
      </c>
      <c r="P294" s="1" t="s">
        <v>249</v>
      </c>
      <c r="Q294" s="1" t="s">
        <v>216</v>
      </c>
      <c r="R294" s="1" t="s">
        <v>246</v>
      </c>
      <c r="S294" s="1" t="s">
        <v>493</v>
      </c>
      <c r="T294" s="70" t="str">
        <f>_xlfn.XLOOKUP(Tabla1[[#This Row],[Universidad]],Conversiones!$B:$B,Conversiones!$C:$C)</f>
        <v>University of Saint Gallen</v>
      </c>
      <c r="U294" s="70" t="str">
        <f>_xlfn.XLOOKUP(Tabla1[[#This Row],[Universidad KPIs]],Conversiones!$C:$C,Conversiones!$E:$E)</f>
        <v>Específico</v>
      </c>
      <c r="V294" s="1" t="s">
        <v>65</v>
      </c>
      <c r="W294" s="1" t="s">
        <v>250</v>
      </c>
      <c r="X294" s="55">
        <v>44949</v>
      </c>
      <c r="Y294" s="55">
        <v>45073</v>
      </c>
      <c r="Z294" s="1">
        <v>124</v>
      </c>
    </row>
    <row r="295" spans="1:26">
      <c r="A295" s="67" t="s">
        <v>1356</v>
      </c>
      <c r="B295">
        <v>201911346</v>
      </c>
      <c r="C295" t="s">
        <v>659</v>
      </c>
      <c r="D295" t="s">
        <v>1357</v>
      </c>
      <c r="E295" t="s">
        <v>1358</v>
      </c>
      <c r="F295" t="s">
        <v>216</v>
      </c>
      <c r="G295" t="s">
        <v>246</v>
      </c>
      <c r="H295" t="s">
        <v>512</v>
      </c>
      <c r="I295" t="s">
        <v>513</v>
      </c>
      <c r="J295" t="s">
        <v>247</v>
      </c>
      <c r="K295">
        <v>2023</v>
      </c>
      <c r="L295">
        <v>202310</v>
      </c>
      <c r="M295">
        <v>202310</v>
      </c>
      <c r="N295" t="s">
        <v>248</v>
      </c>
      <c r="O295" t="s">
        <v>213</v>
      </c>
      <c r="P295" t="s">
        <v>249</v>
      </c>
      <c r="Q295" t="s">
        <v>216</v>
      </c>
      <c r="R295" t="s">
        <v>246</v>
      </c>
      <c r="S295" t="s">
        <v>284</v>
      </c>
      <c r="T295" s="70" t="str">
        <f>_xlfn.XLOOKUP(Tabla1[[#This Row],[Universidad]],Conversiones!$B:$B,Conversiones!$C:$C)</f>
        <v>HEC Lausanne</v>
      </c>
      <c r="U295" s="70" t="str">
        <f>_xlfn.XLOOKUP(Tabla1[[#This Row],[Universidad KPIs]],Conversiones!$C:$C,Conversiones!$E:$E)</f>
        <v>Específico</v>
      </c>
      <c r="V295" t="s">
        <v>65</v>
      </c>
      <c r="W295" t="s">
        <v>250</v>
      </c>
      <c r="X295" s="2">
        <v>44949</v>
      </c>
      <c r="Y295" s="2">
        <v>45073</v>
      </c>
      <c r="Z295">
        <v>124</v>
      </c>
    </row>
    <row r="296" spans="1:26">
      <c r="A296" s="68" t="s">
        <v>1359</v>
      </c>
      <c r="B296" s="1">
        <v>201822737</v>
      </c>
      <c r="C296" s="1" t="s">
        <v>503</v>
      </c>
      <c r="D296" s="1" t="s">
        <v>1360</v>
      </c>
      <c r="E296" s="1" t="s">
        <v>1361</v>
      </c>
      <c r="F296" s="1" t="s">
        <v>216</v>
      </c>
      <c r="G296" s="1" t="s">
        <v>246</v>
      </c>
      <c r="H296" s="1" t="s">
        <v>460</v>
      </c>
      <c r="I296" s="1" t="s">
        <v>461</v>
      </c>
      <c r="J296" s="1" t="s">
        <v>247</v>
      </c>
      <c r="K296" s="1">
        <v>2023</v>
      </c>
      <c r="L296" s="1">
        <v>202310</v>
      </c>
      <c r="M296" s="1">
        <v>202310</v>
      </c>
      <c r="N296" s="1" t="s">
        <v>248</v>
      </c>
      <c r="O296" s="1" t="s">
        <v>213</v>
      </c>
      <c r="P296" s="1" t="s">
        <v>249</v>
      </c>
      <c r="Q296" s="1" t="s">
        <v>216</v>
      </c>
      <c r="R296" s="1" t="s">
        <v>246</v>
      </c>
      <c r="S296" s="1" t="s">
        <v>284</v>
      </c>
      <c r="T296" s="70" t="str">
        <f>_xlfn.XLOOKUP(Tabla1[[#This Row],[Universidad]],Conversiones!$B:$B,Conversiones!$C:$C)</f>
        <v>HEC Lausanne</v>
      </c>
      <c r="U296" s="70" t="str">
        <f>_xlfn.XLOOKUP(Tabla1[[#This Row],[Universidad KPIs]],Conversiones!$C:$C,Conversiones!$E:$E)</f>
        <v>Específico</v>
      </c>
      <c r="V296" s="1" t="s">
        <v>65</v>
      </c>
      <c r="W296" s="1" t="s">
        <v>250</v>
      </c>
      <c r="X296" s="55">
        <v>44949</v>
      </c>
      <c r="Y296" s="55">
        <v>45073</v>
      </c>
      <c r="Z296" s="1">
        <v>124</v>
      </c>
    </row>
    <row r="297" spans="1:26">
      <c r="A297" s="67" t="s">
        <v>1362</v>
      </c>
      <c r="B297">
        <v>201922879</v>
      </c>
      <c r="C297" t="s">
        <v>403</v>
      </c>
      <c r="D297" t="s">
        <v>1363</v>
      </c>
      <c r="E297" t="s">
        <v>1364</v>
      </c>
      <c r="F297" t="s">
        <v>216</v>
      </c>
      <c r="G297" t="s">
        <v>246</v>
      </c>
      <c r="J297" t="s">
        <v>247</v>
      </c>
      <c r="K297">
        <v>2023</v>
      </c>
      <c r="L297">
        <v>202310</v>
      </c>
      <c r="M297">
        <v>202310</v>
      </c>
      <c r="N297" t="s">
        <v>248</v>
      </c>
      <c r="O297" t="s">
        <v>213</v>
      </c>
      <c r="P297" t="s">
        <v>249</v>
      </c>
      <c r="Q297" t="s">
        <v>216</v>
      </c>
      <c r="R297" t="s">
        <v>246</v>
      </c>
      <c r="S297" t="s">
        <v>284</v>
      </c>
      <c r="T297" s="70" t="str">
        <f>_xlfn.XLOOKUP(Tabla1[[#This Row],[Universidad]],Conversiones!$B:$B,Conversiones!$C:$C)</f>
        <v>HEC Lausanne</v>
      </c>
      <c r="U297" s="70" t="str">
        <f>_xlfn.XLOOKUP(Tabla1[[#This Row],[Universidad KPIs]],Conversiones!$C:$C,Conversiones!$E:$E)</f>
        <v>Específico</v>
      </c>
      <c r="V297" t="s">
        <v>65</v>
      </c>
      <c r="W297" t="s">
        <v>250</v>
      </c>
      <c r="X297" s="2">
        <v>44949</v>
      </c>
      <c r="Y297" s="2">
        <v>45073</v>
      </c>
      <c r="Z297">
        <v>124</v>
      </c>
    </row>
    <row r="298" spans="1:26">
      <c r="A298" s="68" t="s">
        <v>1365</v>
      </c>
      <c r="B298" s="1">
        <v>201822627</v>
      </c>
      <c r="C298" s="1" t="s">
        <v>1366</v>
      </c>
      <c r="D298" s="1" t="s">
        <v>1367</v>
      </c>
      <c r="E298" s="1" t="s">
        <v>1368</v>
      </c>
      <c r="F298" s="1" t="s">
        <v>216</v>
      </c>
      <c r="G298" s="1" t="s">
        <v>246</v>
      </c>
      <c r="H298" s="1"/>
      <c r="I298" s="1"/>
      <c r="J298" s="1" t="s">
        <v>247</v>
      </c>
      <c r="K298" s="1">
        <v>2023</v>
      </c>
      <c r="L298" s="1">
        <v>202310</v>
      </c>
      <c r="M298" s="1">
        <v>202310</v>
      </c>
      <c r="N298" s="1" t="s">
        <v>248</v>
      </c>
      <c r="O298" s="1" t="s">
        <v>213</v>
      </c>
      <c r="P298" s="1" t="s">
        <v>249</v>
      </c>
      <c r="Q298" s="1" t="s">
        <v>216</v>
      </c>
      <c r="R298" s="1" t="s">
        <v>246</v>
      </c>
      <c r="S298" s="1" t="s">
        <v>1369</v>
      </c>
      <c r="T298" s="70" t="str">
        <f>_xlfn.XLOOKUP(Tabla1[[#This Row],[Universidad]],Conversiones!$B:$B,Conversiones!$C:$C)</f>
        <v>EM Strasbourg</v>
      </c>
      <c r="U298" s="70" t="str">
        <f>_xlfn.XLOOKUP(Tabla1[[#This Row],[Universidad KPIs]],Conversiones!$C:$C,Conversiones!$E:$E)</f>
        <v>Específico</v>
      </c>
      <c r="V298" s="1" t="s">
        <v>41</v>
      </c>
      <c r="W298" s="1" t="s">
        <v>250</v>
      </c>
      <c r="X298" s="55">
        <v>44949</v>
      </c>
      <c r="Y298" s="55">
        <v>45073</v>
      </c>
      <c r="Z298" s="1">
        <v>124</v>
      </c>
    </row>
    <row r="299" spans="1:26">
      <c r="A299" s="67" t="s">
        <v>1370</v>
      </c>
      <c r="B299">
        <v>202021563</v>
      </c>
      <c r="C299" t="s">
        <v>659</v>
      </c>
      <c r="D299" t="s">
        <v>1371</v>
      </c>
      <c r="E299" t="s">
        <v>1372</v>
      </c>
      <c r="F299" t="s">
        <v>216</v>
      </c>
      <c r="G299" t="s">
        <v>246</v>
      </c>
      <c r="J299" t="s">
        <v>247</v>
      </c>
      <c r="K299">
        <v>2023</v>
      </c>
      <c r="L299">
        <v>202310</v>
      </c>
      <c r="M299">
        <v>202310</v>
      </c>
      <c r="N299" t="s">
        <v>248</v>
      </c>
      <c r="O299" t="s">
        <v>213</v>
      </c>
      <c r="P299" t="s">
        <v>249</v>
      </c>
      <c r="Q299" t="s">
        <v>216</v>
      </c>
      <c r="R299" t="s">
        <v>246</v>
      </c>
      <c r="S299" t="s">
        <v>1369</v>
      </c>
      <c r="T299" s="70" t="str">
        <f>_xlfn.XLOOKUP(Tabla1[[#This Row],[Universidad]],Conversiones!$B:$B,Conversiones!$C:$C)</f>
        <v>EM Strasbourg</v>
      </c>
      <c r="U299" s="70" t="str">
        <f>_xlfn.XLOOKUP(Tabla1[[#This Row],[Universidad KPIs]],Conversiones!$C:$C,Conversiones!$E:$E)</f>
        <v>Específico</v>
      </c>
      <c r="V299" t="s">
        <v>41</v>
      </c>
      <c r="W299" t="s">
        <v>250</v>
      </c>
      <c r="X299" s="2">
        <v>44949</v>
      </c>
      <c r="Y299" s="2">
        <v>45073</v>
      </c>
      <c r="Z299">
        <v>124</v>
      </c>
    </row>
    <row r="300" spans="1:26">
      <c r="A300" s="68" t="s">
        <v>1373</v>
      </c>
      <c r="B300" s="1">
        <v>201820577</v>
      </c>
      <c r="C300" s="1" t="s">
        <v>1374</v>
      </c>
      <c r="D300" s="1" t="s">
        <v>1375</v>
      </c>
      <c r="E300" s="1" t="s">
        <v>1376</v>
      </c>
      <c r="F300" s="1" t="s">
        <v>216</v>
      </c>
      <c r="G300" s="1" t="s">
        <v>246</v>
      </c>
      <c r="H300" s="1" t="s">
        <v>460</v>
      </c>
      <c r="I300" s="1" t="s">
        <v>461</v>
      </c>
      <c r="J300" s="1" t="s">
        <v>247</v>
      </c>
      <c r="K300" s="1">
        <v>2023</v>
      </c>
      <c r="L300" s="1">
        <v>202310</v>
      </c>
      <c r="M300" s="1">
        <v>202310</v>
      </c>
      <c r="N300" s="1" t="s">
        <v>248</v>
      </c>
      <c r="O300" s="1" t="s">
        <v>213</v>
      </c>
      <c r="P300" s="1" t="s">
        <v>249</v>
      </c>
      <c r="Q300" s="1" t="s">
        <v>216</v>
      </c>
      <c r="R300" s="1" t="s">
        <v>246</v>
      </c>
      <c r="S300" s="1" t="s">
        <v>1377</v>
      </c>
      <c r="T300" s="70" t="str">
        <f>_xlfn.XLOOKUP(Tabla1[[#This Row],[Universidad]],Conversiones!$B:$B,Conversiones!$C:$C)</f>
        <v>Grenoble. École de Management</v>
      </c>
      <c r="U300" s="70" t="str">
        <f>_xlfn.XLOOKUP(Tabla1[[#This Row],[Universidad KPIs]],Conversiones!$C:$C,Conversiones!$E:$E)</f>
        <v>Específico</v>
      </c>
      <c r="V300" s="1" t="s">
        <v>41</v>
      </c>
      <c r="W300" s="1" t="s">
        <v>250</v>
      </c>
      <c r="X300" s="55">
        <v>44949</v>
      </c>
      <c r="Y300" s="55">
        <v>45073</v>
      </c>
      <c r="Z300" s="1">
        <v>124</v>
      </c>
    </row>
    <row r="301" spans="1:26">
      <c r="A301" s="67" t="s">
        <v>1378</v>
      </c>
      <c r="B301">
        <v>201913690</v>
      </c>
      <c r="C301" t="s">
        <v>1379</v>
      </c>
      <c r="D301" t="s">
        <v>1380</v>
      </c>
      <c r="E301" t="s">
        <v>1381</v>
      </c>
      <c r="F301" t="s">
        <v>216</v>
      </c>
      <c r="G301" t="s">
        <v>246</v>
      </c>
      <c r="J301" t="s">
        <v>247</v>
      </c>
      <c r="K301">
        <v>2023</v>
      </c>
      <c r="L301">
        <v>202310</v>
      </c>
      <c r="M301">
        <v>202310</v>
      </c>
      <c r="N301" t="s">
        <v>248</v>
      </c>
      <c r="O301" t="s">
        <v>213</v>
      </c>
      <c r="P301" t="s">
        <v>249</v>
      </c>
      <c r="Q301" t="s">
        <v>216</v>
      </c>
      <c r="R301" t="s">
        <v>246</v>
      </c>
      <c r="S301" t="s">
        <v>383</v>
      </c>
      <c r="T301" s="70" t="str">
        <f>_xlfn.XLOOKUP(Tabla1[[#This Row],[Universidad]],Conversiones!$B:$B,Conversiones!$C:$C)</f>
        <v>Faculté des Sciences de l'Administration. FSA Laval</v>
      </c>
      <c r="U301" s="70" t="str">
        <f>_xlfn.XLOOKUP(Tabla1[[#This Row],[Universidad KPIs]],Conversiones!$C:$C,Conversiones!$E:$E)</f>
        <v>Específico</v>
      </c>
      <c r="V301" t="s">
        <v>58</v>
      </c>
      <c r="W301" t="s">
        <v>260</v>
      </c>
      <c r="X301" s="2">
        <v>44949</v>
      </c>
      <c r="Y301" s="2">
        <v>45073</v>
      </c>
      <c r="Z301">
        <v>124</v>
      </c>
    </row>
    <row r="302" spans="1:26">
      <c r="A302" s="68" t="s">
        <v>1382</v>
      </c>
      <c r="B302" s="1">
        <v>201920911</v>
      </c>
      <c r="C302" s="1" t="s">
        <v>434</v>
      </c>
      <c r="D302" s="1" t="s">
        <v>1383</v>
      </c>
      <c r="E302" s="1" t="s">
        <v>1384</v>
      </c>
      <c r="F302" s="1" t="s">
        <v>216</v>
      </c>
      <c r="G302" s="1" t="s">
        <v>246</v>
      </c>
      <c r="H302" s="1"/>
      <c r="I302" s="1"/>
      <c r="J302" s="1" t="s">
        <v>247</v>
      </c>
      <c r="K302" s="1">
        <v>2023</v>
      </c>
      <c r="L302" s="1">
        <v>202310</v>
      </c>
      <c r="M302" s="1">
        <v>202310</v>
      </c>
      <c r="N302" s="1" t="s">
        <v>248</v>
      </c>
      <c r="O302" s="1" t="s">
        <v>213</v>
      </c>
      <c r="P302" s="1" t="s">
        <v>249</v>
      </c>
      <c r="Q302" s="1" t="s">
        <v>216</v>
      </c>
      <c r="R302" s="1" t="s">
        <v>246</v>
      </c>
      <c r="S302" s="1" t="s">
        <v>163</v>
      </c>
      <c r="T302" s="70" t="str">
        <f>_xlfn.XLOOKUP(Tabla1[[#This Row],[Universidad]],Conversiones!$B:$B,Conversiones!$C:$C)</f>
        <v>University College London</v>
      </c>
      <c r="U302" s="70" t="str">
        <f>_xlfn.XLOOKUP(Tabla1[[#This Row],[Universidad KPIs]],Conversiones!$C:$C,Conversiones!$E:$E)</f>
        <v>General</v>
      </c>
      <c r="V302" s="1" t="s">
        <v>39</v>
      </c>
      <c r="W302" s="1" t="s">
        <v>250</v>
      </c>
      <c r="X302" s="55">
        <v>44949</v>
      </c>
      <c r="Y302" s="55">
        <v>45073</v>
      </c>
      <c r="Z302" s="1">
        <v>124</v>
      </c>
    </row>
    <row r="303" spans="1:26">
      <c r="A303" s="67" t="s">
        <v>1385</v>
      </c>
      <c r="B303">
        <v>202011088</v>
      </c>
      <c r="C303" t="s">
        <v>295</v>
      </c>
      <c r="D303" t="s">
        <v>1386</v>
      </c>
      <c r="E303" t="s">
        <v>1387</v>
      </c>
      <c r="F303" t="s">
        <v>216</v>
      </c>
      <c r="G303" t="s">
        <v>246</v>
      </c>
      <c r="J303" t="s">
        <v>247</v>
      </c>
      <c r="K303">
        <v>2023</v>
      </c>
      <c r="L303">
        <v>202310</v>
      </c>
      <c r="M303">
        <v>202310</v>
      </c>
      <c r="N303" t="s">
        <v>248</v>
      </c>
      <c r="O303" t="s">
        <v>213</v>
      </c>
      <c r="P303" t="s">
        <v>249</v>
      </c>
      <c r="Q303" t="s">
        <v>216</v>
      </c>
      <c r="R303" t="s">
        <v>246</v>
      </c>
      <c r="S303" t="s">
        <v>374</v>
      </c>
      <c r="T303" s="70" t="str">
        <f>_xlfn.XLOOKUP(Tabla1[[#This Row],[Universidad]],Conversiones!$B:$B,Conversiones!$C:$C)</f>
        <v>University of Ljubljana</v>
      </c>
      <c r="U303" s="70" t="str">
        <f>_xlfn.XLOOKUP(Tabla1[[#This Row],[Universidad KPIs]],Conversiones!$C:$C,Conversiones!$E:$E)</f>
        <v>Específico</v>
      </c>
      <c r="V303" t="s">
        <v>102</v>
      </c>
      <c r="W303" t="s">
        <v>250</v>
      </c>
      <c r="X303" s="2">
        <v>44949</v>
      </c>
      <c r="Y303" s="2">
        <v>45073</v>
      </c>
      <c r="Z303">
        <v>124</v>
      </c>
    </row>
    <row r="304" spans="1:26">
      <c r="A304" s="68" t="s">
        <v>1388</v>
      </c>
      <c r="B304" s="1">
        <v>202021561</v>
      </c>
      <c r="C304" s="1" t="s">
        <v>376</v>
      </c>
      <c r="D304" s="1" t="s">
        <v>1389</v>
      </c>
      <c r="E304" s="1" t="s">
        <v>1390</v>
      </c>
      <c r="F304" s="1" t="s">
        <v>216</v>
      </c>
      <c r="G304" s="1" t="s">
        <v>246</v>
      </c>
      <c r="H304" s="1"/>
      <c r="I304" s="1"/>
      <c r="J304" s="1" t="s">
        <v>247</v>
      </c>
      <c r="K304" s="1">
        <v>2023</v>
      </c>
      <c r="L304" s="1">
        <v>202319</v>
      </c>
      <c r="M304" s="1">
        <v>202319</v>
      </c>
      <c r="N304" s="1" t="s">
        <v>248</v>
      </c>
      <c r="O304" s="1" t="s">
        <v>215</v>
      </c>
      <c r="P304" s="1" t="s">
        <v>437</v>
      </c>
      <c r="Q304" s="1" t="s">
        <v>216</v>
      </c>
      <c r="R304" s="1" t="s">
        <v>246</v>
      </c>
      <c r="S304" s="1" t="s">
        <v>181</v>
      </c>
      <c r="T304" s="70" t="str">
        <f>_xlfn.XLOOKUP(Tabla1[[#This Row],[Universidad]],Conversiones!$B:$B,Conversiones!$C:$C)</f>
        <v>Cornell University</v>
      </c>
      <c r="U304" s="70" t="str">
        <f>_xlfn.XLOOKUP(Tabla1[[#This Row],[Universidad KPIs]],Conversiones!$C:$C,Conversiones!$E:$E)</f>
        <v>General</v>
      </c>
      <c r="V304" s="1" t="s">
        <v>35</v>
      </c>
      <c r="W304" s="1" t="s">
        <v>260</v>
      </c>
      <c r="X304" s="55">
        <v>45082</v>
      </c>
      <c r="Y304" s="55">
        <v>45136</v>
      </c>
      <c r="Z304" s="1">
        <v>54</v>
      </c>
    </row>
    <row r="305" spans="1:26">
      <c r="A305" s="67" t="s">
        <v>1391</v>
      </c>
      <c r="B305">
        <v>202020686</v>
      </c>
      <c r="C305" t="s">
        <v>1392</v>
      </c>
      <c r="D305" t="s">
        <v>1393</v>
      </c>
      <c r="E305" t="s">
        <v>1394</v>
      </c>
      <c r="F305" t="s">
        <v>216</v>
      </c>
      <c r="G305" t="s">
        <v>246</v>
      </c>
      <c r="J305" t="s">
        <v>247</v>
      </c>
      <c r="K305">
        <v>2023</v>
      </c>
      <c r="L305">
        <v>202320</v>
      </c>
      <c r="M305">
        <v>202320</v>
      </c>
      <c r="N305" t="s">
        <v>248</v>
      </c>
      <c r="O305" t="s">
        <v>213</v>
      </c>
      <c r="P305" t="s">
        <v>249</v>
      </c>
      <c r="Q305" t="s">
        <v>216</v>
      </c>
      <c r="R305" t="s">
        <v>246</v>
      </c>
      <c r="S305" t="s">
        <v>646</v>
      </c>
      <c r="T305" s="70" t="str">
        <f>_xlfn.XLOOKUP(Tabla1[[#This Row],[Universidad]],Conversiones!$B:$B,Conversiones!$C:$C)</f>
        <v>Aalto University</v>
      </c>
      <c r="U305" s="70" t="str">
        <f>_xlfn.XLOOKUP(Tabla1[[#This Row],[Universidad KPIs]],Conversiones!$C:$C,Conversiones!$E:$E)</f>
        <v>Específico</v>
      </c>
      <c r="V305" t="s">
        <v>37</v>
      </c>
      <c r="W305" t="s">
        <v>250</v>
      </c>
      <c r="X305" s="2">
        <v>45146</v>
      </c>
      <c r="Y305" s="2">
        <v>45262</v>
      </c>
      <c r="Z305">
        <v>116</v>
      </c>
    </row>
    <row r="306" spans="1:26">
      <c r="A306" s="68" t="s">
        <v>1395</v>
      </c>
      <c r="B306" s="1">
        <v>202012626</v>
      </c>
      <c r="C306" s="1" t="s">
        <v>699</v>
      </c>
      <c r="D306" s="1" t="s">
        <v>1396</v>
      </c>
      <c r="E306" s="1" t="s">
        <v>1397</v>
      </c>
      <c r="F306" s="1" t="s">
        <v>216</v>
      </c>
      <c r="G306" s="1" t="s">
        <v>246</v>
      </c>
      <c r="H306" s="1" t="s">
        <v>512</v>
      </c>
      <c r="I306" s="1" t="s">
        <v>513</v>
      </c>
      <c r="J306" s="1" t="s">
        <v>247</v>
      </c>
      <c r="K306" s="1">
        <v>2023</v>
      </c>
      <c r="L306" s="1">
        <v>202320</v>
      </c>
      <c r="M306" s="1">
        <v>202320</v>
      </c>
      <c r="N306" s="1" t="s">
        <v>248</v>
      </c>
      <c r="O306" s="1" t="s">
        <v>213</v>
      </c>
      <c r="P306" s="1" t="s">
        <v>249</v>
      </c>
      <c r="Q306" s="1" t="s">
        <v>216</v>
      </c>
      <c r="R306" s="1" t="s">
        <v>246</v>
      </c>
      <c r="S306" s="1" t="s">
        <v>38</v>
      </c>
      <c r="T306" s="70" t="str">
        <f>_xlfn.XLOOKUP(Tabla1[[#This Row],[Universidad]],Conversiones!$B:$B,Conversiones!$C:$C)</f>
        <v>Aston University</v>
      </c>
      <c r="U306" s="70" t="str">
        <f>_xlfn.XLOOKUP(Tabla1[[#This Row],[Universidad KPIs]],Conversiones!$C:$C,Conversiones!$E:$E)</f>
        <v>Específico</v>
      </c>
      <c r="V306" s="1" t="s">
        <v>39</v>
      </c>
      <c r="W306" s="1" t="s">
        <v>250</v>
      </c>
      <c r="X306" s="55">
        <v>45146</v>
      </c>
      <c r="Y306" s="55">
        <v>45262</v>
      </c>
      <c r="Z306" s="1">
        <v>116</v>
      </c>
    </row>
    <row r="307" spans="1:26">
      <c r="A307" s="67" t="s">
        <v>1398</v>
      </c>
      <c r="B307">
        <v>202021339</v>
      </c>
      <c r="C307" t="s">
        <v>1399</v>
      </c>
      <c r="D307" t="s">
        <v>1400</v>
      </c>
      <c r="E307" t="s">
        <v>1401</v>
      </c>
      <c r="F307" t="s">
        <v>216</v>
      </c>
      <c r="G307" t="s">
        <v>246</v>
      </c>
      <c r="J307" t="s">
        <v>247</v>
      </c>
      <c r="K307">
        <v>2023</v>
      </c>
      <c r="L307">
        <v>202320</v>
      </c>
      <c r="M307">
        <v>202320</v>
      </c>
      <c r="N307" t="s">
        <v>248</v>
      </c>
      <c r="O307" t="s">
        <v>213</v>
      </c>
      <c r="P307" t="s">
        <v>249</v>
      </c>
      <c r="Q307" t="s">
        <v>216</v>
      </c>
      <c r="R307" t="s">
        <v>246</v>
      </c>
      <c r="S307" t="s">
        <v>38</v>
      </c>
      <c r="T307" s="70" t="str">
        <f>_xlfn.XLOOKUP(Tabla1[[#This Row],[Universidad]],Conversiones!$B:$B,Conversiones!$C:$C)</f>
        <v>Aston University</v>
      </c>
      <c r="U307" s="70" t="str">
        <f>_xlfn.XLOOKUP(Tabla1[[#This Row],[Universidad KPIs]],Conversiones!$C:$C,Conversiones!$E:$E)</f>
        <v>Específico</v>
      </c>
      <c r="V307" t="s">
        <v>39</v>
      </c>
      <c r="W307" t="s">
        <v>250</v>
      </c>
      <c r="X307" s="2">
        <v>45146</v>
      </c>
      <c r="Y307" s="2">
        <v>45262</v>
      </c>
      <c r="Z307">
        <v>116</v>
      </c>
    </row>
    <row r="308" spans="1:26">
      <c r="A308" s="68" t="s">
        <v>1402</v>
      </c>
      <c r="B308" s="1">
        <v>202021420</v>
      </c>
      <c r="C308" s="1" t="s">
        <v>1403</v>
      </c>
      <c r="D308" s="1" t="s">
        <v>1404</v>
      </c>
      <c r="E308" s="1" t="s">
        <v>1405</v>
      </c>
      <c r="F308" s="1" t="s">
        <v>216</v>
      </c>
      <c r="G308" s="1" t="s">
        <v>246</v>
      </c>
      <c r="H308" s="1"/>
      <c r="I308" s="1"/>
      <c r="J308" s="1" t="s">
        <v>247</v>
      </c>
      <c r="K308" s="1">
        <v>2023</v>
      </c>
      <c r="L308" s="1">
        <v>202320</v>
      </c>
      <c r="M308" s="1">
        <v>202320</v>
      </c>
      <c r="N308" s="1" t="s">
        <v>248</v>
      </c>
      <c r="O308" s="1" t="s">
        <v>213</v>
      </c>
      <c r="P308" s="1" t="s">
        <v>249</v>
      </c>
      <c r="Q308" s="1" t="s">
        <v>216</v>
      </c>
      <c r="R308" s="1" t="s">
        <v>246</v>
      </c>
      <c r="S308" s="1" t="s">
        <v>613</v>
      </c>
      <c r="T308" s="70" t="str">
        <f>_xlfn.XLOOKUP(Tabla1[[#This Row],[Universidad]],Conversiones!$B:$B,Conversiones!$C:$C)</f>
        <v>Audencia. École de Management</v>
      </c>
      <c r="U308" s="70" t="str">
        <f>_xlfn.XLOOKUP(Tabla1[[#This Row],[Universidad KPIs]],Conversiones!$C:$C,Conversiones!$E:$E)</f>
        <v>Específico</v>
      </c>
      <c r="V308" s="1" t="s">
        <v>41</v>
      </c>
      <c r="W308" s="1" t="s">
        <v>250</v>
      </c>
      <c r="X308" s="55">
        <v>45146</v>
      </c>
      <c r="Y308" s="55">
        <v>45262</v>
      </c>
      <c r="Z308" s="1">
        <v>116</v>
      </c>
    </row>
    <row r="309" spans="1:26">
      <c r="A309" s="67" t="s">
        <v>1406</v>
      </c>
      <c r="B309">
        <v>202110101</v>
      </c>
      <c r="C309" t="s">
        <v>1407</v>
      </c>
      <c r="D309" t="s">
        <v>1408</v>
      </c>
      <c r="E309" t="s">
        <v>1409</v>
      </c>
      <c r="F309" t="s">
        <v>1410</v>
      </c>
      <c r="G309" t="s">
        <v>246</v>
      </c>
      <c r="J309" t="s">
        <v>247</v>
      </c>
      <c r="K309">
        <v>2023</v>
      </c>
      <c r="L309">
        <v>202320</v>
      </c>
      <c r="M309">
        <v>202320</v>
      </c>
      <c r="N309" t="s">
        <v>587</v>
      </c>
      <c r="O309" t="s">
        <v>213</v>
      </c>
      <c r="P309" t="s">
        <v>1121</v>
      </c>
      <c r="Q309" t="s">
        <v>219</v>
      </c>
      <c r="R309" t="s">
        <v>246</v>
      </c>
      <c r="S309" t="s">
        <v>184</v>
      </c>
      <c r="T309" s="70" t="str">
        <f>_xlfn.XLOOKUP(Tabla1[[#This Row],[Universidad]],Conversiones!$B:$B,Conversiones!$C:$C)</f>
        <v>Central European University</v>
      </c>
      <c r="U309" s="70" t="str">
        <f>_xlfn.XLOOKUP(Tabla1[[#This Row],[Universidad KPIs]],Conversiones!$C:$C,Conversiones!$E:$E)</f>
        <v>General</v>
      </c>
      <c r="V309" t="s">
        <v>185</v>
      </c>
      <c r="W309" t="s">
        <v>250</v>
      </c>
      <c r="X309" s="2">
        <v>45146</v>
      </c>
      <c r="Y309" s="2">
        <v>45262</v>
      </c>
      <c r="Z309">
        <v>116</v>
      </c>
    </row>
    <row r="310" spans="1:26">
      <c r="A310" s="68" t="s">
        <v>1411</v>
      </c>
      <c r="B310" s="1">
        <v>202022290</v>
      </c>
      <c r="C310" s="1" t="s">
        <v>1412</v>
      </c>
      <c r="D310" s="1" t="s">
        <v>1413</v>
      </c>
      <c r="E310" s="1" t="s">
        <v>1414</v>
      </c>
      <c r="F310" s="1" t="s">
        <v>216</v>
      </c>
      <c r="G310" s="1" t="s">
        <v>246</v>
      </c>
      <c r="H310" s="1"/>
      <c r="I310" s="1"/>
      <c r="J310" s="1" t="s">
        <v>247</v>
      </c>
      <c r="K310" s="1">
        <v>2023</v>
      </c>
      <c r="L310" s="1">
        <v>202320</v>
      </c>
      <c r="M310" s="1">
        <v>202320</v>
      </c>
      <c r="N310" s="1" t="s">
        <v>248</v>
      </c>
      <c r="O310" s="1" t="s">
        <v>213</v>
      </c>
      <c r="P310" s="1" t="s">
        <v>249</v>
      </c>
      <c r="Q310" s="1" t="s">
        <v>216</v>
      </c>
      <c r="R310" s="1" t="s">
        <v>246</v>
      </c>
      <c r="S310" s="1" t="s">
        <v>48</v>
      </c>
      <c r="T310" s="70" t="str">
        <f>_xlfn.XLOOKUP(Tabla1[[#This Row],[Universidad]],Conversiones!$B:$B,Conversiones!$C:$C)</f>
        <v>City University of Hong Kong</v>
      </c>
      <c r="U310" s="70" t="str">
        <f>_xlfn.XLOOKUP(Tabla1[[#This Row],[Universidad KPIs]],Conversiones!$C:$C,Conversiones!$E:$E)</f>
        <v>Específico</v>
      </c>
      <c r="V310" s="1" t="s">
        <v>49</v>
      </c>
      <c r="W310" s="1" t="s">
        <v>537</v>
      </c>
      <c r="X310" s="55">
        <v>45146</v>
      </c>
      <c r="Y310" s="55">
        <v>45262</v>
      </c>
      <c r="Z310" s="1">
        <v>116</v>
      </c>
    </row>
    <row r="311" spans="1:26">
      <c r="A311" s="67" t="s">
        <v>1415</v>
      </c>
      <c r="B311">
        <v>201820957</v>
      </c>
      <c r="C311" t="s">
        <v>1416</v>
      </c>
      <c r="D311" t="s">
        <v>1417</v>
      </c>
      <c r="E311" t="s">
        <v>1418</v>
      </c>
      <c r="F311" t="s">
        <v>216</v>
      </c>
      <c r="G311" t="s">
        <v>246</v>
      </c>
      <c r="H311" t="s">
        <v>617</v>
      </c>
      <c r="I311" t="s">
        <v>618</v>
      </c>
      <c r="J311" t="s">
        <v>247</v>
      </c>
      <c r="K311">
        <v>2023</v>
      </c>
      <c r="L311">
        <v>202320</v>
      </c>
      <c r="M311">
        <v>202320</v>
      </c>
      <c r="N311" t="s">
        <v>248</v>
      </c>
      <c r="O311" t="s">
        <v>213</v>
      </c>
      <c r="P311" t="s">
        <v>249</v>
      </c>
      <c r="Q311" t="s">
        <v>216</v>
      </c>
      <c r="R311" t="s">
        <v>246</v>
      </c>
      <c r="S311" t="s">
        <v>127</v>
      </c>
      <c r="T311" s="70" t="str">
        <f>_xlfn.XLOOKUP(Tabla1[[#This Row],[Universidad]],Conversiones!$B:$B,Conversiones!$C:$C)</f>
        <v>Curtin University</v>
      </c>
      <c r="U311" s="70" t="str">
        <f>_xlfn.XLOOKUP(Tabla1[[#This Row],[Universidad KPIs]],Conversiones!$C:$C,Conversiones!$E:$E)</f>
        <v>General</v>
      </c>
      <c r="V311" t="s">
        <v>90</v>
      </c>
      <c r="W311" t="s">
        <v>354</v>
      </c>
      <c r="X311" s="2">
        <v>45146</v>
      </c>
      <c r="Y311" s="2">
        <v>45262</v>
      </c>
      <c r="Z311">
        <v>116</v>
      </c>
    </row>
    <row r="312" spans="1:26">
      <c r="A312" s="68" t="s">
        <v>1419</v>
      </c>
      <c r="B312" s="1">
        <v>202012032</v>
      </c>
      <c r="C312" s="1" t="s">
        <v>1420</v>
      </c>
      <c r="D312" s="1" t="s">
        <v>1421</v>
      </c>
      <c r="E312" s="1" t="s">
        <v>1422</v>
      </c>
      <c r="F312" s="1" t="s">
        <v>216</v>
      </c>
      <c r="G312" s="1" t="s">
        <v>246</v>
      </c>
      <c r="H312" s="1"/>
      <c r="I312" s="1"/>
      <c r="J312" s="1" t="s">
        <v>247</v>
      </c>
      <c r="K312" s="1">
        <v>2023</v>
      </c>
      <c r="L312" s="1">
        <v>202320</v>
      </c>
      <c r="M312" s="1">
        <v>202320</v>
      </c>
      <c r="N312" s="1" t="s">
        <v>248</v>
      </c>
      <c r="O312" s="1" t="s">
        <v>213</v>
      </c>
      <c r="P312" s="1" t="s">
        <v>249</v>
      </c>
      <c r="Q312" s="1" t="s">
        <v>216</v>
      </c>
      <c r="R312" s="1" t="s">
        <v>246</v>
      </c>
      <c r="S312" s="1" t="s">
        <v>335</v>
      </c>
      <c r="T312" s="70" t="str">
        <f>_xlfn.XLOOKUP(Tabla1[[#This Row],[Universidad]],Conversiones!$B:$B,Conversiones!$C:$C)</f>
        <v>HEC Montréal</v>
      </c>
      <c r="U312" s="70" t="str">
        <f>_xlfn.XLOOKUP(Tabla1[[#This Row],[Universidad KPIs]],Conversiones!$C:$C,Conversiones!$E:$E)</f>
        <v>Específico</v>
      </c>
      <c r="V312" s="1" t="s">
        <v>58</v>
      </c>
      <c r="W312" s="1" t="s">
        <v>260</v>
      </c>
      <c r="X312" s="55">
        <v>45146</v>
      </c>
      <c r="Y312" s="55">
        <v>45262</v>
      </c>
      <c r="Z312" s="1">
        <v>116</v>
      </c>
    </row>
    <row r="313" spans="1:26">
      <c r="A313" s="67" t="s">
        <v>1423</v>
      </c>
      <c r="B313">
        <v>201922310</v>
      </c>
      <c r="C313" t="s">
        <v>295</v>
      </c>
      <c r="D313" t="s">
        <v>1424</v>
      </c>
      <c r="E313" t="s">
        <v>1425</v>
      </c>
      <c r="F313" t="s">
        <v>216</v>
      </c>
      <c r="G313" t="s">
        <v>246</v>
      </c>
      <c r="J313" t="s">
        <v>247</v>
      </c>
      <c r="K313">
        <v>2023</v>
      </c>
      <c r="L313">
        <v>202320</v>
      </c>
      <c r="M313">
        <v>202310</v>
      </c>
      <c r="N313" t="s">
        <v>248</v>
      </c>
      <c r="O313" t="s">
        <v>213</v>
      </c>
      <c r="P313" t="s">
        <v>249</v>
      </c>
      <c r="Q313" t="s">
        <v>216</v>
      </c>
      <c r="R313" t="s">
        <v>246</v>
      </c>
      <c r="S313" t="s">
        <v>335</v>
      </c>
      <c r="T313" s="70" t="str">
        <f>_xlfn.XLOOKUP(Tabla1[[#This Row],[Universidad]],Conversiones!$B:$B,Conversiones!$C:$C)</f>
        <v>HEC Montréal</v>
      </c>
      <c r="U313" s="70" t="str">
        <f>_xlfn.XLOOKUP(Tabla1[[#This Row],[Universidad KPIs]],Conversiones!$C:$C,Conversiones!$E:$E)</f>
        <v>Específico</v>
      </c>
      <c r="V313" t="s">
        <v>58</v>
      </c>
      <c r="W313" t="s">
        <v>260</v>
      </c>
      <c r="X313" s="2">
        <v>45146</v>
      </c>
      <c r="Y313" s="2">
        <v>45262</v>
      </c>
      <c r="Z313">
        <v>116</v>
      </c>
    </row>
    <row r="314" spans="1:26">
      <c r="A314" s="68" t="s">
        <v>1426</v>
      </c>
      <c r="B314" s="1">
        <v>202012811</v>
      </c>
      <c r="C314" s="1" t="s">
        <v>1427</v>
      </c>
      <c r="D314" s="1" t="s">
        <v>1428</v>
      </c>
      <c r="E314" s="1" t="s">
        <v>1429</v>
      </c>
      <c r="F314" s="1" t="s">
        <v>216</v>
      </c>
      <c r="G314" s="1" t="s">
        <v>246</v>
      </c>
      <c r="H314" s="1" t="s">
        <v>512</v>
      </c>
      <c r="I314" s="1" t="s">
        <v>513</v>
      </c>
      <c r="J314" s="1" t="s">
        <v>247</v>
      </c>
      <c r="K314" s="1">
        <v>2023</v>
      </c>
      <c r="L314" s="1">
        <v>202320</v>
      </c>
      <c r="M314" s="1">
        <v>202320</v>
      </c>
      <c r="N314" s="1" t="s">
        <v>248</v>
      </c>
      <c r="O314" s="1" t="s">
        <v>213</v>
      </c>
      <c r="P314" s="1" t="s">
        <v>249</v>
      </c>
      <c r="Q314" s="1" t="s">
        <v>216</v>
      </c>
      <c r="R314" s="1" t="s">
        <v>246</v>
      </c>
      <c r="S314" s="1" t="s">
        <v>388</v>
      </c>
      <c r="T314" s="70" t="str">
        <f>_xlfn.XLOOKUP(Tabla1[[#This Row],[Universidad]],Conversiones!$B:$B,Conversiones!$C:$C)</f>
        <v>ESCP</v>
      </c>
      <c r="U314" s="70" t="str">
        <f>_xlfn.XLOOKUP(Tabla1[[#This Row],[Universidad KPIs]],Conversiones!$C:$C,Conversiones!$E:$E)</f>
        <v>Específico</v>
      </c>
      <c r="V314" s="1" t="s">
        <v>41</v>
      </c>
      <c r="W314" s="1" t="s">
        <v>250</v>
      </c>
      <c r="X314" s="55">
        <v>45146</v>
      </c>
      <c r="Y314" s="55">
        <v>45262</v>
      </c>
      <c r="Z314" s="1">
        <v>116</v>
      </c>
    </row>
    <row r="315" spans="1:26">
      <c r="A315" s="67" t="s">
        <v>1430</v>
      </c>
      <c r="B315">
        <v>202021100</v>
      </c>
      <c r="C315" t="s">
        <v>1431</v>
      </c>
      <c r="D315" t="s">
        <v>1432</v>
      </c>
      <c r="E315" t="s">
        <v>1433</v>
      </c>
      <c r="F315" t="s">
        <v>216</v>
      </c>
      <c r="G315" t="s">
        <v>246</v>
      </c>
      <c r="J315" t="s">
        <v>247</v>
      </c>
      <c r="K315">
        <v>2023</v>
      </c>
      <c r="L315">
        <v>202320</v>
      </c>
      <c r="M315">
        <v>202320</v>
      </c>
      <c r="N315" t="s">
        <v>248</v>
      </c>
      <c r="O315" t="s">
        <v>213</v>
      </c>
      <c r="P315" t="s">
        <v>249</v>
      </c>
      <c r="Q315" t="s">
        <v>216</v>
      </c>
      <c r="R315" t="s">
        <v>246</v>
      </c>
      <c r="S315" t="s">
        <v>388</v>
      </c>
      <c r="T315" s="70" t="str">
        <f>_xlfn.XLOOKUP(Tabla1[[#This Row],[Universidad]],Conversiones!$B:$B,Conversiones!$C:$C)</f>
        <v>ESCP</v>
      </c>
      <c r="U315" s="70" t="str">
        <f>_xlfn.XLOOKUP(Tabla1[[#This Row],[Universidad KPIs]],Conversiones!$C:$C,Conversiones!$E:$E)</f>
        <v>Específico</v>
      </c>
      <c r="V315" t="s">
        <v>41</v>
      </c>
      <c r="W315" t="s">
        <v>250</v>
      </c>
      <c r="X315" s="2">
        <v>45146</v>
      </c>
      <c r="Y315" s="2">
        <v>45262</v>
      </c>
      <c r="Z315">
        <v>116</v>
      </c>
    </row>
    <row r="316" spans="1:26">
      <c r="A316" s="68" t="s">
        <v>1434</v>
      </c>
      <c r="B316" s="1">
        <v>201922176</v>
      </c>
      <c r="C316" s="1" t="s">
        <v>1435</v>
      </c>
      <c r="D316" s="1" t="s">
        <v>1436</v>
      </c>
      <c r="E316" s="1" t="s">
        <v>1437</v>
      </c>
      <c r="F316" s="1" t="s">
        <v>216</v>
      </c>
      <c r="G316" s="1" t="s">
        <v>246</v>
      </c>
      <c r="H316" s="1"/>
      <c r="I316" s="1"/>
      <c r="J316" s="1" t="s">
        <v>247</v>
      </c>
      <c r="K316" s="1">
        <v>2023</v>
      </c>
      <c r="L316" s="1">
        <v>202320</v>
      </c>
      <c r="M316" s="1">
        <v>202320</v>
      </c>
      <c r="N316" s="1" t="s">
        <v>248</v>
      </c>
      <c r="O316" s="1" t="s">
        <v>213</v>
      </c>
      <c r="P316" s="1" t="s">
        <v>249</v>
      </c>
      <c r="Q316" s="1" t="s">
        <v>216</v>
      </c>
      <c r="R316" s="1" t="s">
        <v>246</v>
      </c>
      <c r="S316" s="1" t="s">
        <v>298</v>
      </c>
      <c r="T316" s="70" t="str">
        <f>_xlfn.XLOOKUP(Tabla1[[#This Row],[Universidad]],Conversiones!$B:$B,Conversiones!$C:$C)</f>
        <v>ESSEC</v>
      </c>
      <c r="U316" s="70" t="str">
        <f>_xlfn.XLOOKUP(Tabla1[[#This Row],[Universidad KPIs]],Conversiones!$C:$C,Conversiones!$E:$E)</f>
        <v>Específico</v>
      </c>
      <c r="V316" s="1" t="s">
        <v>41</v>
      </c>
      <c r="W316" s="1" t="s">
        <v>250</v>
      </c>
      <c r="X316" s="55">
        <v>45146</v>
      </c>
      <c r="Y316" s="55">
        <v>45262</v>
      </c>
      <c r="Z316" s="1">
        <v>116</v>
      </c>
    </row>
    <row r="317" spans="1:26">
      <c r="A317" s="67" t="s">
        <v>1438</v>
      </c>
      <c r="B317">
        <v>201923607</v>
      </c>
      <c r="C317" t="s">
        <v>1412</v>
      </c>
      <c r="D317" t="s">
        <v>1439</v>
      </c>
      <c r="E317" t="s">
        <v>1440</v>
      </c>
      <c r="F317" t="s">
        <v>216</v>
      </c>
      <c r="G317" t="s">
        <v>246</v>
      </c>
      <c r="J317" t="s">
        <v>247</v>
      </c>
      <c r="K317">
        <v>2023</v>
      </c>
      <c r="L317">
        <v>202320</v>
      </c>
      <c r="M317">
        <v>202320</v>
      </c>
      <c r="N317" t="s">
        <v>248</v>
      </c>
      <c r="O317" t="s">
        <v>213</v>
      </c>
      <c r="P317" t="s">
        <v>249</v>
      </c>
      <c r="Q317" t="s">
        <v>216</v>
      </c>
      <c r="R317" t="s">
        <v>246</v>
      </c>
      <c r="S317" t="s">
        <v>298</v>
      </c>
      <c r="T317" s="70" t="str">
        <f>_xlfn.XLOOKUP(Tabla1[[#This Row],[Universidad]],Conversiones!$B:$B,Conversiones!$C:$C)</f>
        <v>ESSEC</v>
      </c>
      <c r="U317" s="70" t="str">
        <f>_xlfn.XLOOKUP(Tabla1[[#This Row],[Universidad KPIs]],Conversiones!$C:$C,Conversiones!$E:$E)</f>
        <v>Específico</v>
      </c>
      <c r="V317" t="s">
        <v>41</v>
      </c>
      <c r="W317" t="s">
        <v>250</v>
      </c>
      <c r="X317" s="2">
        <v>45146</v>
      </c>
      <c r="Y317" s="2">
        <v>45262</v>
      </c>
      <c r="Z317">
        <v>116</v>
      </c>
    </row>
    <row r="318" spans="1:26">
      <c r="A318" s="68" t="s">
        <v>1441</v>
      </c>
      <c r="B318" s="1">
        <v>202013434</v>
      </c>
      <c r="C318" s="1" t="s">
        <v>1442</v>
      </c>
      <c r="D318" s="1" t="s">
        <v>1443</v>
      </c>
      <c r="E318" s="1" t="s">
        <v>1444</v>
      </c>
      <c r="F318" s="1" t="s">
        <v>216</v>
      </c>
      <c r="G318" s="1" t="s">
        <v>246</v>
      </c>
      <c r="H318" s="1" t="s">
        <v>460</v>
      </c>
      <c r="I318" s="1" t="s">
        <v>461</v>
      </c>
      <c r="J318" s="1" t="s">
        <v>247</v>
      </c>
      <c r="K318" s="1">
        <v>2023</v>
      </c>
      <c r="L318" s="1">
        <v>202320</v>
      </c>
      <c r="M318" s="1">
        <v>202320</v>
      </c>
      <c r="N318" s="1" t="s">
        <v>248</v>
      </c>
      <c r="O318" s="1" t="s">
        <v>213</v>
      </c>
      <c r="P318" s="1" t="s">
        <v>249</v>
      </c>
      <c r="Q318" s="1" t="s">
        <v>216</v>
      </c>
      <c r="R318" s="1" t="s">
        <v>246</v>
      </c>
      <c r="S318" s="1" t="s">
        <v>61</v>
      </c>
      <c r="T318" s="70" t="str">
        <f>_xlfn.XLOOKUP(Tabla1[[#This Row],[Universidad]],Conversiones!$B:$B,Conversiones!$C:$C)</f>
        <v>Fundação Getulio Vargas</v>
      </c>
      <c r="U318" s="70" t="str">
        <f>_xlfn.XLOOKUP(Tabla1[[#This Row],[Universidad KPIs]],Conversiones!$C:$C,Conversiones!$E:$E)</f>
        <v>Específico</v>
      </c>
      <c r="V318" s="1" t="s">
        <v>62</v>
      </c>
      <c r="W318" s="1" t="s">
        <v>265</v>
      </c>
      <c r="X318" s="55">
        <v>45146</v>
      </c>
      <c r="Y318" s="55">
        <v>45262</v>
      </c>
      <c r="Z318" s="1">
        <v>116</v>
      </c>
    </row>
    <row r="319" spans="1:26">
      <c r="A319" s="67" t="s">
        <v>1445</v>
      </c>
      <c r="B319">
        <v>202021706</v>
      </c>
      <c r="C319" t="s">
        <v>1336</v>
      </c>
      <c r="D319" t="s">
        <v>1446</v>
      </c>
      <c r="E319" t="s">
        <v>1447</v>
      </c>
      <c r="F319" t="s">
        <v>216</v>
      </c>
      <c r="G319" t="s">
        <v>246</v>
      </c>
      <c r="J319" t="s">
        <v>247</v>
      </c>
      <c r="K319">
        <v>2023</v>
      </c>
      <c r="L319">
        <v>202320</v>
      </c>
      <c r="M319">
        <v>202320</v>
      </c>
      <c r="N319" t="s">
        <v>248</v>
      </c>
      <c r="O319" t="s">
        <v>213</v>
      </c>
      <c r="P319" t="s">
        <v>249</v>
      </c>
      <c r="Q319" t="s">
        <v>216</v>
      </c>
      <c r="R319" t="s">
        <v>246</v>
      </c>
      <c r="S319" t="s">
        <v>619</v>
      </c>
      <c r="T319" s="70" t="str">
        <f>_xlfn.XLOOKUP(Tabla1[[#This Row],[Universidad]],Conversiones!$B:$B,Conversiones!$C:$C)</f>
        <v>Grenoble. École de Management</v>
      </c>
      <c r="U319" s="70" t="str">
        <f>_xlfn.XLOOKUP(Tabla1[[#This Row],[Universidad KPIs]],Conversiones!$C:$C,Conversiones!$E:$E)</f>
        <v>Específico</v>
      </c>
      <c r="V319" t="s">
        <v>41</v>
      </c>
      <c r="W319" t="s">
        <v>250</v>
      </c>
      <c r="X319" s="2">
        <v>45146</v>
      </c>
      <c r="Y319" s="2">
        <v>45262</v>
      </c>
      <c r="Z319">
        <v>116</v>
      </c>
    </row>
    <row r="320" spans="1:26">
      <c r="A320" s="68" t="s">
        <v>1448</v>
      </c>
      <c r="B320" s="1">
        <v>202011263</v>
      </c>
      <c r="C320" s="1" t="s">
        <v>555</v>
      </c>
      <c r="D320" s="1" t="s">
        <v>1449</v>
      </c>
      <c r="E320" s="1" t="s">
        <v>1450</v>
      </c>
      <c r="F320" s="1" t="s">
        <v>216</v>
      </c>
      <c r="G320" s="1" t="s">
        <v>246</v>
      </c>
      <c r="H320" s="1"/>
      <c r="I320" s="1"/>
      <c r="J320" s="1" t="s">
        <v>247</v>
      </c>
      <c r="K320" s="1">
        <v>2023</v>
      </c>
      <c r="L320" s="1">
        <v>202320</v>
      </c>
      <c r="M320" s="1">
        <v>202320</v>
      </c>
      <c r="N320" s="1" t="s">
        <v>248</v>
      </c>
      <c r="O320" s="1" t="s">
        <v>213</v>
      </c>
      <c r="P320" s="1" t="s">
        <v>249</v>
      </c>
      <c r="Q320" s="1" t="s">
        <v>216</v>
      </c>
      <c r="R320" s="1" t="s">
        <v>246</v>
      </c>
      <c r="S320" s="1" t="s">
        <v>410</v>
      </c>
      <c r="T320" s="70" t="str">
        <f>_xlfn.XLOOKUP(Tabla1[[#This Row],[Universidad]],Conversiones!$B:$B,Conversiones!$C:$C)</f>
        <v xml:space="preserve">CBS- Copenhagen Business School  </v>
      </c>
      <c r="U320" s="70" t="str">
        <f>_xlfn.XLOOKUP(Tabla1[[#This Row],[Universidad KPIs]],Conversiones!$C:$C,Conversiones!$E:$E)</f>
        <v>Específico</v>
      </c>
      <c r="V320" s="1" t="s">
        <v>47</v>
      </c>
      <c r="W320" s="1" t="s">
        <v>250</v>
      </c>
      <c r="X320" s="55">
        <v>45146</v>
      </c>
      <c r="Y320" s="55">
        <v>45262</v>
      </c>
      <c r="Z320" s="1">
        <v>116</v>
      </c>
    </row>
    <row r="321" spans="1:26">
      <c r="A321" s="67" t="s">
        <v>1451</v>
      </c>
      <c r="B321">
        <v>202021656</v>
      </c>
      <c r="C321" t="s">
        <v>468</v>
      </c>
      <c r="D321" t="s">
        <v>1452</v>
      </c>
      <c r="E321" t="s">
        <v>1453</v>
      </c>
      <c r="F321" t="s">
        <v>460</v>
      </c>
      <c r="G321" t="s">
        <v>461</v>
      </c>
      <c r="H321" t="s">
        <v>216</v>
      </c>
      <c r="I321" t="s">
        <v>246</v>
      </c>
      <c r="J321" t="s">
        <v>247</v>
      </c>
      <c r="K321">
        <v>2023</v>
      </c>
      <c r="L321">
        <v>202320</v>
      </c>
      <c r="M321">
        <v>202320</v>
      </c>
      <c r="N321" t="s">
        <v>248</v>
      </c>
      <c r="O321" t="s">
        <v>213</v>
      </c>
      <c r="P321" t="s">
        <v>249</v>
      </c>
      <c r="Q321" t="s">
        <v>216</v>
      </c>
      <c r="R321" t="s">
        <v>246</v>
      </c>
      <c r="S321" t="s">
        <v>1454</v>
      </c>
      <c r="T321" s="70" t="str">
        <f>_xlfn.XLOOKUP(Tabla1[[#This Row],[Universidad]],Conversiones!$B:$B,Conversiones!$C:$C)</f>
        <v>HEC Paris</v>
      </c>
      <c r="U321" s="70" t="str">
        <f>_xlfn.XLOOKUP(Tabla1[[#This Row],[Universidad KPIs]],Conversiones!$C:$C,Conversiones!$E:$E)</f>
        <v>Específico</v>
      </c>
      <c r="V321" t="s">
        <v>41</v>
      </c>
      <c r="W321" t="s">
        <v>250</v>
      </c>
      <c r="X321" s="2">
        <v>45146</v>
      </c>
      <c r="Y321" s="2">
        <v>45262</v>
      </c>
      <c r="Z321">
        <v>116</v>
      </c>
    </row>
    <row r="322" spans="1:26">
      <c r="A322" s="68" t="s">
        <v>1455</v>
      </c>
      <c r="B322" s="1">
        <v>202021037</v>
      </c>
      <c r="C322" s="1" t="s">
        <v>1456</v>
      </c>
      <c r="D322" s="1" t="s">
        <v>1457</v>
      </c>
      <c r="E322" s="1" t="s">
        <v>1458</v>
      </c>
      <c r="F322" s="1" t="s">
        <v>216</v>
      </c>
      <c r="G322" s="1" t="s">
        <v>246</v>
      </c>
      <c r="H322" s="1"/>
      <c r="I322" s="1"/>
      <c r="J322" s="1" t="s">
        <v>247</v>
      </c>
      <c r="K322" s="1">
        <v>2023</v>
      </c>
      <c r="L322" s="1">
        <v>202320</v>
      </c>
      <c r="M322" s="1">
        <v>202320</v>
      </c>
      <c r="N322" s="1" t="s">
        <v>248</v>
      </c>
      <c r="O322" s="1" t="s">
        <v>213</v>
      </c>
      <c r="P322" s="1" t="s">
        <v>249</v>
      </c>
      <c r="Q322" s="1" t="s">
        <v>216</v>
      </c>
      <c r="R322" s="1" t="s">
        <v>246</v>
      </c>
      <c r="S322" s="1" t="s">
        <v>1454</v>
      </c>
      <c r="T322" s="70" t="str">
        <f>_xlfn.XLOOKUP(Tabla1[[#This Row],[Universidad]],Conversiones!$B:$B,Conversiones!$C:$C)</f>
        <v>HEC Paris</v>
      </c>
      <c r="U322" s="70" t="str">
        <f>_xlfn.XLOOKUP(Tabla1[[#This Row],[Universidad KPIs]],Conversiones!$C:$C,Conversiones!$E:$E)</f>
        <v>Específico</v>
      </c>
      <c r="V322" s="1" t="s">
        <v>41</v>
      </c>
      <c r="W322" s="1" t="s">
        <v>250</v>
      </c>
      <c r="X322" s="55">
        <v>45146</v>
      </c>
      <c r="Y322" s="55">
        <v>45262</v>
      </c>
      <c r="Z322" s="1">
        <v>116</v>
      </c>
    </row>
    <row r="323" spans="1:26">
      <c r="A323" s="67" t="s">
        <v>1459</v>
      </c>
      <c r="B323">
        <v>202011039</v>
      </c>
      <c r="C323" t="s">
        <v>1460</v>
      </c>
      <c r="D323" t="s">
        <v>1461</v>
      </c>
      <c r="E323" t="s">
        <v>1462</v>
      </c>
      <c r="F323" t="s">
        <v>216</v>
      </c>
      <c r="G323" t="s">
        <v>246</v>
      </c>
      <c r="J323" t="s">
        <v>247</v>
      </c>
      <c r="K323">
        <v>2023</v>
      </c>
      <c r="L323">
        <v>202320</v>
      </c>
      <c r="M323">
        <v>202320</v>
      </c>
      <c r="N323" t="s">
        <v>248</v>
      </c>
      <c r="O323" t="s">
        <v>213</v>
      </c>
      <c r="P323" t="s">
        <v>249</v>
      </c>
      <c r="Q323" t="s">
        <v>216</v>
      </c>
      <c r="R323" t="s">
        <v>246</v>
      </c>
      <c r="S323" t="s">
        <v>589</v>
      </c>
      <c r="T323" s="70" t="str">
        <f>_xlfn.XLOOKUP(Tabla1[[#This Row],[Universidad]],Conversiones!$B:$B,Conversiones!$C:$C)</f>
        <v>JIBS Jönköping International Business School</v>
      </c>
      <c r="U323" s="70" t="str">
        <f>_xlfn.XLOOKUP(Tabla1[[#This Row],[Universidad KPIs]],Conversiones!$C:$C,Conversiones!$E:$E)</f>
        <v>Específico</v>
      </c>
      <c r="V323" t="s">
        <v>74</v>
      </c>
      <c r="W323" t="s">
        <v>250</v>
      </c>
      <c r="X323" s="2">
        <v>45146</v>
      </c>
      <c r="Y323" s="2">
        <v>45262</v>
      </c>
      <c r="Z323">
        <v>116</v>
      </c>
    </row>
    <row r="324" spans="1:26">
      <c r="A324" s="68" t="s">
        <v>1463</v>
      </c>
      <c r="B324" s="1">
        <v>201729521</v>
      </c>
      <c r="C324" s="1" t="s">
        <v>1427</v>
      </c>
      <c r="D324" s="1" t="s">
        <v>1464</v>
      </c>
      <c r="E324" s="1" t="s">
        <v>1465</v>
      </c>
      <c r="F324" s="1" t="s">
        <v>512</v>
      </c>
      <c r="G324" s="1" t="s">
        <v>513</v>
      </c>
      <c r="H324" s="1" t="s">
        <v>216</v>
      </c>
      <c r="I324" s="1" t="s">
        <v>246</v>
      </c>
      <c r="J324" s="1" t="s">
        <v>247</v>
      </c>
      <c r="K324" s="1">
        <v>2023</v>
      </c>
      <c r="L324" s="1">
        <v>202320</v>
      </c>
      <c r="M324" s="1">
        <v>202320</v>
      </c>
      <c r="N324" s="1" t="s">
        <v>248</v>
      </c>
      <c r="O324" s="1" t="s">
        <v>213</v>
      </c>
      <c r="P324" s="1" t="s">
        <v>249</v>
      </c>
      <c r="Q324" s="1" t="s">
        <v>216</v>
      </c>
      <c r="R324" s="1" t="s">
        <v>246</v>
      </c>
      <c r="S324" s="1" t="s">
        <v>528</v>
      </c>
      <c r="T324" s="70" t="str">
        <f>_xlfn.XLOOKUP(Tabla1[[#This Row],[Universidad]],Conversiones!$B:$B,Conversiones!$C:$C)</f>
        <v>ICN Business School - Institut Commercial de Nancy</v>
      </c>
      <c r="U324" s="70" t="str">
        <f>_xlfn.XLOOKUP(Tabla1[[#This Row],[Universidad KPIs]],Conversiones!$C:$C,Conversiones!$E:$E)</f>
        <v>Específico</v>
      </c>
      <c r="V324" s="1" t="s">
        <v>41</v>
      </c>
      <c r="W324" s="1" t="s">
        <v>250</v>
      </c>
      <c r="X324" s="55">
        <v>45146</v>
      </c>
      <c r="Y324" s="55">
        <v>45262</v>
      </c>
      <c r="Z324" s="1">
        <v>116</v>
      </c>
    </row>
    <row r="325" spans="1:26">
      <c r="A325" s="67" t="s">
        <v>1466</v>
      </c>
      <c r="B325">
        <v>202024119</v>
      </c>
      <c r="C325" t="s">
        <v>740</v>
      </c>
      <c r="D325" t="s">
        <v>1467</v>
      </c>
      <c r="E325" t="s">
        <v>1468</v>
      </c>
      <c r="F325" t="s">
        <v>216</v>
      </c>
      <c r="G325" t="s">
        <v>246</v>
      </c>
      <c r="J325" t="s">
        <v>247</v>
      </c>
      <c r="K325">
        <v>2023</v>
      </c>
      <c r="L325">
        <v>202320</v>
      </c>
      <c r="M325">
        <v>202320</v>
      </c>
      <c r="N325" t="s">
        <v>248</v>
      </c>
      <c r="O325" t="s">
        <v>213</v>
      </c>
      <c r="P325" t="s">
        <v>249</v>
      </c>
      <c r="Q325" t="s">
        <v>216</v>
      </c>
      <c r="R325" t="s">
        <v>246</v>
      </c>
      <c r="S325" t="s">
        <v>528</v>
      </c>
      <c r="T325" s="70" t="str">
        <f>_xlfn.XLOOKUP(Tabla1[[#This Row],[Universidad]],Conversiones!$B:$B,Conversiones!$C:$C)</f>
        <v>ICN Business School - Institut Commercial de Nancy</v>
      </c>
      <c r="U325" s="70" t="str">
        <f>_xlfn.XLOOKUP(Tabla1[[#This Row],[Universidad KPIs]],Conversiones!$C:$C,Conversiones!$E:$E)</f>
        <v>Específico</v>
      </c>
      <c r="V325" t="s">
        <v>41</v>
      </c>
      <c r="W325" t="s">
        <v>250</v>
      </c>
      <c r="X325" s="2">
        <v>45146</v>
      </c>
      <c r="Y325" s="2">
        <v>45262</v>
      </c>
      <c r="Z325">
        <v>116</v>
      </c>
    </row>
    <row r="326" spans="1:26">
      <c r="A326" s="68" t="s">
        <v>1469</v>
      </c>
      <c r="B326" s="1">
        <v>202010805</v>
      </c>
      <c r="C326" s="1" t="s">
        <v>1470</v>
      </c>
      <c r="D326" s="1" t="s">
        <v>1471</v>
      </c>
      <c r="E326" s="1" t="s">
        <v>1472</v>
      </c>
      <c r="F326" s="1" t="s">
        <v>216</v>
      </c>
      <c r="G326" s="1" t="s">
        <v>246</v>
      </c>
      <c r="H326" s="1"/>
      <c r="I326" s="1"/>
      <c r="J326" s="1" t="s">
        <v>247</v>
      </c>
      <c r="K326" s="1">
        <v>2023</v>
      </c>
      <c r="L326" s="1">
        <v>202320</v>
      </c>
      <c r="M326" s="1">
        <v>202320</v>
      </c>
      <c r="N326" s="1" t="s">
        <v>248</v>
      </c>
      <c r="O326" s="1" t="s">
        <v>213</v>
      </c>
      <c r="P326" s="1" t="s">
        <v>249</v>
      </c>
      <c r="Q326" s="1" t="s">
        <v>216</v>
      </c>
      <c r="R326" s="1" t="s">
        <v>246</v>
      </c>
      <c r="S326" s="1" t="s">
        <v>608</v>
      </c>
      <c r="T326" s="70" t="str">
        <f>_xlfn.XLOOKUP(Tabla1[[#This Row],[Universidad]],Conversiones!$B:$B,Conversiones!$C:$C)</f>
        <v>IE Instituto Empresa</v>
      </c>
      <c r="U326" s="70" t="str">
        <f>_xlfn.XLOOKUP(Tabla1[[#This Row],[Universidad KPIs]],Conversiones!$C:$C,Conversiones!$E:$E)</f>
        <v>General</v>
      </c>
      <c r="V326" s="1" t="s">
        <v>53</v>
      </c>
      <c r="W326" s="1" t="s">
        <v>250</v>
      </c>
      <c r="X326" s="55">
        <v>45146</v>
      </c>
      <c r="Y326" s="55">
        <v>45262</v>
      </c>
      <c r="Z326" s="1">
        <v>116</v>
      </c>
    </row>
    <row r="327" spans="1:26">
      <c r="A327" s="67" t="s">
        <v>1473</v>
      </c>
      <c r="B327">
        <v>202012894</v>
      </c>
      <c r="C327" t="s">
        <v>1127</v>
      </c>
      <c r="D327" t="s">
        <v>1474</v>
      </c>
      <c r="E327" t="s">
        <v>1475</v>
      </c>
      <c r="F327" t="s">
        <v>216</v>
      </c>
      <c r="G327" t="s">
        <v>246</v>
      </c>
      <c r="H327">
        <v>0</v>
      </c>
      <c r="I327">
        <v>0</v>
      </c>
      <c r="J327" t="s">
        <v>247</v>
      </c>
      <c r="K327">
        <v>2023</v>
      </c>
      <c r="L327">
        <v>202320</v>
      </c>
      <c r="M327">
        <v>202320</v>
      </c>
      <c r="N327" t="s">
        <v>248</v>
      </c>
      <c r="O327" t="s">
        <v>213</v>
      </c>
      <c r="P327" t="s">
        <v>249</v>
      </c>
      <c r="Q327" t="s">
        <v>216</v>
      </c>
      <c r="R327" t="s">
        <v>246</v>
      </c>
      <c r="S327" t="s">
        <v>781</v>
      </c>
      <c r="T327" s="70" t="str">
        <f>_xlfn.XLOOKUP(Tabla1[[#This Row],[Universidad]],Conversiones!$B:$B,Conversiones!$C:$C)</f>
        <v>ITESM-EGADE -Instituto tecnológico y de estudios superiores de Monterrey</v>
      </c>
      <c r="U327" s="70" t="str">
        <f>_xlfn.XLOOKUP(Tabla1[[#This Row],[Universidad KPIs]],Conversiones!$C:$C,Conversiones!$E:$E)</f>
        <v>Específico</v>
      </c>
      <c r="V327" t="s">
        <v>71</v>
      </c>
      <c r="W327" t="s">
        <v>260</v>
      </c>
      <c r="X327" s="2">
        <v>45146</v>
      </c>
      <c r="Y327" s="2">
        <v>45262</v>
      </c>
      <c r="Z327">
        <v>116</v>
      </c>
    </row>
    <row r="328" spans="1:26">
      <c r="A328" s="67" t="s">
        <v>1476</v>
      </c>
      <c r="B328">
        <v>202011021</v>
      </c>
      <c r="C328" t="s">
        <v>486</v>
      </c>
      <c r="D328" t="s">
        <v>1477</v>
      </c>
      <c r="E328" t="s">
        <v>1478</v>
      </c>
      <c r="F328" t="s">
        <v>216</v>
      </c>
      <c r="G328" t="s">
        <v>246</v>
      </c>
      <c r="J328" t="s">
        <v>247</v>
      </c>
      <c r="K328">
        <v>2023</v>
      </c>
      <c r="L328">
        <v>202320</v>
      </c>
      <c r="M328">
        <v>202320</v>
      </c>
      <c r="N328" t="s">
        <v>248</v>
      </c>
      <c r="O328" t="s">
        <v>213</v>
      </c>
      <c r="P328" t="s">
        <v>249</v>
      </c>
      <c r="Q328" t="s">
        <v>216</v>
      </c>
      <c r="R328" t="s">
        <v>246</v>
      </c>
      <c r="S328" t="s">
        <v>76</v>
      </c>
      <c r="T328" s="70" t="str">
        <f>_xlfn.XLOOKUP(Tabla1[[#This Row],[Universidad]],Conversiones!$B:$B,Conversiones!$C:$C)</f>
        <v>Koc University</v>
      </c>
      <c r="U328" s="70" t="str">
        <f>_xlfn.XLOOKUP(Tabla1[[#This Row],[Universidad KPIs]],Conversiones!$C:$C,Conversiones!$E:$E)</f>
        <v>Específico</v>
      </c>
      <c r="V328" t="s">
        <v>77</v>
      </c>
      <c r="W328" t="s">
        <v>537</v>
      </c>
      <c r="X328" s="2">
        <v>45146</v>
      </c>
      <c r="Y328" s="2">
        <v>45262</v>
      </c>
      <c r="Z328">
        <v>116</v>
      </c>
    </row>
    <row r="329" spans="1:26">
      <c r="A329" s="68" t="s">
        <v>1479</v>
      </c>
      <c r="B329" s="1">
        <v>202020612</v>
      </c>
      <c r="C329" s="1" t="s">
        <v>1480</v>
      </c>
      <c r="D329" s="1" t="s">
        <v>1481</v>
      </c>
      <c r="E329" s="1" t="s">
        <v>1482</v>
      </c>
      <c r="F329" s="1" t="s">
        <v>216</v>
      </c>
      <c r="G329" s="1" t="s">
        <v>246</v>
      </c>
      <c r="H329" s="1"/>
      <c r="I329" s="1"/>
      <c r="J329" s="1" t="s">
        <v>247</v>
      </c>
      <c r="K329" s="1">
        <v>2023</v>
      </c>
      <c r="L329" s="1">
        <v>202320</v>
      </c>
      <c r="M329" s="1">
        <v>202320</v>
      </c>
      <c r="N329" s="1" t="s">
        <v>248</v>
      </c>
      <c r="O329" s="1" t="s">
        <v>213</v>
      </c>
      <c r="P329" s="1" t="s">
        <v>249</v>
      </c>
      <c r="Q329" s="1" t="s">
        <v>216</v>
      </c>
      <c r="R329" s="1" t="s">
        <v>246</v>
      </c>
      <c r="S329" s="1" t="s">
        <v>320</v>
      </c>
      <c r="T329" s="70" t="str">
        <f>_xlfn.XLOOKUP(Tabla1[[#This Row],[Universidad]],Conversiones!$B:$B,Conversiones!$C:$C)</f>
        <v>KLU Kühne Logistics University</v>
      </c>
      <c r="U329" s="70" t="str">
        <f>_xlfn.XLOOKUP(Tabla1[[#This Row],[Universidad KPIs]],Conversiones!$C:$C,Conversiones!$E:$E)</f>
        <v>Específico</v>
      </c>
      <c r="V329" s="1" t="s">
        <v>60</v>
      </c>
      <c r="W329" s="1" t="s">
        <v>250</v>
      </c>
      <c r="X329" s="55">
        <v>45146</v>
      </c>
      <c r="Y329" s="55">
        <v>45262</v>
      </c>
      <c r="Z329" s="1">
        <v>116</v>
      </c>
    </row>
    <row r="330" spans="1:26">
      <c r="A330" s="67" t="s">
        <v>1483</v>
      </c>
      <c r="B330">
        <v>202020942</v>
      </c>
      <c r="C330" t="s">
        <v>1484</v>
      </c>
      <c r="D330" t="s">
        <v>1485</v>
      </c>
      <c r="E330" t="s">
        <v>1486</v>
      </c>
      <c r="F330" t="s">
        <v>216</v>
      </c>
      <c r="G330" t="s">
        <v>246</v>
      </c>
      <c r="J330" t="s">
        <v>247</v>
      </c>
      <c r="K330">
        <v>2023</v>
      </c>
      <c r="L330">
        <v>202320</v>
      </c>
      <c r="M330">
        <v>202320</v>
      </c>
      <c r="N330" t="s">
        <v>248</v>
      </c>
      <c r="O330" t="s">
        <v>213</v>
      </c>
      <c r="P330" t="s">
        <v>249</v>
      </c>
      <c r="Q330" t="s">
        <v>216</v>
      </c>
      <c r="R330" t="s">
        <v>246</v>
      </c>
      <c r="S330" t="s">
        <v>320</v>
      </c>
      <c r="T330" s="70" t="str">
        <f>_xlfn.XLOOKUP(Tabla1[[#This Row],[Universidad]],Conversiones!$B:$B,Conversiones!$C:$C)</f>
        <v>KLU Kühne Logistics University</v>
      </c>
      <c r="U330" s="70" t="str">
        <f>_xlfn.XLOOKUP(Tabla1[[#This Row],[Universidad KPIs]],Conversiones!$C:$C,Conversiones!$E:$E)</f>
        <v>Específico</v>
      </c>
      <c r="V330" t="s">
        <v>60</v>
      </c>
      <c r="W330" t="s">
        <v>250</v>
      </c>
      <c r="X330" s="2">
        <v>45146</v>
      </c>
      <c r="Y330" s="2">
        <v>45262</v>
      </c>
      <c r="Z330">
        <v>116</v>
      </c>
    </row>
    <row r="331" spans="1:26">
      <c r="A331" s="68" t="s">
        <v>1487</v>
      </c>
      <c r="B331" s="1">
        <v>202027524</v>
      </c>
      <c r="C331" s="1" t="s">
        <v>1488</v>
      </c>
      <c r="D331" s="1" t="s">
        <v>1489</v>
      </c>
      <c r="E331" s="1" t="s">
        <v>1490</v>
      </c>
      <c r="F331" s="1" t="s">
        <v>219</v>
      </c>
      <c r="G331" s="1" t="s">
        <v>246</v>
      </c>
      <c r="H331" s="1"/>
      <c r="I331" s="1"/>
      <c r="J331" s="1" t="s">
        <v>247</v>
      </c>
      <c r="K331" s="1">
        <v>2023</v>
      </c>
      <c r="L331" s="1">
        <v>202320</v>
      </c>
      <c r="M331" s="1">
        <v>202320</v>
      </c>
      <c r="N331" s="1" t="s">
        <v>587</v>
      </c>
      <c r="O331" s="1" t="s">
        <v>213</v>
      </c>
      <c r="P331" s="1" t="s">
        <v>1491</v>
      </c>
      <c r="Q331" s="1" t="s">
        <v>219</v>
      </c>
      <c r="R331" s="1" t="s">
        <v>246</v>
      </c>
      <c r="S331" s="1" t="s">
        <v>320</v>
      </c>
      <c r="T331" s="70" t="str">
        <f>_xlfn.XLOOKUP(Tabla1[[#This Row],[Universidad]],Conversiones!$B:$B,Conversiones!$C:$C)</f>
        <v>KLU Kühne Logistics University</v>
      </c>
      <c r="U331" s="70" t="str">
        <f>_xlfn.XLOOKUP(Tabla1[[#This Row],[Universidad KPIs]],Conversiones!$C:$C,Conversiones!$E:$E)</f>
        <v>Específico</v>
      </c>
      <c r="V331" s="1" t="s">
        <v>60</v>
      </c>
      <c r="W331" s="1" t="s">
        <v>250</v>
      </c>
      <c r="X331" s="55">
        <v>45146</v>
      </c>
      <c r="Y331" s="55">
        <v>45262</v>
      </c>
      <c r="Z331" s="1">
        <v>116</v>
      </c>
    </row>
    <row r="332" spans="1:26">
      <c r="A332" s="67" t="s">
        <v>1492</v>
      </c>
      <c r="B332">
        <v>202010597</v>
      </c>
      <c r="C332" t="s">
        <v>901</v>
      </c>
      <c r="D332" t="s">
        <v>1493</v>
      </c>
      <c r="E332" t="s">
        <v>1494</v>
      </c>
      <c r="F332" t="s">
        <v>216</v>
      </c>
      <c r="G332" t="s">
        <v>246</v>
      </c>
      <c r="J332" t="s">
        <v>247</v>
      </c>
      <c r="K332">
        <v>2023</v>
      </c>
      <c r="L332">
        <v>202320</v>
      </c>
      <c r="M332">
        <v>202320</v>
      </c>
      <c r="N332" t="s">
        <v>248</v>
      </c>
      <c r="O332" t="s">
        <v>213</v>
      </c>
      <c r="P332" t="s">
        <v>249</v>
      </c>
      <c r="Q332" t="s">
        <v>216</v>
      </c>
      <c r="R332" t="s">
        <v>246</v>
      </c>
      <c r="S332" t="s">
        <v>78</v>
      </c>
      <c r="T332" s="70" t="str">
        <f>_xlfn.XLOOKUP(Tabla1[[#This Row],[Universidad]],Conversiones!$B:$B,Conversiones!$C:$C)</f>
        <v>Maastricht University</v>
      </c>
      <c r="U332" s="70" t="str">
        <f>_xlfn.XLOOKUP(Tabla1[[#This Row],[Universidad KPIs]],Conversiones!$C:$C,Conversiones!$E:$E)</f>
        <v>Específico</v>
      </c>
      <c r="V332" t="s">
        <v>79</v>
      </c>
      <c r="W332" t="s">
        <v>250</v>
      </c>
      <c r="X332" s="2">
        <v>45146</v>
      </c>
      <c r="Y332" s="2">
        <v>45262</v>
      </c>
      <c r="Z332">
        <v>116</v>
      </c>
    </row>
    <row r="333" spans="1:26">
      <c r="A333" s="68" t="s">
        <v>1495</v>
      </c>
      <c r="B333" s="1">
        <v>202011385</v>
      </c>
      <c r="C333" s="1" t="s">
        <v>1496</v>
      </c>
      <c r="D333" s="1" t="s">
        <v>1497</v>
      </c>
      <c r="E333" s="1" t="s">
        <v>1498</v>
      </c>
      <c r="F333" s="1" t="s">
        <v>216</v>
      </c>
      <c r="G333" s="1" t="s">
        <v>246</v>
      </c>
      <c r="H333" s="1"/>
      <c r="I333" s="1"/>
      <c r="J333" s="1" t="s">
        <v>247</v>
      </c>
      <c r="K333" s="1">
        <v>2023</v>
      </c>
      <c r="L333" s="1">
        <v>202320</v>
      </c>
      <c r="M333" s="1">
        <v>202320</v>
      </c>
      <c r="N333" s="1" t="s">
        <v>248</v>
      </c>
      <c r="O333" s="1" t="s">
        <v>213</v>
      </c>
      <c r="P333" s="1" t="s">
        <v>249</v>
      </c>
      <c r="Q333" s="1" t="s">
        <v>216</v>
      </c>
      <c r="R333" s="1" t="s">
        <v>246</v>
      </c>
      <c r="S333" s="1" t="s">
        <v>78</v>
      </c>
      <c r="T333" s="70" t="str">
        <f>_xlfn.XLOOKUP(Tabla1[[#This Row],[Universidad]],Conversiones!$B:$B,Conversiones!$C:$C)</f>
        <v>Maastricht University</v>
      </c>
      <c r="U333" s="70" t="str">
        <f>_xlfn.XLOOKUP(Tabla1[[#This Row],[Universidad KPIs]],Conversiones!$C:$C,Conversiones!$E:$E)</f>
        <v>Específico</v>
      </c>
      <c r="V333" s="1" t="s">
        <v>79</v>
      </c>
      <c r="W333" s="1" t="s">
        <v>250</v>
      </c>
      <c r="X333" s="55">
        <v>45146</v>
      </c>
      <c r="Y333" s="55">
        <v>45262</v>
      </c>
      <c r="Z333" s="1">
        <v>116</v>
      </c>
    </row>
    <row r="334" spans="1:26">
      <c r="A334" s="67" t="s">
        <v>1499</v>
      </c>
      <c r="B334">
        <v>202022578</v>
      </c>
      <c r="C334" t="s">
        <v>663</v>
      </c>
      <c r="D334" t="s">
        <v>1500</v>
      </c>
      <c r="E334" t="s">
        <v>1501</v>
      </c>
      <c r="F334" t="s">
        <v>216</v>
      </c>
      <c r="G334" t="s">
        <v>246</v>
      </c>
      <c r="J334" t="s">
        <v>247</v>
      </c>
      <c r="K334">
        <v>2023</v>
      </c>
      <c r="L334">
        <v>202320</v>
      </c>
      <c r="M334">
        <v>202320</v>
      </c>
      <c r="N334" t="s">
        <v>248</v>
      </c>
      <c r="O334" t="s">
        <v>213</v>
      </c>
      <c r="P334" t="s">
        <v>249</v>
      </c>
      <c r="Q334" t="s">
        <v>216</v>
      </c>
      <c r="R334" t="s">
        <v>246</v>
      </c>
      <c r="S334" t="s">
        <v>78</v>
      </c>
      <c r="T334" s="70" t="str">
        <f>_xlfn.XLOOKUP(Tabla1[[#This Row],[Universidad]],Conversiones!$B:$B,Conversiones!$C:$C)</f>
        <v>Maastricht University</v>
      </c>
      <c r="U334" s="70" t="str">
        <f>_xlfn.XLOOKUP(Tabla1[[#This Row],[Universidad KPIs]],Conversiones!$C:$C,Conversiones!$E:$E)</f>
        <v>Específico</v>
      </c>
      <c r="V334" t="s">
        <v>79</v>
      </c>
      <c r="W334" t="s">
        <v>250</v>
      </c>
      <c r="X334" s="2">
        <v>45146</v>
      </c>
      <c r="Y334" s="2">
        <v>45262</v>
      </c>
      <c r="Z334">
        <v>116</v>
      </c>
    </row>
    <row r="335" spans="1:26">
      <c r="A335" s="68" t="s">
        <v>1502</v>
      </c>
      <c r="B335" s="1">
        <v>202114030</v>
      </c>
      <c r="C335" s="1" t="s">
        <v>1435</v>
      </c>
      <c r="D335" s="1" t="s">
        <v>1503</v>
      </c>
      <c r="E335" s="1" t="s">
        <v>1504</v>
      </c>
      <c r="F335" s="1" t="s">
        <v>216</v>
      </c>
      <c r="G335" s="1" t="s">
        <v>246</v>
      </c>
      <c r="H335" s="1"/>
      <c r="I335" s="1"/>
      <c r="J335" s="1" t="s">
        <v>247</v>
      </c>
      <c r="K335" s="1">
        <v>2023</v>
      </c>
      <c r="L335" s="1">
        <v>202320</v>
      </c>
      <c r="M335" s="1">
        <v>202320</v>
      </c>
      <c r="N335" s="1" t="s">
        <v>248</v>
      </c>
      <c r="O335" s="1" t="s">
        <v>213</v>
      </c>
      <c r="P335" s="1" t="s">
        <v>249</v>
      </c>
      <c r="Q335" s="1" t="s">
        <v>216</v>
      </c>
      <c r="R335" s="1" t="s">
        <v>246</v>
      </c>
      <c r="S335" s="1" t="s">
        <v>78</v>
      </c>
      <c r="T335" s="70" t="str">
        <f>_xlfn.XLOOKUP(Tabla1[[#This Row],[Universidad]],Conversiones!$B:$B,Conversiones!$C:$C)</f>
        <v>Maastricht University</v>
      </c>
      <c r="U335" s="70" t="str">
        <f>_xlfn.XLOOKUP(Tabla1[[#This Row],[Universidad KPIs]],Conversiones!$C:$C,Conversiones!$E:$E)</f>
        <v>Específico</v>
      </c>
      <c r="V335" s="1" t="s">
        <v>79</v>
      </c>
      <c r="W335" s="1" t="s">
        <v>250</v>
      </c>
      <c r="X335" s="55">
        <v>45146</v>
      </c>
      <c r="Y335" s="55">
        <v>45262</v>
      </c>
      <c r="Z335" s="1">
        <v>116</v>
      </c>
    </row>
    <row r="336" spans="1:26">
      <c r="A336" s="67" t="s">
        <v>1505</v>
      </c>
      <c r="B336">
        <v>201923597</v>
      </c>
      <c r="C336" t="s">
        <v>1506</v>
      </c>
      <c r="D336" t="s">
        <v>1507</v>
      </c>
      <c r="E336" t="s">
        <v>1508</v>
      </c>
      <c r="F336" t="s">
        <v>216</v>
      </c>
      <c r="G336" t="s">
        <v>246</v>
      </c>
      <c r="H336" t="s">
        <v>460</v>
      </c>
      <c r="I336" t="s">
        <v>461</v>
      </c>
      <c r="J336" t="s">
        <v>247</v>
      </c>
      <c r="K336">
        <v>2023</v>
      </c>
      <c r="L336">
        <v>202320</v>
      </c>
      <c r="M336">
        <v>202320</v>
      </c>
      <c r="N336" t="s">
        <v>248</v>
      </c>
      <c r="O336" t="s">
        <v>213</v>
      </c>
      <c r="P336" t="s">
        <v>249</v>
      </c>
      <c r="Q336" t="s">
        <v>216</v>
      </c>
      <c r="R336" t="s">
        <v>246</v>
      </c>
      <c r="S336" t="s">
        <v>78</v>
      </c>
      <c r="T336" s="70" t="str">
        <f>_xlfn.XLOOKUP(Tabla1[[#This Row],[Universidad]],Conversiones!$B:$B,Conversiones!$C:$C)</f>
        <v>Maastricht University</v>
      </c>
      <c r="U336" s="70" t="str">
        <f>_xlfn.XLOOKUP(Tabla1[[#This Row],[Universidad KPIs]],Conversiones!$C:$C,Conversiones!$E:$E)</f>
        <v>Específico</v>
      </c>
      <c r="V336" t="s">
        <v>79</v>
      </c>
      <c r="W336" t="s">
        <v>250</v>
      </c>
      <c r="X336" s="2">
        <v>45146</v>
      </c>
      <c r="Y336" s="2">
        <v>45262</v>
      </c>
      <c r="Z336">
        <v>116</v>
      </c>
    </row>
    <row r="337" spans="1:26">
      <c r="A337" s="68" t="s">
        <v>1509</v>
      </c>
      <c r="B337" s="1">
        <v>201813565</v>
      </c>
      <c r="C337" s="1" t="s">
        <v>1510</v>
      </c>
      <c r="D337" s="1" t="s">
        <v>1511</v>
      </c>
      <c r="E337" s="1" t="s">
        <v>1512</v>
      </c>
      <c r="F337" s="1" t="s">
        <v>216</v>
      </c>
      <c r="G337" s="1" t="s">
        <v>246</v>
      </c>
      <c r="H337" s="1" t="s">
        <v>512</v>
      </c>
      <c r="I337" s="1" t="s">
        <v>513</v>
      </c>
      <c r="J337" s="1" t="s">
        <v>247</v>
      </c>
      <c r="K337" s="1">
        <v>2023</v>
      </c>
      <c r="L337" s="1">
        <v>202320</v>
      </c>
      <c r="M337" s="1">
        <v>202320</v>
      </c>
      <c r="N337" s="1" t="s">
        <v>248</v>
      </c>
      <c r="O337" s="1" t="s">
        <v>213</v>
      </c>
      <c r="P337" s="1" t="s">
        <v>249</v>
      </c>
      <c r="Q337" s="1" t="s">
        <v>216</v>
      </c>
      <c r="R337" s="1" t="s">
        <v>246</v>
      </c>
      <c r="S337" s="1" t="s">
        <v>1513</v>
      </c>
      <c r="T337" s="70" t="str">
        <f>_xlfn.XLOOKUP(Tabla1[[#This Row],[Universidad]],Conversiones!$B:$B,Conversiones!$C:$C)</f>
        <v>NUCB- Nagoya University of commerce and business</v>
      </c>
      <c r="U337" s="70" t="str">
        <f>_xlfn.XLOOKUP(Tabla1[[#This Row],[Universidad KPIs]],Conversiones!$C:$C,Conversiones!$E:$E)</f>
        <v>Específico</v>
      </c>
      <c r="V337" s="1" t="s">
        <v>85</v>
      </c>
      <c r="W337" s="1" t="s">
        <v>537</v>
      </c>
      <c r="X337" s="55">
        <v>45146</v>
      </c>
      <c r="Y337" s="55">
        <v>45262</v>
      </c>
      <c r="Z337" s="1">
        <v>116</v>
      </c>
    </row>
    <row r="338" spans="1:26">
      <c r="A338" s="67" t="s">
        <v>1514</v>
      </c>
      <c r="B338">
        <v>201713785</v>
      </c>
      <c r="C338" t="s">
        <v>385</v>
      </c>
      <c r="D338" t="s">
        <v>1515</v>
      </c>
      <c r="E338" t="s">
        <v>1516</v>
      </c>
      <c r="F338" t="s">
        <v>460</v>
      </c>
      <c r="G338" t="s">
        <v>461</v>
      </c>
      <c r="H338" t="s">
        <v>216</v>
      </c>
      <c r="I338" t="s">
        <v>246</v>
      </c>
      <c r="J338" t="s">
        <v>247</v>
      </c>
      <c r="K338">
        <v>2023</v>
      </c>
      <c r="L338">
        <v>202320</v>
      </c>
      <c r="M338">
        <v>202320</v>
      </c>
      <c r="N338" t="s">
        <v>248</v>
      </c>
      <c r="O338" t="s">
        <v>213</v>
      </c>
      <c r="P338" t="s">
        <v>249</v>
      </c>
      <c r="Q338" t="s">
        <v>216</v>
      </c>
      <c r="R338" t="s">
        <v>246</v>
      </c>
      <c r="S338" t="s">
        <v>1517</v>
      </c>
      <c r="T338" s="70" t="str">
        <f>_xlfn.XLOOKUP(Tabla1[[#This Row],[Universidad]],Conversiones!$B:$B,Conversiones!$C:$C)</f>
        <v>NCCU- National Chengchi University</v>
      </c>
      <c r="U338" s="70" t="str">
        <f>_xlfn.XLOOKUP(Tabla1[[#This Row],[Universidad KPIs]],Conversiones!$C:$C,Conversiones!$E:$E)</f>
        <v>Específico</v>
      </c>
      <c r="V338" t="s">
        <v>82</v>
      </c>
      <c r="W338" t="s">
        <v>537</v>
      </c>
      <c r="X338" s="2">
        <v>45146</v>
      </c>
      <c r="Y338" s="2">
        <v>45262</v>
      </c>
      <c r="Z338">
        <v>116</v>
      </c>
    </row>
    <row r="339" spans="1:26">
      <c r="A339" s="68" t="s">
        <v>1518</v>
      </c>
      <c r="B339" s="1">
        <v>202013652</v>
      </c>
      <c r="C339" s="1" t="s">
        <v>243</v>
      </c>
      <c r="D339" s="1" t="s">
        <v>1519</v>
      </c>
      <c r="E339" s="1" t="s">
        <v>1520</v>
      </c>
      <c r="F339" s="1" t="s">
        <v>216</v>
      </c>
      <c r="G339" s="1" t="s">
        <v>246</v>
      </c>
      <c r="H339" s="1">
        <v>0</v>
      </c>
      <c r="I339" s="1">
        <v>0</v>
      </c>
      <c r="J339" s="1" t="s">
        <v>247</v>
      </c>
      <c r="K339" s="1">
        <v>2023</v>
      </c>
      <c r="L339" s="1">
        <v>202320</v>
      </c>
      <c r="M339" s="1">
        <v>202320</v>
      </c>
      <c r="N339" s="1" t="s">
        <v>248</v>
      </c>
      <c r="O339" s="1" t="s">
        <v>213</v>
      </c>
      <c r="P339" s="1" t="s">
        <v>249</v>
      </c>
      <c r="Q339" s="1" t="s">
        <v>216</v>
      </c>
      <c r="R339" s="1" t="s">
        <v>246</v>
      </c>
      <c r="S339" s="1" t="s">
        <v>1517</v>
      </c>
      <c r="T339" s="70" t="str">
        <f>_xlfn.XLOOKUP(Tabla1[[#This Row],[Universidad]],Conversiones!$B:$B,Conversiones!$C:$C)</f>
        <v>NCCU- National Chengchi University</v>
      </c>
      <c r="U339" s="70" t="str">
        <f>_xlfn.XLOOKUP(Tabla1[[#This Row],[Universidad KPIs]],Conversiones!$C:$C,Conversiones!$E:$E)</f>
        <v>Específico</v>
      </c>
      <c r="V339" s="1" t="s">
        <v>82</v>
      </c>
      <c r="W339" s="1" t="s">
        <v>537</v>
      </c>
      <c r="X339" s="55">
        <v>45146</v>
      </c>
      <c r="Y339" s="55">
        <v>45262</v>
      </c>
      <c r="Z339" s="1">
        <v>116</v>
      </c>
    </row>
    <row r="340" spans="1:26">
      <c r="A340" s="67" t="s">
        <v>1521</v>
      </c>
      <c r="B340">
        <v>202022135</v>
      </c>
      <c r="C340" t="s">
        <v>1522</v>
      </c>
      <c r="D340" t="s">
        <v>1523</v>
      </c>
      <c r="E340" t="s">
        <v>1524</v>
      </c>
      <c r="F340" t="s">
        <v>216</v>
      </c>
      <c r="G340" t="s">
        <v>246</v>
      </c>
      <c r="H340" t="s">
        <v>512</v>
      </c>
      <c r="I340" t="s">
        <v>513</v>
      </c>
      <c r="J340" t="s">
        <v>247</v>
      </c>
      <c r="K340">
        <v>2023</v>
      </c>
      <c r="L340">
        <v>202320</v>
      </c>
      <c r="M340">
        <v>202320</v>
      </c>
      <c r="N340" t="s">
        <v>248</v>
      </c>
      <c r="O340" t="s">
        <v>213</v>
      </c>
      <c r="P340" t="s">
        <v>249</v>
      </c>
      <c r="Q340" t="s">
        <v>216</v>
      </c>
      <c r="R340" t="s">
        <v>246</v>
      </c>
      <c r="S340" t="s">
        <v>255</v>
      </c>
      <c r="T340" s="70" t="str">
        <f>_xlfn.XLOOKUP(Tabla1[[#This Row],[Universidad]],Conversiones!$B:$B,Conversiones!$C:$C)</f>
        <v>ESC Rouen (NEOMA)</v>
      </c>
      <c r="U340" s="70" t="str">
        <f>_xlfn.XLOOKUP(Tabla1[[#This Row],[Universidad KPIs]],Conversiones!$C:$C,Conversiones!$E:$E)</f>
        <v>Específico</v>
      </c>
      <c r="V340" t="s">
        <v>41</v>
      </c>
      <c r="W340" t="s">
        <v>250</v>
      </c>
      <c r="X340" s="2">
        <v>45146</v>
      </c>
      <c r="Y340" s="2">
        <v>45262</v>
      </c>
      <c r="Z340">
        <v>116</v>
      </c>
    </row>
    <row r="341" spans="1:26">
      <c r="A341" s="68" t="s">
        <v>1525</v>
      </c>
      <c r="B341" s="1">
        <v>201922877</v>
      </c>
      <c r="C341" s="1" t="s">
        <v>1526</v>
      </c>
      <c r="D341" s="1" t="s">
        <v>1527</v>
      </c>
      <c r="E341" s="1" t="s">
        <v>1528</v>
      </c>
      <c r="F341" s="1" t="s">
        <v>216</v>
      </c>
      <c r="G341" s="1" t="s">
        <v>246</v>
      </c>
      <c r="H341" s="1" t="s">
        <v>994</v>
      </c>
      <c r="I341" s="1" t="s">
        <v>995</v>
      </c>
      <c r="J341" s="1" t="s">
        <v>247</v>
      </c>
      <c r="K341" s="1">
        <v>2023</v>
      </c>
      <c r="L341" s="1">
        <v>202320</v>
      </c>
      <c r="M341" s="1">
        <v>202320</v>
      </c>
      <c r="N341" s="1" t="s">
        <v>248</v>
      </c>
      <c r="O341" s="1" t="s">
        <v>213</v>
      </c>
      <c r="P341" s="1" t="s">
        <v>249</v>
      </c>
      <c r="Q341" s="1" t="s">
        <v>216</v>
      </c>
      <c r="R341" s="1" t="s">
        <v>246</v>
      </c>
      <c r="S341" s="1" t="s">
        <v>86</v>
      </c>
      <c r="T341" s="70" t="str">
        <f>_xlfn.XLOOKUP(Tabla1[[#This Row],[Universidad]],Conversiones!$B:$B,Conversiones!$C:$C)</f>
        <v>Politecnico di Milano</v>
      </c>
      <c r="U341" s="70" t="str">
        <f>_xlfn.XLOOKUP(Tabla1[[#This Row],[Universidad KPIs]],Conversiones!$C:$C,Conversiones!$E:$E)</f>
        <v>Específico</v>
      </c>
      <c r="V341" s="1" t="s">
        <v>87</v>
      </c>
      <c r="W341" s="1" t="s">
        <v>250</v>
      </c>
      <c r="X341" s="55">
        <v>45146</v>
      </c>
      <c r="Y341" s="55">
        <v>45262</v>
      </c>
      <c r="Z341" s="1">
        <v>116</v>
      </c>
    </row>
    <row r="342" spans="1:26">
      <c r="A342" s="67" t="s">
        <v>1529</v>
      </c>
      <c r="B342">
        <v>202021281</v>
      </c>
      <c r="C342" t="s">
        <v>1530</v>
      </c>
      <c r="D342" t="s">
        <v>1531</v>
      </c>
      <c r="E342" t="s">
        <v>1532</v>
      </c>
      <c r="F342" t="s">
        <v>216</v>
      </c>
      <c r="G342" t="s">
        <v>246</v>
      </c>
      <c r="J342" t="s">
        <v>247</v>
      </c>
      <c r="K342">
        <v>2023</v>
      </c>
      <c r="L342">
        <v>202320</v>
      </c>
      <c r="M342">
        <v>202320</v>
      </c>
      <c r="N342" t="s">
        <v>248</v>
      </c>
      <c r="O342" t="s">
        <v>213</v>
      </c>
      <c r="P342" t="s">
        <v>249</v>
      </c>
      <c r="Q342" t="s">
        <v>216</v>
      </c>
      <c r="R342" t="s">
        <v>246</v>
      </c>
      <c r="S342" t="s">
        <v>86</v>
      </c>
      <c r="T342" s="70" t="str">
        <f>_xlfn.XLOOKUP(Tabla1[[#This Row],[Universidad]],Conversiones!$B:$B,Conversiones!$C:$C)</f>
        <v>Politecnico di Milano</v>
      </c>
      <c r="U342" s="70" t="str">
        <f>_xlfn.XLOOKUP(Tabla1[[#This Row],[Universidad KPIs]],Conversiones!$C:$C,Conversiones!$E:$E)</f>
        <v>Específico</v>
      </c>
      <c r="V342" t="s">
        <v>87</v>
      </c>
      <c r="W342" t="s">
        <v>250</v>
      </c>
      <c r="X342" s="2">
        <v>45146</v>
      </c>
      <c r="Y342" s="2">
        <v>45262</v>
      </c>
      <c r="Z342">
        <v>116</v>
      </c>
    </row>
    <row r="343" spans="1:26">
      <c r="A343" s="68" t="s">
        <v>1533</v>
      </c>
      <c r="B343" s="1">
        <v>202021931</v>
      </c>
      <c r="C343" s="1" t="s">
        <v>1534</v>
      </c>
      <c r="D343" s="1" t="s">
        <v>1535</v>
      </c>
      <c r="E343" s="1" t="s">
        <v>1536</v>
      </c>
      <c r="F343" s="1" t="s">
        <v>216</v>
      </c>
      <c r="G343" s="1" t="s">
        <v>246</v>
      </c>
      <c r="H343" s="1" t="s">
        <v>466</v>
      </c>
      <c r="I343" s="1" t="s">
        <v>467</v>
      </c>
      <c r="J343" s="1" t="s">
        <v>247</v>
      </c>
      <c r="K343" s="1">
        <v>2023</v>
      </c>
      <c r="L343" s="1">
        <v>202320</v>
      </c>
      <c r="M343" s="1">
        <v>202320</v>
      </c>
      <c r="N343" s="1" t="s">
        <v>248</v>
      </c>
      <c r="O343" s="1" t="s">
        <v>213</v>
      </c>
      <c r="P343" s="1" t="s">
        <v>249</v>
      </c>
      <c r="Q343" s="1" t="s">
        <v>216</v>
      </c>
      <c r="R343" s="1" t="s">
        <v>246</v>
      </c>
      <c r="S343" s="1" t="s">
        <v>86</v>
      </c>
      <c r="T343" s="70" t="str">
        <f>_xlfn.XLOOKUP(Tabla1[[#This Row],[Universidad]],Conversiones!$B:$B,Conversiones!$C:$C)</f>
        <v>Politecnico di Milano</v>
      </c>
      <c r="U343" s="70" t="str">
        <f>_xlfn.XLOOKUP(Tabla1[[#This Row],[Universidad KPIs]],Conversiones!$C:$C,Conversiones!$E:$E)</f>
        <v>Específico</v>
      </c>
      <c r="V343" s="1" t="s">
        <v>87</v>
      </c>
      <c r="W343" s="1" t="s">
        <v>250</v>
      </c>
      <c r="X343" s="55">
        <v>45146</v>
      </c>
      <c r="Y343" s="55">
        <v>45262</v>
      </c>
      <c r="Z343" s="1">
        <v>116</v>
      </c>
    </row>
    <row r="344" spans="1:26">
      <c r="A344" s="67" t="s">
        <v>1537</v>
      </c>
      <c r="B344">
        <v>202020864</v>
      </c>
      <c r="C344" t="s">
        <v>1538</v>
      </c>
      <c r="D344" t="s">
        <v>1539</v>
      </c>
      <c r="E344" t="s">
        <v>1540</v>
      </c>
      <c r="F344" t="s">
        <v>216</v>
      </c>
      <c r="G344" t="s">
        <v>246</v>
      </c>
      <c r="J344" t="s">
        <v>247</v>
      </c>
      <c r="K344">
        <v>2023</v>
      </c>
      <c r="L344">
        <v>202320</v>
      </c>
      <c r="M344">
        <v>202320</v>
      </c>
      <c r="N344" t="s">
        <v>248</v>
      </c>
      <c r="O344" t="s">
        <v>213</v>
      </c>
      <c r="P344" t="s">
        <v>249</v>
      </c>
      <c r="Q344" t="s">
        <v>216</v>
      </c>
      <c r="R344" t="s">
        <v>246</v>
      </c>
      <c r="S344" t="s">
        <v>952</v>
      </c>
      <c r="T344" s="70" t="str">
        <f>_xlfn.XLOOKUP(Tabla1[[#This Row],[Universidad]],Conversiones!$B:$B,Conversiones!$C:$C)</f>
        <v>Queens University School of Business</v>
      </c>
      <c r="U344" s="70" t="str">
        <f>_xlfn.XLOOKUP(Tabla1[[#This Row],[Universidad KPIs]],Conversiones!$C:$C,Conversiones!$E:$E)</f>
        <v>Específico</v>
      </c>
      <c r="V344" t="s">
        <v>58</v>
      </c>
      <c r="W344" t="s">
        <v>260</v>
      </c>
      <c r="X344" s="2">
        <v>45146</v>
      </c>
      <c r="Y344" s="2">
        <v>45262</v>
      </c>
      <c r="Z344">
        <v>116</v>
      </c>
    </row>
    <row r="345" spans="1:26">
      <c r="A345" s="68" t="s">
        <v>1541</v>
      </c>
      <c r="B345" s="1">
        <v>202021921</v>
      </c>
      <c r="C345" s="1" t="s">
        <v>1542</v>
      </c>
      <c r="D345" s="1" t="s">
        <v>1543</v>
      </c>
      <c r="E345" s="1" t="s">
        <v>1544</v>
      </c>
      <c r="F345" s="1" t="s">
        <v>216</v>
      </c>
      <c r="G345" s="1" t="s">
        <v>246</v>
      </c>
      <c r="H345" s="1"/>
      <c r="I345" s="1"/>
      <c r="J345" s="1" t="s">
        <v>247</v>
      </c>
      <c r="K345" s="1">
        <v>2023</v>
      </c>
      <c r="L345" s="1">
        <v>202320</v>
      </c>
      <c r="M345" s="1">
        <v>202320</v>
      </c>
      <c r="N345" s="1" t="s">
        <v>248</v>
      </c>
      <c r="O345" s="1" t="s">
        <v>213</v>
      </c>
      <c r="P345" s="1" t="s">
        <v>249</v>
      </c>
      <c r="Q345" s="1" t="s">
        <v>216</v>
      </c>
      <c r="R345" s="1" t="s">
        <v>246</v>
      </c>
      <c r="S345" s="1" t="s">
        <v>952</v>
      </c>
      <c r="T345" s="70" t="str">
        <f>_xlfn.XLOOKUP(Tabla1[[#This Row],[Universidad]],Conversiones!$B:$B,Conversiones!$C:$C)</f>
        <v>Queens University School of Business</v>
      </c>
      <c r="U345" s="70" t="str">
        <f>_xlfn.XLOOKUP(Tabla1[[#This Row],[Universidad KPIs]],Conversiones!$C:$C,Conversiones!$E:$E)</f>
        <v>Específico</v>
      </c>
      <c r="V345" s="1" t="s">
        <v>58</v>
      </c>
      <c r="W345" s="1" t="s">
        <v>260</v>
      </c>
      <c r="X345" s="55">
        <v>45146</v>
      </c>
      <c r="Y345" s="55">
        <v>45262</v>
      </c>
      <c r="Z345" s="1">
        <v>116</v>
      </c>
    </row>
    <row r="346" spans="1:26">
      <c r="A346" s="67" t="s">
        <v>1545</v>
      </c>
      <c r="B346">
        <v>202020530</v>
      </c>
      <c r="C346" t="s">
        <v>1546</v>
      </c>
      <c r="D346" t="s">
        <v>1547</v>
      </c>
      <c r="E346" t="s">
        <v>1548</v>
      </c>
      <c r="F346" t="s">
        <v>216</v>
      </c>
      <c r="G346" t="s">
        <v>246</v>
      </c>
      <c r="J346" t="s">
        <v>247</v>
      </c>
      <c r="K346">
        <v>2023</v>
      </c>
      <c r="L346">
        <v>202320</v>
      </c>
      <c r="M346">
        <v>202320</v>
      </c>
      <c r="N346" t="s">
        <v>248</v>
      </c>
      <c r="O346" t="s">
        <v>213</v>
      </c>
      <c r="P346" t="s">
        <v>249</v>
      </c>
      <c r="Q346" t="s">
        <v>216</v>
      </c>
      <c r="R346" t="s">
        <v>246</v>
      </c>
      <c r="S346" t="s">
        <v>89</v>
      </c>
      <c r="T346" s="70" t="str">
        <f>_xlfn.XLOOKUP(Tabla1[[#This Row],[Universidad]],Conversiones!$B:$B,Conversiones!$C:$C)</f>
        <v>Queensland University of Technology</v>
      </c>
      <c r="U346" s="70" t="str">
        <f>_xlfn.XLOOKUP(Tabla1[[#This Row],[Universidad KPIs]],Conversiones!$C:$C,Conversiones!$E:$E)</f>
        <v>Específico</v>
      </c>
      <c r="V346" t="s">
        <v>90</v>
      </c>
      <c r="W346" t="s">
        <v>354</v>
      </c>
      <c r="X346" s="2">
        <v>45146</v>
      </c>
      <c r="Y346" s="2">
        <v>45262</v>
      </c>
      <c r="Z346">
        <v>116</v>
      </c>
    </row>
    <row r="347" spans="1:26">
      <c r="A347" s="68" t="s">
        <v>1549</v>
      </c>
      <c r="B347" s="1">
        <v>202021989</v>
      </c>
      <c r="C347" s="1" t="s">
        <v>1550</v>
      </c>
      <c r="D347" s="1" t="s">
        <v>1551</v>
      </c>
      <c r="E347" s="1" t="s">
        <v>1552</v>
      </c>
      <c r="F347" s="1" t="s">
        <v>512</v>
      </c>
      <c r="G347" s="1" t="s">
        <v>513</v>
      </c>
      <c r="H347" s="1" t="s">
        <v>216</v>
      </c>
      <c r="I347" s="1" t="s">
        <v>246</v>
      </c>
      <c r="J347" s="1" t="s">
        <v>247</v>
      </c>
      <c r="K347" s="1">
        <v>2023</v>
      </c>
      <c r="L347" s="1">
        <v>202320</v>
      </c>
      <c r="M347" s="1">
        <v>202320</v>
      </c>
      <c r="N347" s="1" t="s">
        <v>248</v>
      </c>
      <c r="O347" s="1" t="s">
        <v>213</v>
      </c>
      <c r="P347" s="1" t="s">
        <v>249</v>
      </c>
      <c r="Q347" s="1" t="s">
        <v>216</v>
      </c>
      <c r="R347" s="1" t="s">
        <v>246</v>
      </c>
      <c r="S347" s="1" t="s">
        <v>137</v>
      </c>
      <c r="T347" s="70" t="str">
        <f>_xlfn.XLOOKUP(Tabla1[[#This Row],[Universidad]],Conversiones!$B:$B,Conversiones!$C:$C)</f>
        <v>St. John's University</v>
      </c>
      <c r="U347" s="70" t="str">
        <f>_xlfn.XLOOKUP(Tabla1[[#This Row],[Universidad KPIs]],Conversiones!$C:$C,Conversiones!$E:$E)</f>
        <v>General</v>
      </c>
      <c r="V347" s="1" t="s">
        <v>35</v>
      </c>
      <c r="W347" s="1" t="s">
        <v>260</v>
      </c>
      <c r="X347" s="55">
        <v>45146</v>
      </c>
      <c r="Y347" s="55">
        <v>45262</v>
      </c>
      <c r="Z347" s="1">
        <v>116</v>
      </c>
    </row>
    <row r="348" spans="1:26">
      <c r="A348" s="67" t="s">
        <v>1553</v>
      </c>
      <c r="B348">
        <v>201922718</v>
      </c>
      <c r="C348" t="s">
        <v>625</v>
      </c>
      <c r="D348" t="s">
        <v>1554</v>
      </c>
      <c r="E348" t="s">
        <v>1555</v>
      </c>
      <c r="F348" t="s">
        <v>216</v>
      </c>
      <c r="G348" t="s">
        <v>246</v>
      </c>
      <c r="J348" t="s">
        <v>247</v>
      </c>
      <c r="K348">
        <v>2023</v>
      </c>
      <c r="L348">
        <v>202320</v>
      </c>
      <c r="M348">
        <v>202320</v>
      </c>
      <c r="N348" t="s">
        <v>248</v>
      </c>
      <c r="O348" t="s">
        <v>214</v>
      </c>
      <c r="P348" t="s">
        <v>446</v>
      </c>
      <c r="Q348" t="s">
        <v>216</v>
      </c>
      <c r="R348" t="s">
        <v>246</v>
      </c>
      <c r="S348" t="s">
        <v>738</v>
      </c>
      <c r="T348" s="70" t="str">
        <f>_xlfn.XLOOKUP(Tabla1[[#This Row],[Universidad]],Conversiones!$B:$B,Conversiones!$C:$C)</f>
        <v>Universidad de Tilburg</v>
      </c>
      <c r="U348" s="70" t="str">
        <f>_xlfn.XLOOKUP(Tabla1[[#This Row],[Universidad KPIs]],Conversiones!$C:$C,Conversiones!$E:$E)</f>
        <v>Específico</v>
      </c>
      <c r="V348" t="s">
        <v>79</v>
      </c>
      <c r="W348" t="s">
        <v>250</v>
      </c>
      <c r="X348" s="2">
        <v>45146</v>
      </c>
      <c r="Y348" s="2">
        <v>45262</v>
      </c>
      <c r="Z348">
        <v>116</v>
      </c>
    </row>
    <row r="349" spans="1:26">
      <c r="A349" s="68" t="s">
        <v>1556</v>
      </c>
      <c r="B349" s="1">
        <v>202123251</v>
      </c>
      <c r="C349" s="1" t="s">
        <v>509</v>
      </c>
      <c r="D349" s="1" t="s">
        <v>1557</v>
      </c>
      <c r="E349" s="1" t="s">
        <v>1558</v>
      </c>
      <c r="F349" s="1" t="s">
        <v>216</v>
      </c>
      <c r="G349" s="1" t="s">
        <v>246</v>
      </c>
      <c r="H349" s="1"/>
      <c r="I349" s="1"/>
      <c r="J349" s="1" t="s">
        <v>247</v>
      </c>
      <c r="K349" s="1">
        <v>2023</v>
      </c>
      <c r="L349" s="1">
        <v>202320</v>
      </c>
      <c r="M349" s="1">
        <v>202320</v>
      </c>
      <c r="N349" s="1" t="s">
        <v>248</v>
      </c>
      <c r="O349" s="1" t="s">
        <v>214</v>
      </c>
      <c r="P349" s="1" t="s">
        <v>446</v>
      </c>
      <c r="Q349" s="1" t="s">
        <v>216</v>
      </c>
      <c r="R349" s="1" t="s">
        <v>246</v>
      </c>
      <c r="S349" s="1" t="s">
        <v>738</v>
      </c>
      <c r="T349" s="70" t="str">
        <f>_xlfn.XLOOKUP(Tabla1[[#This Row],[Universidad]],Conversiones!$B:$B,Conversiones!$C:$C)</f>
        <v>Universidad de Tilburg</v>
      </c>
      <c r="U349" s="70" t="str">
        <f>_xlfn.XLOOKUP(Tabla1[[#This Row],[Universidad KPIs]],Conversiones!$C:$C,Conversiones!$E:$E)</f>
        <v>Específico</v>
      </c>
      <c r="V349" s="1" t="s">
        <v>79</v>
      </c>
      <c r="W349" s="1" t="s">
        <v>250</v>
      </c>
      <c r="X349" s="55">
        <v>45146</v>
      </c>
      <c r="Y349" s="55">
        <v>45262</v>
      </c>
      <c r="Z349" s="1">
        <v>116</v>
      </c>
    </row>
    <row r="350" spans="1:26">
      <c r="A350" s="67" t="s">
        <v>1559</v>
      </c>
      <c r="B350">
        <v>202014664</v>
      </c>
      <c r="C350" t="s">
        <v>1560</v>
      </c>
      <c r="D350" t="s">
        <v>1561</v>
      </c>
      <c r="E350" t="s">
        <v>1562</v>
      </c>
      <c r="F350" t="s">
        <v>216</v>
      </c>
      <c r="G350" t="s">
        <v>246</v>
      </c>
      <c r="J350" t="s">
        <v>247</v>
      </c>
      <c r="K350">
        <v>2023</v>
      </c>
      <c r="L350">
        <v>202320</v>
      </c>
      <c r="M350">
        <v>202320</v>
      </c>
      <c r="N350" t="s">
        <v>248</v>
      </c>
      <c r="O350" t="s">
        <v>213</v>
      </c>
      <c r="P350" t="s">
        <v>249</v>
      </c>
      <c r="Q350" t="s">
        <v>216</v>
      </c>
      <c r="R350" t="s">
        <v>246</v>
      </c>
      <c r="S350" t="s">
        <v>738</v>
      </c>
      <c r="T350" s="70" t="str">
        <f>_xlfn.XLOOKUP(Tabla1[[#This Row],[Universidad]],Conversiones!$B:$B,Conversiones!$C:$C)</f>
        <v>Universidad de Tilburg</v>
      </c>
      <c r="U350" s="70" t="str">
        <f>_xlfn.XLOOKUP(Tabla1[[#This Row],[Universidad KPIs]],Conversiones!$C:$C,Conversiones!$E:$E)</f>
        <v>Específico</v>
      </c>
      <c r="V350" t="s">
        <v>79</v>
      </c>
      <c r="W350" t="s">
        <v>250</v>
      </c>
      <c r="X350" s="2">
        <v>45146</v>
      </c>
      <c r="Y350" s="2">
        <v>45262</v>
      </c>
      <c r="Z350">
        <v>116</v>
      </c>
    </row>
    <row r="351" spans="1:26">
      <c r="A351" s="68" t="s">
        <v>1563</v>
      </c>
      <c r="B351" s="1">
        <v>201214425</v>
      </c>
      <c r="C351" s="1" t="s">
        <v>663</v>
      </c>
      <c r="D351" s="1" t="s">
        <v>1564</v>
      </c>
      <c r="E351" s="1" t="s">
        <v>1565</v>
      </c>
      <c r="F351" s="1" t="s">
        <v>218</v>
      </c>
      <c r="G351" s="1" t="s">
        <v>246</v>
      </c>
      <c r="H351" s="1"/>
      <c r="I351" s="1"/>
      <c r="J351" s="1" t="s">
        <v>247</v>
      </c>
      <c r="K351" s="1">
        <v>2023</v>
      </c>
      <c r="L351" s="1">
        <v>202320</v>
      </c>
      <c r="M351" s="1">
        <v>202320</v>
      </c>
      <c r="N351" s="1" t="s">
        <v>587</v>
      </c>
      <c r="O351" s="1" t="s">
        <v>213</v>
      </c>
      <c r="P351" s="1" t="s">
        <v>1491</v>
      </c>
      <c r="Q351" s="1" t="s">
        <v>218</v>
      </c>
      <c r="R351" s="1" t="s">
        <v>246</v>
      </c>
      <c r="S351" s="1" t="s">
        <v>279</v>
      </c>
      <c r="T351" s="70" t="str">
        <f>_xlfn.XLOOKUP(Tabla1[[#This Row],[Universidad]],Conversiones!$B:$B,Conversiones!$C:$C)</f>
        <v>Toulouse Business School</v>
      </c>
      <c r="U351" s="70" t="str">
        <f>_xlfn.XLOOKUP(Tabla1[[#This Row],[Universidad KPIs]],Conversiones!$C:$C,Conversiones!$E:$E)</f>
        <v>Específico</v>
      </c>
      <c r="V351" s="1" t="s">
        <v>41</v>
      </c>
      <c r="W351" s="1" t="s">
        <v>250</v>
      </c>
      <c r="X351" s="55">
        <v>45146</v>
      </c>
      <c r="Y351" s="55">
        <v>45262</v>
      </c>
      <c r="Z351" s="1">
        <v>116</v>
      </c>
    </row>
    <row r="352" spans="1:26">
      <c r="A352" s="67" t="s">
        <v>1566</v>
      </c>
      <c r="B352">
        <v>201814304</v>
      </c>
      <c r="C352" t="s">
        <v>486</v>
      </c>
      <c r="D352" t="s">
        <v>1567</v>
      </c>
      <c r="E352" t="s">
        <v>1568</v>
      </c>
      <c r="F352" t="s">
        <v>216</v>
      </c>
      <c r="G352" t="s">
        <v>246</v>
      </c>
      <c r="H352" t="s">
        <v>460</v>
      </c>
      <c r="I352" t="s">
        <v>461</v>
      </c>
      <c r="J352" t="s">
        <v>247</v>
      </c>
      <c r="K352">
        <v>2023</v>
      </c>
      <c r="L352">
        <v>202320</v>
      </c>
      <c r="M352">
        <v>202320</v>
      </c>
      <c r="N352" t="s">
        <v>248</v>
      </c>
      <c r="O352" t="s">
        <v>214</v>
      </c>
      <c r="P352" t="s">
        <v>446</v>
      </c>
      <c r="Q352" t="s">
        <v>216</v>
      </c>
      <c r="R352" t="s">
        <v>246</v>
      </c>
      <c r="S352" t="s">
        <v>279</v>
      </c>
      <c r="T352" s="70" t="str">
        <f>_xlfn.XLOOKUP(Tabla1[[#This Row],[Universidad]],Conversiones!$B:$B,Conversiones!$C:$C)</f>
        <v>Toulouse Business School</v>
      </c>
      <c r="U352" s="70" t="str">
        <f>_xlfn.XLOOKUP(Tabla1[[#This Row],[Universidad KPIs]],Conversiones!$C:$C,Conversiones!$E:$E)</f>
        <v>Específico</v>
      </c>
      <c r="V352" t="s">
        <v>41</v>
      </c>
      <c r="W352" t="s">
        <v>250</v>
      </c>
      <c r="X352" s="2">
        <v>45146</v>
      </c>
      <c r="Y352" s="2">
        <v>45262</v>
      </c>
      <c r="Z352">
        <v>116</v>
      </c>
    </row>
    <row r="353" spans="1:26">
      <c r="A353" s="68" t="s">
        <v>1569</v>
      </c>
      <c r="B353" s="1">
        <v>201815494</v>
      </c>
      <c r="C353" s="1" t="s">
        <v>1570</v>
      </c>
      <c r="D353" s="1" t="s">
        <v>422</v>
      </c>
      <c r="E353" s="1" t="s">
        <v>1571</v>
      </c>
      <c r="F353" s="1" t="s">
        <v>216</v>
      </c>
      <c r="G353" s="1" t="s">
        <v>246</v>
      </c>
      <c r="H353" s="1" t="s">
        <v>512</v>
      </c>
      <c r="I353" s="1" t="s">
        <v>513</v>
      </c>
      <c r="J353" s="1" t="s">
        <v>247</v>
      </c>
      <c r="K353" s="1">
        <v>2023</v>
      </c>
      <c r="L353" s="1">
        <v>202320</v>
      </c>
      <c r="M353" s="1">
        <v>202320</v>
      </c>
      <c r="N353" s="1" t="s">
        <v>248</v>
      </c>
      <c r="O353" s="1" t="s">
        <v>214</v>
      </c>
      <c r="P353" s="1" t="s">
        <v>446</v>
      </c>
      <c r="Q353" s="1" t="s">
        <v>216</v>
      </c>
      <c r="R353" s="1" t="s">
        <v>246</v>
      </c>
      <c r="S353" s="1" t="s">
        <v>279</v>
      </c>
      <c r="T353" s="70" t="str">
        <f>_xlfn.XLOOKUP(Tabla1[[#This Row],[Universidad]],Conversiones!$B:$B,Conversiones!$C:$C)</f>
        <v>Toulouse Business School</v>
      </c>
      <c r="U353" s="70" t="str">
        <f>_xlfn.XLOOKUP(Tabla1[[#This Row],[Universidad KPIs]],Conversiones!$C:$C,Conversiones!$E:$E)</f>
        <v>Específico</v>
      </c>
      <c r="V353" s="1" t="s">
        <v>41</v>
      </c>
      <c r="W353" s="1" t="s">
        <v>250</v>
      </c>
      <c r="X353" s="55">
        <v>45146</v>
      </c>
      <c r="Y353" s="55">
        <v>45262</v>
      </c>
      <c r="Z353" s="1">
        <v>116</v>
      </c>
    </row>
    <row r="354" spans="1:26">
      <c r="A354" s="67" t="s">
        <v>1572</v>
      </c>
      <c r="B354">
        <v>201914332</v>
      </c>
      <c r="C354" t="s">
        <v>1573</v>
      </c>
      <c r="D354" t="s">
        <v>1574</v>
      </c>
      <c r="E354" t="s">
        <v>1575</v>
      </c>
      <c r="F354" t="s">
        <v>216</v>
      </c>
      <c r="G354" t="s">
        <v>246</v>
      </c>
      <c r="H354" t="s">
        <v>460</v>
      </c>
      <c r="I354" t="s">
        <v>461</v>
      </c>
      <c r="J354" t="s">
        <v>247</v>
      </c>
      <c r="K354">
        <v>2023</v>
      </c>
      <c r="L354">
        <v>202320</v>
      </c>
      <c r="M354">
        <v>202320</v>
      </c>
      <c r="N354" t="s">
        <v>248</v>
      </c>
      <c r="O354" t="s">
        <v>214</v>
      </c>
      <c r="P354" t="s">
        <v>446</v>
      </c>
      <c r="Q354" t="s">
        <v>216</v>
      </c>
      <c r="R354" t="s">
        <v>246</v>
      </c>
      <c r="S354" t="s">
        <v>279</v>
      </c>
      <c r="T354" s="70" t="str">
        <f>_xlfn.XLOOKUP(Tabla1[[#This Row],[Universidad]],Conversiones!$B:$B,Conversiones!$C:$C)</f>
        <v>Toulouse Business School</v>
      </c>
      <c r="U354" s="70" t="str">
        <f>_xlfn.XLOOKUP(Tabla1[[#This Row],[Universidad KPIs]],Conversiones!$C:$C,Conversiones!$E:$E)</f>
        <v>Específico</v>
      </c>
      <c r="V354" t="s">
        <v>41</v>
      </c>
      <c r="W354" t="s">
        <v>250</v>
      </c>
      <c r="X354" s="2">
        <v>45146</v>
      </c>
      <c r="Y354" s="2">
        <v>45262</v>
      </c>
      <c r="Z354">
        <v>116</v>
      </c>
    </row>
    <row r="355" spans="1:26">
      <c r="A355" s="68" t="s">
        <v>1149</v>
      </c>
      <c r="B355" s="1">
        <v>201914594</v>
      </c>
      <c r="C355" s="1" t="s">
        <v>1150</v>
      </c>
      <c r="D355" s="1" t="s">
        <v>1151</v>
      </c>
      <c r="E355" s="1" t="s">
        <v>1152</v>
      </c>
      <c r="F355" s="1" t="s">
        <v>216</v>
      </c>
      <c r="G355" s="1" t="s">
        <v>246</v>
      </c>
      <c r="H355" s="1"/>
      <c r="I355" s="1"/>
      <c r="J355" s="1" t="s">
        <v>247</v>
      </c>
      <c r="K355" s="1">
        <v>2023</v>
      </c>
      <c r="L355" s="1">
        <v>202320</v>
      </c>
      <c r="M355" s="1">
        <v>202320</v>
      </c>
      <c r="N355" s="1" t="s">
        <v>248</v>
      </c>
      <c r="O355" s="1" t="s">
        <v>214</v>
      </c>
      <c r="P355" s="1" t="s">
        <v>446</v>
      </c>
      <c r="Q355" s="1" t="s">
        <v>216</v>
      </c>
      <c r="R355" s="1" t="s">
        <v>246</v>
      </c>
      <c r="S355" s="1" t="s">
        <v>279</v>
      </c>
      <c r="T355" s="70" t="str">
        <f>_xlfn.XLOOKUP(Tabla1[[#This Row],[Universidad]],Conversiones!$B:$B,Conversiones!$C:$C)</f>
        <v>Toulouse Business School</v>
      </c>
      <c r="U355" s="70" t="str">
        <f>_xlfn.XLOOKUP(Tabla1[[#This Row],[Universidad KPIs]],Conversiones!$C:$C,Conversiones!$E:$E)</f>
        <v>Específico</v>
      </c>
      <c r="V355" s="1" t="s">
        <v>41</v>
      </c>
      <c r="W355" s="1" t="s">
        <v>250</v>
      </c>
      <c r="X355" s="55">
        <v>45146</v>
      </c>
      <c r="Y355" s="55">
        <v>45262</v>
      </c>
      <c r="Z355" s="1">
        <v>116</v>
      </c>
    </row>
    <row r="356" spans="1:26">
      <c r="A356" s="67" t="s">
        <v>1346</v>
      </c>
      <c r="B356">
        <v>201921122</v>
      </c>
      <c r="C356" t="s">
        <v>1347</v>
      </c>
      <c r="D356" t="s">
        <v>1348</v>
      </c>
      <c r="E356" t="s">
        <v>1349</v>
      </c>
      <c r="F356" t="s">
        <v>216</v>
      </c>
      <c r="G356" t="s">
        <v>246</v>
      </c>
      <c r="J356" t="s">
        <v>247</v>
      </c>
      <c r="K356">
        <v>2023</v>
      </c>
      <c r="L356">
        <v>202320</v>
      </c>
      <c r="M356">
        <v>202320</v>
      </c>
      <c r="N356" t="s">
        <v>248</v>
      </c>
      <c r="O356" t="s">
        <v>214</v>
      </c>
      <c r="P356" t="s">
        <v>446</v>
      </c>
      <c r="Q356" t="s">
        <v>216</v>
      </c>
      <c r="R356" t="s">
        <v>246</v>
      </c>
      <c r="S356" t="s">
        <v>279</v>
      </c>
      <c r="T356" s="70" t="str">
        <f>_xlfn.XLOOKUP(Tabla1[[#This Row],[Universidad]],Conversiones!$B:$B,Conversiones!$C:$C)</f>
        <v>Toulouse Business School</v>
      </c>
      <c r="U356" s="70" t="str">
        <f>_xlfn.XLOOKUP(Tabla1[[#This Row],[Universidad KPIs]],Conversiones!$C:$C,Conversiones!$E:$E)</f>
        <v>Específico</v>
      </c>
      <c r="V356" t="s">
        <v>41</v>
      </c>
      <c r="W356" t="s">
        <v>250</v>
      </c>
      <c r="X356" s="2">
        <v>45146</v>
      </c>
      <c r="Y356" s="2">
        <v>45262</v>
      </c>
      <c r="Z356">
        <v>116</v>
      </c>
    </row>
    <row r="357" spans="1:26">
      <c r="A357" s="68" t="s">
        <v>1576</v>
      </c>
      <c r="B357" s="1">
        <v>201922805</v>
      </c>
      <c r="C357" s="1" t="s">
        <v>1577</v>
      </c>
      <c r="D357" s="1" t="s">
        <v>1578</v>
      </c>
      <c r="E357" s="1" t="s">
        <v>1579</v>
      </c>
      <c r="F357" s="1" t="s">
        <v>216</v>
      </c>
      <c r="G357" s="1" t="s">
        <v>246</v>
      </c>
      <c r="H357" s="1"/>
      <c r="I357" s="1"/>
      <c r="J357" s="1" t="s">
        <v>247</v>
      </c>
      <c r="K357" s="1">
        <v>2023</v>
      </c>
      <c r="L357" s="1">
        <v>202320</v>
      </c>
      <c r="M357" s="1">
        <v>202320</v>
      </c>
      <c r="N357" s="1" t="s">
        <v>248</v>
      </c>
      <c r="O357" s="1" t="s">
        <v>214</v>
      </c>
      <c r="P357" s="1" t="s">
        <v>446</v>
      </c>
      <c r="Q357" s="1" t="s">
        <v>216</v>
      </c>
      <c r="R357" s="1" t="s">
        <v>246</v>
      </c>
      <c r="S357" s="1" t="s">
        <v>279</v>
      </c>
      <c r="T357" s="70" t="str">
        <f>_xlfn.XLOOKUP(Tabla1[[#This Row],[Universidad]],Conversiones!$B:$B,Conversiones!$C:$C)</f>
        <v>Toulouse Business School</v>
      </c>
      <c r="U357" s="70" t="str">
        <f>_xlfn.XLOOKUP(Tabla1[[#This Row],[Universidad KPIs]],Conversiones!$C:$C,Conversiones!$E:$E)</f>
        <v>Específico</v>
      </c>
      <c r="V357" s="1" t="s">
        <v>41</v>
      </c>
      <c r="W357" s="1" t="s">
        <v>250</v>
      </c>
      <c r="X357" s="55">
        <v>45146</v>
      </c>
      <c r="Y357" s="55">
        <v>45262</v>
      </c>
      <c r="Z357" s="1">
        <v>116</v>
      </c>
    </row>
    <row r="358" spans="1:26">
      <c r="A358" s="67" t="s">
        <v>1580</v>
      </c>
      <c r="B358">
        <v>201923718</v>
      </c>
      <c r="C358" t="s">
        <v>667</v>
      </c>
      <c r="D358" t="s">
        <v>1581</v>
      </c>
      <c r="E358" t="s">
        <v>1582</v>
      </c>
      <c r="F358" t="s">
        <v>216</v>
      </c>
      <c r="G358" t="s">
        <v>246</v>
      </c>
      <c r="J358" t="s">
        <v>247</v>
      </c>
      <c r="K358">
        <v>2023</v>
      </c>
      <c r="L358">
        <v>202320</v>
      </c>
      <c r="M358">
        <v>202320</v>
      </c>
      <c r="N358" t="s">
        <v>248</v>
      </c>
      <c r="O358" t="s">
        <v>214</v>
      </c>
      <c r="P358" t="s">
        <v>446</v>
      </c>
      <c r="Q358" t="s">
        <v>216</v>
      </c>
      <c r="R358" t="s">
        <v>246</v>
      </c>
      <c r="S358" t="s">
        <v>279</v>
      </c>
      <c r="T358" s="70" t="str">
        <f>_xlfn.XLOOKUP(Tabla1[[#This Row],[Universidad]],Conversiones!$B:$B,Conversiones!$C:$C)</f>
        <v>Toulouse Business School</v>
      </c>
      <c r="U358" s="70" t="str">
        <f>_xlfn.XLOOKUP(Tabla1[[#This Row],[Universidad KPIs]],Conversiones!$C:$C,Conversiones!$E:$E)</f>
        <v>Específico</v>
      </c>
      <c r="V358" t="s">
        <v>41</v>
      </c>
      <c r="W358" t="s">
        <v>250</v>
      </c>
      <c r="X358" s="2">
        <v>45146</v>
      </c>
      <c r="Y358" s="2">
        <v>45262</v>
      </c>
      <c r="Z358">
        <v>116</v>
      </c>
    </row>
    <row r="359" spans="1:26">
      <c r="A359" s="68" t="s">
        <v>1583</v>
      </c>
      <c r="B359" s="1">
        <v>202010713</v>
      </c>
      <c r="C359" s="1" t="s">
        <v>1285</v>
      </c>
      <c r="D359" s="1" t="s">
        <v>1584</v>
      </c>
      <c r="E359" s="1" t="s">
        <v>1585</v>
      </c>
      <c r="F359" s="1" t="s">
        <v>216</v>
      </c>
      <c r="G359" s="1" t="s">
        <v>246</v>
      </c>
      <c r="H359" s="1"/>
      <c r="I359" s="1"/>
      <c r="J359" s="1" t="s">
        <v>247</v>
      </c>
      <c r="K359" s="1">
        <v>2023</v>
      </c>
      <c r="L359" s="1">
        <v>202320</v>
      </c>
      <c r="M359" s="1">
        <v>202320</v>
      </c>
      <c r="N359" s="1" t="s">
        <v>248</v>
      </c>
      <c r="O359" s="1" t="s">
        <v>214</v>
      </c>
      <c r="P359" s="1" t="s">
        <v>446</v>
      </c>
      <c r="Q359" s="1" t="s">
        <v>216</v>
      </c>
      <c r="R359" s="1" t="s">
        <v>246</v>
      </c>
      <c r="S359" s="1" t="s">
        <v>279</v>
      </c>
      <c r="T359" s="70" t="str">
        <f>_xlfn.XLOOKUP(Tabla1[[#This Row],[Universidad]],Conversiones!$B:$B,Conversiones!$C:$C)</f>
        <v>Toulouse Business School</v>
      </c>
      <c r="U359" s="70" t="str">
        <f>_xlfn.XLOOKUP(Tabla1[[#This Row],[Universidad KPIs]],Conversiones!$C:$C,Conversiones!$E:$E)</f>
        <v>Específico</v>
      </c>
      <c r="V359" s="1" t="s">
        <v>41</v>
      </c>
      <c r="W359" s="1" t="s">
        <v>250</v>
      </c>
      <c r="X359" s="55">
        <v>45146</v>
      </c>
      <c r="Y359" s="55">
        <v>45262</v>
      </c>
      <c r="Z359" s="1">
        <v>116</v>
      </c>
    </row>
    <row r="360" spans="1:26">
      <c r="A360" s="67" t="s">
        <v>1586</v>
      </c>
      <c r="B360">
        <v>202011202</v>
      </c>
      <c r="C360" t="s">
        <v>1587</v>
      </c>
      <c r="D360" t="s">
        <v>1588</v>
      </c>
      <c r="E360" t="s">
        <v>1589</v>
      </c>
      <c r="F360" t="s">
        <v>216</v>
      </c>
      <c r="G360" t="s">
        <v>246</v>
      </c>
      <c r="J360" t="s">
        <v>247</v>
      </c>
      <c r="K360">
        <v>2023</v>
      </c>
      <c r="L360">
        <v>202320</v>
      </c>
      <c r="M360">
        <v>202320</v>
      </c>
      <c r="N360" t="s">
        <v>248</v>
      </c>
      <c r="O360" t="s">
        <v>214</v>
      </c>
      <c r="P360" t="s">
        <v>446</v>
      </c>
      <c r="Q360" t="s">
        <v>216</v>
      </c>
      <c r="R360" t="s">
        <v>246</v>
      </c>
      <c r="S360" t="s">
        <v>279</v>
      </c>
      <c r="T360" s="70" t="str">
        <f>_xlfn.XLOOKUP(Tabla1[[#This Row],[Universidad]],Conversiones!$B:$B,Conversiones!$C:$C)</f>
        <v>Toulouse Business School</v>
      </c>
      <c r="U360" s="70" t="str">
        <f>_xlfn.XLOOKUP(Tabla1[[#This Row],[Universidad KPIs]],Conversiones!$C:$C,Conversiones!$E:$E)</f>
        <v>Específico</v>
      </c>
      <c r="V360" t="s">
        <v>41</v>
      </c>
      <c r="W360" t="s">
        <v>250</v>
      </c>
      <c r="X360" s="2">
        <v>45146</v>
      </c>
      <c r="Y360" s="2">
        <v>45262</v>
      </c>
      <c r="Z360">
        <v>116</v>
      </c>
    </row>
    <row r="361" spans="1:26">
      <c r="A361" s="68" t="s">
        <v>1590</v>
      </c>
      <c r="B361" s="1">
        <v>202021093</v>
      </c>
      <c r="C361" s="1" t="s">
        <v>1484</v>
      </c>
      <c r="D361" s="1" t="s">
        <v>1591</v>
      </c>
      <c r="E361" s="1" t="s">
        <v>1592</v>
      </c>
      <c r="F361" s="1" t="s">
        <v>216</v>
      </c>
      <c r="G361" s="1" t="s">
        <v>246</v>
      </c>
      <c r="H361" s="1"/>
      <c r="I361" s="1"/>
      <c r="J361" s="1" t="s">
        <v>247</v>
      </c>
      <c r="K361" s="1">
        <v>2023</v>
      </c>
      <c r="L361" s="1">
        <v>202320</v>
      </c>
      <c r="M361" s="1">
        <v>202320</v>
      </c>
      <c r="N361" s="1" t="s">
        <v>248</v>
      </c>
      <c r="O361" s="1" t="s">
        <v>213</v>
      </c>
      <c r="P361" s="1" t="s">
        <v>249</v>
      </c>
      <c r="Q361" s="1" t="s">
        <v>216</v>
      </c>
      <c r="R361" s="1" t="s">
        <v>246</v>
      </c>
      <c r="S361" s="1" t="s">
        <v>279</v>
      </c>
      <c r="T361" s="70" t="str">
        <f>_xlfn.XLOOKUP(Tabla1[[#This Row],[Universidad]],Conversiones!$B:$B,Conversiones!$C:$C)</f>
        <v>Toulouse Business School</v>
      </c>
      <c r="U361" s="70" t="str">
        <f>_xlfn.XLOOKUP(Tabla1[[#This Row],[Universidad KPIs]],Conversiones!$C:$C,Conversiones!$E:$E)</f>
        <v>Específico</v>
      </c>
      <c r="V361" s="1" t="s">
        <v>41</v>
      </c>
      <c r="W361" s="1" t="s">
        <v>250</v>
      </c>
      <c r="X361" s="55">
        <v>45146</v>
      </c>
      <c r="Y361" s="55">
        <v>45262</v>
      </c>
      <c r="Z361" s="1">
        <v>116</v>
      </c>
    </row>
    <row r="362" spans="1:26">
      <c r="A362" s="67" t="s">
        <v>1593</v>
      </c>
      <c r="B362">
        <v>202022061</v>
      </c>
      <c r="C362" t="s">
        <v>1594</v>
      </c>
      <c r="D362" t="s">
        <v>1595</v>
      </c>
      <c r="E362" t="s">
        <v>1596</v>
      </c>
      <c r="F362" t="s">
        <v>216</v>
      </c>
      <c r="G362" t="s">
        <v>246</v>
      </c>
      <c r="J362" t="s">
        <v>247</v>
      </c>
      <c r="K362">
        <v>2023</v>
      </c>
      <c r="L362">
        <v>202320</v>
      </c>
      <c r="M362">
        <v>202320</v>
      </c>
      <c r="N362" t="s">
        <v>248</v>
      </c>
      <c r="O362" t="s">
        <v>213</v>
      </c>
      <c r="P362" t="s">
        <v>249</v>
      </c>
      <c r="Q362" t="s">
        <v>216</v>
      </c>
      <c r="R362" t="s">
        <v>246</v>
      </c>
      <c r="S362" t="s">
        <v>279</v>
      </c>
      <c r="T362" s="70" t="str">
        <f>_xlfn.XLOOKUP(Tabla1[[#This Row],[Universidad]],Conversiones!$B:$B,Conversiones!$C:$C)</f>
        <v>Toulouse Business School</v>
      </c>
      <c r="U362" s="70" t="str">
        <f>_xlfn.XLOOKUP(Tabla1[[#This Row],[Universidad KPIs]],Conversiones!$C:$C,Conversiones!$E:$E)</f>
        <v>Específico</v>
      </c>
      <c r="V362" t="s">
        <v>41</v>
      </c>
      <c r="W362" t="s">
        <v>250</v>
      </c>
      <c r="X362" s="2">
        <v>45146</v>
      </c>
      <c r="Y362" s="2">
        <v>45262</v>
      </c>
      <c r="Z362">
        <v>116</v>
      </c>
    </row>
    <row r="363" spans="1:26">
      <c r="A363" s="68" t="s">
        <v>1597</v>
      </c>
      <c r="B363" s="1">
        <v>202013218</v>
      </c>
      <c r="C363" s="1" t="s">
        <v>1127</v>
      </c>
      <c r="D363" s="1" t="s">
        <v>1598</v>
      </c>
      <c r="E363" s="1" t="s">
        <v>1599</v>
      </c>
      <c r="F363" s="1" t="s">
        <v>216</v>
      </c>
      <c r="G363" s="1" t="s">
        <v>246</v>
      </c>
      <c r="H363" s="1"/>
      <c r="I363" s="1"/>
      <c r="J363" s="1" t="s">
        <v>247</v>
      </c>
      <c r="K363" s="1">
        <v>2023</v>
      </c>
      <c r="L363" s="1">
        <v>202320</v>
      </c>
      <c r="M363" s="1">
        <v>202320</v>
      </c>
      <c r="N363" s="1" t="s">
        <v>248</v>
      </c>
      <c r="O363" s="1" t="s">
        <v>213</v>
      </c>
      <c r="P363" s="1" t="s">
        <v>249</v>
      </c>
      <c r="Q363" s="1" t="s">
        <v>216</v>
      </c>
      <c r="R363" s="1" t="s">
        <v>246</v>
      </c>
      <c r="S363" s="1" t="s">
        <v>341</v>
      </c>
      <c r="T363" s="70" t="str">
        <f>_xlfn.XLOOKUP(Tabla1[[#This Row],[Universidad]],Conversiones!$B:$B,Conversiones!$C:$C)</f>
        <v>A.B. Freeman School of Business, Tulane University</v>
      </c>
      <c r="U363" s="70" t="str">
        <f>_xlfn.XLOOKUP(Tabla1[[#This Row],[Universidad KPIs]],Conversiones!$C:$C,Conversiones!$E:$E)</f>
        <v>Específico</v>
      </c>
      <c r="V363" s="1" t="s">
        <v>35</v>
      </c>
      <c r="W363" s="1" t="s">
        <v>260</v>
      </c>
      <c r="X363" s="55">
        <v>45146</v>
      </c>
      <c r="Y363" s="55">
        <v>45262</v>
      </c>
      <c r="Z363" s="1">
        <v>116</v>
      </c>
    </row>
    <row r="364" spans="1:26">
      <c r="A364" s="67" t="s">
        <v>1600</v>
      </c>
      <c r="B364">
        <v>202020615</v>
      </c>
      <c r="C364" t="s">
        <v>1601</v>
      </c>
      <c r="D364" t="s">
        <v>1602</v>
      </c>
      <c r="E364" t="s">
        <v>1603</v>
      </c>
      <c r="F364" t="s">
        <v>216</v>
      </c>
      <c r="G364" t="s">
        <v>246</v>
      </c>
      <c r="J364" t="s">
        <v>247</v>
      </c>
      <c r="K364">
        <v>2023</v>
      </c>
      <c r="L364">
        <v>202320</v>
      </c>
      <c r="M364">
        <v>202320</v>
      </c>
      <c r="N364" t="s">
        <v>248</v>
      </c>
      <c r="O364" t="s">
        <v>214</v>
      </c>
      <c r="P364" t="s">
        <v>446</v>
      </c>
      <c r="Q364" t="s">
        <v>216</v>
      </c>
      <c r="R364" t="s">
        <v>246</v>
      </c>
      <c r="S364" t="s">
        <v>341</v>
      </c>
      <c r="T364" s="70" t="str">
        <f>_xlfn.XLOOKUP(Tabla1[[#This Row],[Universidad]],Conversiones!$B:$B,Conversiones!$C:$C)</f>
        <v>A.B. Freeman School of Business, Tulane University</v>
      </c>
      <c r="U364" s="70" t="str">
        <f>_xlfn.XLOOKUP(Tabla1[[#This Row],[Universidad KPIs]],Conversiones!$C:$C,Conversiones!$E:$E)</f>
        <v>Específico</v>
      </c>
      <c r="V364" t="s">
        <v>35</v>
      </c>
      <c r="W364" t="s">
        <v>260</v>
      </c>
      <c r="X364" s="2">
        <v>45146</v>
      </c>
      <c r="Y364" s="2">
        <v>45262</v>
      </c>
      <c r="Z364">
        <v>116</v>
      </c>
    </row>
    <row r="365" spans="1:26">
      <c r="A365" s="68" t="s">
        <v>1604</v>
      </c>
      <c r="B365" s="1">
        <v>202021067</v>
      </c>
      <c r="C365" s="1" t="s">
        <v>1605</v>
      </c>
      <c r="D365" s="1" t="s">
        <v>1606</v>
      </c>
      <c r="E365" s="1" t="s">
        <v>1607</v>
      </c>
      <c r="F365" s="1" t="s">
        <v>216</v>
      </c>
      <c r="G365" s="1" t="s">
        <v>246</v>
      </c>
      <c r="H365" s="1"/>
      <c r="I365" s="1"/>
      <c r="J365" s="1" t="s">
        <v>247</v>
      </c>
      <c r="K365" s="1">
        <v>2023</v>
      </c>
      <c r="L365" s="1">
        <v>202320</v>
      </c>
      <c r="M365" s="1">
        <v>202320</v>
      </c>
      <c r="N365" s="1" t="s">
        <v>248</v>
      </c>
      <c r="O365" s="1" t="s">
        <v>213</v>
      </c>
      <c r="P365" s="1" t="s">
        <v>249</v>
      </c>
      <c r="Q365" s="1" t="s">
        <v>216</v>
      </c>
      <c r="R365" s="1" t="s">
        <v>246</v>
      </c>
      <c r="S365" s="1" t="s">
        <v>341</v>
      </c>
      <c r="T365" s="70" t="str">
        <f>_xlfn.XLOOKUP(Tabla1[[#This Row],[Universidad]],Conversiones!$B:$B,Conversiones!$C:$C)</f>
        <v>A.B. Freeman School of Business, Tulane University</v>
      </c>
      <c r="U365" s="70" t="str">
        <f>_xlfn.XLOOKUP(Tabla1[[#This Row],[Universidad KPIs]],Conversiones!$C:$C,Conversiones!$E:$E)</f>
        <v>Específico</v>
      </c>
      <c r="V365" s="1" t="s">
        <v>35</v>
      </c>
      <c r="W365" s="1" t="s">
        <v>260</v>
      </c>
      <c r="X365" s="55">
        <v>45146</v>
      </c>
      <c r="Y365" s="55">
        <v>45262</v>
      </c>
      <c r="Z365" s="1">
        <v>116</v>
      </c>
    </row>
    <row r="366" spans="1:26">
      <c r="A366" s="67" t="s">
        <v>1608</v>
      </c>
      <c r="B366">
        <v>201821765</v>
      </c>
      <c r="C366" t="s">
        <v>674</v>
      </c>
      <c r="D366" t="s">
        <v>1609</v>
      </c>
      <c r="E366" t="s">
        <v>1610</v>
      </c>
      <c r="F366" t="s">
        <v>216</v>
      </c>
      <c r="G366" t="s">
        <v>246</v>
      </c>
      <c r="J366" t="s">
        <v>247</v>
      </c>
      <c r="K366">
        <v>2023</v>
      </c>
      <c r="L366">
        <v>202320</v>
      </c>
      <c r="M366">
        <v>202320</v>
      </c>
      <c r="N366" t="s">
        <v>248</v>
      </c>
      <c r="O366" t="s">
        <v>213</v>
      </c>
      <c r="P366" t="s">
        <v>249</v>
      </c>
      <c r="Q366" t="s">
        <v>216</v>
      </c>
      <c r="R366" t="s">
        <v>246</v>
      </c>
      <c r="S366" t="s">
        <v>92</v>
      </c>
      <c r="T366" s="70" t="str">
        <f>_xlfn.XLOOKUP(Tabla1[[#This Row],[Universidad]],Conversiones!$B:$B,Conversiones!$C:$C)</f>
        <v>Universidad de Chile</v>
      </c>
      <c r="U366" s="70" t="str">
        <f>_xlfn.XLOOKUP(Tabla1[[#This Row],[Universidad KPIs]],Conversiones!$C:$C,Conversiones!$E:$E)</f>
        <v>Específico</v>
      </c>
      <c r="V366" t="s">
        <v>93</v>
      </c>
      <c r="W366" t="s">
        <v>265</v>
      </c>
      <c r="X366" s="2">
        <v>45146</v>
      </c>
      <c r="Y366" s="2">
        <v>45262</v>
      </c>
      <c r="Z366">
        <v>116</v>
      </c>
    </row>
    <row r="367" spans="1:26">
      <c r="A367" s="68" t="s">
        <v>1611</v>
      </c>
      <c r="B367" s="1">
        <v>202012264</v>
      </c>
      <c r="C367" s="1" t="s">
        <v>1612</v>
      </c>
      <c r="D367" s="1" t="s">
        <v>867</v>
      </c>
      <c r="E367" s="1" t="s">
        <v>1613</v>
      </c>
      <c r="F367" s="1" t="s">
        <v>216</v>
      </c>
      <c r="G367" s="1" t="s">
        <v>246</v>
      </c>
      <c r="H367" s="1" t="s">
        <v>466</v>
      </c>
      <c r="I367" s="1" t="s">
        <v>467</v>
      </c>
      <c r="J367" s="1" t="s">
        <v>247</v>
      </c>
      <c r="K367" s="1">
        <v>2023</v>
      </c>
      <c r="L367" s="1">
        <v>202320</v>
      </c>
      <c r="M367" s="1">
        <v>202320</v>
      </c>
      <c r="N367" s="1" t="s">
        <v>248</v>
      </c>
      <c r="O367" s="1" t="s">
        <v>213</v>
      </c>
      <c r="P367" s="1" t="s">
        <v>249</v>
      </c>
      <c r="Q367" s="1" t="s">
        <v>216</v>
      </c>
      <c r="R367" s="1" t="s">
        <v>246</v>
      </c>
      <c r="S367" s="1" t="s">
        <v>153</v>
      </c>
      <c r="T367" s="70" t="str">
        <f>_xlfn.XLOOKUP(Tabla1[[#This Row],[Universidad]],Conversiones!$B:$B,Conversiones!$C:$C)</f>
        <v>Universidade do Porto</v>
      </c>
      <c r="U367" s="70" t="str">
        <f>_xlfn.XLOOKUP(Tabla1[[#This Row],[Universidad KPIs]],Conversiones!$C:$C,Conversiones!$E:$E)</f>
        <v>General</v>
      </c>
      <c r="V367" s="1" t="s">
        <v>45</v>
      </c>
      <c r="W367" s="1" t="s">
        <v>250</v>
      </c>
      <c r="X367" s="55">
        <v>45146</v>
      </c>
      <c r="Y367" s="55">
        <v>45262</v>
      </c>
      <c r="Z367" s="1">
        <v>116</v>
      </c>
    </row>
    <row r="368" spans="1:26">
      <c r="A368" s="67" t="s">
        <v>1614</v>
      </c>
      <c r="B368">
        <v>201419655</v>
      </c>
      <c r="C368" t="s">
        <v>1615</v>
      </c>
      <c r="D368" t="s">
        <v>1616</v>
      </c>
      <c r="E368" t="s">
        <v>1617</v>
      </c>
      <c r="F368" t="s">
        <v>220</v>
      </c>
      <c r="G368" t="s">
        <v>246</v>
      </c>
      <c r="J368" t="s">
        <v>247</v>
      </c>
      <c r="K368">
        <v>2023</v>
      </c>
      <c r="L368">
        <v>202320</v>
      </c>
      <c r="M368">
        <v>202320</v>
      </c>
      <c r="N368" t="s">
        <v>587</v>
      </c>
      <c r="O368" t="s">
        <v>213</v>
      </c>
      <c r="P368" t="s">
        <v>1491</v>
      </c>
      <c r="Q368" t="s">
        <v>220</v>
      </c>
      <c r="R368" t="s">
        <v>246</v>
      </c>
      <c r="S368" t="s">
        <v>424</v>
      </c>
      <c r="T368" s="70" t="str">
        <f>_xlfn.XLOOKUP(Tabla1[[#This Row],[Universidad]],Conversiones!$B:$B,Conversiones!$C:$C)</f>
        <v>Nova School of Business and Economics</v>
      </c>
      <c r="U368" s="70" t="str">
        <f>_xlfn.XLOOKUP(Tabla1[[#This Row],[Universidad KPIs]],Conversiones!$C:$C,Conversiones!$E:$E)</f>
        <v>Específico</v>
      </c>
      <c r="V368" t="s">
        <v>45</v>
      </c>
      <c r="W368" t="s">
        <v>250</v>
      </c>
      <c r="X368" s="2">
        <v>45146</v>
      </c>
      <c r="Y368" s="2">
        <v>45262</v>
      </c>
      <c r="Z368">
        <v>116</v>
      </c>
    </row>
    <row r="369" spans="1:26">
      <c r="A369" s="68" t="s">
        <v>1618</v>
      </c>
      <c r="B369" s="1">
        <v>202022341</v>
      </c>
      <c r="C369" s="1" t="s">
        <v>674</v>
      </c>
      <c r="D369" s="1" t="s">
        <v>1619</v>
      </c>
      <c r="E369" s="1" t="s">
        <v>1620</v>
      </c>
      <c r="F369" s="1" t="s">
        <v>216</v>
      </c>
      <c r="G369" s="1" t="s">
        <v>246</v>
      </c>
      <c r="H369" s="1"/>
      <c r="I369" s="1"/>
      <c r="J369" s="1" t="s">
        <v>247</v>
      </c>
      <c r="K369" s="1">
        <v>2023</v>
      </c>
      <c r="L369" s="1">
        <v>202320</v>
      </c>
      <c r="M369" s="1">
        <v>202320</v>
      </c>
      <c r="N369" s="1" t="s">
        <v>248</v>
      </c>
      <c r="O369" s="1" t="s">
        <v>213</v>
      </c>
      <c r="P369" s="1" t="s">
        <v>249</v>
      </c>
      <c r="Q369" s="1" t="s">
        <v>216</v>
      </c>
      <c r="R369" s="1" t="s">
        <v>246</v>
      </c>
      <c r="S369" s="1" t="s">
        <v>424</v>
      </c>
      <c r="T369" s="70" t="str">
        <f>_xlfn.XLOOKUP(Tabla1[[#This Row],[Universidad]],Conversiones!$B:$B,Conversiones!$C:$C)</f>
        <v>Nova School of Business and Economics</v>
      </c>
      <c r="U369" s="70" t="str">
        <f>_xlfn.XLOOKUP(Tabla1[[#This Row],[Universidad KPIs]],Conversiones!$C:$C,Conversiones!$E:$E)</f>
        <v>Específico</v>
      </c>
      <c r="V369" s="1" t="s">
        <v>45</v>
      </c>
      <c r="W369" s="1" t="s">
        <v>250</v>
      </c>
      <c r="X369" s="55">
        <v>45146</v>
      </c>
      <c r="Y369" s="55">
        <v>45262</v>
      </c>
      <c r="Z369" s="1">
        <v>116</v>
      </c>
    </row>
    <row r="370" spans="1:26">
      <c r="A370" s="67" t="s">
        <v>1621</v>
      </c>
      <c r="B370">
        <v>202022343</v>
      </c>
      <c r="C370" t="s">
        <v>1594</v>
      </c>
      <c r="D370" t="s">
        <v>1622</v>
      </c>
      <c r="E370" t="s">
        <v>1623</v>
      </c>
      <c r="F370" t="s">
        <v>216</v>
      </c>
      <c r="G370" t="s">
        <v>246</v>
      </c>
      <c r="J370" t="s">
        <v>247</v>
      </c>
      <c r="K370">
        <v>2023</v>
      </c>
      <c r="L370">
        <v>202320</v>
      </c>
      <c r="M370">
        <v>202320</v>
      </c>
      <c r="N370" t="s">
        <v>248</v>
      </c>
      <c r="O370" t="s">
        <v>213</v>
      </c>
      <c r="P370" t="s">
        <v>249</v>
      </c>
      <c r="Q370" t="s">
        <v>216</v>
      </c>
      <c r="R370" t="s">
        <v>246</v>
      </c>
      <c r="S370" t="s">
        <v>424</v>
      </c>
      <c r="T370" s="70" t="str">
        <f>_xlfn.XLOOKUP(Tabla1[[#This Row],[Universidad]],Conversiones!$B:$B,Conversiones!$C:$C)</f>
        <v>Nova School of Business and Economics</v>
      </c>
      <c r="U370" s="70" t="str">
        <f>_xlfn.XLOOKUP(Tabla1[[#This Row],[Universidad KPIs]],Conversiones!$C:$C,Conversiones!$E:$E)</f>
        <v>Específico</v>
      </c>
      <c r="V370" t="s">
        <v>45</v>
      </c>
      <c r="W370" t="s">
        <v>250</v>
      </c>
      <c r="X370" s="2">
        <v>45146</v>
      </c>
      <c r="Y370" s="2">
        <v>45262</v>
      </c>
      <c r="Z370">
        <v>116</v>
      </c>
    </row>
    <row r="371" spans="1:26">
      <c r="A371" s="68" t="s">
        <v>1624</v>
      </c>
      <c r="B371" s="1">
        <v>201822993</v>
      </c>
      <c r="C371" s="1" t="s">
        <v>1594</v>
      </c>
      <c r="D371" s="1" t="s">
        <v>1625</v>
      </c>
      <c r="E371" s="1" t="s">
        <v>1626</v>
      </c>
      <c r="F371" s="1" t="s">
        <v>512</v>
      </c>
      <c r="G371" s="1" t="s">
        <v>513</v>
      </c>
      <c r="H371" s="1" t="s">
        <v>216</v>
      </c>
      <c r="I371" s="1" t="s">
        <v>246</v>
      </c>
      <c r="J371" s="1" t="s">
        <v>247</v>
      </c>
      <c r="K371" s="1">
        <v>2023</v>
      </c>
      <c r="L371" s="1">
        <v>202320</v>
      </c>
      <c r="M371" s="1">
        <v>202320</v>
      </c>
      <c r="N371" s="1" t="s">
        <v>248</v>
      </c>
      <c r="O371" s="1" t="s">
        <v>213</v>
      </c>
      <c r="P371" s="1" t="s">
        <v>249</v>
      </c>
      <c r="Q371" s="1" t="s">
        <v>216</v>
      </c>
      <c r="R371" s="1" t="s">
        <v>246</v>
      </c>
      <c r="S371" s="1" t="s">
        <v>289</v>
      </c>
      <c r="T371" s="70" t="str">
        <f>_xlfn.XLOOKUP(Tabla1[[#This Row],[Universidad]],Conversiones!$B:$B,Conversiones!$C:$C)</f>
        <v>ESADE</v>
      </c>
      <c r="U371" s="70" t="str">
        <f>_xlfn.XLOOKUP(Tabla1[[#This Row],[Universidad KPIs]],Conversiones!$C:$C,Conversiones!$E:$E)</f>
        <v>Específico</v>
      </c>
      <c r="V371" s="1" t="s">
        <v>53</v>
      </c>
      <c r="W371" s="1" t="s">
        <v>250</v>
      </c>
      <c r="X371" s="55">
        <v>45146</v>
      </c>
      <c r="Y371" s="55">
        <v>45262</v>
      </c>
      <c r="Z371" s="1">
        <v>116</v>
      </c>
    </row>
    <row r="372" spans="1:26">
      <c r="A372" s="67" t="s">
        <v>1627</v>
      </c>
      <c r="B372">
        <v>202021652</v>
      </c>
      <c r="C372" t="s">
        <v>1427</v>
      </c>
      <c r="D372" t="s">
        <v>1628</v>
      </c>
      <c r="E372" t="s">
        <v>1629</v>
      </c>
      <c r="F372" t="s">
        <v>216</v>
      </c>
      <c r="G372" t="s">
        <v>246</v>
      </c>
      <c r="J372" t="s">
        <v>247</v>
      </c>
      <c r="K372">
        <v>2023</v>
      </c>
      <c r="L372">
        <v>202320</v>
      </c>
      <c r="M372">
        <v>202320</v>
      </c>
      <c r="N372" t="s">
        <v>248</v>
      </c>
      <c r="O372" t="s">
        <v>213</v>
      </c>
      <c r="P372" t="s">
        <v>249</v>
      </c>
      <c r="Q372" t="s">
        <v>216</v>
      </c>
      <c r="R372" t="s">
        <v>246</v>
      </c>
      <c r="S372" t="s">
        <v>289</v>
      </c>
      <c r="T372" s="70" t="str">
        <f>_xlfn.XLOOKUP(Tabla1[[#This Row],[Universidad]],Conversiones!$B:$B,Conversiones!$C:$C)</f>
        <v>ESADE</v>
      </c>
      <c r="U372" s="70" t="str">
        <f>_xlfn.XLOOKUP(Tabla1[[#This Row],[Universidad KPIs]],Conversiones!$C:$C,Conversiones!$E:$E)</f>
        <v>Específico</v>
      </c>
      <c r="V372" t="s">
        <v>53</v>
      </c>
      <c r="W372" t="s">
        <v>250</v>
      </c>
      <c r="X372" s="2">
        <v>45146</v>
      </c>
      <c r="Y372" s="2">
        <v>45262</v>
      </c>
      <c r="Z372">
        <v>116</v>
      </c>
    </row>
    <row r="373" spans="1:26">
      <c r="A373" s="68" t="s">
        <v>1630</v>
      </c>
      <c r="B373" s="1">
        <v>202021464</v>
      </c>
      <c r="C373" s="1" t="s">
        <v>1631</v>
      </c>
      <c r="D373" s="1" t="s">
        <v>1632</v>
      </c>
      <c r="E373" s="1" t="s">
        <v>1633</v>
      </c>
      <c r="F373" s="1" t="s">
        <v>216</v>
      </c>
      <c r="G373" s="1" t="s">
        <v>246</v>
      </c>
      <c r="H373" s="1"/>
      <c r="I373" s="1"/>
      <c r="J373" s="1" t="s">
        <v>247</v>
      </c>
      <c r="K373" s="1">
        <v>2023</v>
      </c>
      <c r="L373" s="1">
        <v>202320</v>
      </c>
      <c r="M373" s="1">
        <v>202320</v>
      </c>
      <c r="N373" s="1" t="s">
        <v>248</v>
      </c>
      <c r="O373" s="1" t="s">
        <v>213</v>
      </c>
      <c r="P373" s="1" t="s">
        <v>249</v>
      </c>
      <c r="Q373" s="1" t="s">
        <v>216</v>
      </c>
      <c r="R373" s="1" t="s">
        <v>246</v>
      </c>
      <c r="S373" s="1" t="s">
        <v>493</v>
      </c>
      <c r="T373" s="70" t="str">
        <f>_xlfn.XLOOKUP(Tabla1[[#This Row],[Universidad]],Conversiones!$B:$B,Conversiones!$C:$C)</f>
        <v>University of Saint Gallen</v>
      </c>
      <c r="U373" s="70" t="str">
        <f>_xlfn.XLOOKUP(Tabla1[[#This Row],[Universidad KPIs]],Conversiones!$C:$C,Conversiones!$E:$E)</f>
        <v>Específico</v>
      </c>
      <c r="V373" s="1" t="s">
        <v>65</v>
      </c>
      <c r="W373" s="1" t="s">
        <v>250</v>
      </c>
      <c r="X373" s="55">
        <v>45146</v>
      </c>
      <c r="Y373" s="55">
        <v>45262</v>
      </c>
      <c r="Z373" s="1">
        <v>116</v>
      </c>
    </row>
    <row r="374" spans="1:26">
      <c r="A374" s="67" t="s">
        <v>1634</v>
      </c>
      <c r="B374">
        <v>201424125</v>
      </c>
      <c r="C374" t="s">
        <v>1635</v>
      </c>
      <c r="D374" t="s">
        <v>1636</v>
      </c>
      <c r="E374" t="s">
        <v>1637</v>
      </c>
      <c r="F374" t="s">
        <v>222</v>
      </c>
      <c r="G374" t="s">
        <v>246</v>
      </c>
      <c r="J374" t="s">
        <v>247</v>
      </c>
      <c r="K374">
        <v>2023</v>
      </c>
      <c r="L374">
        <v>202320</v>
      </c>
      <c r="M374">
        <v>202320</v>
      </c>
      <c r="N374" t="s">
        <v>587</v>
      </c>
      <c r="O374" t="s">
        <v>213</v>
      </c>
      <c r="P374" t="s">
        <v>1491</v>
      </c>
      <c r="Q374" t="s">
        <v>222</v>
      </c>
      <c r="R374" t="s">
        <v>246</v>
      </c>
      <c r="S374" t="s">
        <v>161</v>
      </c>
      <c r="T374" s="70" t="str">
        <f>_xlfn.XLOOKUP(Tabla1[[#This Row],[Universidad]],Conversiones!$B:$B,Conversiones!$C:$C)</f>
        <v>Université de Genève</v>
      </c>
      <c r="U374" s="70" t="str">
        <f>_xlfn.XLOOKUP(Tabla1[[#This Row],[Universidad KPIs]],Conversiones!$C:$C,Conversiones!$E:$E)</f>
        <v>General</v>
      </c>
      <c r="V374" t="s">
        <v>65</v>
      </c>
      <c r="W374" t="s">
        <v>250</v>
      </c>
      <c r="X374" s="2">
        <v>45146</v>
      </c>
      <c r="Y374" s="2">
        <v>45262</v>
      </c>
      <c r="Z374">
        <v>116</v>
      </c>
    </row>
    <row r="375" spans="1:26">
      <c r="A375" s="68" t="s">
        <v>1638</v>
      </c>
      <c r="B375" s="1">
        <v>201921761</v>
      </c>
      <c r="C375" s="1" t="s">
        <v>1639</v>
      </c>
      <c r="D375" s="1" t="s">
        <v>1640</v>
      </c>
      <c r="E375" s="1" t="s">
        <v>1641</v>
      </c>
      <c r="F375" s="1" t="s">
        <v>216</v>
      </c>
      <c r="G375" s="1" t="s">
        <v>246</v>
      </c>
      <c r="H375" s="1"/>
      <c r="I375" s="1"/>
      <c r="J375" s="1" t="s">
        <v>247</v>
      </c>
      <c r="K375" s="1">
        <v>2023</v>
      </c>
      <c r="L375" s="1">
        <v>202320</v>
      </c>
      <c r="M375" s="1">
        <v>202320</v>
      </c>
      <c r="N375" s="1" t="s">
        <v>248</v>
      </c>
      <c r="O375" s="1" t="s">
        <v>213</v>
      </c>
      <c r="P375" s="1" t="s">
        <v>249</v>
      </c>
      <c r="Q375" s="1" t="s">
        <v>216</v>
      </c>
      <c r="R375" s="1" t="s">
        <v>246</v>
      </c>
      <c r="S375" s="1" t="s">
        <v>1369</v>
      </c>
      <c r="T375" s="70" t="str">
        <f>_xlfn.XLOOKUP(Tabla1[[#This Row],[Universidad]],Conversiones!$B:$B,Conversiones!$C:$C)</f>
        <v>EM Strasbourg</v>
      </c>
      <c r="U375" s="70" t="str">
        <f>_xlfn.XLOOKUP(Tabla1[[#This Row],[Universidad KPIs]],Conversiones!$C:$C,Conversiones!$E:$E)</f>
        <v>Específico</v>
      </c>
      <c r="V375" s="1" t="s">
        <v>41</v>
      </c>
      <c r="W375" s="1" t="s">
        <v>250</v>
      </c>
      <c r="X375" s="55">
        <v>45146</v>
      </c>
      <c r="Y375" s="55">
        <v>45262</v>
      </c>
      <c r="Z375" s="1">
        <v>116</v>
      </c>
    </row>
    <row r="376" spans="1:26">
      <c r="A376" s="67" t="s">
        <v>1642</v>
      </c>
      <c r="B376">
        <v>202022137</v>
      </c>
      <c r="C376" t="s">
        <v>1643</v>
      </c>
      <c r="D376" t="s">
        <v>1644</v>
      </c>
      <c r="E376" t="s">
        <v>1645</v>
      </c>
      <c r="F376" t="s">
        <v>216</v>
      </c>
      <c r="G376" t="s">
        <v>246</v>
      </c>
      <c r="H376" t="s">
        <v>1646</v>
      </c>
      <c r="I376" t="s">
        <v>1647</v>
      </c>
      <c r="J376" t="s">
        <v>247</v>
      </c>
      <c r="K376">
        <v>2023</v>
      </c>
      <c r="L376">
        <v>202320</v>
      </c>
      <c r="M376">
        <v>202320</v>
      </c>
      <c r="N376" t="s">
        <v>248</v>
      </c>
      <c r="O376" t="s">
        <v>213</v>
      </c>
      <c r="P376" t="s">
        <v>249</v>
      </c>
      <c r="Q376" t="s">
        <v>216</v>
      </c>
      <c r="R376" t="s">
        <v>246</v>
      </c>
      <c r="S376" t="s">
        <v>164</v>
      </c>
      <c r="T376" s="70" t="str">
        <f>_xlfn.XLOOKUP(Tabla1[[#This Row],[Universidad]],Conversiones!$B:$B,Conversiones!$C:$C)</f>
        <v>University of Bristol</v>
      </c>
      <c r="U376" s="70" t="str">
        <f>_xlfn.XLOOKUP(Tabla1[[#This Row],[Universidad KPIs]],Conversiones!$C:$C,Conversiones!$E:$E)</f>
        <v>General</v>
      </c>
      <c r="V376" t="s">
        <v>39</v>
      </c>
      <c r="W376" t="s">
        <v>250</v>
      </c>
      <c r="X376" s="2">
        <v>45146</v>
      </c>
      <c r="Y376" s="2">
        <v>45262</v>
      </c>
      <c r="Z376">
        <v>116</v>
      </c>
    </row>
    <row r="377" spans="1:26">
      <c r="A377" s="68" t="s">
        <v>1648</v>
      </c>
      <c r="B377" s="1">
        <v>202013442</v>
      </c>
      <c r="C377" s="1" t="s">
        <v>1649</v>
      </c>
      <c r="D377" s="1" t="s">
        <v>1650</v>
      </c>
      <c r="E377" s="1" t="s">
        <v>1651</v>
      </c>
      <c r="F377" s="1" t="s">
        <v>216</v>
      </c>
      <c r="G377" s="1" t="s">
        <v>246</v>
      </c>
      <c r="H377" s="1"/>
      <c r="I377" s="1"/>
      <c r="J377" s="1" t="s">
        <v>247</v>
      </c>
      <c r="K377" s="1">
        <v>2023</v>
      </c>
      <c r="L377" s="1">
        <v>202320</v>
      </c>
      <c r="M377" s="1">
        <v>202320</v>
      </c>
      <c r="N377" s="1" t="s">
        <v>248</v>
      </c>
      <c r="O377" s="1" t="s">
        <v>213</v>
      </c>
      <c r="P377" s="1" t="s">
        <v>249</v>
      </c>
      <c r="Q377" s="1" t="s">
        <v>216</v>
      </c>
      <c r="R377" s="1" t="s">
        <v>246</v>
      </c>
      <c r="S377" s="1" t="s">
        <v>99</v>
      </c>
      <c r="T377" s="70" t="str">
        <f>_xlfn.XLOOKUP(Tabla1[[#This Row],[Universidad]],Conversiones!$B:$B,Conversiones!$C:$C)</f>
        <v>University of Exeter</v>
      </c>
      <c r="U377" s="70" t="str">
        <f>_xlfn.XLOOKUP(Tabla1[[#This Row],[Universidad KPIs]],Conversiones!$C:$C,Conversiones!$E:$E)</f>
        <v>Específico</v>
      </c>
      <c r="V377" s="1" t="s">
        <v>39</v>
      </c>
      <c r="W377" s="1" t="s">
        <v>250</v>
      </c>
      <c r="X377" s="55">
        <v>45146</v>
      </c>
      <c r="Y377" s="55">
        <v>45262</v>
      </c>
      <c r="Z377" s="1">
        <v>116</v>
      </c>
    </row>
    <row r="378" spans="1:26">
      <c r="A378" s="67" t="s">
        <v>1652</v>
      </c>
      <c r="B378">
        <v>201923775</v>
      </c>
      <c r="C378" t="s">
        <v>1653</v>
      </c>
      <c r="D378" t="s">
        <v>1654</v>
      </c>
      <c r="E378" t="s">
        <v>1655</v>
      </c>
      <c r="F378" t="s">
        <v>216</v>
      </c>
      <c r="G378" t="s">
        <v>246</v>
      </c>
      <c r="J378" t="s">
        <v>247</v>
      </c>
      <c r="K378">
        <v>2023</v>
      </c>
      <c r="L378">
        <v>202320</v>
      </c>
      <c r="M378">
        <v>202320</v>
      </c>
      <c r="N378" t="s">
        <v>248</v>
      </c>
      <c r="O378" t="s">
        <v>213</v>
      </c>
      <c r="P378" t="s">
        <v>249</v>
      </c>
      <c r="Q378" t="s">
        <v>216</v>
      </c>
      <c r="R378" t="s">
        <v>246</v>
      </c>
      <c r="S378" t="s">
        <v>104</v>
      </c>
      <c r="T378" s="70" t="str">
        <f>_xlfn.XLOOKUP(Tabla1[[#This Row],[Universidad]],Conversiones!$B:$B,Conversiones!$C:$C)</f>
        <v>University of Melbourne</v>
      </c>
      <c r="U378" s="70" t="str">
        <f>_xlfn.XLOOKUP(Tabla1[[#This Row],[Universidad KPIs]],Conversiones!$C:$C,Conversiones!$E:$E)</f>
        <v>Específico</v>
      </c>
      <c r="V378" t="s">
        <v>90</v>
      </c>
      <c r="W378" t="s">
        <v>354</v>
      </c>
      <c r="X378" s="2">
        <v>45146</v>
      </c>
      <c r="Y378" s="2">
        <v>45262</v>
      </c>
      <c r="Z378">
        <v>116</v>
      </c>
    </row>
    <row r="379" spans="1:26">
      <c r="A379" s="68" t="s">
        <v>1656</v>
      </c>
      <c r="B379" s="1">
        <v>202020947</v>
      </c>
      <c r="C379" s="1" t="s">
        <v>1657</v>
      </c>
      <c r="D379" s="1" t="s">
        <v>1658</v>
      </c>
      <c r="E379" s="1" t="s">
        <v>1659</v>
      </c>
      <c r="F379" s="1" t="s">
        <v>216</v>
      </c>
      <c r="G379" s="1" t="s">
        <v>246</v>
      </c>
      <c r="H379" s="1"/>
      <c r="I379" s="1"/>
      <c r="J379" s="1" t="s">
        <v>247</v>
      </c>
      <c r="K379" s="1">
        <v>2023</v>
      </c>
      <c r="L379" s="1">
        <v>202320</v>
      </c>
      <c r="M379" s="1">
        <v>202320</v>
      </c>
      <c r="N379" s="1" t="s">
        <v>248</v>
      </c>
      <c r="O379" s="1" t="s">
        <v>213</v>
      </c>
      <c r="P379" s="1" t="s">
        <v>249</v>
      </c>
      <c r="Q379" s="1" t="s">
        <v>216</v>
      </c>
      <c r="R379" s="1" t="s">
        <v>246</v>
      </c>
      <c r="S379" s="1" t="s">
        <v>104</v>
      </c>
      <c r="T379" s="70" t="str">
        <f>_xlfn.XLOOKUP(Tabla1[[#This Row],[Universidad]],Conversiones!$B:$B,Conversiones!$C:$C)</f>
        <v>University of Melbourne</v>
      </c>
      <c r="U379" s="70" t="str">
        <f>_xlfn.XLOOKUP(Tabla1[[#This Row],[Universidad KPIs]],Conversiones!$C:$C,Conversiones!$E:$E)</f>
        <v>Específico</v>
      </c>
      <c r="V379" s="1" t="s">
        <v>90</v>
      </c>
      <c r="W379" s="1" t="s">
        <v>354</v>
      </c>
      <c r="X379" s="55">
        <v>45146</v>
      </c>
      <c r="Y379" s="55">
        <v>45262</v>
      </c>
      <c r="Z379" s="1">
        <v>116</v>
      </c>
    </row>
    <row r="380" spans="1:26">
      <c r="A380" s="67" t="s">
        <v>1660</v>
      </c>
      <c r="B380">
        <v>202114310</v>
      </c>
      <c r="C380" t="s">
        <v>1661</v>
      </c>
      <c r="D380" t="s">
        <v>1662</v>
      </c>
      <c r="E380" t="s">
        <v>1663</v>
      </c>
      <c r="F380" t="s">
        <v>220</v>
      </c>
      <c r="G380" t="s">
        <v>246</v>
      </c>
      <c r="J380" t="s">
        <v>247</v>
      </c>
      <c r="K380">
        <v>2023</v>
      </c>
      <c r="L380">
        <v>202320</v>
      </c>
      <c r="M380">
        <v>202320</v>
      </c>
      <c r="N380" t="s">
        <v>587</v>
      </c>
      <c r="O380" t="s">
        <v>213</v>
      </c>
      <c r="P380" t="s">
        <v>1121</v>
      </c>
      <c r="Q380" t="s">
        <v>220</v>
      </c>
      <c r="R380" t="s">
        <v>246</v>
      </c>
      <c r="S380" t="s">
        <v>191</v>
      </c>
      <c r="T380" s="70" t="str">
        <f>_xlfn.XLOOKUP(Tabla1[[#This Row],[Universidad]],Conversiones!$B:$B,Conversiones!$C:$C)</f>
        <v>University of the Witwatersrand</v>
      </c>
      <c r="U380" s="70" t="str">
        <f>_xlfn.XLOOKUP(Tabla1[[#This Row],[Universidad KPIs]],Conversiones!$C:$C,Conversiones!$E:$E)</f>
        <v>General</v>
      </c>
      <c r="V380" t="s">
        <v>192</v>
      </c>
      <c r="W380" t="s">
        <v>1664</v>
      </c>
      <c r="X380" s="2">
        <v>45146</v>
      </c>
      <c r="Y380" s="2">
        <v>45262</v>
      </c>
      <c r="Z380">
        <v>116</v>
      </c>
    </row>
    <row r="381" spans="1:26">
      <c r="A381" s="68" t="s">
        <v>1665</v>
      </c>
      <c r="B381" s="1">
        <v>202022689</v>
      </c>
      <c r="C381" s="1" t="s">
        <v>870</v>
      </c>
      <c r="D381" s="1" t="s">
        <v>1666</v>
      </c>
      <c r="E381" s="1" t="s">
        <v>1667</v>
      </c>
      <c r="F381" s="1" t="s">
        <v>216</v>
      </c>
      <c r="G381" s="1" t="s">
        <v>246</v>
      </c>
      <c r="H381" s="1"/>
      <c r="I381" s="1"/>
      <c r="J381" s="1" t="s">
        <v>247</v>
      </c>
      <c r="K381" s="1">
        <v>2023</v>
      </c>
      <c r="L381" s="1">
        <v>202320</v>
      </c>
      <c r="M381" s="1">
        <v>202320</v>
      </c>
      <c r="N381" s="1" t="s">
        <v>248</v>
      </c>
      <c r="O381" s="1" t="s">
        <v>213</v>
      </c>
      <c r="P381" s="1" t="s">
        <v>249</v>
      </c>
      <c r="Q381" s="1" t="s">
        <v>216</v>
      </c>
      <c r="R381" s="1" t="s">
        <v>246</v>
      </c>
      <c r="S381" s="1" t="s">
        <v>374</v>
      </c>
      <c r="T381" s="70" t="str">
        <f>_xlfn.XLOOKUP(Tabla1[[#This Row],[Universidad]],Conversiones!$B:$B,Conversiones!$C:$C)</f>
        <v>University of Ljubljana</v>
      </c>
      <c r="U381" s="70" t="str">
        <f>_xlfn.XLOOKUP(Tabla1[[#This Row],[Universidad KPIs]],Conversiones!$C:$C,Conversiones!$E:$E)</f>
        <v>Específico</v>
      </c>
      <c r="V381" s="1" t="s">
        <v>102</v>
      </c>
      <c r="W381" s="1" t="s">
        <v>250</v>
      </c>
      <c r="X381" s="55">
        <v>45146</v>
      </c>
      <c r="Y381" s="55">
        <v>45262</v>
      </c>
      <c r="Z381" s="1">
        <v>116</v>
      </c>
    </row>
    <row r="382" spans="1:26">
      <c r="A382" s="67" t="s">
        <v>1668</v>
      </c>
      <c r="B382">
        <v>202020359</v>
      </c>
      <c r="C382" t="s">
        <v>364</v>
      </c>
      <c r="D382" t="s">
        <v>1669</v>
      </c>
      <c r="E382" t="s">
        <v>1670</v>
      </c>
      <c r="F382" t="s">
        <v>216</v>
      </c>
      <c r="G382" t="s">
        <v>246</v>
      </c>
      <c r="H382" t="s">
        <v>512</v>
      </c>
      <c r="I382" t="s">
        <v>513</v>
      </c>
      <c r="J382" t="s">
        <v>247</v>
      </c>
      <c r="K382">
        <v>2024</v>
      </c>
      <c r="L382">
        <v>202410</v>
      </c>
      <c r="M382">
        <v>202410</v>
      </c>
      <c r="N382" t="s">
        <v>248</v>
      </c>
      <c r="O382" t="s">
        <v>213</v>
      </c>
      <c r="P382" t="s">
        <v>249</v>
      </c>
      <c r="Q382" t="s">
        <v>216</v>
      </c>
      <c r="R382" t="s">
        <v>246</v>
      </c>
      <c r="S382" t="s">
        <v>163</v>
      </c>
      <c r="T382" s="70" t="str">
        <f>_xlfn.XLOOKUP(Tabla1[[#This Row],[Universidad]],Conversiones!$B:$B,Conversiones!$C:$C)</f>
        <v>University College London</v>
      </c>
      <c r="U382" s="70" t="str">
        <f>_xlfn.XLOOKUP(Tabla1[[#This Row],[Universidad KPIs]],Conversiones!$C:$C,Conversiones!$E:$E)</f>
        <v>General</v>
      </c>
      <c r="V382" t="s">
        <v>39</v>
      </c>
      <c r="W382" t="s">
        <v>250</v>
      </c>
      <c r="X382" s="2">
        <v>45313</v>
      </c>
      <c r="Y382" s="2">
        <v>45437</v>
      </c>
      <c r="Z382">
        <v>124</v>
      </c>
    </row>
    <row r="383" spans="1:26">
      <c r="A383" s="68" t="s">
        <v>1671</v>
      </c>
      <c r="B383" s="1">
        <v>201821105</v>
      </c>
      <c r="C383" s="1" t="s">
        <v>1672</v>
      </c>
      <c r="D383" s="1" t="s">
        <v>1673</v>
      </c>
      <c r="E383" s="1" t="s">
        <v>1674</v>
      </c>
      <c r="F383" s="1" t="s">
        <v>617</v>
      </c>
      <c r="G383" s="1" t="s">
        <v>618</v>
      </c>
      <c r="H383" s="1" t="s">
        <v>216</v>
      </c>
      <c r="I383" s="1" t="s">
        <v>246</v>
      </c>
      <c r="J383" s="1" t="s">
        <v>247</v>
      </c>
      <c r="K383" s="1">
        <v>2024</v>
      </c>
      <c r="L383" s="1">
        <v>202410</v>
      </c>
      <c r="M383" s="1">
        <v>202410</v>
      </c>
      <c r="N383" s="1" t="s">
        <v>248</v>
      </c>
      <c r="O383" s="1" t="s">
        <v>213</v>
      </c>
      <c r="P383" s="1" t="s">
        <v>249</v>
      </c>
      <c r="Q383" s="1" t="s">
        <v>216</v>
      </c>
      <c r="R383" s="1" t="s">
        <v>246</v>
      </c>
      <c r="S383" s="1" t="s">
        <v>279</v>
      </c>
      <c r="T383" s="70" t="str">
        <f>_xlfn.XLOOKUP(Tabla1[[#This Row],[Universidad]],Conversiones!$B:$B,Conversiones!$C:$C)</f>
        <v>Toulouse Business School</v>
      </c>
      <c r="U383" s="70" t="str">
        <f>_xlfn.XLOOKUP(Tabla1[[#This Row],[Universidad KPIs]],Conversiones!$C:$C,Conversiones!$E:$E)</f>
        <v>Específico</v>
      </c>
      <c r="V383" s="1" t="s">
        <v>41</v>
      </c>
      <c r="W383" s="1" t="s">
        <v>250</v>
      </c>
      <c r="X383" s="55">
        <v>45313</v>
      </c>
      <c r="Y383" s="55">
        <v>45437</v>
      </c>
      <c r="Z383" s="1">
        <v>124</v>
      </c>
    </row>
    <row r="384" spans="1:26">
      <c r="A384" s="67" t="s">
        <v>1388</v>
      </c>
      <c r="B384">
        <v>202021561</v>
      </c>
      <c r="C384" t="s">
        <v>376</v>
      </c>
      <c r="D384" t="s">
        <v>1389</v>
      </c>
      <c r="E384" t="s">
        <v>1390</v>
      </c>
      <c r="F384" t="s">
        <v>460</v>
      </c>
      <c r="G384" t="s">
        <v>461</v>
      </c>
      <c r="H384" t="s">
        <v>216</v>
      </c>
      <c r="I384" t="s">
        <v>246</v>
      </c>
      <c r="J384" t="s">
        <v>247</v>
      </c>
      <c r="K384">
        <v>2024</v>
      </c>
      <c r="L384">
        <v>202410</v>
      </c>
      <c r="M384">
        <v>202410</v>
      </c>
      <c r="N384" t="s">
        <v>248</v>
      </c>
      <c r="O384" t="s">
        <v>213</v>
      </c>
      <c r="P384" t="s">
        <v>249</v>
      </c>
      <c r="Q384" t="s">
        <v>216</v>
      </c>
      <c r="R384" t="s">
        <v>246</v>
      </c>
      <c r="S384" t="s">
        <v>86</v>
      </c>
      <c r="T384" s="70" t="str">
        <f>_xlfn.XLOOKUP(Tabla1[[#This Row],[Universidad]],Conversiones!$B:$B,Conversiones!$C:$C)</f>
        <v>Politecnico di Milano</v>
      </c>
      <c r="U384" s="70" t="str">
        <f>_xlfn.XLOOKUP(Tabla1[[#This Row],[Universidad KPIs]],Conversiones!$C:$C,Conversiones!$E:$E)</f>
        <v>Específico</v>
      </c>
      <c r="V384" t="s">
        <v>87</v>
      </c>
      <c r="W384" t="s">
        <v>250</v>
      </c>
      <c r="X384" s="2">
        <v>45313</v>
      </c>
      <c r="Y384" s="2">
        <v>45437</v>
      </c>
      <c r="Z384">
        <v>124</v>
      </c>
    </row>
    <row r="385" spans="1:26">
      <c r="A385" s="68" t="s">
        <v>1675</v>
      </c>
      <c r="B385" s="1">
        <v>201912297</v>
      </c>
      <c r="C385" s="1" t="s">
        <v>1676</v>
      </c>
      <c r="D385" s="1" t="s">
        <v>1677</v>
      </c>
      <c r="E385" s="1" t="s">
        <v>1678</v>
      </c>
      <c r="F385" s="1" t="s">
        <v>216</v>
      </c>
      <c r="G385" s="1" t="s">
        <v>246</v>
      </c>
      <c r="H385" s="1" t="s">
        <v>617</v>
      </c>
      <c r="I385" s="1" t="s">
        <v>618</v>
      </c>
      <c r="J385" s="1" t="s">
        <v>247</v>
      </c>
      <c r="K385" s="1">
        <v>2024</v>
      </c>
      <c r="L385" s="1">
        <v>202410</v>
      </c>
      <c r="M385" s="1">
        <v>202410</v>
      </c>
      <c r="N385" s="1" t="s">
        <v>248</v>
      </c>
      <c r="O385" s="1" t="s">
        <v>213</v>
      </c>
      <c r="P385" s="1" t="s">
        <v>249</v>
      </c>
      <c r="Q385" s="1" t="s">
        <v>216</v>
      </c>
      <c r="R385" s="1" t="s">
        <v>246</v>
      </c>
      <c r="S385" s="1" t="s">
        <v>325</v>
      </c>
      <c r="T385" s="70" t="str">
        <f>_xlfn.XLOOKUP(Tabla1[[#This Row],[Universidad]],Conversiones!$B:$B,Conversiones!$C:$C)</f>
        <v>Università Commerciale Luigi Bocconi</v>
      </c>
      <c r="U385" s="70" t="str">
        <f>_xlfn.XLOOKUP(Tabla1[[#This Row],[Universidad KPIs]],Conversiones!$C:$C,Conversiones!$E:$E)</f>
        <v>Específico</v>
      </c>
      <c r="V385" s="1" t="s">
        <v>87</v>
      </c>
      <c r="W385" s="1" t="s">
        <v>250</v>
      </c>
      <c r="X385" s="55">
        <v>45313</v>
      </c>
      <c r="Y385" s="55">
        <v>45437</v>
      </c>
      <c r="Z385" s="1">
        <v>124</v>
      </c>
    </row>
    <row r="386" spans="1:26">
      <c r="A386" s="67" t="s">
        <v>1679</v>
      </c>
      <c r="B386">
        <v>202020728</v>
      </c>
      <c r="C386" t="s">
        <v>376</v>
      </c>
      <c r="D386" t="s">
        <v>1680</v>
      </c>
      <c r="E386" t="s">
        <v>1681</v>
      </c>
      <c r="F386" t="s">
        <v>216</v>
      </c>
      <c r="G386" t="s">
        <v>246</v>
      </c>
      <c r="J386" t="s">
        <v>247</v>
      </c>
      <c r="K386">
        <v>2024</v>
      </c>
      <c r="L386">
        <v>202410</v>
      </c>
      <c r="M386">
        <v>202410</v>
      </c>
      <c r="N386" t="s">
        <v>248</v>
      </c>
      <c r="O386" t="s">
        <v>213</v>
      </c>
      <c r="P386" t="s">
        <v>249</v>
      </c>
      <c r="Q386" t="s">
        <v>216</v>
      </c>
      <c r="R386" t="s">
        <v>246</v>
      </c>
      <c r="S386" t="s">
        <v>78</v>
      </c>
      <c r="T386" s="70" t="str">
        <f>_xlfn.XLOOKUP(Tabla1[[#This Row],[Universidad]],Conversiones!$B:$B,Conversiones!$C:$C)</f>
        <v>Maastricht University</v>
      </c>
      <c r="U386" s="70" t="str">
        <f>_xlfn.XLOOKUP(Tabla1[[#This Row],[Universidad KPIs]],Conversiones!$C:$C,Conversiones!$E:$E)</f>
        <v>Específico</v>
      </c>
      <c r="V386" t="s">
        <v>79</v>
      </c>
      <c r="W386" t="s">
        <v>250</v>
      </c>
      <c r="X386" s="2">
        <v>45313</v>
      </c>
      <c r="Y386" s="2">
        <v>45437</v>
      </c>
      <c r="Z386">
        <v>124</v>
      </c>
    </row>
    <row r="387" spans="1:26">
      <c r="A387" s="68" t="s">
        <v>1682</v>
      </c>
      <c r="B387" s="1">
        <v>202022150</v>
      </c>
      <c r="C387" s="1" t="s">
        <v>1683</v>
      </c>
      <c r="D387" s="1" t="s">
        <v>1684</v>
      </c>
      <c r="E387" s="1" t="s">
        <v>1685</v>
      </c>
      <c r="F387" s="1" t="s">
        <v>216</v>
      </c>
      <c r="G387" s="1" t="s">
        <v>246</v>
      </c>
      <c r="H387" s="1"/>
      <c r="I387" s="1"/>
      <c r="J387" s="1" t="s">
        <v>247</v>
      </c>
      <c r="K387" s="1">
        <v>2024</v>
      </c>
      <c r="L387" s="1">
        <v>202410</v>
      </c>
      <c r="M387" s="1">
        <v>202410</v>
      </c>
      <c r="N387" s="1" t="s">
        <v>248</v>
      </c>
      <c r="O387" s="1" t="s">
        <v>213</v>
      </c>
      <c r="P387" s="1" t="s">
        <v>249</v>
      </c>
      <c r="Q387" s="1" t="s">
        <v>216</v>
      </c>
      <c r="R387" s="1" t="s">
        <v>246</v>
      </c>
      <c r="S387" s="1" t="s">
        <v>255</v>
      </c>
      <c r="T387" s="70" t="str">
        <f>_xlfn.XLOOKUP(Tabla1[[#This Row],[Universidad]],Conversiones!$B:$B,Conversiones!$C:$C)</f>
        <v>ESC Rouen (NEOMA)</v>
      </c>
      <c r="U387" s="70" t="str">
        <f>_xlfn.XLOOKUP(Tabla1[[#This Row],[Universidad KPIs]],Conversiones!$C:$C,Conversiones!$E:$E)</f>
        <v>Específico</v>
      </c>
      <c r="V387" s="1" t="s">
        <v>41</v>
      </c>
      <c r="W387" s="1" t="s">
        <v>250</v>
      </c>
      <c r="X387" s="55">
        <v>45313</v>
      </c>
      <c r="Y387" s="55">
        <v>45437</v>
      </c>
      <c r="Z387" s="1">
        <v>124</v>
      </c>
    </row>
    <row r="388" spans="1:26">
      <c r="A388" s="67" t="s">
        <v>1686</v>
      </c>
      <c r="B388">
        <v>202021780</v>
      </c>
      <c r="C388" t="s">
        <v>1010</v>
      </c>
      <c r="D388" t="s">
        <v>1687</v>
      </c>
      <c r="E388" t="s">
        <v>1688</v>
      </c>
      <c r="F388" t="s">
        <v>216</v>
      </c>
      <c r="G388" t="s">
        <v>246</v>
      </c>
      <c r="J388" t="s">
        <v>247</v>
      </c>
      <c r="K388">
        <v>2024</v>
      </c>
      <c r="L388">
        <v>202410</v>
      </c>
      <c r="M388">
        <v>202410</v>
      </c>
      <c r="N388" t="s">
        <v>248</v>
      </c>
      <c r="O388" t="s">
        <v>213</v>
      </c>
      <c r="P388" t="s">
        <v>249</v>
      </c>
      <c r="Q388" t="s">
        <v>216</v>
      </c>
      <c r="R388" t="s">
        <v>246</v>
      </c>
      <c r="S388" t="s">
        <v>78</v>
      </c>
      <c r="T388" s="70" t="str">
        <f>_xlfn.XLOOKUP(Tabla1[[#This Row],[Universidad]],Conversiones!$B:$B,Conversiones!$C:$C)</f>
        <v>Maastricht University</v>
      </c>
      <c r="U388" s="70" t="str">
        <f>_xlfn.XLOOKUP(Tabla1[[#This Row],[Universidad KPIs]],Conversiones!$C:$C,Conversiones!$E:$E)</f>
        <v>Específico</v>
      </c>
      <c r="V388" t="s">
        <v>79</v>
      </c>
      <c r="W388" t="s">
        <v>250</v>
      </c>
      <c r="X388" s="2">
        <v>45313</v>
      </c>
      <c r="Y388" s="2">
        <v>45437</v>
      </c>
      <c r="Z388">
        <v>124</v>
      </c>
    </row>
    <row r="389" spans="1:26">
      <c r="A389" s="68" t="s">
        <v>1689</v>
      </c>
      <c r="B389" s="1">
        <v>202022698</v>
      </c>
      <c r="C389" s="1" t="s">
        <v>295</v>
      </c>
      <c r="D389" s="1" t="s">
        <v>1690</v>
      </c>
      <c r="E389" s="1" t="s">
        <v>1691</v>
      </c>
      <c r="F389" s="1" t="s">
        <v>216</v>
      </c>
      <c r="G389" s="1" t="s">
        <v>246</v>
      </c>
      <c r="H389" s="1" t="s">
        <v>460</v>
      </c>
      <c r="I389" s="1" t="s">
        <v>461</v>
      </c>
      <c r="J389" s="1" t="s">
        <v>247</v>
      </c>
      <c r="K389" s="1">
        <v>2024</v>
      </c>
      <c r="L389" s="1">
        <v>202410</v>
      </c>
      <c r="M389" s="1">
        <v>202410</v>
      </c>
      <c r="N389" s="1" t="s">
        <v>248</v>
      </c>
      <c r="O389" s="1" t="s">
        <v>213</v>
      </c>
      <c r="P389" s="1" t="s">
        <v>249</v>
      </c>
      <c r="Q389" s="1" t="s">
        <v>216</v>
      </c>
      <c r="R389" s="1" t="s">
        <v>246</v>
      </c>
      <c r="S389" s="1" t="s">
        <v>914</v>
      </c>
      <c r="T389" s="70" t="str">
        <f>_xlfn.XLOOKUP(Tabla1[[#This Row],[Universidad]],Conversiones!$B:$B,Conversiones!$C:$C)</f>
        <v>Universidad Jean Moulin Lyon 3</v>
      </c>
      <c r="U389" s="70" t="str">
        <f>_xlfn.XLOOKUP(Tabla1[[#This Row],[Universidad KPIs]],Conversiones!$C:$C,Conversiones!$E:$E)</f>
        <v>General</v>
      </c>
      <c r="V389" s="1" t="s">
        <v>41</v>
      </c>
      <c r="W389" s="1" t="s">
        <v>250</v>
      </c>
      <c r="X389" s="55">
        <v>45313</v>
      </c>
      <c r="Y389" s="55">
        <v>45437</v>
      </c>
      <c r="Z389" s="1">
        <v>124</v>
      </c>
    </row>
    <row r="390" spans="1:26">
      <c r="A390" s="67" t="s">
        <v>1692</v>
      </c>
      <c r="B390">
        <v>202021292</v>
      </c>
      <c r="C390" t="s">
        <v>295</v>
      </c>
      <c r="D390" t="s">
        <v>1693</v>
      </c>
      <c r="E390" t="s">
        <v>1694</v>
      </c>
      <c r="F390" t="s">
        <v>216</v>
      </c>
      <c r="G390" t="s">
        <v>246</v>
      </c>
      <c r="J390" t="s">
        <v>247</v>
      </c>
      <c r="K390">
        <v>2024</v>
      </c>
      <c r="L390">
        <v>202410</v>
      </c>
      <c r="M390">
        <v>202410</v>
      </c>
      <c r="N390" t="s">
        <v>248</v>
      </c>
      <c r="O390" t="s">
        <v>213</v>
      </c>
      <c r="P390" t="s">
        <v>249</v>
      </c>
      <c r="Q390" t="s">
        <v>216</v>
      </c>
      <c r="R390" t="s">
        <v>246</v>
      </c>
      <c r="S390" t="s">
        <v>50</v>
      </c>
      <c r="T390" s="70" t="str">
        <f>_xlfn.XLOOKUP(Tabla1[[#This Row],[Universidad]],Conversiones!$B:$B,Conversiones!$C:$C)</f>
        <v>EDHEC Business School</v>
      </c>
      <c r="U390" s="70" t="str">
        <f>_xlfn.XLOOKUP(Tabla1[[#This Row],[Universidad KPIs]],Conversiones!$C:$C,Conversiones!$E:$E)</f>
        <v>Específico</v>
      </c>
      <c r="V390" t="s">
        <v>41</v>
      </c>
      <c r="W390" t="s">
        <v>250</v>
      </c>
      <c r="X390" s="2">
        <v>45313</v>
      </c>
      <c r="Y390" s="2">
        <v>45437</v>
      </c>
      <c r="Z390">
        <v>124</v>
      </c>
    </row>
    <row r="391" spans="1:26">
      <c r="A391" s="68" t="s">
        <v>1695</v>
      </c>
      <c r="B391" s="1">
        <v>202025938</v>
      </c>
      <c r="C391" s="1" t="s">
        <v>1696</v>
      </c>
      <c r="D391" s="1" t="s">
        <v>1697</v>
      </c>
      <c r="E391" s="1" t="s">
        <v>1698</v>
      </c>
      <c r="F391" s="1" t="s">
        <v>216</v>
      </c>
      <c r="G391" s="1" t="s">
        <v>246</v>
      </c>
      <c r="H391" s="1"/>
      <c r="I391" s="1"/>
      <c r="J391" s="1" t="s">
        <v>247</v>
      </c>
      <c r="K391" s="1">
        <v>2024</v>
      </c>
      <c r="L391" s="1">
        <v>202410</v>
      </c>
      <c r="M391" s="1">
        <v>202410</v>
      </c>
      <c r="N391" s="1" t="s">
        <v>248</v>
      </c>
      <c r="O391" s="1" t="s">
        <v>213</v>
      </c>
      <c r="P391" s="1" t="s">
        <v>834</v>
      </c>
      <c r="Q391" s="1" t="s">
        <v>216</v>
      </c>
      <c r="R391" s="1" t="s">
        <v>246</v>
      </c>
      <c r="S391" s="1" t="s">
        <v>144</v>
      </c>
      <c r="T391" s="70" t="str">
        <f>_xlfn.XLOOKUP(Tabla1[[#This Row],[Universidad]],Conversiones!$B:$B,Conversiones!$C:$C)</f>
        <v>Universidad de Cantabria</v>
      </c>
      <c r="U391" s="70" t="str">
        <f>_xlfn.XLOOKUP(Tabla1[[#This Row],[Universidad KPIs]],Conversiones!$C:$C,Conversiones!$E:$E)</f>
        <v>General</v>
      </c>
      <c r="V391" s="1" t="s">
        <v>53</v>
      </c>
      <c r="W391" s="1" t="s">
        <v>250</v>
      </c>
      <c r="X391" s="55">
        <v>45313</v>
      </c>
      <c r="Y391" s="55">
        <v>45437</v>
      </c>
      <c r="Z391" s="1">
        <v>124</v>
      </c>
    </row>
    <row r="392" spans="1:26">
      <c r="A392" s="67" t="s">
        <v>1699</v>
      </c>
      <c r="B392">
        <v>201823843</v>
      </c>
      <c r="C392" t="s">
        <v>327</v>
      </c>
      <c r="D392" t="s">
        <v>1700</v>
      </c>
      <c r="E392" t="s">
        <v>1701</v>
      </c>
      <c r="F392" t="s">
        <v>216</v>
      </c>
      <c r="G392" t="s">
        <v>246</v>
      </c>
      <c r="J392" t="s">
        <v>247</v>
      </c>
      <c r="K392">
        <v>2024</v>
      </c>
      <c r="L392">
        <v>202410</v>
      </c>
      <c r="M392">
        <v>202410</v>
      </c>
      <c r="N392" t="s">
        <v>248</v>
      </c>
      <c r="O392" t="s">
        <v>213</v>
      </c>
      <c r="P392" t="s">
        <v>249</v>
      </c>
      <c r="Q392" t="s">
        <v>216</v>
      </c>
      <c r="R392" t="s">
        <v>246</v>
      </c>
      <c r="S392" t="s">
        <v>1369</v>
      </c>
      <c r="T392" s="70" t="str">
        <f>_xlfn.XLOOKUP(Tabla1[[#This Row],[Universidad]],Conversiones!$B:$B,Conversiones!$C:$C)</f>
        <v>EM Strasbourg</v>
      </c>
      <c r="U392" s="70" t="str">
        <f>_xlfn.XLOOKUP(Tabla1[[#This Row],[Universidad KPIs]],Conversiones!$C:$C,Conversiones!$E:$E)</f>
        <v>Específico</v>
      </c>
      <c r="V392" t="s">
        <v>41</v>
      </c>
      <c r="W392" t="s">
        <v>250</v>
      </c>
      <c r="X392" s="2">
        <v>45313</v>
      </c>
      <c r="Y392" s="2">
        <v>45437</v>
      </c>
      <c r="Z392">
        <v>124</v>
      </c>
    </row>
    <row r="393" spans="1:26">
      <c r="A393" s="68" t="s">
        <v>1702</v>
      </c>
      <c r="B393" s="1">
        <v>202111951</v>
      </c>
      <c r="C393" s="1" t="s">
        <v>327</v>
      </c>
      <c r="D393" s="1" t="s">
        <v>1703</v>
      </c>
      <c r="E393" s="1" t="s">
        <v>1704</v>
      </c>
      <c r="F393" s="1" t="s">
        <v>216</v>
      </c>
      <c r="G393" s="1" t="s">
        <v>246</v>
      </c>
      <c r="H393" s="1"/>
      <c r="I393" s="1"/>
      <c r="J393" s="1" t="s">
        <v>247</v>
      </c>
      <c r="K393" s="1">
        <v>2024</v>
      </c>
      <c r="L393" s="1">
        <v>202410</v>
      </c>
      <c r="M393" s="1">
        <v>202410</v>
      </c>
      <c r="N393" s="1" t="s">
        <v>248</v>
      </c>
      <c r="O393" s="1" t="s">
        <v>213</v>
      </c>
      <c r="P393" s="1" t="s">
        <v>249</v>
      </c>
      <c r="Q393" s="1" t="s">
        <v>216</v>
      </c>
      <c r="R393" s="1" t="s">
        <v>246</v>
      </c>
      <c r="S393" s="1" t="s">
        <v>1138</v>
      </c>
      <c r="T393" s="70" t="str">
        <f>_xlfn.XLOOKUP(Tabla1[[#This Row],[Universidad]],Conversiones!$B:$B,Conversiones!$C:$C)</f>
        <v>BI Norwegian Business School</v>
      </c>
      <c r="U393" s="70" t="str">
        <f>_xlfn.XLOOKUP(Tabla1[[#This Row],[Universidad KPIs]],Conversiones!$C:$C,Conversiones!$E:$E)</f>
        <v>Específico</v>
      </c>
      <c r="V393" s="1" t="s">
        <v>43</v>
      </c>
      <c r="W393" s="1" t="s">
        <v>250</v>
      </c>
      <c r="X393" s="55">
        <v>45313</v>
      </c>
      <c r="Y393" s="55">
        <v>45437</v>
      </c>
      <c r="Z393" s="1">
        <v>124</v>
      </c>
    </row>
    <row r="394" spans="1:26">
      <c r="A394" s="67" t="s">
        <v>1705</v>
      </c>
      <c r="B394">
        <v>201922858</v>
      </c>
      <c r="C394" t="s">
        <v>1706</v>
      </c>
      <c r="D394" t="s">
        <v>1707</v>
      </c>
      <c r="E394" t="s">
        <v>1708</v>
      </c>
      <c r="F394" t="s">
        <v>216</v>
      </c>
      <c r="G394" t="s">
        <v>246</v>
      </c>
      <c r="H394" t="s">
        <v>460</v>
      </c>
      <c r="I394" t="s">
        <v>461</v>
      </c>
      <c r="J394" t="s">
        <v>247</v>
      </c>
      <c r="K394">
        <v>2024</v>
      </c>
      <c r="L394">
        <v>202410</v>
      </c>
      <c r="M394">
        <v>202410</v>
      </c>
      <c r="N394" t="s">
        <v>248</v>
      </c>
      <c r="O394" t="s">
        <v>213</v>
      </c>
      <c r="P394" t="s">
        <v>249</v>
      </c>
      <c r="Q394" t="s">
        <v>216</v>
      </c>
      <c r="R394" t="s">
        <v>246</v>
      </c>
      <c r="S394" t="s">
        <v>1454</v>
      </c>
      <c r="T394" s="70" t="str">
        <f>_xlfn.XLOOKUP(Tabla1[[#This Row],[Universidad]],Conversiones!$B:$B,Conversiones!$C:$C)</f>
        <v>HEC Paris</v>
      </c>
      <c r="U394" s="70" t="str">
        <f>_xlfn.XLOOKUP(Tabla1[[#This Row],[Universidad KPIs]],Conversiones!$C:$C,Conversiones!$E:$E)</f>
        <v>Específico</v>
      </c>
      <c r="V394" t="s">
        <v>41</v>
      </c>
      <c r="W394" t="s">
        <v>250</v>
      </c>
      <c r="X394" s="2">
        <v>45313</v>
      </c>
      <c r="Y394" s="2">
        <v>45437</v>
      </c>
      <c r="Z394">
        <v>124</v>
      </c>
    </row>
    <row r="395" spans="1:26">
      <c r="A395" s="68" t="s">
        <v>1709</v>
      </c>
      <c r="B395" s="1">
        <v>202021528</v>
      </c>
      <c r="C395" s="1" t="s">
        <v>1710</v>
      </c>
      <c r="D395" s="1" t="s">
        <v>1711</v>
      </c>
      <c r="E395" s="1" t="s">
        <v>1712</v>
      </c>
      <c r="F395" s="1" t="s">
        <v>216</v>
      </c>
      <c r="G395" s="1" t="s">
        <v>246</v>
      </c>
      <c r="H395" s="1"/>
      <c r="I395" s="1"/>
      <c r="J395" s="1" t="s">
        <v>247</v>
      </c>
      <c r="K395" s="1">
        <v>2024</v>
      </c>
      <c r="L395" s="1">
        <v>202410</v>
      </c>
      <c r="M395" s="1">
        <v>202410</v>
      </c>
      <c r="N395" s="1" t="s">
        <v>248</v>
      </c>
      <c r="O395" s="1" t="s">
        <v>213</v>
      </c>
      <c r="P395" s="1" t="s">
        <v>249</v>
      </c>
      <c r="Q395" s="1" t="s">
        <v>216</v>
      </c>
      <c r="R395" s="1" t="s">
        <v>246</v>
      </c>
      <c r="S395" s="1" t="s">
        <v>143</v>
      </c>
      <c r="T395" s="70" t="str">
        <f>_xlfn.XLOOKUP(Tabla1[[#This Row],[Universidad]],Conversiones!$B:$B,Conversiones!$C:$C)</f>
        <v>Universidad de Alicante</v>
      </c>
      <c r="U395" s="70" t="str">
        <f>_xlfn.XLOOKUP(Tabla1[[#This Row],[Universidad KPIs]],Conversiones!$C:$C,Conversiones!$E:$E)</f>
        <v>General</v>
      </c>
      <c r="V395" s="1" t="s">
        <v>53</v>
      </c>
      <c r="W395" s="1" t="s">
        <v>250</v>
      </c>
      <c r="X395" s="55">
        <v>45313</v>
      </c>
      <c r="Y395" s="55">
        <v>45437</v>
      </c>
      <c r="Z395" s="1">
        <v>124</v>
      </c>
    </row>
    <row r="396" spans="1:26">
      <c r="A396" s="67" t="s">
        <v>1713</v>
      </c>
      <c r="B396">
        <v>201922045</v>
      </c>
      <c r="C396" t="s">
        <v>403</v>
      </c>
      <c r="D396" t="s">
        <v>1714</v>
      </c>
      <c r="E396" t="s">
        <v>1715</v>
      </c>
      <c r="F396" t="s">
        <v>216</v>
      </c>
      <c r="G396" t="s">
        <v>246</v>
      </c>
      <c r="H396" t="s">
        <v>460</v>
      </c>
      <c r="I396" t="s">
        <v>461</v>
      </c>
      <c r="J396" t="s">
        <v>247</v>
      </c>
      <c r="K396">
        <v>2024</v>
      </c>
      <c r="L396">
        <v>202410</v>
      </c>
      <c r="M396">
        <v>202410</v>
      </c>
      <c r="N396" t="s">
        <v>248</v>
      </c>
      <c r="O396" t="s">
        <v>213</v>
      </c>
      <c r="P396" t="s">
        <v>249</v>
      </c>
      <c r="Q396" t="s">
        <v>216</v>
      </c>
      <c r="R396" t="s">
        <v>246</v>
      </c>
      <c r="S396" t="s">
        <v>608</v>
      </c>
      <c r="T396" s="70" t="str">
        <f>_xlfn.XLOOKUP(Tabla1[[#This Row],[Universidad]],Conversiones!$B:$B,Conversiones!$C:$C)</f>
        <v>IE Instituto Empresa</v>
      </c>
      <c r="U396" s="70" t="str">
        <f>_xlfn.XLOOKUP(Tabla1[[#This Row],[Universidad KPIs]],Conversiones!$C:$C,Conversiones!$E:$E)</f>
        <v>General</v>
      </c>
      <c r="V396" t="s">
        <v>53</v>
      </c>
      <c r="W396" t="s">
        <v>250</v>
      </c>
      <c r="X396" s="2">
        <v>45313</v>
      </c>
      <c r="Y396" s="2">
        <v>45437</v>
      </c>
      <c r="Z396">
        <v>124</v>
      </c>
    </row>
    <row r="397" spans="1:26">
      <c r="A397" s="68" t="s">
        <v>1716</v>
      </c>
      <c r="B397" s="1">
        <v>202020653</v>
      </c>
      <c r="C397" s="1" t="s">
        <v>403</v>
      </c>
      <c r="D397" s="1" t="s">
        <v>1717</v>
      </c>
      <c r="E397" s="1" t="s">
        <v>1718</v>
      </c>
      <c r="F397" s="1" t="s">
        <v>216</v>
      </c>
      <c r="G397" s="1" t="s">
        <v>246</v>
      </c>
      <c r="H397" s="1"/>
      <c r="I397" s="1"/>
      <c r="J397" s="1" t="s">
        <v>247</v>
      </c>
      <c r="K397" s="1">
        <v>2024</v>
      </c>
      <c r="L397" s="1">
        <v>202410</v>
      </c>
      <c r="M397" s="1">
        <v>202410</v>
      </c>
      <c r="N397" s="1" t="s">
        <v>248</v>
      </c>
      <c r="O397" s="1" t="s">
        <v>213</v>
      </c>
      <c r="P397" s="1" t="s">
        <v>249</v>
      </c>
      <c r="Q397" s="1" t="s">
        <v>216</v>
      </c>
      <c r="R397" s="1" t="s">
        <v>246</v>
      </c>
      <c r="S397" s="1" t="s">
        <v>80</v>
      </c>
      <c r="T397" s="70" t="str">
        <f>_xlfn.XLOOKUP(Tabla1[[#This Row],[Universidad]],Conversiones!$B:$B,Conversiones!$C:$C)</f>
        <v>McGill University</v>
      </c>
      <c r="U397" s="70" t="str">
        <f>_xlfn.XLOOKUP(Tabla1[[#This Row],[Universidad KPIs]],Conversiones!$C:$C,Conversiones!$E:$E)</f>
        <v>Específico</v>
      </c>
      <c r="V397" s="1" t="s">
        <v>58</v>
      </c>
      <c r="W397" s="1" t="s">
        <v>260</v>
      </c>
      <c r="X397" s="55">
        <v>45313</v>
      </c>
      <c r="Y397" s="55">
        <v>45437</v>
      </c>
      <c r="Z397" s="1">
        <v>124</v>
      </c>
    </row>
    <row r="398" spans="1:26">
      <c r="A398" s="67" t="s">
        <v>1719</v>
      </c>
      <c r="B398">
        <v>201911731</v>
      </c>
      <c r="C398" t="s">
        <v>667</v>
      </c>
      <c r="D398" t="s">
        <v>1720</v>
      </c>
      <c r="E398" t="s">
        <v>1721</v>
      </c>
      <c r="F398" t="s">
        <v>466</v>
      </c>
      <c r="G398" t="s">
        <v>467</v>
      </c>
      <c r="H398" t="s">
        <v>216</v>
      </c>
      <c r="I398" t="s">
        <v>246</v>
      </c>
      <c r="J398" t="s">
        <v>247</v>
      </c>
      <c r="K398">
        <v>2024</v>
      </c>
      <c r="L398">
        <v>202410</v>
      </c>
      <c r="M398">
        <v>202410</v>
      </c>
      <c r="N398" t="s">
        <v>248</v>
      </c>
      <c r="O398" t="s">
        <v>213</v>
      </c>
      <c r="P398" t="s">
        <v>249</v>
      </c>
      <c r="Q398" t="s">
        <v>216</v>
      </c>
      <c r="R398" t="s">
        <v>246</v>
      </c>
      <c r="S398" t="s">
        <v>298</v>
      </c>
      <c r="T398" s="70" t="str">
        <f>_xlfn.XLOOKUP(Tabla1[[#This Row],[Universidad]],Conversiones!$B:$B,Conversiones!$C:$C)</f>
        <v>ESSEC</v>
      </c>
      <c r="U398" s="70" t="str">
        <f>_xlfn.XLOOKUP(Tabla1[[#This Row],[Universidad KPIs]],Conversiones!$C:$C,Conversiones!$E:$E)</f>
        <v>Específico</v>
      </c>
      <c r="V398" t="s">
        <v>41</v>
      </c>
      <c r="W398" t="s">
        <v>250</v>
      </c>
      <c r="X398" s="2">
        <v>45313</v>
      </c>
      <c r="Y398" s="2">
        <v>45437</v>
      </c>
      <c r="Z398">
        <v>124</v>
      </c>
    </row>
    <row r="399" spans="1:26">
      <c r="A399" s="68" t="s">
        <v>1722</v>
      </c>
      <c r="B399" s="1">
        <v>201913760</v>
      </c>
      <c r="C399" s="1" t="s">
        <v>659</v>
      </c>
      <c r="D399" s="1" t="s">
        <v>1723</v>
      </c>
      <c r="E399" s="1" t="s">
        <v>1724</v>
      </c>
      <c r="F399" s="1" t="s">
        <v>779</v>
      </c>
      <c r="G399" s="1" t="s">
        <v>780</v>
      </c>
      <c r="H399" s="1" t="s">
        <v>216</v>
      </c>
      <c r="I399" s="1" t="s">
        <v>246</v>
      </c>
      <c r="J399" s="1" t="s">
        <v>247</v>
      </c>
      <c r="K399" s="1">
        <v>2024</v>
      </c>
      <c r="L399" s="1">
        <v>202410</v>
      </c>
      <c r="M399" s="1">
        <v>202410</v>
      </c>
      <c r="N399" s="1" t="s">
        <v>248</v>
      </c>
      <c r="O399" s="1" t="s">
        <v>213</v>
      </c>
      <c r="P399" s="1" t="s">
        <v>249</v>
      </c>
      <c r="Q399" s="1" t="s">
        <v>216</v>
      </c>
      <c r="R399" s="1" t="s">
        <v>246</v>
      </c>
      <c r="S399" s="1" t="s">
        <v>78</v>
      </c>
      <c r="T399" s="70" t="str">
        <f>_xlfn.XLOOKUP(Tabla1[[#This Row],[Universidad]],Conversiones!$B:$B,Conversiones!$C:$C)</f>
        <v>Maastricht University</v>
      </c>
      <c r="U399" s="70" t="str">
        <f>_xlfn.XLOOKUP(Tabla1[[#This Row],[Universidad KPIs]],Conversiones!$C:$C,Conversiones!$E:$E)</f>
        <v>Específico</v>
      </c>
      <c r="V399" s="1" t="s">
        <v>79</v>
      </c>
      <c r="W399" s="1" t="s">
        <v>250</v>
      </c>
      <c r="X399" s="55">
        <v>45313</v>
      </c>
      <c r="Y399" s="55">
        <v>45437</v>
      </c>
      <c r="Z399" s="1">
        <v>124</v>
      </c>
    </row>
    <row r="400" spans="1:26">
      <c r="A400" s="67" t="s">
        <v>1725</v>
      </c>
      <c r="B400">
        <v>201923561</v>
      </c>
      <c r="C400" t="s">
        <v>659</v>
      </c>
      <c r="D400" t="s">
        <v>1726</v>
      </c>
      <c r="E400" t="s">
        <v>1727</v>
      </c>
      <c r="F400" t="s">
        <v>216</v>
      </c>
      <c r="G400" t="s">
        <v>246</v>
      </c>
      <c r="J400" t="s">
        <v>247</v>
      </c>
      <c r="K400">
        <v>2024</v>
      </c>
      <c r="L400">
        <v>202410</v>
      </c>
      <c r="M400">
        <v>202410</v>
      </c>
      <c r="N400" t="s">
        <v>248</v>
      </c>
      <c r="O400" t="s">
        <v>213</v>
      </c>
      <c r="P400" t="s">
        <v>249</v>
      </c>
      <c r="Q400" t="s">
        <v>216</v>
      </c>
      <c r="R400" t="s">
        <v>246</v>
      </c>
      <c r="S400" t="s">
        <v>388</v>
      </c>
      <c r="T400" s="70" t="str">
        <f>_xlfn.XLOOKUP(Tabla1[[#This Row],[Universidad]],Conversiones!$B:$B,Conversiones!$C:$C)</f>
        <v>ESCP</v>
      </c>
      <c r="U400" s="70" t="str">
        <f>_xlfn.XLOOKUP(Tabla1[[#This Row],[Universidad KPIs]],Conversiones!$C:$C,Conversiones!$E:$E)</f>
        <v>Específico</v>
      </c>
      <c r="V400" t="s">
        <v>41</v>
      </c>
      <c r="W400" t="s">
        <v>250</v>
      </c>
      <c r="X400" s="2">
        <v>45313</v>
      </c>
      <c r="Y400" s="2">
        <v>45437</v>
      </c>
      <c r="Z400">
        <v>124</v>
      </c>
    </row>
    <row r="401" spans="1:26">
      <c r="A401" s="68" t="s">
        <v>1728</v>
      </c>
      <c r="B401" s="1">
        <v>201920948</v>
      </c>
      <c r="C401" s="1" t="s">
        <v>1460</v>
      </c>
      <c r="D401" s="1" t="s">
        <v>1729</v>
      </c>
      <c r="E401" s="1" t="s">
        <v>1730</v>
      </c>
      <c r="F401" s="1" t="s">
        <v>216</v>
      </c>
      <c r="G401" s="1" t="s">
        <v>246</v>
      </c>
      <c r="H401" s="1"/>
      <c r="I401" s="1"/>
      <c r="J401" s="1" t="s">
        <v>247</v>
      </c>
      <c r="K401" s="1">
        <v>2024</v>
      </c>
      <c r="L401" s="1">
        <v>202410</v>
      </c>
      <c r="M401" s="1">
        <v>202410</v>
      </c>
      <c r="N401" s="1" t="s">
        <v>248</v>
      </c>
      <c r="O401" s="1" t="s">
        <v>213</v>
      </c>
      <c r="P401" s="1" t="s">
        <v>249</v>
      </c>
      <c r="Q401" s="1" t="s">
        <v>216</v>
      </c>
      <c r="R401" s="1" t="s">
        <v>246</v>
      </c>
      <c r="S401" s="1" t="s">
        <v>493</v>
      </c>
      <c r="T401" s="70" t="str">
        <f>_xlfn.XLOOKUP(Tabla1[[#This Row],[Universidad]],Conversiones!$B:$B,Conversiones!$C:$C)</f>
        <v>University of Saint Gallen</v>
      </c>
      <c r="U401" s="70" t="str">
        <f>_xlfn.XLOOKUP(Tabla1[[#This Row],[Universidad KPIs]],Conversiones!$C:$C,Conversiones!$E:$E)</f>
        <v>Específico</v>
      </c>
      <c r="V401" s="1" t="s">
        <v>65</v>
      </c>
      <c r="W401" s="1" t="s">
        <v>250</v>
      </c>
      <c r="X401" s="55">
        <v>45313</v>
      </c>
      <c r="Y401" s="55">
        <v>45437</v>
      </c>
      <c r="Z401" s="1">
        <v>124</v>
      </c>
    </row>
    <row r="402" spans="1:26">
      <c r="A402" s="67" t="s">
        <v>1731</v>
      </c>
      <c r="B402">
        <v>202014991</v>
      </c>
      <c r="C402" t="s">
        <v>1732</v>
      </c>
      <c r="D402" t="s">
        <v>1733</v>
      </c>
      <c r="E402" t="s">
        <v>1734</v>
      </c>
      <c r="F402" t="s">
        <v>216</v>
      </c>
      <c r="G402" t="s">
        <v>246</v>
      </c>
      <c r="J402" t="s">
        <v>247</v>
      </c>
      <c r="K402">
        <v>2024</v>
      </c>
      <c r="L402">
        <v>202410</v>
      </c>
      <c r="M402">
        <v>202410</v>
      </c>
      <c r="N402" t="s">
        <v>248</v>
      </c>
      <c r="O402" t="s">
        <v>213</v>
      </c>
      <c r="P402" t="s">
        <v>249</v>
      </c>
      <c r="Q402" t="s">
        <v>216</v>
      </c>
      <c r="R402" t="s">
        <v>246</v>
      </c>
      <c r="S402" t="s">
        <v>165</v>
      </c>
      <c r="T402" s="70" t="str">
        <f>_xlfn.XLOOKUP(Tabla1[[#This Row],[Universidad]],Conversiones!$B:$B,Conversiones!$C:$C)</f>
        <v>University of New South Wales</v>
      </c>
      <c r="U402" s="70" t="str">
        <f>_xlfn.XLOOKUP(Tabla1[[#This Row],[Universidad KPIs]],Conversiones!$C:$C,Conversiones!$E:$E)</f>
        <v>General</v>
      </c>
      <c r="V402" t="s">
        <v>90</v>
      </c>
      <c r="W402" t="s">
        <v>354</v>
      </c>
      <c r="X402" s="2">
        <v>45313</v>
      </c>
      <c r="Y402" s="2">
        <v>45437</v>
      </c>
      <c r="Z402">
        <v>124</v>
      </c>
    </row>
    <row r="403" spans="1:26">
      <c r="A403" s="68" t="s">
        <v>1735</v>
      </c>
      <c r="B403" s="1">
        <v>201914631</v>
      </c>
      <c r="C403" s="1" t="s">
        <v>1736</v>
      </c>
      <c r="D403" s="1" t="s">
        <v>1737</v>
      </c>
      <c r="E403" s="1" t="s">
        <v>1738</v>
      </c>
      <c r="F403" s="1" t="s">
        <v>216</v>
      </c>
      <c r="G403" s="1" t="s">
        <v>246</v>
      </c>
      <c r="H403" s="1" t="s">
        <v>506</v>
      </c>
      <c r="I403" s="1" t="s">
        <v>507</v>
      </c>
      <c r="J403" s="1" t="s">
        <v>247</v>
      </c>
      <c r="K403" s="1">
        <v>2024</v>
      </c>
      <c r="L403" s="1">
        <v>202410</v>
      </c>
      <c r="M403" s="1">
        <v>202410</v>
      </c>
      <c r="N403" s="1" t="s">
        <v>248</v>
      </c>
      <c r="O403" s="1" t="s">
        <v>213</v>
      </c>
      <c r="P403" s="1" t="s">
        <v>834</v>
      </c>
      <c r="Q403" s="1" t="s">
        <v>216</v>
      </c>
      <c r="R403" s="1" t="s">
        <v>246</v>
      </c>
      <c r="S403" s="1" t="s">
        <v>144</v>
      </c>
      <c r="T403" s="70" t="str">
        <f>_xlfn.XLOOKUP(Tabla1[[#This Row],[Universidad]],Conversiones!$B:$B,Conversiones!$C:$C)</f>
        <v>Universidad de Cantabria</v>
      </c>
      <c r="U403" s="70" t="str">
        <f>_xlfn.XLOOKUP(Tabla1[[#This Row],[Universidad KPIs]],Conversiones!$C:$C,Conversiones!$E:$E)</f>
        <v>General</v>
      </c>
      <c r="V403" s="1" t="s">
        <v>53</v>
      </c>
      <c r="W403" s="1" t="s">
        <v>250</v>
      </c>
      <c r="X403" s="55">
        <v>45313</v>
      </c>
      <c r="Y403" s="55">
        <v>45437</v>
      </c>
      <c r="Z403" s="1">
        <v>124</v>
      </c>
    </row>
    <row r="404" spans="1:26">
      <c r="A404" s="67" t="s">
        <v>1739</v>
      </c>
      <c r="B404">
        <v>202022191</v>
      </c>
      <c r="C404" t="s">
        <v>961</v>
      </c>
      <c r="D404" t="s">
        <v>1740</v>
      </c>
      <c r="E404" t="s">
        <v>1741</v>
      </c>
      <c r="F404" t="s">
        <v>460</v>
      </c>
      <c r="G404" t="s">
        <v>461</v>
      </c>
      <c r="H404" t="s">
        <v>216</v>
      </c>
      <c r="I404" t="s">
        <v>246</v>
      </c>
      <c r="J404" t="s">
        <v>247</v>
      </c>
      <c r="K404">
        <v>2024</v>
      </c>
      <c r="L404">
        <v>202410</v>
      </c>
      <c r="M404">
        <v>202410</v>
      </c>
      <c r="N404" t="s">
        <v>248</v>
      </c>
      <c r="O404" t="s">
        <v>213</v>
      </c>
      <c r="P404" t="s">
        <v>249</v>
      </c>
      <c r="Q404" t="s">
        <v>216</v>
      </c>
      <c r="R404" t="s">
        <v>246</v>
      </c>
      <c r="S404" t="s">
        <v>1454</v>
      </c>
      <c r="T404" s="70" t="str">
        <f>_xlfn.XLOOKUP(Tabla1[[#This Row],[Universidad]],Conversiones!$B:$B,Conversiones!$C:$C)</f>
        <v>HEC Paris</v>
      </c>
      <c r="U404" s="70" t="str">
        <f>_xlfn.XLOOKUP(Tabla1[[#This Row],[Universidad KPIs]],Conversiones!$C:$C,Conversiones!$E:$E)</f>
        <v>Específico</v>
      </c>
      <c r="V404" t="s">
        <v>41</v>
      </c>
      <c r="W404" t="s">
        <v>250</v>
      </c>
      <c r="X404" s="2">
        <v>45313</v>
      </c>
      <c r="Y404" s="2">
        <v>45437</v>
      </c>
      <c r="Z404">
        <v>124</v>
      </c>
    </row>
    <row r="405" spans="1:26">
      <c r="A405" s="68" t="s">
        <v>1742</v>
      </c>
      <c r="B405" s="1">
        <v>201820263</v>
      </c>
      <c r="C405" s="1" t="s">
        <v>468</v>
      </c>
      <c r="D405" s="1" t="s">
        <v>1743</v>
      </c>
      <c r="E405" s="1" t="s">
        <v>1744</v>
      </c>
      <c r="F405" s="1" t="s">
        <v>216</v>
      </c>
      <c r="G405" s="1" t="s">
        <v>246</v>
      </c>
      <c r="H405" s="1"/>
      <c r="I405" s="1"/>
      <c r="J405" s="1" t="s">
        <v>247</v>
      </c>
      <c r="K405" s="1">
        <v>2024</v>
      </c>
      <c r="L405" s="1">
        <v>202410</v>
      </c>
      <c r="M405" s="1">
        <v>202410</v>
      </c>
      <c r="N405" s="1" t="s">
        <v>248</v>
      </c>
      <c r="O405" s="1" t="s">
        <v>213</v>
      </c>
      <c r="P405" s="1" t="s">
        <v>249</v>
      </c>
      <c r="Q405" s="1" t="s">
        <v>216</v>
      </c>
      <c r="R405" s="1" t="s">
        <v>246</v>
      </c>
      <c r="S405" s="1" t="s">
        <v>307</v>
      </c>
      <c r="T405" s="70" t="str">
        <f>_xlfn.XLOOKUP(Tabla1[[#This Row],[Universidad]],Conversiones!$B:$B,Conversiones!$C:$C)</f>
        <v>University of Mannheim Business School</v>
      </c>
      <c r="U405" s="70" t="str">
        <f>_xlfn.XLOOKUP(Tabla1[[#This Row],[Universidad KPIs]],Conversiones!$C:$C,Conversiones!$E:$E)</f>
        <v>Específico</v>
      </c>
      <c r="V405" s="1" t="s">
        <v>60</v>
      </c>
      <c r="W405" s="1" t="s">
        <v>250</v>
      </c>
      <c r="X405" s="55">
        <v>45313</v>
      </c>
      <c r="Y405" s="55">
        <v>45437</v>
      </c>
      <c r="Z405" s="1">
        <v>124</v>
      </c>
    </row>
    <row r="406" spans="1:26">
      <c r="A406" s="67" t="s">
        <v>1745</v>
      </c>
      <c r="B406">
        <v>202121551</v>
      </c>
      <c r="C406" t="s">
        <v>468</v>
      </c>
      <c r="D406" t="s">
        <v>1746</v>
      </c>
      <c r="E406" t="s">
        <v>1747</v>
      </c>
      <c r="F406" t="s">
        <v>216</v>
      </c>
      <c r="G406" t="s">
        <v>246</v>
      </c>
      <c r="J406" t="s">
        <v>247</v>
      </c>
      <c r="K406">
        <v>2024</v>
      </c>
      <c r="L406">
        <v>202410</v>
      </c>
      <c r="M406">
        <v>202410</v>
      </c>
      <c r="N406" t="s">
        <v>248</v>
      </c>
      <c r="O406" t="s">
        <v>213</v>
      </c>
      <c r="P406" t="s">
        <v>249</v>
      </c>
      <c r="Q406" t="s">
        <v>216</v>
      </c>
      <c r="R406" t="s">
        <v>246</v>
      </c>
      <c r="S406" t="s">
        <v>38</v>
      </c>
      <c r="T406" s="70" t="str">
        <f>_xlfn.XLOOKUP(Tabla1[[#This Row],[Universidad]],Conversiones!$B:$B,Conversiones!$C:$C)</f>
        <v>Aston University</v>
      </c>
      <c r="U406" s="70" t="str">
        <f>_xlfn.XLOOKUP(Tabla1[[#This Row],[Universidad KPIs]],Conversiones!$C:$C,Conversiones!$E:$E)</f>
        <v>Específico</v>
      </c>
      <c r="V406" t="s">
        <v>39</v>
      </c>
      <c r="W406" t="s">
        <v>250</v>
      </c>
      <c r="X406" s="2">
        <v>45313</v>
      </c>
      <c r="Y406" s="2">
        <v>45437</v>
      </c>
      <c r="Z406">
        <v>124</v>
      </c>
    </row>
    <row r="407" spans="1:26">
      <c r="A407" s="68" t="s">
        <v>1748</v>
      </c>
      <c r="B407" s="1">
        <v>202013257</v>
      </c>
      <c r="C407" s="1" t="s">
        <v>946</v>
      </c>
      <c r="D407" s="1" t="s">
        <v>1749</v>
      </c>
      <c r="E407" s="1" t="s">
        <v>1750</v>
      </c>
      <c r="F407" s="1" t="s">
        <v>216</v>
      </c>
      <c r="G407" s="1" t="s">
        <v>246</v>
      </c>
      <c r="H407" s="1" t="s">
        <v>460</v>
      </c>
      <c r="I407" s="1" t="s">
        <v>461</v>
      </c>
      <c r="J407" s="1" t="s">
        <v>247</v>
      </c>
      <c r="K407" s="1">
        <v>2024</v>
      </c>
      <c r="L407" s="1">
        <v>202410</v>
      </c>
      <c r="M407" s="1">
        <v>202410</v>
      </c>
      <c r="N407" s="1" t="s">
        <v>248</v>
      </c>
      <c r="O407" s="1" t="s">
        <v>213</v>
      </c>
      <c r="P407" s="1" t="s">
        <v>249</v>
      </c>
      <c r="Q407" s="1" t="s">
        <v>216</v>
      </c>
      <c r="R407" s="1" t="s">
        <v>246</v>
      </c>
      <c r="S407" s="1" t="s">
        <v>78</v>
      </c>
      <c r="T407" s="70" t="str">
        <f>_xlfn.XLOOKUP(Tabla1[[#This Row],[Universidad]],Conversiones!$B:$B,Conversiones!$C:$C)</f>
        <v>Maastricht University</v>
      </c>
      <c r="U407" s="70" t="str">
        <f>_xlfn.XLOOKUP(Tabla1[[#This Row],[Universidad KPIs]],Conversiones!$C:$C,Conversiones!$E:$E)</f>
        <v>Específico</v>
      </c>
      <c r="V407" s="1" t="s">
        <v>79</v>
      </c>
      <c r="W407" s="1" t="s">
        <v>250</v>
      </c>
      <c r="X407" s="55">
        <v>45313</v>
      </c>
      <c r="Y407" s="55">
        <v>45437</v>
      </c>
      <c r="Z407" s="1">
        <v>124</v>
      </c>
    </row>
    <row r="408" spans="1:26">
      <c r="A408" s="67" t="s">
        <v>1751</v>
      </c>
      <c r="B408">
        <v>202124707</v>
      </c>
      <c r="C408" t="s">
        <v>1285</v>
      </c>
      <c r="D408" t="s">
        <v>1752</v>
      </c>
      <c r="E408" t="s">
        <v>1753</v>
      </c>
      <c r="F408" t="s">
        <v>216</v>
      </c>
      <c r="G408" t="s">
        <v>246</v>
      </c>
      <c r="J408" t="s">
        <v>247</v>
      </c>
      <c r="K408">
        <v>2024</v>
      </c>
      <c r="L408">
        <v>202410</v>
      </c>
      <c r="M408">
        <v>202410</v>
      </c>
      <c r="N408" t="s">
        <v>248</v>
      </c>
      <c r="O408" t="s">
        <v>213</v>
      </c>
      <c r="P408" t="s">
        <v>249</v>
      </c>
      <c r="Q408" t="s">
        <v>216</v>
      </c>
      <c r="R408" t="s">
        <v>246</v>
      </c>
      <c r="S408" t="s">
        <v>298</v>
      </c>
      <c r="T408" s="70" t="str">
        <f>_xlfn.XLOOKUP(Tabla1[[#This Row],[Universidad]],Conversiones!$B:$B,Conversiones!$C:$C)</f>
        <v>ESSEC</v>
      </c>
      <c r="U408" s="70" t="str">
        <f>_xlfn.XLOOKUP(Tabla1[[#This Row],[Universidad KPIs]],Conversiones!$C:$C,Conversiones!$E:$E)</f>
        <v>Específico</v>
      </c>
      <c r="V408" t="s">
        <v>41</v>
      </c>
      <c r="W408" t="s">
        <v>250</v>
      </c>
      <c r="X408" s="2">
        <v>45313</v>
      </c>
      <c r="Y408" s="2">
        <v>45437</v>
      </c>
      <c r="Z408">
        <v>124</v>
      </c>
    </row>
    <row r="409" spans="1:26">
      <c r="A409" s="68" t="s">
        <v>1754</v>
      </c>
      <c r="B409" s="1">
        <v>202011438</v>
      </c>
      <c r="C409" s="1" t="s">
        <v>870</v>
      </c>
      <c r="D409" s="1" t="s">
        <v>1755</v>
      </c>
      <c r="E409" s="1" t="s">
        <v>1756</v>
      </c>
      <c r="F409" s="1" t="s">
        <v>460</v>
      </c>
      <c r="G409" s="1" t="s">
        <v>461</v>
      </c>
      <c r="H409" s="1" t="s">
        <v>216</v>
      </c>
      <c r="I409" s="1" t="s">
        <v>246</v>
      </c>
      <c r="J409" s="1" t="s">
        <v>247</v>
      </c>
      <c r="K409" s="1">
        <v>2024</v>
      </c>
      <c r="L409" s="1">
        <v>202410</v>
      </c>
      <c r="M409" s="1">
        <v>202410</v>
      </c>
      <c r="N409" s="1" t="s">
        <v>248</v>
      </c>
      <c r="O409" s="1" t="s">
        <v>213</v>
      </c>
      <c r="P409" s="1" t="s">
        <v>249</v>
      </c>
      <c r="Q409" s="1" t="s">
        <v>216</v>
      </c>
      <c r="R409" s="1" t="s">
        <v>246</v>
      </c>
      <c r="S409" s="1" t="s">
        <v>325</v>
      </c>
      <c r="T409" s="70" t="str">
        <f>_xlfn.XLOOKUP(Tabla1[[#This Row],[Universidad]],Conversiones!$B:$B,Conversiones!$C:$C)</f>
        <v>Università Commerciale Luigi Bocconi</v>
      </c>
      <c r="U409" s="70" t="str">
        <f>_xlfn.XLOOKUP(Tabla1[[#This Row],[Universidad KPIs]],Conversiones!$C:$C,Conversiones!$E:$E)</f>
        <v>Específico</v>
      </c>
      <c r="V409" s="1" t="s">
        <v>87</v>
      </c>
      <c r="W409" s="1" t="s">
        <v>250</v>
      </c>
      <c r="X409" s="55">
        <v>45313</v>
      </c>
      <c r="Y409" s="55">
        <v>45437</v>
      </c>
      <c r="Z409" s="1">
        <v>124</v>
      </c>
    </row>
    <row r="410" spans="1:26">
      <c r="A410" s="67" t="s">
        <v>1757</v>
      </c>
      <c r="B410">
        <v>202021038</v>
      </c>
      <c r="C410" t="s">
        <v>732</v>
      </c>
      <c r="D410" t="s">
        <v>1758</v>
      </c>
      <c r="E410" t="s">
        <v>1759</v>
      </c>
      <c r="F410" t="s">
        <v>216</v>
      </c>
      <c r="G410" t="s">
        <v>246</v>
      </c>
      <c r="H410" t="s">
        <v>959</v>
      </c>
      <c r="I410" t="s">
        <v>507</v>
      </c>
      <c r="J410" t="s">
        <v>247</v>
      </c>
      <c r="K410">
        <v>2024</v>
      </c>
      <c r="L410">
        <v>202410</v>
      </c>
      <c r="M410">
        <v>202410</v>
      </c>
      <c r="N410" t="s">
        <v>248</v>
      </c>
      <c r="O410" t="s">
        <v>213</v>
      </c>
      <c r="P410" t="s">
        <v>249</v>
      </c>
      <c r="Q410" t="s">
        <v>216</v>
      </c>
      <c r="R410" t="s">
        <v>246</v>
      </c>
      <c r="S410" t="s">
        <v>388</v>
      </c>
      <c r="T410" s="70" t="str">
        <f>_xlfn.XLOOKUP(Tabla1[[#This Row],[Universidad]],Conversiones!$B:$B,Conversiones!$C:$C)</f>
        <v>ESCP</v>
      </c>
      <c r="U410" s="70" t="str">
        <f>_xlfn.XLOOKUP(Tabla1[[#This Row],[Universidad KPIs]],Conversiones!$C:$C,Conversiones!$E:$E)</f>
        <v>Específico</v>
      </c>
      <c r="V410" t="s">
        <v>41</v>
      </c>
      <c r="W410" t="s">
        <v>250</v>
      </c>
      <c r="X410" s="2">
        <v>45313</v>
      </c>
      <c r="Y410" s="2">
        <v>45437</v>
      </c>
      <c r="Z410">
        <v>124</v>
      </c>
    </row>
    <row r="411" spans="1:26">
      <c r="A411" s="68" t="s">
        <v>1760</v>
      </c>
      <c r="B411" s="1">
        <v>201814216</v>
      </c>
      <c r="C411" s="1" t="s">
        <v>1761</v>
      </c>
      <c r="D411" s="1" t="s">
        <v>1762</v>
      </c>
      <c r="E411" s="1" t="s">
        <v>1763</v>
      </c>
      <c r="F411" s="1" t="s">
        <v>216</v>
      </c>
      <c r="G411" s="1" t="s">
        <v>246</v>
      </c>
      <c r="H411" s="1"/>
      <c r="I411" s="1"/>
      <c r="J411" s="1" t="s">
        <v>247</v>
      </c>
      <c r="K411" s="1">
        <v>2024</v>
      </c>
      <c r="L411" s="1">
        <v>202410</v>
      </c>
      <c r="M411" s="1">
        <v>202410</v>
      </c>
      <c r="N411" s="1" t="s">
        <v>248</v>
      </c>
      <c r="O411" s="1" t="s">
        <v>213</v>
      </c>
      <c r="P411" s="1" t="s">
        <v>249</v>
      </c>
      <c r="Q411" s="1" t="s">
        <v>216</v>
      </c>
      <c r="R411" s="1" t="s">
        <v>246</v>
      </c>
      <c r="S411" s="1" t="s">
        <v>1369</v>
      </c>
      <c r="T411" s="70" t="str">
        <f>_xlfn.XLOOKUP(Tabla1[[#This Row],[Universidad]],Conversiones!$B:$B,Conversiones!$C:$C)</f>
        <v>EM Strasbourg</v>
      </c>
      <c r="U411" s="70" t="str">
        <f>_xlfn.XLOOKUP(Tabla1[[#This Row],[Universidad KPIs]],Conversiones!$C:$C,Conversiones!$E:$E)</f>
        <v>Específico</v>
      </c>
      <c r="V411" s="1" t="s">
        <v>41</v>
      </c>
      <c r="W411" s="1" t="s">
        <v>250</v>
      </c>
      <c r="X411" s="55">
        <v>45313</v>
      </c>
      <c r="Y411" s="55">
        <v>45437</v>
      </c>
      <c r="Z411" s="1">
        <v>124</v>
      </c>
    </row>
    <row r="412" spans="1:26">
      <c r="A412" s="67" t="s">
        <v>1764</v>
      </c>
      <c r="B412">
        <v>201912851</v>
      </c>
      <c r="C412" t="s">
        <v>866</v>
      </c>
      <c r="D412" t="s">
        <v>1765</v>
      </c>
      <c r="E412" t="s">
        <v>1766</v>
      </c>
      <c r="F412" t="s">
        <v>216</v>
      </c>
      <c r="G412" t="s">
        <v>246</v>
      </c>
      <c r="J412" t="s">
        <v>247</v>
      </c>
      <c r="K412">
        <v>2024</v>
      </c>
      <c r="L412">
        <v>202410</v>
      </c>
      <c r="M412">
        <v>202410</v>
      </c>
      <c r="N412" t="s">
        <v>248</v>
      </c>
      <c r="O412" t="s">
        <v>213</v>
      </c>
      <c r="P412" t="s">
        <v>834</v>
      </c>
      <c r="Q412" t="s">
        <v>216</v>
      </c>
      <c r="R412" t="s">
        <v>246</v>
      </c>
      <c r="S412" t="s">
        <v>781</v>
      </c>
      <c r="T412" s="70" t="str">
        <f>_xlfn.XLOOKUP(Tabla1[[#This Row],[Universidad]],Conversiones!$B:$B,Conversiones!$C:$C)</f>
        <v>ITESM-EGADE -Instituto tecnológico y de estudios superiores de Monterrey</v>
      </c>
      <c r="U412" s="70" t="str">
        <f>_xlfn.XLOOKUP(Tabla1[[#This Row],[Universidad KPIs]],Conversiones!$C:$C,Conversiones!$E:$E)</f>
        <v>Específico</v>
      </c>
      <c r="V412" t="s">
        <v>71</v>
      </c>
      <c r="W412" t="s">
        <v>260</v>
      </c>
      <c r="X412" s="2">
        <v>45313</v>
      </c>
      <c r="Y412" s="2">
        <v>45437</v>
      </c>
      <c r="Z412">
        <v>124</v>
      </c>
    </row>
    <row r="413" spans="1:26">
      <c r="A413" s="68" t="s">
        <v>1767</v>
      </c>
      <c r="B413" s="1">
        <v>202022097</v>
      </c>
      <c r="C413" s="1" t="s">
        <v>625</v>
      </c>
      <c r="D413" s="1" t="s">
        <v>1768</v>
      </c>
      <c r="E413" s="1" t="s">
        <v>1769</v>
      </c>
      <c r="F413" s="1" t="s">
        <v>216</v>
      </c>
      <c r="G413" s="1" t="s">
        <v>246</v>
      </c>
      <c r="H413" s="1"/>
      <c r="I413" s="1"/>
      <c r="J413" s="1" t="s">
        <v>247</v>
      </c>
      <c r="K413" s="1">
        <v>2024</v>
      </c>
      <c r="L413" s="1">
        <v>202410</v>
      </c>
      <c r="M413" s="1">
        <v>202410</v>
      </c>
      <c r="N413" s="1" t="s">
        <v>248</v>
      </c>
      <c r="O413" s="1" t="s">
        <v>213</v>
      </c>
      <c r="P413" s="1" t="s">
        <v>249</v>
      </c>
      <c r="Q413" s="1" t="s">
        <v>216</v>
      </c>
      <c r="R413" s="1" t="s">
        <v>246</v>
      </c>
      <c r="S413" s="1" t="s">
        <v>104</v>
      </c>
      <c r="T413" s="70" t="str">
        <f>_xlfn.XLOOKUP(Tabla1[[#This Row],[Universidad]],Conversiones!$B:$B,Conversiones!$C:$C)</f>
        <v>University of Melbourne</v>
      </c>
      <c r="U413" s="70" t="str">
        <f>_xlfn.XLOOKUP(Tabla1[[#This Row],[Universidad KPIs]],Conversiones!$C:$C,Conversiones!$E:$E)</f>
        <v>Específico</v>
      </c>
      <c r="V413" s="1" t="s">
        <v>90</v>
      </c>
      <c r="W413" s="1" t="s">
        <v>354</v>
      </c>
      <c r="X413" s="55">
        <v>45313</v>
      </c>
      <c r="Y413" s="55">
        <v>45437</v>
      </c>
      <c r="Z413" s="1">
        <v>124</v>
      </c>
    </row>
    <row r="414" spans="1:26">
      <c r="A414" s="67" t="s">
        <v>1770</v>
      </c>
      <c r="B414">
        <v>201912521</v>
      </c>
      <c r="C414" t="s">
        <v>1771</v>
      </c>
      <c r="D414" t="s">
        <v>1772</v>
      </c>
      <c r="E414" t="s">
        <v>1773</v>
      </c>
      <c r="F414" t="s">
        <v>216</v>
      </c>
      <c r="G414" t="s">
        <v>246</v>
      </c>
      <c r="H414" t="s">
        <v>779</v>
      </c>
      <c r="I414" t="s">
        <v>780</v>
      </c>
      <c r="J414" t="s">
        <v>247</v>
      </c>
      <c r="K414">
        <v>2024</v>
      </c>
      <c r="L414">
        <v>202410</v>
      </c>
      <c r="M414">
        <v>202410</v>
      </c>
      <c r="N414" t="s">
        <v>248</v>
      </c>
      <c r="O414" t="s">
        <v>213</v>
      </c>
      <c r="P414" t="s">
        <v>249</v>
      </c>
      <c r="Q414" t="s">
        <v>216</v>
      </c>
      <c r="R414" t="s">
        <v>246</v>
      </c>
      <c r="S414" t="s">
        <v>536</v>
      </c>
      <c r="T414" s="70" t="str">
        <f>_xlfn.XLOOKUP(Tabla1[[#This Row],[Universidad]],Conversiones!$B:$B,Conversiones!$C:$C)</f>
        <v>NUCB- Nagoya University of commerce and business</v>
      </c>
      <c r="U414" s="70" t="str">
        <f>_xlfn.XLOOKUP(Tabla1[[#This Row],[Universidad KPIs]],Conversiones!$C:$C,Conversiones!$E:$E)</f>
        <v>Específico</v>
      </c>
      <c r="V414" t="s">
        <v>85</v>
      </c>
      <c r="W414" t="s">
        <v>537</v>
      </c>
      <c r="X414" s="2">
        <v>45313</v>
      </c>
      <c r="Y414" s="2">
        <v>45437</v>
      </c>
      <c r="Z414">
        <v>124</v>
      </c>
    </row>
    <row r="415" spans="1:26">
      <c r="A415" s="68" t="s">
        <v>1774</v>
      </c>
      <c r="B415" s="1">
        <v>202115454</v>
      </c>
      <c r="C415" s="1" t="s">
        <v>1775</v>
      </c>
      <c r="D415" s="1" t="s">
        <v>1776</v>
      </c>
      <c r="E415" s="1" t="s">
        <v>1777</v>
      </c>
      <c r="F415" s="1" t="s">
        <v>216</v>
      </c>
      <c r="G415" s="1" t="s">
        <v>246</v>
      </c>
      <c r="H415" s="1"/>
      <c r="I415" s="1"/>
      <c r="J415" s="1" t="s">
        <v>247</v>
      </c>
      <c r="K415" s="1">
        <v>2024</v>
      </c>
      <c r="L415" s="1">
        <v>202410</v>
      </c>
      <c r="M415" s="1">
        <v>202410</v>
      </c>
      <c r="N415" s="1" t="s">
        <v>248</v>
      </c>
      <c r="O415" s="1" t="s">
        <v>213</v>
      </c>
      <c r="P415" s="1" t="s">
        <v>249</v>
      </c>
      <c r="Q415" s="1" t="s">
        <v>216</v>
      </c>
      <c r="R415" s="1" t="s">
        <v>246</v>
      </c>
      <c r="S415" s="1" t="s">
        <v>126</v>
      </c>
      <c r="T415" s="70" t="str">
        <f>_xlfn.XLOOKUP(Tabla1[[#This Row],[Universidad]],Conversiones!$B:$B,Conversiones!$C:$C)</f>
        <v>Amherst College</v>
      </c>
      <c r="U415" s="70" t="str">
        <f>_xlfn.XLOOKUP(Tabla1[[#This Row],[Universidad KPIs]],Conversiones!$C:$C,Conversiones!$E:$E)</f>
        <v>General</v>
      </c>
      <c r="V415" s="1" t="s">
        <v>35</v>
      </c>
      <c r="W415" s="1" t="s">
        <v>260</v>
      </c>
      <c r="X415" s="55">
        <v>45313</v>
      </c>
      <c r="Y415" s="55">
        <v>45437</v>
      </c>
      <c r="Z415" s="1">
        <v>124</v>
      </c>
    </row>
    <row r="416" spans="1:26">
      <c r="A416" s="67" t="s">
        <v>1778</v>
      </c>
      <c r="B416">
        <v>201710944</v>
      </c>
      <c r="C416" t="s">
        <v>1779</v>
      </c>
      <c r="D416" t="s">
        <v>1780</v>
      </c>
      <c r="E416" t="s">
        <v>1781</v>
      </c>
      <c r="F416" t="s">
        <v>216</v>
      </c>
      <c r="G416" t="s">
        <v>246</v>
      </c>
      <c r="J416" t="s">
        <v>247</v>
      </c>
      <c r="K416">
        <v>2024</v>
      </c>
      <c r="L416">
        <v>202410</v>
      </c>
      <c r="M416">
        <v>202410</v>
      </c>
      <c r="N416" t="s">
        <v>248</v>
      </c>
      <c r="O416" t="s">
        <v>213</v>
      </c>
      <c r="P416" t="s">
        <v>249</v>
      </c>
      <c r="Q416" t="s">
        <v>216</v>
      </c>
      <c r="R416" t="s">
        <v>246</v>
      </c>
      <c r="S416" t="s">
        <v>528</v>
      </c>
      <c r="T416" s="70" t="str">
        <f>_xlfn.XLOOKUP(Tabla1[[#This Row],[Universidad]],Conversiones!$B:$B,Conversiones!$C:$C)</f>
        <v>ICN Business School - Institut Commercial de Nancy</v>
      </c>
      <c r="U416" s="70" t="str">
        <f>_xlfn.XLOOKUP(Tabla1[[#This Row],[Universidad KPIs]],Conversiones!$C:$C,Conversiones!$E:$E)</f>
        <v>Específico</v>
      </c>
      <c r="V416" t="s">
        <v>41</v>
      </c>
      <c r="W416" t="s">
        <v>250</v>
      </c>
      <c r="X416" s="2">
        <v>45313</v>
      </c>
      <c r="Y416" s="2">
        <v>45437</v>
      </c>
      <c r="Z416">
        <v>124</v>
      </c>
    </row>
    <row r="417" spans="1:27">
      <c r="A417" s="68" t="s">
        <v>1782</v>
      </c>
      <c r="B417" s="1">
        <v>202013669</v>
      </c>
      <c r="C417" s="1" t="s">
        <v>257</v>
      </c>
      <c r="D417" s="1" t="s">
        <v>1783</v>
      </c>
      <c r="E417" s="1" t="s">
        <v>1784</v>
      </c>
      <c r="F417" s="1" t="s">
        <v>216</v>
      </c>
      <c r="G417" s="1" t="s">
        <v>246</v>
      </c>
      <c r="H417" s="1"/>
      <c r="I417" s="1"/>
      <c r="J417" s="1" t="s">
        <v>247</v>
      </c>
      <c r="K417" s="1">
        <v>2024</v>
      </c>
      <c r="L417" s="1">
        <v>202410</v>
      </c>
      <c r="M417" s="1">
        <v>202410</v>
      </c>
      <c r="N417" s="1" t="s">
        <v>248</v>
      </c>
      <c r="O417" s="1" t="s">
        <v>213</v>
      </c>
      <c r="P417" s="1" t="s">
        <v>249</v>
      </c>
      <c r="Q417" s="1" t="s">
        <v>216</v>
      </c>
      <c r="R417" s="1" t="s">
        <v>246</v>
      </c>
      <c r="S417" s="1" t="s">
        <v>80</v>
      </c>
      <c r="T417" s="70" t="str">
        <f>_xlfn.XLOOKUP(Tabla1[[#This Row],[Universidad]],Conversiones!$B:$B,Conversiones!$C:$C)</f>
        <v>McGill University</v>
      </c>
      <c r="U417" s="70" t="str">
        <f>_xlfn.XLOOKUP(Tabla1[[#This Row],[Universidad KPIs]],Conversiones!$C:$C,Conversiones!$E:$E)</f>
        <v>Específico</v>
      </c>
      <c r="V417" s="1" t="s">
        <v>58</v>
      </c>
      <c r="W417" s="1" t="s">
        <v>260</v>
      </c>
      <c r="X417" s="55">
        <v>45313</v>
      </c>
      <c r="Y417" s="55">
        <v>45437</v>
      </c>
      <c r="Z417" s="1">
        <v>124</v>
      </c>
    </row>
    <row r="418" spans="1:27">
      <c r="A418" s="67" t="s">
        <v>1785</v>
      </c>
      <c r="B418">
        <v>202211052</v>
      </c>
      <c r="C418" t="s">
        <v>878</v>
      </c>
      <c r="D418" t="s">
        <v>1786</v>
      </c>
      <c r="E418" t="s">
        <v>1787</v>
      </c>
      <c r="F418" t="s">
        <v>216</v>
      </c>
      <c r="G418" t="s">
        <v>246</v>
      </c>
      <c r="J418" t="s">
        <v>247</v>
      </c>
      <c r="K418">
        <v>2024</v>
      </c>
      <c r="L418">
        <v>202410</v>
      </c>
      <c r="M418">
        <v>202410</v>
      </c>
      <c r="N418" t="s">
        <v>248</v>
      </c>
      <c r="O418" t="s">
        <v>213</v>
      </c>
      <c r="P418" t="s">
        <v>249</v>
      </c>
      <c r="Q418" t="s">
        <v>216</v>
      </c>
      <c r="R418" t="s">
        <v>246</v>
      </c>
      <c r="S418" t="s">
        <v>61</v>
      </c>
      <c r="T418" s="70" t="str">
        <f>_xlfn.XLOOKUP(Tabla1[[#This Row],[Universidad]],Conversiones!$B:$B,Conversiones!$C:$C)</f>
        <v>Fundação Getulio Vargas</v>
      </c>
      <c r="U418" s="70" t="str">
        <f>_xlfn.XLOOKUP(Tabla1[[#This Row],[Universidad KPIs]],Conversiones!$C:$C,Conversiones!$E:$E)</f>
        <v>Específico</v>
      </c>
      <c r="V418" t="s">
        <v>62</v>
      </c>
      <c r="W418" t="s">
        <v>265</v>
      </c>
      <c r="X418" s="2">
        <v>45313</v>
      </c>
      <c r="Y418" s="2">
        <v>45437</v>
      </c>
      <c r="Z418">
        <v>124</v>
      </c>
    </row>
    <row r="419" spans="1:27">
      <c r="A419" s="68" t="s">
        <v>1788</v>
      </c>
      <c r="B419" s="1">
        <v>201821613</v>
      </c>
      <c r="C419" s="1" t="s">
        <v>1789</v>
      </c>
      <c r="D419" s="1" t="s">
        <v>1790</v>
      </c>
      <c r="E419" s="1" t="s">
        <v>1791</v>
      </c>
      <c r="F419" s="1" t="s">
        <v>1792</v>
      </c>
      <c r="G419" s="1" t="s">
        <v>1793</v>
      </c>
      <c r="H419" s="1" t="s">
        <v>216</v>
      </c>
      <c r="I419" s="1" t="s">
        <v>246</v>
      </c>
      <c r="J419" s="1" t="s">
        <v>247</v>
      </c>
      <c r="K419" s="1">
        <v>2024</v>
      </c>
      <c r="L419" s="1">
        <v>202410</v>
      </c>
      <c r="M419" s="1">
        <v>202410</v>
      </c>
      <c r="N419" s="1" t="s">
        <v>248</v>
      </c>
      <c r="O419" s="1" t="s">
        <v>213</v>
      </c>
      <c r="P419" s="1" t="s">
        <v>249</v>
      </c>
      <c r="Q419" s="1" t="s">
        <v>216</v>
      </c>
      <c r="R419" s="1" t="s">
        <v>246</v>
      </c>
      <c r="S419" s="1" t="s">
        <v>155</v>
      </c>
      <c r="T419" s="70" t="str">
        <f>_xlfn.XLOOKUP(Tabla1[[#This Row],[Universidad]],Conversiones!$B:$B,Conversiones!$C:$C)</f>
        <v>Università degli Studi di Bologna 'Alma Mater Studiorum'</v>
      </c>
      <c r="U419" s="70" t="str">
        <f>_xlfn.XLOOKUP(Tabla1[[#This Row],[Universidad KPIs]],Conversiones!$C:$C,Conversiones!$E:$E)</f>
        <v>General</v>
      </c>
      <c r="V419" s="1" t="s">
        <v>87</v>
      </c>
      <c r="W419" s="1" t="s">
        <v>250</v>
      </c>
      <c r="X419" s="55">
        <v>45313</v>
      </c>
      <c r="Y419" s="55">
        <v>45437</v>
      </c>
      <c r="Z419" s="1">
        <v>124</v>
      </c>
    </row>
    <row r="420" spans="1:27">
      <c r="A420" s="67" t="s">
        <v>1794</v>
      </c>
      <c r="B420">
        <v>202012594</v>
      </c>
      <c r="C420" t="s">
        <v>1135</v>
      </c>
      <c r="D420" t="s">
        <v>1795</v>
      </c>
      <c r="E420" t="s">
        <v>1796</v>
      </c>
      <c r="F420" t="s">
        <v>216</v>
      </c>
      <c r="G420" t="s">
        <v>246</v>
      </c>
      <c r="J420" t="s">
        <v>247</v>
      </c>
      <c r="K420">
        <v>2024</v>
      </c>
      <c r="L420">
        <v>202410</v>
      </c>
      <c r="M420">
        <v>202410</v>
      </c>
      <c r="N420" t="s">
        <v>248</v>
      </c>
      <c r="O420" t="s">
        <v>213</v>
      </c>
      <c r="P420" t="s">
        <v>249</v>
      </c>
      <c r="Q420" t="s">
        <v>216</v>
      </c>
      <c r="R420" t="s">
        <v>246</v>
      </c>
      <c r="S420" t="s">
        <v>164</v>
      </c>
      <c r="T420" s="70" t="str">
        <f>_xlfn.XLOOKUP(Tabla1[[#This Row],[Universidad]],Conversiones!$B:$B,Conversiones!$C:$C)</f>
        <v>University of Bristol</v>
      </c>
      <c r="U420" s="70" t="str">
        <f>_xlfn.XLOOKUP(Tabla1[[#This Row],[Universidad KPIs]],Conversiones!$C:$C,Conversiones!$E:$E)</f>
        <v>General</v>
      </c>
      <c r="V420" t="s">
        <v>39</v>
      </c>
      <c r="W420" t="s">
        <v>250</v>
      </c>
      <c r="X420" s="2">
        <v>45313</v>
      </c>
      <c r="Y420" s="2">
        <v>45437</v>
      </c>
      <c r="Z420">
        <v>124</v>
      </c>
    </row>
    <row r="421" spans="1:27">
      <c r="A421" s="68" t="s">
        <v>1797</v>
      </c>
      <c r="B421" s="1">
        <v>202014748</v>
      </c>
      <c r="C421" s="1" t="s">
        <v>1798</v>
      </c>
      <c r="D421" s="1" t="s">
        <v>1799</v>
      </c>
      <c r="E421" s="1" t="s">
        <v>1800</v>
      </c>
      <c r="F421" s="1" t="s">
        <v>216</v>
      </c>
      <c r="G421" s="1" t="s">
        <v>246</v>
      </c>
      <c r="H421" s="1"/>
      <c r="I421" s="1"/>
      <c r="J421" s="1" t="s">
        <v>247</v>
      </c>
      <c r="K421" s="1">
        <v>2024</v>
      </c>
      <c r="L421" s="1">
        <v>202410</v>
      </c>
      <c r="M421" s="1">
        <v>202410</v>
      </c>
      <c r="N421" s="1" t="s">
        <v>248</v>
      </c>
      <c r="O421" s="1" t="s">
        <v>213</v>
      </c>
      <c r="P421" s="1" t="s">
        <v>249</v>
      </c>
      <c r="Q421" s="1" t="s">
        <v>216</v>
      </c>
      <c r="R421" s="1" t="s">
        <v>246</v>
      </c>
      <c r="S421" s="1" t="s">
        <v>86</v>
      </c>
      <c r="T421" s="70" t="str">
        <f>_xlfn.XLOOKUP(Tabla1[[#This Row],[Universidad]],Conversiones!$B:$B,Conversiones!$C:$C)</f>
        <v>Politecnico di Milano</v>
      </c>
      <c r="U421" s="70" t="str">
        <f>_xlfn.XLOOKUP(Tabla1[[#This Row],[Universidad KPIs]],Conversiones!$C:$C,Conversiones!$E:$E)</f>
        <v>Específico</v>
      </c>
      <c r="V421" s="1" t="s">
        <v>87</v>
      </c>
      <c r="W421" s="1" t="s">
        <v>250</v>
      </c>
      <c r="X421" s="55">
        <v>45313</v>
      </c>
      <c r="Y421" s="55">
        <v>45437</v>
      </c>
      <c r="Z421" s="1">
        <v>124</v>
      </c>
    </row>
    <row r="422" spans="1:27">
      <c r="A422" s="67" t="s">
        <v>1801</v>
      </c>
      <c r="B422">
        <v>201712589</v>
      </c>
      <c r="C422" t="s">
        <v>486</v>
      </c>
      <c r="D422" t="s">
        <v>1802</v>
      </c>
      <c r="E422" t="s">
        <v>1803</v>
      </c>
      <c r="F422" t="s">
        <v>600</v>
      </c>
      <c r="G422" t="s">
        <v>507</v>
      </c>
      <c r="H422" t="s">
        <v>216</v>
      </c>
      <c r="I422" t="s">
        <v>246</v>
      </c>
      <c r="J422" t="s">
        <v>247</v>
      </c>
      <c r="K422">
        <v>2024</v>
      </c>
      <c r="L422">
        <v>202410</v>
      </c>
      <c r="M422">
        <v>202410</v>
      </c>
      <c r="N422" t="s">
        <v>248</v>
      </c>
      <c r="O422" t="s">
        <v>213</v>
      </c>
      <c r="P422" t="s">
        <v>249</v>
      </c>
      <c r="Q422" t="s">
        <v>216</v>
      </c>
      <c r="R422" t="s">
        <v>246</v>
      </c>
      <c r="S422" t="s">
        <v>153</v>
      </c>
      <c r="T422" s="70" t="str">
        <f>_xlfn.XLOOKUP(Tabla1[[#This Row],[Universidad]],Conversiones!$B:$B,Conversiones!$C:$C)</f>
        <v>Universidade do Porto</v>
      </c>
      <c r="U422" s="70" t="str">
        <f>_xlfn.XLOOKUP(Tabla1[[#This Row],[Universidad KPIs]],Conversiones!$C:$C,Conversiones!$E:$E)</f>
        <v>General</v>
      </c>
      <c r="V422" t="s">
        <v>45</v>
      </c>
      <c r="W422" t="s">
        <v>250</v>
      </c>
      <c r="X422" s="2">
        <v>45313</v>
      </c>
      <c r="Y422" s="2">
        <v>45437</v>
      </c>
      <c r="Z422">
        <v>124</v>
      </c>
    </row>
    <row r="423" spans="1:27">
      <c r="A423" s="68" t="s">
        <v>1804</v>
      </c>
      <c r="B423" s="1">
        <v>202022078</v>
      </c>
      <c r="C423" s="1" t="s">
        <v>1805</v>
      </c>
      <c r="D423" s="1" t="s">
        <v>1806</v>
      </c>
      <c r="E423" s="1" t="s">
        <v>1807</v>
      </c>
      <c r="F423" s="1" t="s">
        <v>216</v>
      </c>
      <c r="G423" s="1" t="s">
        <v>246</v>
      </c>
      <c r="H423" s="1" t="s">
        <v>779</v>
      </c>
      <c r="I423" s="1" t="s">
        <v>780</v>
      </c>
      <c r="J423" s="1" t="s">
        <v>247</v>
      </c>
      <c r="K423" s="1">
        <v>2024</v>
      </c>
      <c r="L423" s="1">
        <v>202410</v>
      </c>
      <c r="M423" s="1">
        <v>202410</v>
      </c>
      <c r="N423" s="1" t="s">
        <v>248</v>
      </c>
      <c r="O423" s="1" t="s">
        <v>213</v>
      </c>
      <c r="P423" s="1" t="s">
        <v>249</v>
      </c>
      <c r="Q423" s="1" t="s">
        <v>216</v>
      </c>
      <c r="R423" s="1" t="s">
        <v>246</v>
      </c>
      <c r="S423" s="1" t="s">
        <v>335</v>
      </c>
      <c r="T423" s="70" t="str">
        <f>_xlfn.XLOOKUP(Tabla1[[#This Row],[Universidad]],Conversiones!$B:$B,Conversiones!$C:$C)</f>
        <v>HEC Montréal</v>
      </c>
      <c r="U423" s="70" t="str">
        <f>_xlfn.XLOOKUP(Tabla1[[#This Row],[Universidad KPIs]],Conversiones!$C:$C,Conversiones!$E:$E)</f>
        <v>Específico</v>
      </c>
      <c r="V423" s="1" t="s">
        <v>58</v>
      </c>
      <c r="W423" s="1" t="s">
        <v>260</v>
      </c>
      <c r="X423" s="55">
        <v>45313</v>
      </c>
      <c r="Y423" s="55">
        <v>45437</v>
      </c>
      <c r="Z423" s="1">
        <v>124</v>
      </c>
    </row>
    <row r="424" spans="1:27">
      <c r="A424" s="67" t="s">
        <v>1808</v>
      </c>
      <c r="B424">
        <v>202011528</v>
      </c>
      <c r="C424" t="s">
        <v>1809</v>
      </c>
      <c r="D424" t="s">
        <v>1810</v>
      </c>
      <c r="E424" t="s">
        <v>1811</v>
      </c>
      <c r="F424" t="s">
        <v>216</v>
      </c>
      <c r="G424" t="s">
        <v>246</v>
      </c>
      <c r="J424" t="s">
        <v>247</v>
      </c>
      <c r="K424">
        <v>2024</v>
      </c>
      <c r="L424">
        <v>202410</v>
      </c>
      <c r="M424">
        <v>202410</v>
      </c>
      <c r="N424" t="s">
        <v>248</v>
      </c>
      <c r="O424" t="s">
        <v>213</v>
      </c>
      <c r="P424" t="s">
        <v>249</v>
      </c>
      <c r="Q424" t="s">
        <v>216</v>
      </c>
      <c r="R424" t="s">
        <v>246</v>
      </c>
      <c r="S424" t="s">
        <v>424</v>
      </c>
      <c r="T424" s="70" t="str">
        <f>_xlfn.XLOOKUP(Tabla1[[#This Row],[Universidad]],Conversiones!$B:$B,Conversiones!$C:$C)</f>
        <v>Nova School of Business and Economics</v>
      </c>
      <c r="U424" s="70" t="str">
        <f>_xlfn.XLOOKUP(Tabla1[[#This Row],[Universidad KPIs]],Conversiones!$C:$C,Conversiones!$E:$E)</f>
        <v>Específico</v>
      </c>
      <c r="V424" t="s">
        <v>45</v>
      </c>
      <c r="W424" t="s">
        <v>250</v>
      </c>
      <c r="X424" s="2">
        <v>45313</v>
      </c>
      <c r="Y424" s="2">
        <v>45437</v>
      </c>
      <c r="Z424">
        <v>124</v>
      </c>
    </row>
    <row r="425" spans="1:27">
      <c r="A425" s="68" t="s">
        <v>1812</v>
      </c>
      <c r="B425" s="1">
        <v>202122274</v>
      </c>
      <c r="C425" s="1" t="s">
        <v>304</v>
      </c>
      <c r="D425" s="1" t="s">
        <v>1813</v>
      </c>
      <c r="E425" s="1" t="s">
        <v>1814</v>
      </c>
      <c r="F425" s="1" t="s">
        <v>216</v>
      </c>
      <c r="G425" s="1" t="s">
        <v>246</v>
      </c>
      <c r="H425" s="1"/>
      <c r="I425" s="1"/>
      <c r="J425" s="1" t="s">
        <v>247</v>
      </c>
      <c r="K425" s="1">
        <v>2024</v>
      </c>
      <c r="L425" s="1">
        <v>202410</v>
      </c>
      <c r="M425" s="1">
        <v>202410</v>
      </c>
      <c r="N425" s="1" t="s">
        <v>248</v>
      </c>
      <c r="O425" s="1" t="s">
        <v>213</v>
      </c>
      <c r="P425" s="1" t="s">
        <v>249</v>
      </c>
      <c r="Q425" s="1" t="s">
        <v>216</v>
      </c>
      <c r="R425" s="1" t="s">
        <v>246</v>
      </c>
      <c r="S425" s="1" t="s">
        <v>289</v>
      </c>
      <c r="T425" s="70" t="str">
        <f>_xlfn.XLOOKUP(Tabla1[[#This Row],[Universidad]],Conversiones!$B:$B,Conversiones!$C:$C)</f>
        <v>ESADE</v>
      </c>
      <c r="U425" s="70" t="str">
        <f>_xlfn.XLOOKUP(Tabla1[[#This Row],[Universidad KPIs]],Conversiones!$C:$C,Conversiones!$E:$E)</f>
        <v>Específico</v>
      </c>
      <c r="V425" s="1" t="s">
        <v>53</v>
      </c>
      <c r="W425" s="1" t="s">
        <v>250</v>
      </c>
      <c r="X425" s="55">
        <v>45313</v>
      </c>
      <c r="Y425" s="55">
        <v>45437</v>
      </c>
      <c r="Z425" s="1">
        <v>124</v>
      </c>
    </row>
    <row r="426" spans="1:27">
      <c r="A426" s="67" t="s">
        <v>1815</v>
      </c>
      <c r="B426">
        <v>200322688</v>
      </c>
      <c r="C426" t="s">
        <v>1816</v>
      </c>
      <c r="D426" t="s">
        <v>1817</v>
      </c>
      <c r="E426" t="s">
        <v>1818</v>
      </c>
      <c r="F426" t="s">
        <v>224</v>
      </c>
      <c r="G426" t="s">
        <v>246</v>
      </c>
      <c r="J426" t="s">
        <v>535</v>
      </c>
      <c r="K426">
        <v>2024</v>
      </c>
      <c r="L426">
        <v>202410</v>
      </c>
      <c r="M426">
        <v>202410</v>
      </c>
      <c r="N426" t="s">
        <v>1819</v>
      </c>
      <c r="O426" t="s">
        <v>213</v>
      </c>
      <c r="P426" t="s">
        <v>1820</v>
      </c>
      <c r="Q426" t="s">
        <v>224</v>
      </c>
      <c r="R426" t="s">
        <v>246</v>
      </c>
      <c r="S426" t="s">
        <v>781</v>
      </c>
      <c r="T426" s="70" t="str">
        <f>_xlfn.XLOOKUP(Tabla1[[#This Row],[Universidad]],Conversiones!$B:$B,Conversiones!$C:$C)</f>
        <v>ITESM-EGADE -Instituto tecnológico y de estudios superiores de Monterrey</v>
      </c>
      <c r="U426" s="70" t="str">
        <f>_xlfn.XLOOKUP(Tabla1[[#This Row],[Universidad KPIs]],Conversiones!$C:$C,Conversiones!$E:$E)</f>
        <v>Específico</v>
      </c>
      <c r="V426" t="s">
        <v>71</v>
      </c>
      <c r="W426" t="s">
        <v>260</v>
      </c>
      <c r="X426" s="2">
        <v>45313</v>
      </c>
      <c r="Y426" s="2">
        <v>45437</v>
      </c>
      <c r="Z426">
        <v>124</v>
      </c>
    </row>
    <row r="427" spans="1:27">
      <c r="A427" s="68" t="s">
        <v>1821</v>
      </c>
      <c r="B427" s="1">
        <v>201819043</v>
      </c>
      <c r="C427" s="1" t="s">
        <v>1822</v>
      </c>
      <c r="D427" s="1" t="s">
        <v>1823</v>
      </c>
      <c r="E427" s="1" t="s">
        <v>1824</v>
      </c>
      <c r="F427" s="1" t="s">
        <v>216</v>
      </c>
      <c r="G427" s="1" t="s">
        <v>246</v>
      </c>
      <c r="H427" s="1"/>
      <c r="I427" s="1"/>
      <c r="J427" s="1" t="s">
        <v>535</v>
      </c>
      <c r="K427" s="1">
        <v>2024</v>
      </c>
      <c r="L427" s="1">
        <v>202410</v>
      </c>
      <c r="M427" s="1">
        <v>202410</v>
      </c>
      <c r="N427" s="1" t="s">
        <v>248</v>
      </c>
      <c r="O427" s="1" t="s">
        <v>213</v>
      </c>
      <c r="P427" s="1" t="s">
        <v>1820</v>
      </c>
      <c r="Q427" s="1" t="s">
        <v>216</v>
      </c>
      <c r="R427" s="1" t="s">
        <v>246</v>
      </c>
      <c r="S427" s="1" t="s">
        <v>781</v>
      </c>
      <c r="T427" s="70" t="str">
        <f>_xlfn.XLOOKUP(Tabla1[[#This Row],[Universidad]],Conversiones!$B:$B,Conversiones!$C:$C)</f>
        <v>ITESM-EGADE -Instituto tecnológico y de estudios superiores de Monterrey</v>
      </c>
      <c r="U427" s="70" t="str">
        <f>_xlfn.XLOOKUP(Tabla1[[#This Row],[Universidad KPIs]],Conversiones!$C:$C,Conversiones!$E:$E)</f>
        <v>Específico</v>
      </c>
      <c r="V427" s="1" t="s">
        <v>71</v>
      </c>
      <c r="W427" s="1" t="s">
        <v>260</v>
      </c>
      <c r="X427" s="55">
        <v>45313</v>
      </c>
      <c r="Y427" s="55">
        <v>45437</v>
      </c>
      <c r="Z427" s="1">
        <v>124</v>
      </c>
    </row>
    <row r="428" spans="1:27">
      <c r="A428" s="68" t="s">
        <v>1754</v>
      </c>
      <c r="B428" s="1">
        <v>202011438</v>
      </c>
      <c r="C428" s="1" t="s">
        <v>870</v>
      </c>
      <c r="D428" s="1" t="s">
        <v>1755</v>
      </c>
      <c r="E428" s="1" t="s">
        <v>1756</v>
      </c>
      <c r="F428" s="1" t="s">
        <v>216</v>
      </c>
      <c r="G428" s="1" t="s">
        <v>246</v>
      </c>
      <c r="H428" s="1"/>
      <c r="I428" s="1"/>
      <c r="J428" s="1" t="s">
        <v>247</v>
      </c>
      <c r="K428" s="1">
        <v>2024</v>
      </c>
      <c r="L428" s="1">
        <v>202419</v>
      </c>
      <c r="M428" s="1">
        <v>202419</v>
      </c>
      <c r="N428" s="1" t="s">
        <v>248</v>
      </c>
      <c r="O428" s="1" t="s">
        <v>553</v>
      </c>
      <c r="P428" s="1" t="s">
        <v>1825</v>
      </c>
      <c r="Q428" s="1" t="s">
        <v>216</v>
      </c>
      <c r="R428" s="1" t="s">
        <v>246</v>
      </c>
      <c r="S428" s="1" t="s">
        <v>181</v>
      </c>
      <c r="T428" s="70" t="str">
        <f>_xlfn.XLOOKUP(Tabla1[[#This Row],[Universidad]],Conversiones!$B:$B,Conversiones!$C:$C)</f>
        <v>Cornell University</v>
      </c>
      <c r="U428" s="70" t="str">
        <f>_xlfn.XLOOKUP(Tabla1[[#This Row],[Universidad KPIs]],Conversiones!$C:$C,Conversiones!$E:$E)</f>
        <v>General</v>
      </c>
      <c r="V428" s="1" t="s">
        <v>204</v>
      </c>
      <c r="W428" s="1" t="s">
        <v>260</v>
      </c>
      <c r="X428" s="55">
        <v>45447</v>
      </c>
      <c r="Y428" s="55">
        <v>45500</v>
      </c>
      <c r="Z428" s="1">
        <v>53</v>
      </c>
    </row>
    <row r="429" spans="1:27">
      <c r="A429" s="67" t="s">
        <v>1826</v>
      </c>
      <c r="B429">
        <v>202020929</v>
      </c>
      <c r="C429" t="s">
        <v>1827</v>
      </c>
      <c r="D429" t="s">
        <v>1828</v>
      </c>
      <c r="E429" t="s">
        <v>1829</v>
      </c>
      <c r="F429" t="s">
        <v>216</v>
      </c>
      <c r="G429" t="s">
        <v>246</v>
      </c>
      <c r="J429" t="s">
        <v>247</v>
      </c>
      <c r="K429">
        <v>2024</v>
      </c>
      <c r="L429">
        <v>202419</v>
      </c>
      <c r="M429">
        <v>202419</v>
      </c>
      <c r="N429" t="s">
        <v>248</v>
      </c>
      <c r="O429" t="s">
        <v>553</v>
      </c>
      <c r="P429" t="s">
        <v>1825</v>
      </c>
      <c r="Q429" t="s">
        <v>216</v>
      </c>
      <c r="R429" t="s">
        <v>246</v>
      </c>
      <c r="S429" t="s">
        <v>181</v>
      </c>
      <c r="T429" s="70" t="str">
        <f>_xlfn.XLOOKUP(Tabla1[[#This Row],[Universidad]],Conversiones!$B:$B,Conversiones!$C:$C)</f>
        <v>Cornell University</v>
      </c>
      <c r="U429" s="70" t="str">
        <f>_xlfn.XLOOKUP(Tabla1[[#This Row],[Universidad KPIs]],Conversiones!$C:$C,Conversiones!$E:$E)</f>
        <v>General</v>
      </c>
      <c r="V429" t="s">
        <v>204</v>
      </c>
      <c r="W429" t="s">
        <v>260</v>
      </c>
      <c r="X429" s="2">
        <v>45447</v>
      </c>
      <c r="Y429" s="2">
        <v>45500</v>
      </c>
      <c r="Z429">
        <v>53</v>
      </c>
      <c r="AA429" s="2"/>
    </row>
    <row r="430" spans="1:27">
      <c r="A430" s="68" t="s">
        <v>1830</v>
      </c>
      <c r="B430" s="1">
        <v>202120052</v>
      </c>
      <c r="C430" s="1" t="s">
        <v>1460</v>
      </c>
      <c r="D430" s="1" t="s">
        <v>1831</v>
      </c>
      <c r="E430" s="1" t="s">
        <v>1832</v>
      </c>
      <c r="F430" s="1" t="s">
        <v>216</v>
      </c>
      <c r="G430" s="1" t="s">
        <v>246</v>
      </c>
      <c r="H430" s="1"/>
      <c r="I430" s="1"/>
      <c r="J430" s="1" t="s">
        <v>247</v>
      </c>
      <c r="K430" s="1">
        <v>2024</v>
      </c>
      <c r="L430" s="1">
        <v>202420</v>
      </c>
      <c r="M430" s="1">
        <v>202420</v>
      </c>
      <c r="N430" s="1" t="s">
        <v>248</v>
      </c>
      <c r="O430" s="1" t="s">
        <v>213</v>
      </c>
      <c r="P430" s="1" t="s">
        <v>249</v>
      </c>
      <c r="Q430" s="1" t="s">
        <v>216</v>
      </c>
      <c r="R430" s="1" t="s">
        <v>246</v>
      </c>
      <c r="S430" s="1" t="s">
        <v>165</v>
      </c>
      <c r="T430" s="70" t="str">
        <f>_xlfn.XLOOKUP(Tabla1[[#This Row],[Universidad]],Conversiones!$B:$B,Conversiones!$C:$C)</f>
        <v>University of New South Wales</v>
      </c>
      <c r="U430" s="70" t="str">
        <f>_xlfn.XLOOKUP(Tabla1[[#This Row],[Universidad KPIs]],Conversiones!$C:$C,Conversiones!$E:$E)</f>
        <v>General</v>
      </c>
      <c r="V430" s="1" t="s">
        <v>90</v>
      </c>
      <c r="W430" s="1" t="s">
        <v>354</v>
      </c>
      <c r="X430" s="55">
        <v>45509</v>
      </c>
      <c r="Y430" s="55">
        <v>45626</v>
      </c>
      <c r="Z430" s="1">
        <v>117</v>
      </c>
      <c r="AA430" s="2"/>
    </row>
    <row r="431" spans="1:27">
      <c r="A431" s="67" t="s">
        <v>1833</v>
      </c>
      <c r="B431">
        <v>202123932</v>
      </c>
      <c r="C431" t="s">
        <v>509</v>
      </c>
      <c r="D431" t="s">
        <v>1834</v>
      </c>
      <c r="E431" t="s">
        <v>1835</v>
      </c>
      <c r="F431" t="s">
        <v>216</v>
      </c>
      <c r="G431" t="s">
        <v>246</v>
      </c>
      <c r="J431" t="s">
        <v>247</v>
      </c>
      <c r="K431">
        <v>2024</v>
      </c>
      <c r="L431">
        <v>202420</v>
      </c>
      <c r="M431">
        <v>202420</v>
      </c>
      <c r="N431" t="s">
        <v>248</v>
      </c>
      <c r="O431" t="s">
        <v>213</v>
      </c>
      <c r="P431" t="s">
        <v>249</v>
      </c>
      <c r="Q431" t="s">
        <v>216</v>
      </c>
      <c r="R431" t="s">
        <v>246</v>
      </c>
      <c r="S431" t="s">
        <v>99</v>
      </c>
      <c r="T431" s="70" t="str">
        <f>_xlfn.XLOOKUP(Tabla1[[#This Row],[Universidad]],Conversiones!$B:$B,Conversiones!$C:$C)</f>
        <v>University of Exeter</v>
      </c>
      <c r="U431" s="70" t="str">
        <f>_xlfn.XLOOKUP(Tabla1[[#This Row],[Universidad KPIs]],Conversiones!$C:$C,Conversiones!$E:$E)</f>
        <v>Específico</v>
      </c>
      <c r="V431" t="s">
        <v>39</v>
      </c>
      <c r="W431" t="s">
        <v>250</v>
      </c>
      <c r="X431" s="2">
        <v>45509</v>
      </c>
      <c r="Y431" s="2">
        <v>45626</v>
      </c>
      <c r="Z431">
        <v>117</v>
      </c>
      <c r="AA431" s="2"/>
    </row>
    <row r="432" spans="1:27">
      <c r="A432" s="68" t="s">
        <v>1836</v>
      </c>
      <c r="B432" s="1">
        <v>202022094</v>
      </c>
      <c r="C432" s="1" t="s">
        <v>1837</v>
      </c>
      <c r="D432" s="1" t="s">
        <v>1838</v>
      </c>
      <c r="E432" s="1" t="s">
        <v>1839</v>
      </c>
      <c r="F432" s="1" t="s">
        <v>216</v>
      </c>
      <c r="G432" s="1" t="s">
        <v>246</v>
      </c>
      <c r="H432" s="1"/>
      <c r="I432" s="1"/>
      <c r="J432" s="1" t="s">
        <v>247</v>
      </c>
      <c r="K432" s="1">
        <v>2024</v>
      </c>
      <c r="L432" s="1">
        <v>202420</v>
      </c>
      <c r="M432" s="1">
        <v>202420</v>
      </c>
      <c r="N432" s="1" t="s">
        <v>248</v>
      </c>
      <c r="O432" s="1" t="s">
        <v>213</v>
      </c>
      <c r="P432" s="1" t="s">
        <v>249</v>
      </c>
      <c r="Q432" s="1" t="s">
        <v>216</v>
      </c>
      <c r="R432" s="1" t="s">
        <v>246</v>
      </c>
      <c r="S432" s="1" t="s">
        <v>168</v>
      </c>
      <c r="T432" s="70" t="str">
        <f>_xlfn.XLOOKUP(Tabla1[[#This Row],[Universidad]],Conversiones!$B:$B,Conversiones!$C:$C)</f>
        <v>Université Libre de Bruxelles</v>
      </c>
      <c r="U432" s="70" t="str">
        <f>_xlfn.XLOOKUP(Tabla1[[#This Row],[Universidad KPIs]],Conversiones!$C:$C,Conversiones!$E:$E)</f>
        <v>General</v>
      </c>
      <c r="V432" s="1" t="s">
        <v>169</v>
      </c>
      <c r="W432" s="1" t="s">
        <v>250</v>
      </c>
      <c r="X432" s="55">
        <v>45509</v>
      </c>
      <c r="Y432" s="55">
        <v>45626</v>
      </c>
      <c r="Z432" s="1">
        <v>117</v>
      </c>
      <c r="AA432" s="2"/>
    </row>
    <row r="433" spans="1:27">
      <c r="A433" s="67" t="s">
        <v>1840</v>
      </c>
      <c r="B433">
        <v>202122361</v>
      </c>
      <c r="C433" t="s">
        <v>443</v>
      </c>
      <c r="D433" t="s">
        <v>1841</v>
      </c>
      <c r="E433" t="s">
        <v>1842</v>
      </c>
      <c r="F433" t="s">
        <v>216</v>
      </c>
      <c r="G433" t="s">
        <v>246</v>
      </c>
      <c r="J433" t="s">
        <v>247</v>
      </c>
      <c r="K433">
        <v>2024</v>
      </c>
      <c r="L433">
        <v>202420</v>
      </c>
      <c r="M433">
        <v>202420</v>
      </c>
      <c r="N433" t="s">
        <v>248</v>
      </c>
      <c r="O433" t="s">
        <v>213</v>
      </c>
      <c r="P433" t="s">
        <v>249</v>
      </c>
      <c r="Q433" t="s">
        <v>216</v>
      </c>
      <c r="R433" t="s">
        <v>246</v>
      </c>
      <c r="S433" t="s">
        <v>170</v>
      </c>
      <c r="T433" s="70" t="str">
        <f>_xlfn.XLOOKUP(Tabla1[[#This Row],[Universidad]],Conversiones!$B:$B,Conversiones!$C:$C)</f>
        <v>Universität zu Köln</v>
      </c>
      <c r="U433" s="70" t="str">
        <f>_xlfn.XLOOKUP(Tabla1[[#This Row],[Universidad KPIs]],Conversiones!$C:$C,Conversiones!$E:$E)</f>
        <v>General</v>
      </c>
      <c r="V433" t="s">
        <v>60</v>
      </c>
      <c r="W433" t="s">
        <v>250</v>
      </c>
      <c r="X433" s="2">
        <v>45509</v>
      </c>
      <c r="Y433" s="2">
        <v>45626</v>
      </c>
      <c r="Z433">
        <v>117</v>
      </c>
      <c r="AA433" s="2"/>
    </row>
    <row r="434" spans="1:27">
      <c r="A434" s="68" t="s">
        <v>1843</v>
      </c>
      <c r="B434" s="1">
        <v>202113000</v>
      </c>
      <c r="C434" s="1" t="s">
        <v>740</v>
      </c>
      <c r="D434" s="1" t="s">
        <v>1844</v>
      </c>
      <c r="E434" s="1" t="s">
        <v>1845</v>
      </c>
      <c r="F434" s="1" t="s">
        <v>216</v>
      </c>
      <c r="G434" s="1" t="s">
        <v>246</v>
      </c>
      <c r="H434" s="1"/>
      <c r="I434" s="1"/>
      <c r="J434" s="1" t="s">
        <v>247</v>
      </c>
      <c r="K434" s="1">
        <v>2024</v>
      </c>
      <c r="L434" s="1">
        <v>202420</v>
      </c>
      <c r="M434" s="1">
        <v>202420</v>
      </c>
      <c r="N434" s="1" t="s">
        <v>248</v>
      </c>
      <c r="O434" s="1" t="s">
        <v>213</v>
      </c>
      <c r="P434" s="1" t="s">
        <v>249</v>
      </c>
      <c r="Q434" s="1" t="s">
        <v>216</v>
      </c>
      <c r="R434" s="1" t="s">
        <v>246</v>
      </c>
      <c r="S434" s="1" t="s">
        <v>493</v>
      </c>
      <c r="T434" s="70" t="str">
        <f>_xlfn.XLOOKUP(Tabla1[[#This Row],[Universidad]],Conversiones!$B:$B,Conversiones!$C:$C)</f>
        <v>University of Saint Gallen</v>
      </c>
      <c r="U434" s="70" t="str">
        <f>_xlfn.XLOOKUP(Tabla1[[#This Row],[Universidad KPIs]],Conversiones!$C:$C,Conversiones!$E:$E)</f>
        <v>Específico</v>
      </c>
      <c r="V434" s="1" t="s">
        <v>65</v>
      </c>
      <c r="W434" s="1" t="s">
        <v>250</v>
      </c>
      <c r="X434" s="55">
        <v>45509</v>
      </c>
      <c r="Y434" s="55">
        <v>45626</v>
      </c>
      <c r="Z434" s="1">
        <v>117</v>
      </c>
      <c r="AA434" s="2"/>
    </row>
    <row r="435" spans="1:27">
      <c r="A435" s="67" t="s">
        <v>1846</v>
      </c>
      <c r="B435">
        <v>202220843</v>
      </c>
      <c r="C435" t="s">
        <v>1847</v>
      </c>
      <c r="D435" t="s">
        <v>1848</v>
      </c>
      <c r="E435" t="s">
        <v>1849</v>
      </c>
      <c r="F435" t="s">
        <v>216</v>
      </c>
      <c r="G435" t="s">
        <v>246</v>
      </c>
      <c r="J435" t="s">
        <v>247</v>
      </c>
      <c r="K435">
        <v>2024</v>
      </c>
      <c r="L435">
        <v>202420</v>
      </c>
      <c r="M435">
        <v>202420</v>
      </c>
      <c r="N435" t="s">
        <v>248</v>
      </c>
      <c r="O435" t="s">
        <v>213</v>
      </c>
      <c r="P435" t="s">
        <v>249</v>
      </c>
      <c r="Q435" t="s">
        <v>216</v>
      </c>
      <c r="R435" t="s">
        <v>246</v>
      </c>
      <c r="S435" t="s">
        <v>289</v>
      </c>
      <c r="T435" s="70" t="str">
        <f>_xlfn.XLOOKUP(Tabla1[[#This Row],[Universidad]],Conversiones!$B:$B,Conversiones!$C:$C)</f>
        <v>ESADE</v>
      </c>
      <c r="U435" s="70" t="str">
        <f>_xlfn.XLOOKUP(Tabla1[[#This Row],[Universidad KPIs]],Conversiones!$C:$C,Conversiones!$E:$E)</f>
        <v>Específico</v>
      </c>
      <c r="V435" t="s">
        <v>53</v>
      </c>
      <c r="W435" t="s">
        <v>250</v>
      </c>
      <c r="X435" s="2">
        <v>45509</v>
      </c>
      <c r="Y435" s="2">
        <v>45626</v>
      </c>
      <c r="Z435">
        <v>117</v>
      </c>
      <c r="AA435" s="2"/>
    </row>
    <row r="436" spans="1:27">
      <c r="A436" s="68" t="s">
        <v>1850</v>
      </c>
      <c r="B436" s="1">
        <v>202122291</v>
      </c>
      <c r="C436" s="1" t="s">
        <v>1851</v>
      </c>
      <c r="D436" s="1" t="s">
        <v>1852</v>
      </c>
      <c r="E436" s="1" t="s">
        <v>1853</v>
      </c>
      <c r="F436" s="1" t="s">
        <v>216</v>
      </c>
      <c r="G436" s="1" t="s">
        <v>246</v>
      </c>
      <c r="H436" s="1"/>
      <c r="I436" s="1"/>
      <c r="J436" s="1" t="s">
        <v>247</v>
      </c>
      <c r="K436" s="1">
        <v>2024</v>
      </c>
      <c r="L436" s="1">
        <v>202420</v>
      </c>
      <c r="M436" s="1">
        <v>202420</v>
      </c>
      <c r="N436" s="1" t="s">
        <v>248</v>
      </c>
      <c r="O436" s="1" t="s">
        <v>213</v>
      </c>
      <c r="P436" s="1" t="s">
        <v>834</v>
      </c>
      <c r="Q436" s="1" t="s">
        <v>216</v>
      </c>
      <c r="R436" s="1" t="s">
        <v>246</v>
      </c>
      <c r="S436" s="1" t="s">
        <v>158</v>
      </c>
      <c r="T436" s="70" t="str">
        <f>_xlfn.XLOOKUP(Tabla1[[#This Row],[Universidad]],Conversiones!$B:$B,Conversiones!$C:$C)</f>
        <v>Universitat Politècnica de Catalunya</v>
      </c>
      <c r="U436" s="70" t="str">
        <f>_xlfn.XLOOKUP(Tabla1[[#This Row],[Universidad KPIs]],Conversiones!$C:$C,Conversiones!$E:$E)</f>
        <v>General</v>
      </c>
      <c r="V436" s="1" t="s">
        <v>53</v>
      </c>
      <c r="W436" s="1" t="s">
        <v>250</v>
      </c>
      <c r="X436" s="55">
        <v>45509</v>
      </c>
      <c r="Y436" s="55">
        <v>45626</v>
      </c>
      <c r="Z436" s="1">
        <v>117</v>
      </c>
      <c r="AA436" s="2"/>
    </row>
    <row r="437" spans="1:27">
      <c r="A437" s="67" t="s">
        <v>1854</v>
      </c>
      <c r="B437">
        <v>202122947</v>
      </c>
      <c r="C437" t="s">
        <v>1855</v>
      </c>
      <c r="D437" t="s">
        <v>1856</v>
      </c>
      <c r="E437" t="s">
        <v>1857</v>
      </c>
      <c r="F437" t="s">
        <v>216</v>
      </c>
      <c r="G437" t="s">
        <v>246</v>
      </c>
      <c r="J437" t="s">
        <v>247</v>
      </c>
      <c r="K437">
        <v>2024</v>
      </c>
      <c r="L437">
        <v>202420</v>
      </c>
      <c r="M437">
        <v>202420</v>
      </c>
      <c r="N437" t="s">
        <v>248</v>
      </c>
      <c r="O437" t="s">
        <v>213</v>
      </c>
      <c r="P437" t="s">
        <v>834</v>
      </c>
      <c r="Q437" t="s">
        <v>216</v>
      </c>
      <c r="R437" t="s">
        <v>246</v>
      </c>
      <c r="S437" t="s">
        <v>158</v>
      </c>
      <c r="T437" s="70" t="str">
        <f>_xlfn.XLOOKUP(Tabla1[[#This Row],[Universidad]],Conversiones!$B:$B,Conversiones!$C:$C)</f>
        <v>Universitat Politècnica de Catalunya</v>
      </c>
      <c r="U437" s="70" t="str">
        <f>_xlfn.XLOOKUP(Tabla1[[#This Row],[Universidad KPIs]],Conversiones!$C:$C,Conversiones!$E:$E)</f>
        <v>General</v>
      </c>
      <c r="V437" t="s">
        <v>53</v>
      </c>
      <c r="W437" t="s">
        <v>250</v>
      </c>
      <c r="X437" s="2">
        <v>45509</v>
      </c>
      <c r="Y437" s="2">
        <v>45626</v>
      </c>
      <c r="Z437">
        <v>117</v>
      </c>
      <c r="AA437" s="2"/>
    </row>
    <row r="438" spans="1:27">
      <c r="A438" s="68" t="s">
        <v>1858</v>
      </c>
      <c r="B438" s="1">
        <v>202222294</v>
      </c>
      <c r="C438" s="1" t="s">
        <v>699</v>
      </c>
      <c r="D438" s="1" t="s">
        <v>1859</v>
      </c>
      <c r="E438" s="1" t="s">
        <v>1860</v>
      </c>
      <c r="F438" s="1" t="s">
        <v>216</v>
      </c>
      <c r="G438" s="1" t="s">
        <v>246</v>
      </c>
      <c r="H438" s="1"/>
      <c r="I438" s="1"/>
      <c r="J438" s="1" t="s">
        <v>247</v>
      </c>
      <c r="K438" s="1">
        <v>2024</v>
      </c>
      <c r="L438" s="1">
        <v>202420</v>
      </c>
      <c r="M438" s="1">
        <v>202420</v>
      </c>
      <c r="N438" s="1" t="s">
        <v>248</v>
      </c>
      <c r="O438" s="1" t="s">
        <v>213</v>
      </c>
      <c r="P438" s="1" t="s">
        <v>249</v>
      </c>
      <c r="Q438" s="1" t="s">
        <v>216</v>
      </c>
      <c r="R438" s="1" t="s">
        <v>246</v>
      </c>
      <c r="S438" s="1" t="s">
        <v>424</v>
      </c>
      <c r="T438" s="70" t="str">
        <f>_xlfn.XLOOKUP(Tabla1[[#This Row],[Universidad]],Conversiones!$B:$B,Conversiones!$C:$C)</f>
        <v>Nova School of Business and Economics</v>
      </c>
      <c r="U438" s="70" t="str">
        <f>_xlfn.XLOOKUP(Tabla1[[#This Row],[Universidad KPIs]],Conversiones!$C:$C,Conversiones!$E:$E)</f>
        <v>Específico</v>
      </c>
      <c r="V438" s="1" t="s">
        <v>45</v>
      </c>
      <c r="W438" s="1" t="s">
        <v>250</v>
      </c>
      <c r="X438" s="55">
        <v>45509</v>
      </c>
      <c r="Y438" s="55">
        <v>45626</v>
      </c>
      <c r="Z438" s="1">
        <v>117</v>
      </c>
      <c r="AA438" s="2"/>
    </row>
    <row r="439" spans="1:27">
      <c r="A439" s="67" t="s">
        <v>1861</v>
      </c>
      <c r="B439">
        <v>202215416</v>
      </c>
      <c r="C439" t="s">
        <v>1862</v>
      </c>
      <c r="D439" t="s">
        <v>1863</v>
      </c>
      <c r="E439" t="s">
        <v>1864</v>
      </c>
      <c r="F439" t="s">
        <v>216</v>
      </c>
      <c r="G439" t="s">
        <v>246</v>
      </c>
      <c r="J439" t="s">
        <v>247</v>
      </c>
      <c r="K439">
        <v>2024</v>
      </c>
      <c r="L439">
        <v>202420</v>
      </c>
      <c r="M439">
        <v>202420</v>
      </c>
      <c r="N439" t="s">
        <v>248</v>
      </c>
      <c r="O439" t="s">
        <v>213</v>
      </c>
      <c r="P439" t="s">
        <v>249</v>
      </c>
      <c r="Q439" t="s">
        <v>216</v>
      </c>
      <c r="R439" t="s">
        <v>246</v>
      </c>
      <c r="S439" t="s">
        <v>424</v>
      </c>
      <c r="T439" s="70" t="str">
        <f>_xlfn.XLOOKUP(Tabla1[[#This Row],[Universidad]],Conversiones!$B:$B,Conversiones!$C:$C)</f>
        <v>Nova School of Business and Economics</v>
      </c>
      <c r="U439" s="70" t="str">
        <f>_xlfn.XLOOKUP(Tabla1[[#This Row],[Universidad KPIs]],Conversiones!$C:$C,Conversiones!$E:$E)</f>
        <v>Específico</v>
      </c>
      <c r="V439" t="s">
        <v>45</v>
      </c>
      <c r="W439" t="s">
        <v>250</v>
      </c>
      <c r="X439" s="2">
        <v>45509</v>
      </c>
      <c r="Y439" s="2">
        <v>45626</v>
      </c>
      <c r="Z439">
        <v>117</v>
      </c>
      <c r="AA439" s="2"/>
    </row>
    <row r="440" spans="1:27">
      <c r="A440" s="68" t="s">
        <v>1865</v>
      </c>
      <c r="B440" s="1">
        <v>202112467</v>
      </c>
      <c r="C440" s="1" t="s">
        <v>1866</v>
      </c>
      <c r="D440" s="1" t="s">
        <v>1867</v>
      </c>
      <c r="E440" s="1" t="s">
        <v>1868</v>
      </c>
      <c r="F440" s="1" t="s">
        <v>216</v>
      </c>
      <c r="G440" s="1" t="s">
        <v>246</v>
      </c>
      <c r="H440" s="1"/>
      <c r="I440" s="1"/>
      <c r="J440" s="1" t="s">
        <v>247</v>
      </c>
      <c r="K440" s="1">
        <v>2024</v>
      </c>
      <c r="L440" s="1">
        <v>202420</v>
      </c>
      <c r="M440" s="1">
        <v>202420</v>
      </c>
      <c r="N440" s="1" t="s">
        <v>248</v>
      </c>
      <c r="O440" s="1" t="s">
        <v>213</v>
      </c>
      <c r="P440" s="1" t="s">
        <v>249</v>
      </c>
      <c r="Q440" s="1" t="s">
        <v>216</v>
      </c>
      <c r="R440" s="1" t="s">
        <v>246</v>
      </c>
      <c r="S440" s="1" t="s">
        <v>171</v>
      </c>
      <c r="T440" s="70" t="str">
        <f>_xlfn.XLOOKUP(Tabla1[[#This Row],[Universidad]],Conversiones!$B:$B,Conversiones!$C:$C)</f>
        <v>Universidade do Minho</v>
      </c>
      <c r="U440" s="70" t="str">
        <f>_xlfn.XLOOKUP(Tabla1[[#This Row],[Universidad KPIs]],Conversiones!$C:$C,Conversiones!$E:$E)</f>
        <v>General</v>
      </c>
      <c r="V440" s="1" t="s">
        <v>45</v>
      </c>
      <c r="W440" s="1" t="s">
        <v>250</v>
      </c>
      <c r="X440" s="55">
        <v>45509</v>
      </c>
      <c r="Y440" s="55">
        <v>45626</v>
      </c>
      <c r="Z440" s="1">
        <v>117</v>
      </c>
      <c r="AA440" s="2"/>
    </row>
    <row r="441" spans="1:27">
      <c r="A441" s="67" t="s">
        <v>1869</v>
      </c>
      <c r="B441">
        <v>202120175</v>
      </c>
      <c r="C441" t="s">
        <v>1870</v>
      </c>
      <c r="D441" t="s">
        <v>1871</v>
      </c>
      <c r="E441" t="s">
        <v>1872</v>
      </c>
      <c r="F441" t="s">
        <v>216</v>
      </c>
      <c r="G441" t="s">
        <v>246</v>
      </c>
      <c r="J441" t="s">
        <v>247</v>
      </c>
      <c r="K441">
        <v>2024</v>
      </c>
      <c r="L441">
        <v>202420</v>
      </c>
      <c r="M441">
        <v>202420</v>
      </c>
      <c r="N441" t="s">
        <v>248</v>
      </c>
      <c r="O441" t="s">
        <v>213</v>
      </c>
      <c r="P441" t="s">
        <v>249</v>
      </c>
      <c r="Q441" t="s">
        <v>216</v>
      </c>
      <c r="R441" t="s">
        <v>246</v>
      </c>
      <c r="S441" t="s">
        <v>274</v>
      </c>
      <c r="T441" s="70" t="str">
        <f>_xlfn.XLOOKUP(Tabla1[[#This Row],[Universidad]],Conversiones!$B:$B,Conversiones!$C:$C)</f>
        <v>Catolica Lisbon Business &amp; Economics. Universidade Católica Portuguesa</v>
      </c>
      <c r="U441" s="70" t="str">
        <f>_xlfn.XLOOKUP(Tabla1[[#This Row],[Universidad KPIs]],Conversiones!$C:$C,Conversiones!$E:$E)</f>
        <v>Específico</v>
      </c>
      <c r="V441" t="s">
        <v>45</v>
      </c>
      <c r="W441" t="s">
        <v>250</v>
      </c>
      <c r="X441" s="2">
        <v>45509</v>
      </c>
      <c r="Y441" s="2">
        <v>45626</v>
      </c>
      <c r="Z441">
        <v>117</v>
      </c>
      <c r="AA441" s="2"/>
    </row>
    <row r="442" spans="1:27">
      <c r="A442" s="68" t="s">
        <v>1873</v>
      </c>
      <c r="B442" s="1">
        <v>202021945</v>
      </c>
      <c r="C442" s="1" t="s">
        <v>751</v>
      </c>
      <c r="D442" s="1" t="s">
        <v>1874</v>
      </c>
      <c r="E442" s="1" t="s">
        <v>1875</v>
      </c>
      <c r="F442" s="1" t="s">
        <v>216</v>
      </c>
      <c r="G442" s="1" t="s">
        <v>246</v>
      </c>
      <c r="H442" s="1"/>
      <c r="I442" s="1"/>
      <c r="J442" s="1" t="s">
        <v>247</v>
      </c>
      <c r="K442" s="1">
        <v>2024</v>
      </c>
      <c r="L442" s="1">
        <v>202420</v>
      </c>
      <c r="M442" s="1">
        <v>202420</v>
      </c>
      <c r="N442" s="1" t="s">
        <v>248</v>
      </c>
      <c r="O442" s="1" t="s">
        <v>213</v>
      </c>
      <c r="P442" s="1" t="s">
        <v>249</v>
      </c>
      <c r="Q442" s="1" t="s">
        <v>216</v>
      </c>
      <c r="R442" s="1" t="s">
        <v>246</v>
      </c>
      <c r="S442" s="1" t="s">
        <v>274</v>
      </c>
      <c r="T442" s="70" t="str">
        <f>_xlfn.XLOOKUP(Tabla1[[#This Row],[Universidad]],Conversiones!$B:$B,Conversiones!$C:$C)</f>
        <v>Catolica Lisbon Business &amp; Economics. Universidade Católica Portuguesa</v>
      </c>
      <c r="U442" s="70" t="str">
        <f>_xlfn.XLOOKUP(Tabla1[[#This Row],[Universidad KPIs]],Conversiones!$C:$C,Conversiones!$E:$E)</f>
        <v>Específico</v>
      </c>
      <c r="V442" s="1" t="s">
        <v>45</v>
      </c>
      <c r="W442" s="1" t="s">
        <v>250</v>
      </c>
      <c r="X442" s="55">
        <v>45509</v>
      </c>
      <c r="Y442" s="55">
        <v>45626</v>
      </c>
      <c r="Z442" s="1">
        <v>117</v>
      </c>
      <c r="AA442" s="2"/>
    </row>
    <row r="443" spans="1:27">
      <c r="A443" s="67" t="s">
        <v>1876</v>
      </c>
      <c r="B443">
        <v>201912975</v>
      </c>
      <c r="C443" t="s">
        <v>1877</v>
      </c>
      <c r="D443" t="s">
        <v>1878</v>
      </c>
      <c r="E443" t="s">
        <v>1879</v>
      </c>
      <c r="F443" t="s">
        <v>216</v>
      </c>
      <c r="G443" t="s">
        <v>246</v>
      </c>
      <c r="H443" t="s">
        <v>466</v>
      </c>
      <c r="I443" t="s">
        <v>467</v>
      </c>
      <c r="J443" t="s">
        <v>247</v>
      </c>
      <c r="K443">
        <v>2024</v>
      </c>
      <c r="L443">
        <v>202420</v>
      </c>
      <c r="M443">
        <v>202420</v>
      </c>
      <c r="N443" t="s">
        <v>248</v>
      </c>
      <c r="O443" t="s">
        <v>213</v>
      </c>
      <c r="P443" t="s">
        <v>249</v>
      </c>
      <c r="Q443" t="s">
        <v>216</v>
      </c>
      <c r="R443" t="s">
        <v>246</v>
      </c>
      <c r="S443" t="s">
        <v>172</v>
      </c>
      <c r="T443" s="70" t="str">
        <f>_xlfn.XLOOKUP(Tabla1[[#This Row],[Universidad]],Conversiones!$B:$B,Conversiones!$C:$C)</f>
        <v>Universidad del País Vasco / Euskal Herriko Unibertsitatea</v>
      </c>
      <c r="U443" s="70" t="str">
        <f>_xlfn.XLOOKUP(Tabla1[[#This Row],[Universidad KPIs]],Conversiones!$C:$C,Conversiones!$E:$E)</f>
        <v>General</v>
      </c>
      <c r="V443" t="s">
        <v>53</v>
      </c>
      <c r="W443" t="s">
        <v>250</v>
      </c>
      <c r="X443" s="2">
        <v>45509</v>
      </c>
      <c r="Y443" s="2">
        <v>45626</v>
      </c>
      <c r="Z443">
        <v>117</v>
      </c>
      <c r="AA443" s="2"/>
    </row>
    <row r="444" spans="1:27">
      <c r="A444" s="68" t="s">
        <v>1880</v>
      </c>
      <c r="B444" s="1">
        <v>202027040</v>
      </c>
      <c r="C444" s="1" t="s">
        <v>1881</v>
      </c>
      <c r="D444" s="1" t="s">
        <v>1882</v>
      </c>
      <c r="E444" s="1" t="s">
        <v>1883</v>
      </c>
      <c r="F444" s="1" t="s">
        <v>218</v>
      </c>
      <c r="G444" s="1" t="s">
        <v>246</v>
      </c>
      <c r="H444" s="1"/>
      <c r="I444" s="1"/>
      <c r="J444" s="1" t="s">
        <v>247</v>
      </c>
      <c r="K444" s="1">
        <v>2024</v>
      </c>
      <c r="L444" s="1">
        <v>202420</v>
      </c>
      <c r="M444" s="1">
        <v>202420</v>
      </c>
      <c r="N444" t="s">
        <v>587</v>
      </c>
      <c r="O444" s="1" t="s">
        <v>213</v>
      </c>
      <c r="P444" s="1" t="s">
        <v>1491</v>
      </c>
      <c r="Q444" s="1" t="s">
        <v>218</v>
      </c>
      <c r="R444" s="1" t="s">
        <v>246</v>
      </c>
      <c r="S444" s="1" t="s">
        <v>172</v>
      </c>
      <c r="T444" s="70" t="str">
        <f>_xlfn.XLOOKUP(Tabla1[[#This Row],[Universidad]],Conversiones!$B:$B,Conversiones!$C:$C)</f>
        <v>Universidad del País Vasco / Euskal Herriko Unibertsitatea</v>
      </c>
      <c r="U444" s="70" t="str">
        <f>_xlfn.XLOOKUP(Tabla1[[#This Row],[Universidad KPIs]],Conversiones!$C:$C,Conversiones!$E:$E)</f>
        <v>General</v>
      </c>
      <c r="V444" s="1" t="s">
        <v>53</v>
      </c>
      <c r="W444" s="1" t="s">
        <v>250</v>
      </c>
      <c r="X444" s="55">
        <v>45509</v>
      </c>
      <c r="Y444" s="55">
        <v>45626</v>
      </c>
      <c r="Z444" s="1">
        <v>117</v>
      </c>
      <c r="AA444" s="2"/>
    </row>
    <row r="445" spans="1:27">
      <c r="A445" s="67" t="s">
        <v>1884</v>
      </c>
      <c r="B445">
        <v>202311669</v>
      </c>
      <c r="C445" t="s">
        <v>1885</v>
      </c>
      <c r="D445" t="s">
        <v>1886</v>
      </c>
      <c r="E445" t="s">
        <v>1887</v>
      </c>
      <c r="F445" t="s">
        <v>219</v>
      </c>
      <c r="G445" t="s">
        <v>246</v>
      </c>
      <c r="J445" t="s">
        <v>247</v>
      </c>
      <c r="K445">
        <v>2024</v>
      </c>
      <c r="L445">
        <v>202420</v>
      </c>
      <c r="M445">
        <v>202420</v>
      </c>
      <c r="N445" t="s">
        <v>587</v>
      </c>
      <c r="O445" t="s">
        <v>213</v>
      </c>
      <c r="P445" t="s">
        <v>1491</v>
      </c>
      <c r="Q445" t="s">
        <v>219</v>
      </c>
      <c r="R445" t="s">
        <v>246</v>
      </c>
      <c r="S445" t="s">
        <v>1306</v>
      </c>
      <c r="T445" s="70" t="str">
        <f>_xlfn.XLOOKUP(Tabla1[[#This Row],[Universidad]],Conversiones!$B:$B,Conversiones!$C:$C)</f>
        <v>Universidad del Pacífico</v>
      </c>
      <c r="U445" s="70" t="str">
        <f>_xlfn.XLOOKUP(Tabla1[[#This Row],[Universidad KPIs]],Conversiones!$C:$C,Conversiones!$E:$E)</f>
        <v>Específico</v>
      </c>
      <c r="V445" t="s">
        <v>96</v>
      </c>
      <c r="W445" t="s">
        <v>265</v>
      </c>
      <c r="X445" s="2">
        <v>45509</v>
      </c>
      <c r="Y445" s="2">
        <v>45626</v>
      </c>
      <c r="Z445">
        <v>117</v>
      </c>
      <c r="AA445" s="2"/>
    </row>
    <row r="446" spans="1:27">
      <c r="A446" s="68" t="s">
        <v>1888</v>
      </c>
      <c r="B446" s="1">
        <v>202121605</v>
      </c>
      <c r="C446" s="1" t="s">
        <v>1285</v>
      </c>
      <c r="D446" s="1" t="s">
        <v>1889</v>
      </c>
      <c r="E446" s="1" t="s">
        <v>1890</v>
      </c>
      <c r="F446" s="1" t="s">
        <v>216</v>
      </c>
      <c r="G446" s="1" t="s">
        <v>246</v>
      </c>
      <c r="H446" s="1"/>
      <c r="I446" s="1"/>
      <c r="J446" s="1" t="s">
        <v>247</v>
      </c>
      <c r="K446" s="1">
        <v>2024</v>
      </c>
      <c r="L446" s="1">
        <v>202420</v>
      </c>
      <c r="M446" s="1">
        <v>202420</v>
      </c>
      <c r="N446" s="1" t="s">
        <v>248</v>
      </c>
      <c r="O446" s="1" t="s">
        <v>213</v>
      </c>
      <c r="P446" s="1" t="s">
        <v>249</v>
      </c>
      <c r="Q446" s="1" t="s">
        <v>216</v>
      </c>
      <c r="R446" s="1" t="s">
        <v>246</v>
      </c>
      <c r="S446" s="1" t="s">
        <v>143</v>
      </c>
      <c r="T446" s="70" t="str">
        <f>_xlfn.XLOOKUP(Tabla1[[#This Row],[Universidad]],Conversiones!$B:$B,Conversiones!$C:$C)</f>
        <v>Universidad de Alicante</v>
      </c>
      <c r="U446" s="70" t="str">
        <f>_xlfn.XLOOKUP(Tabla1[[#This Row],[Universidad KPIs]],Conversiones!$C:$C,Conversiones!$E:$E)</f>
        <v>General</v>
      </c>
      <c r="V446" s="1" t="s">
        <v>53</v>
      </c>
      <c r="W446" s="1" t="s">
        <v>250</v>
      </c>
      <c r="X446" s="55">
        <v>45509</v>
      </c>
      <c r="Y446" s="55">
        <v>45626</v>
      </c>
      <c r="Z446" s="1">
        <v>117</v>
      </c>
      <c r="AA446" s="2"/>
    </row>
    <row r="447" spans="1:27">
      <c r="A447" s="68" t="s">
        <v>1891</v>
      </c>
      <c r="B447" s="1">
        <v>202021436</v>
      </c>
      <c r="C447" s="1" t="s">
        <v>475</v>
      </c>
      <c r="D447" s="1" t="s">
        <v>1892</v>
      </c>
      <c r="E447" s="1" t="s">
        <v>1893</v>
      </c>
      <c r="F447" s="1" t="s">
        <v>216</v>
      </c>
      <c r="G447" s="1" t="s">
        <v>246</v>
      </c>
      <c r="H447" s="1"/>
      <c r="I447" s="1"/>
      <c r="J447" s="1" t="s">
        <v>247</v>
      </c>
      <c r="K447" s="1">
        <v>2024</v>
      </c>
      <c r="L447" s="1">
        <v>202420</v>
      </c>
      <c r="M447" s="1">
        <v>202420</v>
      </c>
      <c r="N447" s="1" t="s">
        <v>248</v>
      </c>
      <c r="O447" s="1" t="s">
        <v>214</v>
      </c>
      <c r="P447" s="1" t="s">
        <v>446</v>
      </c>
      <c r="Q447" s="1" t="s">
        <v>216</v>
      </c>
      <c r="R447" s="1" t="s">
        <v>246</v>
      </c>
      <c r="S447" s="1" t="s">
        <v>341</v>
      </c>
      <c r="T447" s="70" t="str">
        <f>_xlfn.XLOOKUP(Tabla1[[#This Row],[Universidad]],Conversiones!$B:$B,Conversiones!$C:$C)</f>
        <v>A.B. Freeman School of Business, Tulane University</v>
      </c>
      <c r="U447" s="70" t="str">
        <f>_xlfn.XLOOKUP(Tabla1[[#This Row],[Universidad KPIs]],Conversiones!$C:$C,Conversiones!$E:$E)</f>
        <v>Específico</v>
      </c>
      <c r="V447" s="1" t="s">
        <v>35</v>
      </c>
      <c r="W447" s="1" t="s">
        <v>260</v>
      </c>
      <c r="X447" s="55">
        <v>45509</v>
      </c>
      <c r="Y447" s="55">
        <v>45626</v>
      </c>
      <c r="Z447" s="1">
        <v>117</v>
      </c>
      <c r="AA447" s="2"/>
    </row>
    <row r="448" spans="1:27">
      <c r="A448" s="67" t="s">
        <v>1894</v>
      </c>
      <c r="B448">
        <v>202112851</v>
      </c>
      <c r="C448" t="s">
        <v>434</v>
      </c>
      <c r="D448" t="s">
        <v>1895</v>
      </c>
      <c r="E448" t="s">
        <v>1896</v>
      </c>
      <c r="F448" t="s">
        <v>216</v>
      </c>
      <c r="G448" t="s">
        <v>246</v>
      </c>
      <c r="J448" t="s">
        <v>247</v>
      </c>
      <c r="K448">
        <v>2024</v>
      </c>
      <c r="L448">
        <v>202420</v>
      </c>
      <c r="M448">
        <v>202420</v>
      </c>
      <c r="N448" t="s">
        <v>248</v>
      </c>
      <c r="O448" t="s">
        <v>213</v>
      </c>
      <c r="P448" t="s">
        <v>249</v>
      </c>
      <c r="Q448" t="s">
        <v>216</v>
      </c>
      <c r="R448" t="s">
        <v>246</v>
      </c>
      <c r="S448" t="s">
        <v>341</v>
      </c>
      <c r="T448" s="70" t="str">
        <f>_xlfn.XLOOKUP(Tabla1[[#This Row],[Universidad]],Conversiones!$B:$B,Conversiones!$C:$C)</f>
        <v>A.B. Freeman School of Business, Tulane University</v>
      </c>
      <c r="U448" s="70" t="str">
        <f>_xlfn.XLOOKUP(Tabla1[[#This Row],[Universidad KPIs]],Conversiones!$C:$C,Conversiones!$E:$E)</f>
        <v>Específico</v>
      </c>
      <c r="V448" t="s">
        <v>35</v>
      </c>
      <c r="W448" t="s">
        <v>260</v>
      </c>
      <c r="X448" s="2">
        <v>45509</v>
      </c>
      <c r="Y448" s="2">
        <v>45626</v>
      </c>
      <c r="Z448">
        <v>117</v>
      </c>
      <c r="AA448" s="2"/>
    </row>
    <row r="449" spans="1:27">
      <c r="A449" s="68" t="s">
        <v>1897</v>
      </c>
      <c r="B449" s="1">
        <v>202121765</v>
      </c>
      <c r="C449" s="1" t="s">
        <v>1898</v>
      </c>
      <c r="D449" s="1" t="s">
        <v>1899</v>
      </c>
      <c r="E449" s="1" t="s">
        <v>1900</v>
      </c>
      <c r="F449" s="1" t="s">
        <v>460</v>
      </c>
      <c r="G449" s="1" t="s">
        <v>461</v>
      </c>
      <c r="H449" s="1" t="s">
        <v>216</v>
      </c>
      <c r="I449" s="1" t="s">
        <v>246</v>
      </c>
      <c r="J449" s="1" t="s">
        <v>247</v>
      </c>
      <c r="K449" s="1">
        <v>2024</v>
      </c>
      <c r="L449" s="1">
        <v>202420</v>
      </c>
      <c r="M449" s="1">
        <v>202420</v>
      </c>
      <c r="N449" s="1" t="s">
        <v>248</v>
      </c>
      <c r="O449" s="1" t="s">
        <v>213</v>
      </c>
      <c r="P449" s="1" t="s">
        <v>249</v>
      </c>
      <c r="Q449" s="1" t="s">
        <v>216</v>
      </c>
      <c r="R449" s="1" t="s">
        <v>246</v>
      </c>
      <c r="S449" s="1" t="s">
        <v>279</v>
      </c>
      <c r="T449" s="70" t="str">
        <f>_xlfn.XLOOKUP(Tabla1[[#This Row],[Universidad]],Conversiones!$B:$B,Conversiones!$C:$C)</f>
        <v>Toulouse Business School</v>
      </c>
      <c r="U449" s="70" t="str">
        <f>_xlfn.XLOOKUP(Tabla1[[#This Row],[Universidad KPIs]],Conversiones!$C:$C,Conversiones!$E:$E)</f>
        <v>Específico</v>
      </c>
      <c r="V449" s="1" t="s">
        <v>41</v>
      </c>
      <c r="W449" s="1" t="s">
        <v>250</v>
      </c>
      <c r="X449" s="55">
        <v>45509</v>
      </c>
      <c r="Y449" s="55">
        <v>45626</v>
      </c>
      <c r="Z449" s="1">
        <v>117</v>
      </c>
      <c r="AA449" s="2"/>
    </row>
    <row r="450" spans="1:27">
      <c r="A450" s="67" t="s">
        <v>1754</v>
      </c>
      <c r="B450">
        <v>202011438</v>
      </c>
      <c r="C450" t="s">
        <v>870</v>
      </c>
      <c r="D450" t="s">
        <v>1755</v>
      </c>
      <c r="E450" t="s">
        <v>1756</v>
      </c>
      <c r="F450" t="s">
        <v>216</v>
      </c>
      <c r="G450" t="s">
        <v>246</v>
      </c>
      <c r="J450" t="s">
        <v>247</v>
      </c>
      <c r="K450">
        <v>2024</v>
      </c>
      <c r="L450">
        <v>202420</v>
      </c>
      <c r="M450">
        <v>202420</v>
      </c>
      <c r="N450" t="s">
        <v>248</v>
      </c>
      <c r="O450" t="s">
        <v>214</v>
      </c>
      <c r="P450" t="s">
        <v>446</v>
      </c>
      <c r="Q450" t="s">
        <v>216</v>
      </c>
      <c r="R450" t="s">
        <v>246</v>
      </c>
      <c r="S450" t="s">
        <v>279</v>
      </c>
      <c r="T450" s="70" t="str">
        <f>_xlfn.XLOOKUP(Tabla1[[#This Row],[Universidad]],Conversiones!$B:$B,Conversiones!$C:$C)</f>
        <v>Toulouse Business School</v>
      </c>
      <c r="U450" s="70" t="str">
        <f>_xlfn.XLOOKUP(Tabla1[[#This Row],[Universidad KPIs]],Conversiones!$C:$C,Conversiones!$E:$E)</f>
        <v>Específico</v>
      </c>
      <c r="V450" t="s">
        <v>41</v>
      </c>
      <c r="W450" t="s">
        <v>250</v>
      </c>
      <c r="X450" s="2">
        <v>45509</v>
      </c>
      <c r="Y450" s="2">
        <v>45626</v>
      </c>
      <c r="Z450">
        <v>117</v>
      </c>
      <c r="AA450" s="2"/>
    </row>
    <row r="451" spans="1:27">
      <c r="A451" s="68" t="s">
        <v>1901</v>
      </c>
      <c r="B451" s="1">
        <v>201812978</v>
      </c>
      <c r="C451" s="1" t="s">
        <v>1902</v>
      </c>
      <c r="D451" s="1" t="s">
        <v>1903</v>
      </c>
      <c r="E451" s="1" t="s">
        <v>1904</v>
      </c>
      <c r="F451" s="1" t="s">
        <v>216</v>
      </c>
      <c r="G451" s="1" t="s">
        <v>246</v>
      </c>
      <c r="H451" s="1"/>
      <c r="I451" s="1"/>
      <c r="J451" s="1" t="s">
        <v>247</v>
      </c>
      <c r="K451" s="1">
        <v>2024</v>
      </c>
      <c r="L451" s="1">
        <v>202420</v>
      </c>
      <c r="M451" s="1">
        <v>202420</v>
      </c>
      <c r="N451" s="1" t="s">
        <v>248</v>
      </c>
      <c r="O451" s="1" t="s">
        <v>214</v>
      </c>
      <c r="P451" s="1" t="s">
        <v>446</v>
      </c>
      <c r="Q451" s="1" t="s">
        <v>216</v>
      </c>
      <c r="R451" s="1" t="s">
        <v>246</v>
      </c>
      <c r="S451" s="1" t="s">
        <v>279</v>
      </c>
      <c r="T451" s="70" t="str">
        <f>_xlfn.XLOOKUP(Tabla1[[#This Row],[Universidad]],Conversiones!$B:$B,Conversiones!$C:$C)</f>
        <v>Toulouse Business School</v>
      </c>
      <c r="U451" s="70" t="str">
        <f>_xlfn.XLOOKUP(Tabla1[[#This Row],[Universidad KPIs]],Conversiones!$C:$C,Conversiones!$E:$E)</f>
        <v>Específico</v>
      </c>
      <c r="V451" s="1" t="s">
        <v>41</v>
      </c>
      <c r="W451" s="1" t="s">
        <v>250</v>
      </c>
      <c r="X451" s="55">
        <v>45509</v>
      </c>
      <c r="Y451" s="55">
        <v>45626</v>
      </c>
      <c r="Z451" s="1">
        <v>117</v>
      </c>
      <c r="AA451" s="2"/>
    </row>
    <row r="452" spans="1:27">
      <c r="A452" s="67" t="s">
        <v>1905</v>
      </c>
      <c r="B452">
        <v>202122210</v>
      </c>
      <c r="C452" t="s">
        <v>1906</v>
      </c>
      <c r="D452" t="s">
        <v>1907</v>
      </c>
      <c r="E452" t="s">
        <v>1908</v>
      </c>
      <c r="F452" t="s">
        <v>216</v>
      </c>
      <c r="G452" t="s">
        <v>246</v>
      </c>
      <c r="H452" t="s">
        <v>460</v>
      </c>
      <c r="I452" t="s">
        <v>461</v>
      </c>
      <c r="J452" t="s">
        <v>247</v>
      </c>
      <c r="K452">
        <v>2024</v>
      </c>
      <c r="L452">
        <v>202420</v>
      </c>
      <c r="M452">
        <v>202420</v>
      </c>
      <c r="N452" t="s">
        <v>248</v>
      </c>
      <c r="O452" t="s">
        <v>213</v>
      </c>
      <c r="P452" t="s">
        <v>249</v>
      </c>
      <c r="Q452" t="s">
        <v>216</v>
      </c>
      <c r="R452" t="s">
        <v>246</v>
      </c>
      <c r="S452" t="s">
        <v>279</v>
      </c>
      <c r="T452" s="70" t="str">
        <f>_xlfn.XLOOKUP(Tabla1[[#This Row],[Universidad]],Conversiones!$B:$B,Conversiones!$C:$C)</f>
        <v>Toulouse Business School</v>
      </c>
      <c r="U452" s="70" t="str">
        <f>_xlfn.XLOOKUP(Tabla1[[#This Row],[Universidad KPIs]],Conversiones!$C:$C,Conversiones!$E:$E)</f>
        <v>Específico</v>
      </c>
      <c r="V452" t="s">
        <v>41</v>
      </c>
      <c r="W452" t="s">
        <v>250</v>
      </c>
      <c r="X452" s="2">
        <v>45509</v>
      </c>
      <c r="Y452" s="2">
        <v>45626</v>
      </c>
      <c r="Z452">
        <v>117</v>
      </c>
      <c r="AA452" s="2"/>
    </row>
    <row r="453" spans="1:27">
      <c r="A453" s="68" t="s">
        <v>1909</v>
      </c>
      <c r="B453" s="1">
        <v>202021255</v>
      </c>
      <c r="C453" s="1" t="s">
        <v>376</v>
      </c>
      <c r="D453" s="1" t="s">
        <v>1910</v>
      </c>
      <c r="E453" s="1" t="s">
        <v>1911</v>
      </c>
      <c r="F453" s="1" t="s">
        <v>216</v>
      </c>
      <c r="G453" s="1" t="s">
        <v>246</v>
      </c>
      <c r="H453" s="1"/>
      <c r="I453" s="1"/>
      <c r="J453" s="1" t="s">
        <v>247</v>
      </c>
      <c r="K453" s="1">
        <v>2024</v>
      </c>
      <c r="L453" s="1">
        <v>202420</v>
      </c>
      <c r="M453" s="1">
        <v>202420</v>
      </c>
      <c r="N453" s="1" t="s">
        <v>248</v>
      </c>
      <c r="O453" s="1" t="s">
        <v>214</v>
      </c>
      <c r="P453" s="1" t="s">
        <v>446</v>
      </c>
      <c r="Q453" s="1" t="s">
        <v>216</v>
      </c>
      <c r="R453" s="1" t="s">
        <v>246</v>
      </c>
      <c r="S453" s="1" t="s">
        <v>279</v>
      </c>
      <c r="T453" s="70" t="str">
        <f>_xlfn.XLOOKUP(Tabla1[[#This Row],[Universidad]],Conversiones!$B:$B,Conversiones!$C:$C)</f>
        <v>Toulouse Business School</v>
      </c>
      <c r="U453" s="70" t="str">
        <f>_xlfn.XLOOKUP(Tabla1[[#This Row],[Universidad KPIs]],Conversiones!$C:$C,Conversiones!$E:$E)</f>
        <v>Específico</v>
      </c>
      <c r="V453" s="1" t="s">
        <v>41</v>
      </c>
      <c r="W453" s="1" t="s">
        <v>250</v>
      </c>
      <c r="X453" s="55">
        <v>45509</v>
      </c>
      <c r="Y453" s="55">
        <v>45626</v>
      </c>
      <c r="Z453" s="1">
        <v>117</v>
      </c>
      <c r="AA453" s="2"/>
    </row>
    <row r="454" spans="1:27">
      <c r="A454" s="67" t="s">
        <v>1912</v>
      </c>
      <c r="B454">
        <v>202115471</v>
      </c>
      <c r="C454" t="s">
        <v>853</v>
      </c>
      <c r="D454" t="s">
        <v>1913</v>
      </c>
      <c r="E454" t="s">
        <v>1914</v>
      </c>
      <c r="F454" t="s">
        <v>216</v>
      </c>
      <c r="G454" t="s">
        <v>246</v>
      </c>
      <c r="J454" t="s">
        <v>247</v>
      </c>
      <c r="K454">
        <v>2024</v>
      </c>
      <c r="L454">
        <v>202420</v>
      </c>
      <c r="M454">
        <v>202420</v>
      </c>
      <c r="N454" t="s">
        <v>248</v>
      </c>
      <c r="O454" t="s">
        <v>214</v>
      </c>
      <c r="P454" t="s">
        <v>446</v>
      </c>
      <c r="Q454" t="s">
        <v>216</v>
      </c>
      <c r="R454" t="s">
        <v>246</v>
      </c>
      <c r="S454" t="s">
        <v>279</v>
      </c>
      <c r="T454" s="70" t="str">
        <f>_xlfn.XLOOKUP(Tabla1[[#This Row],[Universidad]],Conversiones!$B:$B,Conversiones!$C:$C)</f>
        <v>Toulouse Business School</v>
      </c>
      <c r="U454" s="70" t="str">
        <f>_xlfn.XLOOKUP(Tabla1[[#This Row],[Universidad KPIs]],Conversiones!$C:$C,Conversiones!$E:$E)</f>
        <v>Específico</v>
      </c>
      <c r="V454" t="s">
        <v>41</v>
      </c>
      <c r="W454" t="s">
        <v>250</v>
      </c>
      <c r="X454" s="2">
        <v>45509</v>
      </c>
      <c r="Y454" s="2">
        <v>45626</v>
      </c>
      <c r="Z454">
        <v>117</v>
      </c>
      <c r="AA454" s="2"/>
    </row>
    <row r="455" spans="1:27">
      <c r="A455" s="68" t="s">
        <v>1915</v>
      </c>
      <c r="B455" s="1">
        <v>201814957</v>
      </c>
      <c r="C455" s="1" t="s">
        <v>1028</v>
      </c>
      <c r="D455" s="1" t="s">
        <v>1916</v>
      </c>
      <c r="E455" s="1" t="s">
        <v>1917</v>
      </c>
      <c r="F455" s="1" t="s">
        <v>216</v>
      </c>
      <c r="G455" s="1" t="s">
        <v>246</v>
      </c>
      <c r="H455" s="1"/>
      <c r="I455" s="1"/>
      <c r="J455" s="1" t="s">
        <v>247</v>
      </c>
      <c r="K455" s="1">
        <v>2024</v>
      </c>
      <c r="L455" s="1">
        <v>202420</v>
      </c>
      <c r="M455" s="1">
        <v>202420</v>
      </c>
      <c r="N455" s="1" t="s">
        <v>248</v>
      </c>
      <c r="O455" s="1" t="s">
        <v>214</v>
      </c>
      <c r="P455" s="1" t="s">
        <v>446</v>
      </c>
      <c r="Q455" s="1" t="s">
        <v>216</v>
      </c>
      <c r="R455" s="1" t="s">
        <v>246</v>
      </c>
      <c r="S455" s="1" t="s">
        <v>279</v>
      </c>
      <c r="T455" s="70" t="str">
        <f>_xlfn.XLOOKUP(Tabla1[[#This Row],[Universidad]],Conversiones!$B:$B,Conversiones!$C:$C)</f>
        <v>Toulouse Business School</v>
      </c>
      <c r="U455" s="70" t="str">
        <f>_xlfn.XLOOKUP(Tabla1[[#This Row],[Universidad KPIs]],Conversiones!$C:$C,Conversiones!$E:$E)</f>
        <v>Específico</v>
      </c>
      <c r="V455" s="1" t="s">
        <v>41</v>
      </c>
      <c r="W455" s="1" t="s">
        <v>250</v>
      </c>
      <c r="X455" s="55">
        <v>45509</v>
      </c>
      <c r="Y455" s="55">
        <v>45626</v>
      </c>
      <c r="Z455" s="1">
        <v>117</v>
      </c>
      <c r="AA455" s="2"/>
    </row>
    <row r="456" spans="1:27">
      <c r="A456" s="67" t="s">
        <v>1918</v>
      </c>
      <c r="B456">
        <v>202022226</v>
      </c>
      <c r="C456" t="s">
        <v>720</v>
      </c>
      <c r="D456" t="s">
        <v>1919</v>
      </c>
      <c r="E456" t="s">
        <v>1920</v>
      </c>
      <c r="F456" t="s">
        <v>216</v>
      </c>
      <c r="G456" t="s">
        <v>246</v>
      </c>
      <c r="J456" t="s">
        <v>247</v>
      </c>
      <c r="K456">
        <v>2024</v>
      </c>
      <c r="L456">
        <v>202420</v>
      </c>
      <c r="M456">
        <v>202420</v>
      </c>
      <c r="N456" t="s">
        <v>248</v>
      </c>
      <c r="O456" t="s">
        <v>214</v>
      </c>
      <c r="P456" t="s">
        <v>446</v>
      </c>
      <c r="Q456" t="s">
        <v>216</v>
      </c>
      <c r="R456" t="s">
        <v>246</v>
      </c>
      <c r="S456" t="s">
        <v>279</v>
      </c>
      <c r="T456" s="70" t="str">
        <f>_xlfn.XLOOKUP(Tabla1[[#This Row],[Universidad]],Conversiones!$B:$B,Conversiones!$C:$C)</f>
        <v>Toulouse Business School</v>
      </c>
      <c r="U456" s="70" t="str">
        <f>_xlfn.XLOOKUP(Tabla1[[#This Row],[Universidad KPIs]],Conversiones!$C:$C,Conversiones!$E:$E)</f>
        <v>Específico</v>
      </c>
      <c r="V456" t="s">
        <v>41</v>
      </c>
      <c r="W456" t="s">
        <v>250</v>
      </c>
      <c r="X456" s="2">
        <v>45509</v>
      </c>
      <c r="Y456" s="2">
        <v>45626</v>
      </c>
      <c r="Z456">
        <v>117</v>
      </c>
      <c r="AA456" s="2"/>
    </row>
    <row r="457" spans="1:27">
      <c r="A457" s="68" t="s">
        <v>1921</v>
      </c>
      <c r="B457" s="1">
        <v>202021816</v>
      </c>
      <c r="C457" s="1" t="s">
        <v>853</v>
      </c>
      <c r="D457" s="1" t="s">
        <v>1922</v>
      </c>
      <c r="E457" s="1" t="s">
        <v>1923</v>
      </c>
      <c r="F457" s="1" t="s">
        <v>216</v>
      </c>
      <c r="G457" s="1" t="s">
        <v>246</v>
      </c>
      <c r="H457" s="1"/>
      <c r="I457" s="1"/>
      <c r="J457" s="1" t="s">
        <v>247</v>
      </c>
      <c r="K457" s="1">
        <v>2024</v>
      </c>
      <c r="L457" s="1">
        <v>202420</v>
      </c>
      <c r="M457" s="1">
        <v>202420</v>
      </c>
      <c r="N457" s="1" t="s">
        <v>248</v>
      </c>
      <c r="O457" s="1" t="s">
        <v>214</v>
      </c>
      <c r="P457" s="1" t="s">
        <v>446</v>
      </c>
      <c r="Q457" s="1" t="s">
        <v>216</v>
      </c>
      <c r="R457" s="1" t="s">
        <v>246</v>
      </c>
      <c r="S457" s="1" t="s">
        <v>738</v>
      </c>
      <c r="T457" s="70" t="str">
        <f>_xlfn.XLOOKUP(Tabla1[[#This Row],[Universidad]],Conversiones!$B:$B,Conversiones!$C:$C)</f>
        <v>Universidad de Tilburg</v>
      </c>
      <c r="U457" s="70" t="str">
        <f>_xlfn.XLOOKUP(Tabla1[[#This Row],[Universidad KPIs]],Conversiones!$C:$C,Conversiones!$E:$E)</f>
        <v>Específico</v>
      </c>
      <c r="V457" s="1" t="s">
        <v>79</v>
      </c>
      <c r="W457" s="1" t="s">
        <v>250</v>
      </c>
      <c r="X457" s="55">
        <v>45509</v>
      </c>
      <c r="Y457" s="55">
        <v>45626</v>
      </c>
      <c r="Z457" s="1">
        <v>117</v>
      </c>
      <c r="AA457" s="2"/>
    </row>
    <row r="458" spans="1:27">
      <c r="A458" s="67" t="s">
        <v>1924</v>
      </c>
      <c r="B458">
        <v>202225152</v>
      </c>
      <c r="C458" t="s">
        <v>1925</v>
      </c>
      <c r="D458" t="s">
        <v>1926</v>
      </c>
      <c r="E458" t="s">
        <v>1927</v>
      </c>
      <c r="F458" t="s">
        <v>219</v>
      </c>
      <c r="G458" t="s">
        <v>246</v>
      </c>
      <c r="J458" t="s">
        <v>247</v>
      </c>
      <c r="K458">
        <v>2024</v>
      </c>
      <c r="L458">
        <v>202420</v>
      </c>
      <c r="M458">
        <v>202420</v>
      </c>
      <c r="N458" t="s">
        <v>587</v>
      </c>
      <c r="O458" t="s">
        <v>213</v>
      </c>
      <c r="P458" t="s">
        <v>1491</v>
      </c>
      <c r="Q458" t="s">
        <v>219</v>
      </c>
      <c r="R458" t="s">
        <v>246</v>
      </c>
      <c r="S458" t="s">
        <v>78</v>
      </c>
      <c r="T458" s="70" t="str">
        <f>_xlfn.XLOOKUP(Tabla1[[#This Row],[Universidad]],Conversiones!$B:$B,Conversiones!$C:$C)</f>
        <v>Maastricht University</v>
      </c>
      <c r="U458" s="70" t="str">
        <f>_xlfn.XLOOKUP(Tabla1[[#This Row],[Universidad KPIs]],Conversiones!$C:$C,Conversiones!$E:$E)</f>
        <v>Específico</v>
      </c>
      <c r="V458" t="s">
        <v>79</v>
      </c>
      <c r="W458" t="s">
        <v>250</v>
      </c>
      <c r="X458" s="2">
        <v>45509</v>
      </c>
      <c r="Y458" s="2">
        <v>45626</v>
      </c>
      <c r="Z458">
        <v>117</v>
      </c>
      <c r="AA458" s="2"/>
    </row>
    <row r="459" spans="1:27">
      <c r="A459" s="68" t="s">
        <v>1928</v>
      </c>
      <c r="B459" s="1">
        <v>202122269</v>
      </c>
      <c r="C459" s="1" t="s">
        <v>1929</v>
      </c>
      <c r="D459" s="1" t="s">
        <v>1930</v>
      </c>
      <c r="E459" s="1" t="s">
        <v>1931</v>
      </c>
      <c r="F459" s="1" t="s">
        <v>216</v>
      </c>
      <c r="G459" s="1" t="s">
        <v>246</v>
      </c>
      <c r="H459" s="1" t="s">
        <v>460</v>
      </c>
      <c r="I459" s="1" t="s">
        <v>461</v>
      </c>
      <c r="J459" s="1" t="s">
        <v>247</v>
      </c>
      <c r="K459" s="1">
        <v>2024</v>
      </c>
      <c r="L459" s="1">
        <v>202420</v>
      </c>
      <c r="M459" s="1">
        <v>202420</v>
      </c>
      <c r="N459" s="1" t="s">
        <v>248</v>
      </c>
      <c r="O459" s="1" t="s">
        <v>213</v>
      </c>
      <c r="P459" s="1" t="s">
        <v>249</v>
      </c>
      <c r="Q459" s="1" t="s">
        <v>216</v>
      </c>
      <c r="R459" s="1" t="s">
        <v>246</v>
      </c>
      <c r="S459" s="1" t="s">
        <v>89</v>
      </c>
      <c r="T459" s="70" t="str">
        <f>_xlfn.XLOOKUP(Tabla1[[#This Row],[Universidad]],Conversiones!$B:$B,Conversiones!$C:$C)</f>
        <v>Queensland University of Technology</v>
      </c>
      <c r="U459" s="70" t="str">
        <f>_xlfn.XLOOKUP(Tabla1[[#This Row],[Universidad KPIs]],Conversiones!$C:$C,Conversiones!$E:$E)</f>
        <v>Específico</v>
      </c>
      <c r="V459" s="1" t="s">
        <v>90</v>
      </c>
      <c r="W459" s="1" t="s">
        <v>354</v>
      </c>
      <c r="X459" s="55">
        <v>45509</v>
      </c>
      <c r="Y459" s="55">
        <v>45626</v>
      </c>
      <c r="Z459" s="1">
        <v>117</v>
      </c>
      <c r="AA459" s="2"/>
    </row>
    <row r="460" spans="1:27">
      <c r="A460" s="67" t="s">
        <v>1932</v>
      </c>
      <c r="B460">
        <v>202022733</v>
      </c>
      <c r="C460" t="s">
        <v>946</v>
      </c>
      <c r="D460" t="s">
        <v>1933</v>
      </c>
      <c r="E460" t="s">
        <v>1934</v>
      </c>
      <c r="F460" t="s">
        <v>216</v>
      </c>
      <c r="G460" t="s">
        <v>246</v>
      </c>
      <c r="J460" t="s">
        <v>247</v>
      </c>
      <c r="K460">
        <v>2024</v>
      </c>
      <c r="L460">
        <v>202420</v>
      </c>
      <c r="M460">
        <v>202420</v>
      </c>
      <c r="N460" t="s">
        <v>248</v>
      </c>
      <c r="O460" t="s">
        <v>213</v>
      </c>
      <c r="P460" t="s">
        <v>249</v>
      </c>
      <c r="Q460" t="s">
        <v>216</v>
      </c>
      <c r="R460" t="s">
        <v>246</v>
      </c>
      <c r="S460" t="s">
        <v>89</v>
      </c>
      <c r="T460" s="70" t="str">
        <f>_xlfn.XLOOKUP(Tabla1[[#This Row],[Universidad]],Conversiones!$B:$B,Conversiones!$C:$C)</f>
        <v>Queensland University of Technology</v>
      </c>
      <c r="U460" s="70" t="str">
        <f>_xlfn.XLOOKUP(Tabla1[[#This Row],[Universidad KPIs]],Conversiones!$C:$C,Conversiones!$E:$E)</f>
        <v>Específico</v>
      </c>
      <c r="V460" t="s">
        <v>90</v>
      </c>
      <c r="W460" t="s">
        <v>354</v>
      </c>
      <c r="X460" s="2">
        <v>45509</v>
      </c>
      <c r="Y460" s="2">
        <v>45626</v>
      </c>
      <c r="Z460">
        <v>117</v>
      </c>
      <c r="AA460" s="2"/>
    </row>
    <row r="461" spans="1:27">
      <c r="A461" s="68" t="s">
        <v>1935</v>
      </c>
      <c r="B461" s="1">
        <v>202124104</v>
      </c>
      <c r="C461" s="1" t="s">
        <v>546</v>
      </c>
      <c r="D461" s="1" t="s">
        <v>1936</v>
      </c>
      <c r="E461" s="1" t="s">
        <v>1937</v>
      </c>
      <c r="F461" s="1" t="s">
        <v>216</v>
      </c>
      <c r="G461" s="1" t="s">
        <v>246</v>
      </c>
      <c r="H461" s="1" t="s">
        <v>460</v>
      </c>
      <c r="I461" s="1" t="s">
        <v>461</v>
      </c>
      <c r="J461" s="1" t="s">
        <v>247</v>
      </c>
      <c r="K461" s="1">
        <v>2024</v>
      </c>
      <c r="L461" s="1">
        <v>202420</v>
      </c>
      <c r="M461" s="1">
        <v>202420</v>
      </c>
      <c r="N461" s="1" t="s">
        <v>248</v>
      </c>
      <c r="O461" s="1" t="s">
        <v>213</v>
      </c>
      <c r="P461" s="1" t="s">
        <v>249</v>
      </c>
      <c r="Q461" s="1" t="s">
        <v>216</v>
      </c>
      <c r="R461" s="1" t="s">
        <v>246</v>
      </c>
      <c r="S461" s="1" t="s">
        <v>86</v>
      </c>
      <c r="T461" s="70" t="str">
        <f>_xlfn.XLOOKUP(Tabla1[[#This Row],[Universidad]],Conversiones!$B:$B,Conversiones!$C:$C)</f>
        <v>Politecnico di Milano</v>
      </c>
      <c r="U461" s="70" t="str">
        <f>_xlfn.XLOOKUP(Tabla1[[#This Row],[Universidad KPIs]],Conversiones!$C:$C,Conversiones!$E:$E)</f>
        <v>Específico</v>
      </c>
      <c r="V461" s="1" t="s">
        <v>87</v>
      </c>
      <c r="W461" s="1" t="s">
        <v>250</v>
      </c>
      <c r="X461" s="55">
        <v>45509</v>
      </c>
      <c r="Y461" s="55">
        <v>45626</v>
      </c>
      <c r="Z461" s="1">
        <v>117</v>
      </c>
      <c r="AA461" s="2"/>
    </row>
    <row r="462" spans="1:27">
      <c r="A462" s="67" t="s">
        <v>1938</v>
      </c>
      <c r="B462">
        <v>202021749</v>
      </c>
      <c r="C462" t="s">
        <v>1898</v>
      </c>
      <c r="D462" t="s">
        <v>1939</v>
      </c>
      <c r="E462" t="s">
        <v>1940</v>
      </c>
      <c r="F462" t="s">
        <v>216</v>
      </c>
      <c r="G462" t="s">
        <v>246</v>
      </c>
      <c r="H462" t="s">
        <v>460</v>
      </c>
      <c r="I462" t="s">
        <v>461</v>
      </c>
      <c r="J462" t="s">
        <v>247</v>
      </c>
      <c r="K462">
        <v>2024</v>
      </c>
      <c r="L462">
        <v>202420</v>
      </c>
      <c r="M462">
        <v>202420</v>
      </c>
      <c r="N462" t="s">
        <v>248</v>
      </c>
      <c r="O462" t="s">
        <v>213</v>
      </c>
      <c r="P462" t="s">
        <v>249</v>
      </c>
      <c r="Q462" t="s">
        <v>216</v>
      </c>
      <c r="R462" t="s">
        <v>246</v>
      </c>
      <c r="S462" t="s">
        <v>86</v>
      </c>
      <c r="T462" s="70" t="str">
        <f>_xlfn.XLOOKUP(Tabla1[[#This Row],[Universidad]],Conversiones!$B:$B,Conversiones!$C:$C)</f>
        <v>Politecnico di Milano</v>
      </c>
      <c r="U462" s="70" t="str">
        <f>_xlfn.XLOOKUP(Tabla1[[#This Row],[Universidad KPIs]],Conversiones!$C:$C,Conversiones!$E:$E)</f>
        <v>Específico</v>
      </c>
      <c r="V462" t="s">
        <v>87</v>
      </c>
      <c r="W462" t="s">
        <v>250</v>
      </c>
      <c r="X462" s="2">
        <v>45509</v>
      </c>
      <c r="Y462" s="2">
        <v>45626</v>
      </c>
      <c r="Z462">
        <v>117</v>
      </c>
      <c r="AA462" s="2"/>
    </row>
    <row r="463" spans="1:27">
      <c r="A463" s="68" t="s">
        <v>1941</v>
      </c>
      <c r="B463" s="1">
        <v>202213826</v>
      </c>
      <c r="C463" s="1" t="s">
        <v>728</v>
      </c>
      <c r="D463" s="1" t="s">
        <v>1942</v>
      </c>
      <c r="E463" s="1" t="s">
        <v>1943</v>
      </c>
      <c r="F463" s="1" t="s">
        <v>216</v>
      </c>
      <c r="G463" s="1" t="s">
        <v>246</v>
      </c>
      <c r="H463" s="1"/>
      <c r="I463" s="1"/>
      <c r="J463" s="1" t="s">
        <v>247</v>
      </c>
      <c r="K463" s="1">
        <v>2024</v>
      </c>
      <c r="L463" s="1">
        <v>202420</v>
      </c>
      <c r="M463" s="1">
        <v>202420</v>
      </c>
      <c r="N463" s="1" t="s">
        <v>248</v>
      </c>
      <c r="O463" s="1" t="s">
        <v>213</v>
      </c>
      <c r="P463" s="1" t="s">
        <v>249</v>
      </c>
      <c r="Q463" s="1" t="s">
        <v>216</v>
      </c>
      <c r="R463" s="1" t="s">
        <v>246</v>
      </c>
      <c r="S463" s="1" t="s">
        <v>255</v>
      </c>
      <c r="T463" s="70" t="str">
        <f>_xlfn.XLOOKUP(Tabla1[[#This Row],[Universidad]],Conversiones!$B:$B,Conversiones!$C:$C)</f>
        <v>ESC Rouen (NEOMA)</v>
      </c>
      <c r="U463" s="70" t="str">
        <f>_xlfn.XLOOKUP(Tabla1[[#This Row],[Universidad KPIs]],Conversiones!$C:$C,Conversiones!$E:$E)</f>
        <v>Específico</v>
      </c>
      <c r="V463" s="1" t="s">
        <v>41</v>
      </c>
      <c r="W463" s="1" t="s">
        <v>250</v>
      </c>
      <c r="X463" s="55">
        <v>45509</v>
      </c>
      <c r="Y463" s="55">
        <v>45626</v>
      </c>
      <c r="Z463" s="1">
        <v>117</v>
      </c>
      <c r="AA463" s="2"/>
    </row>
    <row r="464" spans="1:27">
      <c r="A464" s="67" t="s">
        <v>1944</v>
      </c>
      <c r="B464">
        <v>202122898</v>
      </c>
      <c r="C464" t="s">
        <v>1945</v>
      </c>
      <c r="D464" t="s">
        <v>1946</v>
      </c>
      <c r="E464" t="s">
        <v>1947</v>
      </c>
      <c r="F464" t="s">
        <v>216</v>
      </c>
      <c r="G464" t="s">
        <v>246</v>
      </c>
      <c r="J464" t="s">
        <v>247</v>
      </c>
      <c r="K464">
        <v>2024</v>
      </c>
      <c r="L464">
        <v>202420</v>
      </c>
      <c r="M464">
        <v>202420</v>
      </c>
      <c r="N464" t="s">
        <v>248</v>
      </c>
      <c r="O464" t="s">
        <v>213</v>
      </c>
      <c r="P464" t="s">
        <v>249</v>
      </c>
      <c r="Q464" t="s">
        <v>216</v>
      </c>
      <c r="R464" t="s">
        <v>246</v>
      </c>
      <c r="S464" t="s">
        <v>1517</v>
      </c>
      <c r="T464" s="70" t="str">
        <f>_xlfn.XLOOKUP(Tabla1[[#This Row],[Universidad]],Conversiones!$B:$B,Conversiones!$C:$C)</f>
        <v>NCCU- National Chengchi University</v>
      </c>
      <c r="U464" s="70" t="str">
        <f>_xlfn.XLOOKUP(Tabla1[[#This Row],[Universidad KPIs]],Conversiones!$C:$C,Conversiones!$E:$E)</f>
        <v>Específico</v>
      </c>
      <c r="V464" t="s">
        <v>82</v>
      </c>
      <c r="W464" t="s">
        <v>537</v>
      </c>
      <c r="X464" s="2">
        <v>45509</v>
      </c>
      <c r="Y464" s="2">
        <v>45626</v>
      </c>
      <c r="Z464">
        <v>117</v>
      </c>
      <c r="AA464" s="2"/>
    </row>
    <row r="465" spans="1:27">
      <c r="A465" s="68" t="s">
        <v>1948</v>
      </c>
      <c r="B465" s="1">
        <v>202022535</v>
      </c>
      <c r="C465" s="1" t="s">
        <v>1949</v>
      </c>
      <c r="D465" s="1" t="s">
        <v>1950</v>
      </c>
      <c r="E465" s="1" t="s">
        <v>1951</v>
      </c>
      <c r="F465" s="1" t="s">
        <v>216</v>
      </c>
      <c r="G465" s="1" t="s">
        <v>246</v>
      </c>
      <c r="H465" s="1"/>
      <c r="I465" s="1"/>
      <c r="J465" s="1" t="s">
        <v>247</v>
      </c>
      <c r="K465" s="1">
        <v>2024</v>
      </c>
      <c r="L465" s="1">
        <v>202420</v>
      </c>
      <c r="M465" s="1">
        <v>202420</v>
      </c>
      <c r="N465" s="1" t="s">
        <v>248</v>
      </c>
      <c r="O465" s="1" t="s">
        <v>213</v>
      </c>
      <c r="P465" s="1" t="s">
        <v>249</v>
      </c>
      <c r="Q465" s="1" t="s">
        <v>216</v>
      </c>
      <c r="R465" s="1" t="s">
        <v>246</v>
      </c>
      <c r="S465" s="1" t="s">
        <v>536</v>
      </c>
      <c r="T465" s="70" t="str">
        <f>_xlfn.XLOOKUP(Tabla1[[#This Row],[Universidad]],Conversiones!$B:$B,Conversiones!$C:$C)</f>
        <v>NUCB- Nagoya University of commerce and business</v>
      </c>
      <c r="U465" s="70" t="str">
        <f>_xlfn.XLOOKUP(Tabla1[[#This Row],[Universidad KPIs]],Conversiones!$C:$C,Conversiones!$E:$E)</f>
        <v>Específico</v>
      </c>
      <c r="V465" s="1" t="s">
        <v>85</v>
      </c>
      <c r="W465" s="1" t="s">
        <v>537</v>
      </c>
      <c r="X465" s="55">
        <v>45509</v>
      </c>
      <c r="Y465" s="55">
        <v>45626</v>
      </c>
      <c r="Z465" s="1">
        <v>117</v>
      </c>
      <c r="AA465" s="2"/>
    </row>
    <row r="466" spans="1:27">
      <c r="A466" s="67" t="s">
        <v>1952</v>
      </c>
      <c r="B466">
        <v>202213649</v>
      </c>
      <c r="C466" t="s">
        <v>713</v>
      </c>
      <c r="D466" t="s">
        <v>1953</v>
      </c>
      <c r="E466" t="s">
        <v>1954</v>
      </c>
      <c r="F466" t="s">
        <v>216</v>
      </c>
      <c r="G466" t="s">
        <v>246</v>
      </c>
      <c r="J466" t="s">
        <v>247</v>
      </c>
      <c r="K466">
        <v>2024</v>
      </c>
      <c r="L466">
        <v>202420</v>
      </c>
      <c r="M466">
        <v>202420</v>
      </c>
      <c r="N466" t="s">
        <v>248</v>
      </c>
      <c r="O466" t="s">
        <v>213</v>
      </c>
      <c r="P466" t="s">
        <v>249</v>
      </c>
      <c r="Q466" t="s">
        <v>216</v>
      </c>
      <c r="R466" t="s">
        <v>246</v>
      </c>
      <c r="S466" t="s">
        <v>80</v>
      </c>
      <c r="T466" s="70" t="str">
        <f>_xlfn.XLOOKUP(Tabla1[[#This Row],[Universidad]],Conversiones!$B:$B,Conversiones!$C:$C)</f>
        <v>McGill University</v>
      </c>
      <c r="U466" s="70" t="str">
        <f>_xlfn.XLOOKUP(Tabla1[[#This Row],[Universidad KPIs]],Conversiones!$C:$C,Conversiones!$E:$E)</f>
        <v>Específico</v>
      </c>
      <c r="V466" t="s">
        <v>58</v>
      </c>
      <c r="W466" t="s">
        <v>260</v>
      </c>
      <c r="X466" s="2">
        <v>45509</v>
      </c>
      <c r="Y466" s="2">
        <v>45626</v>
      </c>
      <c r="Z466">
        <v>117</v>
      </c>
      <c r="AA466" s="2"/>
    </row>
    <row r="467" spans="1:27">
      <c r="A467" s="68" t="s">
        <v>1955</v>
      </c>
      <c r="B467" s="1">
        <v>202111408</v>
      </c>
      <c r="C467" s="1" t="s">
        <v>434</v>
      </c>
      <c r="D467" s="1" t="s">
        <v>1956</v>
      </c>
      <c r="E467" s="1" t="s">
        <v>1957</v>
      </c>
      <c r="F467" s="1" t="s">
        <v>216</v>
      </c>
      <c r="G467" s="1" t="s">
        <v>246</v>
      </c>
      <c r="H467" s="1"/>
      <c r="I467" s="1"/>
      <c r="J467" s="1" t="s">
        <v>247</v>
      </c>
      <c r="K467" s="1">
        <v>2024</v>
      </c>
      <c r="L467" s="1">
        <v>202420</v>
      </c>
      <c r="M467" s="1">
        <v>202420</v>
      </c>
      <c r="N467" s="1" t="s">
        <v>248</v>
      </c>
      <c r="O467" s="1" t="s">
        <v>213</v>
      </c>
      <c r="P467" s="1" t="s">
        <v>249</v>
      </c>
      <c r="Q467" s="1" t="s">
        <v>216</v>
      </c>
      <c r="R467" s="1" t="s">
        <v>246</v>
      </c>
      <c r="S467" s="1" t="s">
        <v>80</v>
      </c>
      <c r="T467" s="70" t="str">
        <f>_xlfn.XLOOKUP(Tabla1[[#This Row],[Universidad]],Conversiones!$B:$B,Conversiones!$C:$C)</f>
        <v>McGill University</v>
      </c>
      <c r="U467" s="70" t="str">
        <f>_xlfn.XLOOKUP(Tabla1[[#This Row],[Universidad KPIs]],Conversiones!$C:$C,Conversiones!$E:$E)</f>
        <v>Específico</v>
      </c>
      <c r="V467" s="1" t="s">
        <v>58</v>
      </c>
      <c r="W467" s="1" t="s">
        <v>260</v>
      </c>
      <c r="X467" s="55">
        <v>45509</v>
      </c>
      <c r="Y467" s="55">
        <v>45626</v>
      </c>
      <c r="Z467" s="1">
        <v>117</v>
      </c>
      <c r="AA467" s="2"/>
    </row>
    <row r="468" spans="1:27">
      <c r="A468" s="67" t="s">
        <v>1958</v>
      </c>
      <c r="B468">
        <v>202121759</v>
      </c>
      <c r="C468" t="s">
        <v>243</v>
      </c>
      <c r="D468" t="s">
        <v>1959</v>
      </c>
      <c r="E468" t="s">
        <v>1960</v>
      </c>
      <c r="F468" t="s">
        <v>216</v>
      </c>
      <c r="G468" t="s">
        <v>246</v>
      </c>
      <c r="J468" t="s">
        <v>247</v>
      </c>
      <c r="K468">
        <v>2024</v>
      </c>
      <c r="L468">
        <v>202420</v>
      </c>
      <c r="M468">
        <v>202420</v>
      </c>
      <c r="N468" t="s">
        <v>248</v>
      </c>
      <c r="O468" t="s">
        <v>213</v>
      </c>
      <c r="P468" t="s">
        <v>249</v>
      </c>
      <c r="Q468" t="s">
        <v>216</v>
      </c>
      <c r="R468" t="s">
        <v>246</v>
      </c>
      <c r="S468" t="s">
        <v>78</v>
      </c>
      <c r="T468" s="70" t="str">
        <f>_xlfn.XLOOKUP(Tabla1[[#This Row],[Universidad]],Conversiones!$B:$B,Conversiones!$C:$C)</f>
        <v>Maastricht University</v>
      </c>
      <c r="U468" s="70" t="str">
        <f>_xlfn.XLOOKUP(Tabla1[[#This Row],[Universidad KPIs]],Conversiones!$C:$C,Conversiones!$E:$E)</f>
        <v>Específico</v>
      </c>
      <c r="V468" t="s">
        <v>79</v>
      </c>
      <c r="W468" t="s">
        <v>250</v>
      </c>
      <c r="X468" s="2">
        <v>45509</v>
      </c>
      <c r="Y468" s="2">
        <v>45626</v>
      </c>
      <c r="Z468">
        <v>117</v>
      </c>
      <c r="AA468" s="2"/>
    </row>
    <row r="469" spans="1:27">
      <c r="A469" s="68" t="s">
        <v>1961</v>
      </c>
      <c r="B469" s="1">
        <v>202121790</v>
      </c>
      <c r="C469" s="1" t="s">
        <v>295</v>
      </c>
      <c r="D469" s="1" t="s">
        <v>1962</v>
      </c>
      <c r="E469" s="1" t="s">
        <v>1963</v>
      </c>
      <c r="F469" s="1" t="s">
        <v>216</v>
      </c>
      <c r="G469" s="1" t="s">
        <v>246</v>
      </c>
      <c r="H469" s="1"/>
      <c r="I469" s="1"/>
      <c r="J469" s="1" t="s">
        <v>247</v>
      </c>
      <c r="K469" s="1">
        <v>2024</v>
      </c>
      <c r="L469" s="1">
        <v>202420</v>
      </c>
      <c r="M469" s="1">
        <v>202420</v>
      </c>
      <c r="N469" s="1" t="s">
        <v>248</v>
      </c>
      <c r="O469" s="1" t="s">
        <v>213</v>
      </c>
      <c r="P469" s="1" t="s">
        <v>249</v>
      </c>
      <c r="Q469" s="1" t="s">
        <v>216</v>
      </c>
      <c r="R469" s="1" t="s">
        <v>246</v>
      </c>
      <c r="S469" s="1" t="s">
        <v>78</v>
      </c>
      <c r="T469" s="70" t="str">
        <f>_xlfn.XLOOKUP(Tabla1[[#This Row],[Universidad]],Conversiones!$B:$B,Conversiones!$C:$C)</f>
        <v>Maastricht University</v>
      </c>
      <c r="U469" s="70" t="str">
        <f>_xlfn.XLOOKUP(Tabla1[[#This Row],[Universidad KPIs]],Conversiones!$C:$C,Conversiones!$E:$E)</f>
        <v>Específico</v>
      </c>
      <c r="V469" s="1" t="s">
        <v>79</v>
      </c>
      <c r="W469" s="1" t="s">
        <v>250</v>
      </c>
      <c r="X469" s="55">
        <v>45509</v>
      </c>
      <c r="Y469" s="55">
        <v>45626</v>
      </c>
      <c r="Z469" s="1">
        <v>117</v>
      </c>
      <c r="AA469" s="2"/>
    </row>
    <row r="470" spans="1:27">
      <c r="A470" s="67" t="s">
        <v>1964</v>
      </c>
      <c r="B470">
        <v>202120423</v>
      </c>
      <c r="C470" t="s">
        <v>659</v>
      </c>
      <c r="D470" t="s">
        <v>1965</v>
      </c>
      <c r="E470" t="s">
        <v>1966</v>
      </c>
      <c r="F470" t="s">
        <v>216</v>
      </c>
      <c r="G470" t="s">
        <v>246</v>
      </c>
      <c r="J470" t="s">
        <v>247</v>
      </c>
      <c r="K470">
        <v>2024</v>
      </c>
      <c r="L470">
        <v>202420</v>
      </c>
      <c r="M470">
        <v>202420</v>
      </c>
      <c r="N470" t="s">
        <v>248</v>
      </c>
      <c r="O470" t="s">
        <v>213</v>
      </c>
      <c r="P470" t="s">
        <v>249</v>
      </c>
      <c r="Q470" t="s">
        <v>216</v>
      </c>
      <c r="R470" t="s">
        <v>246</v>
      </c>
      <c r="S470" t="s">
        <v>78</v>
      </c>
      <c r="T470" s="70" t="str">
        <f>_xlfn.XLOOKUP(Tabla1[[#This Row],[Universidad]],Conversiones!$B:$B,Conversiones!$C:$C)</f>
        <v>Maastricht University</v>
      </c>
      <c r="U470" s="70" t="str">
        <f>_xlfn.XLOOKUP(Tabla1[[#This Row],[Universidad KPIs]],Conversiones!$C:$C,Conversiones!$E:$E)</f>
        <v>Específico</v>
      </c>
      <c r="V470" t="s">
        <v>79</v>
      </c>
      <c r="W470" t="s">
        <v>250</v>
      </c>
      <c r="X470" s="2">
        <v>45509</v>
      </c>
      <c r="Y470" s="2">
        <v>45626</v>
      </c>
      <c r="Z470">
        <v>117</v>
      </c>
      <c r="AA470" s="2"/>
    </row>
    <row r="471" spans="1:27">
      <c r="A471" s="68" t="s">
        <v>1967</v>
      </c>
      <c r="B471" s="1">
        <v>202022038</v>
      </c>
      <c r="C471" s="1" t="s">
        <v>385</v>
      </c>
      <c r="D471" s="1" t="s">
        <v>1968</v>
      </c>
      <c r="E471" s="1" t="s">
        <v>1969</v>
      </c>
      <c r="F471" s="1" t="s">
        <v>216</v>
      </c>
      <c r="G471" s="1" t="s">
        <v>246</v>
      </c>
      <c r="H471" s="1"/>
      <c r="I471" s="1"/>
      <c r="J471" s="1" t="s">
        <v>247</v>
      </c>
      <c r="K471" s="1">
        <v>2024</v>
      </c>
      <c r="L471" s="1">
        <v>202420</v>
      </c>
      <c r="M471" s="1">
        <v>202420</v>
      </c>
      <c r="N471" s="1" t="s">
        <v>248</v>
      </c>
      <c r="O471" s="1" t="s">
        <v>213</v>
      </c>
      <c r="P471" s="1" t="s">
        <v>249</v>
      </c>
      <c r="Q471" s="1" t="s">
        <v>216</v>
      </c>
      <c r="R471" s="1" t="s">
        <v>246</v>
      </c>
      <c r="S471" s="1" t="s">
        <v>78</v>
      </c>
      <c r="T471" s="70" t="str">
        <f>_xlfn.XLOOKUP(Tabla1[[#This Row],[Universidad]],Conversiones!$B:$B,Conversiones!$C:$C)</f>
        <v>Maastricht University</v>
      </c>
      <c r="U471" s="70" t="str">
        <f>_xlfn.XLOOKUP(Tabla1[[#This Row],[Universidad KPIs]],Conversiones!$C:$C,Conversiones!$E:$E)</f>
        <v>Específico</v>
      </c>
      <c r="V471" s="1" t="s">
        <v>79</v>
      </c>
      <c r="W471" s="1" t="s">
        <v>250</v>
      </c>
      <c r="X471" s="55">
        <v>45509</v>
      </c>
      <c r="Y471" s="55">
        <v>45626</v>
      </c>
      <c r="Z471" s="1">
        <v>117</v>
      </c>
      <c r="AA471" s="2"/>
    </row>
    <row r="472" spans="1:27">
      <c r="A472" s="67" t="s">
        <v>1970</v>
      </c>
      <c r="B472">
        <v>202112969</v>
      </c>
      <c r="C472" t="s">
        <v>728</v>
      </c>
      <c r="D472" t="s">
        <v>1971</v>
      </c>
      <c r="E472" t="s">
        <v>1972</v>
      </c>
      <c r="F472" t="s">
        <v>216</v>
      </c>
      <c r="G472" t="s">
        <v>246</v>
      </c>
      <c r="H472" t="s">
        <v>617</v>
      </c>
      <c r="I472" t="s">
        <v>618</v>
      </c>
      <c r="J472" t="s">
        <v>247</v>
      </c>
      <c r="K472">
        <v>2024</v>
      </c>
      <c r="L472">
        <v>202420</v>
      </c>
      <c r="M472">
        <v>202420</v>
      </c>
      <c r="N472" t="s">
        <v>248</v>
      </c>
      <c r="O472" t="s">
        <v>213</v>
      </c>
      <c r="P472" t="s">
        <v>249</v>
      </c>
      <c r="Q472" t="s">
        <v>216</v>
      </c>
      <c r="R472" t="s">
        <v>246</v>
      </c>
      <c r="S472" t="s">
        <v>78</v>
      </c>
      <c r="T472" s="70" t="str">
        <f>_xlfn.XLOOKUP(Tabla1[[#This Row],[Universidad]],Conversiones!$B:$B,Conversiones!$C:$C)</f>
        <v>Maastricht University</v>
      </c>
      <c r="U472" s="70" t="str">
        <f>_xlfn.XLOOKUP(Tabla1[[#This Row],[Universidad KPIs]],Conversiones!$C:$C,Conversiones!$E:$E)</f>
        <v>Específico</v>
      </c>
      <c r="V472" t="s">
        <v>79</v>
      </c>
      <c r="W472" t="s">
        <v>250</v>
      </c>
      <c r="X472" s="2">
        <v>45509</v>
      </c>
      <c r="Y472" s="2">
        <v>45626</v>
      </c>
      <c r="Z472">
        <v>117</v>
      </c>
      <c r="AA472" s="2"/>
    </row>
    <row r="473" spans="1:27">
      <c r="A473" s="68" t="s">
        <v>1973</v>
      </c>
      <c r="B473" s="1">
        <v>202123376</v>
      </c>
      <c r="C473" s="1" t="s">
        <v>866</v>
      </c>
      <c r="D473" s="1" t="s">
        <v>1974</v>
      </c>
      <c r="E473" s="1" t="s">
        <v>1975</v>
      </c>
      <c r="F473" s="1" t="s">
        <v>216</v>
      </c>
      <c r="G473" s="1" t="s">
        <v>246</v>
      </c>
      <c r="H473" s="1"/>
      <c r="I473" s="1"/>
      <c r="J473" s="1" t="s">
        <v>247</v>
      </c>
      <c r="K473" s="1">
        <v>2024</v>
      </c>
      <c r="L473" s="1">
        <v>202420</v>
      </c>
      <c r="M473" s="1">
        <v>202420</v>
      </c>
      <c r="N473" s="1" t="s">
        <v>248</v>
      </c>
      <c r="O473" s="1" t="s">
        <v>213</v>
      </c>
      <c r="P473" s="1" t="s">
        <v>249</v>
      </c>
      <c r="Q473" s="1" t="s">
        <v>216</v>
      </c>
      <c r="R473" s="1" t="s">
        <v>246</v>
      </c>
      <c r="S473" s="1" t="s">
        <v>320</v>
      </c>
      <c r="T473" s="70" t="str">
        <f>_xlfn.XLOOKUP(Tabla1[[#This Row],[Universidad]],Conversiones!$B:$B,Conversiones!$C:$C)</f>
        <v>KLU Kühne Logistics University</v>
      </c>
      <c r="U473" s="70" t="str">
        <f>_xlfn.XLOOKUP(Tabla1[[#This Row],[Universidad KPIs]],Conversiones!$C:$C,Conversiones!$E:$E)</f>
        <v>Específico</v>
      </c>
      <c r="V473" s="1" t="s">
        <v>60</v>
      </c>
      <c r="W473" s="1" t="s">
        <v>250</v>
      </c>
      <c r="X473" s="55">
        <v>45509</v>
      </c>
      <c r="Y473" s="55">
        <v>45626</v>
      </c>
      <c r="Z473" s="1">
        <v>117</v>
      </c>
      <c r="AA473" s="2"/>
    </row>
    <row r="474" spans="1:27">
      <c r="A474" s="67" t="s">
        <v>1976</v>
      </c>
      <c r="B474">
        <v>202123226</v>
      </c>
      <c r="C474" t="s">
        <v>713</v>
      </c>
      <c r="D474" t="s">
        <v>1977</v>
      </c>
      <c r="E474" t="s">
        <v>1978</v>
      </c>
      <c r="F474" t="s">
        <v>460</v>
      </c>
      <c r="G474" t="s">
        <v>461</v>
      </c>
      <c r="H474" t="s">
        <v>216</v>
      </c>
      <c r="I474" t="s">
        <v>246</v>
      </c>
      <c r="J474" t="s">
        <v>247</v>
      </c>
      <c r="K474">
        <v>2024</v>
      </c>
      <c r="L474">
        <v>202420</v>
      </c>
      <c r="M474">
        <v>202420</v>
      </c>
      <c r="N474" t="s">
        <v>248</v>
      </c>
      <c r="O474" t="s">
        <v>213</v>
      </c>
      <c r="P474" t="s">
        <v>249</v>
      </c>
      <c r="Q474" t="s">
        <v>216</v>
      </c>
      <c r="R474" t="s">
        <v>246</v>
      </c>
      <c r="S474" t="s">
        <v>608</v>
      </c>
      <c r="T474" s="70" t="str">
        <f>_xlfn.XLOOKUP(Tabla1[[#This Row],[Universidad]],Conversiones!$B:$B,Conversiones!$C:$C)</f>
        <v>IE Instituto Empresa</v>
      </c>
      <c r="U474" s="70" t="str">
        <f>_xlfn.XLOOKUP(Tabla1[[#This Row],[Universidad KPIs]],Conversiones!$C:$C,Conversiones!$E:$E)</f>
        <v>General</v>
      </c>
      <c r="V474" t="s">
        <v>53</v>
      </c>
      <c r="W474" t="s">
        <v>250</v>
      </c>
      <c r="X474" s="2">
        <v>45509</v>
      </c>
      <c r="Y474" s="2">
        <v>45626</v>
      </c>
      <c r="Z474">
        <v>117</v>
      </c>
      <c r="AA474" s="2"/>
    </row>
    <row r="475" spans="1:27">
      <c r="A475" s="68" t="s">
        <v>1979</v>
      </c>
      <c r="B475" s="1">
        <v>202112773</v>
      </c>
      <c r="C475" s="1" t="s">
        <v>1980</v>
      </c>
      <c r="D475" s="1" t="s">
        <v>1981</v>
      </c>
      <c r="E475" s="1" t="s">
        <v>1982</v>
      </c>
      <c r="F475" s="1" t="s">
        <v>216</v>
      </c>
      <c r="G475" s="1" t="s">
        <v>246</v>
      </c>
      <c r="H475" s="1" t="s">
        <v>460</v>
      </c>
      <c r="I475" s="1" t="s">
        <v>461</v>
      </c>
      <c r="J475" s="1" t="s">
        <v>247</v>
      </c>
      <c r="K475" s="1">
        <v>2024</v>
      </c>
      <c r="L475" s="1">
        <v>202420</v>
      </c>
      <c r="M475" s="1">
        <v>202420</v>
      </c>
      <c r="N475" s="1" t="s">
        <v>248</v>
      </c>
      <c r="O475" s="1" t="s">
        <v>213</v>
      </c>
      <c r="P475" s="1" t="s">
        <v>249</v>
      </c>
      <c r="Q475" s="1" t="s">
        <v>216</v>
      </c>
      <c r="R475" s="1" t="s">
        <v>246</v>
      </c>
      <c r="S475" s="1" t="s">
        <v>1454</v>
      </c>
      <c r="T475" s="70" t="str">
        <f>_xlfn.XLOOKUP(Tabla1[[#This Row],[Universidad]],Conversiones!$B:$B,Conversiones!$C:$C)</f>
        <v>HEC Paris</v>
      </c>
      <c r="U475" s="70" t="str">
        <f>_xlfn.XLOOKUP(Tabla1[[#This Row],[Universidad KPIs]],Conversiones!$C:$C,Conversiones!$E:$E)</f>
        <v>Específico</v>
      </c>
      <c r="V475" s="1" t="s">
        <v>41</v>
      </c>
      <c r="W475" s="1" t="s">
        <v>250</v>
      </c>
      <c r="X475" s="55">
        <v>45509</v>
      </c>
      <c r="Y475" s="55">
        <v>45626</v>
      </c>
      <c r="Z475" s="1">
        <v>117</v>
      </c>
      <c r="AA475" s="2"/>
    </row>
    <row r="476" spans="1:27">
      <c r="A476" s="67" t="s">
        <v>1983</v>
      </c>
      <c r="B476">
        <v>202013413</v>
      </c>
      <c r="C476" t="s">
        <v>1984</v>
      </c>
      <c r="D476" t="s">
        <v>1985</v>
      </c>
      <c r="E476" t="s">
        <v>1986</v>
      </c>
      <c r="F476" t="s">
        <v>460</v>
      </c>
      <c r="G476" t="s">
        <v>461</v>
      </c>
      <c r="H476" t="s">
        <v>216</v>
      </c>
      <c r="I476" t="s">
        <v>246</v>
      </c>
      <c r="J476" t="s">
        <v>247</v>
      </c>
      <c r="K476">
        <v>2024</v>
      </c>
      <c r="L476">
        <v>202420</v>
      </c>
      <c r="M476">
        <v>202420</v>
      </c>
      <c r="N476" t="s">
        <v>248</v>
      </c>
      <c r="O476" t="s">
        <v>213</v>
      </c>
      <c r="P476" t="s">
        <v>249</v>
      </c>
      <c r="Q476" t="s">
        <v>216</v>
      </c>
      <c r="R476" t="s">
        <v>246</v>
      </c>
      <c r="S476" t="s">
        <v>1454</v>
      </c>
      <c r="T476" s="70" t="str">
        <f>_xlfn.XLOOKUP(Tabla1[[#This Row],[Universidad]],Conversiones!$B:$B,Conversiones!$C:$C)</f>
        <v>HEC Paris</v>
      </c>
      <c r="U476" s="70" t="str">
        <f>_xlfn.XLOOKUP(Tabla1[[#This Row],[Universidad KPIs]],Conversiones!$C:$C,Conversiones!$E:$E)</f>
        <v>Específico</v>
      </c>
      <c r="V476" t="s">
        <v>41</v>
      </c>
      <c r="W476" t="s">
        <v>250</v>
      </c>
      <c r="X476" s="2">
        <v>45509</v>
      </c>
      <c r="Y476" s="2">
        <v>45626</v>
      </c>
      <c r="Z476">
        <v>117</v>
      </c>
      <c r="AA476" s="2"/>
    </row>
    <row r="477" spans="1:27">
      <c r="A477" s="68" t="s">
        <v>1987</v>
      </c>
      <c r="B477" s="1">
        <v>202210803</v>
      </c>
      <c r="C477" s="1" t="s">
        <v>376</v>
      </c>
      <c r="D477" s="1" t="s">
        <v>1988</v>
      </c>
      <c r="E477" s="1" t="s">
        <v>1989</v>
      </c>
      <c r="F477" s="1" t="s">
        <v>216</v>
      </c>
      <c r="G477" s="1" t="s">
        <v>246</v>
      </c>
      <c r="H477" s="1" t="s">
        <v>466</v>
      </c>
      <c r="I477" s="1" t="s">
        <v>467</v>
      </c>
      <c r="J477" s="1" t="s">
        <v>247</v>
      </c>
      <c r="K477" s="1">
        <v>2024</v>
      </c>
      <c r="L477" s="1">
        <v>202420</v>
      </c>
      <c r="M477" s="1">
        <v>202420</v>
      </c>
      <c r="N477" s="1" t="s">
        <v>248</v>
      </c>
      <c r="O477" s="1" t="s">
        <v>213</v>
      </c>
      <c r="P477" s="1" t="s">
        <v>249</v>
      </c>
      <c r="Q477" s="1" t="s">
        <v>216</v>
      </c>
      <c r="R477" s="1" t="s">
        <v>246</v>
      </c>
      <c r="S477" s="1" t="s">
        <v>410</v>
      </c>
      <c r="T477" s="70" t="str">
        <f>_xlfn.XLOOKUP(Tabla1[[#This Row],[Universidad]],Conversiones!$B:$B,Conversiones!$C:$C)</f>
        <v xml:space="preserve">CBS- Copenhagen Business School  </v>
      </c>
      <c r="U477" s="70" t="str">
        <f>_xlfn.XLOOKUP(Tabla1[[#This Row],[Universidad KPIs]],Conversiones!$C:$C,Conversiones!$E:$E)</f>
        <v>Específico</v>
      </c>
      <c r="V477" s="1" t="s">
        <v>47</v>
      </c>
      <c r="W477" s="1" t="s">
        <v>250</v>
      </c>
      <c r="X477" s="55">
        <v>45509</v>
      </c>
      <c r="Y477" s="55">
        <v>45626</v>
      </c>
      <c r="Z477" s="1">
        <v>117</v>
      </c>
      <c r="AA477" s="2"/>
    </row>
    <row r="478" spans="1:27">
      <c r="A478" s="67" t="s">
        <v>1990</v>
      </c>
      <c r="B478">
        <v>202121998</v>
      </c>
      <c r="C478" t="s">
        <v>475</v>
      </c>
      <c r="D478" t="s">
        <v>1991</v>
      </c>
      <c r="E478" t="s">
        <v>1992</v>
      </c>
      <c r="F478" t="s">
        <v>216</v>
      </c>
      <c r="G478" t="s">
        <v>246</v>
      </c>
      <c r="J478" t="s">
        <v>247</v>
      </c>
      <c r="K478">
        <v>2024</v>
      </c>
      <c r="L478">
        <v>202420</v>
      </c>
      <c r="M478">
        <v>202420</v>
      </c>
      <c r="N478" t="s">
        <v>248</v>
      </c>
      <c r="O478" t="s">
        <v>213</v>
      </c>
      <c r="P478" t="s">
        <v>249</v>
      </c>
      <c r="Q478" t="s">
        <v>216</v>
      </c>
      <c r="R478" t="s">
        <v>246</v>
      </c>
      <c r="S478" t="s">
        <v>61</v>
      </c>
      <c r="T478" s="70" t="str">
        <f>_xlfn.XLOOKUP(Tabla1[[#This Row],[Universidad]],Conversiones!$B:$B,Conversiones!$C:$C)</f>
        <v>Fundação Getulio Vargas</v>
      </c>
      <c r="U478" s="70" t="str">
        <f>_xlfn.XLOOKUP(Tabla1[[#This Row],[Universidad KPIs]],Conversiones!$C:$C,Conversiones!$E:$E)</f>
        <v>Específico</v>
      </c>
      <c r="V478" t="s">
        <v>62</v>
      </c>
      <c r="W478" t="s">
        <v>265</v>
      </c>
      <c r="X478" s="2">
        <v>45509</v>
      </c>
      <c r="Y478" s="2">
        <v>45626</v>
      </c>
      <c r="Z478">
        <v>117</v>
      </c>
      <c r="AA478" s="2"/>
    </row>
    <row r="479" spans="1:27">
      <c r="A479" s="68" t="s">
        <v>1993</v>
      </c>
      <c r="B479" s="1">
        <v>202112021</v>
      </c>
      <c r="C479" s="1" t="s">
        <v>663</v>
      </c>
      <c r="D479" s="1" t="s">
        <v>1994</v>
      </c>
      <c r="E479" s="1" t="s">
        <v>1995</v>
      </c>
      <c r="F479" s="1" t="s">
        <v>216</v>
      </c>
      <c r="G479" s="1" t="s">
        <v>246</v>
      </c>
      <c r="H479" s="1"/>
      <c r="I479" s="1"/>
      <c r="J479" s="1" t="s">
        <v>247</v>
      </c>
      <c r="K479" s="1">
        <v>2024</v>
      </c>
      <c r="L479" s="1">
        <v>202420</v>
      </c>
      <c r="M479" s="1">
        <v>202420</v>
      </c>
      <c r="N479" s="1" t="s">
        <v>248</v>
      </c>
      <c r="O479" s="1" t="s">
        <v>213</v>
      </c>
      <c r="P479" s="1" t="s">
        <v>249</v>
      </c>
      <c r="Q479" s="1" t="s">
        <v>216</v>
      </c>
      <c r="R479" s="1" t="s">
        <v>246</v>
      </c>
      <c r="S479" s="1" t="s">
        <v>388</v>
      </c>
      <c r="T479" s="70" t="str">
        <f>_xlfn.XLOOKUP(Tabla1[[#This Row],[Universidad]],Conversiones!$B:$B,Conversiones!$C:$C)</f>
        <v>ESCP</v>
      </c>
      <c r="U479" s="70" t="str">
        <f>_xlfn.XLOOKUP(Tabla1[[#This Row],[Universidad KPIs]],Conversiones!$C:$C,Conversiones!$E:$E)</f>
        <v>Específico</v>
      </c>
      <c r="V479" s="1" t="s">
        <v>41</v>
      </c>
      <c r="W479" s="1" t="s">
        <v>250</v>
      </c>
      <c r="X479" s="55">
        <v>45509</v>
      </c>
      <c r="Y479" s="55">
        <v>45626</v>
      </c>
      <c r="Z479" s="1">
        <v>117</v>
      </c>
      <c r="AA479" s="2"/>
    </row>
    <row r="480" spans="1:27">
      <c r="A480" s="67" t="s">
        <v>1996</v>
      </c>
      <c r="B480">
        <v>201817232</v>
      </c>
      <c r="C480" t="s">
        <v>468</v>
      </c>
      <c r="D480" t="s">
        <v>1997</v>
      </c>
      <c r="E480" t="s">
        <v>1998</v>
      </c>
      <c r="F480" t="s">
        <v>460</v>
      </c>
      <c r="G480" t="s">
        <v>461</v>
      </c>
      <c r="H480" t="s">
        <v>216</v>
      </c>
      <c r="I480" t="s">
        <v>246</v>
      </c>
      <c r="J480" t="s">
        <v>247</v>
      </c>
      <c r="K480">
        <v>2024</v>
      </c>
      <c r="L480">
        <v>202420</v>
      </c>
      <c r="M480">
        <v>202420</v>
      </c>
      <c r="N480" t="s">
        <v>248</v>
      </c>
      <c r="O480" t="s">
        <v>213</v>
      </c>
      <c r="P480" t="s">
        <v>249</v>
      </c>
      <c r="Q480" t="s">
        <v>216</v>
      </c>
      <c r="R480" t="s">
        <v>246</v>
      </c>
      <c r="S480" t="s">
        <v>50</v>
      </c>
      <c r="T480" s="70" t="str">
        <f>_xlfn.XLOOKUP(Tabla1[[#This Row],[Universidad]],Conversiones!$B:$B,Conversiones!$C:$C)</f>
        <v>EDHEC Business School</v>
      </c>
      <c r="U480" s="70" t="str">
        <f>_xlfn.XLOOKUP(Tabla1[[#This Row],[Universidad KPIs]],Conversiones!$C:$C,Conversiones!$E:$E)</f>
        <v>Específico</v>
      </c>
      <c r="V480" t="s">
        <v>41</v>
      </c>
      <c r="W480" t="s">
        <v>250</v>
      </c>
      <c r="X480" s="2">
        <v>45509</v>
      </c>
      <c r="Y480" s="2">
        <v>45626</v>
      </c>
      <c r="Z480">
        <v>117</v>
      </c>
      <c r="AA480" s="2"/>
    </row>
    <row r="481" spans="1:27">
      <c r="A481" s="68" t="s">
        <v>1999</v>
      </c>
      <c r="B481" s="1">
        <v>202120275</v>
      </c>
      <c r="C481" s="1" t="s">
        <v>1902</v>
      </c>
      <c r="D481" s="1" t="s">
        <v>2000</v>
      </c>
      <c r="E481" s="1" t="s">
        <v>2001</v>
      </c>
      <c r="F481" s="1" t="s">
        <v>216</v>
      </c>
      <c r="G481" s="1" t="s">
        <v>246</v>
      </c>
      <c r="H481" s="1"/>
      <c r="I481" s="1"/>
      <c r="J481" s="1" t="s">
        <v>247</v>
      </c>
      <c r="K481" s="1">
        <v>2024</v>
      </c>
      <c r="L481" s="1">
        <v>202420</v>
      </c>
      <c r="M481" s="1">
        <v>202420</v>
      </c>
      <c r="N481" s="1" t="s">
        <v>248</v>
      </c>
      <c r="O481" s="1" t="s">
        <v>213</v>
      </c>
      <c r="P481" s="1" t="s">
        <v>249</v>
      </c>
      <c r="Q481" s="1" t="s">
        <v>216</v>
      </c>
      <c r="R481" s="1" t="s">
        <v>246</v>
      </c>
      <c r="S481" s="1" t="s">
        <v>335</v>
      </c>
      <c r="T481" s="70" t="str">
        <f>_xlfn.XLOOKUP(Tabla1[[#This Row],[Universidad]],Conversiones!$B:$B,Conversiones!$C:$C)</f>
        <v>HEC Montréal</v>
      </c>
      <c r="U481" s="70" t="str">
        <f>_xlfn.XLOOKUP(Tabla1[[#This Row],[Universidad KPIs]],Conversiones!$C:$C,Conversiones!$E:$E)</f>
        <v>Específico</v>
      </c>
      <c r="V481" s="1" t="s">
        <v>58</v>
      </c>
      <c r="W481" s="1" t="s">
        <v>260</v>
      </c>
      <c r="X481" s="55">
        <v>45509</v>
      </c>
      <c r="Y481" s="55">
        <v>45626</v>
      </c>
      <c r="Z481" s="1">
        <v>117</v>
      </c>
      <c r="AA481" s="2"/>
    </row>
    <row r="482" spans="1:27">
      <c r="A482" s="67" t="s">
        <v>2002</v>
      </c>
      <c r="B482">
        <v>202112734</v>
      </c>
      <c r="C482" t="s">
        <v>546</v>
      </c>
      <c r="D482" t="s">
        <v>2003</v>
      </c>
      <c r="E482" t="s">
        <v>2004</v>
      </c>
      <c r="F482" t="s">
        <v>216</v>
      </c>
      <c r="G482" t="s">
        <v>246</v>
      </c>
      <c r="J482" t="s">
        <v>247</v>
      </c>
      <c r="K482">
        <v>2024</v>
      </c>
      <c r="L482">
        <v>202420</v>
      </c>
      <c r="M482">
        <v>202420</v>
      </c>
      <c r="N482" t="s">
        <v>248</v>
      </c>
      <c r="O482" t="s">
        <v>213</v>
      </c>
      <c r="P482" t="s">
        <v>249</v>
      </c>
      <c r="Q482" t="s">
        <v>216</v>
      </c>
      <c r="R482" t="s">
        <v>246</v>
      </c>
      <c r="S482" t="s">
        <v>1138</v>
      </c>
      <c r="T482" s="70" t="str">
        <f>_xlfn.XLOOKUP(Tabla1[[#This Row],[Universidad]],Conversiones!$B:$B,Conversiones!$C:$C)</f>
        <v>BI Norwegian Business School</v>
      </c>
      <c r="U482" s="70" t="str">
        <f>_xlfn.XLOOKUP(Tabla1[[#This Row],[Universidad KPIs]],Conversiones!$C:$C,Conversiones!$E:$E)</f>
        <v>Específico</v>
      </c>
      <c r="V482" t="s">
        <v>43</v>
      </c>
      <c r="W482" t="s">
        <v>250</v>
      </c>
      <c r="X482" s="2">
        <v>45509</v>
      </c>
      <c r="Y482" s="2">
        <v>45626</v>
      </c>
      <c r="Z482">
        <v>117</v>
      </c>
      <c r="AA482" s="2"/>
    </row>
    <row r="483" spans="1:27">
      <c r="A483" s="68" t="s">
        <v>2005</v>
      </c>
      <c r="B483" s="1">
        <v>202120386</v>
      </c>
      <c r="C483" s="1" t="s">
        <v>2006</v>
      </c>
      <c r="D483" s="1" t="s">
        <v>2007</v>
      </c>
      <c r="E483" s="1" t="s">
        <v>2008</v>
      </c>
      <c r="F483" s="1" t="s">
        <v>216</v>
      </c>
      <c r="G483" s="1" t="s">
        <v>246</v>
      </c>
      <c r="H483" s="1"/>
      <c r="I483" s="1"/>
      <c r="J483" s="1" t="s">
        <v>247</v>
      </c>
      <c r="K483" s="1">
        <v>2024</v>
      </c>
      <c r="L483" s="1">
        <v>202420</v>
      </c>
      <c r="M483" s="1">
        <v>202420</v>
      </c>
      <c r="N483" s="1" t="s">
        <v>248</v>
      </c>
      <c r="O483" s="1" t="s">
        <v>213</v>
      </c>
      <c r="P483" s="1" t="s">
        <v>249</v>
      </c>
      <c r="Q483" s="1" t="s">
        <v>216</v>
      </c>
      <c r="R483" s="1" t="s">
        <v>246</v>
      </c>
      <c r="S483" s="1" t="s">
        <v>350</v>
      </c>
      <c r="T483" s="70" t="str">
        <f>_xlfn.XLOOKUP(Tabla1[[#This Row],[Universidad]],Conversiones!$B:$B,Conversiones!$C:$C)</f>
        <v>Audencia. École de Management</v>
      </c>
      <c r="U483" s="70" t="str">
        <f>_xlfn.XLOOKUP(Tabla1[[#This Row],[Universidad KPIs]],Conversiones!$C:$C,Conversiones!$E:$E)</f>
        <v>Específico</v>
      </c>
      <c r="V483" s="1" t="s">
        <v>41</v>
      </c>
      <c r="W483" s="1" t="s">
        <v>250</v>
      </c>
      <c r="X483" s="55">
        <v>45509</v>
      </c>
      <c r="Y483" s="55">
        <v>45626</v>
      </c>
      <c r="Z483" s="1">
        <v>117</v>
      </c>
      <c r="AA483" s="2"/>
    </row>
    <row r="484" spans="1:27">
      <c r="A484" s="67" t="s">
        <v>2009</v>
      </c>
      <c r="B484">
        <v>202123486</v>
      </c>
      <c r="C484" t="s">
        <v>434</v>
      </c>
      <c r="D484" t="s">
        <v>2010</v>
      </c>
      <c r="E484" t="s">
        <v>2011</v>
      </c>
      <c r="F484" t="s">
        <v>216</v>
      </c>
      <c r="G484" t="s">
        <v>246</v>
      </c>
      <c r="J484" t="s">
        <v>247</v>
      </c>
      <c r="K484">
        <v>2024</v>
      </c>
      <c r="L484">
        <v>202420</v>
      </c>
      <c r="M484">
        <v>202420</v>
      </c>
      <c r="N484" t="s">
        <v>248</v>
      </c>
      <c r="O484" t="s">
        <v>213</v>
      </c>
      <c r="P484" t="s">
        <v>249</v>
      </c>
      <c r="Q484" t="s">
        <v>216</v>
      </c>
      <c r="R484" t="s">
        <v>246</v>
      </c>
      <c r="S484" t="s">
        <v>38</v>
      </c>
      <c r="T484" s="70" t="str">
        <f>_xlfn.XLOOKUP(Tabla1[[#This Row],[Universidad]],Conversiones!$B:$B,Conversiones!$C:$C)</f>
        <v>Aston University</v>
      </c>
      <c r="U484" s="70" t="str">
        <f>_xlfn.XLOOKUP(Tabla1[[#This Row],[Universidad KPIs]],Conversiones!$C:$C,Conversiones!$E:$E)</f>
        <v>Específico</v>
      </c>
      <c r="V484" t="s">
        <v>39</v>
      </c>
      <c r="W484" t="s">
        <v>250</v>
      </c>
      <c r="X484" s="2">
        <v>45509</v>
      </c>
      <c r="Y484" s="2">
        <v>45626</v>
      </c>
      <c r="Z484">
        <v>117</v>
      </c>
      <c r="AA484" s="2"/>
    </row>
    <row r="485" spans="1:27">
      <c r="A485" s="68" t="s">
        <v>2012</v>
      </c>
      <c r="B485" s="1">
        <v>202028272</v>
      </c>
      <c r="C485" s="1" t="s">
        <v>327</v>
      </c>
      <c r="D485" s="1" t="s">
        <v>2013</v>
      </c>
      <c r="E485" s="1" t="s">
        <v>2014</v>
      </c>
      <c r="F485" s="1" t="s">
        <v>216</v>
      </c>
      <c r="G485" s="1" t="s">
        <v>246</v>
      </c>
      <c r="H485" s="1"/>
      <c r="I485" s="1"/>
      <c r="J485" s="1" t="s">
        <v>247</v>
      </c>
      <c r="K485" s="1">
        <v>2024</v>
      </c>
      <c r="L485" s="1">
        <v>202420</v>
      </c>
      <c r="M485" s="1">
        <v>202420</v>
      </c>
      <c r="N485" s="1" t="s">
        <v>248</v>
      </c>
      <c r="O485" s="1" t="s">
        <v>213</v>
      </c>
      <c r="P485" s="1" t="s">
        <v>249</v>
      </c>
      <c r="Q485" s="1" t="s">
        <v>216</v>
      </c>
      <c r="R485" s="1" t="s">
        <v>246</v>
      </c>
      <c r="S485" s="1" t="s">
        <v>173</v>
      </c>
      <c r="T485" s="70" t="str">
        <f>_xlfn.XLOOKUP(Tabla1[[#This Row],[Universidad]],Conversiones!$B:$B,Conversiones!$C:$C)</f>
        <v>Aix-Marseille Université</v>
      </c>
      <c r="U485" s="70" t="str">
        <f>_xlfn.XLOOKUP(Tabla1[[#This Row],[Universidad KPIs]],Conversiones!$C:$C,Conversiones!$E:$E)</f>
        <v>General</v>
      </c>
      <c r="V485" s="1" t="s">
        <v>41</v>
      </c>
      <c r="W485" s="1" t="s">
        <v>250</v>
      </c>
      <c r="X485" s="55">
        <v>45509</v>
      </c>
      <c r="Y485" s="55">
        <v>45626</v>
      </c>
      <c r="Z485" s="1">
        <v>117</v>
      </c>
      <c r="AA485" s="2"/>
    </row>
    <row r="486" spans="1:27">
      <c r="A486" s="67" t="s">
        <v>2015</v>
      </c>
      <c r="B486">
        <v>200410849</v>
      </c>
      <c r="C486" t="s">
        <v>2016</v>
      </c>
      <c r="D486" t="s">
        <v>2017</v>
      </c>
      <c r="E486" t="s">
        <v>2018</v>
      </c>
      <c r="F486" t="s">
        <v>224</v>
      </c>
      <c r="G486" t="s">
        <v>246</v>
      </c>
      <c r="J486" t="s">
        <v>247</v>
      </c>
      <c r="K486">
        <v>2025</v>
      </c>
      <c r="L486">
        <v>202519</v>
      </c>
      <c r="M486">
        <v>202510</v>
      </c>
      <c r="N486" t="s">
        <v>1819</v>
      </c>
      <c r="O486" t="s">
        <v>553</v>
      </c>
      <c r="P486" t="s">
        <v>1825</v>
      </c>
      <c r="Q486" t="s">
        <v>224</v>
      </c>
      <c r="R486" t="s">
        <v>246</v>
      </c>
      <c r="S486" t="s">
        <v>198</v>
      </c>
      <c r="T486" s="70" t="str">
        <f>_xlfn.XLOOKUP(Tabla1[[#This Row],[Universidad]],Conversiones!$B:$B,Conversiones!$C:$C)</f>
        <v>George Washington University</v>
      </c>
      <c r="U486" s="70" t="str">
        <f>_xlfn.XLOOKUP(Tabla1[[#This Row],[Universidad KPIs]],Conversiones!$C:$C,Conversiones!$E:$E)</f>
        <v>General</v>
      </c>
      <c r="V486" t="s">
        <v>199</v>
      </c>
      <c r="W486" t="s">
        <v>260</v>
      </c>
      <c r="X486" s="2">
        <v>45689</v>
      </c>
      <c r="Y486" s="2">
        <v>45809</v>
      </c>
      <c r="Z486">
        <v>120</v>
      </c>
    </row>
    <row r="487" spans="1:27">
      <c r="A487" s="67" t="s">
        <v>2019</v>
      </c>
      <c r="B487">
        <v>200810638</v>
      </c>
      <c r="C487" t="s">
        <v>2020</v>
      </c>
      <c r="D487" t="s">
        <v>2021</v>
      </c>
      <c r="E487" t="s">
        <v>2022</v>
      </c>
      <c r="F487" t="s">
        <v>224</v>
      </c>
      <c r="G487" t="s">
        <v>246</v>
      </c>
      <c r="J487" t="s">
        <v>247</v>
      </c>
      <c r="K487">
        <v>2025</v>
      </c>
      <c r="L487">
        <v>202519</v>
      </c>
      <c r="M487">
        <v>202510</v>
      </c>
      <c r="N487" t="s">
        <v>1819</v>
      </c>
      <c r="O487" t="s">
        <v>553</v>
      </c>
      <c r="P487" t="s">
        <v>1825</v>
      </c>
      <c r="Q487" t="s">
        <v>224</v>
      </c>
      <c r="R487" t="s">
        <v>246</v>
      </c>
      <c r="S487" t="s">
        <v>2023</v>
      </c>
      <c r="T487" s="70" t="str">
        <f>_xlfn.XLOOKUP(Tabla1[[#This Row],[Universidad]],Conversiones!$B:$B,Conversiones!$C:$C)</f>
        <v>Universidad Estatal de California</v>
      </c>
      <c r="U487" s="70" t="str">
        <f>_xlfn.XLOOKUP(Tabla1[[#This Row],[Universidad KPIs]],Conversiones!$C:$C,Conversiones!$E:$E)</f>
        <v>General</v>
      </c>
      <c r="V487" t="s">
        <v>199</v>
      </c>
      <c r="W487" t="s">
        <v>260</v>
      </c>
      <c r="X487" s="2">
        <v>45708</v>
      </c>
      <c r="Y487" s="2">
        <v>45797</v>
      </c>
      <c r="Z487">
        <v>120</v>
      </c>
    </row>
    <row r="488" spans="1:27">
      <c r="A488" s="67" t="s">
        <v>2024</v>
      </c>
      <c r="B488">
        <v>201823596</v>
      </c>
      <c r="C488" t="s">
        <v>2025</v>
      </c>
      <c r="D488" t="s">
        <v>2026</v>
      </c>
      <c r="E488" t="s">
        <v>2027</v>
      </c>
      <c r="F488" t="s">
        <v>224</v>
      </c>
      <c r="G488" t="s">
        <v>246</v>
      </c>
      <c r="J488" t="s">
        <v>247</v>
      </c>
      <c r="K488">
        <v>2025</v>
      </c>
      <c r="L488">
        <v>202519</v>
      </c>
      <c r="M488">
        <v>202510</v>
      </c>
      <c r="N488" t="s">
        <v>1819</v>
      </c>
      <c r="O488" t="s">
        <v>553</v>
      </c>
      <c r="P488" t="s">
        <v>1825</v>
      </c>
      <c r="Q488" t="s">
        <v>224</v>
      </c>
      <c r="R488" t="s">
        <v>246</v>
      </c>
      <c r="S488" t="s">
        <v>2028</v>
      </c>
      <c r="T488" s="70" t="str">
        <f>_xlfn.XLOOKUP(Tabla1[[#This Row],[Universidad]],Conversiones!$B:$B,Conversiones!$C:$C)</f>
        <v>ITESM-EGADE -Instituto tecnológico y de estudios superiores de Monterrey</v>
      </c>
      <c r="U488" s="70" t="str">
        <f>_xlfn.XLOOKUP(Tabla1[[#This Row],[Universidad KPIs]],Conversiones!$C:$C,Conversiones!$E:$E)</f>
        <v>Específico</v>
      </c>
      <c r="V488" t="s">
        <v>202</v>
      </c>
      <c r="W488" t="s">
        <v>260</v>
      </c>
      <c r="X488" s="2">
        <v>45703</v>
      </c>
      <c r="Y488" s="2">
        <v>45792</v>
      </c>
      <c r="Z488">
        <v>120</v>
      </c>
    </row>
    <row r="489" spans="1:27">
      <c r="A489" s="67" t="s">
        <v>2029</v>
      </c>
      <c r="B489">
        <v>202027752</v>
      </c>
      <c r="C489" t="s">
        <v>2030</v>
      </c>
      <c r="D489" t="s">
        <v>2031</v>
      </c>
      <c r="E489" t="s">
        <v>2032</v>
      </c>
      <c r="F489" t="s">
        <v>224</v>
      </c>
      <c r="G489" t="s">
        <v>246</v>
      </c>
      <c r="J489" t="s">
        <v>247</v>
      </c>
      <c r="K489">
        <v>2024</v>
      </c>
      <c r="L489">
        <v>202419</v>
      </c>
      <c r="M489">
        <v>202410</v>
      </c>
      <c r="N489" t="s">
        <v>1819</v>
      </c>
      <c r="O489" t="s">
        <v>553</v>
      </c>
      <c r="P489" t="s">
        <v>1825</v>
      </c>
      <c r="Q489" t="s">
        <v>224</v>
      </c>
      <c r="R489" t="s">
        <v>246</v>
      </c>
      <c r="S489" t="s">
        <v>2033</v>
      </c>
      <c r="T489" s="70" t="str">
        <f>_xlfn.XLOOKUP(Tabla1[[#This Row],[Universidad]],Conversiones!$B:$B,Conversiones!$C:$C)</f>
        <v>ITESM-EGADE -Instituto tecnológico y de estudios superiores de Monterrey</v>
      </c>
      <c r="U489" s="70" t="str">
        <f>_xlfn.XLOOKUP(Tabla1[[#This Row],[Universidad KPIs]],Conversiones!$C:$C,Conversiones!$E:$E)</f>
        <v>Específico</v>
      </c>
      <c r="V489" t="s">
        <v>202</v>
      </c>
      <c r="W489" t="s">
        <v>260</v>
      </c>
      <c r="X489" s="2">
        <v>45519</v>
      </c>
      <c r="Y489" s="2">
        <v>45641</v>
      </c>
      <c r="Z489">
        <v>120</v>
      </c>
    </row>
    <row r="490" spans="1:27">
      <c r="A490" s="67" t="s">
        <v>2034</v>
      </c>
      <c r="B490">
        <v>201920294</v>
      </c>
      <c r="C490" t="s">
        <v>2035</v>
      </c>
      <c r="D490" t="s">
        <v>2036</v>
      </c>
      <c r="E490" t="s">
        <v>2037</v>
      </c>
      <c r="F490" t="s">
        <v>224</v>
      </c>
      <c r="G490" t="s">
        <v>246</v>
      </c>
      <c r="J490" t="s">
        <v>247</v>
      </c>
      <c r="K490">
        <v>2023</v>
      </c>
      <c r="L490">
        <v>202329</v>
      </c>
      <c r="M490">
        <v>202320</v>
      </c>
      <c r="N490" t="s">
        <v>1819</v>
      </c>
      <c r="O490" t="s">
        <v>553</v>
      </c>
      <c r="P490" t="s">
        <v>1825</v>
      </c>
      <c r="Q490" t="s">
        <v>224</v>
      </c>
      <c r="R490" t="s">
        <v>246</v>
      </c>
      <c r="S490" t="s">
        <v>2038</v>
      </c>
      <c r="T490" s="70" t="str">
        <f>_xlfn.XLOOKUP(Tabla1[[#This Row],[Universidad]],Conversiones!$B:$B,Conversiones!$C:$C)</f>
        <v>ITESM-EGADE -Instituto tecnológico y de estudios superiores de Monterrey</v>
      </c>
      <c r="U490" s="70" t="str">
        <f>_xlfn.XLOOKUP(Tabla1[[#This Row],[Universidad KPIs]],Conversiones!$C:$C,Conversiones!$E:$E)</f>
        <v>Específico</v>
      </c>
      <c r="V490" t="s">
        <v>202</v>
      </c>
      <c r="W490" t="s">
        <v>260</v>
      </c>
      <c r="X490" s="2">
        <v>45103</v>
      </c>
      <c r="Y490" s="2">
        <v>45225</v>
      </c>
      <c r="Z490">
        <v>120</v>
      </c>
    </row>
    <row r="491" spans="1:27">
      <c r="A491" s="67" t="s">
        <v>2039</v>
      </c>
      <c r="B491">
        <v>202027733</v>
      </c>
      <c r="C491" t="s">
        <v>2040</v>
      </c>
      <c r="D491" t="s">
        <v>2041</v>
      </c>
      <c r="E491" t="s">
        <v>2042</v>
      </c>
      <c r="F491" t="s">
        <v>224</v>
      </c>
      <c r="G491" t="s">
        <v>246</v>
      </c>
      <c r="J491" t="s">
        <v>247</v>
      </c>
      <c r="K491">
        <v>2023</v>
      </c>
      <c r="L491">
        <v>202329</v>
      </c>
      <c r="M491">
        <v>202320</v>
      </c>
      <c r="N491" t="s">
        <v>1819</v>
      </c>
      <c r="O491" t="s">
        <v>553</v>
      </c>
      <c r="P491" t="s">
        <v>1825</v>
      </c>
      <c r="Q491" t="s">
        <v>224</v>
      </c>
      <c r="R491" t="s">
        <v>246</v>
      </c>
      <c r="S491" t="s">
        <v>211</v>
      </c>
      <c r="T491" s="70" t="str">
        <f>_xlfn.XLOOKUP(Tabla1[[#This Row],[Universidad]],Conversiones!$B:$B,Conversiones!$C:$C)</f>
        <v>Université de Limoges, Francia</v>
      </c>
      <c r="U491" s="70" t="str">
        <f>_xlfn.XLOOKUP(Tabla1[[#This Row],[Universidad KPIs]],Conversiones!$C:$C,Conversiones!$E:$E)</f>
        <v>General</v>
      </c>
      <c r="V491" t="s">
        <v>212</v>
      </c>
      <c r="W491" t="s">
        <v>250</v>
      </c>
      <c r="X491" s="2">
        <v>45184</v>
      </c>
      <c r="Y491" s="2">
        <v>45275</v>
      </c>
      <c r="Z491">
        <v>120</v>
      </c>
    </row>
    <row r="492" spans="1:27">
      <c r="A492" s="67" t="s">
        <v>2043</v>
      </c>
      <c r="B492">
        <v>201819002</v>
      </c>
      <c r="C492" t="s">
        <v>2044</v>
      </c>
      <c r="D492" t="s">
        <v>2045</v>
      </c>
      <c r="E492" t="s">
        <v>2046</v>
      </c>
      <c r="F492" t="s">
        <v>224</v>
      </c>
      <c r="G492" t="s">
        <v>246</v>
      </c>
      <c r="J492" t="s">
        <v>247</v>
      </c>
      <c r="K492">
        <v>2023</v>
      </c>
      <c r="L492">
        <v>202329</v>
      </c>
      <c r="M492">
        <v>202320</v>
      </c>
      <c r="N492" t="s">
        <v>1819</v>
      </c>
      <c r="O492" t="s">
        <v>553</v>
      </c>
      <c r="P492" t="s">
        <v>1825</v>
      </c>
      <c r="Q492" t="s">
        <v>224</v>
      </c>
      <c r="R492" t="s">
        <v>246</v>
      </c>
      <c r="S492" t="s">
        <v>2047</v>
      </c>
      <c r="T492" s="70" t="str">
        <f>_xlfn.XLOOKUP(Tabla1[[#This Row],[Universidad]],Conversiones!$B:$B,Conversiones!$C:$C)</f>
        <v>Universidad Nacional Autonoma de México (UNAM)</v>
      </c>
      <c r="U492" s="70" t="str">
        <f>_xlfn.XLOOKUP(Tabla1[[#This Row],[Universidad KPIs]],Conversiones!$C:$C,Conversiones!$E:$E)</f>
        <v>General</v>
      </c>
      <c r="V492" t="s">
        <v>202</v>
      </c>
      <c r="W492" t="s">
        <v>260</v>
      </c>
      <c r="X492" s="2">
        <v>45146</v>
      </c>
      <c r="Y492" s="2">
        <v>45275</v>
      </c>
      <c r="Z492">
        <v>120</v>
      </c>
    </row>
    <row r="493" spans="1:27">
      <c r="A493" s="67" t="s">
        <v>2048</v>
      </c>
      <c r="B493">
        <v>200610928</v>
      </c>
      <c r="C493" t="s">
        <v>2049</v>
      </c>
      <c r="D493" t="s">
        <v>2050</v>
      </c>
      <c r="E493" t="s">
        <v>2051</v>
      </c>
      <c r="F493" t="s">
        <v>224</v>
      </c>
      <c r="G493" t="s">
        <v>246</v>
      </c>
      <c r="J493" t="s">
        <v>247</v>
      </c>
      <c r="K493">
        <v>2023</v>
      </c>
      <c r="L493">
        <v>202319</v>
      </c>
      <c r="M493">
        <v>202310</v>
      </c>
      <c r="N493" t="s">
        <v>1819</v>
      </c>
      <c r="O493" t="s">
        <v>553</v>
      </c>
      <c r="P493" t="s">
        <v>1825</v>
      </c>
      <c r="Q493" t="s">
        <v>224</v>
      </c>
      <c r="R493" t="s">
        <v>246</v>
      </c>
      <c r="S493" t="s">
        <v>203</v>
      </c>
      <c r="T493" s="70" t="str">
        <f>_xlfn.XLOOKUP(Tabla1[[#This Row],[Universidad]],Conversiones!$B:$B,Conversiones!$C:$C)</f>
        <v>The Artificial Intelligence Finance Institute’s New York (AIFI)</v>
      </c>
      <c r="U493" s="70" t="str">
        <f>_xlfn.XLOOKUP(Tabla1[[#This Row],[Universidad KPIs]],Conversiones!$C:$C,Conversiones!$E:$E)</f>
        <v>General</v>
      </c>
      <c r="V493" t="s">
        <v>204</v>
      </c>
      <c r="W493" t="s">
        <v>260</v>
      </c>
      <c r="X493" s="2">
        <v>45017</v>
      </c>
      <c r="Y493" s="2">
        <v>45047</v>
      </c>
      <c r="Z493">
        <v>60</v>
      </c>
    </row>
    <row r="494" spans="1:27">
      <c r="A494" s="67" t="s">
        <v>2052</v>
      </c>
      <c r="B494">
        <v>201610770</v>
      </c>
      <c r="C494" t="s">
        <v>2053</v>
      </c>
      <c r="D494" t="s">
        <v>2054</v>
      </c>
      <c r="E494" t="s">
        <v>2055</v>
      </c>
      <c r="F494" t="s">
        <v>224</v>
      </c>
      <c r="G494" t="s">
        <v>246</v>
      </c>
      <c r="J494" t="s">
        <v>247</v>
      </c>
      <c r="K494">
        <v>2023</v>
      </c>
      <c r="L494">
        <v>202319</v>
      </c>
      <c r="M494">
        <v>202310</v>
      </c>
      <c r="N494" t="s">
        <v>1819</v>
      </c>
      <c r="O494" t="s">
        <v>553</v>
      </c>
      <c r="P494" t="s">
        <v>1825</v>
      </c>
      <c r="Q494" t="s">
        <v>224</v>
      </c>
      <c r="R494" t="s">
        <v>246</v>
      </c>
      <c r="S494" t="s">
        <v>207</v>
      </c>
      <c r="T494" s="70" t="str">
        <f>_xlfn.XLOOKUP(Tabla1[[#This Row],[Universidad]],Conversiones!$B:$B,Conversiones!$C:$C)</f>
        <v>Universidad de Sao Pablo</v>
      </c>
      <c r="U494" s="70" t="str">
        <f>_xlfn.XLOOKUP(Tabla1[[#This Row],[Universidad KPIs]],Conversiones!$C:$C,Conversiones!$E:$E)</f>
        <v>General</v>
      </c>
      <c r="V494" t="s">
        <v>208</v>
      </c>
      <c r="W494" t="s">
        <v>265</v>
      </c>
      <c r="X494" s="2">
        <v>44927</v>
      </c>
      <c r="Y494" s="2">
        <v>45047</v>
      </c>
      <c r="Z494">
        <v>120</v>
      </c>
    </row>
    <row r="495" spans="1:27">
      <c r="A495" s="67" t="s">
        <v>2056</v>
      </c>
      <c r="B495">
        <v>201823595</v>
      </c>
      <c r="C495" t="s">
        <v>2057</v>
      </c>
      <c r="D495" t="s">
        <v>2058</v>
      </c>
      <c r="E495" t="s">
        <v>2059</v>
      </c>
      <c r="F495" t="s">
        <v>224</v>
      </c>
      <c r="G495" t="s">
        <v>246</v>
      </c>
      <c r="J495" t="s">
        <v>247</v>
      </c>
      <c r="K495">
        <v>2023</v>
      </c>
      <c r="L495">
        <v>202319</v>
      </c>
      <c r="M495">
        <v>202310</v>
      </c>
      <c r="N495" t="s">
        <v>1819</v>
      </c>
      <c r="O495" t="s">
        <v>553</v>
      </c>
      <c r="P495" t="s">
        <v>1825</v>
      </c>
      <c r="Q495" t="s">
        <v>224</v>
      </c>
      <c r="R495" t="s">
        <v>246</v>
      </c>
      <c r="S495" t="s">
        <v>2033</v>
      </c>
      <c r="T495" s="70" t="str">
        <f>_xlfn.XLOOKUP(Tabla1[[#This Row],[Universidad]],Conversiones!$B:$B,Conversiones!$C:$C)</f>
        <v>ITESM-EGADE -Instituto tecnológico y de estudios superiores de Monterrey</v>
      </c>
      <c r="U495" s="70" t="str">
        <f>_xlfn.XLOOKUP(Tabla1[[#This Row],[Universidad KPIs]],Conversiones!$C:$C,Conversiones!$E:$E)</f>
        <v>Específico</v>
      </c>
      <c r="V495" t="s">
        <v>202</v>
      </c>
      <c r="W495" t="s">
        <v>260</v>
      </c>
      <c r="X495" s="2">
        <v>44927</v>
      </c>
      <c r="Y495" s="2">
        <v>45047</v>
      </c>
      <c r="Z495">
        <v>120</v>
      </c>
    </row>
    <row r="496" spans="1:27">
      <c r="A496" s="67" t="s">
        <v>2060</v>
      </c>
      <c r="B496">
        <v>200310542</v>
      </c>
      <c r="C496" t="s">
        <v>2061</v>
      </c>
      <c r="D496" t="s">
        <v>2062</v>
      </c>
      <c r="E496" t="s">
        <v>2063</v>
      </c>
      <c r="F496" t="s">
        <v>224</v>
      </c>
      <c r="G496" t="s">
        <v>246</v>
      </c>
      <c r="J496" t="s">
        <v>247</v>
      </c>
      <c r="K496">
        <v>2023</v>
      </c>
      <c r="L496">
        <v>202319</v>
      </c>
      <c r="M496">
        <v>202310</v>
      </c>
      <c r="N496" t="s">
        <v>1819</v>
      </c>
      <c r="O496" t="s">
        <v>553</v>
      </c>
      <c r="P496" t="s">
        <v>1825</v>
      </c>
      <c r="Q496" t="s">
        <v>224</v>
      </c>
      <c r="R496" t="s">
        <v>246</v>
      </c>
      <c r="S496" t="s">
        <v>205</v>
      </c>
      <c r="T496" s="70" t="str">
        <f>_xlfn.XLOOKUP(Tabla1[[#This Row],[Universidad]],Conversiones!$B:$B,Conversiones!$C:$C)</f>
        <v>Universidad Ca Foscari de Venecia</v>
      </c>
      <c r="U496" s="70" t="str">
        <f>_xlfn.XLOOKUP(Tabla1[[#This Row],[Universidad KPIs]],Conversiones!$C:$C,Conversiones!$E:$E)</f>
        <v>General</v>
      </c>
      <c r="V496" t="s">
        <v>206</v>
      </c>
      <c r="W496" t="s">
        <v>250</v>
      </c>
      <c r="X496" s="2">
        <v>44927</v>
      </c>
      <c r="Y496" s="2">
        <v>45047</v>
      </c>
      <c r="Z496">
        <v>120</v>
      </c>
    </row>
    <row r="497" spans="1:32">
      <c r="A497" s="67" t="s">
        <v>2064</v>
      </c>
      <c r="B497">
        <v>201624714</v>
      </c>
      <c r="C497" t="s">
        <v>2065</v>
      </c>
      <c r="D497" t="s">
        <v>2066</v>
      </c>
      <c r="E497" t="s">
        <v>2067</v>
      </c>
      <c r="F497" t="s">
        <v>224</v>
      </c>
      <c r="G497" t="s">
        <v>246</v>
      </c>
      <c r="J497" t="s">
        <v>247</v>
      </c>
      <c r="K497">
        <v>2023</v>
      </c>
      <c r="L497">
        <v>202319</v>
      </c>
      <c r="M497">
        <v>202310</v>
      </c>
      <c r="N497" t="s">
        <v>1819</v>
      </c>
      <c r="O497" t="s">
        <v>553</v>
      </c>
      <c r="P497" t="s">
        <v>1825</v>
      </c>
      <c r="Q497" t="s">
        <v>224</v>
      </c>
      <c r="R497" t="s">
        <v>246</v>
      </c>
      <c r="S497" t="s">
        <v>2068</v>
      </c>
      <c r="T497" s="70" t="str">
        <f>_xlfn.XLOOKUP(Tabla1[[#This Row],[Universidad]],Conversiones!$B:$B,Conversiones!$C:$C)</f>
        <v>HEC Montréal</v>
      </c>
      <c r="U497" s="70" t="str">
        <f>_xlfn.XLOOKUP(Tabla1[[#This Row],[Universidad KPIs]],Conversiones!$C:$C,Conversiones!$E:$E)</f>
        <v>Específico</v>
      </c>
      <c r="V497" t="s">
        <v>200</v>
      </c>
      <c r="W497" t="s">
        <v>260</v>
      </c>
      <c r="X497" s="2">
        <v>44927</v>
      </c>
      <c r="Y497" s="2">
        <v>45047</v>
      </c>
      <c r="Z497">
        <v>120</v>
      </c>
    </row>
    <row r="498" spans="1:32">
      <c r="A498" s="68" t="s">
        <v>2069</v>
      </c>
      <c r="B498" s="1">
        <v>202221931</v>
      </c>
      <c r="C498" s="1" t="s">
        <v>1480</v>
      </c>
      <c r="D498" s="1" t="s">
        <v>2070</v>
      </c>
      <c r="E498" s="1" t="s">
        <v>2071</v>
      </c>
      <c r="F498" s="1" t="s">
        <v>216</v>
      </c>
      <c r="G498" s="1" t="s">
        <v>246</v>
      </c>
      <c r="H498" s="1"/>
      <c r="I498" s="1"/>
      <c r="J498" s="1" t="s">
        <v>247</v>
      </c>
      <c r="K498" s="1">
        <v>2025</v>
      </c>
      <c r="L498" s="1">
        <v>202510</v>
      </c>
      <c r="M498" s="1">
        <v>202510</v>
      </c>
      <c r="N498" s="1" t="s">
        <v>248</v>
      </c>
      <c r="O498" s="1" t="s">
        <v>2072</v>
      </c>
      <c r="P498" s="1" t="s">
        <v>249</v>
      </c>
      <c r="Q498" s="1" t="s">
        <v>216</v>
      </c>
      <c r="R498" s="1" t="s">
        <v>246</v>
      </c>
      <c r="S498" s="1" t="s">
        <v>36</v>
      </c>
      <c r="T498" s="70" t="str">
        <f>_xlfn.XLOOKUP(Tabla1[[#This Row],[Universidad]],Conversiones!$B:$B,Conversiones!$C:$C)</f>
        <v>Aalto University</v>
      </c>
      <c r="U498" s="70" t="str">
        <f>_xlfn.XLOOKUP(Tabla1[[#This Row],[Universidad KPIs]],Conversiones!$C:$C,Conversiones!$E:$E)</f>
        <v>Específico</v>
      </c>
      <c r="V498" s="1" t="s">
        <v>37</v>
      </c>
      <c r="W498" s="1" t="s">
        <v>250</v>
      </c>
      <c r="X498" s="55">
        <v>45678</v>
      </c>
      <c r="Y498" s="55">
        <v>45801</v>
      </c>
      <c r="Z498" s="1">
        <v>123</v>
      </c>
    </row>
    <row r="499" spans="1:32">
      <c r="A499" s="67" t="s">
        <v>2073</v>
      </c>
      <c r="B499">
        <v>202020793</v>
      </c>
      <c r="C499" t="s">
        <v>2074</v>
      </c>
      <c r="D499" t="s">
        <v>2075</v>
      </c>
      <c r="E499" t="s">
        <v>2076</v>
      </c>
      <c r="F499" t="s">
        <v>216</v>
      </c>
      <c r="G499" t="s">
        <v>246</v>
      </c>
      <c r="J499" t="s">
        <v>247</v>
      </c>
      <c r="K499">
        <v>2025</v>
      </c>
      <c r="L499">
        <v>202510</v>
      </c>
      <c r="M499">
        <v>202510</v>
      </c>
      <c r="N499" t="s">
        <v>248</v>
      </c>
      <c r="O499" t="s">
        <v>2072</v>
      </c>
      <c r="P499" t="s">
        <v>249</v>
      </c>
      <c r="Q499" t="s">
        <v>216</v>
      </c>
      <c r="R499" t="s">
        <v>246</v>
      </c>
      <c r="S499" t="s">
        <v>173</v>
      </c>
      <c r="T499" s="70" t="str">
        <f>_xlfn.XLOOKUP(Tabla1[[#This Row],[Universidad]],Conversiones!$B:$B,Conversiones!$C:$C)</f>
        <v>Aix-Marseille Université</v>
      </c>
      <c r="U499" s="70" t="str">
        <f>_xlfn.XLOOKUP(Tabla1[[#This Row],[Universidad KPIs]],Conversiones!$C:$C,Conversiones!$E:$E)</f>
        <v>General</v>
      </c>
      <c r="V499" t="s">
        <v>41</v>
      </c>
      <c r="W499" t="s">
        <v>250</v>
      </c>
      <c r="X499" s="2">
        <v>45678</v>
      </c>
      <c r="Y499" s="2">
        <v>45801</v>
      </c>
      <c r="Z499">
        <v>123</v>
      </c>
      <c r="AA499" s="2"/>
    </row>
    <row r="500" spans="1:32">
      <c r="A500" s="68" t="s">
        <v>2077</v>
      </c>
      <c r="B500" s="1">
        <v>202221236</v>
      </c>
      <c r="C500" s="1" t="s">
        <v>1221</v>
      </c>
      <c r="D500" s="1" t="s">
        <v>2078</v>
      </c>
      <c r="E500" s="1" t="s">
        <v>2079</v>
      </c>
      <c r="F500" s="1" t="s">
        <v>216</v>
      </c>
      <c r="G500" s="1" t="s">
        <v>246</v>
      </c>
      <c r="H500" s="1"/>
      <c r="I500" s="1"/>
      <c r="J500" s="1" t="s">
        <v>247</v>
      </c>
      <c r="K500" s="1">
        <v>2025</v>
      </c>
      <c r="L500" s="1">
        <v>202510</v>
      </c>
      <c r="M500" s="1">
        <v>202510</v>
      </c>
      <c r="N500" s="1" t="s">
        <v>248</v>
      </c>
      <c r="O500" s="1" t="s">
        <v>2072</v>
      </c>
      <c r="P500" s="1" t="s">
        <v>249</v>
      </c>
      <c r="Q500" s="1" t="s">
        <v>216</v>
      </c>
      <c r="R500" s="1" t="s">
        <v>246</v>
      </c>
      <c r="S500" s="1" t="s">
        <v>126</v>
      </c>
      <c r="T500" s="70" t="str">
        <f>_xlfn.XLOOKUP(Tabla1[[#This Row],[Universidad]],Conversiones!$B:$B,Conversiones!$C:$C)</f>
        <v>Amherst College</v>
      </c>
      <c r="U500" s="70" t="str">
        <f>_xlfn.XLOOKUP(Tabla1[[#This Row],[Universidad KPIs]],Conversiones!$C:$C,Conversiones!$E:$E)</f>
        <v>General</v>
      </c>
      <c r="V500" s="1" t="s">
        <v>35</v>
      </c>
      <c r="W500" s="1" t="s">
        <v>260</v>
      </c>
      <c r="X500" s="55">
        <v>45678</v>
      </c>
      <c r="Y500" s="55">
        <v>45801</v>
      </c>
      <c r="Z500" s="1">
        <v>123</v>
      </c>
      <c r="AA500" s="2"/>
    </row>
    <row r="501" spans="1:32">
      <c r="A501" s="67" t="s">
        <v>2080</v>
      </c>
      <c r="B501">
        <v>202221002</v>
      </c>
      <c r="C501" t="s">
        <v>421</v>
      </c>
      <c r="D501" t="s">
        <v>2081</v>
      </c>
      <c r="E501" t="s">
        <v>2082</v>
      </c>
      <c r="F501" t="s">
        <v>216</v>
      </c>
      <c r="G501" t="s">
        <v>246</v>
      </c>
      <c r="J501" t="s">
        <v>247</v>
      </c>
      <c r="K501">
        <v>2025</v>
      </c>
      <c r="L501">
        <v>202510</v>
      </c>
      <c r="M501">
        <v>202510</v>
      </c>
      <c r="N501" t="s">
        <v>248</v>
      </c>
      <c r="O501" t="s">
        <v>2072</v>
      </c>
      <c r="P501" t="s">
        <v>249</v>
      </c>
      <c r="Q501" t="s">
        <v>216</v>
      </c>
      <c r="R501" t="s">
        <v>246</v>
      </c>
      <c r="S501" t="s">
        <v>38</v>
      </c>
      <c r="T501" s="70" t="str">
        <f>_xlfn.XLOOKUP(Tabla1[[#This Row],[Universidad]],Conversiones!$B:$B,Conversiones!$C:$C)</f>
        <v>Aston University</v>
      </c>
      <c r="U501" s="70" t="str">
        <f>_xlfn.XLOOKUP(Tabla1[[#This Row],[Universidad KPIs]],Conversiones!$C:$C,Conversiones!$E:$E)</f>
        <v>Específico</v>
      </c>
      <c r="V501" t="s">
        <v>39</v>
      </c>
      <c r="W501" t="s">
        <v>250</v>
      </c>
      <c r="X501" s="2">
        <v>45678</v>
      </c>
      <c r="Y501" s="2">
        <v>45801</v>
      </c>
      <c r="Z501">
        <v>123</v>
      </c>
      <c r="AA501" s="2"/>
      <c r="AF501" s="126"/>
    </row>
    <row r="502" spans="1:32">
      <c r="A502" s="68" t="s">
        <v>2083</v>
      </c>
      <c r="B502" s="1">
        <v>202014891</v>
      </c>
      <c r="C502" s="1" t="s">
        <v>2084</v>
      </c>
      <c r="D502" s="1" t="s">
        <v>2085</v>
      </c>
      <c r="E502" s="1" t="s">
        <v>2086</v>
      </c>
      <c r="F502" s="1" t="s">
        <v>216</v>
      </c>
      <c r="G502" s="1" t="s">
        <v>246</v>
      </c>
      <c r="H502" s="1"/>
      <c r="I502" s="1"/>
      <c r="J502" s="1" t="s">
        <v>247</v>
      </c>
      <c r="K502" s="1">
        <v>2025</v>
      </c>
      <c r="L502" s="1">
        <v>202510</v>
      </c>
      <c r="M502" s="1">
        <v>202510</v>
      </c>
      <c r="N502" s="1" t="s">
        <v>248</v>
      </c>
      <c r="O502" s="1" t="s">
        <v>2072</v>
      </c>
      <c r="P502" s="1" t="s">
        <v>249</v>
      </c>
      <c r="Q502" s="1" t="s">
        <v>216</v>
      </c>
      <c r="R502" s="1" t="s">
        <v>246</v>
      </c>
      <c r="S502" s="1" t="s">
        <v>350</v>
      </c>
      <c r="T502" s="70" t="str">
        <f>_xlfn.XLOOKUP(Tabla1[[#This Row],[Universidad]],Conversiones!$B:$B,Conversiones!$C:$C)</f>
        <v>Audencia. École de Management</v>
      </c>
      <c r="U502" s="70" t="str">
        <f>_xlfn.XLOOKUP(Tabla1[[#This Row],[Universidad KPIs]],Conversiones!$C:$C,Conversiones!$E:$E)</f>
        <v>Específico</v>
      </c>
      <c r="V502" s="1" t="s">
        <v>41</v>
      </c>
      <c r="W502" s="1" t="s">
        <v>250</v>
      </c>
      <c r="X502" s="55">
        <v>45678</v>
      </c>
      <c r="Y502" s="55">
        <v>45801</v>
      </c>
      <c r="Z502" s="1">
        <v>123</v>
      </c>
      <c r="AA502" s="2"/>
    </row>
    <row r="503" spans="1:32">
      <c r="A503" s="67" t="s">
        <v>2087</v>
      </c>
      <c r="B503">
        <v>202112690</v>
      </c>
      <c r="C503" t="s">
        <v>1221</v>
      </c>
      <c r="D503" t="s">
        <v>690</v>
      </c>
      <c r="E503" t="s">
        <v>2088</v>
      </c>
      <c r="F503" t="s">
        <v>216</v>
      </c>
      <c r="G503" t="s">
        <v>246</v>
      </c>
      <c r="H503" t="s">
        <v>460</v>
      </c>
      <c r="I503" t="s">
        <v>461</v>
      </c>
      <c r="J503" t="s">
        <v>247</v>
      </c>
      <c r="K503">
        <v>2025</v>
      </c>
      <c r="L503">
        <v>202510</v>
      </c>
      <c r="M503">
        <v>202510</v>
      </c>
      <c r="N503" t="s">
        <v>248</v>
      </c>
      <c r="O503" t="s">
        <v>2072</v>
      </c>
      <c r="P503" t="s">
        <v>249</v>
      </c>
      <c r="Q503" t="s">
        <v>216</v>
      </c>
      <c r="R503" t="s">
        <v>246</v>
      </c>
      <c r="S503" t="s">
        <v>48</v>
      </c>
      <c r="T503" s="70" t="str">
        <f>_xlfn.XLOOKUP(Tabla1[[#This Row],[Universidad]],Conversiones!$B:$B,Conversiones!$C:$C)</f>
        <v>City University of Hong Kong</v>
      </c>
      <c r="U503" s="70" t="str">
        <f>_xlfn.XLOOKUP(Tabla1[[#This Row],[Universidad KPIs]],Conversiones!$C:$C,Conversiones!$E:$E)</f>
        <v>Específico</v>
      </c>
      <c r="V503" t="s">
        <v>49</v>
      </c>
      <c r="W503" t="s">
        <v>537</v>
      </c>
      <c r="X503" s="2">
        <v>45678</v>
      </c>
      <c r="Y503" s="2">
        <v>45801</v>
      </c>
      <c r="Z503">
        <v>123</v>
      </c>
      <c r="AA503" s="2"/>
      <c r="AF503" s="126"/>
    </row>
    <row r="504" spans="1:32">
      <c r="A504" s="68" t="s">
        <v>2089</v>
      </c>
      <c r="B504" s="1">
        <v>202212404</v>
      </c>
      <c r="C504" s="1" t="s">
        <v>327</v>
      </c>
      <c r="D504" s="1" t="s">
        <v>2090</v>
      </c>
      <c r="E504" s="1" t="s">
        <v>2091</v>
      </c>
      <c r="F504" s="1" t="s">
        <v>216</v>
      </c>
      <c r="G504" s="1" t="s">
        <v>246</v>
      </c>
      <c r="H504" s="1"/>
      <c r="I504" s="1"/>
      <c r="J504" s="1" t="s">
        <v>247</v>
      </c>
      <c r="K504" s="1">
        <v>2025</v>
      </c>
      <c r="L504" s="1">
        <v>202510</v>
      </c>
      <c r="M504" s="1">
        <v>202510</v>
      </c>
      <c r="N504" s="1" t="s">
        <v>248</v>
      </c>
      <c r="O504" s="1" t="s">
        <v>2072</v>
      </c>
      <c r="P504" s="1" t="s">
        <v>249</v>
      </c>
      <c r="Q504" s="1" t="s">
        <v>216</v>
      </c>
      <c r="R504" s="1" t="s">
        <v>246</v>
      </c>
      <c r="S504" s="1" t="s">
        <v>335</v>
      </c>
      <c r="T504" s="70" t="str">
        <f>_xlfn.XLOOKUP(Tabla1[[#This Row],[Universidad]],Conversiones!$B:$B,Conversiones!$C:$C)</f>
        <v>HEC Montréal</v>
      </c>
      <c r="U504" s="70" t="str">
        <f>_xlfn.XLOOKUP(Tabla1[[#This Row],[Universidad KPIs]],Conversiones!$C:$C,Conversiones!$E:$E)</f>
        <v>Específico</v>
      </c>
      <c r="V504" s="1" t="s">
        <v>58</v>
      </c>
      <c r="W504" s="1" t="s">
        <v>260</v>
      </c>
      <c r="X504" s="55">
        <v>45678</v>
      </c>
      <c r="Y504" s="55">
        <v>45801</v>
      </c>
      <c r="Z504" s="1">
        <v>123</v>
      </c>
      <c r="AA504" s="2"/>
    </row>
    <row r="505" spans="1:32">
      <c r="A505" s="67" t="s">
        <v>2092</v>
      </c>
      <c r="B505">
        <v>202323181</v>
      </c>
      <c r="C505" t="s">
        <v>2093</v>
      </c>
      <c r="D505" t="s">
        <v>2094</v>
      </c>
      <c r="E505" t="s">
        <v>2095</v>
      </c>
      <c r="F505" t="s">
        <v>216</v>
      </c>
      <c r="G505" t="s">
        <v>246</v>
      </c>
      <c r="J505" t="s">
        <v>247</v>
      </c>
      <c r="K505">
        <v>2025</v>
      </c>
      <c r="L505">
        <v>202510</v>
      </c>
      <c r="M505">
        <v>202510</v>
      </c>
      <c r="N505" t="s">
        <v>248</v>
      </c>
      <c r="O505" t="s">
        <v>2072</v>
      </c>
      <c r="P505" t="s">
        <v>249</v>
      </c>
      <c r="Q505" t="s">
        <v>216</v>
      </c>
      <c r="R505" t="s">
        <v>246</v>
      </c>
      <c r="S505" t="s">
        <v>50</v>
      </c>
      <c r="T505" s="70" t="str">
        <f>_xlfn.XLOOKUP(Tabla1[[#This Row],[Universidad]],Conversiones!$B:$B,Conversiones!$C:$C)</f>
        <v>EDHEC Business School</v>
      </c>
      <c r="U505" s="70" t="str">
        <f>_xlfn.XLOOKUP(Tabla1[[#This Row],[Universidad KPIs]],Conversiones!$C:$C,Conversiones!$E:$E)</f>
        <v>Específico</v>
      </c>
      <c r="V505" t="s">
        <v>41</v>
      </c>
      <c r="W505" t="s">
        <v>250</v>
      </c>
      <c r="X505" s="2">
        <v>45678</v>
      </c>
      <c r="Y505" s="2">
        <v>45801</v>
      </c>
      <c r="Z505">
        <v>123</v>
      </c>
      <c r="AA505" s="2"/>
    </row>
    <row r="506" spans="1:32">
      <c r="A506" s="68" t="s">
        <v>2096</v>
      </c>
      <c r="B506" s="1">
        <v>202122653</v>
      </c>
      <c r="C506" s="1" t="s">
        <v>949</v>
      </c>
      <c r="D506" s="1" t="s">
        <v>2097</v>
      </c>
      <c r="E506" s="1" t="s">
        <v>2098</v>
      </c>
      <c r="F506" s="1" t="s">
        <v>216</v>
      </c>
      <c r="G506" s="1" t="s">
        <v>246</v>
      </c>
      <c r="H506" s="1" t="s">
        <v>460</v>
      </c>
      <c r="I506" s="1" t="s">
        <v>461</v>
      </c>
      <c r="J506" s="1" t="s">
        <v>247</v>
      </c>
      <c r="K506" s="1">
        <v>2025</v>
      </c>
      <c r="L506" s="1">
        <v>202510</v>
      </c>
      <c r="M506" s="1">
        <v>202510</v>
      </c>
      <c r="N506" s="1" t="s">
        <v>248</v>
      </c>
      <c r="O506" s="1" t="s">
        <v>2072</v>
      </c>
      <c r="P506" s="1" t="s">
        <v>249</v>
      </c>
      <c r="Q506" s="1" t="s">
        <v>216</v>
      </c>
      <c r="R506" s="1" t="s">
        <v>246</v>
      </c>
      <c r="S506" s="1" t="s">
        <v>388</v>
      </c>
      <c r="T506" s="70" t="str">
        <f>_xlfn.XLOOKUP(Tabla1[[#This Row],[Universidad]],Conversiones!$B:$B,Conversiones!$C:$C)</f>
        <v>ESCP</v>
      </c>
      <c r="U506" s="70" t="str">
        <f>_xlfn.XLOOKUP(Tabla1[[#This Row],[Universidad KPIs]],Conversiones!$C:$C,Conversiones!$E:$E)</f>
        <v>Específico</v>
      </c>
      <c r="V506" s="1" t="s">
        <v>41</v>
      </c>
      <c r="W506" s="1" t="s">
        <v>250</v>
      </c>
      <c r="X506" s="55">
        <v>45678</v>
      </c>
      <c r="Y506" s="55">
        <v>45801</v>
      </c>
      <c r="Z506" s="1">
        <v>123</v>
      </c>
      <c r="AA506" s="2"/>
    </row>
    <row r="507" spans="1:32">
      <c r="A507" s="67" t="s">
        <v>2099</v>
      </c>
      <c r="B507">
        <v>202215392</v>
      </c>
      <c r="C507" t="s">
        <v>243</v>
      </c>
      <c r="D507" t="s">
        <v>2100</v>
      </c>
      <c r="E507" t="s">
        <v>2101</v>
      </c>
      <c r="F507" t="s">
        <v>216</v>
      </c>
      <c r="G507" t="s">
        <v>246</v>
      </c>
      <c r="J507" t="s">
        <v>247</v>
      </c>
      <c r="K507">
        <v>2025</v>
      </c>
      <c r="L507">
        <v>202510</v>
      </c>
      <c r="M507">
        <v>202510</v>
      </c>
      <c r="N507" t="s">
        <v>248</v>
      </c>
      <c r="O507" t="s">
        <v>2072</v>
      </c>
      <c r="P507" t="s">
        <v>249</v>
      </c>
      <c r="Q507" t="s">
        <v>216</v>
      </c>
      <c r="R507" t="s">
        <v>246</v>
      </c>
      <c r="S507" t="s">
        <v>298</v>
      </c>
      <c r="T507" s="70" t="str">
        <f>_xlfn.XLOOKUP(Tabla1[[#This Row],[Universidad]],Conversiones!$B:$B,Conversiones!$C:$C)</f>
        <v>ESSEC</v>
      </c>
      <c r="U507" s="70" t="str">
        <f>_xlfn.XLOOKUP(Tabla1[[#This Row],[Universidad KPIs]],Conversiones!$C:$C,Conversiones!$E:$E)</f>
        <v>Específico</v>
      </c>
      <c r="V507" t="s">
        <v>41</v>
      </c>
      <c r="W507" t="s">
        <v>250</v>
      </c>
      <c r="X507" s="2">
        <v>45678</v>
      </c>
      <c r="Y507" s="2">
        <v>45801</v>
      </c>
      <c r="Z507">
        <v>123</v>
      </c>
      <c r="AA507" s="2"/>
    </row>
    <row r="508" spans="1:32">
      <c r="A508" s="68" t="s">
        <v>2102</v>
      </c>
      <c r="B508" s="1">
        <v>202221481</v>
      </c>
      <c r="C508" s="1" t="s">
        <v>783</v>
      </c>
      <c r="D508" s="1" t="s">
        <v>2103</v>
      </c>
      <c r="E508" s="1" t="s">
        <v>2104</v>
      </c>
      <c r="F508" s="1" t="s">
        <v>216</v>
      </c>
      <c r="G508" s="1" t="s">
        <v>246</v>
      </c>
      <c r="H508" s="1"/>
      <c r="I508" s="1"/>
      <c r="J508" s="1" t="s">
        <v>247</v>
      </c>
      <c r="K508" s="1">
        <v>2025</v>
      </c>
      <c r="L508" s="1">
        <v>202510</v>
      </c>
      <c r="M508" s="1">
        <v>202510</v>
      </c>
      <c r="N508" s="1" t="s">
        <v>248</v>
      </c>
      <c r="O508" s="1" t="s">
        <v>2072</v>
      </c>
      <c r="P508" s="1" t="s">
        <v>249</v>
      </c>
      <c r="Q508" s="1" t="s">
        <v>216</v>
      </c>
      <c r="R508" s="1" t="s">
        <v>246</v>
      </c>
      <c r="S508" s="1" t="s">
        <v>298</v>
      </c>
      <c r="T508" s="70" t="str">
        <f>_xlfn.XLOOKUP(Tabla1[[#This Row],[Universidad]],Conversiones!$B:$B,Conversiones!$C:$C)</f>
        <v>ESSEC</v>
      </c>
      <c r="U508" s="70" t="str">
        <f>_xlfn.XLOOKUP(Tabla1[[#This Row],[Universidad KPIs]],Conversiones!$C:$C,Conversiones!$E:$E)</f>
        <v>Específico</v>
      </c>
      <c r="V508" s="1" t="s">
        <v>41</v>
      </c>
      <c r="W508" s="1" t="s">
        <v>250</v>
      </c>
      <c r="X508" s="55">
        <v>45678</v>
      </c>
      <c r="Y508" s="55">
        <v>45801</v>
      </c>
      <c r="Z508" s="1">
        <v>123</v>
      </c>
      <c r="AA508" s="2"/>
    </row>
    <row r="509" spans="1:32">
      <c r="A509" s="67" t="s">
        <v>2105</v>
      </c>
      <c r="B509">
        <v>202220432</v>
      </c>
      <c r="C509" t="s">
        <v>625</v>
      </c>
      <c r="D509" t="s">
        <v>2106</v>
      </c>
      <c r="E509" t="s">
        <v>2107</v>
      </c>
      <c r="F509" t="s">
        <v>216</v>
      </c>
      <c r="G509" t="s">
        <v>246</v>
      </c>
      <c r="J509" t="s">
        <v>247</v>
      </c>
      <c r="K509">
        <v>2025</v>
      </c>
      <c r="L509">
        <v>202510</v>
      </c>
      <c r="M509">
        <v>202510</v>
      </c>
      <c r="N509" t="s">
        <v>248</v>
      </c>
      <c r="O509" t="s">
        <v>2072</v>
      </c>
      <c r="P509" t="s">
        <v>249</v>
      </c>
      <c r="Q509" t="s">
        <v>216</v>
      </c>
      <c r="R509" t="s">
        <v>246</v>
      </c>
      <c r="S509" t="s">
        <v>298</v>
      </c>
      <c r="T509" s="70" t="str">
        <f>_xlfn.XLOOKUP(Tabla1[[#This Row],[Universidad]],Conversiones!$B:$B,Conversiones!$C:$C)</f>
        <v>ESSEC</v>
      </c>
      <c r="U509" s="70" t="str">
        <f>_xlfn.XLOOKUP(Tabla1[[#This Row],[Universidad KPIs]],Conversiones!$C:$C,Conversiones!$E:$E)</f>
        <v>Específico</v>
      </c>
      <c r="V509" t="s">
        <v>41</v>
      </c>
      <c r="W509" t="s">
        <v>250</v>
      </c>
      <c r="X509" s="2">
        <v>45678</v>
      </c>
      <c r="Y509" s="2">
        <v>45801</v>
      </c>
      <c r="Z509">
        <v>123</v>
      </c>
      <c r="AA509" s="2"/>
    </row>
    <row r="510" spans="1:32">
      <c r="A510" s="68" t="s">
        <v>2108</v>
      </c>
      <c r="B510" s="1">
        <v>202111486</v>
      </c>
      <c r="C510" s="1" t="s">
        <v>403</v>
      </c>
      <c r="D510" s="1" t="s">
        <v>2109</v>
      </c>
      <c r="E510" s="1" t="s">
        <v>2110</v>
      </c>
      <c r="F510" s="1" t="s">
        <v>216</v>
      </c>
      <c r="G510" s="1" t="s">
        <v>246</v>
      </c>
      <c r="H510" s="1"/>
      <c r="I510" s="1"/>
      <c r="J510" s="1" t="s">
        <v>247</v>
      </c>
      <c r="K510" s="1">
        <v>2025</v>
      </c>
      <c r="L510" s="1">
        <v>202510</v>
      </c>
      <c r="M510" s="1">
        <v>202510</v>
      </c>
      <c r="N510" s="1" t="s">
        <v>248</v>
      </c>
      <c r="O510" s="1" t="s">
        <v>2072</v>
      </c>
      <c r="P510" s="1" t="s">
        <v>249</v>
      </c>
      <c r="Q510" s="1" t="s">
        <v>216</v>
      </c>
      <c r="R510" s="1" t="s">
        <v>246</v>
      </c>
      <c r="S510" s="1" t="s">
        <v>619</v>
      </c>
      <c r="T510" s="70" t="str">
        <f>_xlfn.XLOOKUP(Tabla1[[#This Row],[Universidad]],Conversiones!$B:$B,Conversiones!$C:$C)</f>
        <v>Grenoble. École de Management</v>
      </c>
      <c r="U510" s="70" t="str">
        <f>_xlfn.XLOOKUP(Tabla1[[#This Row],[Universidad KPIs]],Conversiones!$C:$C,Conversiones!$E:$E)</f>
        <v>Específico</v>
      </c>
      <c r="V510" s="1" t="s">
        <v>41</v>
      </c>
      <c r="W510" s="1" t="s">
        <v>250</v>
      </c>
      <c r="X510" s="55">
        <v>45678</v>
      </c>
      <c r="Y510" s="55">
        <v>45801</v>
      </c>
      <c r="Z510" s="1">
        <v>123</v>
      </c>
      <c r="AA510" s="2"/>
    </row>
    <row r="511" spans="1:32">
      <c r="A511" s="67" t="s">
        <v>2111</v>
      </c>
      <c r="B511">
        <v>202014948</v>
      </c>
      <c r="C511" t="s">
        <v>421</v>
      </c>
      <c r="D511" t="s">
        <v>2112</v>
      </c>
      <c r="E511" t="s">
        <v>2113</v>
      </c>
      <c r="F511" t="s">
        <v>216</v>
      </c>
      <c r="G511" t="s">
        <v>246</v>
      </c>
      <c r="J511" t="s">
        <v>247</v>
      </c>
      <c r="K511">
        <v>2025</v>
      </c>
      <c r="L511">
        <v>202510</v>
      </c>
      <c r="M511">
        <v>202510</v>
      </c>
      <c r="N511" t="s">
        <v>248</v>
      </c>
      <c r="O511" t="s">
        <v>2072</v>
      </c>
      <c r="P511" t="s">
        <v>249</v>
      </c>
      <c r="Q511" t="s">
        <v>216</v>
      </c>
      <c r="R511" t="s">
        <v>246</v>
      </c>
      <c r="S511" t="s">
        <v>410</v>
      </c>
      <c r="T511" s="70" t="str">
        <f>_xlfn.XLOOKUP(Tabla1[[#This Row],[Universidad]],Conversiones!$B:$B,Conversiones!$C:$C)</f>
        <v xml:space="preserve">CBS- Copenhagen Business School  </v>
      </c>
      <c r="U511" s="70" t="str">
        <f>_xlfn.XLOOKUP(Tabla1[[#This Row],[Universidad KPIs]],Conversiones!$C:$C,Conversiones!$E:$E)</f>
        <v>Específico</v>
      </c>
      <c r="V511" t="s">
        <v>47</v>
      </c>
      <c r="W511" t="s">
        <v>250</v>
      </c>
      <c r="X511" s="2">
        <v>45678</v>
      </c>
      <c r="Y511" s="2">
        <v>45801</v>
      </c>
      <c r="Z511">
        <v>123</v>
      </c>
      <c r="AA511" s="2"/>
    </row>
    <row r="512" spans="1:32">
      <c r="A512" s="68" t="s">
        <v>2114</v>
      </c>
      <c r="B512" s="1">
        <v>202211152</v>
      </c>
      <c r="C512" s="1" t="s">
        <v>751</v>
      </c>
      <c r="D512" s="1" t="s">
        <v>2115</v>
      </c>
      <c r="E512" s="1" t="s">
        <v>2116</v>
      </c>
      <c r="F512" s="1" t="s">
        <v>216</v>
      </c>
      <c r="G512" s="1" t="s">
        <v>246</v>
      </c>
      <c r="H512" s="1"/>
      <c r="I512" s="1"/>
      <c r="J512" s="1" t="s">
        <v>247</v>
      </c>
      <c r="K512" s="1">
        <v>2025</v>
      </c>
      <c r="L512" s="1">
        <v>202510</v>
      </c>
      <c r="M512" s="1">
        <v>202510</v>
      </c>
      <c r="N512" s="1" t="s">
        <v>248</v>
      </c>
      <c r="O512" s="1" t="s">
        <v>2072</v>
      </c>
      <c r="P512" s="1" t="s">
        <v>249</v>
      </c>
      <c r="Q512" s="1" t="s">
        <v>216</v>
      </c>
      <c r="R512" s="1" t="s">
        <v>246</v>
      </c>
      <c r="S512" s="1" t="s">
        <v>410</v>
      </c>
      <c r="T512" s="70" t="str">
        <f>_xlfn.XLOOKUP(Tabla1[[#This Row],[Universidad]],Conversiones!$B:$B,Conversiones!$C:$C)</f>
        <v xml:space="preserve">CBS- Copenhagen Business School  </v>
      </c>
      <c r="U512" s="70" t="str">
        <f>_xlfn.XLOOKUP(Tabla1[[#This Row],[Universidad KPIs]],Conversiones!$C:$C,Conversiones!$E:$E)</f>
        <v>Específico</v>
      </c>
      <c r="V512" s="1" t="s">
        <v>47</v>
      </c>
      <c r="W512" s="1" t="s">
        <v>250</v>
      </c>
      <c r="X512" s="55">
        <v>45678</v>
      </c>
      <c r="Y512" s="55">
        <v>45801</v>
      </c>
      <c r="Z512" s="1">
        <v>123</v>
      </c>
      <c r="AA512" s="2"/>
    </row>
    <row r="513" spans="1:27">
      <c r="A513" s="67" t="s">
        <v>1583</v>
      </c>
      <c r="B513">
        <v>202010713</v>
      </c>
      <c r="C513" t="s">
        <v>1285</v>
      </c>
      <c r="D513" t="s">
        <v>1584</v>
      </c>
      <c r="E513" t="s">
        <v>1585</v>
      </c>
      <c r="F513" t="s">
        <v>216</v>
      </c>
      <c r="G513" t="s">
        <v>246</v>
      </c>
      <c r="J513" t="s">
        <v>247</v>
      </c>
      <c r="K513">
        <v>2025</v>
      </c>
      <c r="L513">
        <v>202510</v>
      </c>
      <c r="M513">
        <v>202510</v>
      </c>
      <c r="N513" t="s">
        <v>248</v>
      </c>
      <c r="O513" t="s">
        <v>2072</v>
      </c>
      <c r="P513" t="s">
        <v>249</v>
      </c>
      <c r="Q513" t="s">
        <v>216</v>
      </c>
      <c r="R513" t="s">
        <v>246</v>
      </c>
      <c r="S513" t="s">
        <v>1454</v>
      </c>
      <c r="T513" s="70" t="str">
        <f>_xlfn.XLOOKUP(Tabla1[[#This Row],[Universidad]],Conversiones!$B:$B,Conversiones!$C:$C)</f>
        <v>HEC Paris</v>
      </c>
      <c r="U513" s="70" t="str">
        <f>_xlfn.XLOOKUP(Tabla1[[#This Row],[Universidad KPIs]],Conversiones!$C:$C,Conversiones!$E:$E)</f>
        <v>Específico</v>
      </c>
      <c r="V513" t="s">
        <v>41</v>
      </c>
      <c r="W513" t="s">
        <v>250</v>
      </c>
      <c r="X513" s="2">
        <v>45678</v>
      </c>
      <c r="Y513" s="2">
        <v>45801</v>
      </c>
      <c r="Z513">
        <v>123</v>
      </c>
      <c r="AA513" s="2"/>
    </row>
    <row r="514" spans="1:27">
      <c r="A514" s="68" t="s">
        <v>2117</v>
      </c>
      <c r="B514" s="1">
        <v>202220233</v>
      </c>
      <c r="C514" s="1" t="s">
        <v>426</v>
      </c>
      <c r="D514" s="1" t="s">
        <v>2118</v>
      </c>
      <c r="E514" s="1" t="s">
        <v>2119</v>
      </c>
      <c r="F514" s="1" t="s">
        <v>216</v>
      </c>
      <c r="G514" s="1" t="s">
        <v>246</v>
      </c>
      <c r="H514" s="1"/>
      <c r="I514" s="1"/>
      <c r="J514" s="1" t="s">
        <v>247</v>
      </c>
      <c r="K514" s="1">
        <v>2025</v>
      </c>
      <c r="L514" s="1">
        <v>202510</v>
      </c>
      <c r="M514" s="1">
        <v>202510</v>
      </c>
      <c r="N514" s="1" t="s">
        <v>248</v>
      </c>
      <c r="O514" s="1" t="s">
        <v>2072</v>
      </c>
      <c r="P514" s="1" t="s">
        <v>249</v>
      </c>
      <c r="Q514" s="1" t="s">
        <v>216</v>
      </c>
      <c r="R514" s="1" t="s">
        <v>246</v>
      </c>
      <c r="S514" s="1" t="s">
        <v>1454</v>
      </c>
      <c r="T514" s="70" t="str">
        <f>_xlfn.XLOOKUP(Tabla1[[#This Row],[Universidad]],Conversiones!$B:$B,Conversiones!$C:$C)</f>
        <v>HEC Paris</v>
      </c>
      <c r="U514" s="70" t="str">
        <f>_xlfn.XLOOKUP(Tabla1[[#This Row],[Universidad KPIs]],Conversiones!$C:$C,Conversiones!$E:$E)</f>
        <v>Específico</v>
      </c>
      <c r="V514" s="1" t="s">
        <v>41</v>
      </c>
      <c r="W514" s="1" t="s">
        <v>250</v>
      </c>
      <c r="X514" s="55">
        <v>45678</v>
      </c>
      <c r="Y514" s="55">
        <v>45801</v>
      </c>
      <c r="Z514" s="1">
        <v>123</v>
      </c>
      <c r="AA514" s="2"/>
    </row>
    <row r="515" spans="1:27">
      <c r="A515" s="67" t="s">
        <v>2120</v>
      </c>
      <c r="B515">
        <v>202122753</v>
      </c>
      <c r="C515" t="s">
        <v>403</v>
      </c>
      <c r="D515" t="s">
        <v>2121</v>
      </c>
      <c r="E515" t="s">
        <v>2122</v>
      </c>
      <c r="F515" t="s">
        <v>216</v>
      </c>
      <c r="G515" t="s">
        <v>246</v>
      </c>
      <c r="J515" t="s">
        <v>247</v>
      </c>
      <c r="K515">
        <v>2025</v>
      </c>
      <c r="L515">
        <v>202510</v>
      </c>
      <c r="M515">
        <v>202510</v>
      </c>
      <c r="N515" t="s">
        <v>248</v>
      </c>
      <c r="O515" t="s">
        <v>2072</v>
      </c>
      <c r="P515" t="s">
        <v>249</v>
      </c>
      <c r="Q515" t="s">
        <v>216</v>
      </c>
      <c r="R515" t="s">
        <v>246</v>
      </c>
      <c r="S515" t="s">
        <v>528</v>
      </c>
      <c r="T515" s="70" t="str">
        <f>_xlfn.XLOOKUP(Tabla1[[#This Row],[Universidad]],Conversiones!$B:$B,Conversiones!$C:$C)</f>
        <v>ICN Business School - Institut Commercial de Nancy</v>
      </c>
      <c r="U515" s="70" t="str">
        <f>_xlfn.XLOOKUP(Tabla1[[#This Row],[Universidad KPIs]],Conversiones!$C:$C,Conversiones!$E:$E)</f>
        <v>Específico</v>
      </c>
      <c r="V515" t="s">
        <v>41</v>
      </c>
      <c r="W515" t="s">
        <v>250</v>
      </c>
      <c r="X515" s="2">
        <v>45678</v>
      </c>
      <c r="Y515" s="2">
        <v>45801</v>
      </c>
      <c r="Z515">
        <v>123</v>
      </c>
      <c r="AA515" s="2"/>
    </row>
    <row r="516" spans="1:27">
      <c r="A516" s="68" t="s">
        <v>2123</v>
      </c>
      <c r="B516" s="1">
        <v>202121707</v>
      </c>
      <c r="C516" s="1" t="s">
        <v>2124</v>
      </c>
      <c r="D516" s="1" t="s">
        <v>2125</v>
      </c>
      <c r="E516" s="1" t="s">
        <v>2126</v>
      </c>
      <c r="F516" s="1" t="s">
        <v>216</v>
      </c>
      <c r="G516" s="1" t="s">
        <v>246</v>
      </c>
      <c r="H516" s="1"/>
      <c r="I516" s="1"/>
      <c r="J516" s="1" t="s">
        <v>247</v>
      </c>
      <c r="K516" s="1">
        <v>2025</v>
      </c>
      <c r="L516" s="1">
        <v>202510</v>
      </c>
      <c r="M516" s="1">
        <v>202510</v>
      </c>
      <c r="N516" s="1" t="s">
        <v>248</v>
      </c>
      <c r="O516" s="1" t="s">
        <v>2072</v>
      </c>
      <c r="P516" s="1" t="s">
        <v>249</v>
      </c>
      <c r="Q516" s="1" t="s">
        <v>216</v>
      </c>
      <c r="R516" s="1" t="s">
        <v>246</v>
      </c>
      <c r="S516" s="1" t="s">
        <v>608</v>
      </c>
      <c r="T516" s="70" t="str">
        <f>_xlfn.XLOOKUP(Tabla1[[#This Row],[Universidad]],Conversiones!$B:$B,Conversiones!$C:$C)</f>
        <v>IE Instituto Empresa</v>
      </c>
      <c r="U516" s="70" t="str">
        <f>_xlfn.XLOOKUP(Tabla1[[#This Row],[Universidad KPIs]],Conversiones!$C:$C,Conversiones!$E:$E)</f>
        <v>General</v>
      </c>
      <c r="V516" s="1" t="s">
        <v>53</v>
      </c>
      <c r="W516" s="1" t="s">
        <v>250</v>
      </c>
      <c r="X516" s="55">
        <v>45678</v>
      </c>
      <c r="Y516" s="55">
        <v>45801</v>
      </c>
      <c r="Z516" s="1">
        <v>123</v>
      </c>
      <c r="AA516" s="2"/>
    </row>
    <row r="517" spans="1:27">
      <c r="A517" s="67" t="s">
        <v>2127</v>
      </c>
      <c r="B517">
        <v>202123788</v>
      </c>
      <c r="C517" t="s">
        <v>434</v>
      </c>
      <c r="D517" t="s">
        <v>2128</v>
      </c>
      <c r="E517" t="s">
        <v>2129</v>
      </c>
      <c r="F517" t="s">
        <v>216</v>
      </c>
      <c r="G517" t="s">
        <v>246</v>
      </c>
      <c r="J517" t="s">
        <v>247</v>
      </c>
      <c r="K517">
        <v>2025</v>
      </c>
      <c r="L517">
        <v>202510</v>
      </c>
      <c r="M517">
        <v>202510</v>
      </c>
      <c r="N517" t="s">
        <v>248</v>
      </c>
      <c r="O517" t="s">
        <v>2072</v>
      </c>
      <c r="P517" t="s">
        <v>249</v>
      </c>
      <c r="Q517" t="s">
        <v>216</v>
      </c>
      <c r="R517" t="s">
        <v>246</v>
      </c>
      <c r="S517" t="s">
        <v>147</v>
      </c>
      <c r="T517" s="70" t="str">
        <f>_xlfn.XLOOKUP(Tabla1[[#This Row],[Universidad]],Conversiones!$B:$B,Conversiones!$C:$C)</f>
        <v>Kanagawa University</v>
      </c>
      <c r="U517" s="70" t="str">
        <f>_xlfn.XLOOKUP(Tabla1[[#This Row],[Universidad KPIs]],Conversiones!$C:$C,Conversiones!$E:$E)</f>
        <v>General</v>
      </c>
      <c r="V517" t="s">
        <v>85</v>
      </c>
      <c r="W517" t="s">
        <v>537</v>
      </c>
      <c r="X517" s="2">
        <v>45678</v>
      </c>
      <c r="Y517" s="2">
        <v>45801</v>
      </c>
      <c r="Z517">
        <v>123</v>
      </c>
      <c r="AA517" s="2"/>
    </row>
    <row r="518" spans="1:27">
      <c r="A518" s="68" t="s">
        <v>2130</v>
      </c>
      <c r="B518" s="1">
        <v>202221586</v>
      </c>
      <c r="C518" s="1" t="s">
        <v>1929</v>
      </c>
      <c r="D518" s="1" t="s">
        <v>2131</v>
      </c>
      <c r="E518" s="1" t="s">
        <v>2132</v>
      </c>
      <c r="F518" s="1" t="s">
        <v>216</v>
      </c>
      <c r="G518" s="1" t="s">
        <v>246</v>
      </c>
      <c r="H518" s="1"/>
      <c r="I518" s="1"/>
      <c r="J518" s="1" t="s">
        <v>247</v>
      </c>
      <c r="K518" s="1">
        <v>2025</v>
      </c>
      <c r="L518" s="1">
        <v>202510</v>
      </c>
      <c r="M518" s="1">
        <v>202510</v>
      </c>
      <c r="N518" s="1" t="s">
        <v>248</v>
      </c>
      <c r="O518" s="1" t="s">
        <v>2072</v>
      </c>
      <c r="P518" s="1" t="s">
        <v>249</v>
      </c>
      <c r="Q518" s="1" t="s">
        <v>216</v>
      </c>
      <c r="R518" s="1" t="s">
        <v>246</v>
      </c>
      <c r="S518" s="1" t="s">
        <v>78</v>
      </c>
      <c r="T518" s="70" t="str">
        <f>_xlfn.XLOOKUP(Tabla1[[#This Row],[Universidad]],Conversiones!$B:$B,Conversiones!$C:$C)</f>
        <v>Maastricht University</v>
      </c>
      <c r="U518" s="70" t="str">
        <f>_xlfn.XLOOKUP(Tabla1[[#This Row],[Universidad KPIs]],Conversiones!$C:$C,Conversiones!$E:$E)</f>
        <v>Específico</v>
      </c>
      <c r="V518" s="1" t="s">
        <v>79</v>
      </c>
      <c r="W518" s="1" t="s">
        <v>250</v>
      </c>
      <c r="X518" s="55">
        <v>45678</v>
      </c>
      <c r="Y518" s="55">
        <v>45801</v>
      </c>
      <c r="Z518" s="1">
        <v>123</v>
      </c>
      <c r="AA518" s="2"/>
    </row>
    <row r="519" spans="1:27">
      <c r="A519" s="67" t="s">
        <v>2133</v>
      </c>
      <c r="B519">
        <v>202122504</v>
      </c>
      <c r="C519" t="s">
        <v>2134</v>
      </c>
      <c r="D519" t="s">
        <v>2135</v>
      </c>
      <c r="E519" t="s">
        <v>2136</v>
      </c>
      <c r="F519" t="s">
        <v>216</v>
      </c>
      <c r="G519" t="s">
        <v>246</v>
      </c>
      <c r="J519" t="s">
        <v>247</v>
      </c>
      <c r="K519">
        <v>2025</v>
      </c>
      <c r="L519">
        <v>202510</v>
      </c>
      <c r="M519">
        <v>202510</v>
      </c>
      <c r="N519" t="s">
        <v>248</v>
      </c>
      <c r="O519" t="s">
        <v>2072</v>
      </c>
      <c r="P519" t="s">
        <v>249</v>
      </c>
      <c r="Q519" t="s">
        <v>216</v>
      </c>
      <c r="R519" t="s">
        <v>246</v>
      </c>
      <c r="S519" t="s">
        <v>78</v>
      </c>
      <c r="T519" s="70" t="str">
        <f>_xlfn.XLOOKUP(Tabla1[[#This Row],[Universidad]],Conversiones!$B:$B,Conversiones!$C:$C)</f>
        <v>Maastricht University</v>
      </c>
      <c r="U519" s="70" t="str">
        <f>_xlfn.XLOOKUP(Tabla1[[#This Row],[Universidad KPIs]],Conversiones!$C:$C,Conversiones!$E:$E)</f>
        <v>Específico</v>
      </c>
      <c r="V519" t="s">
        <v>79</v>
      </c>
      <c r="W519" t="s">
        <v>250</v>
      </c>
      <c r="X519" s="2">
        <v>45678</v>
      </c>
      <c r="Y519" s="2">
        <v>45801</v>
      </c>
      <c r="Z519">
        <v>123</v>
      </c>
      <c r="AA519" s="2"/>
    </row>
    <row r="520" spans="1:27">
      <c r="A520" s="68" t="s">
        <v>2137</v>
      </c>
      <c r="B520" s="1">
        <v>202123120</v>
      </c>
      <c r="C520" s="1" t="s">
        <v>2138</v>
      </c>
      <c r="D520" s="1" t="s">
        <v>2139</v>
      </c>
      <c r="E520" s="1" t="s">
        <v>2140</v>
      </c>
      <c r="F520" s="1" t="s">
        <v>216</v>
      </c>
      <c r="G520" s="1" t="s">
        <v>246</v>
      </c>
      <c r="H520" s="1"/>
      <c r="I520" s="1"/>
      <c r="J520" s="1" t="s">
        <v>247</v>
      </c>
      <c r="K520" s="1">
        <v>2025</v>
      </c>
      <c r="L520" s="1">
        <v>202510</v>
      </c>
      <c r="M520" s="1">
        <v>202510</v>
      </c>
      <c r="N520" s="1" t="s">
        <v>248</v>
      </c>
      <c r="O520" s="1" t="s">
        <v>2072</v>
      </c>
      <c r="P520" s="1" t="s">
        <v>249</v>
      </c>
      <c r="Q520" s="1" t="s">
        <v>216</v>
      </c>
      <c r="R520" s="1" t="s">
        <v>246</v>
      </c>
      <c r="S520" s="1" t="s">
        <v>78</v>
      </c>
      <c r="T520" s="70" t="str">
        <f>_xlfn.XLOOKUP(Tabla1[[#This Row],[Universidad]],Conversiones!$B:$B,Conversiones!$C:$C)</f>
        <v>Maastricht University</v>
      </c>
      <c r="U520" s="70" t="str">
        <f>_xlfn.XLOOKUP(Tabla1[[#This Row],[Universidad KPIs]],Conversiones!$C:$C,Conversiones!$E:$E)</f>
        <v>Específico</v>
      </c>
      <c r="V520" s="1" t="s">
        <v>79</v>
      </c>
      <c r="W520" s="1" t="s">
        <v>250</v>
      </c>
      <c r="X520" s="55">
        <v>45678</v>
      </c>
      <c r="Y520" s="55">
        <v>45801</v>
      </c>
      <c r="Z520" s="1">
        <v>123</v>
      </c>
      <c r="AA520" s="2"/>
    </row>
    <row r="521" spans="1:27">
      <c r="A521" s="67" t="s">
        <v>2141</v>
      </c>
      <c r="B521">
        <v>202221473</v>
      </c>
      <c r="C521" t="s">
        <v>2142</v>
      </c>
      <c r="D521" t="s">
        <v>2143</v>
      </c>
      <c r="E521" t="s">
        <v>2144</v>
      </c>
      <c r="F521" t="s">
        <v>216</v>
      </c>
      <c r="G521" t="s">
        <v>246</v>
      </c>
      <c r="J521" t="s">
        <v>247</v>
      </c>
      <c r="K521">
        <v>2025</v>
      </c>
      <c r="L521">
        <v>202510</v>
      </c>
      <c r="M521">
        <v>202510</v>
      </c>
      <c r="N521" t="s">
        <v>248</v>
      </c>
      <c r="O521" t="s">
        <v>2072</v>
      </c>
      <c r="P521" t="s">
        <v>249</v>
      </c>
      <c r="Q521" t="s">
        <v>216</v>
      </c>
      <c r="R521" t="s">
        <v>246</v>
      </c>
      <c r="S521" t="s">
        <v>78</v>
      </c>
      <c r="T521" s="70" t="str">
        <f>_xlfn.XLOOKUP(Tabla1[[#This Row],[Universidad]],Conversiones!$B:$B,Conversiones!$C:$C)</f>
        <v>Maastricht University</v>
      </c>
      <c r="U521" s="70" t="str">
        <f>_xlfn.XLOOKUP(Tabla1[[#This Row],[Universidad KPIs]],Conversiones!$C:$C,Conversiones!$E:$E)</f>
        <v>Específico</v>
      </c>
      <c r="V521" t="s">
        <v>79</v>
      </c>
      <c r="W521" t="s">
        <v>250</v>
      </c>
      <c r="X521" s="2">
        <v>45678</v>
      </c>
      <c r="Y521" s="2">
        <v>45801</v>
      </c>
      <c r="Z521">
        <v>123</v>
      </c>
      <c r="AA521" s="2"/>
    </row>
    <row r="522" spans="1:27">
      <c r="A522" s="68" t="s">
        <v>2145</v>
      </c>
      <c r="B522" s="1">
        <v>202121653</v>
      </c>
      <c r="C522" s="1" t="s">
        <v>1285</v>
      </c>
      <c r="D522" s="1" t="s">
        <v>2146</v>
      </c>
      <c r="E522" s="1" t="s">
        <v>2147</v>
      </c>
      <c r="F522" s="1" t="s">
        <v>216</v>
      </c>
      <c r="G522" s="1" t="s">
        <v>246</v>
      </c>
      <c r="H522" s="1"/>
      <c r="I522" s="1"/>
      <c r="J522" s="1" t="s">
        <v>247</v>
      </c>
      <c r="K522" s="1">
        <v>2025</v>
      </c>
      <c r="L522" s="1">
        <v>202510</v>
      </c>
      <c r="M522" s="1">
        <v>202510</v>
      </c>
      <c r="N522" s="1" t="s">
        <v>248</v>
      </c>
      <c r="O522" s="1" t="s">
        <v>2072</v>
      </c>
      <c r="P522" s="1" t="s">
        <v>249</v>
      </c>
      <c r="Q522" s="1" t="s">
        <v>216</v>
      </c>
      <c r="R522" s="1" t="s">
        <v>246</v>
      </c>
      <c r="S522" s="1" t="s">
        <v>78</v>
      </c>
      <c r="T522" s="70" t="str">
        <f>_xlfn.XLOOKUP(Tabla1[[#This Row],[Universidad]],Conversiones!$B:$B,Conversiones!$C:$C)</f>
        <v>Maastricht University</v>
      </c>
      <c r="U522" s="70" t="str">
        <f>_xlfn.XLOOKUP(Tabla1[[#This Row],[Universidad KPIs]],Conversiones!$C:$C,Conversiones!$E:$E)</f>
        <v>Específico</v>
      </c>
      <c r="V522" s="1" t="s">
        <v>79</v>
      </c>
      <c r="W522" s="1" t="s">
        <v>250</v>
      </c>
      <c r="X522" s="55">
        <v>45678</v>
      </c>
      <c r="Y522" s="55">
        <v>45801</v>
      </c>
      <c r="Z522" s="1">
        <v>123</v>
      </c>
      <c r="AA522" s="2"/>
    </row>
    <row r="523" spans="1:27">
      <c r="A523" s="67" t="s">
        <v>2148</v>
      </c>
      <c r="B523">
        <v>202123280</v>
      </c>
      <c r="C523" t="s">
        <v>1837</v>
      </c>
      <c r="D523" t="s">
        <v>2149</v>
      </c>
      <c r="E523" t="s">
        <v>2150</v>
      </c>
      <c r="F523" t="s">
        <v>216</v>
      </c>
      <c r="G523" t="s">
        <v>246</v>
      </c>
      <c r="J523" t="s">
        <v>247</v>
      </c>
      <c r="K523">
        <v>2025</v>
      </c>
      <c r="L523">
        <v>202510</v>
      </c>
      <c r="M523">
        <v>202510</v>
      </c>
      <c r="N523" t="s">
        <v>248</v>
      </c>
      <c r="O523" t="s">
        <v>2072</v>
      </c>
      <c r="P523" t="s">
        <v>249</v>
      </c>
      <c r="Q523" t="s">
        <v>216</v>
      </c>
      <c r="R523" t="s">
        <v>246</v>
      </c>
      <c r="S523" t="s">
        <v>78</v>
      </c>
      <c r="T523" s="70" t="str">
        <f>_xlfn.XLOOKUP(Tabla1[[#This Row],[Universidad]],Conversiones!$B:$B,Conversiones!$C:$C)</f>
        <v>Maastricht University</v>
      </c>
      <c r="U523" s="70" t="str">
        <f>_xlfn.XLOOKUP(Tabla1[[#This Row],[Universidad KPIs]],Conversiones!$C:$C,Conversiones!$E:$E)</f>
        <v>Específico</v>
      </c>
      <c r="V523" t="s">
        <v>79</v>
      </c>
      <c r="W523" t="s">
        <v>250</v>
      </c>
      <c r="X523" s="2">
        <v>45678</v>
      </c>
      <c r="Y523" s="2">
        <v>45801</v>
      </c>
      <c r="Z523">
        <v>123</v>
      </c>
      <c r="AA523" s="2"/>
    </row>
    <row r="524" spans="1:27">
      <c r="A524" s="68" t="s">
        <v>2151</v>
      </c>
      <c r="B524" s="1">
        <v>202223398</v>
      </c>
      <c r="C524" s="1" t="s">
        <v>403</v>
      </c>
      <c r="D524" s="1" t="s">
        <v>2152</v>
      </c>
      <c r="E524" s="1" t="s">
        <v>2153</v>
      </c>
      <c r="F524" s="1" t="s">
        <v>216</v>
      </c>
      <c r="G524" s="1" t="s">
        <v>246</v>
      </c>
      <c r="H524" s="1"/>
      <c r="I524" s="1"/>
      <c r="J524" s="1" t="s">
        <v>247</v>
      </c>
      <c r="K524" s="1">
        <v>2025</v>
      </c>
      <c r="L524" s="1">
        <v>202510</v>
      </c>
      <c r="M524" s="1">
        <v>202510</v>
      </c>
      <c r="N524" s="1" t="s">
        <v>248</v>
      </c>
      <c r="O524" s="1" t="s">
        <v>2072</v>
      </c>
      <c r="P524" s="1" t="s">
        <v>249</v>
      </c>
      <c r="Q524" s="1" t="s">
        <v>216</v>
      </c>
      <c r="R524" s="1" t="s">
        <v>246</v>
      </c>
      <c r="S524" s="1" t="s">
        <v>78</v>
      </c>
      <c r="T524" s="70" t="str">
        <f>_xlfn.XLOOKUP(Tabla1[[#This Row],[Universidad]],Conversiones!$B:$B,Conversiones!$C:$C)</f>
        <v>Maastricht University</v>
      </c>
      <c r="U524" s="70" t="str">
        <f>_xlfn.XLOOKUP(Tabla1[[#This Row],[Universidad KPIs]],Conversiones!$C:$C,Conversiones!$E:$E)</f>
        <v>Específico</v>
      </c>
      <c r="V524" s="1" t="s">
        <v>79</v>
      </c>
      <c r="W524" s="1" t="s">
        <v>250</v>
      </c>
      <c r="X524" s="55">
        <v>45678</v>
      </c>
      <c r="Y524" s="55">
        <v>45801</v>
      </c>
      <c r="Z524" s="1">
        <v>123</v>
      </c>
      <c r="AA524" s="2"/>
    </row>
    <row r="525" spans="1:27">
      <c r="A525" s="67" t="s">
        <v>2154</v>
      </c>
      <c r="B525">
        <v>202210532</v>
      </c>
      <c r="C525" t="s">
        <v>2155</v>
      </c>
      <c r="D525" t="s">
        <v>2156</v>
      </c>
      <c r="E525" t="s">
        <v>2157</v>
      </c>
      <c r="F525" t="s">
        <v>216</v>
      </c>
      <c r="G525" t="s">
        <v>246</v>
      </c>
      <c r="J525" t="s">
        <v>247</v>
      </c>
      <c r="K525">
        <v>2025</v>
      </c>
      <c r="L525">
        <v>202510</v>
      </c>
      <c r="M525">
        <v>202510</v>
      </c>
      <c r="N525" t="s">
        <v>248</v>
      </c>
      <c r="O525" t="s">
        <v>2072</v>
      </c>
      <c r="P525" t="s">
        <v>249</v>
      </c>
      <c r="Q525" t="s">
        <v>216</v>
      </c>
      <c r="R525" t="s">
        <v>246</v>
      </c>
      <c r="S525" t="s">
        <v>255</v>
      </c>
      <c r="T525" s="70" t="str">
        <f>_xlfn.XLOOKUP(Tabla1[[#This Row],[Universidad]],Conversiones!$B:$B,Conversiones!$C:$C)</f>
        <v>ESC Rouen (NEOMA)</v>
      </c>
      <c r="U525" s="70" t="str">
        <f>_xlfn.XLOOKUP(Tabla1[[#This Row],[Universidad KPIs]],Conversiones!$C:$C,Conversiones!$E:$E)</f>
        <v>Específico</v>
      </c>
      <c r="V525" t="s">
        <v>41</v>
      </c>
      <c r="W525" t="s">
        <v>250</v>
      </c>
      <c r="X525" s="2">
        <v>45678</v>
      </c>
      <c r="Y525" s="2">
        <v>45801</v>
      </c>
      <c r="Z525">
        <v>123</v>
      </c>
      <c r="AA525" s="2"/>
    </row>
    <row r="526" spans="1:27">
      <c r="A526" s="68" t="s">
        <v>2158</v>
      </c>
      <c r="B526" s="1">
        <v>202112101</v>
      </c>
      <c r="C526" s="1" t="s">
        <v>728</v>
      </c>
      <c r="D526" s="1" t="s">
        <v>2159</v>
      </c>
      <c r="E526" s="1" t="s">
        <v>2160</v>
      </c>
      <c r="F526" s="1" t="s">
        <v>216</v>
      </c>
      <c r="G526" s="1" t="s">
        <v>246</v>
      </c>
      <c r="H526" s="1"/>
      <c r="I526" s="1"/>
      <c r="J526" s="1" t="s">
        <v>247</v>
      </c>
      <c r="K526" s="1">
        <v>2025</v>
      </c>
      <c r="L526" s="1">
        <v>202510</v>
      </c>
      <c r="M526" s="1">
        <v>202510</v>
      </c>
      <c r="N526" s="1" t="s">
        <v>248</v>
      </c>
      <c r="O526" s="1" t="s">
        <v>2072</v>
      </c>
      <c r="P526" s="1" t="s">
        <v>249</v>
      </c>
      <c r="Q526" s="1" t="s">
        <v>216</v>
      </c>
      <c r="R526" s="1" t="s">
        <v>246</v>
      </c>
      <c r="S526" s="1" t="s">
        <v>255</v>
      </c>
      <c r="T526" s="70" t="str">
        <f>_xlfn.XLOOKUP(Tabla1[[#This Row],[Universidad]],Conversiones!$B:$B,Conversiones!$C:$C)</f>
        <v>ESC Rouen (NEOMA)</v>
      </c>
      <c r="U526" s="70" t="str">
        <f>_xlfn.XLOOKUP(Tabla1[[#This Row],[Universidad KPIs]],Conversiones!$C:$C,Conversiones!$E:$E)</f>
        <v>Específico</v>
      </c>
      <c r="V526" s="1" t="s">
        <v>41</v>
      </c>
      <c r="W526" s="1" t="s">
        <v>250</v>
      </c>
      <c r="X526" s="55">
        <v>45678</v>
      </c>
      <c r="Y526" s="55">
        <v>45801</v>
      </c>
      <c r="Z526" s="1">
        <v>123</v>
      </c>
      <c r="AA526" s="2"/>
    </row>
    <row r="527" spans="1:27">
      <c r="A527" s="67" t="s">
        <v>2161</v>
      </c>
      <c r="B527">
        <v>202123854</v>
      </c>
      <c r="C527" t="s">
        <v>751</v>
      </c>
      <c r="D527" t="s">
        <v>2162</v>
      </c>
      <c r="E527" t="s">
        <v>2163</v>
      </c>
      <c r="F527" t="s">
        <v>216</v>
      </c>
      <c r="G527" t="s">
        <v>246</v>
      </c>
      <c r="J527" t="s">
        <v>247</v>
      </c>
      <c r="K527">
        <v>2025</v>
      </c>
      <c r="L527">
        <v>202510</v>
      </c>
      <c r="M527">
        <v>202510</v>
      </c>
      <c r="N527" t="s">
        <v>248</v>
      </c>
      <c r="O527" t="s">
        <v>2072</v>
      </c>
      <c r="P527" t="s">
        <v>249</v>
      </c>
      <c r="Q527" t="s">
        <v>216</v>
      </c>
      <c r="R527" t="s">
        <v>246</v>
      </c>
      <c r="S527" t="s">
        <v>148</v>
      </c>
      <c r="T527" s="70" t="str">
        <f>_xlfn.XLOOKUP(Tabla1[[#This Row],[Universidad]],Conversiones!$B:$B,Conversiones!$C:$C)</f>
        <v>Newcastle University</v>
      </c>
      <c r="U527" s="70" t="str">
        <f>_xlfn.XLOOKUP(Tabla1[[#This Row],[Universidad KPIs]],Conversiones!$C:$C,Conversiones!$E:$E)</f>
        <v>General</v>
      </c>
      <c r="V527" t="s">
        <v>39</v>
      </c>
      <c r="W527" t="s">
        <v>250</v>
      </c>
      <c r="X527" s="2">
        <v>45678</v>
      </c>
      <c r="Y527" s="2">
        <v>45801</v>
      </c>
      <c r="Z527">
        <v>123</v>
      </c>
      <c r="AA527" s="2"/>
    </row>
    <row r="528" spans="1:27">
      <c r="A528" s="68" t="s">
        <v>2164</v>
      </c>
      <c r="B528" s="1">
        <v>202121970</v>
      </c>
      <c r="C528" s="1" t="s">
        <v>2165</v>
      </c>
      <c r="D528" s="1" t="s">
        <v>2166</v>
      </c>
      <c r="E528" s="1" t="s">
        <v>2167</v>
      </c>
      <c r="F528" s="1" t="s">
        <v>216</v>
      </c>
      <c r="G528" s="1" t="s">
        <v>246</v>
      </c>
      <c r="H528" s="1"/>
      <c r="I528" s="1"/>
      <c r="J528" s="1" t="s">
        <v>247</v>
      </c>
      <c r="K528" s="1">
        <v>2025</v>
      </c>
      <c r="L528" s="1">
        <v>202510</v>
      </c>
      <c r="M528" s="1">
        <v>202510</v>
      </c>
      <c r="N528" s="1" t="s">
        <v>248</v>
      </c>
      <c r="O528" s="1" t="s">
        <v>2072</v>
      </c>
      <c r="P528" s="1" t="s">
        <v>249</v>
      </c>
      <c r="Q528" s="1" t="s">
        <v>216</v>
      </c>
      <c r="R528" s="1" t="s">
        <v>246</v>
      </c>
      <c r="S528" s="1" t="s">
        <v>148</v>
      </c>
      <c r="T528" s="70" t="str">
        <f>_xlfn.XLOOKUP(Tabla1[[#This Row],[Universidad]],Conversiones!$B:$B,Conversiones!$C:$C)</f>
        <v>Newcastle University</v>
      </c>
      <c r="U528" s="70" t="str">
        <f>_xlfn.XLOOKUP(Tabla1[[#This Row],[Universidad KPIs]],Conversiones!$C:$C,Conversiones!$E:$E)</f>
        <v>General</v>
      </c>
      <c r="V528" s="1" t="s">
        <v>39</v>
      </c>
      <c r="W528" s="1" t="s">
        <v>250</v>
      </c>
      <c r="X528" s="55">
        <v>45678</v>
      </c>
      <c r="Y528" s="55">
        <v>45801</v>
      </c>
      <c r="Z528" s="1">
        <v>123</v>
      </c>
      <c r="AA528" s="2"/>
    </row>
    <row r="529" spans="1:27">
      <c r="A529" s="67" t="s">
        <v>2168</v>
      </c>
      <c r="B529">
        <v>202111671</v>
      </c>
      <c r="C529" t="s">
        <v>503</v>
      </c>
      <c r="D529" t="s">
        <v>2169</v>
      </c>
      <c r="E529" t="s">
        <v>2170</v>
      </c>
      <c r="F529" t="s">
        <v>216</v>
      </c>
      <c r="G529" t="s">
        <v>246</v>
      </c>
      <c r="J529" t="s">
        <v>247</v>
      </c>
      <c r="K529">
        <v>2025</v>
      </c>
      <c r="L529">
        <v>202510</v>
      </c>
      <c r="M529">
        <v>202510</v>
      </c>
      <c r="N529" t="s">
        <v>248</v>
      </c>
      <c r="O529" t="s">
        <v>2072</v>
      </c>
      <c r="P529" t="s">
        <v>249</v>
      </c>
      <c r="Q529" t="s">
        <v>216</v>
      </c>
      <c r="R529" t="s">
        <v>246</v>
      </c>
      <c r="S529" t="s">
        <v>132</v>
      </c>
      <c r="T529" s="70" t="str">
        <f>_xlfn.XLOOKUP(Tabla1[[#This Row],[Universidad]],Conversiones!$B:$B,Conversiones!$C:$C)</f>
        <v>Northumbria University, Newcastle</v>
      </c>
      <c r="U529" s="70" t="str">
        <f>_xlfn.XLOOKUP(Tabla1[[#This Row],[Universidad KPIs]],Conversiones!$C:$C,Conversiones!$E:$E)</f>
        <v>General</v>
      </c>
      <c r="V529" t="s">
        <v>39</v>
      </c>
      <c r="W529" t="s">
        <v>250</v>
      </c>
      <c r="X529" s="2">
        <v>45678</v>
      </c>
      <c r="Y529" s="2">
        <v>45801</v>
      </c>
      <c r="Z529">
        <v>123</v>
      </c>
      <c r="AA529" s="2"/>
    </row>
    <row r="530" spans="1:27">
      <c r="A530" s="68" t="s">
        <v>2171</v>
      </c>
      <c r="B530" s="1">
        <v>202122978</v>
      </c>
      <c r="C530" s="1" t="s">
        <v>703</v>
      </c>
      <c r="D530" s="1" t="s">
        <v>2172</v>
      </c>
      <c r="E530" s="1" t="s">
        <v>2173</v>
      </c>
      <c r="F530" s="1" t="s">
        <v>216</v>
      </c>
      <c r="G530" s="1" t="s">
        <v>246</v>
      </c>
      <c r="H530" s="1" t="s">
        <v>216</v>
      </c>
      <c r="I530" s="1" t="s">
        <v>246</v>
      </c>
      <c r="J530" s="1" t="s">
        <v>247</v>
      </c>
      <c r="K530" s="1">
        <v>2025</v>
      </c>
      <c r="L530" s="1">
        <v>202510</v>
      </c>
      <c r="M530" s="1">
        <v>202510</v>
      </c>
      <c r="N530" s="1" t="s">
        <v>248</v>
      </c>
      <c r="O530" s="1" t="s">
        <v>2072</v>
      </c>
      <c r="P530" s="1" t="s">
        <v>249</v>
      </c>
      <c r="Q530" s="1" t="s">
        <v>216</v>
      </c>
      <c r="R530" s="1" t="s">
        <v>246</v>
      </c>
      <c r="S530" s="1" t="s">
        <v>89</v>
      </c>
      <c r="T530" s="70" t="str">
        <f>_xlfn.XLOOKUP(Tabla1[[#This Row],[Universidad]],Conversiones!$B:$B,Conversiones!$C:$C)</f>
        <v>Queensland University of Technology</v>
      </c>
      <c r="U530" s="70" t="str">
        <f>_xlfn.XLOOKUP(Tabla1[[#This Row],[Universidad KPIs]],Conversiones!$C:$C,Conversiones!$E:$E)</f>
        <v>Específico</v>
      </c>
      <c r="V530" s="1" t="s">
        <v>90</v>
      </c>
      <c r="W530" s="1" t="s">
        <v>354</v>
      </c>
      <c r="X530" s="55">
        <v>45678</v>
      </c>
      <c r="Y530" s="55">
        <v>45801</v>
      </c>
      <c r="Z530" s="1">
        <v>123</v>
      </c>
      <c r="AA530" s="2"/>
    </row>
    <row r="531" spans="1:27">
      <c r="A531" s="67" t="s">
        <v>2174</v>
      </c>
      <c r="B531">
        <v>202122946</v>
      </c>
      <c r="C531" t="s">
        <v>364</v>
      </c>
      <c r="D531" t="s">
        <v>2175</v>
      </c>
      <c r="E531" t="s">
        <v>2176</v>
      </c>
      <c r="F531" t="s">
        <v>216</v>
      </c>
      <c r="G531" t="s">
        <v>246</v>
      </c>
      <c r="J531" t="s">
        <v>247</v>
      </c>
      <c r="K531">
        <v>2025</v>
      </c>
      <c r="L531">
        <v>202510</v>
      </c>
      <c r="M531">
        <v>202510</v>
      </c>
      <c r="N531" t="s">
        <v>248</v>
      </c>
      <c r="O531" t="s">
        <v>2072</v>
      </c>
      <c r="P531" t="s">
        <v>249</v>
      </c>
      <c r="Q531" t="s">
        <v>216</v>
      </c>
      <c r="R531" t="s">
        <v>246</v>
      </c>
      <c r="S531" t="s">
        <v>89</v>
      </c>
      <c r="T531" s="70" t="str">
        <f>_xlfn.XLOOKUP(Tabla1[[#This Row],[Universidad]],Conversiones!$B:$B,Conversiones!$C:$C)</f>
        <v>Queensland University of Technology</v>
      </c>
      <c r="U531" s="70" t="str">
        <f>_xlfn.XLOOKUP(Tabla1[[#This Row],[Universidad KPIs]],Conversiones!$C:$C,Conversiones!$E:$E)</f>
        <v>Específico</v>
      </c>
      <c r="V531" t="s">
        <v>90</v>
      </c>
      <c r="W531" t="s">
        <v>354</v>
      </c>
      <c r="X531" s="2">
        <v>45678</v>
      </c>
      <c r="Y531" s="2">
        <v>45801</v>
      </c>
      <c r="Z531">
        <v>123</v>
      </c>
      <c r="AA531" s="2"/>
    </row>
    <row r="532" spans="1:27">
      <c r="A532" s="68" t="s">
        <v>2177</v>
      </c>
      <c r="B532" s="1">
        <v>202123543</v>
      </c>
      <c r="C532" s="1" t="s">
        <v>1221</v>
      </c>
      <c r="D532" s="1" t="s">
        <v>2178</v>
      </c>
      <c r="E532" s="1" t="s">
        <v>2179</v>
      </c>
      <c r="F532" s="1" t="s">
        <v>216</v>
      </c>
      <c r="G532" s="1" t="s">
        <v>246</v>
      </c>
      <c r="H532" s="1"/>
      <c r="I532" s="1"/>
      <c r="J532" s="1" t="s">
        <v>247</v>
      </c>
      <c r="K532" s="1">
        <v>2025</v>
      </c>
      <c r="L532" s="1">
        <v>202510</v>
      </c>
      <c r="M532" s="1">
        <v>202510</v>
      </c>
      <c r="N532" s="1" t="s">
        <v>248</v>
      </c>
      <c r="O532" s="1" t="s">
        <v>2072</v>
      </c>
      <c r="P532" s="1" t="s">
        <v>249</v>
      </c>
      <c r="Q532" s="1" t="s">
        <v>216</v>
      </c>
      <c r="R532" s="1" t="s">
        <v>246</v>
      </c>
      <c r="S532" s="1" t="s">
        <v>149</v>
      </c>
      <c r="T532" s="70" t="str">
        <f>_xlfn.XLOOKUP(Tabla1[[#This Row],[Universidad]],Conversiones!$B:$B,Conversiones!$C:$C)</f>
        <v>Swinburne University of Technology</v>
      </c>
      <c r="U532" s="70" t="str">
        <f>_xlfn.XLOOKUP(Tabla1[[#This Row],[Universidad KPIs]],Conversiones!$C:$C,Conversiones!$E:$E)</f>
        <v>General</v>
      </c>
      <c r="V532" s="1" t="s">
        <v>90</v>
      </c>
      <c r="W532" s="1" t="s">
        <v>354</v>
      </c>
      <c r="X532" s="55">
        <v>45678</v>
      </c>
      <c r="Y532" s="55">
        <v>45801</v>
      </c>
      <c r="Z532" s="1">
        <v>123</v>
      </c>
      <c r="AA532" s="2"/>
    </row>
    <row r="533" spans="1:27">
      <c r="A533" s="67" t="s">
        <v>2180</v>
      </c>
      <c r="B533">
        <v>202122516</v>
      </c>
      <c r="C533" t="s">
        <v>475</v>
      </c>
      <c r="D533" t="s">
        <v>2181</v>
      </c>
      <c r="E533" t="s">
        <v>2182</v>
      </c>
      <c r="F533" t="s">
        <v>216</v>
      </c>
      <c r="G533" t="s">
        <v>246</v>
      </c>
      <c r="H533" t="s">
        <v>506</v>
      </c>
      <c r="I533" t="s">
        <v>507</v>
      </c>
      <c r="J533" t="s">
        <v>247</v>
      </c>
      <c r="K533">
        <v>2025</v>
      </c>
      <c r="L533">
        <v>202510</v>
      </c>
      <c r="M533">
        <v>202510</v>
      </c>
      <c r="N533" t="s">
        <v>248</v>
      </c>
      <c r="O533" t="s">
        <v>2072</v>
      </c>
      <c r="P533" t="s">
        <v>249</v>
      </c>
      <c r="Q533" t="s">
        <v>216</v>
      </c>
      <c r="R533" t="s">
        <v>246</v>
      </c>
      <c r="S533" t="s">
        <v>738</v>
      </c>
      <c r="T533" s="70" t="str">
        <f>_xlfn.XLOOKUP(Tabla1[[#This Row],[Universidad]],Conversiones!$B:$B,Conversiones!$C:$C)</f>
        <v>Universidad de Tilburg</v>
      </c>
      <c r="U533" s="70" t="str">
        <f>_xlfn.XLOOKUP(Tabla1[[#This Row],[Universidad KPIs]],Conversiones!$C:$C,Conversiones!$E:$E)</f>
        <v>Específico</v>
      </c>
      <c r="V533" t="s">
        <v>79</v>
      </c>
      <c r="W533" t="s">
        <v>250</v>
      </c>
      <c r="X533" s="2">
        <v>45678</v>
      </c>
      <c r="Y533" s="2">
        <v>45801</v>
      </c>
      <c r="Z533">
        <v>123</v>
      </c>
      <c r="AA533" s="2"/>
    </row>
    <row r="534" spans="1:27">
      <c r="A534" s="67" t="s">
        <v>2183</v>
      </c>
      <c r="B534">
        <v>202122506</v>
      </c>
      <c r="C534" t="s">
        <v>2134</v>
      </c>
      <c r="D534" t="s">
        <v>2184</v>
      </c>
      <c r="E534" t="s">
        <v>2185</v>
      </c>
      <c r="F534" t="s">
        <v>216</v>
      </c>
      <c r="G534" t="s">
        <v>246</v>
      </c>
      <c r="H534" t="s">
        <v>1083</v>
      </c>
      <c r="I534" t="s">
        <v>995</v>
      </c>
      <c r="J534" t="s">
        <v>247</v>
      </c>
      <c r="K534">
        <v>2025</v>
      </c>
      <c r="L534">
        <v>202510</v>
      </c>
      <c r="M534">
        <v>202510</v>
      </c>
      <c r="N534" t="s">
        <v>248</v>
      </c>
      <c r="O534" t="s">
        <v>2072</v>
      </c>
      <c r="P534" t="s">
        <v>249</v>
      </c>
      <c r="Q534" t="s">
        <v>216</v>
      </c>
      <c r="R534" t="s">
        <v>246</v>
      </c>
      <c r="S534" t="s">
        <v>279</v>
      </c>
      <c r="T534" s="70" t="str">
        <f>_xlfn.XLOOKUP(Tabla1[[#This Row],[Universidad]],Conversiones!$B:$B,Conversiones!$C:$C)</f>
        <v>Toulouse Business School</v>
      </c>
      <c r="U534" s="70" t="str">
        <f>_xlfn.XLOOKUP(Tabla1[[#This Row],[Universidad KPIs]],Conversiones!$C:$C,Conversiones!$E:$E)</f>
        <v>Específico</v>
      </c>
      <c r="V534" t="s">
        <v>41</v>
      </c>
      <c r="W534" t="s">
        <v>250</v>
      </c>
      <c r="X534" s="2">
        <v>45678</v>
      </c>
      <c r="Y534" s="2">
        <v>45801</v>
      </c>
      <c r="Z534">
        <v>123</v>
      </c>
      <c r="AA534" s="2"/>
    </row>
    <row r="535" spans="1:27">
      <c r="A535" s="68" t="s">
        <v>2186</v>
      </c>
      <c r="B535" s="1">
        <v>202220246</v>
      </c>
      <c r="C535" s="1" t="s">
        <v>546</v>
      </c>
      <c r="D535" s="1" t="s">
        <v>2187</v>
      </c>
      <c r="E535" s="1" t="s">
        <v>2188</v>
      </c>
      <c r="F535" s="1" t="s">
        <v>216</v>
      </c>
      <c r="G535" s="1" t="s">
        <v>246</v>
      </c>
      <c r="H535" s="1"/>
      <c r="I535" s="1"/>
      <c r="J535" s="1" t="s">
        <v>247</v>
      </c>
      <c r="K535" s="1">
        <v>2025</v>
      </c>
      <c r="L535" s="1">
        <v>202510</v>
      </c>
      <c r="M535" s="1">
        <v>202510</v>
      </c>
      <c r="N535" s="1" t="s">
        <v>248</v>
      </c>
      <c r="O535" s="1" t="s">
        <v>2072</v>
      </c>
      <c r="P535" s="1" t="s">
        <v>249</v>
      </c>
      <c r="Q535" s="1" t="s">
        <v>216</v>
      </c>
      <c r="R535" s="1" t="s">
        <v>246</v>
      </c>
      <c r="S535" s="1" t="s">
        <v>279</v>
      </c>
      <c r="T535" s="70" t="str">
        <f>_xlfn.XLOOKUP(Tabla1[[#This Row],[Universidad]],Conversiones!$B:$B,Conversiones!$C:$C)</f>
        <v>Toulouse Business School</v>
      </c>
      <c r="U535" s="70" t="str">
        <f>_xlfn.XLOOKUP(Tabla1[[#This Row],[Universidad KPIs]],Conversiones!$C:$C,Conversiones!$E:$E)</f>
        <v>Específico</v>
      </c>
      <c r="V535" s="1" t="s">
        <v>41</v>
      </c>
      <c r="W535" s="1" t="s">
        <v>250</v>
      </c>
      <c r="X535" s="55">
        <v>45678</v>
      </c>
      <c r="Y535" s="55">
        <v>45801</v>
      </c>
      <c r="Z535" s="1">
        <v>123</v>
      </c>
      <c r="AA535" s="2"/>
    </row>
    <row r="536" spans="1:27">
      <c r="A536" s="67" t="s">
        <v>2189</v>
      </c>
      <c r="B536">
        <v>202121699</v>
      </c>
      <c r="C536" t="s">
        <v>866</v>
      </c>
      <c r="D536" t="s">
        <v>2190</v>
      </c>
      <c r="E536" t="s">
        <v>2191</v>
      </c>
      <c r="F536" t="s">
        <v>216</v>
      </c>
      <c r="G536" t="s">
        <v>246</v>
      </c>
      <c r="J536" t="s">
        <v>247</v>
      </c>
      <c r="K536">
        <v>2025</v>
      </c>
      <c r="L536">
        <v>202510</v>
      </c>
      <c r="M536">
        <v>202510</v>
      </c>
      <c r="N536" t="s">
        <v>248</v>
      </c>
      <c r="O536" t="s">
        <v>2072</v>
      </c>
      <c r="P536" t="s">
        <v>249</v>
      </c>
      <c r="Q536" t="s">
        <v>216</v>
      </c>
      <c r="R536" t="s">
        <v>246</v>
      </c>
      <c r="S536" t="s">
        <v>341</v>
      </c>
      <c r="T536" s="70" t="str">
        <f>_xlfn.XLOOKUP(Tabla1[[#This Row],[Universidad]],Conversiones!$B:$B,Conversiones!$C:$C)</f>
        <v>A.B. Freeman School of Business, Tulane University</v>
      </c>
      <c r="U536" s="70" t="str">
        <f>_xlfn.XLOOKUP(Tabla1[[#This Row],[Universidad KPIs]],Conversiones!$C:$C,Conversiones!$E:$E)</f>
        <v>Específico</v>
      </c>
      <c r="V536" t="s">
        <v>35</v>
      </c>
      <c r="W536" t="s">
        <v>260</v>
      </c>
      <c r="X536" s="2">
        <v>45678</v>
      </c>
      <c r="Y536" s="2">
        <v>45801</v>
      </c>
      <c r="Z536">
        <v>123</v>
      </c>
      <c r="AA536" s="2"/>
    </row>
    <row r="537" spans="1:27">
      <c r="A537" s="67" t="s">
        <v>2192</v>
      </c>
      <c r="B537">
        <v>202123345</v>
      </c>
      <c r="C537" t="s">
        <v>636</v>
      </c>
      <c r="D537" t="s">
        <v>2193</v>
      </c>
      <c r="E537" t="s">
        <v>2194</v>
      </c>
      <c r="F537" t="s">
        <v>216</v>
      </c>
      <c r="G537" t="s">
        <v>246</v>
      </c>
      <c r="J537" t="s">
        <v>247</v>
      </c>
      <c r="K537">
        <v>2025</v>
      </c>
      <c r="L537">
        <v>202510</v>
      </c>
      <c r="M537">
        <v>202510</v>
      </c>
      <c r="N537" t="s">
        <v>248</v>
      </c>
      <c r="O537" t="s">
        <v>2072</v>
      </c>
      <c r="P537" t="s">
        <v>834</v>
      </c>
      <c r="Q537" t="s">
        <v>216</v>
      </c>
      <c r="R537" t="s">
        <v>246</v>
      </c>
      <c r="S537" t="s">
        <v>144</v>
      </c>
      <c r="T537" s="70" t="str">
        <f>_xlfn.XLOOKUP(Tabla1[[#This Row],[Universidad]],Conversiones!$B:$B,Conversiones!$C:$C)</f>
        <v>Universidad de Cantabria</v>
      </c>
      <c r="U537" s="70" t="str">
        <f>_xlfn.XLOOKUP(Tabla1[[#This Row],[Universidad KPIs]],Conversiones!$C:$C,Conversiones!$E:$E)</f>
        <v>General</v>
      </c>
      <c r="V537" t="s">
        <v>53</v>
      </c>
      <c r="W537" t="s">
        <v>250</v>
      </c>
      <c r="X537" s="2">
        <v>45678</v>
      </c>
      <c r="Y537" s="2">
        <v>45801</v>
      </c>
      <c r="Z537">
        <v>123</v>
      </c>
      <c r="AA537" s="2"/>
    </row>
    <row r="538" spans="1:27">
      <c r="A538" s="68" t="s">
        <v>2195</v>
      </c>
      <c r="B538" s="1">
        <v>202111692</v>
      </c>
      <c r="C538" s="1" t="s">
        <v>1710</v>
      </c>
      <c r="D538" s="1" t="s">
        <v>2196</v>
      </c>
      <c r="E538" s="1" t="s">
        <v>2197</v>
      </c>
      <c r="F538" s="1" t="s">
        <v>216</v>
      </c>
      <c r="G538" s="1" t="s">
        <v>246</v>
      </c>
      <c r="H538" s="1" t="s">
        <v>216</v>
      </c>
      <c r="I538" s="1" t="s">
        <v>246</v>
      </c>
      <c r="J538" s="1" t="s">
        <v>247</v>
      </c>
      <c r="K538" s="1">
        <v>2025</v>
      </c>
      <c r="L538" s="1">
        <v>202510</v>
      </c>
      <c r="M538" s="1">
        <v>202510</v>
      </c>
      <c r="N538" s="1" t="s">
        <v>248</v>
      </c>
      <c r="O538" s="1" t="s">
        <v>2072</v>
      </c>
      <c r="P538" s="1" t="s">
        <v>249</v>
      </c>
      <c r="Q538" s="1" t="s">
        <v>216</v>
      </c>
      <c r="R538" s="1" t="s">
        <v>246</v>
      </c>
      <c r="S538" s="1" t="s">
        <v>106</v>
      </c>
      <c r="T538" s="70" t="str">
        <f>_xlfn.XLOOKUP(Tabla1[[#This Row],[Universidad]],Conversiones!$B:$B,Conversiones!$C:$C)</f>
        <v>Universidad de San Andrés</v>
      </c>
      <c r="U538" s="70" t="str">
        <f>_xlfn.XLOOKUP(Tabla1[[#This Row],[Universidad KPIs]],Conversiones!$C:$C,Conversiones!$E:$E)</f>
        <v>General</v>
      </c>
      <c r="V538" s="1" t="s">
        <v>107</v>
      </c>
      <c r="W538" s="1" t="s">
        <v>265</v>
      </c>
      <c r="X538" s="55">
        <v>45678</v>
      </c>
      <c r="Y538" s="55">
        <v>45801</v>
      </c>
      <c r="Z538" s="1">
        <v>123</v>
      </c>
      <c r="AA538" s="2"/>
    </row>
    <row r="539" spans="1:27">
      <c r="A539" s="67" t="s">
        <v>2198</v>
      </c>
      <c r="B539">
        <v>201618004</v>
      </c>
      <c r="C539" t="s">
        <v>2199</v>
      </c>
      <c r="D539" t="s">
        <v>2200</v>
      </c>
      <c r="E539" t="s">
        <v>2201</v>
      </c>
      <c r="F539" t="s">
        <v>2202</v>
      </c>
      <c r="G539" t="s">
        <v>246</v>
      </c>
      <c r="J539" t="s">
        <v>247</v>
      </c>
      <c r="K539">
        <v>2025</v>
      </c>
      <c r="L539">
        <v>202510</v>
      </c>
      <c r="M539">
        <v>202510</v>
      </c>
      <c r="N539" t="s">
        <v>587</v>
      </c>
      <c r="O539" t="s">
        <v>2072</v>
      </c>
      <c r="P539" t="s">
        <v>1491</v>
      </c>
      <c r="Q539" t="s">
        <v>223</v>
      </c>
      <c r="R539" t="s">
        <v>246</v>
      </c>
      <c r="S539" t="s">
        <v>2203</v>
      </c>
      <c r="T539" s="70" t="str">
        <f>_xlfn.XLOOKUP(Tabla1[[#This Row],[Universidad]],Conversiones!$B:$B,Conversiones!$C:$C)</f>
        <v>Universidad Nacional Autonoma de México (UNAM)</v>
      </c>
      <c r="U539" s="70" t="str">
        <f>_xlfn.XLOOKUP(Tabla1[[#This Row],[Universidad KPIs]],Conversiones!$C:$C,Conversiones!$E:$E)</f>
        <v>General</v>
      </c>
      <c r="V539" t="s">
        <v>71</v>
      </c>
      <c r="W539" t="s">
        <v>260</v>
      </c>
      <c r="X539" s="2">
        <v>45678</v>
      </c>
      <c r="Y539" s="2">
        <v>45801</v>
      </c>
      <c r="Z539">
        <v>123</v>
      </c>
      <c r="AA539" s="2"/>
    </row>
    <row r="540" spans="1:27">
      <c r="A540" s="68" t="s">
        <v>2204</v>
      </c>
      <c r="B540" s="1">
        <v>202123602</v>
      </c>
      <c r="C540" s="1" t="s">
        <v>546</v>
      </c>
      <c r="D540" s="1" t="s">
        <v>2205</v>
      </c>
      <c r="E540" s="1" t="s">
        <v>2206</v>
      </c>
      <c r="F540" s="1" t="s">
        <v>216</v>
      </c>
      <c r="G540" s="1" t="s">
        <v>246</v>
      </c>
      <c r="H540" s="1" t="s">
        <v>512</v>
      </c>
      <c r="I540" s="1" t="s">
        <v>513</v>
      </c>
      <c r="J540" s="1" t="s">
        <v>247</v>
      </c>
      <c r="K540" s="1">
        <v>2025</v>
      </c>
      <c r="L540" s="1">
        <v>202510</v>
      </c>
      <c r="M540" s="1">
        <v>202510</v>
      </c>
      <c r="N540" s="1" t="s">
        <v>248</v>
      </c>
      <c r="O540" s="1" t="s">
        <v>2072</v>
      </c>
      <c r="P540" s="1" t="s">
        <v>249</v>
      </c>
      <c r="Q540" s="1" t="s">
        <v>216</v>
      </c>
      <c r="R540" s="1" t="s">
        <v>246</v>
      </c>
      <c r="S540" s="1" t="s">
        <v>274</v>
      </c>
      <c r="T540" s="70" t="str">
        <f>_xlfn.XLOOKUP(Tabla1[[#This Row],[Universidad]],Conversiones!$B:$B,Conversiones!$C:$C)</f>
        <v>Catolica Lisbon Business &amp; Economics. Universidade Católica Portuguesa</v>
      </c>
      <c r="U540" s="70" t="str">
        <f>_xlfn.XLOOKUP(Tabla1[[#This Row],[Universidad KPIs]],Conversiones!$C:$C,Conversiones!$E:$E)</f>
        <v>Específico</v>
      </c>
      <c r="V540" s="1" t="s">
        <v>45</v>
      </c>
      <c r="W540" s="1" t="s">
        <v>250</v>
      </c>
      <c r="X540" s="55">
        <v>45678</v>
      </c>
      <c r="Y540" s="55">
        <v>45801</v>
      </c>
      <c r="Z540" s="1">
        <v>123</v>
      </c>
      <c r="AA540" s="2"/>
    </row>
    <row r="541" spans="1:27">
      <c r="A541" s="67" t="s">
        <v>2207</v>
      </c>
      <c r="B541">
        <v>202220885</v>
      </c>
      <c r="C541" t="s">
        <v>509</v>
      </c>
      <c r="D541" t="s">
        <v>2208</v>
      </c>
      <c r="E541" t="s">
        <v>2209</v>
      </c>
      <c r="F541" t="s">
        <v>216</v>
      </c>
      <c r="G541" t="s">
        <v>246</v>
      </c>
      <c r="J541" t="s">
        <v>247</v>
      </c>
      <c r="K541">
        <v>2025</v>
      </c>
      <c r="L541">
        <v>202510</v>
      </c>
      <c r="M541">
        <v>202510</v>
      </c>
      <c r="N541" t="s">
        <v>248</v>
      </c>
      <c r="O541" t="s">
        <v>2072</v>
      </c>
      <c r="P541" t="s">
        <v>249</v>
      </c>
      <c r="Q541" t="s">
        <v>216</v>
      </c>
      <c r="R541" t="s">
        <v>246</v>
      </c>
      <c r="S541" t="s">
        <v>274</v>
      </c>
      <c r="T541" s="70" t="str">
        <f>_xlfn.XLOOKUP(Tabla1[[#This Row],[Universidad]],Conversiones!$B:$B,Conversiones!$C:$C)</f>
        <v>Catolica Lisbon Business &amp; Economics. Universidade Católica Portuguesa</v>
      </c>
      <c r="U541" s="70" t="str">
        <f>_xlfn.XLOOKUP(Tabla1[[#This Row],[Universidad KPIs]],Conversiones!$C:$C,Conversiones!$E:$E)</f>
        <v>Específico</v>
      </c>
      <c r="V541" t="s">
        <v>45</v>
      </c>
      <c r="W541" t="s">
        <v>250</v>
      </c>
      <c r="X541" s="2">
        <v>45678</v>
      </c>
      <c r="Y541" s="2">
        <v>45801</v>
      </c>
      <c r="Z541">
        <v>123</v>
      </c>
      <c r="AA541" s="2"/>
    </row>
    <row r="542" spans="1:27">
      <c r="A542" s="68" t="s">
        <v>2210</v>
      </c>
      <c r="B542" s="1">
        <v>202221614</v>
      </c>
      <c r="C542" s="1" t="s">
        <v>2211</v>
      </c>
      <c r="D542" s="1" t="s">
        <v>2212</v>
      </c>
      <c r="E542" s="1" t="s">
        <v>2213</v>
      </c>
      <c r="F542" s="1" t="s">
        <v>216</v>
      </c>
      <c r="G542" s="1" t="s">
        <v>246</v>
      </c>
      <c r="H542" s="1"/>
      <c r="I542" s="1"/>
      <c r="J542" s="1" t="s">
        <v>247</v>
      </c>
      <c r="K542" s="1">
        <v>2025</v>
      </c>
      <c r="L542" s="1">
        <v>202510</v>
      </c>
      <c r="M542" s="1">
        <v>202510</v>
      </c>
      <c r="N542" s="1" t="s">
        <v>248</v>
      </c>
      <c r="O542" s="1" t="s">
        <v>2072</v>
      </c>
      <c r="P542" s="1" t="s">
        <v>249</v>
      </c>
      <c r="Q542" s="1" t="s">
        <v>216</v>
      </c>
      <c r="R542" s="1" t="s">
        <v>246</v>
      </c>
      <c r="S542" s="1" t="s">
        <v>424</v>
      </c>
      <c r="T542" s="70" t="str">
        <f>_xlfn.XLOOKUP(Tabla1[[#This Row],[Universidad]],Conversiones!$B:$B,Conversiones!$C:$C)</f>
        <v>Nova School of Business and Economics</v>
      </c>
      <c r="U542" s="70" t="str">
        <f>_xlfn.XLOOKUP(Tabla1[[#This Row],[Universidad KPIs]],Conversiones!$C:$C,Conversiones!$E:$E)</f>
        <v>Específico</v>
      </c>
      <c r="V542" s="1" t="s">
        <v>45</v>
      </c>
      <c r="W542" s="1" t="s">
        <v>250</v>
      </c>
      <c r="X542" s="55">
        <v>45678</v>
      </c>
      <c r="Y542" s="55">
        <v>45801</v>
      </c>
      <c r="Z542" s="1">
        <v>123</v>
      </c>
      <c r="AA542" s="2"/>
    </row>
    <row r="543" spans="1:27">
      <c r="A543" s="67" t="s">
        <v>2214</v>
      </c>
      <c r="B543">
        <v>202221507</v>
      </c>
      <c r="C543" t="s">
        <v>897</v>
      </c>
      <c r="D543" t="s">
        <v>2215</v>
      </c>
      <c r="E543" t="s">
        <v>2216</v>
      </c>
      <c r="F543" t="s">
        <v>216</v>
      </c>
      <c r="G543" t="s">
        <v>246</v>
      </c>
      <c r="J543" t="s">
        <v>247</v>
      </c>
      <c r="K543">
        <v>2025</v>
      </c>
      <c r="L543">
        <v>202510</v>
      </c>
      <c r="M543">
        <v>202510</v>
      </c>
      <c r="N543" t="s">
        <v>248</v>
      </c>
      <c r="O543" t="s">
        <v>2072</v>
      </c>
      <c r="P543" t="s">
        <v>249</v>
      </c>
      <c r="Q543" t="s">
        <v>216</v>
      </c>
      <c r="R543" t="s">
        <v>246</v>
      </c>
      <c r="S543" t="s">
        <v>325</v>
      </c>
      <c r="T543" s="70" t="str">
        <f>_xlfn.XLOOKUP(Tabla1[[#This Row],[Universidad]],Conversiones!$B:$B,Conversiones!$C:$C)</f>
        <v>Università Commerciale Luigi Bocconi</v>
      </c>
      <c r="U543" s="70" t="str">
        <f>_xlfn.XLOOKUP(Tabla1[[#This Row],[Universidad KPIs]],Conversiones!$C:$C,Conversiones!$E:$E)</f>
        <v>Específico</v>
      </c>
      <c r="V543" t="s">
        <v>87</v>
      </c>
      <c r="W543" t="s">
        <v>250</v>
      </c>
      <c r="X543" s="2">
        <v>45678</v>
      </c>
      <c r="Y543" s="2">
        <v>45801</v>
      </c>
      <c r="Z543">
        <v>123</v>
      </c>
      <c r="AA543" s="2"/>
    </row>
    <row r="544" spans="1:27">
      <c r="A544" s="68" t="s">
        <v>2217</v>
      </c>
      <c r="B544" s="1">
        <v>202123640</v>
      </c>
      <c r="C544" s="1" t="s">
        <v>364</v>
      </c>
      <c r="D544" s="1" t="s">
        <v>1029</v>
      </c>
      <c r="E544" s="1" t="s">
        <v>2218</v>
      </c>
      <c r="F544" s="1" t="s">
        <v>216</v>
      </c>
      <c r="G544" s="1" t="s">
        <v>246</v>
      </c>
      <c r="H544" s="1"/>
      <c r="I544" s="1"/>
      <c r="J544" s="1" t="s">
        <v>247</v>
      </c>
      <c r="K544" s="1">
        <v>2025</v>
      </c>
      <c r="L544" s="1">
        <v>202510</v>
      </c>
      <c r="M544" s="1">
        <v>202510</v>
      </c>
      <c r="N544" s="1" t="s">
        <v>248</v>
      </c>
      <c r="O544" s="1" t="s">
        <v>2072</v>
      </c>
      <c r="P544" s="1" t="s">
        <v>249</v>
      </c>
      <c r="Q544" s="1" t="s">
        <v>216</v>
      </c>
      <c r="R544" s="1" t="s">
        <v>246</v>
      </c>
      <c r="S544" s="1" t="s">
        <v>307</v>
      </c>
      <c r="T544" s="70" t="str">
        <f>_xlfn.XLOOKUP(Tabla1[[#This Row],[Universidad]],Conversiones!$B:$B,Conversiones!$C:$C)</f>
        <v>University of Mannheim Business School</v>
      </c>
      <c r="U544" s="70" t="str">
        <f>_xlfn.XLOOKUP(Tabla1[[#This Row],[Universidad KPIs]],Conversiones!$C:$C,Conversiones!$E:$E)</f>
        <v>Específico</v>
      </c>
      <c r="V544" s="1" t="s">
        <v>60</v>
      </c>
      <c r="W544" s="1" t="s">
        <v>250</v>
      </c>
      <c r="X544" s="55">
        <v>45678</v>
      </c>
      <c r="Y544" s="55">
        <v>45801</v>
      </c>
      <c r="Z544" s="1">
        <v>123</v>
      </c>
      <c r="AA544" s="2"/>
    </row>
    <row r="545" spans="1:27">
      <c r="A545" s="67" t="s">
        <v>2219</v>
      </c>
      <c r="B545">
        <v>202122716</v>
      </c>
      <c r="C545" t="s">
        <v>327</v>
      </c>
      <c r="D545" t="s">
        <v>2220</v>
      </c>
      <c r="E545" t="s">
        <v>2221</v>
      </c>
      <c r="F545" t="s">
        <v>216</v>
      </c>
      <c r="G545" t="s">
        <v>246</v>
      </c>
      <c r="J545" t="s">
        <v>247</v>
      </c>
      <c r="K545">
        <v>2025</v>
      </c>
      <c r="L545">
        <v>202510</v>
      </c>
      <c r="M545">
        <v>202510</v>
      </c>
      <c r="N545" t="s">
        <v>248</v>
      </c>
      <c r="O545" t="s">
        <v>2072</v>
      </c>
      <c r="P545" t="s">
        <v>249</v>
      </c>
      <c r="Q545" t="s">
        <v>216</v>
      </c>
      <c r="R545" t="s">
        <v>246</v>
      </c>
      <c r="S545" t="s">
        <v>307</v>
      </c>
      <c r="T545" s="70" t="str">
        <f>_xlfn.XLOOKUP(Tabla1[[#This Row],[Universidad]],Conversiones!$B:$B,Conversiones!$C:$C)</f>
        <v>University of Mannheim Business School</v>
      </c>
      <c r="U545" s="70" t="str">
        <f>_xlfn.XLOOKUP(Tabla1[[#This Row],[Universidad KPIs]],Conversiones!$C:$C,Conversiones!$E:$E)</f>
        <v>Específico</v>
      </c>
      <c r="V545" t="s">
        <v>60</v>
      </c>
      <c r="W545" t="s">
        <v>250</v>
      </c>
      <c r="X545" s="2">
        <v>45678</v>
      </c>
      <c r="Y545" s="2">
        <v>45801</v>
      </c>
      <c r="Z545">
        <v>123</v>
      </c>
      <c r="AA545" s="2"/>
    </row>
    <row r="546" spans="1:27">
      <c r="A546" s="68" t="s">
        <v>2222</v>
      </c>
      <c r="B546" s="1">
        <v>202122326</v>
      </c>
      <c r="C546" s="1" t="s">
        <v>2223</v>
      </c>
      <c r="D546" s="1" t="s">
        <v>2224</v>
      </c>
      <c r="E546" s="1" t="s">
        <v>2225</v>
      </c>
      <c r="F546" s="1" t="s">
        <v>216</v>
      </c>
      <c r="G546" s="1" t="s">
        <v>246</v>
      </c>
      <c r="H546" s="1" t="s">
        <v>1083</v>
      </c>
      <c r="I546" s="1" t="s">
        <v>995</v>
      </c>
      <c r="J546" s="1" t="s">
        <v>247</v>
      </c>
      <c r="K546" s="1">
        <v>2025</v>
      </c>
      <c r="L546" s="1">
        <v>202510</v>
      </c>
      <c r="M546" s="1">
        <v>202510</v>
      </c>
      <c r="N546" s="1" t="s">
        <v>248</v>
      </c>
      <c r="O546" s="1" t="s">
        <v>2072</v>
      </c>
      <c r="P546" s="1" t="s">
        <v>834</v>
      </c>
      <c r="Q546" s="1" t="s">
        <v>216</v>
      </c>
      <c r="R546" s="1" t="s">
        <v>246</v>
      </c>
      <c r="S546" s="1" t="s">
        <v>158</v>
      </c>
      <c r="T546" s="70" t="str">
        <f>_xlfn.XLOOKUP(Tabla1[[#This Row],[Universidad]],Conversiones!$B:$B,Conversiones!$C:$C)</f>
        <v>Universitat Politècnica de Catalunya</v>
      </c>
      <c r="U546" s="70" t="str">
        <f>_xlfn.XLOOKUP(Tabla1[[#This Row],[Universidad KPIs]],Conversiones!$C:$C,Conversiones!$E:$E)</f>
        <v>General</v>
      </c>
      <c r="V546" s="1" t="s">
        <v>53</v>
      </c>
      <c r="W546" s="1" t="s">
        <v>250</v>
      </c>
      <c r="X546" s="55">
        <v>45678</v>
      </c>
      <c r="Y546" s="55">
        <v>45801</v>
      </c>
      <c r="Z546" s="1">
        <v>123</v>
      </c>
      <c r="AA546" s="2"/>
    </row>
    <row r="547" spans="1:27">
      <c r="A547" s="67" t="s">
        <v>2226</v>
      </c>
      <c r="B547">
        <v>202222144</v>
      </c>
      <c r="C547" t="s">
        <v>2227</v>
      </c>
      <c r="D547" t="s">
        <v>2228</v>
      </c>
      <c r="E547" t="s">
        <v>2229</v>
      </c>
      <c r="F547" t="s">
        <v>216</v>
      </c>
      <c r="G547" t="s">
        <v>246</v>
      </c>
      <c r="J547" t="s">
        <v>247</v>
      </c>
      <c r="K547">
        <v>2025</v>
      </c>
      <c r="L547">
        <v>202510</v>
      </c>
      <c r="M547">
        <v>202510</v>
      </c>
      <c r="N547" t="s">
        <v>248</v>
      </c>
      <c r="O547" t="s">
        <v>2072</v>
      </c>
      <c r="P547" t="s">
        <v>834</v>
      </c>
      <c r="Q547" t="s">
        <v>216</v>
      </c>
      <c r="R547" t="s">
        <v>246</v>
      </c>
      <c r="S547" t="s">
        <v>158</v>
      </c>
      <c r="T547" s="70" t="str">
        <f>_xlfn.XLOOKUP(Tabla1[[#This Row],[Universidad]],Conversiones!$B:$B,Conversiones!$C:$C)</f>
        <v>Universitat Politècnica de Catalunya</v>
      </c>
      <c r="U547" s="70" t="str">
        <f>_xlfn.XLOOKUP(Tabla1[[#This Row],[Universidad KPIs]],Conversiones!$C:$C,Conversiones!$E:$E)</f>
        <v>General</v>
      </c>
      <c r="V547" t="s">
        <v>53</v>
      </c>
      <c r="W547" t="s">
        <v>250</v>
      </c>
      <c r="X547" s="2">
        <v>45678</v>
      </c>
      <c r="Y547" s="2">
        <v>45801</v>
      </c>
      <c r="Z547">
        <v>123</v>
      </c>
      <c r="AA547" s="2"/>
    </row>
    <row r="548" spans="1:27">
      <c r="A548" s="68" t="s">
        <v>2230</v>
      </c>
      <c r="B548" s="1">
        <v>202222240</v>
      </c>
      <c r="C548" s="1" t="s">
        <v>2231</v>
      </c>
      <c r="D548" s="1" t="s">
        <v>2232</v>
      </c>
      <c r="E548" s="1" t="s">
        <v>2233</v>
      </c>
      <c r="F548" s="1" t="s">
        <v>216</v>
      </c>
      <c r="G548" s="1" t="s">
        <v>246</v>
      </c>
      <c r="H548" s="1"/>
      <c r="I548" s="1"/>
      <c r="J548" s="1" t="s">
        <v>247</v>
      </c>
      <c r="K548" s="1">
        <v>2025</v>
      </c>
      <c r="L548" s="1">
        <v>202510</v>
      </c>
      <c r="M548" s="1">
        <v>202510</v>
      </c>
      <c r="N548" s="1" t="s">
        <v>248</v>
      </c>
      <c r="O548" s="1" t="s">
        <v>2072</v>
      </c>
      <c r="P548" s="1" t="s">
        <v>249</v>
      </c>
      <c r="Q548" s="1" t="s">
        <v>216</v>
      </c>
      <c r="R548" s="1" t="s">
        <v>246</v>
      </c>
      <c r="S548" s="1" t="s">
        <v>289</v>
      </c>
      <c r="T548" s="70" t="str">
        <f>_xlfn.XLOOKUP(Tabla1[[#This Row],[Universidad]],Conversiones!$B:$B,Conversiones!$C:$C)</f>
        <v>ESADE</v>
      </c>
      <c r="U548" s="70" t="str">
        <f>_xlfn.XLOOKUP(Tabla1[[#This Row],[Universidad KPIs]],Conversiones!$C:$C,Conversiones!$E:$E)</f>
        <v>Específico</v>
      </c>
      <c r="V548" s="1" t="s">
        <v>53</v>
      </c>
      <c r="W548" s="1" t="s">
        <v>250</v>
      </c>
      <c r="X548" s="55">
        <v>45678</v>
      </c>
      <c r="Y548" s="55">
        <v>45801</v>
      </c>
      <c r="Z548" s="1">
        <v>123</v>
      </c>
      <c r="AA548" s="2"/>
    </row>
    <row r="549" spans="1:27">
      <c r="A549" s="67" t="s">
        <v>2234</v>
      </c>
      <c r="B549">
        <v>202211428</v>
      </c>
      <c r="C549" t="s">
        <v>783</v>
      </c>
      <c r="D549" t="s">
        <v>2235</v>
      </c>
      <c r="E549" t="s">
        <v>2236</v>
      </c>
      <c r="F549" t="s">
        <v>216</v>
      </c>
      <c r="G549" t="s">
        <v>246</v>
      </c>
      <c r="J549" t="s">
        <v>247</v>
      </c>
      <c r="K549">
        <v>2025</v>
      </c>
      <c r="L549">
        <v>202510</v>
      </c>
      <c r="M549">
        <v>202510</v>
      </c>
      <c r="N549" t="s">
        <v>248</v>
      </c>
      <c r="O549" t="s">
        <v>2072</v>
      </c>
      <c r="P549" t="s">
        <v>249</v>
      </c>
      <c r="Q549" t="s">
        <v>216</v>
      </c>
      <c r="R549" t="s">
        <v>246</v>
      </c>
      <c r="S549" t="s">
        <v>289</v>
      </c>
      <c r="T549" s="70" t="str">
        <f>_xlfn.XLOOKUP(Tabla1[[#This Row],[Universidad]],Conversiones!$B:$B,Conversiones!$C:$C)</f>
        <v>ESADE</v>
      </c>
      <c r="U549" s="70" t="str">
        <f>_xlfn.XLOOKUP(Tabla1[[#This Row],[Universidad KPIs]],Conversiones!$C:$C,Conversiones!$E:$E)</f>
        <v>Específico</v>
      </c>
      <c r="V549" t="s">
        <v>53</v>
      </c>
      <c r="W549" t="s">
        <v>250</v>
      </c>
      <c r="X549" s="2">
        <v>45678</v>
      </c>
      <c r="Y549" s="2">
        <v>45801</v>
      </c>
      <c r="Z549">
        <v>123</v>
      </c>
      <c r="AA549" s="2"/>
    </row>
    <row r="550" spans="1:27">
      <c r="A550" s="68" t="s">
        <v>2237</v>
      </c>
      <c r="B550" s="1">
        <v>202121975</v>
      </c>
      <c r="C550" s="1" t="s">
        <v>2238</v>
      </c>
      <c r="D550" s="1" t="s">
        <v>2239</v>
      </c>
      <c r="E550" s="1" t="s">
        <v>2240</v>
      </c>
      <c r="F550" s="1" t="s">
        <v>216</v>
      </c>
      <c r="G550" s="1" t="s">
        <v>246</v>
      </c>
      <c r="H550" s="1"/>
      <c r="I550" s="1"/>
      <c r="J550" s="1" t="s">
        <v>247</v>
      </c>
      <c r="K550" s="1">
        <v>2025</v>
      </c>
      <c r="L550" s="1">
        <v>202510</v>
      </c>
      <c r="M550" s="1">
        <v>202510</v>
      </c>
      <c r="N550" s="1" t="s">
        <v>248</v>
      </c>
      <c r="O550" s="1" t="s">
        <v>2072</v>
      </c>
      <c r="P550" s="1" t="s">
        <v>249</v>
      </c>
      <c r="Q550" s="1" t="s">
        <v>216</v>
      </c>
      <c r="R550" s="1" t="s">
        <v>246</v>
      </c>
      <c r="S550" s="1" t="s">
        <v>493</v>
      </c>
      <c r="T550" s="70" t="str">
        <f>_xlfn.XLOOKUP(Tabla1[[#This Row],[Universidad]],Conversiones!$B:$B,Conversiones!$C:$C)</f>
        <v>University of Saint Gallen</v>
      </c>
      <c r="U550" s="70" t="str">
        <f>_xlfn.XLOOKUP(Tabla1[[#This Row],[Universidad KPIs]],Conversiones!$C:$C,Conversiones!$E:$E)</f>
        <v>Específico</v>
      </c>
      <c r="V550" s="1" t="s">
        <v>65</v>
      </c>
      <c r="W550" s="1" t="s">
        <v>250</v>
      </c>
      <c r="X550" s="55">
        <v>45678</v>
      </c>
      <c r="Y550" s="55">
        <v>45801</v>
      </c>
      <c r="Z550" s="1">
        <v>123</v>
      </c>
      <c r="AA550" s="2"/>
    </row>
    <row r="551" spans="1:27">
      <c r="A551" s="67" t="s">
        <v>2241</v>
      </c>
      <c r="B551">
        <v>202021618</v>
      </c>
      <c r="C551" t="s">
        <v>295</v>
      </c>
      <c r="D551" t="s">
        <v>2242</v>
      </c>
      <c r="E551" t="s">
        <v>2243</v>
      </c>
      <c r="F551" t="s">
        <v>216</v>
      </c>
      <c r="G551" t="s">
        <v>246</v>
      </c>
      <c r="H551" t="s">
        <v>994</v>
      </c>
      <c r="I551" t="s">
        <v>995</v>
      </c>
      <c r="J551" t="s">
        <v>247</v>
      </c>
      <c r="K551">
        <v>2025</v>
      </c>
      <c r="L551">
        <v>202510</v>
      </c>
      <c r="M551">
        <v>202510</v>
      </c>
      <c r="N551" t="s">
        <v>248</v>
      </c>
      <c r="O551" t="s">
        <v>2072</v>
      </c>
      <c r="P551" t="s">
        <v>249</v>
      </c>
      <c r="Q551" t="s">
        <v>216</v>
      </c>
      <c r="R551" t="s">
        <v>246</v>
      </c>
      <c r="S551" t="s">
        <v>170</v>
      </c>
      <c r="T551" s="70" t="str">
        <f>_xlfn.XLOOKUP(Tabla1[[#This Row],[Universidad]],Conversiones!$B:$B,Conversiones!$C:$C)</f>
        <v>Universität zu Köln</v>
      </c>
      <c r="U551" s="70" t="str">
        <f>_xlfn.XLOOKUP(Tabla1[[#This Row],[Universidad KPIs]],Conversiones!$C:$C,Conversiones!$E:$E)</f>
        <v>General</v>
      </c>
      <c r="V551" t="s">
        <v>60</v>
      </c>
      <c r="W551" t="s">
        <v>250</v>
      </c>
      <c r="X551" s="2">
        <v>45678</v>
      </c>
      <c r="Y551" s="2">
        <v>45801</v>
      </c>
      <c r="Z551">
        <v>123</v>
      </c>
      <c r="AA551" s="2"/>
    </row>
    <row r="552" spans="1:27">
      <c r="A552" s="68" t="s">
        <v>2244</v>
      </c>
      <c r="B552" s="1">
        <v>202122581</v>
      </c>
      <c r="C552" s="1" t="s">
        <v>257</v>
      </c>
      <c r="D552" s="1" t="s">
        <v>2245</v>
      </c>
      <c r="E552" s="1" t="s">
        <v>2246</v>
      </c>
      <c r="F552" s="1" t="s">
        <v>216</v>
      </c>
      <c r="G552" s="1" t="s">
        <v>246</v>
      </c>
      <c r="H552" s="1" t="s">
        <v>512</v>
      </c>
      <c r="I552" s="1" t="s">
        <v>513</v>
      </c>
      <c r="J552" s="1" t="s">
        <v>247</v>
      </c>
      <c r="K552" s="1">
        <v>2025</v>
      </c>
      <c r="L552" s="1">
        <v>202510</v>
      </c>
      <c r="M552" s="1">
        <v>202510</v>
      </c>
      <c r="N552" s="1" t="s">
        <v>248</v>
      </c>
      <c r="O552" s="1" t="s">
        <v>2072</v>
      </c>
      <c r="P552" s="1" t="s">
        <v>249</v>
      </c>
      <c r="Q552" s="1" t="s">
        <v>216</v>
      </c>
      <c r="R552" s="1" t="s">
        <v>246</v>
      </c>
      <c r="S552" s="1" t="s">
        <v>160</v>
      </c>
      <c r="T552" s="70" t="str">
        <f>_xlfn.XLOOKUP(Tabla1[[#This Row],[Universidad]],Conversiones!$B:$B,Conversiones!$C:$C)</f>
        <v>Université de Bordeaux</v>
      </c>
      <c r="U552" s="70" t="str">
        <f>_xlfn.XLOOKUP(Tabla1[[#This Row],[Universidad KPIs]],Conversiones!$C:$C,Conversiones!$E:$E)</f>
        <v>General</v>
      </c>
      <c r="V552" s="1" t="s">
        <v>41</v>
      </c>
      <c r="W552" s="1" t="s">
        <v>250</v>
      </c>
      <c r="X552" s="55">
        <v>45678</v>
      </c>
      <c r="Y552" s="55">
        <v>45801</v>
      </c>
      <c r="Z552" s="1">
        <v>123</v>
      </c>
      <c r="AA552" s="2"/>
    </row>
    <row r="553" spans="1:27">
      <c r="A553" s="67" t="s">
        <v>2247</v>
      </c>
      <c r="B553">
        <v>202020778</v>
      </c>
      <c r="C553" t="s">
        <v>783</v>
      </c>
      <c r="D553" t="s">
        <v>2248</v>
      </c>
      <c r="E553" t="s">
        <v>2249</v>
      </c>
      <c r="F553" t="s">
        <v>216</v>
      </c>
      <c r="G553" t="s">
        <v>246</v>
      </c>
      <c r="H553" t="s">
        <v>216</v>
      </c>
      <c r="I553" t="s">
        <v>246</v>
      </c>
      <c r="J553" t="s">
        <v>247</v>
      </c>
      <c r="K553">
        <v>2025</v>
      </c>
      <c r="L553">
        <v>202510</v>
      </c>
      <c r="M553">
        <v>202510</v>
      </c>
      <c r="N553" t="s">
        <v>248</v>
      </c>
      <c r="O553" t="s">
        <v>2072</v>
      </c>
      <c r="P553" t="s">
        <v>249</v>
      </c>
      <c r="Q553" t="s">
        <v>216</v>
      </c>
      <c r="R553" t="s">
        <v>246</v>
      </c>
      <c r="S553" t="s">
        <v>284</v>
      </c>
      <c r="T553" s="70" t="str">
        <f>_xlfn.XLOOKUP(Tabla1[[#This Row],[Universidad]],Conversiones!$B:$B,Conversiones!$C:$C)</f>
        <v>HEC Lausanne</v>
      </c>
      <c r="U553" s="70" t="str">
        <f>_xlfn.XLOOKUP(Tabla1[[#This Row],[Universidad KPIs]],Conversiones!$C:$C,Conversiones!$E:$E)</f>
        <v>Específico</v>
      </c>
      <c r="V553" t="s">
        <v>65</v>
      </c>
      <c r="W553" t="s">
        <v>250</v>
      </c>
      <c r="X553" s="2">
        <v>45678</v>
      </c>
      <c r="Y553" s="2">
        <v>45801</v>
      </c>
      <c r="Z553">
        <v>123</v>
      </c>
      <c r="AA553" s="2"/>
    </row>
    <row r="554" spans="1:27">
      <c r="A554" s="68" t="s">
        <v>2250</v>
      </c>
      <c r="B554" s="1">
        <v>202222594</v>
      </c>
      <c r="C554" s="1" t="s">
        <v>2251</v>
      </c>
      <c r="D554" s="1" t="s">
        <v>2252</v>
      </c>
      <c r="E554" s="1" t="s">
        <v>2253</v>
      </c>
      <c r="F554" s="1" t="s">
        <v>216</v>
      </c>
      <c r="G554" s="1" t="s">
        <v>246</v>
      </c>
      <c r="H554" s="1" t="s">
        <v>1083</v>
      </c>
      <c r="I554" s="1" t="s">
        <v>995</v>
      </c>
      <c r="J554" s="1" t="s">
        <v>247</v>
      </c>
      <c r="K554" s="1">
        <v>2025</v>
      </c>
      <c r="L554" s="1">
        <v>202510</v>
      </c>
      <c r="M554" s="1">
        <v>202510</v>
      </c>
      <c r="N554" s="1" t="s">
        <v>248</v>
      </c>
      <c r="O554" s="1" t="s">
        <v>2072</v>
      </c>
      <c r="P554" s="1" t="s">
        <v>249</v>
      </c>
      <c r="Q554" s="1" t="s">
        <v>216</v>
      </c>
      <c r="R554" s="1" t="s">
        <v>246</v>
      </c>
      <c r="S554" s="1" t="s">
        <v>284</v>
      </c>
      <c r="T554" s="70" t="str">
        <f>_xlfn.XLOOKUP(Tabla1[[#This Row],[Universidad]],Conversiones!$B:$B,Conversiones!$C:$C)</f>
        <v>HEC Lausanne</v>
      </c>
      <c r="U554" s="70" t="str">
        <f>_xlfn.XLOOKUP(Tabla1[[#This Row],[Universidad KPIs]],Conversiones!$C:$C,Conversiones!$E:$E)</f>
        <v>Específico</v>
      </c>
      <c r="V554" s="1" t="s">
        <v>65</v>
      </c>
      <c r="W554" s="1" t="s">
        <v>250</v>
      </c>
      <c r="X554" s="55">
        <v>45678</v>
      </c>
      <c r="Y554" s="55">
        <v>45801</v>
      </c>
      <c r="Z554" s="1">
        <v>123</v>
      </c>
      <c r="AA554" s="2"/>
    </row>
    <row r="555" spans="1:27">
      <c r="A555" s="67" t="s">
        <v>2254</v>
      </c>
      <c r="B555">
        <v>202110233</v>
      </c>
      <c r="C555" t="s">
        <v>2255</v>
      </c>
      <c r="D555" t="s">
        <v>2256</v>
      </c>
      <c r="E555" t="s">
        <v>2257</v>
      </c>
      <c r="F555" t="s">
        <v>216</v>
      </c>
      <c r="G555" t="s">
        <v>246</v>
      </c>
      <c r="H555" t="s">
        <v>216</v>
      </c>
      <c r="I555" t="s">
        <v>246</v>
      </c>
      <c r="J555" t="s">
        <v>247</v>
      </c>
      <c r="K555">
        <v>2025</v>
      </c>
      <c r="L555">
        <v>202510</v>
      </c>
      <c r="M555">
        <v>202510</v>
      </c>
      <c r="N555" t="s">
        <v>248</v>
      </c>
      <c r="O555" t="s">
        <v>2072</v>
      </c>
      <c r="P555" t="s">
        <v>249</v>
      </c>
      <c r="Q555" t="s">
        <v>216</v>
      </c>
      <c r="R555" t="s">
        <v>246</v>
      </c>
      <c r="S555" t="s">
        <v>1369</v>
      </c>
      <c r="T555" s="70" t="str">
        <f>_xlfn.XLOOKUP(Tabla1[[#This Row],[Universidad]],Conversiones!$B:$B,Conversiones!$C:$C)</f>
        <v>EM Strasbourg</v>
      </c>
      <c r="U555" s="70" t="str">
        <f>_xlfn.XLOOKUP(Tabla1[[#This Row],[Universidad KPIs]],Conversiones!$C:$C,Conversiones!$E:$E)</f>
        <v>Específico</v>
      </c>
      <c r="V555" t="s">
        <v>41</v>
      </c>
      <c r="W555" t="s">
        <v>250</v>
      </c>
      <c r="X555" s="2">
        <v>45678</v>
      </c>
      <c r="Y555" s="2">
        <v>45801</v>
      </c>
      <c r="Z555">
        <v>123</v>
      </c>
      <c r="AA555" s="2"/>
    </row>
    <row r="556" spans="1:27">
      <c r="A556" s="68" t="s">
        <v>2258</v>
      </c>
      <c r="B556" s="1">
        <v>202221534</v>
      </c>
      <c r="C556" s="1" t="s">
        <v>257</v>
      </c>
      <c r="D556" s="1" t="s">
        <v>2259</v>
      </c>
      <c r="E556" s="1" t="s">
        <v>2260</v>
      </c>
      <c r="F556" s="1" t="s">
        <v>216</v>
      </c>
      <c r="G556" s="1" t="s">
        <v>246</v>
      </c>
      <c r="H556" s="1" t="s">
        <v>1083</v>
      </c>
      <c r="I556" s="1" t="s">
        <v>995</v>
      </c>
      <c r="J556" s="1" t="s">
        <v>247</v>
      </c>
      <c r="K556" s="1">
        <v>2025</v>
      </c>
      <c r="L556" s="1">
        <v>202510</v>
      </c>
      <c r="M556" s="1">
        <v>202510</v>
      </c>
      <c r="N556" s="1" t="s">
        <v>248</v>
      </c>
      <c r="O556" s="1" t="s">
        <v>2072</v>
      </c>
      <c r="P556" s="1" t="s">
        <v>249</v>
      </c>
      <c r="Q556" s="1" t="s">
        <v>216</v>
      </c>
      <c r="R556" s="1" t="s">
        <v>246</v>
      </c>
      <c r="S556" s="1" t="s">
        <v>168</v>
      </c>
      <c r="T556" s="70" t="str">
        <f>_xlfn.XLOOKUP(Tabla1[[#This Row],[Universidad]],Conversiones!$B:$B,Conversiones!$C:$C)</f>
        <v>Université Libre de Bruxelles</v>
      </c>
      <c r="U556" s="70" t="str">
        <f>_xlfn.XLOOKUP(Tabla1[[#This Row],[Universidad KPIs]],Conversiones!$C:$C,Conversiones!$E:$E)</f>
        <v>General</v>
      </c>
      <c r="V556" s="1" t="s">
        <v>169</v>
      </c>
      <c r="W556" s="1" t="s">
        <v>250</v>
      </c>
      <c r="X556" s="55">
        <v>45678</v>
      </c>
      <c r="Y556" s="55">
        <v>45801</v>
      </c>
      <c r="Z556" s="1">
        <v>123</v>
      </c>
      <c r="AA556" s="2"/>
    </row>
    <row r="557" spans="1:27">
      <c r="A557" s="67" t="s">
        <v>2261</v>
      </c>
      <c r="B557">
        <v>202122552</v>
      </c>
      <c r="C557" t="s">
        <v>243</v>
      </c>
      <c r="D557" t="s">
        <v>2262</v>
      </c>
      <c r="E557" t="s">
        <v>2263</v>
      </c>
      <c r="F557" t="s">
        <v>216</v>
      </c>
      <c r="G557" t="s">
        <v>246</v>
      </c>
      <c r="H557" t="s">
        <v>216</v>
      </c>
      <c r="I557" t="s">
        <v>246</v>
      </c>
      <c r="J557" t="s">
        <v>247</v>
      </c>
      <c r="K557">
        <v>2025</v>
      </c>
      <c r="L557">
        <v>202510</v>
      </c>
      <c r="M557">
        <v>202510</v>
      </c>
      <c r="N557" t="s">
        <v>248</v>
      </c>
      <c r="O557" t="s">
        <v>2072</v>
      </c>
      <c r="P557" t="s">
        <v>249</v>
      </c>
      <c r="Q557" t="s">
        <v>216</v>
      </c>
      <c r="R557" t="s">
        <v>246</v>
      </c>
      <c r="S557" t="s">
        <v>2264</v>
      </c>
      <c r="T557" s="70" t="str">
        <f>_xlfn.XLOOKUP(Tabla1[[#This Row],[Universidad]],Conversiones!$B:$B,Conversiones!$C:$C)</f>
        <v>Université Paris-Dauphine</v>
      </c>
      <c r="U557" s="70" t="str">
        <f>_xlfn.XLOOKUP(Tabla1[[#This Row],[Universidad KPIs]],Conversiones!$C:$C,Conversiones!$E:$E)</f>
        <v>General</v>
      </c>
      <c r="V557" t="s">
        <v>41</v>
      </c>
      <c r="W557" t="s">
        <v>250</v>
      </c>
      <c r="X557" s="2">
        <v>45678</v>
      </c>
      <c r="Y557" s="2">
        <v>45801</v>
      </c>
      <c r="Z557">
        <v>123</v>
      </c>
      <c r="AA557" s="2"/>
    </row>
    <row r="558" spans="1:27">
      <c r="A558" s="68" t="s">
        <v>2265</v>
      </c>
      <c r="B558" s="1">
        <v>202221309</v>
      </c>
      <c r="C558" s="1" t="s">
        <v>267</v>
      </c>
      <c r="D558" s="1" t="s">
        <v>2266</v>
      </c>
      <c r="E558" s="1" t="s">
        <v>2267</v>
      </c>
      <c r="F558" s="1" t="s">
        <v>216</v>
      </c>
      <c r="G558" s="1" t="s">
        <v>246</v>
      </c>
      <c r="H558" s="1"/>
      <c r="I558" s="1"/>
      <c r="J558" s="1" t="s">
        <v>247</v>
      </c>
      <c r="K558" s="1">
        <v>2025</v>
      </c>
      <c r="L558" s="1">
        <v>202510</v>
      </c>
      <c r="M558" s="1">
        <v>202510</v>
      </c>
      <c r="N558" s="1" t="s">
        <v>248</v>
      </c>
      <c r="O558" s="1" t="s">
        <v>2072</v>
      </c>
      <c r="P558" s="1" t="s">
        <v>249</v>
      </c>
      <c r="Q558" s="1" t="s">
        <v>216</v>
      </c>
      <c r="R558" s="1" t="s">
        <v>246</v>
      </c>
      <c r="S558" s="1" t="s">
        <v>99</v>
      </c>
      <c r="T558" s="70" t="str">
        <f>_xlfn.XLOOKUP(Tabla1[[#This Row],[Universidad]],Conversiones!$B:$B,Conversiones!$C:$C)</f>
        <v>University of Exeter</v>
      </c>
      <c r="U558" s="70" t="str">
        <f>_xlfn.XLOOKUP(Tabla1[[#This Row],[Universidad KPIs]],Conversiones!$C:$C,Conversiones!$E:$E)</f>
        <v>Específico</v>
      </c>
      <c r="V558" s="1" t="s">
        <v>39</v>
      </c>
      <c r="W558" s="1" t="s">
        <v>250</v>
      </c>
      <c r="X558" s="55">
        <v>45678</v>
      </c>
      <c r="Y558" s="55">
        <v>45801</v>
      </c>
      <c r="Z558" s="1">
        <v>123</v>
      </c>
      <c r="AA558" s="2"/>
    </row>
    <row r="559" spans="1:27">
      <c r="A559" s="67" t="s">
        <v>2268</v>
      </c>
      <c r="B559">
        <v>202123694</v>
      </c>
      <c r="C559" t="s">
        <v>2269</v>
      </c>
      <c r="D559" t="s">
        <v>2270</v>
      </c>
      <c r="E559" t="s">
        <v>2271</v>
      </c>
      <c r="F559" t="s">
        <v>216</v>
      </c>
      <c r="G559" t="s">
        <v>246</v>
      </c>
      <c r="J559" t="s">
        <v>247</v>
      </c>
      <c r="K559">
        <v>2025</v>
      </c>
      <c r="L559">
        <v>202510</v>
      </c>
      <c r="M559">
        <v>202510</v>
      </c>
      <c r="N559" t="s">
        <v>248</v>
      </c>
      <c r="O559" t="s">
        <v>2072</v>
      </c>
      <c r="P559" t="s">
        <v>249</v>
      </c>
      <c r="Q559" t="s">
        <v>216</v>
      </c>
      <c r="R559" t="s">
        <v>246</v>
      </c>
      <c r="S559" t="s">
        <v>165</v>
      </c>
      <c r="T559" s="70" t="str">
        <f>_xlfn.XLOOKUP(Tabla1[[#This Row],[Universidad]],Conversiones!$B:$B,Conversiones!$C:$C)</f>
        <v>University of New South Wales</v>
      </c>
      <c r="U559" s="70" t="str">
        <f>_xlfn.XLOOKUP(Tabla1[[#This Row],[Universidad KPIs]],Conversiones!$C:$C,Conversiones!$E:$E)</f>
        <v>General</v>
      </c>
      <c r="V559" t="s">
        <v>90</v>
      </c>
      <c r="W559" t="s">
        <v>354</v>
      </c>
      <c r="X559" s="2">
        <v>45678</v>
      </c>
      <c r="Y559" s="2">
        <v>45801</v>
      </c>
      <c r="Z559">
        <v>123</v>
      </c>
      <c r="AA559" s="2"/>
    </row>
    <row r="560" spans="1:27">
      <c r="A560" s="68" t="s">
        <v>2272</v>
      </c>
      <c r="B560" s="1">
        <v>202220368</v>
      </c>
      <c r="C560" s="1" t="s">
        <v>2273</v>
      </c>
      <c r="D560" s="1" t="s">
        <v>2274</v>
      </c>
      <c r="E560" s="1" t="s">
        <v>2275</v>
      </c>
      <c r="F560" s="1" t="s">
        <v>216</v>
      </c>
      <c r="G560" s="1" t="s">
        <v>246</v>
      </c>
      <c r="H560" s="1"/>
      <c r="I560" s="1"/>
      <c r="J560" s="1" t="s">
        <v>247</v>
      </c>
      <c r="K560" s="1">
        <v>2025</v>
      </c>
      <c r="L560" s="1">
        <v>202510</v>
      </c>
      <c r="M560" s="1">
        <v>202510</v>
      </c>
      <c r="N560" s="1" t="s">
        <v>248</v>
      </c>
      <c r="O560" s="1" t="s">
        <v>2072</v>
      </c>
      <c r="P560" s="1" t="s">
        <v>249</v>
      </c>
      <c r="Q560" s="1" t="s">
        <v>216</v>
      </c>
      <c r="R560" s="1" t="s">
        <v>246</v>
      </c>
      <c r="S560" s="1" t="s">
        <v>108</v>
      </c>
      <c r="T560" s="70" t="str">
        <f>_xlfn.XLOOKUP(Tabla1[[#This Row],[Universidad]],Conversiones!$B:$B,Conversiones!$C:$C)</f>
        <v>University of San Diego</v>
      </c>
      <c r="U560" s="70" t="str">
        <f>_xlfn.XLOOKUP(Tabla1[[#This Row],[Universidad KPIs]],Conversiones!$C:$C,Conversiones!$E:$E)</f>
        <v>General</v>
      </c>
      <c r="V560" s="1" t="s">
        <v>35</v>
      </c>
      <c r="W560" s="1" t="s">
        <v>260</v>
      </c>
      <c r="X560" s="55">
        <v>45678</v>
      </c>
      <c r="Y560" s="55">
        <v>45801</v>
      </c>
      <c r="Z560" s="1">
        <v>123</v>
      </c>
      <c r="AA560" s="2"/>
    </row>
    <row r="561" spans="1:27">
      <c r="A561" s="67" t="s">
        <v>2276</v>
      </c>
      <c r="B561">
        <v>202021289</v>
      </c>
      <c r="C561" t="s">
        <v>720</v>
      </c>
      <c r="D561" t="s">
        <v>2277</v>
      </c>
      <c r="E561" t="s">
        <v>2278</v>
      </c>
      <c r="F561" t="s">
        <v>216</v>
      </c>
      <c r="G561" t="s">
        <v>246</v>
      </c>
      <c r="J561" t="s">
        <v>247</v>
      </c>
      <c r="K561">
        <v>2025</v>
      </c>
      <c r="L561">
        <v>202510</v>
      </c>
      <c r="M561">
        <v>202510</v>
      </c>
      <c r="N561" t="s">
        <v>248</v>
      </c>
      <c r="O561" t="s">
        <v>2072</v>
      </c>
      <c r="P561" t="s">
        <v>249</v>
      </c>
      <c r="Q561" t="s">
        <v>216</v>
      </c>
      <c r="R561" t="s">
        <v>246</v>
      </c>
      <c r="S561" t="s">
        <v>374</v>
      </c>
      <c r="T561" s="70" t="str">
        <f>_xlfn.XLOOKUP(Tabla1[[#This Row],[Universidad]],Conversiones!$B:$B,Conversiones!$C:$C)</f>
        <v>University of Ljubljana</v>
      </c>
      <c r="U561" s="70" t="str">
        <f>_xlfn.XLOOKUP(Tabla1[[#This Row],[Universidad KPIs]],Conversiones!$C:$C,Conversiones!$E:$E)</f>
        <v>Específico</v>
      </c>
      <c r="V561" t="s">
        <v>102</v>
      </c>
      <c r="W561" t="s">
        <v>250</v>
      </c>
      <c r="X561" s="2">
        <v>45678</v>
      </c>
      <c r="Y561" s="2">
        <v>45801</v>
      </c>
      <c r="Z561">
        <v>123</v>
      </c>
      <c r="AA561" s="2"/>
    </row>
    <row r="562" spans="1:27">
      <c r="A562" s="1" t="s">
        <v>4281</v>
      </c>
      <c r="B562" s="1">
        <v>202123872</v>
      </c>
      <c r="C562" s="1" t="s">
        <v>475</v>
      </c>
      <c r="D562" s="1" t="s">
        <v>4282</v>
      </c>
      <c r="E562" s="1" t="s">
        <v>4283</v>
      </c>
      <c r="F562" s="1" t="s">
        <v>216</v>
      </c>
      <c r="G562" s="1"/>
      <c r="H562" s="1"/>
      <c r="I562" s="1"/>
      <c r="J562" s="1" t="s">
        <v>247</v>
      </c>
      <c r="K562" s="1">
        <v>2025</v>
      </c>
      <c r="L562" s="1">
        <v>202520</v>
      </c>
      <c r="M562" s="1">
        <v>202520</v>
      </c>
      <c r="N562" s="1" t="s">
        <v>248</v>
      </c>
      <c r="O562" s="1" t="s">
        <v>2072</v>
      </c>
      <c r="P562" s="1" t="s">
        <v>249</v>
      </c>
      <c r="Q562" s="1" t="s">
        <v>216</v>
      </c>
      <c r="R562" s="1" t="s">
        <v>246</v>
      </c>
      <c r="S562" s="1" t="s">
        <v>168</v>
      </c>
      <c r="T562" s="70" t="str">
        <f>_xlfn.XLOOKUP(Tabla1[[#This Row],[Universidad]],Conversiones!$B:$B,Conversiones!$C:$C)</f>
        <v>Université Libre de Bruxelles</v>
      </c>
      <c r="U562" s="70" t="str">
        <f>_xlfn.XLOOKUP(Tabla1[[#This Row],[Universidad KPIs]],Conversiones!$C:$C,Conversiones!$E:$E)</f>
        <v>General</v>
      </c>
      <c r="V562" s="1" t="s">
        <v>169</v>
      </c>
      <c r="W562" s="1" t="s">
        <v>250</v>
      </c>
      <c r="X562" s="55">
        <v>45873</v>
      </c>
      <c r="Y562" s="55">
        <v>45990</v>
      </c>
      <c r="Z562" s="1">
        <v>117</v>
      </c>
      <c r="AA562" s="2"/>
    </row>
    <row r="563" spans="1:27">
      <c r="A563" t="s">
        <v>4284</v>
      </c>
      <c r="B563">
        <v>202220197</v>
      </c>
      <c r="C563" t="s">
        <v>866</v>
      </c>
      <c r="D563" t="s">
        <v>4285</v>
      </c>
      <c r="E563" t="s">
        <v>4286</v>
      </c>
      <c r="F563" t="s">
        <v>216</v>
      </c>
      <c r="J563" t="s">
        <v>247</v>
      </c>
      <c r="K563">
        <v>2025</v>
      </c>
      <c r="L563">
        <v>202520</v>
      </c>
      <c r="M563">
        <v>202520</v>
      </c>
      <c r="N563" s="1" t="s">
        <v>248</v>
      </c>
      <c r="O563" t="s">
        <v>2072</v>
      </c>
      <c r="P563" t="s">
        <v>249</v>
      </c>
      <c r="Q563" t="s">
        <v>216</v>
      </c>
      <c r="R563" t="s">
        <v>246</v>
      </c>
      <c r="S563" t="s">
        <v>61</v>
      </c>
      <c r="T563" s="70" t="str">
        <f>_xlfn.XLOOKUP(Tabla1[[#This Row],[Universidad]],Conversiones!$B:$B,Conversiones!$C:$C)</f>
        <v>Fundação Getulio Vargas</v>
      </c>
      <c r="U563" s="70" t="str">
        <f>_xlfn.XLOOKUP(Tabla1[[#This Row],[Universidad KPIs]],Conversiones!$C:$C,Conversiones!$E:$E)</f>
        <v>Específico</v>
      </c>
      <c r="V563" t="s">
        <v>62</v>
      </c>
      <c r="W563" t="s">
        <v>265</v>
      </c>
      <c r="X563" s="2">
        <v>45873</v>
      </c>
      <c r="Y563" s="2">
        <v>45990</v>
      </c>
      <c r="Z563">
        <v>117</v>
      </c>
      <c r="AA563" s="2"/>
    </row>
    <row r="564" spans="1:27">
      <c r="A564" s="1" t="s">
        <v>4287</v>
      </c>
      <c r="B564" s="1">
        <v>202122133</v>
      </c>
      <c r="C564" s="1" t="s">
        <v>4288</v>
      </c>
      <c r="D564" s="1" t="s">
        <v>4289</v>
      </c>
      <c r="E564" s="1" t="s">
        <v>4290</v>
      </c>
      <c r="F564" s="1" t="s">
        <v>216</v>
      </c>
      <c r="G564" s="1"/>
      <c r="H564" s="1"/>
      <c r="I564" s="1"/>
      <c r="J564" s="1" t="s">
        <v>247</v>
      </c>
      <c r="K564" s="1">
        <v>2025</v>
      </c>
      <c r="L564" s="1">
        <v>202520</v>
      </c>
      <c r="M564" s="1">
        <v>202520</v>
      </c>
      <c r="N564" s="1" t="s">
        <v>248</v>
      </c>
      <c r="O564" s="1" t="s">
        <v>2072</v>
      </c>
      <c r="P564" s="1" t="s">
        <v>249</v>
      </c>
      <c r="Q564" s="1" t="s">
        <v>216</v>
      </c>
      <c r="R564" s="1" t="s">
        <v>246</v>
      </c>
      <c r="S564" s="1" t="s">
        <v>61</v>
      </c>
      <c r="T564" s="70" t="str">
        <f>_xlfn.XLOOKUP(Tabla1[[#This Row],[Universidad]],Conversiones!$B:$B,Conversiones!$C:$C)</f>
        <v>Fundação Getulio Vargas</v>
      </c>
      <c r="U564" s="70" t="str">
        <f>_xlfn.XLOOKUP(Tabla1[[#This Row],[Universidad KPIs]],Conversiones!$C:$C,Conversiones!$E:$E)</f>
        <v>Específico</v>
      </c>
      <c r="V564" s="1" t="s">
        <v>62</v>
      </c>
      <c r="W564" s="1" t="s">
        <v>265</v>
      </c>
      <c r="X564" s="55">
        <v>45873</v>
      </c>
      <c r="Y564" s="55">
        <v>45990</v>
      </c>
      <c r="Z564" s="1">
        <v>117</v>
      </c>
      <c r="AA564" s="2"/>
    </row>
    <row r="565" spans="1:27">
      <c r="A565" t="s">
        <v>4291</v>
      </c>
      <c r="B565">
        <v>202312062</v>
      </c>
      <c r="C565" t="s">
        <v>866</v>
      </c>
      <c r="D565" t="s">
        <v>4292</v>
      </c>
      <c r="E565" t="s">
        <v>4293</v>
      </c>
      <c r="F565" t="s">
        <v>216</v>
      </c>
      <c r="J565" t="s">
        <v>247</v>
      </c>
      <c r="K565">
        <v>2025</v>
      </c>
      <c r="L565">
        <v>202520</v>
      </c>
      <c r="M565">
        <v>202520</v>
      </c>
      <c r="N565" s="1" t="s">
        <v>248</v>
      </c>
      <c r="O565" t="s">
        <v>2072</v>
      </c>
      <c r="P565" t="s">
        <v>249</v>
      </c>
      <c r="Q565" t="s">
        <v>216</v>
      </c>
      <c r="R565" t="s">
        <v>246</v>
      </c>
      <c r="S565" t="s">
        <v>80</v>
      </c>
      <c r="T565" s="70" t="str">
        <f>_xlfn.XLOOKUP(Tabla1[[#This Row],[Universidad]],Conversiones!$B:$B,Conversiones!$C:$C)</f>
        <v>McGill University</v>
      </c>
      <c r="U565" s="70" t="str">
        <f>_xlfn.XLOOKUP(Tabla1[[#This Row],[Universidad KPIs]],Conversiones!$C:$C,Conversiones!$E:$E)</f>
        <v>Específico</v>
      </c>
      <c r="V565" t="s">
        <v>58</v>
      </c>
      <c r="W565" t="s">
        <v>260</v>
      </c>
      <c r="X565" s="2">
        <v>45873</v>
      </c>
      <c r="Y565" s="2">
        <v>45990</v>
      </c>
      <c r="Z565">
        <v>117</v>
      </c>
      <c r="AA565" s="2"/>
    </row>
    <row r="566" spans="1:27">
      <c r="A566" s="1" t="s">
        <v>4294</v>
      </c>
      <c r="B566" s="1">
        <v>202220942</v>
      </c>
      <c r="C566" s="1" t="s">
        <v>4295</v>
      </c>
      <c r="D566" s="1" t="s">
        <v>4296</v>
      </c>
      <c r="E566" s="1" t="s">
        <v>4297</v>
      </c>
      <c r="F566" s="1" t="s">
        <v>216</v>
      </c>
      <c r="G566" s="1" t="s">
        <v>246</v>
      </c>
      <c r="H566" s="1"/>
      <c r="I566" s="1"/>
      <c r="J566" s="1" t="s">
        <v>247</v>
      </c>
      <c r="K566" s="1">
        <v>2025</v>
      </c>
      <c r="L566" s="1">
        <v>202520</v>
      </c>
      <c r="M566" s="1">
        <v>202510</v>
      </c>
      <c r="N566" s="1" t="s">
        <v>248</v>
      </c>
      <c r="O566" s="1" t="s">
        <v>2072</v>
      </c>
      <c r="P566" s="1" t="s">
        <v>249</v>
      </c>
      <c r="Q566" s="1" t="s">
        <v>216</v>
      </c>
      <c r="R566" s="1" t="s">
        <v>246</v>
      </c>
      <c r="S566" s="1" t="s">
        <v>80</v>
      </c>
      <c r="T566" s="70" t="str">
        <f>_xlfn.XLOOKUP(Tabla1[[#This Row],[Universidad]],Conversiones!$B:$B,Conversiones!$C:$C)</f>
        <v>McGill University</v>
      </c>
      <c r="U566" s="70" t="str">
        <f>_xlfn.XLOOKUP(Tabla1[[#This Row],[Universidad KPIs]],Conversiones!$C:$C,Conversiones!$E:$E)</f>
        <v>Específico</v>
      </c>
      <c r="V566" s="1" t="s">
        <v>58</v>
      </c>
      <c r="W566" s="1" t="s">
        <v>260</v>
      </c>
      <c r="X566" s="55">
        <v>45873</v>
      </c>
      <c r="Y566" s="55">
        <v>45990</v>
      </c>
      <c r="Z566" s="1">
        <v>117</v>
      </c>
      <c r="AA566" s="2"/>
    </row>
    <row r="567" spans="1:27">
      <c r="A567" t="s">
        <v>4298</v>
      </c>
      <c r="B567">
        <v>201818288</v>
      </c>
      <c r="C567" t="s">
        <v>946</v>
      </c>
      <c r="D567" t="s">
        <v>4299</v>
      </c>
      <c r="E567" t="s">
        <v>4300</v>
      </c>
      <c r="F567" t="s">
        <v>216</v>
      </c>
      <c r="J567" t="s">
        <v>247</v>
      </c>
      <c r="K567">
        <v>2025</v>
      </c>
      <c r="L567">
        <v>202520</v>
      </c>
      <c r="M567">
        <v>202520</v>
      </c>
      <c r="N567" s="1" t="s">
        <v>248</v>
      </c>
      <c r="O567" t="s">
        <v>2072</v>
      </c>
      <c r="P567" t="s">
        <v>249</v>
      </c>
      <c r="Q567" t="s">
        <v>216</v>
      </c>
      <c r="R567" t="s">
        <v>246</v>
      </c>
      <c r="S567" t="s">
        <v>4301</v>
      </c>
      <c r="T567" s="70" t="str">
        <f>_xlfn.XLOOKUP(Tabla1[[#This Row],[Universidad]],Conversiones!$B:$B,Conversiones!$C:$C)</f>
        <v>Nankai University</v>
      </c>
      <c r="U567" s="70" t="str">
        <f>_xlfn.XLOOKUP(Tabla1[[#This Row],[Universidad KPIs]],Conversiones!$C:$C,Conversiones!$E:$E)</f>
        <v>General</v>
      </c>
      <c r="V567" t="s">
        <v>49</v>
      </c>
      <c r="W567" t="s">
        <v>537</v>
      </c>
      <c r="X567" s="2">
        <v>45873</v>
      </c>
      <c r="Y567" s="2">
        <v>45990</v>
      </c>
      <c r="Z567">
        <v>117</v>
      </c>
      <c r="AA567" s="2"/>
    </row>
    <row r="568" spans="1:27">
      <c r="A568" s="1" t="s">
        <v>4302</v>
      </c>
      <c r="B568" s="1">
        <v>202221372</v>
      </c>
      <c r="C568" s="1" t="s">
        <v>667</v>
      </c>
      <c r="D568" s="1" t="s">
        <v>4303</v>
      </c>
      <c r="E568" s="1" t="s">
        <v>4304</v>
      </c>
      <c r="F568" s="1" t="s">
        <v>216</v>
      </c>
      <c r="G568" s="1"/>
      <c r="H568" s="1"/>
      <c r="I568" s="1"/>
      <c r="J568" s="1" t="s">
        <v>247</v>
      </c>
      <c r="K568" s="1">
        <v>2025</v>
      </c>
      <c r="L568" s="1">
        <v>202520</v>
      </c>
      <c r="M568" s="1">
        <v>202520</v>
      </c>
      <c r="N568" s="1" t="s">
        <v>248</v>
      </c>
      <c r="O568" s="1" t="s">
        <v>2072</v>
      </c>
      <c r="P568" s="1" t="s">
        <v>249</v>
      </c>
      <c r="Q568" s="1" t="s">
        <v>216</v>
      </c>
      <c r="R568" s="1" t="s">
        <v>246</v>
      </c>
      <c r="S568" s="1" t="s">
        <v>50</v>
      </c>
      <c r="T568" s="70" t="str">
        <f>_xlfn.XLOOKUP(Tabla1[[#This Row],[Universidad]],Conversiones!$B:$B,Conversiones!$C:$C)</f>
        <v>EDHEC Business School</v>
      </c>
      <c r="U568" s="70" t="str">
        <f>_xlfn.XLOOKUP(Tabla1[[#This Row],[Universidad KPIs]],Conversiones!$C:$C,Conversiones!$E:$E)</f>
        <v>Específico</v>
      </c>
      <c r="V568" s="1" t="s">
        <v>41</v>
      </c>
      <c r="W568" s="1" t="s">
        <v>250</v>
      </c>
      <c r="X568" s="55">
        <v>45873</v>
      </c>
      <c r="Y568" s="55">
        <v>45990</v>
      </c>
      <c r="Z568" s="1">
        <v>117</v>
      </c>
      <c r="AA568" s="2"/>
    </row>
    <row r="569" spans="1:27">
      <c r="A569" t="s">
        <v>4305</v>
      </c>
      <c r="B569">
        <v>202123980</v>
      </c>
      <c r="C569" t="s">
        <v>831</v>
      </c>
      <c r="D569" t="s">
        <v>4306</v>
      </c>
      <c r="E569" t="s">
        <v>4307</v>
      </c>
      <c r="F569" t="s">
        <v>216</v>
      </c>
      <c r="J569" t="s">
        <v>247</v>
      </c>
      <c r="K569">
        <v>2025</v>
      </c>
      <c r="L569">
        <v>202520</v>
      </c>
      <c r="M569">
        <v>202520</v>
      </c>
      <c r="N569" s="1" t="s">
        <v>248</v>
      </c>
      <c r="O569" t="s">
        <v>2072</v>
      </c>
      <c r="P569" t="s">
        <v>249</v>
      </c>
      <c r="Q569" t="s">
        <v>216</v>
      </c>
      <c r="R569" t="s">
        <v>246</v>
      </c>
      <c r="S569" t="s">
        <v>50</v>
      </c>
      <c r="T569" s="70" t="str">
        <f>_xlfn.XLOOKUP(Tabla1[[#This Row],[Universidad]],Conversiones!$B:$B,Conversiones!$C:$C)</f>
        <v>EDHEC Business School</v>
      </c>
      <c r="U569" s="70" t="str">
        <f>_xlfn.XLOOKUP(Tabla1[[#This Row],[Universidad KPIs]],Conversiones!$C:$C,Conversiones!$E:$E)</f>
        <v>Específico</v>
      </c>
      <c r="V569" t="s">
        <v>41</v>
      </c>
      <c r="W569" t="s">
        <v>250</v>
      </c>
      <c r="X569" s="2">
        <v>45873</v>
      </c>
      <c r="Y569" s="2">
        <v>45990</v>
      </c>
      <c r="Z569">
        <v>117</v>
      </c>
      <c r="AA569" s="2"/>
    </row>
    <row r="570" spans="1:27">
      <c r="A570" s="1" t="s">
        <v>4308</v>
      </c>
      <c r="B570" s="1">
        <v>202123841</v>
      </c>
      <c r="C570" s="1" t="s">
        <v>853</v>
      </c>
      <c r="D570" s="1" t="s">
        <v>4309</v>
      </c>
      <c r="E570" s="1" t="s">
        <v>4310</v>
      </c>
      <c r="F570" s="1" t="s">
        <v>216</v>
      </c>
      <c r="G570" s="1"/>
      <c r="H570" s="1"/>
      <c r="I570" s="1"/>
      <c r="J570" s="1" t="s">
        <v>247</v>
      </c>
      <c r="K570" s="1">
        <v>2025</v>
      </c>
      <c r="L570" s="1">
        <v>202520</v>
      </c>
      <c r="M570" s="1">
        <v>202520</v>
      </c>
      <c r="N570" s="1" t="s">
        <v>248</v>
      </c>
      <c r="O570" s="1" t="s">
        <v>2072</v>
      </c>
      <c r="P570" s="1" t="s">
        <v>249</v>
      </c>
      <c r="Q570" s="1" t="s">
        <v>216</v>
      </c>
      <c r="R570" s="1" t="s">
        <v>246</v>
      </c>
      <c r="S570" s="1" t="s">
        <v>388</v>
      </c>
      <c r="T570" s="70" t="str">
        <f>_xlfn.XLOOKUP(Tabla1[[#This Row],[Universidad]],Conversiones!$B:$B,Conversiones!$C:$C)</f>
        <v>ESCP</v>
      </c>
      <c r="U570" s="70" t="str">
        <f>_xlfn.XLOOKUP(Tabla1[[#This Row],[Universidad KPIs]],Conversiones!$C:$C,Conversiones!$E:$E)</f>
        <v>Específico</v>
      </c>
      <c r="V570" s="1" t="s">
        <v>41</v>
      </c>
      <c r="W570" s="1" t="s">
        <v>250</v>
      </c>
      <c r="X570" s="55">
        <v>45873</v>
      </c>
      <c r="Y570" s="55">
        <v>45990</v>
      </c>
      <c r="Z570" s="1">
        <v>117</v>
      </c>
      <c r="AA570" s="2"/>
    </row>
    <row r="571" spans="1:27">
      <c r="A571" t="s">
        <v>4311</v>
      </c>
      <c r="B571">
        <v>202221641</v>
      </c>
      <c r="C571" t="s">
        <v>636</v>
      </c>
      <c r="D571" t="s">
        <v>4312</v>
      </c>
      <c r="E571" t="s">
        <v>4313</v>
      </c>
      <c r="F571" t="s">
        <v>216</v>
      </c>
      <c r="J571" t="s">
        <v>247</v>
      </c>
      <c r="K571">
        <v>2025</v>
      </c>
      <c r="L571">
        <v>202520</v>
      </c>
      <c r="M571">
        <v>202520</v>
      </c>
      <c r="N571" s="1" t="s">
        <v>248</v>
      </c>
      <c r="O571" t="s">
        <v>2072</v>
      </c>
      <c r="P571" t="s">
        <v>249</v>
      </c>
      <c r="Q571" t="s">
        <v>216</v>
      </c>
      <c r="R571" t="s">
        <v>246</v>
      </c>
      <c r="S571" t="s">
        <v>388</v>
      </c>
      <c r="T571" s="70" t="str">
        <f>_xlfn.XLOOKUP(Tabla1[[#This Row],[Universidad]],Conversiones!$B:$B,Conversiones!$C:$C)</f>
        <v>ESCP</v>
      </c>
      <c r="U571" s="70" t="str">
        <f>_xlfn.XLOOKUP(Tabla1[[#This Row],[Universidad KPIs]],Conversiones!$C:$C,Conversiones!$E:$E)</f>
        <v>Específico</v>
      </c>
      <c r="V571" t="s">
        <v>41</v>
      </c>
      <c r="W571" t="s">
        <v>250</v>
      </c>
      <c r="X571" s="2">
        <v>45873</v>
      </c>
      <c r="Y571" s="2">
        <v>45990</v>
      </c>
      <c r="Z571">
        <v>117</v>
      </c>
      <c r="AA571" s="2"/>
    </row>
    <row r="572" spans="1:27">
      <c r="A572" s="1" t="s">
        <v>4314</v>
      </c>
      <c r="B572" s="1">
        <v>202212251</v>
      </c>
      <c r="C572" s="1" t="s">
        <v>667</v>
      </c>
      <c r="D572" s="1" t="s">
        <v>4315</v>
      </c>
      <c r="E572" s="1" t="s">
        <v>4316</v>
      </c>
      <c r="F572" s="1" t="s">
        <v>216</v>
      </c>
      <c r="G572" s="1"/>
      <c r="H572" s="1"/>
      <c r="I572" s="1"/>
      <c r="J572" s="1" t="s">
        <v>247</v>
      </c>
      <c r="K572" s="1">
        <v>2025</v>
      </c>
      <c r="L572" s="1">
        <v>202520</v>
      </c>
      <c r="M572" s="1">
        <v>202520</v>
      </c>
      <c r="N572" s="1" t="s">
        <v>248</v>
      </c>
      <c r="O572" s="1" t="s">
        <v>2072</v>
      </c>
      <c r="P572" s="1" t="s">
        <v>249</v>
      </c>
      <c r="Q572" s="1" t="s">
        <v>216</v>
      </c>
      <c r="R572" s="1" t="s">
        <v>246</v>
      </c>
      <c r="S572" s="1" t="s">
        <v>298</v>
      </c>
      <c r="T572" s="70" t="str">
        <f>_xlfn.XLOOKUP(Tabla1[[#This Row],[Universidad]],Conversiones!$B:$B,Conversiones!$C:$C)</f>
        <v>ESSEC</v>
      </c>
      <c r="U572" s="70" t="str">
        <f>_xlfn.XLOOKUP(Tabla1[[#This Row],[Universidad KPIs]],Conversiones!$C:$C,Conversiones!$E:$E)</f>
        <v>Específico</v>
      </c>
      <c r="V572" s="1" t="s">
        <v>41</v>
      </c>
      <c r="W572" s="1" t="s">
        <v>250</v>
      </c>
      <c r="X572" s="55">
        <v>45873</v>
      </c>
      <c r="Y572" s="55">
        <v>45990</v>
      </c>
      <c r="Z572" s="1">
        <v>117</v>
      </c>
      <c r="AA572" s="2"/>
    </row>
    <row r="573" spans="1:27">
      <c r="A573" t="s">
        <v>4317</v>
      </c>
      <c r="B573">
        <v>202220214</v>
      </c>
      <c r="C573" t="s">
        <v>434</v>
      </c>
      <c r="D573" t="s">
        <v>4318</v>
      </c>
      <c r="E573" t="s">
        <v>4319</v>
      </c>
      <c r="F573" t="s">
        <v>216</v>
      </c>
      <c r="J573" t="s">
        <v>247</v>
      </c>
      <c r="K573">
        <v>2025</v>
      </c>
      <c r="L573">
        <v>202520</v>
      </c>
      <c r="M573">
        <v>202520</v>
      </c>
      <c r="N573" s="1" t="s">
        <v>248</v>
      </c>
      <c r="O573" t="s">
        <v>2072</v>
      </c>
      <c r="P573" t="s">
        <v>249</v>
      </c>
      <c r="Q573" t="s">
        <v>216</v>
      </c>
      <c r="R573" t="s">
        <v>246</v>
      </c>
      <c r="S573" t="s">
        <v>298</v>
      </c>
      <c r="T573" s="70" t="str">
        <f>_xlfn.XLOOKUP(Tabla1[[#This Row],[Universidad]],Conversiones!$B:$B,Conversiones!$C:$C)</f>
        <v>ESSEC</v>
      </c>
      <c r="U573" s="70" t="str">
        <f>_xlfn.XLOOKUP(Tabla1[[#This Row],[Universidad KPIs]],Conversiones!$C:$C,Conversiones!$E:$E)</f>
        <v>Específico</v>
      </c>
      <c r="V573" t="s">
        <v>41</v>
      </c>
      <c r="W573" t="s">
        <v>250</v>
      </c>
      <c r="X573" s="2">
        <v>45873</v>
      </c>
      <c r="Y573" s="2">
        <v>45990</v>
      </c>
      <c r="Z573">
        <v>117</v>
      </c>
      <c r="AA573" s="2"/>
    </row>
    <row r="574" spans="1:27">
      <c r="A574" s="1" t="s">
        <v>4320</v>
      </c>
      <c r="B574" s="1">
        <v>202320112</v>
      </c>
      <c r="C574" s="1" t="s">
        <v>4321</v>
      </c>
      <c r="D574" s="1" t="s">
        <v>4322</v>
      </c>
      <c r="E574" s="1" t="s">
        <v>4323</v>
      </c>
      <c r="F574" s="1" t="s">
        <v>216</v>
      </c>
      <c r="G574" s="1"/>
      <c r="H574" s="1"/>
      <c r="I574" s="1"/>
      <c r="J574" s="1" t="s">
        <v>247</v>
      </c>
      <c r="K574" s="1">
        <v>2025</v>
      </c>
      <c r="L574" s="1">
        <v>202520</v>
      </c>
      <c r="M574" s="1">
        <v>202520</v>
      </c>
      <c r="N574" s="1" t="s">
        <v>248</v>
      </c>
      <c r="O574" s="1" t="s">
        <v>2072</v>
      </c>
      <c r="P574" s="1" t="s">
        <v>249</v>
      </c>
      <c r="Q574" s="1" t="s">
        <v>216</v>
      </c>
      <c r="R574" s="1" t="s">
        <v>246</v>
      </c>
      <c r="S574" s="1" t="s">
        <v>298</v>
      </c>
      <c r="T574" s="70" t="str">
        <f>_xlfn.XLOOKUP(Tabla1[[#This Row],[Universidad]],Conversiones!$B:$B,Conversiones!$C:$C)</f>
        <v>ESSEC</v>
      </c>
      <c r="U574" s="70" t="str">
        <f>_xlfn.XLOOKUP(Tabla1[[#This Row],[Universidad KPIs]],Conversiones!$C:$C,Conversiones!$E:$E)</f>
        <v>Específico</v>
      </c>
      <c r="V574" s="1" t="s">
        <v>41</v>
      </c>
      <c r="W574" s="1" t="s">
        <v>250</v>
      </c>
      <c r="X574" s="55">
        <v>45873</v>
      </c>
      <c r="Y574" s="55">
        <v>45990</v>
      </c>
      <c r="Z574" s="1">
        <v>117</v>
      </c>
      <c r="AA574" s="2"/>
    </row>
    <row r="575" spans="1:27">
      <c r="A575" t="s">
        <v>4324</v>
      </c>
      <c r="B575">
        <v>202112629</v>
      </c>
      <c r="C575" t="s">
        <v>897</v>
      </c>
      <c r="D575" t="s">
        <v>4325</v>
      </c>
      <c r="E575" t="s">
        <v>4326</v>
      </c>
      <c r="F575" t="s">
        <v>216</v>
      </c>
      <c r="J575" t="s">
        <v>247</v>
      </c>
      <c r="K575">
        <v>2025</v>
      </c>
      <c r="L575">
        <v>202520</v>
      </c>
      <c r="M575">
        <v>202520</v>
      </c>
      <c r="N575" s="1" t="s">
        <v>248</v>
      </c>
      <c r="O575" t="s">
        <v>2072</v>
      </c>
      <c r="P575" t="s">
        <v>249</v>
      </c>
      <c r="Q575" t="s">
        <v>216</v>
      </c>
      <c r="R575" t="s">
        <v>246</v>
      </c>
      <c r="S575" t="s">
        <v>298</v>
      </c>
      <c r="T575" s="70" t="str">
        <f>_xlfn.XLOOKUP(Tabla1[[#This Row],[Universidad]],Conversiones!$B:$B,Conversiones!$C:$C)</f>
        <v>ESSEC</v>
      </c>
      <c r="U575" s="70" t="str">
        <f>_xlfn.XLOOKUP(Tabla1[[#This Row],[Universidad KPIs]],Conversiones!$C:$C,Conversiones!$E:$E)</f>
        <v>Específico</v>
      </c>
      <c r="V575" t="s">
        <v>41</v>
      </c>
      <c r="W575" t="s">
        <v>250</v>
      </c>
      <c r="X575" s="2">
        <v>45873</v>
      </c>
      <c r="Y575" s="2">
        <v>45990</v>
      </c>
      <c r="Z575">
        <v>117</v>
      </c>
      <c r="AA575" s="2"/>
    </row>
    <row r="576" spans="1:27">
      <c r="A576" s="1" t="s">
        <v>4327</v>
      </c>
      <c r="B576" s="1">
        <v>202311611</v>
      </c>
      <c r="C576" s="1" t="s">
        <v>961</v>
      </c>
      <c r="D576" s="1" t="s">
        <v>4328</v>
      </c>
      <c r="E576" s="1" t="s">
        <v>4329</v>
      </c>
      <c r="F576" s="1" t="s">
        <v>222</v>
      </c>
      <c r="G576" s="1"/>
      <c r="H576" s="1"/>
      <c r="I576" s="1"/>
      <c r="J576" s="1" t="s">
        <v>247</v>
      </c>
      <c r="K576" s="1">
        <v>2025</v>
      </c>
      <c r="L576" s="1">
        <v>202520</v>
      </c>
      <c r="M576" s="1">
        <v>202520</v>
      </c>
      <c r="N576" t="s">
        <v>587</v>
      </c>
      <c r="O576" s="1" t="s">
        <v>2072</v>
      </c>
      <c r="P576" s="1" t="s">
        <v>1491</v>
      </c>
      <c r="Q576" s="1" t="s">
        <v>222</v>
      </c>
      <c r="R576" s="1" t="s">
        <v>246</v>
      </c>
      <c r="S576" s="1" t="s">
        <v>298</v>
      </c>
      <c r="T576" s="70" t="str">
        <f>_xlfn.XLOOKUP(Tabla1[[#This Row],[Universidad]],Conversiones!$B:$B,Conversiones!$C:$C)</f>
        <v>ESSEC</v>
      </c>
      <c r="U576" s="70" t="str">
        <f>_xlfn.XLOOKUP(Tabla1[[#This Row],[Universidad KPIs]],Conversiones!$C:$C,Conversiones!$E:$E)</f>
        <v>Específico</v>
      </c>
      <c r="V576" s="1" t="s">
        <v>41</v>
      </c>
      <c r="W576" s="1" t="s">
        <v>250</v>
      </c>
      <c r="X576" s="55">
        <v>45873</v>
      </c>
      <c r="Y576" s="55">
        <v>45990</v>
      </c>
      <c r="Z576" s="1">
        <v>117</v>
      </c>
      <c r="AA576" s="2"/>
    </row>
    <row r="577" spans="1:27">
      <c r="A577" t="s">
        <v>4330</v>
      </c>
      <c r="B577">
        <v>202122017</v>
      </c>
      <c r="C577" t="s">
        <v>376</v>
      </c>
      <c r="D577" t="s">
        <v>4331</v>
      </c>
      <c r="E577" t="s">
        <v>4332</v>
      </c>
      <c r="F577" t="s">
        <v>216</v>
      </c>
      <c r="J577" t="s">
        <v>247</v>
      </c>
      <c r="K577">
        <v>2025</v>
      </c>
      <c r="L577">
        <v>202520</v>
      </c>
      <c r="M577">
        <v>202520</v>
      </c>
      <c r="N577" s="1" t="s">
        <v>248</v>
      </c>
      <c r="O577" t="s">
        <v>2072</v>
      </c>
      <c r="P577" t="s">
        <v>249</v>
      </c>
      <c r="Q577" t="s">
        <v>216</v>
      </c>
      <c r="R577" t="s">
        <v>246</v>
      </c>
      <c r="S577" t="s">
        <v>619</v>
      </c>
      <c r="T577" s="70" t="str">
        <f>_xlfn.XLOOKUP(Tabla1[[#This Row],[Universidad]],Conversiones!$B:$B,Conversiones!$C:$C)</f>
        <v>Grenoble. École de Management</v>
      </c>
      <c r="U577" s="70" t="str">
        <f>_xlfn.XLOOKUP(Tabla1[[#This Row],[Universidad KPIs]],Conversiones!$C:$C,Conversiones!$E:$E)</f>
        <v>Específico</v>
      </c>
      <c r="V577" t="s">
        <v>41</v>
      </c>
      <c r="W577" t="s">
        <v>250</v>
      </c>
      <c r="X577" s="2">
        <v>45873</v>
      </c>
      <c r="Y577" s="2">
        <v>45990</v>
      </c>
      <c r="Z577">
        <v>117</v>
      </c>
      <c r="AA577" s="2"/>
    </row>
    <row r="578" spans="1:27">
      <c r="A578" s="1" t="s">
        <v>4333</v>
      </c>
      <c r="B578" s="1">
        <v>202220571</v>
      </c>
      <c r="C578" s="1" t="s">
        <v>870</v>
      </c>
      <c r="D578" s="1" t="s">
        <v>4334</v>
      </c>
      <c r="E578" s="1" t="s">
        <v>4335</v>
      </c>
      <c r="F578" s="1" t="s">
        <v>216</v>
      </c>
      <c r="G578" s="1"/>
      <c r="H578" s="1"/>
      <c r="I578" s="1"/>
      <c r="J578" s="1" t="s">
        <v>247</v>
      </c>
      <c r="K578" s="1">
        <v>2025</v>
      </c>
      <c r="L578" s="1">
        <v>202520</v>
      </c>
      <c r="M578" s="1">
        <v>202520</v>
      </c>
      <c r="N578" s="1" t="s">
        <v>248</v>
      </c>
      <c r="O578" s="1" t="s">
        <v>2072</v>
      </c>
      <c r="P578" s="1" t="s">
        <v>249</v>
      </c>
      <c r="Q578" s="1" t="s">
        <v>216</v>
      </c>
      <c r="R578" s="1" t="s">
        <v>246</v>
      </c>
      <c r="S578" s="1" t="s">
        <v>1454</v>
      </c>
      <c r="T578" s="70" t="str">
        <f>_xlfn.XLOOKUP(Tabla1[[#This Row],[Universidad]],Conversiones!$B:$B,Conversiones!$C:$C)</f>
        <v>HEC Paris</v>
      </c>
      <c r="U578" s="70" t="str">
        <f>_xlfn.XLOOKUP(Tabla1[[#This Row],[Universidad KPIs]],Conversiones!$C:$C,Conversiones!$E:$E)</f>
        <v>Específico</v>
      </c>
      <c r="V578" s="1" t="s">
        <v>41</v>
      </c>
      <c r="W578" s="1" t="s">
        <v>250</v>
      </c>
      <c r="X578" s="55">
        <v>45873</v>
      </c>
      <c r="Y578" s="55">
        <v>45990</v>
      </c>
      <c r="Z578" s="1">
        <v>117</v>
      </c>
      <c r="AA578" s="2"/>
    </row>
    <row r="579" spans="1:27">
      <c r="A579" t="s">
        <v>4336</v>
      </c>
      <c r="B579">
        <v>202215436</v>
      </c>
      <c r="C579" t="s">
        <v>2255</v>
      </c>
      <c r="D579" t="s">
        <v>4337</v>
      </c>
      <c r="E579" t="s">
        <v>4338</v>
      </c>
      <c r="F579" t="s">
        <v>216</v>
      </c>
      <c r="J579" t="s">
        <v>247</v>
      </c>
      <c r="K579">
        <v>2025</v>
      </c>
      <c r="L579">
        <v>202520</v>
      </c>
      <c r="M579">
        <v>202520</v>
      </c>
      <c r="N579" s="1" t="s">
        <v>248</v>
      </c>
      <c r="O579" t="s">
        <v>2072</v>
      </c>
      <c r="P579" t="s">
        <v>249</v>
      </c>
      <c r="Q579" t="s">
        <v>216</v>
      </c>
      <c r="R579" t="s">
        <v>246</v>
      </c>
      <c r="S579" t="s">
        <v>528</v>
      </c>
      <c r="T579" s="70" t="str">
        <f>_xlfn.XLOOKUP(Tabla1[[#This Row],[Universidad]],Conversiones!$B:$B,Conversiones!$C:$C)</f>
        <v>ICN Business School - Institut Commercial de Nancy</v>
      </c>
      <c r="U579" s="70" t="str">
        <f>_xlfn.XLOOKUP(Tabla1[[#This Row],[Universidad KPIs]],Conversiones!$C:$C,Conversiones!$E:$E)</f>
        <v>Específico</v>
      </c>
      <c r="V579" t="s">
        <v>41</v>
      </c>
      <c r="W579" t="s">
        <v>250</v>
      </c>
      <c r="X579" s="2">
        <v>45873</v>
      </c>
      <c r="Y579" s="2">
        <v>45990</v>
      </c>
      <c r="Z579">
        <v>117</v>
      </c>
      <c r="AA579" s="2"/>
    </row>
    <row r="580" spans="1:27">
      <c r="A580" s="1" t="s">
        <v>4339</v>
      </c>
      <c r="B580" s="1">
        <v>202212944</v>
      </c>
      <c r="C580" s="1" t="s">
        <v>243</v>
      </c>
      <c r="D580" s="1" t="s">
        <v>4340</v>
      </c>
      <c r="E580" s="1" t="s">
        <v>4341</v>
      </c>
      <c r="F580" s="1" t="s">
        <v>216</v>
      </c>
      <c r="G580" s="1"/>
      <c r="H580" s="1"/>
      <c r="I580" s="1"/>
      <c r="J580" s="1" t="s">
        <v>247</v>
      </c>
      <c r="K580" s="1">
        <v>2025</v>
      </c>
      <c r="L580" s="1">
        <v>202520</v>
      </c>
      <c r="M580" s="1">
        <v>202520</v>
      </c>
      <c r="N580" s="1" t="s">
        <v>248</v>
      </c>
      <c r="O580" s="1" t="s">
        <v>2072</v>
      </c>
      <c r="P580" s="1" t="s">
        <v>249</v>
      </c>
      <c r="Q580" s="1" t="s">
        <v>216</v>
      </c>
      <c r="R580" s="1" t="s">
        <v>246</v>
      </c>
      <c r="S580" s="1" t="s">
        <v>528</v>
      </c>
      <c r="T580" s="70" t="str">
        <f>_xlfn.XLOOKUP(Tabla1[[#This Row],[Universidad]],Conversiones!$B:$B,Conversiones!$C:$C)</f>
        <v>ICN Business School - Institut Commercial de Nancy</v>
      </c>
      <c r="U580" s="70" t="str">
        <f>_xlfn.XLOOKUP(Tabla1[[#This Row],[Universidad KPIs]],Conversiones!$C:$C,Conversiones!$E:$E)</f>
        <v>Específico</v>
      </c>
      <c r="V580" s="1" t="s">
        <v>41</v>
      </c>
      <c r="W580" s="1" t="s">
        <v>250</v>
      </c>
      <c r="X580" s="55">
        <v>45873</v>
      </c>
      <c r="Y580" s="55">
        <v>45990</v>
      </c>
      <c r="Z580" s="1">
        <v>117</v>
      </c>
      <c r="AA580" s="2"/>
    </row>
    <row r="581" spans="1:27">
      <c r="A581" t="s">
        <v>4342</v>
      </c>
      <c r="B581">
        <v>202212565</v>
      </c>
      <c r="C581" t="s">
        <v>783</v>
      </c>
      <c r="D581" t="s">
        <v>4343</v>
      </c>
      <c r="E581" t="s">
        <v>4344</v>
      </c>
      <c r="F581" t="s">
        <v>216</v>
      </c>
      <c r="G581" t="s">
        <v>246</v>
      </c>
      <c r="J581" t="s">
        <v>247</v>
      </c>
      <c r="K581">
        <v>2025</v>
      </c>
      <c r="L581">
        <v>202520</v>
      </c>
      <c r="M581">
        <v>202520</v>
      </c>
      <c r="N581" s="1" t="s">
        <v>248</v>
      </c>
      <c r="O581" t="s">
        <v>214</v>
      </c>
      <c r="P581" t="s">
        <v>446</v>
      </c>
      <c r="Q581" t="s">
        <v>216</v>
      </c>
      <c r="R581" t="s">
        <v>246</v>
      </c>
      <c r="S581" t="s">
        <v>255</v>
      </c>
      <c r="T581" s="70" t="str">
        <f>_xlfn.XLOOKUP(Tabla1[[#This Row],[Universidad]],Conversiones!$B:$B,Conversiones!$C:$C)</f>
        <v>ESC Rouen (NEOMA)</v>
      </c>
      <c r="U581" s="70" t="str">
        <f>_xlfn.XLOOKUP(Tabla1[[#This Row],[Universidad KPIs]],Conversiones!$C:$C,Conversiones!$E:$E)</f>
        <v>Específico</v>
      </c>
      <c r="V581" t="s">
        <v>41</v>
      </c>
      <c r="W581" t="s">
        <v>250</v>
      </c>
      <c r="X581" s="2">
        <v>45873</v>
      </c>
      <c r="Y581" s="2">
        <v>45990</v>
      </c>
      <c r="Z581">
        <v>117</v>
      </c>
      <c r="AA581" s="2"/>
    </row>
    <row r="582" spans="1:27">
      <c r="A582" s="1" t="s">
        <v>4345</v>
      </c>
      <c r="B582" s="1">
        <v>202320757</v>
      </c>
      <c r="C582" s="1" t="s">
        <v>4346</v>
      </c>
      <c r="D582" s="1" t="s">
        <v>4347</v>
      </c>
      <c r="E582" s="1" t="s">
        <v>4348</v>
      </c>
      <c r="F582" s="1" t="s">
        <v>216</v>
      </c>
      <c r="G582" s="1" t="s">
        <v>246</v>
      </c>
      <c r="H582" s="1"/>
      <c r="I582" s="1"/>
      <c r="J582" s="1" t="s">
        <v>247</v>
      </c>
      <c r="K582" s="1">
        <v>2025</v>
      </c>
      <c r="L582" s="1">
        <v>202520</v>
      </c>
      <c r="M582" s="1">
        <v>202520</v>
      </c>
      <c r="N582" s="1" t="s">
        <v>248</v>
      </c>
      <c r="O582" s="1" t="s">
        <v>214</v>
      </c>
      <c r="P582" s="1" t="s">
        <v>446</v>
      </c>
      <c r="Q582" s="1" t="s">
        <v>216</v>
      </c>
      <c r="R582" s="1" t="s">
        <v>246</v>
      </c>
      <c r="S582" s="1" t="s">
        <v>255</v>
      </c>
      <c r="T582" s="70" t="str">
        <f>_xlfn.XLOOKUP(Tabla1[[#This Row],[Universidad]],Conversiones!$B:$B,Conversiones!$C:$C)</f>
        <v>ESC Rouen (NEOMA)</v>
      </c>
      <c r="U582" s="70" t="str">
        <f>_xlfn.XLOOKUP(Tabla1[[#This Row],[Universidad KPIs]],Conversiones!$C:$C,Conversiones!$E:$E)</f>
        <v>Específico</v>
      </c>
      <c r="V582" s="1" t="s">
        <v>41</v>
      </c>
      <c r="W582" s="1" t="s">
        <v>250</v>
      </c>
      <c r="X582" s="55">
        <v>45873</v>
      </c>
      <c r="Y582" s="55">
        <v>45990</v>
      </c>
      <c r="Z582" s="1">
        <v>117</v>
      </c>
      <c r="AA582" s="2"/>
    </row>
    <row r="583" spans="1:27">
      <c r="A583" t="s">
        <v>4349</v>
      </c>
      <c r="B583">
        <v>202123908</v>
      </c>
      <c r="C583" t="s">
        <v>659</v>
      </c>
      <c r="D583" t="s">
        <v>4350</v>
      </c>
      <c r="E583" t="s">
        <v>4351</v>
      </c>
      <c r="F583" t="s">
        <v>216</v>
      </c>
      <c r="G583" t="s">
        <v>246</v>
      </c>
      <c r="J583" t="s">
        <v>247</v>
      </c>
      <c r="K583">
        <v>2025</v>
      </c>
      <c r="L583">
        <v>202520</v>
      </c>
      <c r="M583">
        <v>202520</v>
      </c>
      <c r="N583" s="1" t="s">
        <v>248</v>
      </c>
      <c r="O583" t="s">
        <v>2072</v>
      </c>
      <c r="P583" t="s">
        <v>249</v>
      </c>
      <c r="Q583" t="s">
        <v>216</v>
      </c>
      <c r="R583" t="s">
        <v>246</v>
      </c>
      <c r="S583" t="s">
        <v>279</v>
      </c>
      <c r="T583" s="70" t="str">
        <f>_xlfn.XLOOKUP(Tabla1[[#This Row],[Universidad]],Conversiones!$B:$B,Conversiones!$C:$C)</f>
        <v>Toulouse Business School</v>
      </c>
      <c r="U583" s="70" t="str">
        <f>_xlfn.XLOOKUP(Tabla1[[#This Row],[Universidad KPIs]],Conversiones!$C:$C,Conversiones!$E:$E)</f>
        <v>Específico</v>
      </c>
      <c r="V583" t="s">
        <v>41</v>
      </c>
      <c r="W583" t="s">
        <v>250</v>
      </c>
      <c r="X583" s="2">
        <v>45873</v>
      </c>
      <c r="Y583" s="2">
        <v>45990</v>
      </c>
      <c r="Z583">
        <v>117</v>
      </c>
      <c r="AA583" s="2"/>
    </row>
    <row r="584" spans="1:27">
      <c r="A584" s="1" t="s">
        <v>4352</v>
      </c>
      <c r="B584" s="1">
        <v>202214659</v>
      </c>
      <c r="C584" s="1" t="s">
        <v>426</v>
      </c>
      <c r="D584" s="1" t="s">
        <v>4353</v>
      </c>
      <c r="E584" s="1" t="s">
        <v>4354</v>
      </c>
      <c r="F584" s="1" t="s">
        <v>216</v>
      </c>
      <c r="G584" s="1" t="s">
        <v>246</v>
      </c>
      <c r="H584" s="1"/>
      <c r="I584" s="1"/>
      <c r="J584" s="1" t="s">
        <v>247</v>
      </c>
      <c r="K584" s="1">
        <v>2025</v>
      </c>
      <c r="L584" s="1">
        <v>202520</v>
      </c>
      <c r="M584" s="1">
        <v>202520</v>
      </c>
      <c r="N584" s="1" t="s">
        <v>248</v>
      </c>
      <c r="O584" s="1" t="s">
        <v>214</v>
      </c>
      <c r="P584" s="1" t="s">
        <v>446</v>
      </c>
      <c r="Q584" s="1" t="s">
        <v>216</v>
      </c>
      <c r="R584" s="1" t="s">
        <v>246</v>
      </c>
      <c r="S584" s="1" t="s">
        <v>279</v>
      </c>
      <c r="T584" s="70" t="str">
        <f>_xlfn.XLOOKUP(Tabla1[[#This Row],[Universidad]],Conversiones!$B:$B,Conversiones!$C:$C)</f>
        <v>Toulouse Business School</v>
      </c>
      <c r="U584" s="70" t="str">
        <f>_xlfn.XLOOKUP(Tabla1[[#This Row],[Universidad KPIs]],Conversiones!$C:$C,Conversiones!$E:$E)</f>
        <v>Específico</v>
      </c>
      <c r="V584" s="1" t="s">
        <v>41</v>
      </c>
      <c r="W584" s="1" t="s">
        <v>250</v>
      </c>
      <c r="X584" s="55">
        <v>45873</v>
      </c>
      <c r="Y584" s="55">
        <v>45990</v>
      </c>
      <c r="Z584" s="1">
        <v>117</v>
      </c>
      <c r="AA584" s="2"/>
    </row>
    <row r="585" spans="1:27">
      <c r="A585" t="s">
        <v>4355</v>
      </c>
      <c r="B585">
        <v>202210355</v>
      </c>
      <c r="C585" t="s">
        <v>4356</v>
      </c>
      <c r="D585" t="s">
        <v>4357</v>
      </c>
      <c r="E585" t="s">
        <v>4358</v>
      </c>
      <c r="F585" t="s">
        <v>216</v>
      </c>
      <c r="G585" t="s">
        <v>246</v>
      </c>
      <c r="J585" t="s">
        <v>247</v>
      </c>
      <c r="K585">
        <v>2025</v>
      </c>
      <c r="L585">
        <v>202520</v>
      </c>
      <c r="M585">
        <v>202520</v>
      </c>
      <c r="N585" s="1" t="s">
        <v>248</v>
      </c>
      <c r="O585" t="s">
        <v>214</v>
      </c>
      <c r="P585" t="s">
        <v>446</v>
      </c>
      <c r="Q585" t="s">
        <v>216</v>
      </c>
      <c r="R585" t="s">
        <v>246</v>
      </c>
      <c r="S585" t="s">
        <v>279</v>
      </c>
      <c r="T585" s="70" t="str">
        <f>_xlfn.XLOOKUP(Tabla1[[#This Row],[Universidad]],Conversiones!$B:$B,Conversiones!$C:$C)</f>
        <v>Toulouse Business School</v>
      </c>
      <c r="U585" s="70" t="str">
        <f>_xlfn.XLOOKUP(Tabla1[[#This Row],[Universidad KPIs]],Conversiones!$C:$C,Conversiones!$E:$E)</f>
        <v>Específico</v>
      </c>
      <c r="V585" t="s">
        <v>41</v>
      </c>
      <c r="W585" t="s">
        <v>250</v>
      </c>
      <c r="X585" s="2">
        <v>45873</v>
      </c>
      <c r="Y585" s="2">
        <v>45990</v>
      </c>
      <c r="Z585">
        <v>117</v>
      </c>
      <c r="AA585" s="2"/>
    </row>
    <row r="586" spans="1:27">
      <c r="A586" s="1" t="s">
        <v>4359</v>
      </c>
      <c r="B586" s="1">
        <v>202214583</v>
      </c>
      <c r="C586" s="1" t="s">
        <v>1285</v>
      </c>
      <c r="D586" s="1" t="s">
        <v>4360</v>
      </c>
      <c r="E586" s="1" t="s">
        <v>4361</v>
      </c>
      <c r="F586" s="1" t="s">
        <v>216</v>
      </c>
      <c r="G586" s="1" t="s">
        <v>246</v>
      </c>
      <c r="H586" s="1"/>
      <c r="I586" s="1"/>
      <c r="J586" s="1" t="s">
        <v>247</v>
      </c>
      <c r="K586" s="1">
        <v>2025</v>
      </c>
      <c r="L586" s="1">
        <v>202520</v>
      </c>
      <c r="M586" s="1">
        <v>202520</v>
      </c>
      <c r="N586" s="1" t="s">
        <v>248</v>
      </c>
      <c r="O586" s="1" t="s">
        <v>214</v>
      </c>
      <c r="P586" s="1" t="s">
        <v>446</v>
      </c>
      <c r="Q586" s="1" t="s">
        <v>216</v>
      </c>
      <c r="R586" s="1" t="s">
        <v>246</v>
      </c>
      <c r="S586" s="1" t="s">
        <v>279</v>
      </c>
      <c r="T586" s="70" t="str">
        <f>_xlfn.XLOOKUP(Tabla1[[#This Row],[Universidad]],Conversiones!$B:$B,Conversiones!$C:$C)</f>
        <v>Toulouse Business School</v>
      </c>
      <c r="U586" s="70" t="str">
        <f>_xlfn.XLOOKUP(Tabla1[[#This Row],[Universidad KPIs]],Conversiones!$C:$C,Conversiones!$E:$E)</f>
        <v>Específico</v>
      </c>
      <c r="V586" s="1" t="s">
        <v>41</v>
      </c>
      <c r="W586" s="1" t="s">
        <v>250</v>
      </c>
      <c r="X586" s="55">
        <v>45873</v>
      </c>
      <c r="Y586" s="55">
        <v>45990</v>
      </c>
      <c r="Z586" s="1">
        <v>117</v>
      </c>
      <c r="AA586" s="2"/>
    </row>
    <row r="587" spans="1:27">
      <c r="A587" t="s">
        <v>4362</v>
      </c>
      <c r="B587">
        <v>202123175</v>
      </c>
      <c r="C587" t="s">
        <v>728</v>
      </c>
      <c r="D587" t="s">
        <v>4363</v>
      </c>
      <c r="E587" t="s">
        <v>4364</v>
      </c>
      <c r="F587" t="s">
        <v>216</v>
      </c>
      <c r="J587" t="s">
        <v>247</v>
      </c>
      <c r="K587">
        <v>2025</v>
      </c>
      <c r="L587">
        <v>202520</v>
      </c>
      <c r="M587">
        <v>202520</v>
      </c>
      <c r="N587" s="1" t="s">
        <v>248</v>
      </c>
      <c r="O587" t="s">
        <v>2072</v>
      </c>
      <c r="P587" t="s">
        <v>249</v>
      </c>
      <c r="Q587" t="s">
        <v>216</v>
      </c>
      <c r="R587" t="s">
        <v>246</v>
      </c>
      <c r="S587" t="s">
        <v>1369</v>
      </c>
      <c r="T587" s="70" t="str">
        <f>_xlfn.XLOOKUP(Tabla1[[#This Row],[Universidad]],Conversiones!$B:$B,Conversiones!$C:$C)</f>
        <v>EM Strasbourg</v>
      </c>
      <c r="U587" s="70" t="str">
        <f>_xlfn.XLOOKUP(Tabla1[[#This Row],[Universidad KPIs]],Conversiones!$C:$C,Conversiones!$E:$E)</f>
        <v>Específico</v>
      </c>
      <c r="V587" t="s">
        <v>41</v>
      </c>
      <c r="W587" t="s">
        <v>250</v>
      </c>
      <c r="X587" s="2">
        <v>45873</v>
      </c>
      <c r="Y587" s="2">
        <v>45990</v>
      </c>
      <c r="Z587">
        <v>117</v>
      </c>
      <c r="AA587" s="2"/>
    </row>
    <row r="588" spans="1:27">
      <c r="A588" s="1" t="s">
        <v>4365</v>
      </c>
      <c r="B588" s="1">
        <v>202210427</v>
      </c>
      <c r="C588" s="1" t="s">
        <v>4366</v>
      </c>
      <c r="D588" s="1" t="s">
        <v>4367</v>
      </c>
      <c r="E588" s="1" t="s">
        <v>4368</v>
      </c>
      <c r="F588" s="1" t="s">
        <v>216</v>
      </c>
      <c r="G588" s="1"/>
      <c r="H588" s="1"/>
      <c r="I588" s="1"/>
      <c r="J588" s="1" t="s">
        <v>247</v>
      </c>
      <c r="K588" s="1">
        <v>2025</v>
      </c>
      <c r="L588" s="1">
        <v>202520</v>
      </c>
      <c r="M588" s="1">
        <v>202520</v>
      </c>
      <c r="N588" s="1" t="s">
        <v>248</v>
      </c>
      <c r="O588" s="1" t="s">
        <v>2072</v>
      </c>
      <c r="P588" s="1" t="s">
        <v>249</v>
      </c>
      <c r="Q588" s="1" t="s">
        <v>216</v>
      </c>
      <c r="R588" s="1" t="s">
        <v>246</v>
      </c>
      <c r="S588" s="1" t="s">
        <v>320</v>
      </c>
      <c r="T588" s="70" t="str">
        <f>_xlfn.XLOOKUP(Tabla1[[#This Row],[Universidad]],Conversiones!$B:$B,Conversiones!$C:$C)</f>
        <v>KLU Kühne Logistics University</v>
      </c>
      <c r="U588" s="70" t="str">
        <f>_xlfn.XLOOKUP(Tabla1[[#This Row],[Universidad KPIs]],Conversiones!$C:$C,Conversiones!$E:$E)</f>
        <v>Específico</v>
      </c>
      <c r="V588" s="1" t="s">
        <v>60</v>
      </c>
      <c r="W588" s="1" t="s">
        <v>250</v>
      </c>
      <c r="X588" s="55">
        <v>45873</v>
      </c>
      <c r="Y588" s="55">
        <v>45990</v>
      </c>
      <c r="Z588" s="1">
        <v>117</v>
      </c>
      <c r="AA588" s="2"/>
    </row>
    <row r="589" spans="1:27">
      <c r="A589" t="s">
        <v>4369</v>
      </c>
      <c r="B589">
        <v>202214918</v>
      </c>
      <c r="C589" t="s">
        <v>2255</v>
      </c>
      <c r="D589" t="s">
        <v>4370</v>
      </c>
      <c r="E589" t="s">
        <v>4371</v>
      </c>
      <c r="F589" t="s">
        <v>216</v>
      </c>
      <c r="J589" t="s">
        <v>247</v>
      </c>
      <c r="K589">
        <v>2025</v>
      </c>
      <c r="L589">
        <v>202520</v>
      </c>
      <c r="M589">
        <v>202520</v>
      </c>
      <c r="N589" s="1" t="s">
        <v>248</v>
      </c>
      <c r="O589" t="s">
        <v>2072</v>
      </c>
      <c r="P589" t="s">
        <v>249</v>
      </c>
      <c r="Q589" t="s">
        <v>216</v>
      </c>
      <c r="R589" t="s">
        <v>246</v>
      </c>
      <c r="S589" t="s">
        <v>307</v>
      </c>
      <c r="T589" s="70" t="str">
        <f>_xlfn.XLOOKUP(Tabla1[[#This Row],[Universidad]],Conversiones!$B:$B,Conversiones!$C:$C)</f>
        <v>University of Mannheim Business School</v>
      </c>
      <c r="U589" s="70" t="str">
        <f>_xlfn.XLOOKUP(Tabla1[[#This Row],[Universidad KPIs]],Conversiones!$C:$C,Conversiones!$E:$E)</f>
        <v>Específico</v>
      </c>
      <c r="V589" t="s">
        <v>60</v>
      </c>
      <c r="W589" t="s">
        <v>250</v>
      </c>
      <c r="X589" s="2">
        <v>45873</v>
      </c>
      <c r="Y589" s="2">
        <v>45990</v>
      </c>
      <c r="Z589">
        <v>117</v>
      </c>
      <c r="AA589" s="2"/>
    </row>
    <row r="590" spans="1:27">
      <c r="A590" s="1" t="s">
        <v>4372</v>
      </c>
      <c r="B590" s="1">
        <v>202220992</v>
      </c>
      <c r="C590" s="1" t="s">
        <v>243</v>
      </c>
      <c r="D590" s="1" t="s">
        <v>4373</v>
      </c>
      <c r="E590" s="1" t="s">
        <v>4374</v>
      </c>
      <c r="F590" s="1" t="s">
        <v>216</v>
      </c>
      <c r="G590" s="1"/>
      <c r="H590" s="1"/>
      <c r="I590" s="1"/>
      <c r="J590" s="1" t="s">
        <v>247</v>
      </c>
      <c r="K590" s="1">
        <v>2025</v>
      </c>
      <c r="L590" s="1">
        <v>202520</v>
      </c>
      <c r="M590" s="1">
        <v>202520</v>
      </c>
      <c r="N590" s="1" t="s">
        <v>248</v>
      </c>
      <c r="O590" s="1" t="s">
        <v>2072</v>
      </c>
      <c r="P590" s="1" t="s">
        <v>249</v>
      </c>
      <c r="Q590" s="1" t="s">
        <v>216</v>
      </c>
      <c r="R590" s="1" t="s">
        <v>246</v>
      </c>
      <c r="S590" s="1" t="s">
        <v>170</v>
      </c>
      <c r="T590" s="70" t="str">
        <f>_xlfn.XLOOKUP(Tabla1[[#This Row],[Universidad]],Conversiones!$B:$B,Conversiones!$C:$C)</f>
        <v>Universität zu Köln</v>
      </c>
      <c r="U590" s="70" t="str">
        <f>_xlfn.XLOOKUP(Tabla1[[#This Row],[Universidad KPIs]],Conversiones!$C:$C,Conversiones!$E:$E)</f>
        <v>General</v>
      </c>
      <c r="V590" s="1" t="s">
        <v>60</v>
      </c>
      <c r="W590" s="1" t="s">
        <v>250</v>
      </c>
      <c r="X590" s="55">
        <v>45873</v>
      </c>
      <c r="Y590" s="55">
        <v>45990</v>
      </c>
      <c r="Z590" s="1">
        <v>117</v>
      </c>
      <c r="AA590" s="2"/>
    </row>
    <row r="591" spans="1:27">
      <c r="A591" t="s">
        <v>4375</v>
      </c>
      <c r="B591">
        <v>202221364</v>
      </c>
      <c r="C591" t="s">
        <v>2124</v>
      </c>
      <c r="D591" t="s">
        <v>4376</v>
      </c>
      <c r="E591" t="s">
        <v>4377</v>
      </c>
      <c r="F591" t="s">
        <v>216</v>
      </c>
      <c r="J591" t="s">
        <v>247</v>
      </c>
      <c r="K591">
        <v>2025</v>
      </c>
      <c r="L591">
        <v>202520</v>
      </c>
      <c r="M591">
        <v>202520</v>
      </c>
      <c r="N591" s="1" t="s">
        <v>248</v>
      </c>
      <c r="O591" t="s">
        <v>2072</v>
      </c>
      <c r="P591" t="s">
        <v>249</v>
      </c>
      <c r="Q591" t="s">
        <v>216</v>
      </c>
      <c r="R591" t="s">
        <v>246</v>
      </c>
      <c r="S591" t="s">
        <v>362</v>
      </c>
      <c r="T591" s="70" t="str">
        <f>_xlfn.XLOOKUP(Tabla1[[#This Row],[Universidad]],Conversiones!$B:$B,Conversiones!$C:$C)</f>
        <v>Frankfurt School of Finance and Management</v>
      </c>
      <c r="U591" s="70" t="str">
        <f>_xlfn.XLOOKUP(Tabla1[[#This Row],[Universidad KPIs]],Conversiones!$C:$C,Conversiones!$E:$E)</f>
        <v>Específico</v>
      </c>
      <c r="V591" t="s">
        <v>60</v>
      </c>
      <c r="W591" t="s">
        <v>250</v>
      </c>
      <c r="X591" s="2">
        <v>45873</v>
      </c>
      <c r="Y591" s="2">
        <v>45990</v>
      </c>
      <c r="Z591">
        <v>117</v>
      </c>
      <c r="AA591" s="2"/>
    </row>
    <row r="592" spans="1:27">
      <c r="A592" s="1" t="s">
        <v>4378</v>
      </c>
      <c r="B592" s="1">
        <v>202221235</v>
      </c>
      <c r="C592" s="1" t="s">
        <v>295</v>
      </c>
      <c r="D592" s="1" t="s">
        <v>4379</v>
      </c>
      <c r="E592" s="1" t="s">
        <v>4380</v>
      </c>
      <c r="F592" s="1" t="s">
        <v>216</v>
      </c>
      <c r="G592" s="1"/>
      <c r="H592" s="1"/>
      <c r="I592" s="1"/>
      <c r="J592" s="1" t="s">
        <v>247</v>
      </c>
      <c r="K592" s="1">
        <v>2025</v>
      </c>
      <c r="L592" s="1">
        <v>202520</v>
      </c>
      <c r="M592" s="1">
        <v>202520</v>
      </c>
      <c r="N592" s="1" t="s">
        <v>248</v>
      </c>
      <c r="O592" s="1" t="s">
        <v>2072</v>
      </c>
      <c r="P592" s="1" t="s">
        <v>249</v>
      </c>
      <c r="Q592" s="1" t="s">
        <v>216</v>
      </c>
      <c r="R592" s="1" t="s">
        <v>246</v>
      </c>
      <c r="S592" s="1" t="s">
        <v>4381</v>
      </c>
      <c r="T592" s="70" t="str">
        <f>_xlfn.XLOOKUP(Tabla1[[#This Row],[Universidad]],Conversiones!$B:$B,Conversiones!$C:$C)</f>
        <v>Universitas Gadjah Mada</v>
      </c>
      <c r="U592" s="70" t="str">
        <f>_xlfn.XLOOKUP(Tabla1[[#This Row],[Universidad KPIs]],Conversiones!$C:$C,Conversiones!$E:$E)</f>
        <v>General</v>
      </c>
      <c r="V592" s="1" t="s">
        <v>4382</v>
      </c>
      <c r="W592" s="1" t="s">
        <v>537</v>
      </c>
      <c r="X592" s="55">
        <v>45873</v>
      </c>
      <c r="Y592" s="55">
        <v>45990</v>
      </c>
      <c r="Z592" s="1">
        <v>117</v>
      </c>
      <c r="AA592" s="2"/>
    </row>
    <row r="593" spans="1:27">
      <c r="A593" t="s">
        <v>4383</v>
      </c>
      <c r="B593">
        <v>202220245</v>
      </c>
      <c r="C593" t="s">
        <v>663</v>
      </c>
      <c r="D593" t="s">
        <v>4384</v>
      </c>
      <c r="E593" t="s">
        <v>4385</v>
      </c>
      <c r="F593" t="s">
        <v>216</v>
      </c>
      <c r="J593" t="s">
        <v>247</v>
      </c>
      <c r="K593">
        <v>2025</v>
      </c>
      <c r="L593">
        <v>202520</v>
      </c>
      <c r="M593">
        <v>202520</v>
      </c>
      <c r="N593" s="1" t="s">
        <v>248</v>
      </c>
      <c r="O593" t="s">
        <v>2072</v>
      </c>
      <c r="P593" t="s">
        <v>249</v>
      </c>
      <c r="Q593" t="s">
        <v>216</v>
      </c>
      <c r="R593" t="s">
        <v>246</v>
      </c>
      <c r="S593" t="s">
        <v>86</v>
      </c>
      <c r="T593" s="70" t="str">
        <f>_xlfn.XLOOKUP(Tabla1[[#This Row],[Universidad]],Conversiones!$B:$B,Conversiones!$C:$C)</f>
        <v>Politecnico di Milano</v>
      </c>
      <c r="U593" s="70" t="str">
        <f>_xlfn.XLOOKUP(Tabla1[[#This Row],[Universidad KPIs]],Conversiones!$C:$C,Conversiones!$E:$E)</f>
        <v>Específico</v>
      </c>
      <c r="V593" t="s">
        <v>87</v>
      </c>
      <c r="W593" t="s">
        <v>250</v>
      </c>
      <c r="X593" s="2">
        <v>45873</v>
      </c>
      <c r="Y593" s="2">
        <v>45990</v>
      </c>
      <c r="Z593">
        <v>117</v>
      </c>
      <c r="AA593" s="2"/>
    </row>
    <row r="594" spans="1:27">
      <c r="A594" s="1" t="s">
        <v>4386</v>
      </c>
      <c r="B594" s="1">
        <v>202220900</v>
      </c>
      <c r="C594" s="1" t="s">
        <v>783</v>
      </c>
      <c r="D594" s="1" t="s">
        <v>4387</v>
      </c>
      <c r="E594" s="1" t="s">
        <v>4388</v>
      </c>
      <c r="F594" s="1" t="s">
        <v>216</v>
      </c>
      <c r="G594" s="1"/>
      <c r="H594" s="1"/>
      <c r="I594" s="1"/>
      <c r="J594" s="1" t="s">
        <v>247</v>
      </c>
      <c r="K594" s="1">
        <v>2025</v>
      </c>
      <c r="L594" s="1">
        <v>202520</v>
      </c>
      <c r="M594" s="1">
        <v>202520</v>
      </c>
      <c r="N594" s="1" t="s">
        <v>248</v>
      </c>
      <c r="O594" s="1" t="s">
        <v>2072</v>
      </c>
      <c r="P594" s="1" t="s">
        <v>249</v>
      </c>
      <c r="Q594" s="1" t="s">
        <v>216</v>
      </c>
      <c r="R594" s="1" t="s">
        <v>246</v>
      </c>
      <c r="S594" s="1" t="s">
        <v>86</v>
      </c>
      <c r="T594" s="70" t="str">
        <f>_xlfn.XLOOKUP(Tabla1[[#This Row],[Universidad]],Conversiones!$B:$B,Conversiones!$C:$C)</f>
        <v>Politecnico di Milano</v>
      </c>
      <c r="U594" s="70" t="str">
        <f>_xlfn.XLOOKUP(Tabla1[[#This Row],[Universidad KPIs]],Conversiones!$C:$C,Conversiones!$E:$E)</f>
        <v>Específico</v>
      </c>
      <c r="V594" s="1" t="s">
        <v>87</v>
      </c>
      <c r="W594" s="1" t="s">
        <v>250</v>
      </c>
      <c r="X594" s="55">
        <v>45873</v>
      </c>
      <c r="Y594" s="55">
        <v>45990</v>
      </c>
      <c r="Z594" s="1">
        <v>117</v>
      </c>
      <c r="AA594" s="2"/>
    </row>
    <row r="595" spans="1:27">
      <c r="A595" t="s">
        <v>4389</v>
      </c>
      <c r="B595">
        <v>202226463</v>
      </c>
      <c r="C595" t="s">
        <v>2074</v>
      </c>
      <c r="D595" t="s">
        <v>4390</v>
      </c>
      <c r="E595" t="s">
        <v>4391</v>
      </c>
      <c r="F595" t="s">
        <v>216</v>
      </c>
      <c r="J595" t="s">
        <v>247</v>
      </c>
      <c r="K595">
        <v>2025</v>
      </c>
      <c r="L595">
        <v>202520</v>
      </c>
      <c r="M595">
        <v>202520</v>
      </c>
      <c r="N595" s="1" t="s">
        <v>248</v>
      </c>
      <c r="O595" t="s">
        <v>2072</v>
      </c>
      <c r="P595" t="s">
        <v>249</v>
      </c>
      <c r="Q595" t="s">
        <v>216</v>
      </c>
      <c r="R595" t="s">
        <v>246</v>
      </c>
      <c r="S595" t="s">
        <v>86</v>
      </c>
      <c r="T595" s="70" t="str">
        <f>_xlfn.XLOOKUP(Tabla1[[#This Row],[Universidad]],Conversiones!$B:$B,Conversiones!$C:$C)</f>
        <v>Politecnico di Milano</v>
      </c>
      <c r="U595" s="70" t="str">
        <f>_xlfn.XLOOKUP(Tabla1[[#This Row],[Universidad KPIs]],Conversiones!$C:$C,Conversiones!$E:$E)</f>
        <v>Específico</v>
      </c>
      <c r="V595" t="s">
        <v>87</v>
      </c>
      <c r="W595" t="s">
        <v>250</v>
      </c>
      <c r="X595" s="2">
        <v>45873</v>
      </c>
      <c r="Y595" s="2">
        <v>45990</v>
      </c>
      <c r="Z595">
        <v>117</v>
      </c>
      <c r="AA595" s="2"/>
    </row>
    <row r="596" spans="1:27">
      <c r="A596" s="1" t="s">
        <v>4392</v>
      </c>
      <c r="B596" s="1">
        <v>202214927</v>
      </c>
      <c r="C596" s="1" t="s">
        <v>1332</v>
      </c>
      <c r="D596" s="1" t="s">
        <v>4393</v>
      </c>
      <c r="E596" s="1" t="s">
        <v>4394</v>
      </c>
      <c r="F596" s="1" t="s">
        <v>216</v>
      </c>
      <c r="G596" s="1"/>
      <c r="H596" s="1"/>
      <c r="I596" s="1"/>
      <c r="J596" s="1" t="s">
        <v>247</v>
      </c>
      <c r="K596" s="1">
        <v>2025</v>
      </c>
      <c r="L596" s="1">
        <v>202520</v>
      </c>
      <c r="M596" s="1">
        <v>202520</v>
      </c>
      <c r="N596" s="1" t="s">
        <v>248</v>
      </c>
      <c r="O596" s="1" t="s">
        <v>2072</v>
      </c>
      <c r="P596" s="1" t="s">
        <v>249</v>
      </c>
      <c r="Q596" s="1" t="s">
        <v>216</v>
      </c>
      <c r="R596" s="1" t="s">
        <v>246</v>
      </c>
      <c r="S596" s="1" t="s">
        <v>536</v>
      </c>
      <c r="T596" s="70" t="str">
        <f>_xlfn.XLOOKUP(Tabla1[[#This Row],[Universidad]],Conversiones!$B:$B,Conversiones!$C:$C)</f>
        <v>NUCB- Nagoya University of commerce and business</v>
      </c>
      <c r="U596" s="70" t="str">
        <f>_xlfn.XLOOKUP(Tabla1[[#This Row],[Universidad KPIs]],Conversiones!$C:$C,Conversiones!$E:$E)</f>
        <v>Específico</v>
      </c>
      <c r="V596" s="1" t="s">
        <v>85</v>
      </c>
      <c r="W596" s="1" t="s">
        <v>537</v>
      </c>
      <c r="X596" s="55">
        <v>45873</v>
      </c>
      <c r="Y596" s="55">
        <v>45990</v>
      </c>
      <c r="Z596" s="1">
        <v>117</v>
      </c>
      <c r="AA596" s="2"/>
    </row>
    <row r="597" spans="1:27">
      <c r="A597" t="s">
        <v>4395</v>
      </c>
      <c r="B597">
        <v>202210972</v>
      </c>
      <c r="C597" t="s">
        <v>327</v>
      </c>
      <c r="D597" t="s">
        <v>4396</v>
      </c>
      <c r="E597" t="s">
        <v>4397</v>
      </c>
      <c r="F597" t="s">
        <v>216</v>
      </c>
      <c r="J597" t="s">
        <v>247</v>
      </c>
      <c r="K597">
        <v>2025</v>
      </c>
      <c r="L597">
        <v>202520</v>
      </c>
      <c r="M597">
        <v>202520</v>
      </c>
      <c r="N597" s="1" t="s">
        <v>248</v>
      </c>
      <c r="O597" t="s">
        <v>2072</v>
      </c>
      <c r="P597" t="s">
        <v>249</v>
      </c>
      <c r="Q597" t="s">
        <v>216</v>
      </c>
      <c r="R597" t="s">
        <v>246</v>
      </c>
      <c r="S597" t="s">
        <v>781</v>
      </c>
      <c r="T597" s="70" t="str">
        <f>_xlfn.XLOOKUP(Tabla1[[#This Row],[Universidad]],Conversiones!$B:$B,Conversiones!$C:$C)</f>
        <v>ITESM-EGADE -Instituto tecnológico y de estudios superiores de Monterrey</v>
      </c>
      <c r="U597" s="70" t="str">
        <f>_xlfn.XLOOKUP(Tabla1[[#This Row],[Universidad KPIs]],Conversiones!$C:$C,Conversiones!$E:$E)</f>
        <v>Específico</v>
      </c>
      <c r="V597" t="s">
        <v>71</v>
      </c>
      <c r="W597" t="s">
        <v>260</v>
      </c>
      <c r="X597" s="2">
        <v>45873</v>
      </c>
      <c r="Y597" s="2">
        <v>45990</v>
      </c>
      <c r="Z597">
        <v>117</v>
      </c>
      <c r="AA597" s="2"/>
    </row>
    <row r="598" spans="1:27">
      <c r="A598" s="1" t="s">
        <v>4398</v>
      </c>
      <c r="B598" s="1">
        <v>202325300</v>
      </c>
      <c r="C598" s="1" t="s">
        <v>4399</v>
      </c>
      <c r="D598" s="1" t="s">
        <v>4400</v>
      </c>
      <c r="E598" s="1" t="s">
        <v>4401</v>
      </c>
      <c r="F598" s="1" t="s">
        <v>222</v>
      </c>
      <c r="G598" s="1"/>
      <c r="H598" s="1"/>
      <c r="I598" s="1"/>
      <c r="J598" s="1" t="s">
        <v>247</v>
      </c>
      <c r="K598" s="1">
        <v>2025</v>
      </c>
      <c r="L598" s="1">
        <v>202520</v>
      </c>
      <c r="M598" s="1">
        <v>202520</v>
      </c>
      <c r="N598" t="s">
        <v>587</v>
      </c>
      <c r="O598" s="1" t="s">
        <v>2072</v>
      </c>
      <c r="P598" s="1" t="s">
        <v>1491</v>
      </c>
      <c r="Q598" s="1" t="s">
        <v>222</v>
      </c>
      <c r="R598" s="1" t="s">
        <v>246</v>
      </c>
      <c r="S598" s="1" t="s">
        <v>2203</v>
      </c>
      <c r="T598" s="70" t="str">
        <f>_xlfn.XLOOKUP(Tabla1[[#This Row],[Universidad]],Conversiones!$B:$B,Conversiones!$C:$C)</f>
        <v>Universidad Nacional Autonoma de México (UNAM)</v>
      </c>
      <c r="U598" s="70" t="str">
        <f>_xlfn.XLOOKUP(Tabla1[[#This Row],[Universidad KPIs]],Conversiones!$C:$C,Conversiones!$E:$E)</f>
        <v>General</v>
      </c>
      <c r="V598" s="1" t="s">
        <v>71</v>
      </c>
      <c r="W598" s="1" t="s">
        <v>260</v>
      </c>
      <c r="X598" s="55">
        <v>45873</v>
      </c>
      <c r="Y598" s="55">
        <v>45990</v>
      </c>
      <c r="Z598" s="1">
        <v>117</v>
      </c>
      <c r="AA598" s="2"/>
    </row>
    <row r="599" spans="1:27">
      <c r="A599" t="s">
        <v>4402</v>
      </c>
      <c r="B599">
        <v>202221819</v>
      </c>
      <c r="C599" t="s">
        <v>659</v>
      </c>
      <c r="D599" t="s">
        <v>4403</v>
      </c>
      <c r="E599" t="s">
        <v>4404</v>
      </c>
      <c r="F599" t="s">
        <v>216</v>
      </c>
      <c r="J599" t="s">
        <v>247</v>
      </c>
      <c r="K599">
        <v>2025</v>
      </c>
      <c r="L599">
        <v>202520</v>
      </c>
      <c r="M599">
        <v>202520</v>
      </c>
      <c r="N599" s="1" t="s">
        <v>248</v>
      </c>
      <c r="O599" t="s">
        <v>2072</v>
      </c>
      <c r="P599" t="s">
        <v>249</v>
      </c>
      <c r="Q599" t="s">
        <v>216</v>
      </c>
      <c r="R599" t="s">
        <v>246</v>
      </c>
      <c r="S599" t="s">
        <v>78</v>
      </c>
      <c r="T599" s="70" t="str">
        <f>_xlfn.XLOOKUP(Tabla1[[#This Row],[Universidad]],Conversiones!$B:$B,Conversiones!$C:$C)</f>
        <v>Maastricht University</v>
      </c>
      <c r="U599" s="70" t="str">
        <f>_xlfn.XLOOKUP(Tabla1[[#This Row],[Universidad KPIs]],Conversiones!$C:$C,Conversiones!$E:$E)</f>
        <v>Específico</v>
      </c>
      <c r="V599" t="s">
        <v>79</v>
      </c>
      <c r="W599" t="s">
        <v>250</v>
      </c>
      <c r="X599" s="2">
        <v>45873</v>
      </c>
      <c r="Y599" s="2">
        <v>45990</v>
      </c>
      <c r="Z599">
        <v>117</v>
      </c>
      <c r="AA599" s="2"/>
    </row>
    <row r="600" spans="1:27">
      <c r="A600" s="1" t="s">
        <v>4405</v>
      </c>
      <c r="B600" s="1">
        <v>202220520</v>
      </c>
      <c r="C600" s="1" t="s">
        <v>300</v>
      </c>
      <c r="D600" s="1" t="s">
        <v>4406</v>
      </c>
      <c r="E600" s="1" t="s">
        <v>4407</v>
      </c>
      <c r="F600" s="1" t="s">
        <v>216</v>
      </c>
      <c r="G600" s="1"/>
      <c r="H600" s="1"/>
      <c r="I600" s="1"/>
      <c r="J600" s="1" t="s">
        <v>247</v>
      </c>
      <c r="K600" s="1">
        <v>2025</v>
      </c>
      <c r="L600" s="1">
        <v>202520</v>
      </c>
      <c r="M600" s="1">
        <v>202520</v>
      </c>
      <c r="N600" s="1" t="s">
        <v>248</v>
      </c>
      <c r="O600" s="1" t="s">
        <v>2072</v>
      </c>
      <c r="P600" s="1" t="s">
        <v>249</v>
      </c>
      <c r="Q600" s="1" t="s">
        <v>216</v>
      </c>
      <c r="R600" s="1" t="s">
        <v>246</v>
      </c>
      <c r="S600" s="1" t="s">
        <v>78</v>
      </c>
      <c r="T600" s="70" t="str">
        <f>_xlfn.XLOOKUP(Tabla1[[#This Row],[Universidad]],Conversiones!$B:$B,Conversiones!$C:$C)</f>
        <v>Maastricht University</v>
      </c>
      <c r="U600" s="70" t="str">
        <f>_xlfn.XLOOKUP(Tabla1[[#This Row],[Universidad KPIs]],Conversiones!$C:$C,Conversiones!$E:$E)</f>
        <v>Específico</v>
      </c>
      <c r="V600" s="1" t="s">
        <v>79</v>
      </c>
      <c r="W600" s="1" t="s">
        <v>250</v>
      </c>
      <c r="X600" s="55">
        <v>45873</v>
      </c>
      <c r="Y600" s="55">
        <v>45990</v>
      </c>
      <c r="Z600" s="1">
        <v>117</v>
      </c>
      <c r="AA600" s="2"/>
    </row>
    <row r="601" spans="1:27">
      <c r="A601" t="s">
        <v>4408</v>
      </c>
      <c r="B601">
        <v>20220593</v>
      </c>
      <c r="C601" t="s">
        <v>4409</v>
      </c>
      <c r="D601" t="s">
        <v>4410</v>
      </c>
      <c r="E601" t="s">
        <v>4411</v>
      </c>
      <c r="F601" t="s">
        <v>216</v>
      </c>
      <c r="J601" t="s">
        <v>247</v>
      </c>
      <c r="K601">
        <v>2025</v>
      </c>
      <c r="L601">
        <v>202520</v>
      </c>
      <c r="M601">
        <v>202520</v>
      </c>
      <c r="N601" s="1" t="s">
        <v>248</v>
      </c>
      <c r="O601" t="s">
        <v>2072</v>
      </c>
      <c r="P601" t="s">
        <v>249</v>
      </c>
      <c r="Q601" t="s">
        <v>216</v>
      </c>
      <c r="R601" t="s">
        <v>246</v>
      </c>
      <c r="S601" t="s">
        <v>78</v>
      </c>
      <c r="T601" s="70" t="str">
        <f>_xlfn.XLOOKUP(Tabla1[[#This Row],[Universidad]],Conversiones!$B:$B,Conversiones!$C:$C)</f>
        <v>Maastricht University</v>
      </c>
      <c r="U601" s="70" t="str">
        <f>_xlfn.XLOOKUP(Tabla1[[#This Row],[Universidad KPIs]],Conversiones!$C:$C,Conversiones!$E:$E)</f>
        <v>Específico</v>
      </c>
      <c r="V601" t="s">
        <v>79</v>
      </c>
      <c r="W601" t="s">
        <v>250</v>
      </c>
      <c r="X601" s="2">
        <v>45873</v>
      </c>
      <c r="Y601" s="2">
        <v>45990</v>
      </c>
      <c r="Z601">
        <v>117</v>
      </c>
      <c r="AA601" s="2"/>
    </row>
    <row r="602" spans="1:27">
      <c r="A602" s="1" t="s">
        <v>4412</v>
      </c>
      <c r="B602" s="1">
        <v>202221043</v>
      </c>
      <c r="C602" s="1" t="s">
        <v>426</v>
      </c>
      <c r="D602" s="1" t="s">
        <v>4413</v>
      </c>
      <c r="E602" s="1" t="s">
        <v>4414</v>
      </c>
      <c r="F602" s="1" t="s">
        <v>216</v>
      </c>
      <c r="G602" s="1"/>
      <c r="H602" s="1"/>
      <c r="I602" s="1"/>
      <c r="J602" s="1" t="s">
        <v>247</v>
      </c>
      <c r="K602" s="1">
        <v>2025</v>
      </c>
      <c r="L602" s="1">
        <v>202520</v>
      </c>
      <c r="M602" s="1">
        <v>202520</v>
      </c>
      <c r="N602" s="1" t="s">
        <v>248</v>
      </c>
      <c r="O602" s="1" t="s">
        <v>2072</v>
      </c>
      <c r="P602" s="1" t="s">
        <v>249</v>
      </c>
      <c r="Q602" s="1" t="s">
        <v>216</v>
      </c>
      <c r="R602" s="1" t="s">
        <v>246</v>
      </c>
      <c r="S602" s="1" t="s">
        <v>4415</v>
      </c>
      <c r="T602" s="70" t="str">
        <f>_xlfn.XLOOKUP(Tabla1[[#This Row],[Universidad]],Conversiones!$B:$B,Conversiones!$C:$C)</f>
        <v>Radboud Universiteit Nijmegen</v>
      </c>
      <c r="U602" s="70" t="str">
        <f>_xlfn.XLOOKUP(Tabla1[[#This Row],[Universidad KPIs]],Conversiones!$C:$C,Conversiones!$E:$E)</f>
        <v>General</v>
      </c>
      <c r="V602" s="1" t="s">
        <v>79</v>
      </c>
      <c r="W602" s="1" t="s">
        <v>250</v>
      </c>
      <c r="X602" s="55">
        <v>45873</v>
      </c>
      <c r="Y602" s="55">
        <v>45990</v>
      </c>
      <c r="Z602" s="1">
        <v>117</v>
      </c>
      <c r="AA602" s="2"/>
    </row>
    <row r="603" spans="1:27">
      <c r="A603" t="s">
        <v>4416</v>
      </c>
      <c r="B603">
        <v>202221160</v>
      </c>
      <c r="C603" t="s">
        <v>4417</v>
      </c>
      <c r="D603" t="s">
        <v>4418</v>
      </c>
      <c r="E603" t="s">
        <v>4419</v>
      </c>
      <c r="F603" t="s">
        <v>216</v>
      </c>
      <c r="J603" t="s">
        <v>247</v>
      </c>
      <c r="K603">
        <v>2025</v>
      </c>
      <c r="L603">
        <v>202520</v>
      </c>
      <c r="M603">
        <v>202520</v>
      </c>
      <c r="N603" s="1" t="s">
        <v>248</v>
      </c>
      <c r="O603" t="s">
        <v>2072</v>
      </c>
      <c r="P603" t="s">
        <v>249</v>
      </c>
      <c r="Q603" t="s">
        <v>216</v>
      </c>
      <c r="R603" t="s">
        <v>246</v>
      </c>
      <c r="S603" t="s">
        <v>78</v>
      </c>
      <c r="T603" s="70" t="str">
        <f>_xlfn.XLOOKUP(Tabla1[[#This Row],[Universidad]],Conversiones!$B:$B,Conversiones!$C:$C)</f>
        <v>Maastricht University</v>
      </c>
      <c r="U603" s="70" t="str">
        <f>_xlfn.XLOOKUP(Tabla1[[#This Row],[Universidad KPIs]],Conversiones!$C:$C,Conversiones!$E:$E)</f>
        <v>Específico</v>
      </c>
      <c r="V603" t="s">
        <v>79</v>
      </c>
      <c r="W603" t="s">
        <v>250</v>
      </c>
      <c r="X603" s="2">
        <v>45873</v>
      </c>
      <c r="Y603" s="2">
        <v>45990</v>
      </c>
      <c r="Z603">
        <v>117</v>
      </c>
      <c r="AA603" s="2"/>
    </row>
    <row r="604" spans="1:27">
      <c r="A604" s="1" t="s">
        <v>4420</v>
      </c>
      <c r="B604" s="1">
        <v>202221719</v>
      </c>
      <c r="C604" s="1" t="s">
        <v>866</v>
      </c>
      <c r="D604" s="1" t="s">
        <v>4421</v>
      </c>
      <c r="E604" s="1" t="s">
        <v>4422</v>
      </c>
      <c r="F604" s="1" t="s">
        <v>216</v>
      </c>
      <c r="G604" s="1"/>
      <c r="H604" s="1"/>
      <c r="I604" s="1"/>
      <c r="J604" s="1" t="s">
        <v>247</v>
      </c>
      <c r="K604" s="1">
        <v>2025</v>
      </c>
      <c r="L604" s="1">
        <v>202520</v>
      </c>
      <c r="M604" s="1">
        <v>202520</v>
      </c>
      <c r="N604" s="1" t="s">
        <v>248</v>
      </c>
      <c r="O604" s="1" t="s">
        <v>2072</v>
      </c>
      <c r="P604" s="1" t="s">
        <v>249</v>
      </c>
      <c r="Q604" s="1" t="s">
        <v>216</v>
      </c>
      <c r="R604" s="1" t="s">
        <v>246</v>
      </c>
      <c r="S604" s="1" t="s">
        <v>78</v>
      </c>
      <c r="T604" s="70" t="str">
        <f>_xlfn.XLOOKUP(Tabla1[[#This Row],[Universidad]],Conversiones!$B:$B,Conversiones!$C:$C)</f>
        <v>Maastricht University</v>
      </c>
      <c r="U604" s="70" t="str">
        <f>_xlfn.XLOOKUP(Tabla1[[#This Row],[Universidad KPIs]],Conversiones!$C:$C,Conversiones!$E:$E)</f>
        <v>Específico</v>
      </c>
      <c r="V604" s="1" t="s">
        <v>79</v>
      </c>
      <c r="W604" s="1" t="s">
        <v>250</v>
      </c>
      <c r="X604" s="55">
        <v>45873</v>
      </c>
      <c r="Y604" s="55">
        <v>45990</v>
      </c>
      <c r="Z604" s="1">
        <v>117</v>
      </c>
      <c r="AA604" s="2"/>
    </row>
    <row r="605" spans="1:27">
      <c r="A605" t="s">
        <v>4423</v>
      </c>
      <c r="B605">
        <v>202211142</v>
      </c>
      <c r="C605" t="s">
        <v>1332</v>
      </c>
      <c r="D605" t="s">
        <v>4424</v>
      </c>
      <c r="E605" t="s">
        <v>4425</v>
      </c>
      <c r="F605" t="s">
        <v>216</v>
      </c>
      <c r="J605" t="s">
        <v>247</v>
      </c>
      <c r="K605">
        <v>2025</v>
      </c>
      <c r="L605">
        <v>202520</v>
      </c>
      <c r="M605">
        <v>202520</v>
      </c>
      <c r="N605" s="1" t="s">
        <v>248</v>
      </c>
      <c r="O605" t="s">
        <v>2072</v>
      </c>
      <c r="P605" t="s">
        <v>249</v>
      </c>
      <c r="Q605" t="s">
        <v>216</v>
      </c>
      <c r="R605" t="s">
        <v>246</v>
      </c>
      <c r="S605" t="s">
        <v>1138</v>
      </c>
      <c r="T605" s="70" t="str">
        <f>_xlfn.XLOOKUP(Tabla1[[#This Row],[Universidad]],Conversiones!$B:$B,Conversiones!$C:$C)</f>
        <v>BI Norwegian Business School</v>
      </c>
      <c r="U605" s="70" t="str">
        <f>_xlfn.XLOOKUP(Tabla1[[#This Row],[Universidad KPIs]],Conversiones!$C:$C,Conversiones!$E:$E)</f>
        <v>Específico</v>
      </c>
      <c r="V605" t="s">
        <v>43</v>
      </c>
      <c r="W605" t="s">
        <v>250</v>
      </c>
      <c r="X605" s="2">
        <v>45873</v>
      </c>
      <c r="Y605" s="2">
        <v>45990</v>
      </c>
      <c r="Z605">
        <v>117</v>
      </c>
      <c r="AA605" s="2"/>
    </row>
    <row r="606" spans="1:27">
      <c r="A606" s="1" t="s">
        <v>4426</v>
      </c>
      <c r="B606" s="1">
        <v>202121541</v>
      </c>
      <c r="C606" s="1" t="s">
        <v>243</v>
      </c>
      <c r="D606" s="1" t="s">
        <v>4427</v>
      </c>
      <c r="E606" s="1" t="s">
        <v>4428</v>
      </c>
      <c r="F606" s="1" t="s">
        <v>216</v>
      </c>
      <c r="G606" s="1"/>
      <c r="H606" s="1"/>
      <c r="I606" s="1"/>
      <c r="J606" s="1" t="s">
        <v>247</v>
      </c>
      <c r="K606" s="1">
        <v>2025</v>
      </c>
      <c r="L606" s="1">
        <v>202520</v>
      </c>
      <c r="M606" s="1">
        <v>202520</v>
      </c>
      <c r="N606" s="1" t="s">
        <v>248</v>
      </c>
      <c r="O606" s="1" t="s">
        <v>2072</v>
      </c>
      <c r="P606" s="1" t="s">
        <v>249</v>
      </c>
      <c r="Q606" s="1" t="s">
        <v>216</v>
      </c>
      <c r="R606" s="1" t="s">
        <v>246</v>
      </c>
      <c r="S606" s="1" t="s">
        <v>274</v>
      </c>
      <c r="T606" s="70" t="str">
        <f>_xlfn.XLOOKUP(Tabla1[[#This Row],[Universidad]],Conversiones!$B:$B,Conversiones!$C:$C)</f>
        <v>Catolica Lisbon Business &amp; Economics. Universidade Católica Portuguesa</v>
      </c>
      <c r="U606" s="70" t="str">
        <f>_xlfn.XLOOKUP(Tabla1[[#This Row],[Universidad KPIs]],Conversiones!$C:$C,Conversiones!$E:$E)</f>
        <v>Específico</v>
      </c>
      <c r="V606" s="1" t="s">
        <v>45</v>
      </c>
      <c r="W606" s="1" t="s">
        <v>250</v>
      </c>
      <c r="X606" s="55">
        <v>45873</v>
      </c>
      <c r="Y606" s="55">
        <v>45990</v>
      </c>
      <c r="Z606" s="1">
        <v>117</v>
      </c>
      <c r="AA606" s="2"/>
    </row>
    <row r="607" spans="1:27">
      <c r="A607" t="s">
        <v>4429</v>
      </c>
      <c r="B607">
        <v>202221704</v>
      </c>
      <c r="C607" t="s">
        <v>4430</v>
      </c>
      <c r="D607" t="s">
        <v>4431</v>
      </c>
      <c r="E607" t="s">
        <v>4432</v>
      </c>
      <c r="F607" t="s">
        <v>216</v>
      </c>
      <c r="J607" t="s">
        <v>247</v>
      </c>
      <c r="K607">
        <v>2025</v>
      </c>
      <c r="L607">
        <v>202520</v>
      </c>
      <c r="M607">
        <v>202520</v>
      </c>
      <c r="N607" s="1" t="s">
        <v>248</v>
      </c>
      <c r="O607" t="s">
        <v>2072</v>
      </c>
      <c r="P607" t="s">
        <v>249</v>
      </c>
      <c r="Q607" t="s">
        <v>216</v>
      </c>
      <c r="R607" t="s">
        <v>246</v>
      </c>
      <c r="S607" t="s">
        <v>274</v>
      </c>
      <c r="T607" s="70" t="str">
        <f>_xlfn.XLOOKUP(Tabla1[[#This Row],[Universidad]],Conversiones!$B:$B,Conversiones!$C:$C)</f>
        <v>Catolica Lisbon Business &amp; Economics. Universidade Católica Portuguesa</v>
      </c>
      <c r="U607" s="70" t="str">
        <f>_xlfn.XLOOKUP(Tabla1[[#This Row],[Universidad KPIs]],Conversiones!$C:$C,Conversiones!$E:$E)</f>
        <v>Específico</v>
      </c>
      <c r="V607" t="s">
        <v>45</v>
      </c>
      <c r="W607" t="s">
        <v>250</v>
      </c>
      <c r="X607" s="2">
        <v>45873</v>
      </c>
      <c r="Y607" s="2">
        <v>45990</v>
      </c>
      <c r="Z607">
        <v>117</v>
      </c>
      <c r="AA607" s="2"/>
    </row>
    <row r="608" spans="1:27">
      <c r="A608" s="1" t="s">
        <v>4433</v>
      </c>
      <c r="B608" s="1">
        <v>202123043</v>
      </c>
      <c r="C608" s="1" t="s">
        <v>1949</v>
      </c>
      <c r="D608" s="1" t="s">
        <v>4434</v>
      </c>
      <c r="E608" s="1" t="s">
        <v>4435</v>
      </c>
      <c r="F608" s="1" t="s">
        <v>216</v>
      </c>
      <c r="G608" s="1"/>
      <c r="H608" s="1"/>
      <c r="I608" s="1"/>
      <c r="J608" s="1" t="s">
        <v>247</v>
      </c>
      <c r="K608" s="1">
        <v>2025</v>
      </c>
      <c r="L608" s="1">
        <v>202520</v>
      </c>
      <c r="M608" s="1">
        <v>202520</v>
      </c>
      <c r="N608" s="1" t="s">
        <v>248</v>
      </c>
      <c r="O608" s="1" t="s">
        <v>2072</v>
      </c>
      <c r="P608" s="1" t="s">
        <v>249</v>
      </c>
      <c r="Q608" s="1" t="s">
        <v>216</v>
      </c>
      <c r="R608" s="1" t="s">
        <v>246</v>
      </c>
      <c r="S608" s="1" t="s">
        <v>424</v>
      </c>
      <c r="T608" s="70" t="str">
        <f>_xlfn.XLOOKUP(Tabla1[[#This Row],[Universidad]],Conversiones!$B:$B,Conversiones!$C:$C)</f>
        <v>Nova School of Business and Economics</v>
      </c>
      <c r="U608" s="70" t="str">
        <f>_xlfn.XLOOKUP(Tabla1[[#This Row],[Universidad KPIs]],Conversiones!$C:$C,Conversiones!$E:$E)</f>
        <v>Específico</v>
      </c>
      <c r="V608" s="1" t="s">
        <v>45</v>
      </c>
      <c r="W608" s="1" t="s">
        <v>250</v>
      </c>
      <c r="X608" s="55">
        <v>45873</v>
      </c>
      <c r="Y608" s="55">
        <v>45990</v>
      </c>
      <c r="Z608" s="1">
        <v>117</v>
      </c>
      <c r="AA608" s="2"/>
    </row>
    <row r="609" spans="1:27">
      <c r="A609" t="s">
        <v>4436</v>
      </c>
      <c r="B609">
        <v>202125010</v>
      </c>
      <c r="C609" t="s">
        <v>503</v>
      </c>
      <c r="D609" t="s">
        <v>4437</v>
      </c>
      <c r="E609" t="s">
        <v>4438</v>
      </c>
      <c r="F609" t="s">
        <v>216</v>
      </c>
      <c r="J609" t="s">
        <v>247</v>
      </c>
      <c r="K609">
        <v>2025</v>
      </c>
      <c r="L609">
        <v>202520</v>
      </c>
      <c r="M609">
        <v>202520</v>
      </c>
      <c r="N609" s="1" t="s">
        <v>248</v>
      </c>
      <c r="O609" t="s">
        <v>2072</v>
      </c>
      <c r="P609" t="s">
        <v>249</v>
      </c>
      <c r="Q609" t="s">
        <v>216</v>
      </c>
      <c r="R609" t="s">
        <v>246</v>
      </c>
      <c r="S609" t="s">
        <v>424</v>
      </c>
      <c r="T609" s="70" t="str">
        <f>_xlfn.XLOOKUP(Tabla1[[#This Row],[Universidad]],Conversiones!$B:$B,Conversiones!$C:$C)</f>
        <v>Nova School of Business and Economics</v>
      </c>
      <c r="U609" s="70" t="str">
        <f>_xlfn.XLOOKUP(Tabla1[[#This Row],[Universidad KPIs]],Conversiones!$C:$C,Conversiones!$E:$E)</f>
        <v>Específico</v>
      </c>
      <c r="V609" t="s">
        <v>45</v>
      </c>
      <c r="W609" t="s">
        <v>250</v>
      </c>
      <c r="X609" s="2">
        <v>45873</v>
      </c>
      <c r="Y609" s="2">
        <v>45990</v>
      </c>
      <c r="Z609">
        <v>117</v>
      </c>
      <c r="AA609" s="2"/>
    </row>
    <row r="610" spans="1:27">
      <c r="A610" s="1" t="s">
        <v>4439</v>
      </c>
      <c r="B610" s="1">
        <v>202220969</v>
      </c>
      <c r="C610" s="1" t="s">
        <v>831</v>
      </c>
      <c r="D610" s="1" t="s">
        <v>4440</v>
      </c>
      <c r="E610" s="1" t="s">
        <v>4441</v>
      </c>
      <c r="F610" s="1" t="s">
        <v>216</v>
      </c>
      <c r="G610" s="1"/>
      <c r="H610" s="1"/>
      <c r="I610" s="1"/>
      <c r="J610" s="1" t="s">
        <v>247</v>
      </c>
      <c r="K610" s="1">
        <v>2025</v>
      </c>
      <c r="L610" s="1">
        <v>202520</v>
      </c>
      <c r="M610" s="1">
        <v>202520</v>
      </c>
      <c r="N610" s="1" t="s">
        <v>248</v>
      </c>
      <c r="O610" s="1" t="s">
        <v>2072</v>
      </c>
      <c r="P610" s="1" t="s">
        <v>249</v>
      </c>
      <c r="Q610" s="1" t="s">
        <v>216</v>
      </c>
      <c r="R610" s="1" t="s">
        <v>246</v>
      </c>
      <c r="S610" s="1" t="s">
        <v>374</v>
      </c>
      <c r="T610" s="70" t="str">
        <f>_xlfn.XLOOKUP(Tabla1[[#This Row],[Universidad]],Conversiones!$B:$B,Conversiones!$C:$C)</f>
        <v>University of Ljubljana</v>
      </c>
      <c r="U610" s="70" t="str">
        <f>_xlfn.XLOOKUP(Tabla1[[#This Row],[Universidad KPIs]],Conversiones!$C:$C,Conversiones!$E:$E)</f>
        <v>Específico</v>
      </c>
      <c r="V610" s="1" t="s">
        <v>102</v>
      </c>
      <c r="W610" s="1" t="s">
        <v>250</v>
      </c>
      <c r="X610" s="55">
        <v>45873</v>
      </c>
      <c r="Y610" s="55">
        <v>45990</v>
      </c>
      <c r="Z610" s="1">
        <v>117</v>
      </c>
      <c r="AA610" s="2"/>
    </row>
    <row r="611" spans="1:27">
      <c r="A611" t="s">
        <v>4442</v>
      </c>
      <c r="B611">
        <v>202220681</v>
      </c>
      <c r="C611" t="s">
        <v>4443</v>
      </c>
      <c r="D611" t="s">
        <v>1457</v>
      </c>
      <c r="E611" t="s">
        <v>4444</v>
      </c>
      <c r="F611" t="s">
        <v>216</v>
      </c>
      <c r="J611" t="s">
        <v>247</v>
      </c>
      <c r="K611">
        <v>2025</v>
      </c>
      <c r="L611">
        <v>202520</v>
      </c>
      <c r="M611">
        <v>202520</v>
      </c>
      <c r="N611" s="1" t="s">
        <v>248</v>
      </c>
      <c r="O611" t="s">
        <v>2072</v>
      </c>
      <c r="P611" t="s">
        <v>249</v>
      </c>
      <c r="Q611" t="s">
        <v>216</v>
      </c>
      <c r="R611" t="s">
        <v>246</v>
      </c>
      <c r="S611" t="s">
        <v>289</v>
      </c>
      <c r="T611" s="70" t="str">
        <f>_xlfn.XLOOKUP(Tabla1[[#This Row],[Universidad]],Conversiones!$B:$B,Conversiones!$C:$C)</f>
        <v>ESADE</v>
      </c>
      <c r="U611" s="70" t="str">
        <f>_xlfn.XLOOKUP(Tabla1[[#This Row],[Universidad KPIs]],Conversiones!$C:$C,Conversiones!$E:$E)</f>
        <v>Específico</v>
      </c>
      <c r="V611" t="s">
        <v>53</v>
      </c>
      <c r="W611" t="s">
        <v>250</v>
      </c>
      <c r="X611" s="2">
        <v>45873</v>
      </c>
      <c r="Y611" s="2">
        <v>45990</v>
      </c>
      <c r="Z611">
        <v>117</v>
      </c>
      <c r="AA611" s="2"/>
    </row>
    <row r="612" spans="1:27">
      <c r="A612" s="1" t="s">
        <v>4445</v>
      </c>
      <c r="B612" s="1">
        <v>202222177</v>
      </c>
      <c r="C612" s="1" t="s">
        <v>509</v>
      </c>
      <c r="D612" s="1" t="s">
        <v>4446</v>
      </c>
      <c r="E612" s="1" t="s">
        <v>4447</v>
      </c>
      <c r="F612" s="1" t="s">
        <v>216</v>
      </c>
      <c r="G612" s="1"/>
      <c r="H612" s="1"/>
      <c r="I612" s="1"/>
      <c r="J612" s="1" t="s">
        <v>247</v>
      </c>
      <c r="K612" s="1">
        <v>2025</v>
      </c>
      <c r="L612" s="1">
        <v>202520</v>
      </c>
      <c r="M612" s="1">
        <v>202520</v>
      </c>
      <c r="N612" s="1" t="s">
        <v>248</v>
      </c>
      <c r="O612" s="1" t="s">
        <v>2072</v>
      </c>
      <c r="P612" s="1" t="s">
        <v>834</v>
      </c>
      <c r="Q612" s="1" t="s">
        <v>216</v>
      </c>
      <c r="R612" s="1" t="s">
        <v>246</v>
      </c>
      <c r="S612" s="1" t="s">
        <v>158</v>
      </c>
      <c r="T612" s="70" t="str">
        <f>_xlfn.XLOOKUP(Tabla1[[#This Row],[Universidad]],Conversiones!$B:$B,Conversiones!$C:$C)</f>
        <v>Universitat Politècnica de Catalunya</v>
      </c>
      <c r="U612" s="70" t="str">
        <f>_xlfn.XLOOKUP(Tabla1[[#This Row],[Universidad KPIs]],Conversiones!$C:$C,Conversiones!$E:$E)</f>
        <v>General</v>
      </c>
      <c r="V612" s="1" t="s">
        <v>53</v>
      </c>
      <c r="W612" s="1" t="s">
        <v>250</v>
      </c>
      <c r="X612" s="55">
        <v>45873</v>
      </c>
      <c r="Y612" s="55">
        <v>45990</v>
      </c>
      <c r="Z612" s="1">
        <v>117</v>
      </c>
      <c r="AA612" s="2"/>
    </row>
    <row r="613" spans="1:27">
      <c r="A613" t="s">
        <v>4448</v>
      </c>
      <c r="B613">
        <v>202220817</v>
      </c>
      <c r="C613" t="s">
        <v>267</v>
      </c>
      <c r="D613" t="s">
        <v>2256</v>
      </c>
      <c r="E613" t="s">
        <v>4449</v>
      </c>
      <c r="F613" t="s">
        <v>216</v>
      </c>
      <c r="J613" t="s">
        <v>247</v>
      </c>
      <c r="K613">
        <v>2025</v>
      </c>
      <c r="L613">
        <v>202520</v>
      </c>
      <c r="M613">
        <v>202520</v>
      </c>
      <c r="N613" s="1" t="s">
        <v>248</v>
      </c>
      <c r="O613" t="s">
        <v>2072</v>
      </c>
      <c r="P613" t="s">
        <v>249</v>
      </c>
      <c r="Q613" t="s">
        <v>216</v>
      </c>
      <c r="R613" t="s">
        <v>246</v>
      </c>
      <c r="S613" t="s">
        <v>289</v>
      </c>
      <c r="T613" s="70" t="str">
        <f>_xlfn.XLOOKUP(Tabla1[[#This Row],[Universidad]],Conversiones!$B:$B,Conversiones!$C:$C)</f>
        <v>ESADE</v>
      </c>
      <c r="U613" s="70" t="str">
        <f>_xlfn.XLOOKUP(Tabla1[[#This Row],[Universidad KPIs]],Conversiones!$C:$C,Conversiones!$E:$E)</f>
        <v>Específico</v>
      </c>
      <c r="V613" t="s">
        <v>53</v>
      </c>
      <c r="W613" t="s">
        <v>250</v>
      </c>
      <c r="X613" s="2">
        <v>45873</v>
      </c>
      <c r="Y613" s="2">
        <v>45990</v>
      </c>
      <c r="Z613">
        <v>117</v>
      </c>
      <c r="AA613" s="2"/>
    </row>
    <row r="614" spans="1:27">
      <c r="A614" s="1" t="s">
        <v>4450</v>
      </c>
      <c r="B614" s="1">
        <v>202110281</v>
      </c>
      <c r="C614" s="1" t="s">
        <v>4451</v>
      </c>
      <c r="D614" s="1" t="s">
        <v>4452</v>
      </c>
      <c r="E614" s="1" t="s">
        <v>4453</v>
      </c>
      <c r="F614" s="1" t="s">
        <v>216</v>
      </c>
      <c r="G614" s="1"/>
      <c r="H614" s="1"/>
      <c r="I614" s="1"/>
      <c r="J614" s="1" t="s">
        <v>247</v>
      </c>
      <c r="K614" s="1">
        <v>2025</v>
      </c>
      <c r="L614" s="1">
        <v>202520</v>
      </c>
      <c r="M614" s="1">
        <v>202520</v>
      </c>
      <c r="N614" s="1" t="s">
        <v>248</v>
      </c>
      <c r="O614" s="1" t="s">
        <v>2072</v>
      </c>
      <c r="P614" s="1" t="s">
        <v>249</v>
      </c>
      <c r="Q614" s="1" t="s">
        <v>216</v>
      </c>
      <c r="R614" s="1" t="s">
        <v>246</v>
      </c>
      <c r="S614" s="1" t="s">
        <v>4454</v>
      </c>
      <c r="T614" s="70" t="str">
        <f>_xlfn.XLOOKUP(Tabla1[[#This Row],[Universidad]],Conversiones!$B:$B,Conversiones!$C:$C)</f>
        <v>Universitat de Barcelona</v>
      </c>
      <c r="U614" s="70" t="str">
        <f>_xlfn.XLOOKUP(Tabla1[[#This Row],[Universidad KPIs]],Conversiones!$C:$C,Conversiones!$E:$E)</f>
        <v>General</v>
      </c>
      <c r="V614" s="1" t="s">
        <v>53</v>
      </c>
      <c r="W614" s="1" t="s">
        <v>250</v>
      </c>
      <c r="X614" s="55">
        <v>45873</v>
      </c>
      <c r="Y614" s="55">
        <v>45990</v>
      </c>
      <c r="Z614" s="1">
        <v>117</v>
      </c>
      <c r="AA614" s="2"/>
    </row>
    <row r="615" spans="1:27">
      <c r="A615" t="s">
        <v>4455</v>
      </c>
      <c r="B615">
        <v>202221633</v>
      </c>
      <c r="C615" t="s">
        <v>1366</v>
      </c>
      <c r="D615" t="s">
        <v>4456</v>
      </c>
      <c r="E615" t="s">
        <v>4457</v>
      </c>
      <c r="F615" t="s">
        <v>216</v>
      </c>
      <c r="J615" t="s">
        <v>247</v>
      </c>
      <c r="K615">
        <v>2025</v>
      </c>
      <c r="L615">
        <v>202520</v>
      </c>
      <c r="M615">
        <v>202520</v>
      </c>
      <c r="N615" s="1" t="s">
        <v>248</v>
      </c>
      <c r="O615" t="s">
        <v>2072</v>
      </c>
      <c r="P615" t="s">
        <v>249</v>
      </c>
      <c r="Q615" t="s">
        <v>216</v>
      </c>
      <c r="R615" t="s">
        <v>246</v>
      </c>
      <c r="S615" t="s">
        <v>608</v>
      </c>
      <c r="T615" s="70" t="str">
        <f>_xlfn.XLOOKUP(Tabla1[[#This Row],[Universidad]],Conversiones!$B:$B,Conversiones!$C:$C)</f>
        <v>IE Instituto Empresa</v>
      </c>
      <c r="U615" s="70" t="str">
        <f>_xlfn.XLOOKUP(Tabla1[[#This Row],[Universidad KPIs]],Conversiones!$C:$C,Conversiones!$E:$E)</f>
        <v>General</v>
      </c>
      <c r="V615" t="s">
        <v>53</v>
      </c>
      <c r="W615" t="s">
        <v>250</v>
      </c>
      <c r="X615" s="2">
        <v>45873</v>
      </c>
      <c r="Y615" s="2">
        <v>45990</v>
      </c>
      <c r="Z615">
        <v>117</v>
      </c>
      <c r="AA615" s="2"/>
    </row>
    <row r="616" spans="1:27">
      <c r="A616" s="1" t="s">
        <v>4458</v>
      </c>
      <c r="B616" s="1">
        <v>202011917</v>
      </c>
      <c r="C616" s="1" t="s">
        <v>421</v>
      </c>
      <c r="D616" s="1" t="s">
        <v>4459</v>
      </c>
      <c r="E616" s="1" t="s">
        <v>4460</v>
      </c>
      <c r="F616" s="1" t="s">
        <v>216</v>
      </c>
      <c r="G616" s="1"/>
      <c r="H616" s="1"/>
      <c r="I616" s="1"/>
      <c r="J616" s="1" t="s">
        <v>247</v>
      </c>
      <c r="K616" s="1">
        <v>2025</v>
      </c>
      <c r="L616" s="1">
        <v>202520</v>
      </c>
      <c r="M616" s="1">
        <v>202520</v>
      </c>
      <c r="N616" s="1" t="s">
        <v>248</v>
      </c>
      <c r="O616" s="1" t="s">
        <v>2072</v>
      </c>
      <c r="P616" s="1" t="s">
        <v>249</v>
      </c>
      <c r="Q616" s="1" t="s">
        <v>216</v>
      </c>
      <c r="R616" s="1" t="s">
        <v>246</v>
      </c>
      <c r="S616" s="1" t="s">
        <v>3024</v>
      </c>
      <c r="T616" s="70" t="str">
        <f>_xlfn.XLOOKUP(Tabla1[[#This Row],[Universidad]],Conversiones!$B:$B,Conversiones!$C:$C)</f>
        <v>JIBS Jönköping International Business School</v>
      </c>
      <c r="U616" s="70" t="str">
        <f>_xlfn.XLOOKUP(Tabla1[[#This Row],[Universidad KPIs]],Conversiones!$C:$C,Conversiones!$E:$E)</f>
        <v>Específico</v>
      </c>
      <c r="V616" s="1" t="s">
        <v>74</v>
      </c>
      <c r="W616" s="1" t="s">
        <v>250</v>
      </c>
      <c r="X616" s="55">
        <v>45873</v>
      </c>
      <c r="Y616" s="55">
        <v>45990</v>
      </c>
      <c r="Z616" s="1">
        <v>117</v>
      </c>
      <c r="AA616" s="2"/>
    </row>
    <row r="617" spans="1:27">
      <c r="A617" t="s">
        <v>4461</v>
      </c>
      <c r="B617">
        <v>202311243</v>
      </c>
      <c r="C617" t="s">
        <v>4462</v>
      </c>
      <c r="D617" t="s">
        <v>4463</v>
      </c>
      <c r="E617" t="s">
        <v>4464</v>
      </c>
      <c r="F617" t="s">
        <v>216</v>
      </c>
      <c r="J617" t="s">
        <v>247</v>
      </c>
      <c r="K617">
        <v>2025</v>
      </c>
      <c r="L617">
        <v>202520</v>
      </c>
      <c r="M617">
        <v>202520</v>
      </c>
      <c r="N617" s="1" t="s">
        <v>248</v>
      </c>
      <c r="O617" t="s">
        <v>2072</v>
      </c>
      <c r="P617" t="s">
        <v>4465</v>
      </c>
      <c r="Q617" t="s">
        <v>216</v>
      </c>
      <c r="R617" t="s">
        <v>246</v>
      </c>
      <c r="S617" t="s">
        <v>3024</v>
      </c>
      <c r="T617" s="70" t="str">
        <f>_xlfn.XLOOKUP(Tabla1[[#This Row],[Universidad]],Conversiones!$B:$B,Conversiones!$C:$C)</f>
        <v>JIBS Jönköping International Business School</v>
      </c>
      <c r="U617" s="70" t="str">
        <f>_xlfn.XLOOKUP(Tabla1[[#This Row],[Universidad KPIs]],Conversiones!$C:$C,Conversiones!$E:$E)</f>
        <v>Específico</v>
      </c>
      <c r="V617" t="s">
        <v>74</v>
      </c>
      <c r="W617" t="s">
        <v>250</v>
      </c>
      <c r="X617" s="2">
        <v>45873</v>
      </c>
      <c r="Y617" s="2">
        <v>45990</v>
      </c>
      <c r="Z617">
        <v>117</v>
      </c>
      <c r="AA617" s="2"/>
    </row>
    <row r="618" spans="1:27">
      <c r="A618" s="1" t="s">
        <v>4466</v>
      </c>
      <c r="B618" s="1">
        <v>202122306</v>
      </c>
      <c r="C618" s="1" t="s">
        <v>4467</v>
      </c>
      <c r="D618" s="1" t="s">
        <v>4468</v>
      </c>
      <c r="E618" s="1" t="s">
        <v>4469</v>
      </c>
      <c r="F618" s="1" t="s">
        <v>216</v>
      </c>
      <c r="G618" s="1"/>
      <c r="H618" s="1"/>
      <c r="I618" s="1"/>
      <c r="J618" s="1" t="s">
        <v>247</v>
      </c>
      <c r="K618" s="1">
        <v>2025</v>
      </c>
      <c r="L618" s="1">
        <v>202520</v>
      </c>
      <c r="M618" s="1">
        <v>202520</v>
      </c>
      <c r="N618" s="1" t="s">
        <v>248</v>
      </c>
      <c r="O618" s="1" t="s">
        <v>2072</v>
      </c>
      <c r="P618" s="1" t="s">
        <v>249</v>
      </c>
      <c r="Q618" s="1" t="s">
        <v>216</v>
      </c>
      <c r="R618" s="1" t="s">
        <v>246</v>
      </c>
      <c r="S618" s="1" t="s">
        <v>284</v>
      </c>
      <c r="T618" s="70" t="str">
        <f>_xlfn.XLOOKUP(Tabla1[[#This Row],[Universidad]],Conversiones!$B:$B,Conversiones!$C:$C)</f>
        <v>HEC Lausanne</v>
      </c>
      <c r="U618" s="70" t="str">
        <f>_xlfn.XLOOKUP(Tabla1[[#This Row],[Universidad KPIs]],Conversiones!$C:$C,Conversiones!$E:$E)</f>
        <v>Específico</v>
      </c>
      <c r="V618" s="1" t="s">
        <v>65</v>
      </c>
      <c r="W618" s="1" t="s">
        <v>250</v>
      </c>
      <c r="X618" s="55">
        <v>45873</v>
      </c>
      <c r="Y618" s="55">
        <v>45990</v>
      </c>
      <c r="Z618" s="1">
        <v>117</v>
      </c>
      <c r="AA618" s="2"/>
    </row>
    <row r="619" spans="1:27">
      <c r="A619" t="s">
        <v>4470</v>
      </c>
      <c r="B619">
        <v>202210837</v>
      </c>
      <c r="C619" t="s">
        <v>4346</v>
      </c>
      <c r="D619" t="s">
        <v>4471</v>
      </c>
      <c r="E619" t="s">
        <v>4472</v>
      </c>
      <c r="F619" t="s">
        <v>216</v>
      </c>
      <c r="J619" t="s">
        <v>247</v>
      </c>
      <c r="K619">
        <v>2025</v>
      </c>
      <c r="L619">
        <v>202520</v>
      </c>
      <c r="M619">
        <v>202520</v>
      </c>
      <c r="N619" s="1" t="s">
        <v>248</v>
      </c>
      <c r="O619" t="s">
        <v>2072</v>
      </c>
      <c r="P619" t="s">
        <v>249</v>
      </c>
      <c r="Q619" t="s">
        <v>216</v>
      </c>
      <c r="R619" t="s">
        <v>246</v>
      </c>
      <c r="S619" t="s">
        <v>493</v>
      </c>
      <c r="T619" s="70" t="str">
        <f>_xlfn.XLOOKUP(Tabla1[[#This Row],[Universidad]],Conversiones!$B:$B,Conversiones!$C:$C)</f>
        <v>University of Saint Gallen</v>
      </c>
      <c r="U619" s="70" t="str">
        <f>_xlfn.XLOOKUP(Tabla1[[#This Row],[Universidad KPIs]],Conversiones!$C:$C,Conversiones!$E:$E)</f>
        <v>Específico</v>
      </c>
      <c r="V619" t="s">
        <v>65</v>
      </c>
      <c r="W619" t="s">
        <v>250</v>
      </c>
      <c r="X619" s="2">
        <v>45873</v>
      </c>
      <c r="Y619" s="2">
        <v>45990</v>
      </c>
      <c r="Z619">
        <v>117</v>
      </c>
      <c r="AA619" s="2"/>
    </row>
    <row r="620" spans="1:27">
      <c r="A620" s="1" t="s">
        <v>4473</v>
      </c>
      <c r="B620" s="1">
        <v>202211529</v>
      </c>
      <c r="C620" s="1" t="s">
        <v>866</v>
      </c>
      <c r="D620" s="1" t="s">
        <v>4474</v>
      </c>
      <c r="E620" s="1" t="s">
        <v>4475</v>
      </c>
      <c r="F620" s="1" t="s">
        <v>216</v>
      </c>
      <c r="G620" s="1"/>
      <c r="H620" s="1"/>
      <c r="I620" s="1"/>
      <c r="J620" s="1" t="s">
        <v>247</v>
      </c>
      <c r="K620" s="1">
        <v>2025</v>
      </c>
      <c r="L620" s="1">
        <v>202520</v>
      </c>
      <c r="M620" s="1">
        <v>202520</v>
      </c>
      <c r="N620" s="1" t="s">
        <v>248</v>
      </c>
      <c r="O620" s="1" t="s">
        <v>2072</v>
      </c>
      <c r="P620" s="1" t="s">
        <v>249</v>
      </c>
      <c r="Q620" s="1" t="s">
        <v>216</v>
      </c>
      <c r="R620" s="1" t="s">
        <v>246</v>
      </c>
      <c r="S620" s="1" t="s">
        <v>284</v>
      </c>
      <c r="T620" s="70" t="str">
        <f>_xlfn.XLOOKUP(Tabla1[[#This Row],[Universidad]],Conversiones!$B:$B,Conversiones!$C:$C)</f>
        <v>HEC Lausanne</v>
      </c>
      <c r="U620" s="70" t="str">
        <f>_xlfn.XLOOKUP(Tabla1[[#This Row],[Universidad KPIs]],Conversiones!$C:$C,Conversiones!$E:$E)</f>
        <v>Específico</v>
      </c>
      <c r="V620" s="1" t="s">
        <v>65</v>
      </c>
      <c r="W620" s="1" t="s">
        <v>250</v>
      </c>
      <c r="X620" s="55">
        <v>45873</v>
      </c>
      <c r="Y620" s="55">
        <v>45990</v>
      </c>
      <c r="Z620" s="1">
        <v>117</v>
      </c>
      <c r="AA620" s="2"/>
    </row>
    <row r="621" spans="1:27">
      <c r="A621" t="s">
        <v>4476</v>
      </c>
      <c r="B621">
        <v>202221950</v>
      </c>
      <c r="C621" t="s">
        <v>546</v>
      </c>
      <c r="D621" t="s">
        <v>4477</v>
      </c>
      <c r="E621" t="s">
        <v>4478</v>
      </c>
      <c r="F621" t="s">
        <v>216</v>
      </c>
      <c r="J621" t="s">
        <v>247</v>
      </c>
      <c r="K621">
        <v>2025</v>
      </c>
      <c r="L621">
        <v>202520</v>
      </c>
      <c r="M621">
        <v>202520</v>
      </c>
      <c r="N621" s="1" t="s">
        <v>248</v>
      </c>
      <c r="O621" t="s">
        <v>2072</v>
      </c>
      <c r="P621" t="s">
        <v>249</v>
      </c>
      <c r="Q621" t="s">
        <v>216</v>
      </c>
      <c r="R621" t="s">
        <v>246</v>
      </c>
      <c r="S621" t="s">
        <v>163</v>
      </c>
      <c r="T621" s="70" t="str">
        <f>_xlfn.XLOOKUP(Tabla1[[#This Row],[Universidad]],Conversiones!$B:$B,Conversiones!$C:$C)</f>
        <v>University College London</v>
      </c>
      <c r="U621" s="70" t="str">
        <f>_xlfn.XLOOKUP(Tabla1[[#This Row],[Universidad KPIs]],Conversiones!$C:$C,Conversiones!$E:$E)</f>
        <v>General</v>
      </c>
      <c r="V621" t="s">
        <v>39</v>
      </c>
      <c r="W621" t="s">
        <v>250</v>
      </c>
      <c r="X621" s="2">
        <v>45873</v>
      </c>
      <c r="Y621" s="2">
        <v>45990</v>
      </c>
      <c r="Z621">
        <v>117</v>
      </c>
      <c r="AA621" s="2"/>
    </row>
    <row r="622" spans="1:27">
      <c r="A622" s="1" t="s">
        <v>4479</v>
      </c>
      <c r="B622" s="1">
        <v>202210710</v>
      </c>
      <c r="C622" s="1" t="s">
        <v>703</v>
      </c>
      <c r="D622" s="1" t="s">
        <v>4480</v>
      </c>
      <c r="E622" s="1" t="s">
        <v>4481</v>
      </c>
      <c r="F622" s="1" t="s">
        <v>216</v>
      </c>
      <c r="G622" s="1"/>
      <c r="H622" s="1"/>
      <c r="I622" s="1"/>
      <c r="J622" s="1" t="s">
        <v>247</v>
      </c>
      <c r="K622" s="1">
        <v>2025</v>
      </c>
      <c r="L622" s="1">
        <v>202520</v>
      </c>
      <c r="M622" s="1">
        <v>202520</v>
      </c>
      <c r="N622" s="1" t="s">
        <v>248</v>
      </c>
      <c r="O622" s="1" t="s">
        <v>2072</v>
      </c>
      <c r="P622" s="1" t="s">
        <v>249</v>
      </c>
      <c r="Q622" s="1" t="s">
        <v>216</v>
      </c>
      <c r="R622" s="1" t="s">
        <v>246</v>
      </c>
      <c r="S622" s="1" t="s">
        <v>164</v>
      </c>
      <c r="T622" s="70" t="str">
        <f>_xlfn.XLOOKUP(Tabla1[[#This Row],[Universidad]],Conversiones!$B:$B,Conversiones!$C:$C)</f>
        <v>University of Bristol</v>
      </c>
      <c r="U622" s="70" t="str">
        <f>_xlfn.XLOOKUP(Tabla1[[#This Row],[Universidad KPIs]],Conversiones!$C:$C,Conversiones!$E:$E)</f>
        <v>General</v>
      </c>
      <c r="V622" s="1" t="s">
        <v>39</v>
      </c>
      <c r="W622" s="1" t="s">
        <v>250</v>
      </c>
      <c r="X622" s="55">
        <v>45873</v>
      </c>
      <c r="Y622" s="55">
        <v>45990</v>
      </c>
      <c r="Z622" s="1">
        <v>117</v>
      </c>
      <c r="AA622" s="2"/>
    </row>
    <row r="623" spans="1:27">
      <c r="A623" t="s">
        <v>4482</v>
      </c>
      <c r="B623">
        <v>202220755</v>
      </c>
      <c r="C623" t="s">
        <v>257</v>
      </c>
      <c r="D623" t="s">
        <v>4483</v>
      </c>
      <c r="E623" t="s">
        <v>4484</v>
      </c>
      <c r="F623" t="s">
        <v>216</v>
      </c>
      <c r="J623" t="s">
        <v>247</v>
      </c>
      <c r="K623">
        <v>2025</v>
      </c>
      <c r="L623">
        <v>202520</v>
      </c>
      <c r="M623">
        <v>202520</v>
      </c>
      <c r="N623" s="1" t="s">
        <v>248</v>
      </c>
      <c r="O623" t="s">
        <v>2072</v>
      </c>
      <c r="P623" t="s">
        <v>249</v>
      </c>
      <c r="Q623" t="s">
        <v>216</v>
      </c>
      <c r="R623" t="s">
        <v>246</v>
      </c>
      <c r="S623" t="s">
        <v>132</v>
      </c>
      <c r="T623" s="70" t="str">
        <f>_xlfn.XLOOKUP(Tabla1[[#This Row],[Universidad]],Conversiones!$B:$B,Conversiones!$C:$C)</f>
        <v>Northumbria University, Newcastle</v>
      </c>
      <c r="U623" s="70" t="str">
        <f>_xlfn.XLOOKUP(Tabla1[[#This Row],[Universidad KPIs]],Conversiones!$C:$C,Conversiones!$E:$E)</f>
        <v>General</v>
      </c>
      <c r="V623" t="s">
        <v>39</v>
      </c>
      <c r="W623" t="s">
        <v>250</v>
      </c>
      <c r="X623" s="2">
        <v>45873</v>
      </c>
      <c r="Y623" s="2">
        <v>45990</v>
      </c>
      <c r="Z623">
        <v>117</v>
      </c>
      <c r="AA623" s="2"/>
    </row>
    <row r="624" spans="1:27">
      <c r="A624" s="1" t="s">
        <v>4485</v>
      </c>
      <c r="B624" s="1">
        <v>202124118</v>
      </c>
      <c r="C624" s="1" t="s">
        <v>4467</v>
      </c>
      <c r="D624" s="1" t="s">
        <v>4486</v>
      </c>
      <c r="E624" s="1" t="s">
        <v>4487</v>
      </c>
      <c r="F624" s="1" t="s">
        <v>216</v>
      </c>
      <c r="G624" s="1"/>
      <c r="H624" s="1"/>
      <c r="I624" s="1"/>
      <c r="J624" s="1" t="s">
        <v>247</v>
      </c>
      <c r="K624" s="1">
        <v>2025</v>
      </c>
      <c r="L624" s="1">
        <v>202520</v>
      </c>
      <c r="M624" s="1">
        <v>202520</v>
      </c>
      <c r="N624" s="1" t="s">
        <v>248</v>
      </c>
      <c r="O624" s="1" t="s">
        <v>2072</v>
      </c>
      <c r="P624" s="1" t="s">
        <v>249</v>
      </c>
      <c r="Q624" s="1" t="s">
        <v>216</v>
      </c>
      <c r="R624" s="1" t="s">
        <v>246</v>
      </c>
      <c r="S624" s="1" t="s">
        <v>99</v>
      </c>
      <c r="T624" s="70" t="str">
        <f>_xlfn.XLOOKUP(Tabla1[[#This Row],[Universidad]],Conversiones!$B:$B,Conversiones!$C:$C)</f>
        <v>University of Exeter</v>
      </c>
      <c r="U624" s="70" t="str">
        <f>_xlfn.XLOOKUP(Tabla1[[#This Row],[Universidad KPIs]],Conversiones!$C:$C,Conversiones!$E:$E)</f>
        <v>Específico</v>
      </c>
      <c r="V624" s="1" t="s">
        <v>39</v>
      </c>
      <c r="W624" s="1" t="s">
        <v>250</v>
      </c>
      <c r="X624" s="55">
        <v>45873</v>
      </c>
      <c r="Y624" s="55">
        <v>45990</v>
      </c>
      <c r="Z624" s="1">
        <v>117</v>
      </c>
      <c r="AA624" s="2"/>
    </row>
    <row r="625" spans="1:27">
      <c r="A625" t="s">
        <v>4488</v>
      </c>
      <c r="B625">
        <v>202123916</v>
      </c>
      <c r="C625" t="s">
        <v>295</v>
      </c>
      <c r="D625" t="s">
        <v>4489</v>
      </c>
      <c r="E625" t="s">
        <v>4490</v>
      </c>
      <c r="F625" t="s">
        <v>216</v>
      </c>
      <c r="J625" t="s">
        <v>247</v>
      </c>
      <c r="K625">
        <v>2025</v>
      </c>
      <c r="L625">
        <v>202520</v>
      </c>
      <c r="M625">
        <v>202520</v>
      </c>
      <c r="N625" s="1" t="s">
        <v>248</v>
      </c>
      <c r="O625" t="s">
        <v>2072</v>
      </c>
      <c r="P625" t="s">
        <v>249</v>
      </c>
      <c r="Q625" t="s">
        <v>216</v>
      </c>
      <c r="R625" t="s">
        <v>246</v>
      </c>
      <c r="S625" t="s">
        <v>38</v>
      </c>
      <c r="T625" s="70" t="str">
        <f>_xlfn.XLOOKUP(Tabla1[[#This Row],[Universidad]],Conversiones!$B:$B,Conversiones!$C:$C)</f>
        <v>Aston University</v>
      </c>
      <c r="U625" s="70" t="str">
        <f>_xlfn.XLOOKUP(Tabla1[[#This Row],[Universidad KPIs]],Conversiones!$C:$C,Conversiones!$E:$E)</f>
        <v>Específico</v>
      </c>
      <c r="V625" t="s">
        <v>39</v>
      </c>
      <c r="W625" t="s">
        <v>250</v>
      </c>
      <c r="X625" s="2">
        <v>45873</v>
      </c>
      <c r="Y625" s="2">
        <v>45990</v>
      </c>
      <c r="Z625">
        <v>117</v>
      </c>
      <c r="AA625" s="2"/>
    </row>
    <row r="626" spans="1:27">
      <c r="A626" s="1" t="s">
        <v>4491</v>
      </c>
      <c r="B626" s="1">
        <v>200923390</v>
      </c>
      <c r="C626" s="1" t="s">
        <v>434</v>
      </c>
      <c r="D626" s="1" t="s">
        <v>4492</v>
      </c>
      <c r="E626" s="1" t="s">
        <v>4493</v>
      </c>
      <c r="F626" s="1" t="s">
        <v>4494</v>
      </c>
      <c r="G626" s="1"/>
      <c r="H626" s="1"/>
      <c r="I626" s="1"/>
      <c r="J626" s="1" t="s">
        <v>247</v>
      </c>
      <c r="K626" s="1">
        <v>2025</v>
      </c>
      <c r="L626" s="1">
        <v>202520</v>
      </c>
      <c r="M626" s="1">
        <v>202520</v>
      </c>
      <c r="N626" t="s">
        <v>587</v>
      </c>
      <c r="O626" s="1" t="s">
        <v>2072</v>
      </c>
      <c r="P626" s="1" t="s">
        <v>1491</v>
      </c>
      <c r="Q626" s="1" t="s">
        <v>4494</v>
      </c>
      <c r="R626" s="1" t="s">
        <v>246</v>
      </c>
      <c r="S626" s="1" t="s">
        <v>839</v>
      </c>
      <c r="T626" s="70" t="str">
        <f>_xlfn.XLOOKUP(Tabla1[[#This Row],[Universidad]],Conversiones!$B:$B,Conversiones!$C:$C)</f>
        <v>London Business School</v>
      </c>
      <c r="U626" s="70" t="str">
        <f>_xlfn.XLOOKUP(Tabla1[[#This Row],[Universidad KPIs]],Conversiones!$C:$C,Conversiones!$E:$E)</f>
        <v>Específico</v>
      </c>
      <c r="V626" s="1" t="s">
        <v>39</v>
      </c>
      <c r="W626" s="1" t="s">
        <v>250</v>
      </c>
      <c r="X626" s="55">
        <v>45873</v>
      </c>
      <c r="Y626" s="55">
        <v>45990</v>
      </c>
      <c r="Z626" s="1">
        <v>117</v>
      </c>
      <c r="AA626" s="2"/>
    </row>
    <row r="627" spans="1:27">
      <c r="A627" t="s">
        <v>4495</v>
      </c>
      <c r="B627">
        <v>202113214</v>
      </c>
      <c r="C627" t="s">
        <v>403</v>
      </c>
      <c r="D627" t="s">
        <v>4496</v>
      </c>
      <c r="E627" t="s">
        <v>4497</v>
      </c>
      <c r="F627" t="s">
        <v>216</v>
      </c>
      <c r="G627" t="s">
        <v>246</v>
      </c>
      <c r="J627" t="s">
        <v>247</v>
      </c>
      <c r="K627">
        <v>2025</v>
      </c>
      <c r="L627">
        <v>202520</v>
      </c>
      <c r="M627">
        <v>202520</v>
      </c>
      <c r="N627" s="1" t="s">
        <v>248</v>
      </c>
      <c r="O627" t="s">
        <v>214</v>
      </c>
      <c r="P627" t="s">
        <v>446</v>
      </c>
      <c r="Q627" t="s">
        <v>216</v>
      </c>
      <c r="R627" t="s">
        <v>246</v>
      </c>
      <c r="S627" t="s">
        <v>341</v>
      </c>
      <c r="T627" s="70" t="str">
        <f>_xlfn.XLOOKUP(Tabla1[[#This Row],[Universidad]],Conversiones!$B:$B,Conversiones!$C:$C)</f>
        <v>A.B. Freeman School of Business, Tulane University</v>
      </c>
      <c r="U627" s="70" t="str">
        <f>_xlfn.XLOOKUP(Tabla1[[#This Row],[Universidad KPIs]],Conversiones!$C:$C,Conversiones!$E:$E)</f>
        <v>Específico</v>
      </c>
      <c r="V627" t="s">
        <v>35</v>
      </c>
      <c r="W627" t="s">
        <v>260</v>
      </c>
      <c r="X627" s="2">
        <v>45873</v>
      </c>
      <c r="Y627" s="2">
        <v>45990</v>
      </c>
      <c r="Z627">
        <v>117</v>
      </c>
      <c r="AA627" s="2"/>
    </row>
    <row r="628" spans="1:27">
      <c r="A628" s="1" t="s">
        <v>1751</v>
      </c>
      <c r="B628" s="1">
        <v>202124707</v>
      </c>
      <c r="C628" s="1" t="s">
        <v>1285</v>
      </c>
      <c r="D628" s="1" t="s">
        <v>1752</v>
      </c>
      <c r="E628" s="1" t="s">
        <v>1753</v>
      </c>
      <c r="F628" s="1" t="s">
        <v>216</v>
      </c>
      <c r="G628" s="1" t="s">
        <v>246</v>
      </c>
      <c r="H628" s="1"/>
      <c r="I628" s="1"/>
      <c r="J628" s="1" t="s">
        <v>247</v>
      </c>
      <c r="K628" s="1">
        <v>2025</v>
      </c>
      <c r="L628" s="1">
        <v>202520</v>
      </c>
      <c r="M628" s="1">
        <v>202520</v>
      </c>
      <c r="N628" s="1" t="s">
        <v>248</v>
      </c>
      <c r="O628" s="1" t="s">
        <v>214</v>
      </c>
      <c r="P628" s="1" t="s">
        <v>446</v>
      </c>
      <c r="Q628" s="1" t="s">
        <v>216</v>
      </c>
      <c r="R628" s="1" t="s">
        <v>246</v>
      </c>
      <c r="S628" s="1" t="s">
        <v>341</v>
      </c>
      <c r="T628" s="70" t="str">
        <f>_xlfn.XLOOKUP(Tabla1[[#This Row],[Universidad]],Conversiones!$B:$B,Conversiones!$C:$C)</f>
        <v>A.B. Freeman School of Business, Tulane University</v>
      </c>
      <c r="U628" s="70" t="str">
        <f>_xlfn.XLOOKUP(Tabla1[[#This Row],[Universidad KPIs]],Conversiones!$C:$C,Conversiones!$E:$E)</f>
        <v>Específico</v>
      </c>
      <c r="V628" s="1" t="s">
        <v>35</v>
      </c>
      <c r="W628" s="1" t="s">
        <v>260</v>
      </c>
      <c r="X628" s="55">
        <v>45873</v>
      </c>
      <c r="Y628" s="55">
        <v>45990</v>
      </c>
      <c r="Z628" s="1">
        <v>117</v>
      </c>
      <c r="AA628" s="2"/>
    </row>
    <row r="629" spans="1:27">
      <c r="A629" t="s">
        <v>4498</v>
      </c>
      <c r="B629">
        <v>20222129</v>
      </c>
      <c r="C629" t="s">
        <v>4499</v>
      </c>
      <c r="D629" t="s">
        <v>4500</v>
      </c>
      <c r="E629" t="s">
        <v>4501</v>
      </c>
      <c r="F629" t="s">
        <v>216</v>
      </c>
      <c r="J629" t="s">
        <v>247</v>
      </c>
      <c r="K629">
        <v>2025</v>
      </c>
      <c r="L629">
        <v>202520</v>
      </c>
      <c r="M629">
        <v>202520</v>
      </c>
      <c r="N629" s="1" t="s">
        <v>248</v>
      </c>
      <c r="O629" t="s">
        <v>2072</v>
      </c>
      <c r="P629" t="s">
        <v>249</v>
      </c>
      <c r="Q629" t="s">
        <v>216</v>
      </c>
      <c r="R629" t="s">
        <v>246</v>
      </c>
      <c r="S629" t="s">
        <v>108</v>
      </c>
      <c r="T629" s="70" t="str">
        <f>_xlfn.XLOOKUP(Tabla1[[#This Row],[Universidad]],Conversiones!$B:$B,Conversiones!$C:$C)</f>
        <v>University of San Diego</v>
      </c>
      <c r="U629" s="70" t="str">
        <f>_xlfn.XLOOKUP(Tabla1[[#This Row],[Universidad KPIs]],Conversiones!$C:$C,Conversiones!$E:$E)</f>
        <v>General</v>
      </c>
      <c r="V629" t="s">
        <v>35</v>
      </c>
      <c r="W629" t="s">
        <v>260</v>
      </c>
      <c r="X629" s="2">
        <v>45873</v>
      </c>
      <c r="Y629" s="2">
        <v>45990</v>
      </c>
      <c r="Z629">
        <v>117</v>
      </c>
      <c r="AA629" s="2"/>
    </row>
    <row r="630" spans="1:27">
      <c r="A630" s="1" t="s">
        <v>1553</v>
      </c>
      <c r="B630" s="1">
        <v>201922718</v>
      </c>
      <c r="C630" s="1" t="s">
        <v>625</v>
      </c>
      <c r="D630" s="1" t="s">
        <v>1554</v>
      </c>
      <c r="E630" s="1" t="s">
        <v>1555</v>
      </c>
      <c r="F630" s="1" t="s">
        <v>216</v>
      </c>
      <c r="G630" s="1" t="s">
        <v>246</v>
      </c>
      <c r="H630" s="1"/>
      <c r="I630" s="1"/>
      <c r="J630" s="1" t="s">
        <v>247</v>
      </c>
      <c r="K630" s="1">
        <v>2025</v>
      </c>
      <c r="L630" s="1">
        <v>202520</v>
      </c>
      <c r="M630" s="1">
        <v>202320</v>
      </c>
      <c r="N630" s="1" t="s">
        <v>248</v>
      </c>
      <c r="O630" s="1" t="s">
        <v>214</v>
      </c>
      <c r="P630" s="1" t="s">
        <v>446</v>
      </c>
      <c r="Q630" s="1" t="s">
        <v>216</v>
      </c>
      <c r="R630" s="1" t="s">
        <v>246</v>
      </c>
      <c r="S630" s="1" t="s">
        <v>738</v>
      </c>
      <c r="T630" s="70" t="str">
        <f>_xlfn.XLOOKUP(Tabla1[[#This Row],[Universidad]],Conversiones!$B:$B,Conversiones!$C:$C)</f>
        <v>Universidad de Tilburg</v>
      </c>
      <c r="U630" s="70" t="str">
        <f>_xlfn.XLOOKUP(Tabla1[[#This Row],[Universidad KPIs]],Conversiones!$C:$C,Conversiones!$E:$E)</f>
        <v>Específico</v>
      </c>
      <c r="V630" s="1" t="s">
        <v>79</v>
      </c>
      <c r="W630" s="1" t="s">
        <v>250</v>
      </c>
      <c r="X630" s="55">
        <v>45873</v>
      </c>
      <c r="Y630" s="55">
        <v>45990</v>
      </c>
      <c r="Z630" s="1">
        <v>117</v>
      </c>
      <c r="AA630" s="2"/>
    </row>
    <row r="631" spans="1:27">
      <c r="A631" t="s">
        <v>1999</v>
      </c>
      <c r="B631">
        <v>202120275</v>
      </c>
      <c r="C631" t="s">
        <v>1902</v>
      </c>
      <c r="D631" t="s">
        <v>2000</v>
      </c>
      <c r="E631" t="s">
        <v>2001</v>
      </c>
      <c r="F631" t="s">
        <v>216</v>
      </c>
      <c r="G631" t="s">
        <v>246</v>
      </c>
      <c r="J631" t="s">
        <v>247</v>
      </c>
      <c r="K631">
        <v>2025</v>
      </c>
      <c r="L631">
        <v>202519</v>
      </c>
      <c r="M631">
        <v>202519</v>
      </c>
      <c r="N631" s="1" t="s">
        <v>248</v>
      </c>
      <c r="O631" t="s">
        <v>553</v>
      </c>
      <c r="P631" t="s">
        <v>437</v>
      </c>
      <c r="Q631" t="s">
        <v>216</v>
      </c>
      <c r="R631" t="s">
        <v>246</v>
      </c>
      <c r="S631" t="s">
        <v>4502</v>
      </c>
      <c r="T631" s="70" t="str">
        <f>_xlfn.XLOOKUP(Tabla1[[#This Row],[Universidad]],Conversiones!$B:$B,Conversiones!$C:$C)</f>
        <v>Cornell University</v>
      </c>
      <c r="U631" s="70" t="str">
        <f>_xlfn.XLOOKUP(Tabla1[[#This Row],[Universidad KPIs]],Conversiones!$C:$C,Conversiones!$E:$E)</f>
        <v>General</v>
      </c>
      <c r="V631" t="s">
        <v>35</v>
      </c>
      <c r="W631" t="s">
        <v>260</v>
      </c>
      <c r="X631" s="2">
        <v>45817</v>
      </c>
      <c r="Y631" s="2">
        <v>45869</v>
      </c>
      <c r="Z631">
        <v>52</v>
      </c>
      <c r="AA631" s="2"/>
    </row>
    <row r="632" spans="1:27">
      <c r="A632" s="1" t="s">
        <v>1751</v>
      </c>
      <c r="B632" s="1">
        <v>202124707</v>
      </c>
      <c r="C632" s="1" t="s">
        <v>1285</v>
      </c>
      <c r="D632" s="1" t="s">
        <v>1752</v>
      </c>
      <c r="E632" s="1" t="s">
        <v>1753</v>
      </c>
      <c r="F632" s="1" t="s">
        <v>216</v>
      </c>
      <c r="G632" s="1" t="s">
        <v>246</v>
      </c>
      <c r="H632" s="1"/>
      <c r="I632" s="1"/>
      <c r="J632" s="1" t="s">
        <v>247</v>
      </c>
      <c r="K632" s="1">
        <v>2025</v>
      </c>
      <c r="L632" s="1">
        <v>202519</v>
      </c>
      <c r="M632" s="1">
        <v>202519</v>
      </c>
      <c r="N632" s="1" t="s">
        <v>248</v>
      </c>
      <c r="O632" s="1" t="s">
        <v>553</v>
      </c>
      <c r="P632" s="1" t="s">
        <v>437</v>
      </c>
      <c r="Q632" s="1" t="s">
        <v>216</v>
      </c>
      <c r="R632" s="1" t="s">
        <v>246</v>
      </c>
      <c r="S632" s="1" t="s">
        <v>4502</v>
      </c>
      <c r="T632" s="70" t="str">
        <f>_xlfn.XLOOKUP(Tabla1[[#This Row],[Universidad]],Conversiones!$B:$B,Conversiones!$C:$C)</f>
        <v>Cornell University</v>
      </c>
      <c r="U632" s="70" t="str">
        <f>_xlfn.XLOOKUP(Tabla1[[#This Row],[Universidad KPIs]],Conversiones!$C:$C,Conversiones!$E:$E)</f>
        <v>General</v>
      </c>
      <c r="V632" s="1" t="s">
        <v>35</v>
      </c>
      <c r="W632" s="1" t="s">
        <v>260</v>
      </c>
      <c r="X632" s="55">
        <v>45817</v>
      </c>
      <c r="Y632" s="55">
        <v>45869</v>
      </c>
      <c r="Z632" s="1">
        <v>52</v>
      </c>
      <c r="AA632" s="2"/>
    </row>
    <row r="633" spans="1:27">
      <c r="A633" t="s">
        <v>4503</v>
      </c>
      <c r="B633">
        <v>201820532</v>
      </c>
      <c r="C633" t="s">
        <v>509</v>
      </c>
      <c r="D633" t="s">
        <v>4504</v>
      </c>
      <c r="E633" t="s">
        <v>4505</v>
      </c>
      <c r="F633" t="s">
        <v>216</v>
      </c>
      <c r="G633" t="s">
        <v>246</v>
      </c>
      <c r="J633" t="s">
        <v>247</v>
      </c>
      <c r="K633">
        <v>2025</v>
      </c>
      <c r="L633">
        <v>202519</v>
      </c>
      <c r="M633">
        <v>202519</v>
      </c>
      <c r="N633" s="1" t="s">
        <v>248</v>
      </c>
      <c r="O633" t="s">
        <v>553</v>
      </c>
      <c r="P633" t="s">
        <v>437</v>
      </c>
      <c r="Q633" t="s">
        <v>216</v>
      </c>
      <c r="R633" t="s">
        <v>246</v>
      </c>
      <c r="S633" t="s">
        <v>4502</v>
      </c>
      <c r="T633" s="70" t="str">
        <f>_xlfn.XLOOKUP(Tabla1[[#This Row],[Universidad]],Conversiones!$B:$B,Conversiones!$C:$C)</f>
        <v>Cornell University</v>
      </c>
      <c r="U633" s="70" t="str">
        <f>_xlfn.XLOOKUP(Tabla1[[#This Row],[Universidad KPIs]],Conversiones!$C:$C,Conversiones!$E:$E)</f>
        <v>General</v>
      </c>
      <c r="V633" t="s">
        <v>35</v>
      </c>
      <c r="W633" t="s">
        <v>260</v>
      </c>
      <c r="X633" s="2">
        <v>45817</v>
      </c>
      <c r="Y633" s="2">
        <v>45869</v>
      </c>
      <c r="Z633">
        <v>52</v>
      </c>
      <c r="AA633" s="2"/>
    </row>
    <row r="634" spans="1:27">
      <c r="AA634" s="2"/>
    </row>
  </sheetData>
  <phoneticPr fontId="3" type="noConversion"/>
  <hyperlinks>
    <hyperlink ref="A161" r:id="rId1" xr:uid="{ED6D0290-140D-4FDE-9458-2E2DBD6D1C65}"/>
  </hyperlinks>
  <pageMargins left="0.7" right="0.7" top="0.75" bottom="0.75" header="0.3" footer="0.3"/>
  <ignoredErrors>
    <ignoredError sqref="U3:U43 U2"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A95F-79E3-4584-9B3E-73549987E8F5}">
  <dimension ref="A1:AD447"/>
  <sheetViews>
    <sheetView showGridLines="0" zoomScale="115" zoomScaleNormal="115" workbookViewId="0">
      <selection activeCell="R5" sqref="R5"/>
    </sheetView>
  </sheetViews>
  <sheetFormatPr baseColWidth="10" defaultColWidth="11.42578125" defaultRowHeight="15"/>
  <cols>
    <col min="2" max="2" width="11" customWidth="1"/>
    <col min="6" max="6" width="41.7109375" customWidth="1"/>
    <col min="7" max="7" width="18.42578125" bestFit="1" customWidth="1"/>
    <col min="8" max="8" width="18.42578125" customWidth="1"/>
    <col min="10" max="10" width="13.42578125" customWidth="1"/>
    <col min="11" max="11" width="16.5703125" customWidth="1"/>
    <col min="12" max="12" width="18.5703125" customWidth="1"/>
    <col min="13" max="13" width="18.85546875" customWidth="1"/>
    <col min="14" max="14" width="15.42578125" customWidth="1"/>
    <col min="15" max="15" width="20.140625" customWidth="1"/>
    <col min="16" max="16" width="14.42578125" customWidth="1"/>
    <col min="29" max="29" width="20.85546875" customWidth="1"/>
    <col min="30" max="30" width="23.85546875" bestFit="1" customWidth="1"/>
  </cols>
  <sheetData>
    <row r="1" spans="1:30" ht="15.75" thickBot="1">
      <c r="A1" s="7" t="s">
        <v>13</v>
      </c>
      <c r="B1" s="7" t="s">
        <v>15</v>
      </c>
      <c r="C1" s="7" t="s">
        <v>1</v>
      </c>
      <c r="D1" s="7" t="s">
        <v>3</v>
      </c>
      <c r="E1" s="7" t="s">
        <v>5</v>
      </c>
      <c r="F1" s="7" t="s">
        <v>17</v>
      </c>
      <c r="G1" s="7" t="s">
        <v>30</v>
      </c>
      <c r="H1" s="7" t="s">
        <v>237</v>
      </c>
      <c r="I1" s="7" t="s">
        <v>19</v>
      </c>
      <c r="J1" s="7" t="s">
        <v>238</v>
      </c>
      <c r="K1" s="7" t="s">
        <v>9</v>
      </c>
      <c r="L1" s="7" t="s">
        <v>11</v>
      </c>
      <c r="M1" s="7" t="s">
        <v>21</v>
      </c>
      <c r="N1" s="7" t="s">
        <v>2279</v>
      </c>
      <c r="O1" s="7" t="s">
        <v>2280</v>
      </c>
      <c r="P1" s="7" t="s">
        <v>2281</v>
      </c>
      <c r="Q1" s="7" t="s">
        <v>2282</v>
      </c>
      <c r="R1" s="7" t="s">
        <v>2283</v>
      </c>
      <c r="S1" s="7" t="s">
        <v>2284</v>
      </c>
      <c r="T1" s="7" t="s">
        <v>2285</v>
      </c>
      <c r="U1" s="7" t="s">
        <v>2286</v>
      </c>
      <c r="V1" s="7" t="s">
        <v>2287</v>
      </c>
      <c r="W1" s="7" t="s">
        <v>2288</v>
      </c>
      <c r="X1" s="7" t="s">
        <v>2289</v>
      </c>
      <c r="Y1" s="7" t="s">
        <v>2290</v>
      </c>
      <c r="Z1" s="7" t="s">
        <v>2291</v>
      </c>
      <c r="AA1" s="7" t="s">
        <v>2292</v>
      </c>
      <c r="AB1" s="7" t="s">
        <v>2293</v>
      </c>
      <c r="AC1" s="19" t="s">
        <v>23</v>
      </c>
      <c r="AD1" s="19" t="s">
        <v>24</v>
      </c>
    </row>
    <row r="2" spans="1:30">
      <c r="A2" s="1">
        <v>2020</v>
      </c>
      <c r="B2" s="1">
        <v>202010</v>
      </c>
      <c r="C2" s="1">
        <v>202015781</v>
      </c>
      <c r="D2" s="1" t="s">
        <v>2294</v>
      </c>
      <c r="E2" s="1" t="s">
        <v>2295</v>
      </c>
      <c r="F2" s="1" t="s">
        <v>38</v>
      </c>
      <c r="G2" s="53" t="str">
        <f>_xlfn.XLOOKUP(Tabla2[[#This Row],[Universidad]],Conversiones!$B:$B,Conversiones!$C:$C)</f>
        <v>Aston University</v>
      </c>
      <c r="H2" s="53" t="str">
        <f>_xlfn.XLOOKUP(Tabla2[[#This Row],[Universidad KPIs]],Conversiones!$C:$C,Conversiones!$E:$E)</f>
        <v>Específico</v>
      </c>
      <c r="I2" s="1" t="s">
        <v>39</v>
      </c>
      <c r="J2" s="1" t="s">
        <v>250</v>
      </c>
      <c r="K2" s="1" t="s">
        <v>2296</v>
      </c>
      <c r="L2" s="1" t="s">
        <v>2297</v>
      </c>
      <c r="M2" s="1" t="s">
        <v>213</v>
      </c>
      <c r="N2" s="1" t="s">
        <v>2298</v>
      </c>
      <c r="O2" s="54" t="s">
        <v>2299</v>
      </c>
      <c r="P2" s="1">
        <v>1</v>
      </c>
      <c r="Q2" s="1" t="s">
        <v>2300</v>
      </c>
      <c r="R2" s="1" t="s">
        <v>2301</v>
      </c>
      <c r="S2" s="1" t="s">
        <v>2302</v>
      </c>
      <c r="T2" s="1"/>
      <c r="U2" s="1"/>
      <c r="V2" s="1"/>
      <c r="W2" s="1"/>
      <c r="X2" s="1"/>
      <c r="Y2" s="1"/>
      <c r="Z2" s="1"/>
      <c r="AA2" s="1"/>
      <c r="AB2" s="1"/>
      <c r="AC2" s="56" t="s">
        <v>216</v>
      </c>
      <c r="AD2" s="56" t="s">
        <v>234</v>
      </c>
    </row>
    <row r="3" spans="1:30">
      <c r="A3" s="1">
        <v>2020</v>
      </c>
      <c r="B3" s="1">
        <v>202010</v>
      </c>
      <c r="C3" s="1">
        <v>202015782</v>
      </c>
      <c r="D3" s="1" t="s">
        <v>2303</v>
      </c>
      <c r="E3" s="1" t="s">
        <v>2304</v>
      </c>
      <c r="F3" s="1" t="s">
        <v>350</v>
      </c>
      <c r="G3" s="53" t="str">
        <f>_xlfn.XLOOKUP(Tabla2[[#This Row],[Universidad]],Conversiones!$B:$B,Conversiones!$C:$C)</f>
        <v>Audencia. École de Management</v>
      </c>
      <c r="H3" s="53" t="str">
        <f>_xlfn.XLOOKUP(Tabla2[[#This Row],[Universidad KPIs]],Conversiones!$C:$C,Conversiones!$E:$E)</f>
        <v>Específico</v>
      </c>
      <c r="I3" s="1" t="s">
        <v>41</v>
      </c>
      <c r="J3" s="1" t="s">
        <v>250</v>
      </c>
      <c r="K3" s="1" t="s">
        <v>2305</v>
      </c>
      <c r="L3" s="1" t="s">
        <v>2306</v>
      </c>
      <c r="M3" s="1" t="s">
        <v>213</v>
      </c>
      <c r="N3" s="1" t="s">
        <v>2298</v>
      </c>
      <c r="O3" s="54" t="s">
        <v>2299</v>
      </c>
      <c r="P3" s="1">
        <v>1</v>
      </c>
      <c r="Q3" s="1" t="s">
        <v>2307</v>
      </c>
      <c r="R3" s="1" t="s">
        <v>2308</v>
      </c>
      <c r="S3" s="1" t="s">
        <v>2309</v>
      </c>
      <c r="T3" s="1" t="s">
        <v>2310</v>
      </c>
      <c r="U3" s="1" t="s">
        <v>2302</v>
      </c>
      <c r="V3" s="1"/>
      <c r="W3" s="1"/>
      <c r="X3" s="1"/>
      <c r="Y3" s="1"/>
      <c r="Z3" s="1"/>
      <c r="AA3" s="1"/>
      <c r="AB3" s="1"/>
      <c r="AC3" s="56" t="s">
        <v>216</v>
      </c>
      <c r="AD3" s="56" t="s">
        <v>234</v>
      </c>
    </row>
    <row r="4" spans="1:30">
      <c r="A4" s="1">
        <v>2020</v>
      </c>
      <c r="B4" s="1">
        <v>202010</v>
      </c>
      <c r="C4" s="1">
        <v>202015783</v>
      </c>
      <c r="D4" s="1" t="s">
        <v>2311</v>
      </c>
      <c r="E4" s="1" t="s">
        <v>2312</v>
      </c>
      <c r="F4" s="1" t="s">
        <v>350</v>
      </c>
      <c r="G4" s="53" t="str">
        <f>_xlfn.XLOOKUP(Tabla2[[#This Row],[Universidad]],Conversiones!$B:$B,Conversiones!$C:$C)</f>
        <v>Audencia. École de Management</v>
      </c>
      <c r="H4" s="53" t="str">
        <f>_xlfn.XLOOKUP(Tabla2[[#This Row],[Universidad KPIs]],Conversiones!$C:$C,Conversiones!$E:$E)</f>
        <v>Específico</v>
      </c>
      <c r="I4" s="1" t="s">
        <v>41</v>
      </c>
      <c r="J4" s="1" t="s">
        <v>250</v>
      </c>
      <c r="K4" s="1" t="s">
        <v>2313</v>
      </c>
      <c r="L4" s="1" t="s">
        <v>2314</v>
      </c>
      <c r="M4" s="1" t="s">
        <v>213</v>
      </c>
      <c r="N4" s="1" t="s">
        <v>2298</v>
      </c>
      <c r="O4" s="54" t="s">
        <v>2299</v>
      </c>
      <c r="P4" s="1">
        <v>1</v>
      </c>
      <c r="Q4" s="1" t="s">
        <v>2315</v>
      </c>
      <c r="R4" s="1" t="s">
        <v>2307</v>
      </c>
      <c r="S4" s="1" t="s">
        <v>2308</v>
      </c>
      <c r="T4" s="1" t="s">
        <v>2309</v>
      </c>
      <c r="U4" s="1" t="s">
        <v>2310</v>
      </c>
      <c r="V4" s="1" t="s">
        <v>2302</v>
      </c>
      <c r="W4" s="1"/>
      <c r="X4" s="1"/>
      <c r="Y4" s="1"/>
      <c r="Z4" s="1"/>
      <c r="AA4" s="1"/>
      <c r="AB4" s="1"/>
      <c r="AC4" s="56" t="s">
        <v>216</v>
      </c>
      <c r="AD4" s="56" t="s">
        <v>234</v>
      </c>
    </row>
    <row r="5" spans="1:30">
      <c r="A5" s="1">
        <v>2020</v>
      </c>
      <c r="B5" s="1">
        <v>202010</v>
      </c>
      <c r="C5" s="1">
        <v>202015790</v>
      </c>
      <c r="D5" s="1" t="s">
        <v>2316</v>
      </c>
      <c r="E5" s="1" t="s">
        <v>2317</v>
      </c>
      <c r="F5" s="1" t="s">
        <v>50</v>
      </c>
      <c r="G5" s="53" t="str">
        <f>_xlfn.XLOOKUP(Tabla2[[#This Row],[Universidad]],Conversiones!$B:$B,Conversiones!$C:$C)</f>
        <v>EDHEC Business School</v>
      </c>
      <c r="H5" s="53" t="str">
        <f>_xlfn.XLOOKUP(Tabla2[[#This Row],[Universidad KPIs]],Conversiones!$C:$C,Conversiones!$E:$E)</f>
        <v>Específico</v>
      </c>
      <c r="I5" s="1" t="s">
        <v>41</v>
      </c>
      <c r="J5" s="1" t="s">
        <v>250</v>
      </c>
      <c r="K5" s="1" t="s">
        <v>2318</v>
      </c>
      <c r="L5" s="1" t="s">
        <v>2319</v>
      </c>
      <c r="M5" s="1" t="s">
        <v>213</v>
      </c>
      <c r="N5" s="1" t="s">
        <v>2298</v>
      </c>
      <c r="O5" s="54" t="s">
        <v>2299</v>
      </c>
      <c r="P5" s="1">
        <v>1</v>
      </c>
      <c r="Q5" s="1" t="s">
        <v>2320</v>
      </c>
      <c r="R5" s="1" t="s">
        <v>2300</v>
      </c>
      <c r="S5" s="1" t="s">
        <v>2321</v>
      </c>
      <c r="T5" s="1" t="s">
        <v>2301</v>
      </c>
      <c r="U5" s="1" t="s">
        <v>2322</v>
      </c>
      <c r="V5" s="1"/>
      <c r="W5" s="1"/>
      <c r="X5" s="1"/>
      <c r="Y5" s="1"/>
      <c r="Z5" s="1"/>
      <c r="AA5" s="1"/>
      <c r="AB5" s="1"/>
      <c r="AC5" s="56" t="s">
        <v>216</v>
      </c>
      <c r="AD5" s="56" t="s">
        <v>234</v>
      </c>
    </row>
    <row r="6" spans="1:30">
      <c r="A6" s="1">
        <v>2020</v>
      </c>
      <c r="B6" s="1">
        <v>202010</v>
      </c>
      <c r="C6" s="1">
        <v>202015794</v>
      </c>
      <c r="D6" s="1" t="s">
        <v>2323</v>
      </c>
      <c r="E6" s="1" t="s">
        <v>2324</v>
      </c>
      <c r="F6" s="1" t="s">
        <v>298</v>
      </c>
      <c r="G6" s="53" t="str">
        <f>_xlfn.XLOOKUP(Tabla2[[#This Row],[Universidad]],Conversiones!$B:$B,Conversiones!$C:$C)</f>
        <v>ESSEC</v>
      </c>
      <c r="H6" s="53" t="str">
        <f>_xlfn.XLOOKUP(Tabla2[[#This Row],[Universidad KPIs]],Conversiones!$C:$C,Conversiones!$E:$E)</f>
        <v>Específico</v>
      </c>
      <c r="I6" s="1" t="s">
        <v>41</v>
      </c>
      <c r="J6" s="1" t="s">
        <v>250</v>
      </c>
      <c r="K6" s="1" t="s">
        <v>2325</v>
      </c>
      <c r="L6" s="1" t="s">
        <v>2326</v>
      </c>
      <c r="M6" s="1" t="s">
        <v>213</v>
      </c>
      <c r="N6" s="1" t="s">
        <v>2298</v>
      </c>
      <c r="O6" s="54" t="s">
        <v>2299</v>
      </c>
      <c r="P6" s="1">
        <v>1</v>
      </c>
      <c r="Q6" s="1" t="s">
        <v>2327</v>
      </c>
      <c r="R6" s="1" t="s">
        <v>2328</v>
      </c>
      <c r="S6" s="1" t="s">
        <v>2300</v>
      </c>
      <c r="T6" s="1" t="s">
        <v>2329</v>
      </c>
      <c r="U6" s="1"/>
      <c r="V6" s="1"/>
      <c r="W6" s="1"/>
      <c r="X6" s="1"/>
      <c r="Y6" s="1"/>
      <c r="Z6" s="1"/>
      <c r="AA6" s="1"/>
      <c r="AB6" s="1"/>
      <c r="AC6" s="56" t="s">
        <v>216</v>
      </c>
      <c r="AD6" s="56" t="s">
        <v>234</v>
      </c>
    </row>
    <row r="7" spans="1:30">
      <c r="A7" s="1">
        <v>2020</v>
      </c>
      <c r="B7" s="1">
        <v>202010</v>
      </c>
      <c r="C7" s="1">
        <v>202015795</v>
      </c>
      <c r="D7" s="1" t="s">
        <v>2330</v>
      </c>
      <c r="E7" s="1" t="s">
        <v>2331</v>
      </c>
      <c r="F7" s="1" t="s">
        <v>298</v>
      </c>
      <c r="G7" s="53" t="str">
        <f>_xlfn.XLOOKUP(Tabla2[[#This Row],[Universidad]],Conversiones!$B:$B,Conversiones!$C:$C)</f>
        <v>ESSEC</v>
      </c>
      <c r="H7" s="53" t="str">
        <f>_xlfn.XLOOKUP(Tabla2[[#This Row],[Universidad KPIs]],Conversiones!$C:$C,Conversiones!$E:$E)</f>
        <v>Específico</v>
      </c>
      <c r="I7" s="1" t="s">
        <v>41</v>
      </c>
      <c r="J7" s="1" t="s">
        <v>250</v>
      </c>
      <c r="K7" s="1" t="s">
        <v>2332</v>
      </c>
      <c r="L7" s="1" t="s">
        <v>2333</v>
      </c>
      <c r="M7" s="1" t="s">
        <v>213</v>
      </c>
      <c r="N7" s="1" t="s">
        <v>2334</v>
      </c>
      <c r="O7" s="54" t="s">
        <v>2335</v>
      </c>
      <c r="P7" s="1">
        <v>1</v>
      </c>
      <c r="Q7" s="1" t="s">
        <v>2336</v>
      </c>
      <c r="R7" s="1" t="s">
        <v>2337</v>
      </c>
      <c r="S7" s="1" t="s">
        <v>2338</v>
      </c>
      <c r="T7" s="1" t="s">
        <v>2339</v>
      </c>
      <c r="U7" s="1" t="s">
        <v>2340</v>
      </c>
      <c r="V7" s="1"/>
      <c r="W7" s="1"/>
      <c r="X7" s="1"/>
      <c r="Y7" s="1"/>
      <c r="Z7" s="1"/>
      <c r="AA7" s="1"/>
      <c r="AB7" s="1"/>
      <c r="AC7" s="56" t="s">
        <v>228</v>
      </c>
      <c r="AD7" s="56" t="s">
        <v>227</v>
      </c>
    </row>
    <row r="8" spans="1:30">
      <c r="A8" s="1">
        <v>2020</v>
      </c>
      <c r="B8" s="1">
        <v>202010</v>
      </c>
      <c r="C8" s="1">
        <v>202015796</v>
      </c>
      <c r="D8" s="1" t="s">
        <v>2341</v>
      </c>
      <c r="E8" s="1" t="s">
        <v>2342</v>
      </c>
      <c r="F8" s="1" t="s">
        <v>298</v>
      </c>
      <c r="G8" s="53" t="str">
        <f>_xlfn.XLOOKUP(Tabla2[[#This Row],[Universidad]],Conversiones!$B:$B,Conversiones!$C:$C)</f>
        <v>ESSEC</v>
      </c>
      <c r="H8" s="53" t="str">
        <f>_xlfn.XLOOKUP(Tabla2[[#This Row],[Universidad KPIs]],Conversiones!$C:$C,Conversiones!$E:$E)</f>
        <v>Específico</v>
      </c>
      <c r="I8" s="1" t="s">
        <v>41</v>
      </c>
      <c r="J8" s="1" t="s">
        <v>250</v>
      </c>
      <c r="K8" s="1" t="s">
        <v>2343</v>
      </c>
      <c r="L8" s="1" t="s">
        <v>2344</v>
      </c>
      <c r="M8" s="1" t="s">
        <v>213</v>
      </c>
      <c r="N8" s="1" t="s">
        <v>2334</v>
      </c>
      <c r="O8" s="54" t="s">
        <v>2335</v>
      </c>
      <c r="P8" s="1">
        <v>1</v>
      </c>
      <c r="Q8" s="1" t="s">
        <v>2345</v>
      </c>
      <c r="R8" s="1" t="s">
        <v>2346</v>
      </c>
      <c r="S8" s="1" t="s">
        <v>2347</v>
      </c>
      <c r="T8" s="1" t="s">
        <v>2338</v>
      </c>
      <c r="U8" s="1" t="s">
        <v>2348</v>
      </c>
      <c r="V8" s="1"/>
      <c r="W8" s="1"/>
      <c r="X8" s="1"/>
      <c r="Y8" s="1"/>
      <c r="Z8" s="1"/>
      <c r="AA8" s="1"/>
      <c r="AB8" s="1"/>
      <c r="AC8" s="56" t="s">
        <v>222</v>
      </c>
      <c r="AD8" s="56" t="s">
        <v>227</v>
      </c>
    </row>
    <row r="9" spans="1:30">
      <c r="A9" s="1">
        <v>2020</v>
      </c>
      <c r="B9" s="1">
        <v>202010</v>
      </c>
      <c r="C9" s="1">
        <v>202015797</v>
      </c>
      <c r="D9" s="1" t="s">
        <v>2349</v>
      </c>
      <c r="E9" s="1" t="s">
        <v>2350</v>
      </c>
      <c r="F9" s="1" t="s">
        <v>298</v>
      </c>
      <c r="G9" s="53" t="str">
        <f>_xlfn.XLOOKUP(Tabla2[[#This Row],[Universidad]],Conversiones!$B:$B,Conversiones!$C:$C)</f>
        <v>ESSEC</v>
      </c>
      <c r="H9" s="53" t="str">
        <f>_xlfn.XLOOKUP(Tabla2[[#This Row],[Universidad KPIs]],Conversiones!$C:$C,Conversiones!$E:$E)</f>
        <v>Específico</v>
      </c>
      <c r="I9" s="1" t="s">
        <v>41</v>
      </c>
      <c r="J9" s="1" t="s">
        <v>250</v>
      </c>
      <c r="K9" s="1" t="s">
        <v>2351</v>
      </c>
      <c r="L9" s="1" t="s">
        <v>2352</v>
      </c>
      <c r="M9" s="1" t="s">
        <v>213</v>
      </c>
      <c r="N9" s="1" t="s">
        <v>2334</v>
      </c>
      <c r="O9" s="54" t="s">
        <v>2335</v>
      </c>
      <c r="P9" s="1">
        <v>1</v>
      </c>
      <c r="Q9" s="1" t="s">
        <v>2353</v>
      </c>
      <c r="R9" s="1" t="s">
        <v>2338</v>
      </c>
      <c r="S9" s="1" t="s">
        <v>2354</v>
      </c>
      <c r="T9" s="1" t="s">
        <v>2355</v>
      </c>
      <c r="U9" s="1" t="s">
        <v>2356</v>
      </c>
      <c r="V9" s="1" t="s">
        <v>2357</v>
      </c>
      <c r="W9" s="1"/>
      <c r="X9" s="1"/>
      <c r="Y9" s="1"/>
      <c r="Z9" s="1"/>
      <c r="AA9" s="1"/>
      <c r="AB9" s="1"/>
      <c r="AC9" s="56" t="s">
        <v>228</v>
      </c>
      <c r="AD9" s="56" t="s">
        <v>227</v>
      </c>
    </row>
    <row r="10" spans="1:30">
      <c r="A10" s="1">
        <v>2020</v>
      </c>
      <c r="B10" s="1">
        <v>202010</v>
      </c>
      <c r="C10" s="1">
        <v>202015798</v>
      </c>
      <c r="D10" s="1" t="s">
        <v>2358</v>
      </c>
      <c r="E10" s="1" t="s">
        <v>2359</v>
      </c>
      <c r="F10" s="1" t="s">
        <v>129</v>
      </c>
      <c r="G10" s="53" t="str">
        <f>_xlfn.XLOOKUP(Tabla2[[#This Row],[Universidad]],Conversiones!$B:$B,Conversiones!$C:$C)</f>
        <v>FHNW Fachhochschule Nordwestschweiz</v>
      </c>
      <c r="H10" s="53" t="str">
        <f>_xlfn.XLOOKUP(Tabla2[[#This Row],[Universidad KPIs]],Conversiones!$C:$C,Conversiones!$E:$E)</f>
        <v>General</v>
      </c>
      <c r="I10" s="1" t="s">
        <v>65</v>
      </c>
      <c r="J10" s="1" t="s">
        <v>250</v>
      </c>
      <c r="K10" s="1" t="s">
        <v>2360</v>
      </c>
      <c r="L10" s="1" t="s">
        <v>2361</v>
      </c>
      <c r="M10" s="1" t="s">
        <v>213</v>
      </c>
      <c r="N10" s="1" t="s">
        <v>2298</v>
      </c>
      <c r="O10" s="54" t="s">
        <v>2299</v>
      </c>
      <c r="P10" s="1">
        <v>1</v>
      </c>
      <c r="Q10" s="1" t="s">
        <v>2362</v>
      </c>
      <c r="R10" s="1" t="s">
        <v>2363</v>
      </c>
      <c r="S10" s="1" t="s">
        <v>2309</v>
      </c>
      <c r="T10" s="1" t="s">
        <v>2300</v>
      </c>
      <c r="U10" s="1"/>
      <c r="V10" s="1"/>
      <c r="W10" s="1"/>
      <c r="X10" s="1"/>
      <c r="Y10" s="1"/>
      <c r="Z10" s="1"/>
      <c r="AA10" s="1"/>
      <c r="AB10" s="1"/>
      <c r="AC10" s="56" t="s">
        <v>216</v>
      </c>
      <c r="AD10" s="56" t="s">
        <v>234</v>
      </c>
    </row>
    <row r="11" spans="1:30">
      <c r="A11" s="1">
        <v>2020</v>
      </c>
      <c r="B11" s="1">
        <v>202010</v>
      </c>
      <c r="C11" s="1">
        <v>202015894</v>
      </c>
      <c r="D11" s="1" t="s">
        <v>2364</v>
      </c>
      <c r="E11" s="1" t="s">
        <v>2365</v>
      </c>
      <c r="F11" s="1" t="s">
        <v>129</v>
      </c>
      <c r="G11" s="53" t="str">
        <f>_xlfn.XLOOKUP(Tabla2[[#This Row],[Universidad]],Conversiones!$B:$B,Conversiones!$C:$C)</f>
        <v>FHNW Fachhochschule Nordwestschweiz</v>
      </c>
      <c r="H11" s="53" t="str">
        <f>_xlfn.XLOOKUP(Tabla2[[#This Row],[Universidad KPIs]],Conversiones!$C:$C,Conversiones!$E:$E)</f>
        <v>General</v>
      </c>
      <c r="I11" s="1" t="s">
        <v>65</v>
      </c>
      <c r="J11" s="1" t="s">
        <v>250</v>
      </c>
      <c r="K11" s="1" t="s">
        <v>2366</v>
      </c>
      <c r="L11" s="1" t="s">
        <v>2367</v>
      </c>
      <c r="M11" s="1" t="s">
        <v>225</v>
      </c>
      <c r="N11" s="1" t="s">
        <v>225</v>
      </c>
      <c r="O11" s="54" t="s">
        <v>2368</v>
      </c>
      <c r="P11" s="1">
        <v>1</v>
      </c>
      <c r="Q11" s="1" t="s">
        <v>2307</v>
      </c>
      <c r="R11" s="1" t="s">
        <v>2369</v>
      </c>
      <c r="S11" s="1" t="s">
        <v>2370</v>
      </c>
      <c r="T11" s="1"/>
      <c r="U11" s="1"/>
      <c r="V11" s="1"/>
      <c r="W11" s="1"/>
      <c r="X11" s="1"/>
      <c r="Y11" s="1"/>
      <c r="Z11" s="1"/>
      <c r="AA11" s="1"/>
      <c r="AB11" s="1"/>
      <c r="AC11" s="56" t="s">
        <v>216</v>
      </c>
      <c r="AD11" s="56" t="s">
        <v>234</v>
      </c>
    </row>
    <row r="12" spans="1:30">
      <c r="A12" s="1">
        <v>2020</v>
      </c>
      <c r="B12" s="1">
        <v>202010</v>
      </c>
      <c r="C12" s="1">
        <v>202015799</v>
      </c>
      <c r="D12" s="1" t="s">
        <v>2371</v>
      </c>
      <c r="E12" s="1" t="s">
        <v>2372</v>
      </c>
      <c r="F12" s="1" t="s">
        <v>362</v>
      </c>
      <c r="G12" s="53" t="str">
        <f>_xlfn.XLOOKUP(Tabla2[[#This Row],[Universidad]],Conversiones!$B:$B,Conversiones!$C:$C)</f>
        <v>Frankfurt School of Finance and Management</v>
      </c>
      <c r="H12" s="53" t="str">
        <f>_xlfn.XLOOKUP(Tabla2[[#This Row],[Universidad KPIs]],Conversiones!$C:$C,Conversiones!$E:$E)</f>
        <v>Específico</v>
      </c>
      <c r="I12" s="1" t="s">
        <v>60</v>
      </c>
      <c r="J12" s="1" t="s">
        <v>250</v>
      </c>
      <c r="K12" s="1" t="s">
        <v>2373</v>
      </c>
      <c r="L12" s="1" t="s">
        <v>2374</v>
      </c>
      <c r="M12" s="1" t="s">
        <v>213</v>
      </c>
      <c r="N12" s="1" t="s">
        <v>2334</v>
      </c>
      <c r="O12" s="54" t="s">
        <v>2335</v>
      </c>
      <c r="P12" s="1">
        <v>1</v>
      </c>
      <c r="Q12" s="1" t="s">
        <v>2353</v>
      </c>
      <c r="R12" s="1" t="s">
        <v>2375</v>
      </c>
      <c r="S12" s="1" t="s">
        <v>2376</v>
      </c>
      <c r="T12" s="1"/>
      <c r="U12" s="1"/>
      <c r="V12" s="1"/>
      <c r="W12" s="1"/>
      <c r="X12" s="1"/>
      <c r="Y12" s="1"/>
      <c r="Z12" s="1"/>
      <c r="AA12" s="1"/>
      <c r="AB12" s="1"/>
      <c r="AC12" s="56" t="s">
        <v>228</v>
      </c>
      <c r="AD12" s="56" t="s">
        <v>227</v>
      </c>
    </row>
    <row r="13" spans="1:30">
      <c r="A13" s="1">
        <v>2020</v>
      </c>
      <c r="B13" s="1">
        <v>202010</v>
      </c>
      <c r="C13" s="1">
        <v>202015805</v>
      </c>
      <c r="D13" s="1" t="s">
        <v>2377</v>
      </c>
      <c r="E13" s="1" t="s">
        <v>2378</v>
      </c>
      <c r="F13" s="1" t="s">
        <v>528</v>
      </c>
      <c r="G13" s="53" t="str">
        <f>_xlfn.XLOOKUP(Tabla2[[#This Row],[Universidad]],Conversiones!$B:$B,Conversiones!$C:$C)</f>
        <v>ICN Business School - Institut Commercial de Nancy</v>
      </c>
      <c r="H13" s="53" t="str">
        <f>_xlfn.XLOOKUP(Tabla2[[#This Row],[Universidad KPIs]],Conversiones!$C:$C,Conversiones!$E:$E)</f>
        <v>Específico</v>
      </c>
      <c r="I13" s="1" t="s">
        <v>41</v>
      </c>
      <c r="J13" s="1" t="s">
        <v>250</v>
      </c>
      <c r="K13" s="1" t="s">
        <v>2379</v>
      </c>
      <c r="L13" s="1" t="s">
        <v>2380</v>
      </c>
      <c r="M13" s="1" t="s">
        <v>213</v>
      </c>
      <c r="N13" s="1" t="s">
        <v>2298</v>
      </c>
      <c r="O13" s="54" t="s">
        <v>2299</v>
      </c>
      <c r="P13" s="1">
        <v>1</v>
      </c>
      <c r="Q13" s="1" t="s">
        <v>2381</v>
      </c>
      <c r="R13" s="1" t="s">
        <v>2362</v>
      </c>
      <c r="S13" s="1" t="s">
        <v>2382</v>
      </c>
      <c r="T13" s="1" t="s">
        <v>2301</v>
      </c>
      <c r="U13" s="1"/>
      <c r="V13" s="1"/>
      <c r="W13" s="1"/>
      <c r="X13" s="1"/>
      <c r="Y13" s="1"/>
      <c r="Z13" s="1"/>
      <c r="AA13" s="1"/>
      <c r="AB13" s="1"/>
      <c r="AC13" s="56" t="s">
        <v>216</v>
      </c>
      <c r="AD13" s="56" t="s">
        <v>234</v>
      </c>
    </row>
    <row r="14" spans="1:30">
      <c r="A14" s="1">
        <v>2020</v>
      </c>
      <c r="B14" s="1">
        <v>202010</v>
      </c>
      <c r="C14" s="1">
        <v>202015823</v>
      </c>
      <c r="D14" s="1" t="s">
        <v>2383</v>
      </c>
      <c r="E14" s="1" t="s">
        <v>2384</v>
      </c>
      <c r="F14" s="1" t="s">
        <v>78</v>
      </c>
      <c r="G14" s="53" t="str">
        <f>_xlfn.XLOOKUP(Tabla2[[#This Row],[Universidad]],Conversiones!$B:$B,Conversiones!$C:$C)</f>
        <v>Maastricht University</v>
      </c>
      <c r="H14" s="53" t="str">
        <f>_xlfn.XLOOKUP(Tabla2[[#This Row],[Universidad KPIs]],Conversiones!$C:$C,Conversiones!$E:$E)</f>
        <v>Específico</v>
      </c>
      <c r="I14" s="1" t="s">
        <v>79</v>
      </c>
      <c r="J14" s="1" t="s">
        <v>250</v>
      </c>
      <c r="K14" s="1" t="s">
        <v>2385</v>
      </c>
      <c r="L14" s="1" t="s">
        <v>2386</v>
      </c>
      <c r="M14" s="1" t="s">
        <v>213</v>
      </c>
      <c r="N14" s="1" t="s">
        <v>2298</v>
      </c>
      <c r="O14" s="54" t="s">
        <v>2299</v>
      </c>
      <c r="P14" s="1">
        <v>1</v>
      </c>
      <c r="Q14" s="1" t="s">
        <v>2328</v>
      </c>
      <c r="R14" s="1" t="s">
        <v>2387</v>
      </c>
      <c r="S14" s="1" t="s">
        <v>2300</v>
      </c>
      <c r="T14" s="1" t="s">
        <v>2388</v>
      </c>
      <c r="U14" s="1" t="s">
        <v>2322</v>
      </c>
      <c r="V14" s="1"/>
      <c r="W14" s="1"/>
      <c r="X14" s="1"/>
      <c r="Y14" s="1"/>
      <c r="Z14" s="1"/>
      <c r="AA14" s="1"/>
      <c r="AB14" s="1"/>
      <c r="AC14" s="56" t="s">
        <v>216</v>
      </c>
      <c r="AD14" s="56" t="s">
        <v>234</v>
      </c>
    </row>
    <row r="15" spans="1:30">
      <c r="A15" s="1">
        <v>2020</v>
      </c>
      <c r="B15" s="1">
        <v>202010</v>
      </c>
      <c r="C15" s="1">
        <v>202015825</v>
      </c>
      <c r="D15" s="1" t="s">
        <v>2389</v>
      </c>
      <c r="E15" s="1" t="s">
        <v>2390</v>
      </c>
      <c r="F15" s="1" t="s">
        <v>78</v>
      </c>
      <c r="G15" s="53" t="str">
        <f>_xlfn.XLOOKUP(Tabla2[[#This Row],[Universidad]],Conversiones!$B:$B,Conversiones!$C:$C)</f>
        <v>Maastricht University</v>
      </c>
      <c r="H15" s="53" t="str">
        <f>_xlfn.XLOOKUP(Tabla2[[#This Row],[Universidad KPIs]],Conversiones!$C:$C,Conversiones!$E:$E)</f>
        <v>Específico</v>
      </c>
      <c r="I15" s="1" t="s">
        <v>79</v>
      </c>
      <c r="J15" s="1" t="s">
        <v>250</v>
      </c>
      <c r="K15" s="1" t="s">
        <v>2391</v>
      </c>
      <c r="L15" s="1" t="s">
        <v>2392</v>
      </c>
      <c r="M15" s="1" t="s">
        <v>213</v>
      </c>
      <c r="N15" s="1" t="s">
        <v>2298</v>
      </c>
      <c r="O15" s="54" t="s">
        <v>2299</v>
      </c>
      <c r="P15" s="1">
        <v>1</v>
      </c>
      <c r="Q15" s="1" t="s">
        <v>2328</v>
      </c>
      <c r="R15" s="1" t="s">
        <v>2307</v>
      </c>
      <c r="S15" s="1" t="s">
        <v>2300</v>
      </c>
      <c r="T15" s="1" t="s">
        <v>2393</v>
      </c>
      <c r="U15" s="1" t="s">
        <v>2370</v>
      </c>
      <c r="V15" s="1" t="s">
        <v>2394</v>
      </c>
      <c r="W15" s="1"/>
      <c r="X15" s="1"/>
      <c r="Y15" s="1"/>
      <c r="Z15" s="1"/>
      <c r="AA15" s="1"/>
      <c r="AB15" s="1"/>
      <c r="AC15" s="56" t="s">
        <v>216</v>
      </c>
      <c r="AD15" s="56" t="s">
        <v>234</v>
      </c>
    </row>
    <row r="16" spans="1:30">
      <c r="A16" s="1">
        <v>2020</v>
      </c>
      <c r="B16" s="1">
        <v>202010</v>
      </c>
      <c r="C16" s="1">
        <v>202015826</v>
      </c>
      <c r="D16" s="1" t="s">
        <v>2395</v>
      </c>
      <c r="E16" s="1" t="s">
        <v>2396</v>
      </c>
      <c r="F16" s="1" t="s">
        <v>78</v>
      </c>
      <c r="G16" s="53" t="str">
        <f>_xlfn.XLOOKUP(Tabla2[[#This Row],[Universidad]],Conversiones!$B:$B,Conversiones!$C:$C)</f>
        <v>Maastricht University</v>
      </c>
      <c r="H16" s="53" t="str">
        <f>_xlfn.XLOOKUP(Tabla2[[#This Row],[Universidad KPIs]],Conversiones!$C:$C,Conversiones!$E:$E)</f>
        <v>Específico</v>
      </c>
      <c r="I16" s="1" t="s">
        <v>79</v>
      </c>
      <c r="J16" s="1" t="s">
        <v>250</v>
      </c>
      <c r="K16" s="1" t="s">
        <v>2397</v>
      </c>
      <c r="L16" s="1" t="s">
        <v>2398</v>
      </c>
      <c r="M16" s="1" t="s">
        <v>213</v>
      </c>
      <c r="N16" s="1" t="s">
        <v>2298</v>
      </c>
      <c r="O16" s="54" t="s">
        <v>2299</v>
      </c>
      <c r="P16" s="1">
        <v>1</v>
      </c>
      <c r="Q16" s="1" t="s">
        <v>2399</v>
      </c>
      <c r="R16" s="1" t="s">
        <v>2387</v>
      </c>
      <c r="S16" s="1" t="s">
        <v>2307</v>
      </c>
      <c r="T16" s="1" t="s">
        <v>2400</v>
      </c>
      <c r="U16" s="1" t="s">
        <v>2388</v>
      </c>
      <c r="V16" s="1" t="s">
        <v>2322</v>
      </c>
      <c r="W16" s="1" t="s">
        <v>2394</v>
      </c>
      <c r="X16" s="1"/>
      <c r="Y16" s="1"/>
      <c r="Z16" s="1"/>
      <c r="AA16" s="1"/>
      <c r="AB16" s="1"/>
      <c r="AC16" s="56" t="s">
        <v>216</v>
      </c>
      <c r="AD16" s="56" t="s">
        <v>234</v>
      </c>
    </row>
    <row r="17" spans="1:30">
      <c r="A17" s="1">
        <v>2020</v>
      </c>
      <c r="B17" s="1">
        <v>202010</v>
      </c>
      <c r="C17" s="1">
        <v>202015827</v>
      </c>
      <c r="D17" s="1" t="s">
        <v>2401</v>
      </c>
      <c r="E17" s="1" t="s">
        <v>2402</v>
      </c>
      <c r="F17" s="1" t="s">
        <v>78</v>
      </c>
      <c r="G17" s="53" t="str">
        <f>_xlfn.XLOOKUP(Tabla2[[#This Row],[Universidad]],Conversiones!$B:$B,Conversiones!$C:$C)</f>
        <v>Maastricht University</v>
      </c>
      <c r="H17" s="53" t="str">
        <f>_xlfn.XLOOKUP(Tabla2[[#This Row],[Universidad KPIs]],Conversiones!$C:$C,Conversiones!$E:$E)</f>
        <v>Específico</v>
      </c>
      <c r="I17" s="1" t="s">
        <v>79</v>
      </c>
      <c r="J17" s="1" t="s">
        <v>250</v>
      </c>
      <c r="K17" s="1" t="s">
        <v>2403</v>
      </c>
      <c r="L17" s="1" t="s">
        <v>2404</v>
      </c>
      <c r="M17" s="1" t="s">
        <v>213</v>
      </c>
      <c r="N17" s="1" t="s">
        <v>2298</v>
      </c>
      <c r="O17" s="54" t="s">
        <v>2299</v>
      </c>
      <c r="P17" s="1">
        <v>1</v>
      </c>
      <c r="Q17" s="1" t="s">
        <v>2405</v>
      </c>
      <c r="R17" s="1" t="s">
        <v>2328</v>
      </c>
      <c r="S17" s="1" t="s">
        <v>2300</v>
      </c>
      <c r="T17" s="1" t="s">
        <v>2406</v>
      </c>
      <c r="U17" s="1" t="s">
        <v>2370</v>
      </c>
      <c r="V17" s="1" t="s">
        <v>2407</v>
      </c>
      <c r="W17" s="1"/>
      <c r="X17" s="1"/>
      <c r="Y17" s="1"/>
      <c r="Z17" s="1"/>
      <c r="AA17" s="1"/>
      <c r="AB17" s="1"/>
      <c r="AC17" s="56" t="s">
        <v>216</v>
      </c>
      <c r="AD17" s="56" t="s">
        <v>234</v>
      </c>
    </row>
    <row r="18" spans="1:30">
      <c r="A18" s="1">
        <v>2020</v>
      </c>
      <c r="B18" s="1">
        <v>202010</v>
      </c>
      <c r="C18" s="1">
        <v>202015830</v>
      </c>
      <c r="D18" s="1" t="s">
        <v>2408</v>
      </c>
      <c r="E18" s="1" t="s">
        <v>2409</v>
      </c>
      <c r="F18" s="1" t="s">
        <v>80</v>
      </c>
      <c r="G18" s="53" t="str">
        <f>_xlfn.XLOOKUP(Tabla2[[#This Row],[Universidad]],Conversiones!$B:$B,Conversiones!$C:$C)</f>
        <v>McGill University</v>
      </c>
      <c r="H18" s="53" t="str">
        <f>_xlfn.XLOOKUP(Tabla2[[#This Row],[Universidad KPIs]],Conversiones!$C:$C,Conversiones!$E:$E)</f>
        <v>Específico</v>
      </c>
      <c r="I18" s="1" t="s">
        <v>58</v>
      </c>
      <c r="J18" s="1" t="s">
        <v>260</v>
      </c>
      <c r="K18" s="1" t="s">
        <v>2410</v>
      </c>
      <c r="L18" s="1" t="s">
        <v>2411</v>
      </c>
      <c r="M18" s="1" t="s">
        <v>213</v>
      </c>
      <c r="N18" s="1" t="s">
        <v>2298</v>
      </c>
      <c r="O18" s="54" t="s">
        <v>2299</v>
      </c>
      <c r="P18" s="1">
        <v>1</v>
      </c>
      <c r="Q18" s="1" t="s">
        <v>2412</v>
      </c>
      <c r="R18" s="1" t="s">
        <v>2363</v>
      </c>
      <c r="S18" s="1" t="s">
        <v>2369</v>
      </c>
      <c r="T18" s="1" t="s">
        <v>2370</v>
      </c>
      <c r="U18" s="1" t="s">
        <v>2388</v>
      </c>
      <c r="V18" s="1"/>
      <c r="W18" s="1"/>
      <c r="X18" s="1"/>
      <c r="Y18" s="1"/>
      <c r="Z18" s="1"/>
      <c r="AA18" s="1"/>
      <c r="AB18" s="1"/>
      <c r="AC18" s="56" t="s">
        <v>216</v>
      </c>
      <c r="AD18" s="56" t="s">
        <v>234</v>
      </c>
    </row>
    <row r="19" spans="1:30">
      <c r="A19" s="1">
        <v>2020</v>
      </c>
      <c r="B19" s="1">
        <v>202010</v>
      </c>
      <c r="C19" s="1">
        <v>202015833</v>
      </c>
      <c r="D19" s="1" t="s">
        <v>2413</v>
      </c>
      <c r="E19" s="1" t="s">
        <v>2414</v>
      </c>
      <c r="F19" s="1" t="s">
        <v>80</v>
      </c>
      <c r="G19" s="53" t="str">
        <f>_xlfn.XLOOKUP(Tabla2[[#This Row],[Universidad]],Conversiones!$B:$B,Conversiones!$C:$C)</f>
        <v>McGill University</v>
      </c>
      <c r="H19" s="53" t="str">
        <f>_xlfn.XLOOKUP(Tabla2[[#This Row],[Universidad KPIs]],Conversiones!$C:$C,Conversiones!$E:$E)</f>
        <v>Específico</v>
      </c>
      <c r="I19" s="1" t="s">
        <v>58</v>
      </c>
      <c r="J19" s="1" t="s">
        <v>260</v>
      </c>
      <c r="K19" s="1" t="s">
        <v>2415</v>
      </c>
      <c r="L19" s="1" t="s">
        <v>2416</v>
      </c>
      <c r="M19" s="1" t="s">
        <v>213</v>
      </c>
      <c r="N19" s="1" t="s">
        <v>2298</v>
      </c>
      <c r="O19" s="54" t="s">
        <v>2299</v>
      </c>
      <c r="P19" s="1">
        <v>1</v>
      </c>
      <c r="Q19" s="1" t="s">
        <v>2417</v>
      </c>
      <c r="R19" s="1" t="s">
        <v>2320</v>
      </c>
      <c r="S19" s="1" t="s">
        <v>2307</v>
      </c>
      <c r="T19" s="1" t="s">
        <v>2418</v>
      </c>
      <c r="U19" s="1" t="s">
        <v>2322</v>
      </c>
      <c r="V19" s="1"/>
      <c r="W19" s="1"/>
      <c r="X19" s="1"/>
      <c r="Y19" s="1"/>
      <c r="Z19" s="1"/>
      <c r="AA19" s="1"/>
      <c r="AB19" s="1"/>
      <c r="AC19" s="56" t="s">
        <v>216</v>
      </c>
      <c r="AD19" s="56" t="s">
        <v>234</v>
      </c>
    </row>
    <row r="20" spans="1:30">
      <c r="A20" s="1">
        <v>2020</v>
      </c>
      <c r="B20" s="1">
        <v>202010</v>
      </c>
      <c r="C20" s="1">
        <v>202015841</v>
      </c>
      <c r="D20" s="1" t="s">
        <v>2419</v>
      </c>
      <c r="E20" s="1" t="s">
        <v>2420</v>
      </c>
      <c r="F20" s="1" t="s">
        <v>255</v>
      </c>
      <c r="G20" s="53" t="str">
        <f>_xlfn.XLOOKUP(Tabla2[[#This Row],[Universidad]],Conversiones!$B:$B,Conversiones!$C:$C)</f>
        <v>ESC Rouen (NEOMA)</v>
      </c>
      <c r="H20" s="53" t="str">
        <f>_xlfn.XLOOKUP(Tabla2[[#This Row],[Universidad KPIs]],Conversiones!$C:$C,Conversiones!$E:$E)</f>
        <v>Específico</v>
      </c>
      <c r="I20" s="1" t="s">
        <v>41</v>
      </c>
      <c r="J20" s="1" t="s">
        <v>250</v>
      </c>
      <c r="K20" s="1" t="s">
        <v>2421</v>
      </c>
      <c r="L20" s="1" t="s">
        <v>2422</v>
      </c>
      <c r="M20" s="1" t="s">
        <v>213</v>
      </c>
      <c r="N20" s="1" t="s">
        <v>2334</v>
      </c>
      <c r="O20" s="54" t="s">
        <v>2335</v>
      </c>
      <c r="P20" s="1">
        <v>1</v>
      </c>
      <c r="Q20" s="1" t="s">
        <v>2307</v>
      </c>
      <c r="R20" s="1" t="s">
        <v>2309</v>
      </c>
      <c r="S20" s="1" t="s">
        <v>2301</v>
      </c>
      <c r="T20" s="1" t="s">
        <v>2423</v>
      </c>
      <c r="U20" s="1"/>
      <c r="V20" s="1"/>
      <c r="W20" s="1"/>
      <c r="X20" s="1"/>
      <c r="Y20" s="1"/>
      <c r="Z20" s="1"/>
      <c r="AA20" s="1"/>
      <c r="AB20" s="1"/>
      <c r="AC20" s="56" t="s">
        <v>228</v>
      </c>
      <c r="AD20" s="56" t="s">
        <v>227</v>
      </c>
    </row>
    <row r="21" spans="1:30">
      <c r="A21" s="1">
        <v>2020</v>
      </c>
      <c r="B21" s="1">
        <v>202010</v>
      </c>
      <c r="C21" s="1">
        <v>202015843</v>
      </c>
      <c r="D21" s="1" t="s">
        <v>2424</v>
      </c>
      <c r="E21" s="1" t="s">
        <v>2425</v>
      </c>
      <c r="F21" s="1" t="s">
        <v>255</v>
      </c>
      <c r="G21" s="53" t="str">
        <f>_xlfn.XLOOKUP(Tabla2[[#This Row],[Universidad]],Conversiones!$B:$B,Conversiones!$C:$C)</f>
        <v>ESC Rouen (NEOMA)</v>
      </c>
      <c r="H21" s="53" t="str">
        <f>_xlfn.XLOOKUP(Tabla2[[#This Row],[Universidad KPIs]],Conversiones!$C:$C,Conversiones!$E:$E)</f>
        <v>Específico</v>
      </c>
      <c r="I21" s="1" t="s">
        <v>41</v>
      </c>
      <c r="J21" s="1" t="s">
        <v>250</v>
      </c>
      <c r="K21" s="1" t="s">
        <v>2426</v>
      </c>
      <c r="L21" s="1" t="s">
        <v>2427</v>
      </c>
      <c r="M21" s="1" t="s">
        <v>213</v>
      </c>
      <c r="N21" s="1" t="s">
        <v>2334</v>
      </c>
      <c r="O21" s="54" t="s">
        <v>2335</v>
      </c>
      <c r="P21" s="1">
        <v>1</v>
      </c>
      <c r="Q21" s="1" t="s">
        <v>2337</v>
      </c>
      <c r="R21" s="1" t="s">
        <v>2428</v>
      </c>
      <c r="S21" s="1" t="s">
        <v>2355</v>
      </c>
      <c r="T21" s="1" t="s">
        <v>2339</v>
      </c>
      <c r="U21" s="1"/>
      <c r="V21" s="1"/>
      <c r="W21" s="1"/>
      <c r="X21" s="1"/>
      <c r="Y21" s="1"/>
      <c r="Z21" s="1"/>
      <c r="AA21" s="1"/>
      <c r="AB21" s="1"/>
      <c r="AC21" s="56" t="s">
        <v>228</v>
      </c>
      <c r="AD21" s="56" t="s">
        <v>227</v>
      </c>
    </row>
    <row r="22" spans="1:30">
      <c r="A22" s="1">
        <v>2020</v>
      </c>
      <c r="B22" s="1">
        <v>202010</v>
      </c>
      <c r="C22" s="1">
        <v>201924469</v>
      </c>
      <c r="D22" s="1" t="s">
        <v>2429</v>
      </c>
      <c r="E22" s="1" t="s">
        <v>2430</v>
      </c>
      <c r="F22" s="1" t="s">
        <v>132</v>
      </c>
      <c r="G22" s="53" t="str">
        <f>_xlfn.XLOOKUP(Tabla2[[#This Row],[Universidad]],Conversiones!$B:$B,Conversiones!$C:$C)</f>
        <v>Northumbria University, Newcastle</v>
      </c>
      <c r="H22" s="53" t="str">
        <f>_xlfn.XLOOKUP(Tabla2[[#This Row],[Universidad KPIs]],Conversiones!$C:$C,Conversiones!$E:$E)</f>
        <v>General</v>
      </c>
      <c r="I22" s="1" t="s">
        <v>39</v>
      </c>
      <c r="J22" s="1" t="s">
        <v>250</v>
      </c>
      <c r="K22" s="1" t="s">
        <v>2431</v>
      </c>
      <c r="L22" s="1" t="s">
        <v>2432</v>
      </c>
      <c r="M22" s="1" t="s">
        <v>213</v>
      </c>
      <c r="N22" s="1" t="s">
        <v>2298</v>
      </c>
      <c r="O22" s="54" t="s">
        <v>2299</v>
      </c>
      <c r="P22" s="1">
        <v>1</v>
      </c>
      <c r="Q22" s="1" t="s">
        <v>2433</v>
      </c>
      <c r="R22" s="1" t="s">
        <v>2307</v>
      </c>
      <c r="S22" s="1" t="s">
        <v>2434</v>
      </c>
      <c r="T22" s="1" t="s">
        <v>2363</v>
      </c>
      <c r="U22" s="1" t="s">
        <v>2435</v>
      </c>
      <c r="V22" s="1"/>
      <c r="W22" s="1"/>
      <c r="X22" s="1"/>
      <c r="Y22" s="1"/>
      <c r="Z22" s="1"/>
      <c r="AA22" s="1"/>
      <c r="AB22" s="1"/>
      <c r="AC22" s="56" t="s">
        <v>216</v>
      </c>
      <c r="AD22" s="56" t="s">
        <v>234</v>
      </c>
    </row>
    <row r="23" spans="1:30">
      <c r="A23" s="1">
        <v>2020</v>
      </c>
      <c r="B23" s="1">
        <v>202010</v>
      </c>
      <c r="C23" s="1">
        <v>202015853</v>
      </c>
      <c r="D23" s="1" t="s">
        <v>2436</v>
      </c>
      <c r="E23" s="1" t="s">
        <v>2437</v>
      </c>
      <c r="F23" s="1" t="s">
        <v>952</v>
      </c>
      <c r="G23" s="53" t="str">
        <f>_xlfn.XLOOKUP(Tabla2[[#This Row],[Universidad]],Conversiones!$B:$B,Conversiones!$C:$C)</f>
        <v>Queens University School of Business</v>
      </c>
      <c r="H23" s="53" t="str">
        <f>_xlfn.XLOOKUP(Tabla2[[#This Row],[Universidad KPIs]],Conversiones!$C:$C,Conversiones!$E:$E)</f>
        <v>Específico</v>
      </c>
      <c r="I23" s="1" t="s">
        <v>58</v>
      </c>
      <c r="J23" s="1" t="s">
        <v>260</v>
      </c>
      <c r="K23" s="1" t="s">
        <v>2438</v>
      </c>
      <c r="L23" s="1" t="s">
        <v>2439</v>
      </c>
      <c r="M23" s="1" t="s">
        <v>213</v>
      </c>
      <c r="N23" s="1" t="s">
        <v>2298</v>
      </c>
      <c r="O23" s="54" t="s">
        <v>2299</v>
      </c>
      <c r="P23" s="1">
        <v>1</v>
      </c>
      <c r="Q23" s="1" t="s">
        <v>2440</v>
      </c>
      <c r="R23" s="1" t="s">
        <v>2307</v>
      </c>
      <c r="S23" s="1" t="s">
        <v>2363</v>
      </c>
      <c r="T23" s="1" t="s">
        <v>2441</v>
      </c>
      <c r="U23" s="1" t="s">
        <v>2442</v>
      </c>
      <c r="V23" s="1"/>
      <c r="W23" s="1"/>
      <c r="X23" s="1"/>
      <c r="Y23" s="1"/>
      <c r="Z23" s="1"/>
      <c r="AA23" s="1"/>
      <c r="AB23" s="1"/>
      <c r="AC23" s="56" t="s">
        <v>216</v>
      </c>
      <c r="AD23" s="56" t="s">
        <v>234</v>
      </c>
    </row>
    <row r="24" spans="1:30">
      <c r="A24" s="1">
        <v>2020</v>
      </c>
      <c r="B24" s="1">
        <v>202010</v>
      </c>
      <c r="C24" s="1">
        <v>202015855</v>
      </c>
      <c r="D24" s="1" t="s">
        <v>2443</v>
      </c>
      <c r="E24" s="1" t="s">
        <v>2444</v>
      </c>
      <c r="F24" s="1" t="s">
        <v>139</v>
      </c>
      <c r="G24" s="53" t="str">
        <f>_xlfn.XLOOKUP(Tabla2[[#This Row],[Universidad]],Conversiones!$B:$B,Conversiones!$C:$C)</f>
        <v>Technische Universität München (TUM)</v>
      </c>
      <c r="H24" s="53" t="str">
        <f>_xlfn.XLOOKUP(Tabla2[[#This Row],[Universidad KPIs]],Conversiones!$C:$C,Conversiones!$E:$E)</f>
        <v>General</v>
      </c>
      <c r="I24" s="1" t="s">
        <v>60</v>
      </c>
      <c r="J24" s="1" t="s">
        <v>250</v>
      </c>
      <c r="K24" s="1" t="s">
        <v>2445</v>
      </c>
      <c r="L24" s="1" t="s">
        <v>2446</v>
      </c>
      <c r="M24" s="1" t="s">
        <v>213</v>
      </c>
      <c r="N24" s="1" t="s">
        <v>2298</v>
      </c>
      <c r="O24" s="54" t="s">
        <v>2299</v>
      </c>
      <c r="P24" s="1">
        <v>1</v>
      </c>
      <c r="Q24" s="1" t="s">
        <v>2307</v>
      </c>
      <c r="R24" s="1" t="s">
        <v>2407</v>
      </c>
      <c r="S24" s="1"/>
      <c r="T24" s="1"/>
      <c r="U24" s="1"/>
      <c r="V24" s="1"/>
      <c r="W24" s="1"/>
      <c r="X24" s="1"/>
      <c r="Y24" s="1"/>
      <c r="Z24" s="1"/>
      <c r="AA24" s="1"/>
      <c r="AB24" s="1"/>
      <c r="AC24" s="56" t="s">
        <v>216</v>
      </c>
      <c r="AD24" s="56" t="s">
        <v>234</v>
      </c>
    </row>
    <row r="25" spans="1:30">
      <c r="A25" s="1">
        <v>2020</v>
      </c>
      <c r="B25" s="1">
        <v>202010</v>
      </c>
      <c r="C25" s="1">
        <v>202015856</v>
      </c>
      <c r="D25" s="1" t="s">
        <v>2447</v>
      </c>
      <c r="E25" s="1" t="s">
        <v>2448</v>
      </c>
      <c r="F25" s="1" t="s">
        <v>139</v>
      </c>
      <c r="G25" s="53" t="str">
        <f>_xlfn.XLOOKUP(Tabla2[[#This Row],[Universidad]],Conversiones!$B:$B,Conversiones!$C:$C)</f>
        <v>Technische Universität München (TUM)</v>
      </c>
      <c r="H25" s="53" t="str">
        <f>_xlfn.XLOOKUP(Tabla2[[#This Row],[Universidad KPIs]],Conversiones!$C:$C,Conversiones!$E:$E)</f>
        <v>General</v>
      </c>
      <c r="I25" s="1" t="s">
        <v>60</v>
      </c>
      <c r="J25" s="1" t="s">
        <v>250</v>
      </c>
      <c r="K25" s="1" t="s">
        <v>2449</v>
      </c>
      <c r="L25" s="1" t="s">
        <v>2450</v>
      </c>
      <c r="M25" s="1" t="s">
        <v>213</v>
      </c>
      <c r="N25" s="1" t="s">
        <v>2298</v>
      </c>
      <c r="O25" s="54" t="s">
        <v>2299</v>
      </c>
      <c r="P25" s="1">
        <v>1</v>
      </c>
      <c r="Q25" s="1" t="s">
        <v>2412</v>
      </c>
      <c r="R25" s="1" t="s">
        <v>2363</v>
      </c>
      <c r="S25" s="1" t="s">
        <v>2451</v>
      </c>
      <c r="T25" s="1" t="s">
        <v>2369</v>
      </c>
      <c r="U25" s="1" t="s">
        <v>2329</v>
      </c>
      <c r="V25" s="1"/>
      <c r="W25" s="1"/>
      <c r="X25" s="1"/>
      <c r="Y25" s="1"/>
      <c r="Z25" s="1"/>
      <c r="AA25" s="1"/>
      <c r="AB25" s="1"/>
      <c r="AC25" s="56" t="s">
        <v>216</v>
      </c>
      <c r="AD25" s="56" t="s">
        <v>234</v>
      </c>
    </row>
    <row r="26" spans="1:30">
      <c r="A26" s="1">
        <v>2020</v>
      </c>
      <c r="B26" s="1">
        <v>202010</v>
      </c>
      <c r="C26" s="1">
        <v>202015859</v>
      </c>
      <c r="D26" s="1" t="s">
        <v>2452</v>
      </c>
      <c r="E26" s="1" t="s">
        <v>2453</v>
      </c>
      <c r="F26" s="1" t="s">
        <v>279</v>
      </c>
      <c r="G26" s="53" t="str">
        <f>_xlfn.XLOOKUP(Tabla2[[#This Row],[Universidad]],Conversiones!$B:$B,Conversiones!$C:$C)</f>
        <v>Toulouse Business School</v>
      </c>
      <c r="H26" s="53" t="str">
        <f>_xlfn.XLOOKUP(Tabla2[[#This Row],[Universidad KPIs]],Conversiones!$C:$C,Conversiones!$E:$E)</f>
        <v>Específico</v>
      </c>
      <c r="I26" s="1" t="s">
        <v>41</v>
      </c>
      <c r="J26" s="1" t="s">
        <v>250</v>
      </c>
      <c r="K26" s="1" t="s">
        <v>2454</v>
      </c>
      <c r="L26" s="1" t="s">
        <v>2455</v>
      </c>
      <c r="M26" s="1" t="s">
        <v>213</v>
      </c>
      <c r="N26" s="1" t="s">
        <v>2298</v>
      </c>
      <c r="O26" s="54" t="s">
        <v>2299</v>
      </c>
      <c r="P26" s="1">
        <v>1</v>
      </c>
      <c r="Q26" s="1" t="s">
        <v>2320</v>
      </c>
      <c r="R26" s="1" t="s">
        <v>2307</v>
      </c>
      <c r="S26" s="1" t="s">
        <v>2363</v>
      </c>
      <c r="T26" s="1" t="s">
        <v>2300</v>
      </c>
      <c r="U26" s="1" t="s">
        <v>2456</v>
      </c>
      <c r="V26" s="1"/>
      <c r="W26" s="1"/>
      <c r="X26" s="1"/>
      <c r="Y26" s="1"/>
      <c r="Z26" s="1"/>
      <c r="AA26" s="1"/>
      <c r="AB26" s="1"/>
      <c r="AC26" s="56" t="s">
        <v>216</v>
      </c>
      <c r="AD26" s="56" t="s">
        <v>234</v>
      </c>
    </row>
    <row r="27" spans="1:30">
      <c r="A27" s="1">
        <v>2020</v>
      </c>
      <c r="B27" s="1">
        <v>202010</v>
      </c>
      <c r="C27" s="1">
        <v>202015861</v>
      </c>
      <c r="D27" s="1" t="s">
        <v>2457</v>
      </c>
      <c r="E27" s="1" t="s">
        <v>2458</v>
      </c>
      <c r="F27" s="1" t="s">
        <v>279</v>
      </c>
      <c r="G27" s="53" t="str">
        <f>_xlfn.XLOOKUP(Tabla2[[#This Row],[Universidad]],Conversiones!$B:$B,Conversiones!$C:$C)</f>
        <v>Toulouse Business School</v>
      </c>
      <c r="H27" s="53" t="str">
        <f>_xlfn.XLOOKUP(Tabla2[[#This Row],[Universidad KPIs]],Conversiones!$C:$C,Conversiones!$E:$E)</f>
        <v>Específico</v>
      </c>
      <c r="I27" s="1" t="s">
        <v>41</v>
      </c>
      <c r="J27" s="1" t="s">
        <v>250</v>
      </c>
      <c r="K27" s="1" t="s">
        <v>2459</v>
      </c>
      <c r="L27" s="1" t="s">
        <v>2460</v>
      </c>
      <c r="M27" s="1" t="s">
        <v>213</v>
      </c>
      <c r="N27" s="1" t="s">
        <v>2298</v>
      </c>
      <c r="O27" s="54" t="s">
        <v>2299</v>
      </c>
      <c r="P27" s="1">
        <v>1</v>
      </c>
      <c r="Q27" s="1" t="s">
        <v>2309</v>
      </c>
      <c r="R27" s="1" t="s">
        <v>2461</v>
      </c>
      <c r="S27" s="1" t="s">
        <v>2329</v>
      </c>
      <c r="T27" s="1" t="s">
        <v>2462</v>
      </c>
      <c r="U27" s="1" t="s">
        <v>2463</v>
      </c>
      <c r="V27" s="1" t="s">
        <v>2464</v>
      </c>
      <c r="W27" s="1"/>
      <c r="X27" s="1"/>
      <c r="Y27" s="1"/>
      <c r="Z27" s="1"/>
      <c r="AA27" s="1"/>
      <c r="AB27" s="1"/>
      <c r="AC27" s="56" t="s">
        <v>216</v>
      </c>
      <c r="AD27" s="56" t="s">
        <v>234</v>
      </c>
    </row>
    <row r="28" spans="1:30">
      <c r="A28" s="1">
        <v>2020</v>
      </c>
      <c r="B28" s="1">
        <v>202010</v>
      </c>
      <c r="C28" s="1">
        <v>202015900</v>
      </c>
      <c r="D28" s="1" t="s">
        <v>2465</v>
      </c>
      <c r="E28" s="1" t="s">
        <v>2466</v>
      </c>
      <c r="F28" s="1" t="s">
        <v>279</v>
      </c>
      <c r="G28" s="53" t="str">
        <f>_xlfn.XLOOKUP(Tabla2[[#This Row],[Universidad]],Conversiones!$B:$B,Conversiones!$C:$C)</f>
        <v>Toulouse Business School</v>
      </c>
      <c r="H28" s="53" t="str">
        <f>_xlfn.XLOOKUP(Tabla2[[#This Row],[Universidad KPIs]],Conversiones!$C:$C,Conversiones!$E:$E)</f>
        <v>Específico</v>
      </c>
      <c r="I28" s="1" t="s">
        <v>41</v>
      </c>
      <c r="J28" s="1" t="s">
        <v>250</v>
      </c>
      <c r="K28" s="1" t="s">
        <v>2467</v>
      </c>
      <c r="L28" s="1" t="s">
        <v>2468</v>
      </c>
      <c r="M28" s="1" t="s">
        <v>213</v>
      </c>
      <c r="N28" s="1" t="s">
        <v>2298</v>
      </c>
      <c r="O28" s="54" t="s">
        <v>2299</v>
      </c>
      <c r="P28" s="1">
        <v>1</v>
      </c>
      <c r="Q28" s="1" t="s">
        <v>2300</v>
      </c>
      <c r="R28" s="1" t="s">
        <v>2321</v>
      </c>
      <c r="S28" s="1" t="s">
        <v>2469</v>
      </c>
      <c r="T28" s="1" t="s">
        <v>2470</v>
      </c>
      <c r="U28" s="1" t="s">
        <v>2456</v>
      </c>
      <c r="V28" s="1"/>
      <c r="W28" s="1"/>
      <c r="X28" s="1"/>
      <c r="Y28" s="1"/>
      <c r="Z28" s="1"/>
      <c r="AA28" s="1"/>
      <c r="AB28" s="1"/>
      <c r="AC28" s="56" t="s">
        <v>216</v>
      </c>
      <c r="AD28" s="56" t="s">
        <v>234</v>
      </c>
    </row>
    <row r="29" spans="1:30">
      <c r="A29" s="1">
        <v>2020</v>
      </c>
      <c r="B29" s="1">
        <v>202010</v>
      </c>
      <c r="C29" s="1">
        <v>202015864</v>
      </c>
      <c r="D29" s="1" t="s">
        <v>2471</v>
      </c>
      <c r="E29" s="1" t="s">
        <v>2472</v>
      </c>
      <c r="F29" s="1" t="s">
        <v>341</v>
      </c>
      <c r="G29" s="53" t="str">
        <f>_xlfn.XLOOKUP(Tabla2[[#This Row],[Universidad]],Conversiones!$B:$B,Conversiones!$C:$C)</f>
        <v>A.B. Freeman School of Business, Tulane University</v>
      </c>
      <c r="H29" s="53" t="str">
        <f>_xlfn.XLOOKUP(Tabla2[[#This Row],[Universidad KPIs]],Conversiones!$C:$C,Conversiones!$E:$E)</f>
        <v>Específico</v>
      </c>
      <c r="I29" s="1" t="s">
        <v>35</v>
      </c>
      <c r="J29" s="1" t="s">
        <v>260</v>
      </c>
      <c r="K29" s="1" t="s">
        <v>2473</v>
      </c>
      <c r="L29" s="1" t="s">
        <v>2474</v>
      </c>
      <c r="M29" s="1" t="s">
        <v>213</v>
      </c>
      <c r="N29" s="1" t="s">
        <v>2298</v>
      </c>
      <c r="O29" s="54" t="s">
        <v>2299</v>
      </c>
      <c r="P29" s="1">
        <v>1</v>
      </c>
      <c r="Q29" s="1" t="s">
        <v>2475</v>
      </c>
      <c r="R29" s="1" t="s">
        <v>2327</v>
      </c>
      <c r="S29" s="1" t="s">
        <v>2301</v>
      </c>
      <c r="T29" s="1" t="s">
        <v>2329</v>
      </c>
      <c r="U29" s="1"/>
      <c r="V29" s="1"/>
      <c r="W29" s="1"/>
      <c r="X29" s="1"/>
      <c r="Y29" s="1"/>
      <c r="Z29" s="1"/>
      <c r="AA29" s="1"/>
      <c r="AB29" s="1"/>
      <c r="AC29" s="56" t="s">
        <v>216</v>
      </c>
      <c r="AD29" s="56" t="s">
        <v>234</v>
      </c>
    </row>
    <row r="30" spans="1:30">
      <c r="A30" s="1">
        <v>2020</v>
      </c>
      <c r="B30" s="1">
        <v>202010</v>
      </c>
      <c r="C30" s="1">
        <v>202015865</v>
      </c>
      <c r="D30" s="1" t="s">
        <v>2476</v>
      </c>
      <c r="E30" s="1" t="s">
        <v>2477</v>
      </c>
      <c r="F30" s="1" t="s">
        <v>341</v>
      </c>
      <c r="G30" s="53" t="str">
        <f>_xlfn.XLOOKUP(Tabla2[[#This Row],[Universidad]],Conversiones!$B:$B,Conversiones!$C:$C)</f>
        <v>A.B. Freeman School of Business, Tulane University</v>
      </c>
      <c r="H30" s="53" t="str">
        <f>_xlfn.XLOOKUP(Tabla2[[#This Row],[Universidad KPIs]],Conversiones!$C:$C,Conversiones!$E:$E)</f>
        <v>Específico</v>
      </c>
      <c r="I30" s="1" t="s">
        <v>35</v>
      </c>
      <c r="J30" s="1" t="s">
        <v>260</v>
      </c>
      <c r="K30" s="1" t="s">
        <v>2478</v>
      </c>
      <c r="L30" s="1" t="s">
        <v>2479</v>
      </c>
      <c r="M30" s="1" t="s">
        <v>213</v>
      </c>
      <c r="N30" s="1" t="s">
        <v>2298</v>
      </c>
      <c r="O30" s="54" t="s">
        <v>2299</v>
      </c>
      <c r="P30" s="1">
        <v>1</v>
      </c>
      <c r="Q30" s="1" t="s">
        <v>2480</v>
      </c>
      <c r="R30" s="1" t="s">
        <v>2441</v>
      </c>
      <c r="S30" s="1" t="s">
        <v>2329</v>
      </c>
      <c r="T30" s="1" t="s">
        <v>2407</v>
      </c>
      <c r="U30" s="1"/>
      <c r="V30" s="1"/>
      <c r="W30" s="1"/>
      <c r="X30" s="1"/>
      <c r="Y30" s="1"/>
      <c r="Z30" s="1"/>
      <c r="AA30" s="1"/>
      <c r="AB30" s="1"/>
      <c r="AC30" s="56" t="s">
        <v>216</v>
      </c>
      <c r="AD30" s="56" t="s">
        <v>234</v>
      </c>
    </row>
    <row r="31" spans="1:30">
      <c r="A31" s="1">
        <v>2020</v>
      </c>
      <c r="B31" s="1">
        <v>202010</v>
      </c>
      <c r="C31" s="1">
        <v>202015888</v>
      </c>
      <c r="D31" s="1" t="s">
        <v>2481</v>
      </c>
      <c r="E31" s="1" t="s">
        <v>2482</v>
      </c>
      <c r="F31" s="1" t="s">
        <v>106</v>
      </c>
      <c r="G31" s="53" t="str">
        <f>_xlfn.XLOOKUP(Tabla2[[#This Row],[Universidad]],Conversiones!$B:$B,Conversiones!$C:$C)</f>
        <v>Universidad de San Andrés</v>
      </c>
      <c r="H31" s="53" t="str">
        <f>_xlfn.XLOOKUP(Tabla2[[#This Row],[Universidad KPIs]],Conversiones!$C:$C,Conversiones!$E:$E)</f>
        <v>General</v>
      </c>
      <c r="I31" s="1" t="s">
        <v>107</v>
      </c>
      <c r="J31" s="1" t="s">
        <v>265</v>
      </c>
      <c r="K31" s="1" t="s">
        <v>2483</v>
      </c>
      <c r="L31" s="1" t="s">
        <v>2484</v>
      </c>
      <c r="M31" s="1" t="s">
        <v>213</v>
      </c>
      <c r="N31" s="1" t="s">
        <v>2334</v>
      </c>
      <c r="O31" s="54" t="s">
        <v>2335</v>
      </c>
      <c r="P31" s="1">
        <v>1</v>
      </c>
      <c r="Q31" s="1" t="s">
        <v>2485</v>
      </c>
      <c r="R31" s="1" t="s">
        <v>2486</v>
      </c>
      <c r="S31" s="1" t="s">
        <v>2356</v>
      </c>
      <c r="T31" s="1"/>
      <c r="U31" s="1"/>
      <c r="V31" s="1"/>
      <c r="W31" s="1"/>
      <c r="X31" s="1"/>
      <c r="Y31" s="1"/>
      <c r="Z31" s="1"/>
      <c r="AA31" s="1"/>
      <c r="AB31" s="1"/>
      <c r="AC31" s="56" t="s">
        <v>230</v>
      </c>
      <c r="AD31" s="56" t="s">
        <v>227</v>
      </c>
    </row>
    <row r="32" spans="1:30">
      <c r="A32" s="1">
        <v>2020</v>
      </c>
      <c r="B32" s="1">
        <v>202010</v>
      </c>
      <c r="C32" s="1">
        <v>202015890</v>
      </c>
      <c r="D32" s="1" t="s">
        <v>2487</v>
      </c>
      <c r="E32" s="1" t="s">
        <v>2488</v>
      </c>
      <c r="F32" s="1" t="s">
        <v>106</v>
      </c>
      <c r="G32" s="53" t="str">
        <f>_xlfn.XLOOKUP(Tabla2[[#This Row],[Universidad]],Conversiones!$B:$B,Conversiones!$C:$C)</f>
        <v>Universidad de San Andrés</v>
      </c>
      <c r="H32" s="53" t="str">
        <f>_xlfn.XLOOKUP(Tabla2[[#This Row],[Universidad KPIs]],Conversiones!$C:$C,Conversiones!$E:$E)</f>
        <v>General</v>
      </c>
      <c r="I32" s="1" t="s">
        <v>107</v>
      </c>
      <c r="J32" s="1" t="s">
        <v>265</v>
      </c>
      <c r="K32" s="1" t="s">
        <v>2489</v>
      </c>
      <c r="L32" s="1" t="s">
        <v>2490</v>
      </c>
      <c r="M32" s="1" t="s">
        <v>213</v>
      </c>
      <c r="N32" s="1" t="s">
        <v>2334</v>
      </c>
      <c r="O32" s="54" t="s">
        <v>2335</v>
      </c>
      <c r="P32" s="1">
        <v>1</v>
      </c>
      <c r="Q32" s="1" t="s">
        <v>2428</v>
      </c>
      <c r="R32" s="1" t="s">
        <v>2491</v>
      </c>
      <c r="S32" s="1"/>
      <c r="T32" s="1"/>
      <c r="U32" s="1"/>
      <c r="V32" s="1"/>
      <c r="W32" s="1"/>
      <c r="X32" s="1"/>
      <c r="Y32" s="1"/>
      <c r="Z32" s="1"/>
      <c r="AA32" s="1"/>
      <c r="AB32" s="1"/>
      <c r="AC32" s="56" t="s">
        <v>228</v>
      </c>
      <c r="AD32" s="56" t="s">
        <v>227</v>
      </c>
    </row>
    <row r="33" spans="1:30">
      <c r="A33" s="1">
        <v>2020</v>
      </c>
      <c r="B33" s="1">
        <v>202010</v>
      </c>
      <c r="C33" s="1">
        <v>202015892</v>
      </c>
      <c r="D33" s="1" t="s">
        <v>2492</v>
      </c>
      <c r="E33" s="1" t="s">
        <v>2493</v>
      </c>
      <c r="F33" s="1" t="s">
        <v>146</v>
      </c>
      <c r="G33" s="53" t="str">
        <f>_xlfn.XLOOKUP(Tabla2[[#This Row],[Universidad]],Conversiones!$B:$B,Conversiones!$C:$C)</f>
        <v>Universidad de Tarapacá</v>
      </c>
      <c r="H33" s="53" t="str">
        <f>_xlfn.XLOOKUP(Tabla2[[#This Row],[Universidad KPIs]],Conversiones!$C:$C,Conversiones!$E:$E)</f>
        <v>General</v>
      </c>
      <c r="I33" s="1" t="s">
        <v>93</v>
      </c>
      <c r="J33" s="1" t="s">
        <v>265</v>
      </c>
      <c r="K33" s="1" t="s">
        <v>2494</v>
      </c>
      <c r="L33" s="1" t="s">
        <v>2495</v>
      </c>
      <c r="M33" s="1" t="s">
        <v>213</v>
      </c>
      <c r="N33" s="1" t="s">
        <v>2298</v>
      </c>
      <c r="O33" s="54" t="s">
        <v>2299</v>
      </c>
      <c r="P33" s="1">
        <v>1</v>
      </c>
      <c r="Q33" s="1" t="s">
        <v>2399</v>
      </c>
      <c r="R33" s="1" t="s">
        <v>2496</v>
      </c>
      <c r="S33" s="1" t="s">
        <v>2497</v>
      </c>
      <c r="T33" s="1" t="s">
        <v>2369</v>
      </c>
      <c r="U33" s="1" t="s">
        <v>2456</v>
      </c>
      <c r="V33" s="1"/>
      <c r="W33" s="1"/>
      <c r="X33" s="1"/>
      <c r="Y33" s="1"/>
      <c r="Z33" s="1"/>
      <c r="AA33" s="1"/>
      <c r="AB33" s="1"/>
      <c r="AC33" s="56" t="s">
        <v>216</v>
      </c>
      <c r="AD33" s="56" t="s">
        <v>234</v>
      </c>
    </row>
    <row r="34" spans="1:30">
      <c r="A34" s="1">
        <v>2020</v>
      </c>
      <c r="B34" s="1">
        <v>202010</v>
      </c>
      <c r="C34" s="1">
        <v>202015866</v>
      </c>
      <c r="D34" s="1" t="s">
        <v>2498</v>
      </c>
      <c r="E34" s="1" t="s">
        <v>2499</v>
      </c>
      <c r="F34" s="1" t="s">
        <v>307</v>
      </c>
      <c r="G34" s="53" t="str">
        <f>_xlfn.XLOOKUP(Tabla2[[#This Row],[Universidad]],Conversiones!$B:$B,Conversiones!$C:$C)</f>
        <v>University of Mannheim Business School</v>
      </c>
      <c r="H34" s="53" t="str">
        <f>_xlfn.XLOOKUP(Tabla2[[#This Row],[Universidad KPIs]],Conversiones!$C:$C,Conversiones!$E:$E)</f>
        <v>Específico</v>
      </c>
      <c r="I34" s="1" t="s">
        <v>60</v>
      </c>
      <c r="J34" s="1" t="s">
        <v>250</v>
      </c>
      <c r="K34" s="1" t="s">
        <v>2500</v>
      </c>
      <c r="L34" s="1" t="s">
        <v>2501</v>
      </c>
      <c r="M34" s="1" t="s">
        <v>213</v>
      </c>
      <c r="N34" s="1" t="s">
        <v>2334</v>
      </c>
      <c r="O34" s="54" t="s">
        <v>2335</v>
      </c>
      <c r="P34" s="1">
        <v>1</v>
      </c>
      <c r="Q34" s="1" t="s">
        <v>2363</v>
      </c>
      <c r="R34" s="1" t="s">
        <v>2502</v>
      </c>
      <c r="S34" s="1" t="s">
        <v>2503</v>
      </c>
      <c r="T34" s="1" t="s">
        <v>2504</v>
      </c>
      <c r="U34" s="1" t="s">
        <v>2376</v>
      </c>
      <c r="V34" s="1" t="s">
        <v>2357</v>
      </c>
      <c r="W34" s="1"/>
      <c r="X34" s="1"/>
      <c r="Y34" s="1"/>
      <c r="Z34" s="1"/>
      <c r="AA34" s="1"/>
      <c r="AB34" s="1"/>
      <c r="AC34" s="56" t="s">
        <v>228</v>
      </c>
      <c r="AD34" s="56" t="s">
        <v>227</v>
      </c>
    </row>
    <row r="35" spans="1:30">
      <c r="A35" s="1">
        <v>2020</v>
      </c>
      <c r="B35" s="1">
        <v>202010</v>
      </c>
      <c r="C35" s="1">
        <v>202015860</v>
      </c>
      <c r="D35" s="1" t="s">
        <v>2505</v>
      </c>
      <c r="E35" s="1" t="s">
        <v>2506</v>
      </c>
      <c r="F35" s="1" t="s">
        <v>2507</v>
      </c>
      <c r="G35" s="53" t="str">
        <f>_xlfn.XLOOKUP(Tabla2[[#This Row],[Universidad]],Conversiones!$B:$B,Conversiones!$C:$C)</f>
        <v>Universitat Politecnica de Valencia</v>
      </c>
      <c r="H35" s="53" t="str">
        <f>_xlfn.XLOOKUP(Tabla2[[#This Row],[Universidad KPIs]],Conversiones!$C:$C,Conversiones!$E:$E)</f>
        <v>General</v>
      </c>
      <c r="I35" s="1" t="s">
        <v>53</v>
      </c>
      <c r="J35" s="1" t="s">
        <v>250</v>
      </c>
      <c r="K35" s="1" t="s">
        <v>2508</v>
      </c>
      <c r="L35" s="1" t="s">
        <v>2509</v>
      </c>
      <c r="M35" s="1" t="s">
        <v>213</v>
      </c>
      <c r="N35" s="1" t="s">
        <v>2298</v>
      </c>
      <c r="O35" s="54" t="s">
        <v>2299</v>
      </c>
      <c r="P35" s="1">
        <v>1</v>
      </c>
      <c r="Q35" s="1" t="s">
        <v>2510</v>
      </c>
      <c r="R35" s="1" t="s">
        <v>2328</v>
      </c>
      <c r="S35" s="1" t="s">
        <v>2307</v>
      </c>
      <c r="T35" s="1" t="s">
        <v>2511</v>
      </c>
      <c r="U35" s="1" t="s">
        <v>2329</v>
      </c>
      <c r="V35" s="1"/>
      <c r="W35" s="1"/>
      <c r="X35" s="1"/>
      <c r="Y35" s="1"/>
      <c r="Z35" s="1"/>
      <c r="AA35" s="1"/>
      <c r="AB35" s="1"/>
      <c r="AC35" s="56" t="s">
        <v>216</v>
      </c>
      <c r="AD35" s="56" t="s">
        <v>234</v>
      </c>
    </row>
    <row r="36" spans="1:30">
      <c r="A36" s="1">
        <v>2020</v>
      </c>
      <c r="B36" s="1">
        <v>202010</v>
      </c>
      <c r="C36" s="1">
        <v>202015844</v>
      </c>
      <c r="D36" s="1" t="s">
        <v>2512</v>
      </c>
      <c r="E36" s="1" t="s">
        <v>2513</v>
      </c>
      <c r="F36" s="1" t="s">
        <v>493</v>
      </c>
      <c r="G36" s="53" t="str">
        <f>_xlfn.XLOOKUP(Tabla2[[#This Row],[Universidad]],Conversiones!$B:$B,Conversiones!$C:$C)</f>
        <v>University of Saint Gallen</v>
      </c>
      <c r="H36" s="53" t="str">
        <f>_xlfn.XLOOKUP(Tabla2[[#This Row],[Universidad KPIs]],Conversiones!$C:$C,Conversiones!$E:$E)</f>
        <v>Específico</v>
      </c>
      <c r="I36" s="1" t="s">
        <v>65</v>
      </c>
      <c r="J36" s="1" t="s">
        <v>250</v>
      </c>
      <c r="K36" s="1" t="s">
        <v>2514</v>
      </c>
      <c r="L36" s="1" t="s">
        <v>2515</v>
      </c>
      <c r="M36" s="1" t="s">
        <v>213</v>
      </c>
      <c r="N36" s="1" t="s">
        <v>2334</v>
      </c>
      <c r="O36" s="54" t="s">
        <v>2335</v>
      </c>
      <c r="P36" s="1">
        <v>1</v>
      </c>
      <c r="Q36" s="1" t="s">
        <v>2516</v>
      </c>
      <c r="R36" s="1" t="s">
        <v>2412</v>
      </c>
      <c r="S36" s="1" t="s">
        <v>2387</v>
      </c>
      <c r="T36" s="1" t="s">
        <v>2382</v>
      </c>
      <c r="U36" s="1" t="s">
        <v>2517</v>
      </c>
      <c r="V36" s="1" t="s">
        <v>2518</v>
      </c>
      <c r="W36" s="1" t="s">
        <v>2376</v>
      </c>
      <c r="X36" s="1"/>
      <c r="Y36" s="1"/>
      <c r="Z36" s="1"/>
      <c r="AA36" s="1"/>
      <c r="AB36" s="1"/>
      <c r="AC36" s="56" t="s">
        <v>228</v>
      </c>
      <c r="AD36" s="56" t="s">
        <v>227</v>
      </c>
    </row>
    <row r="37" spans="1:30">
      <c r="A37" s="1">
        <v>2020</v>
      </c>
      <c r="B37" s="1">
        <v>202010</v>
      </c>
      <c r="C37" s="1">
        <v>201924503</v>
      </c>
      <c r="D37" s="1" t="s">
        <v>2519</v>
      </c>
      <c r="E37" s="1" t="s">
        <v>2520</v>
      </c>
      <c r="F37" s="1" t="s">
        <v>1369</v>
      </c>
      <c r="G37" s="53" t="str">
        <f>_xlfn.XLOOKUP(Tabla2[[#This Row],[Universidad]],Conversiones!$B:$B,Conversiones!$C:$C)</f>
        <v>EM Strasbourg</v>
      </c>
      <c r="H37" s="53" t="str">
        <f>_xlfn.XLOOKUP(Tabla2[[#This Row],[Universidad KPIs]],Conversiones!$C:$C,Conversiones!$E:$E)</f>
        <v>Específico</v>
      </c>
      <c r="I37" s="1" t="s">
        <v>41</v>
      </c>
      <c r="J37" s="1" t="s">
        <v>250</v>
      </c>
      <c r="K37" s="1" t="s">
        <v>2521</v>
      </c>
      <c r="L37" s="1" t="s">
        <v>2522</v>
      </c>
      <c r="M37" s="1" t="s">
        <v>213</v>
      </c>
      <c r="N37" s="1" t="s">
        <v>2298</v>
      </c>
      <c r="O37" s="54" t="s">
        <v>2299</v>
      </c>
      <c r="P37" s="1">
        <v>1</v>
      </c>
      <c r="Q37" s="1" t="s">
        <v>2523</v>
      </c>
      <c r="R37" s="1" t="s">
        <v>2399</v>
      </c>
      <c r="S37" s="1" t="s">
        <v>2412</v>
      </c>
      <c r="T37" s="1" t="s">
        <v>2524</v>
      </c>
      <c r="U37" s="1" t="s">
        <v>2441</v>
      </c>
      <c r="V37" s="1" t="s">
        <v>2525</v>
      </c>
      <c r="W37" s="1" t="s">
        <v>2400</v>
      </c>
      <c r="X37" s="1"/>
      <c r="Y37" s="1"/>
      <c r="Z37" s="1"/>
      <c r="AA37" s="1"/>
      <c r="AB37" s="1"/>
      <c r="AC37" s="56" t="s">
        <v>216</v>
      </c>
      <c r="AD37" s="56" t="s">
        <v>234</v>
      </c>
    </row>
    <row r="38" spans="1:30">
      <c r="A38" s="1">
        <v>2020</v>
      </c>
      <c r="B38" s="1">
        <v>202010</v>
      </c>
      <c r="C38" s="1">
        <v>201924500</v>
      </c>
      <c r="D38" s="1" t="s">
        <v>2526</v>
      </c>
      <c r="E38" s="1" t="s">
        <v>2527</v>
      </c>
      <c r="F38" s="1" t="s">
        <v>914</v>
      </c>
      <c r="G38" s="53" t="str">
        <f>_xlfn.XLOOKUP(Tabla2[[#This Row],[Universidad]],Conversiones!$B:$B,Conversiones!$C:$C)</f>
        <v>Universidad Jean Moulin Lyon 3</v>
      </c>
      <c r="H38" s="53" t="str">
        <f>_xlfn.XLOOKUP(Tabla2[[#This Row],[Universidad KPIs]],Conversiones!$C:$C,Conversiones!$E:$E)</f>
        <v>General</v>
      </c>
      <c r="I38" s="1" t="s">
        <v>41</v>
      </c>
      <c r="J38" s="1" t="s">
        <v>250</v>
      </c>
      <c r="K38" s="1" t="s">
        <v>2528</v>
      </c>
      <c r="L38" s="1" t="s">
        <v>2529</v>
      </c>
      <c r="M38" s="1" t="s">
        <v>213</v>
      </c>
      <c r="N38" s="1" t="s">
        <v>2298</v>
      </c>
      <c r="O38" s="54" t="s">
        <v>2299</v>
      </c>
      <c r="P38" s="1">
        <v>1</v>
      </c>
      <c r="Q38" s="1" t="s">
        <v>2530</v>
      </c>
      <c r="R38" s="1" t="s">
        <v>2307</v>
      </c>
      <c r="S38" s="1" t="s">
        <v>2308</v>
      </c>
      <c r="T38" s="1" t="s">
        <v>2321</v>
      </c>
      <c r="U38" s="1" t="s">
        <v>2301</v>
      </c>
      <c r="V38" s="1" t="s">
        <v>2423</v>
      </c>
      <c r="W38" s="1"/>
      <c r="X38" s="1"/>
      <c r="Y38" s="1"/>
      <c r="Z38" s="1"/>
      <c r="AA38" s="1"/>
      <c r="AB38" s="1"/>
      <c r="AC38" s="56" t="s">
        <v>216</v>
      </c>
      <c r="AD38" s="56" t="s">
        <v>234</v>
      </c>
    </row>
    <row r="39" spans="1:30">
      <c r="A39" s="1">
        <v>2020</v>
      </c>
      <c r="B39" s="1">
        <v>202010</v>
      </c>
      <c r="C39" s="1">
        <v>201924499</v>
      </c>
      <c r="D39" s="1" t="s">
        <v>2531</v>
      </c>
      <c r="E39" s="1" t="s">
        <v>2532</v>
      </c>
      <c r="F39" s="1" t="s">
        <v>914</v>
      </c>
      <c r="G39" s="53" t="str">
        <f>_xlfn.XLOOKUP(Tabla2[[#This Row],[Universidad]],Conversiones!$B:$B,Conversiones!$C:$C)</f>
        <v>Universidad Jean Moulin Lyon 3</v>
      </c>
      <c r="H39" s="53" t="str">
        <f>_xlfn.XLOOKUP(Tabla2[[#This Row],[Universidad KPIs]],Conversiones!$C:$C,Conversiones!$E:$E)</f>
        <v>General</v>
      </c>
      <c r="I39" s="1" t="s">
        <v>41</v>
      </c>
      <c r="J39" s="1" t="s">
        <v>250</v>
      </c>
      <c r="K39" s="1" t="s">
        <v>2533</v>
      </c>
      <c r="L39" s="1" t="s">
        <v>2534</v>
      </c>
      <c r="M39" s="1" t="s">
        <v>213</v>
      </c>
      <c r="N39" s="1" t="s">
        <v>2298</v>
      </c>
      <c r="O39" s="54" t="s">
        <v>2299</v>
      </c>
      <c r="P39" s="1">
        <v>1</v>
      </c>
      <c r="Q39" s="1" t="s">
        <v>2475</v>
      </c>
      <c r="R39" s="1" t="s">
        <v>2307</v>
      </c>
      <c r="S39" s="1" t="s">
        <v>2535</v>
      </c>
      <c r="T39" s="1"/>
      <c r="U39" s="1"/>
      <c r="V39" s="1"/>
      <c r="W39" s="1"/>
      <c r="X39" s="1"/>
      <c r="Y39" s="1"/>
      <c r="Z39" s="1"/>
      <c r="AA39" s="1"/>
      <c r="AB39" s="1"/>
      <c r="AC39" s="56" t="s">
        <v>216</v>
      </c>
      <c r="AD39" s="56" t="s">
        <v>234</v>
      </c>
    </row>
    <row r="40" spans="1:30">
      <c r="A40" s="1">
        <v>2020</v>
      </c>
      <c r="B40" s="1">
        <v>202010</v>
      </c>
      <c r="C40" s="1">
        <v>201924501</v>
      </c>
      <c r="D40" s="1" t="s">
        <v>2536</v>
      </c>
      <c r="E40" s="1" t="s">
        <v>2537</v>
      </c>
      <c r="F40" s="1" t="s">
        <v>914</v>
      </c>
      <c r="G40" s="53" t="str">
        <f>_xlfn.XLOOKUP(Tabla2[[#This Row],[Universidad]],Conversiones!$B:$B,Conversiones!$C:$C)</f>
        <v>Universidad Jean Moulin Lyon 3</v>
      </c>
      <c r="H40" s="53" t="str">
        <f>_xlfn.XLOOKUP(Tabla2[[#This Row],[Universidad KPIs]],Conversiones!$C:$C,Conversiones!$E:$E)</f>
        <v>General</v>
      </c>
      <c r="I40" s="1" t="s">
        <v>41</v>
      </c>
      <c r="J40" s="1" t="s">
        <v>250</v>
      </c>
      <c r="K40" s="1" t="s">
        <v>2538</v>
      </c>
      <c r="L40" s="1" t="s">
        <v>2539</v>
      </c>
      <c r="M40" s="1" t="s">
        <v>213</v>
      </c>
      <c r="N40" s="1" t="s">
        <v>2298</v>
      </c>
      <c r="O40" s="54" t="s">
        <v>2299</v>
      </c>
      <c r="P40" s="1">
        <v>1</v>
      </c>
      <c r="Q40" s="1" t="s">
        <v>2486</v>
      </c>
      <c r="R40" s="1" t="s">
        <v>2540</v>
      </c>
      <c r="S40" s="1" t="s">
        <v>2541</v>
      </c>
      <c r="T40" s="1" t="s">
        <v>2542</v>
      </c>
      <c r="U40" s="1"/>
      <c r="V40" s="1"/>
      <c r="W40" s="1"/>
      <c r="X40" s="1"/>
      <c r="Y40" s="1"/>
      <c r="Z40" s="1"/>
      <c r="AA40" s="1"/>
      <c r="AB40" s="1"/>
      <c r="AC40" s="56" t="s">
        <v>216</v>
      </c>
      <c r="AD40" s="56" t="s">
        <v>234</v>
      </c>
    </row>
    <row r="41" spans="1:30">
      <c r="A41" s="1">
        <v>2020</v>
      </c>
      <c r="B41" s="1">
        <v>202010</v>
      </c>
      <c r="C41" s="1">
        <v>202015832</v>
      </c>
      <c r="D41" s="1" t="s">
        <v>2543</v>
      </c>
      <c r="E41" s="1" t="s">
        <v>2544</v>
      </c>
      <c r="F41" s="1" t="s">
        <v>2264</v>
      </c>
      <c r="G41" s="53" t="str">
        <f>_xlfn.XLOOKUP(Tabla2[[#This Row],[Universidad]],Conversiones!$B:$B,Conversiones!$C:$C)</f>
        <v>Université Paris-Dauphine</v>
      </c>
      <c r="H41" s="53" t="str">
        <f>_xlfn.XLOOKUP(Tabla2[[#This Row],[Universidad KPIs]],Conversiones!$C:$C,Conversiones!$E:$E)</f>
        <v>General</v>
      </c>
      <c r="I41" s="1" t="s">
        <v>41</v>
      </c>
      <c r="J41" s="1" t="s">
        <v>250</v>
      </c>
      <c r="K41" s="1" t="s">
        <v>2545</v>
      </c>
      <c r="L41" s="1" t="s">
        <v>2546</v>
      </c>
      <c r="M41" s="1" t="s">
        <v>213</v>
      </c>
      <c r="N41" s="1" t="s">
        <v>2298</v>
      </c>
      <c r="O41" s="54" t="s">
        <v>2299</v>
      </c>
      <c r="P41" s="1">
        <v>1</v>
      </c>
      <c r="Q41" s="1" t="s">
        <v>2308</v>
      </c>
      <c r="R41" s="1" t="s">
        <v>2300</v>
      </c>
      <c r="S41" s="1" t="s">
        <v>2496</v>
      </c>
      <c r="T41" s="1" t="s">
        <v>2407</v>
      </c>
      <c r="U41" s="1"/>
      <c r="V41" s="1"/>
      <c r="W41" s="1"/>
      <c r="X41" s="1"/>
      <c r="Y41" s="1"/>
      <c r="Z41" s="1"/>
      <c r="AA41" s="1"/>
      <c r="AB41" s="1"/>
      <c r="AC41" s="56" t="s">
        <v>216</v>
      </c>
      <c r="AD41" s="56" t="s">
        <v>234</v>
      </c>
    </row>
    <row r="42" spans="1:30">
      <c r="A42" s="1">
        <v>2020</v>
      </c>
      <c r="B42" s="1">
        <v>202010</v>
      </c>
      <c r="C42" s="1">
        <v>201924477</v>
      </c>
      <c r="D42" s="1" t="s">
        <v>2547</v>
      </c>
      <c r="E42" s="1" t="s">
        <v>2548</v>
      </c>
      <c r="F42" s="1" t="s">
        <v>167</v>
      </c>
      <c r="G42" s="53" t="str">
        <f>_xlfn.XLOOKUP(Tabla2[[#This Row],[Universidad]],Conversiones!$B:$B,Conversiones!$C:$C)</f>
        <v>University of Sussex</v>
      </c>
      <c r="H42" s="53" t="str">
        <f>_xlfn.XLOOKUP(Tabla2[[#This Row],[Universidad KPIs]],Conversiones!$C:$C,Conversiones!$E:$E)</f>
        <v>General</v>
      </c>
      <c r="I42" s="1" t="s">
        <v>39</v>
      </c>
      <c r="J42" s="1" t="s">
        <v>250</v>
      </c>
      <c r="K42" s="1" t="s">
        <v>2549</v>
      </c>
      <c r="L42" s="1" t="s">
        <v>2550</v>
      </c>
      <c r="M42" s="1" t="s">
        <v>213</v>
      </c>
      <c r="N42" s="1" t="s">
        <v>2298</v>
      </c>
      <c r="O42" s="54" t="s">
        <v>2299</v>
      </c>
      <c r="P42" s="1">
        <v>1</v>
      </c>
      <c r="Q42" s="1" t="s">
        <v>2328</v>
      </c>
      <c r="R42" s="1" t="s">
        <v>2382</v>
      </c>
      <c r="S42" s="1" t="s">
        <v>2370</v>
      </c>
      <c r="T42" s="1" t="s">
        <v>2407</v>
      </c>
      <c r="U42" s="1" t="s">
        <v>2551</v>
      </c>
      <c r="V42" s="1" t="s">
        <v>2552</v>
      </c>
      <c r="W42" s="1"/>
      <c r="X42" s="1"/>
      <c r="Y42" s="1"/>
      <c r="Z42" s="1"/>
      <c r="AA42" s="1"/>
      <c r="AB42" s="1"/>
      <c r="AC42" s="56" t="s">
        <v>216</v>
      </c>
      <c r="AD42" s="56" t="s">
        <v>234</v>
      </c>
    </row>
    <row r="43" spans="1:30">
      <c r="A43" s="1">
        <v>2020</v>
      </c>
      <c r="B43" s="1">
        <v>202010</v>
      </c>
      <c r="C43" s="1">
        <v>202015923</v>
      </c>
      <c r="D43" s="1" t="s">
        <v>2553</v>
      </c>
      <c r="E43" s="1" t="s">
        <v>2554</v>
      </c>
      <c r="F43" s="1" t="s">
        <v>279</v>
      </c>
      <c r="G43" s="53" t="str">
        <f>_xlfn.XLOOKUP(Tabla2[[#This Row],[Universidad]],Conversiones!$B:$B,Conversiones!$C:$C)</f>
        <v>Toulouse Business School</v>
      </c>
      <c r="H43" s="53" t="str">
        <f>_xlfn.XLOOKUP(Tabla2[[#This Row],[Universidad KPIs]],Conversiones!$C:$C,Conversiones!$E:$E)</f>
        <v>Específico</v>
      </c>
      <c r="I43" s="1" t="s">
        <v>41</v>
      </c>
      <c r="J43" s="1" t="s">
        <v>250</v>
      </c>
      <c r="K43" s="1" t="s">
        <v>2555</v>
      </c>
      <c r="L43" s="1" t="s">
        <v>2556</v>
      </c>
      <c r="M43" s="1" t="s">
        <v>214</v>
      </c>
      <c r="N43" s="1" t="s">
        <v>2298</v>
      </c>
      <c r="O43" s="54"/>
      <c r="P43" s="1">
        <v>1</v>
      </c>
      <c r="Q43" s="1" t="s">
        <v>2557</v>
      </c>
      <c r="R43" s="1" t="s">
        <v>2307</v>
      </c>
      <c r="S43" s="1" t="s">
        <v>2558</v>
      </c>
      <c r="T43" s="1" t="s">
        <v>2559</v>
      </c>
      <c r="U43" s="1" t="s">
        <v>2560</v>
      </c>
      <c r="V43" s="1" t="s">
        <v>2535</v>
      </c>
      <c r="W43" s="1" t="s">
        <v>2561</v>
      </c>
      <c r="X43" s="1" t="s">
        <v>2405</v>
      </c>
      <c r="Y43" s="1" t="s">
        <v>2400</v>
      </c>
      <c r="Z43" s="1" t="s">
        <v>2562</v>
      </c>
      <c r="AA43" s="1"/>
      <c r="AB43" s="1"/>
      <c r="AC43" s="56" t="s">
        <v>216</v>
      </c>
      <c r="AD43" s="56" t="s">
        <v>234</v>
      </c>
    </row>
    <row r="44" spans="1:30">
      <c r="A44" s="1">
        <v>2020</v>
      </c>
      <c r="B44" s="1">
        <v>202010</v>
      </c>
      <c r="C44" s="1">
        <v>202015971</v>
      </c>
      <c r="D44" s="1" t="s">
        <v>2563</v>
      </c>
      <c r="E44" s="1" t="s">
        <v>2564</v>
      </c>
      <c r="F44" s="1" t="s">
        <v>279</v>
      </c>
      <c r="G44" s="53" t="str">
        <f>_xlfn.XLOOKUP(Tabla2[[#This Row],[Universidad]],Conversiones!$B:$B,Conversiones!$C:$C)</f>
        <v>Toulouse Business School</v>
      </c>
      <c r="H44" s="53" t="str">
        <f>_xlfn.XLOOKUP(Tabla2[[#This Row],[Universidad KPIs]],Conversiones!$C:$C,Conversiones!$E:$E)</f>
        <v>Específico</v>
      </c>
      <c r="I44" s="1" t="s">
        <v>41</v>
      </c>
      <c r="J44" s="1" t="s">
        <v>250</v>
      </c>
      <c r="K44" s="1" t="s">
        <v>2565</v>
      </c>
      <c r="L44" s="1" t="s">
        <v>2566</v>
      </c>
      <c r="M44" s="1" t="s">
        <v>214</v>
      </c>
      <c r="N44" s="1" t="s">
        <v>2298</v>
      </c>
      <c r="O44" s="54"/>
      <c r="P44" s="1">
        <v>1</v>
      </c>
      <c r="Q44" s="1" t="s">
        <v>2559</v>
      </c>
      <c r="R44" s="1" t="s">
        <v>2557</v>
      </c>
      <c r="S44" s="1" t="s">
        <v>2567</v>
      </c>
      <c r="T44" s="1" t="s">
        <v>2562</v>
      </c>
      <c r="U44" s="1" t="s">
        <v>2400</v>
      </c>
      <c r="V44" s="1" t="s">
        <v>2568</v>
      </c>
      <c r="W44" s="1" t="s">
        <v>2322</v>
      </c>
      <c r="X44" s="1" t="s">
        <v>2560</v>
      </c>
      <c r="Y44" s="1" t="s">
        <v>2535</v>
      </c>
      <c r="Z44" s="1"/>
      <c r="AA44" s="1"/>
      <c r="AB44" s="1"/>
      <c r="AC44" s="56" t="s">
        <v>216</v>
      </c>
      <c r="AD44" s="56" t="s">
        <v>234</v>
      </c>
    </row>
    <row r="45" spans="1:30">
      <c r="A45" s="1">
        <v>2021</v>
      </c>
      <c r="B45" s="1">
        <v>202110</v>
      </c>
      <c r="C45" s="1">
        <v>202116307</v>
      </c>
      <c r="D45" s="1" t="s">
        <v>2569</v>
      </c>
      <c r="E45" s="1" t="s">
        <v>2570</v>
      </c>
      <c r="F45" s="1" t="s">
        <v>36</v>
      </c>
      <c r="G45" s="53" t="str">
        <f>_xlfn.XLOOKUP(Tabla2[[#This Row],[Universidad]],Conversiones!$B:$B,Conversiones!$C:$C)</f>
        <v>Aalto University</v>
      </c>
      <c r="H45" s="53" t="str">
        <f>_xlfn.XLOOKUP(Tabla2[[#This Row],[Universidad KPIs]],Conversiones!$C:$C,Conversiones!$E:$E)</f>
        <v>Específico</v>
      </c>
      <c r="I45" s="1" t="s">
        <v>37</v>
      </c>
      <c r="J45" s="1" t="s">
        <v>250</v>
      </c>
      <c r="K45" s="1" t="s">
        <v>2571</v>
      </c>
      <c r="L45" s="1" t="s">
        <v>2572</v>
      </c>
      <c r="M45" s="1" t="s">
        <v>213</v>
      </c>
      <c r="N45" s="1" t="s">
        <v>2298</v>
      </c>
      <c r="O45" s="54" t="s">
        <v>2299</v>
      </c>
      <c r="P45" s="1">
        <v>1</v>
      </c>
      <c r="Q45" s="1" t="s">
        <v>2328</v>
      </c>
      <c r="R45" s="1" t="s">
        <v>2307</v>
      </c>
      <c r="S45" s="1" t="s">
        <v>2300</v>
      </c>
      <c r="T45" s="1" t="s">
        <v>2407</v>
      </c>
      <c r="U45" s="1" t="s">
        <v>2406</v>
      </c>
      <c r="V45" s="1"/>
      <c r="W45" s="1"/>
      <c r="X45" s="1"/>
      <c r="Y45" s="1"/>
      <c r="Z45" s="1"/>
      <c r="AA45" s="1"/>
      <c r="AB45" s="1"/>
      <c r="AC45" s="56" t="s">
        <v>216</v>
      </c>
      <c r="AD45" s="56" t="s">
        <v>234</v>
      </c>
    </row>
    <row r="46" spans="1:30">
      <c r="A46" s="1">
        <v>2021</v>
      </c>
      <c r="B46" s="1">
        <v>202110</v>
      </c>
      <c r="C46" s="1">
        <v>202116309</v>
      </c>
      <c r="D46" s="1" t="s">
        <v>2573</v>
      </c>
      <c r="E46" s="1" t="s">
        <v>2574</v>
      </c>
      <c r="F46" s="1" t="s">
        <v>350</v>
      </c>
      <c r="G46" s="53" t="str">
        <f>_xlfn.XLOOKUP(Tabla2[[#This Row],[Universidad]],Conversiones!$B:$B,Conversiones!$C:$C)</f>
        <v>Audencia. École de Management</v>
      </c>
      <c r="H46" s="53" t="str">
        <f>_xlfn.XLOOKUP(Tabla2[[#This Row],[Universidad KPIs]],Conversiones!$C:$C,Conversiones!$E:$E)</f>
        <v>Específico</v>
      </c>
      <c r="I46" s="1" t="s">
        <v>41</v>
      </c>
      <c r="J46" s="1" t="s">
        <v>250</v>
      </c>
      <c r="K46" s="1" t="s">
        <v>2575</v>
      </c>
      <c r="L46" s="1" t="s">
        <v>2576</v>
      </c>
      <c r="M46" s="1" t="s">
        <v>213</v>
      </c>
      <c r="N46" s="1" t="s">
        <v>2298</v>
      </c>
      <c r="O46" s="54" t="s">
        <v>2299</v>
      </c>
      <c r="P46" s="1">
        <v>1</v>
      </c>
      <c r="Q46" s="1" t="s">
        <v>2577</v>
      </c>
      <c r="R46" s="1" t="s">
        <v>2300</v>
      </c>
      <c r="S46" s="1" t="s">
        <v>2301</v>
      </c>
      <c r="T46" s="1" t="s">
        <v>2578</v>
      </c>
      <c r="U46" s="1" t="s">
        <v>2302</v>
      </c>
      <c r="V46" s="1"/>
      <c r="W46" s="1"/>
      <c r="X46" s="1"/>
      <c r="Y46" s="1"/>
      <c r="Z46" s="1"/>
      <c r="AA46" s="1"/>
      <c r="AB46" s="1"/>
      <c r="AC46" s="56" t="s">
        <v>216</v>
      </c>
      <c r="AD46" s="56" t="s">
        <v>234</v>
      </c>
    </row>
    <row r="47" spans="1:30">
      <c r="A47" s="1">
        <v>2021</v>
      </c>
      <c r="B47" s="1">
        <v>202110</v>
      </c>
      <c r="C47" s="1">
        <v>202116316</v>
      </c>
      <c r="D47" s="1" t="s">
        <v>2579</v>
      </c>
      <c r="E47" s="1" t="s">
        <v>2580</v>
      </c>
      <c r="F47" s="1" t="s">
        <v>128</v>
      </c>
      <c r="G47" s="53" t="str">
        <f>_xlfn.XLOOKUP(Tabla2[[#This Row],[Universidad]],Conversiones!$B:$B,Conversiones!$C:$C)</f>
        <v>CY Cergy Paris Université</v>
      </c>
      <c r="H47" s="53" t="str">
        <f>_xlfn.XLOOKUP(Tabla2[[#This Row],[Universidad KPIs]],Conversiones!$C:$C,Conversiones!$E:$E)</f>
        <v>General</v>
      </c>
      <c r="I47" s="1" t="s">
        <v>41</v>
      </c>
      <c r="J47" s="1" t="s">
        <v>250</v>
      </c>
      <c r="K47" s="1" t="s">
        <v>2581</v>
      </c>
      <c r="L47" s="1" t="s">
        <v>2582</v>
      </c>
      <c r="M47" s="1" t="s">
        <v>213</v>
      </c>
      <c r="N47" s="1" t="s">
        <v>2298</v>
      </c>
      <c r="O47" s="54" t="s">
        <v>2299</v>
      </c>
      <c r="P47" s="1">
        <v>1</v>
      </c>
      <c r="Q47" s="1" t="s">
        <v>2300</v>
      </c>
      <c r="R47" s="1" t="s">
        <v>2451</v>
      </c>
      <c r="S47" s="1" t="s">
        <v>2583</v>
      </c>
      <c r="T47" s="1" t="s">
        <v>2329</v>
      </c>
      <c r="U47" s="1" t="s">
        <v>2584</v>
      </c>
      <c r="V47" s="1"/>
      <c r="W47" s="1"/>
      <c r="X47" s="1"/>
      <c r="Y47" s="1"/>
      <c r="Z47" s="1"/>
      <c r="AA47" s="1"/>
      <c r="AB47" s="1"/>
      <c r="AC47" s="56" t="s">
        <v>216</v>
      </c>
      <c r="AD47" s="56" t="s">
        <v>234</v>
      </c>
    </row>
    <row r="48" spans="1:30">
      <c r="A48" s="1">
        <v>2021</v>
      </c>
      <c r="B48" s="1">
        <v>202110</v>
      </c>
      <c r="C48" s="1">
        <v>202116310</v>
      </c>
      <c r="D48" s="1" t="s">
        <v>2585</v>
      </c>
      <c r="E48" s="1" t="s">
        <v>2586</v>
      </c>
      <c r="F48" s="1" t="s">
        <v>388</v>
      </c>
      <c r="G48" s="53" t="str">
        <f>_xlfn.XLOOKUP(Tabla2[[#This Row],[Universidad]],Conversiones!$B:$B,Conversiones!$C:$C)</f>
        <v>ESCP</v>
      </c>
      <c r="H48" s="53" t="str">
        <f>_xlfn.XLOOKUP(Tabla2[[#This Row],[Universidad KPIs]],Conversiones!$C:$C,Conversiones!$E:$E)</f>
        <v>Específico</v>
      </c>
      <c r="I48" s="1" t="s">
        <v>41</v>
      </c>
      <c r="J48" s="1" t="s">
        <v>250</v>
      </c>
      <c r="K48" s="1" t="s">
        <v>2587</v>
      </c>
      <c r="L48" s="1" t="s">
        <v>2588</v>
      </c>
      <c r="M48" s="1" t="s">
        <v>213</v>
      </c>
      <c r="N48" s="1" t="s">
        <v>2298</v>
      </c>
      <c r="O48" s="54" t="s">
        <v>2299</v>
      </c>
      <c r="P48" s="1">
        <v>1</v>
      </c>
      <c r="Q48" s="1" t="s">
        <v>2307</v>
      </c>
      <c r="R48" s="1" t="s">
        <v>2441</v>
      </c>
      <c r="S48" s="1" t="s">
        <v>2329</v>
      </c>
      <c r="T48" s="1" t="s">
        <v>2589</v>
      </c>
      <c r="U48" s="1" t="s">
        <v>2590</v>
      </c>
      <c r="V48" s="1"/>
      <c r="W48" s="1"/>
      <c r="X48" s="1"/>
      <c r="Y48" s="1"/>
      <c r="Z48" s="1"/>
      <c r="AA48" s="1"/>
      <c r="AB48" s="1"/>
      <c r="AC48" s="56" t="s">
        <v>221</v>
      </c>
      <c r="AD48" s="56" t="s">
        <v>227</v>
      </c>
    </row>
    <row r="49" spans="1:30">
      <c r="A49" s="1">
        <v>2021</v>
      </c>
      <c r="B49" s="1">
        <v>202110</v>
      </c>
      <c r="C49" s="1">
        <v>202116313</v>
      </c>
      <c r="D49" s="1" t="s">
        <v>2591</v>
      </c>
      <c r="E49" s="1" t="s">
        <v>2592</v>
      </c>
      <c r="F49" s="1" t="s">
        <v>129</v>
      </c>
      <c r="G49" s="53" t="str">
        <f>_xlfn.XLOOKUP(Tabla2[[#This Row],[Universidad]],Conversiones!$B:$B,Conversiones!$C:$C)</f>
        <v>FHNW Fachhochschule Nordwestschweiz</v>
      </c>
      <c r="H49" s="53" t="str">
        <f>_xlfn.XLOOKUP(Tabla2[[#This Row],[Universidad KPIs]],Conversiones!$C:$C,Conversiones!$E:$E)</f>
        <v>General</v>
      </c>
      <c r="I49" s="1" t="s">
        <v>65</v>
      </c>
      <c r="J49" s="1" t="s">
        <v>250</v>
      </c>
      <c r="K49" s="1" t="s">
        <v>2593</v>
      </c>
      <c r="L49" s="1" t="s">
        <v>2594</v>
      </c>
      <c r="M49" s="1" t="s">
        <v>213</v>
      </c>
      <c r="N49" s="1" t="s">
        <v>2298</v>
      </c>
      <c r="O49" s="54" t="s">
        <v>2299</v>
      </c>
      <c r="P49" s="1">
        <v>1</v>
      </c>
      <c r="Q49" s="1" t="s">
        <v>2307</v>
      </c>
      <c r="R49" s="1" t="s">
        <v>2406</v>
      </c>
      <c r="S49" s="1" t="s">
        <v>2370</v>
      </c>
      <c r="T49" s="1" t="s">
        <v>2595</v>
      </c>
      <c r="U49" s="1"/>
      <c r="V49" s="1"/>
      <c r="W49" s="1"/>
      <c r="X49" s="1"/>
      <c r="Y49" s="1"/>
      <c r="Z49" s="1"/>
      <c r="AA49" s="1"/>
      <c r="AB49" s="1"/>
      <c r="AC49" s="56" t="s">
        <v>216</v>
      </c>
      <c r="AD49" s="56" t="s">
        <v>234</v>
      </c>
    </row>
    <row r="50" spans="1:30">
      <c r="A50" s="1">
        <v>2021</v>
      </c>
      <c r="B50" s="1">
        <v>202110</v>
      </c>
      <c r="C50" s="1">
        <v>202116325</v>
      </c>
      <c r="D50" s="1" t="s">
        <v>2596</v>
      </c>
      <c r="E50" s="1" t="s">
        <v>2597</v>
      </c>
      <c r="F50" s="1" t="s">
        <v>619</v>
      </c>
      <c r="G50" s="53" t="str">
        <f>_xlfn.XLOOKUP(Tabla2[[#This Row],[Universidad]],Conversiones!$B:$B,Conversiones!$C:$C)</f>
        <v>Grenoble. École de Management</v>
      </c>
      <c r="H50" s="53" t="str">
        <f>_xlfn.XLOOKUP(Tabla2[[#This Row],[Universidad KPIs]],Conversiones!$C:$C,Conversiones!$E:$E)</f>
        <v>Específico</v>
      </c>
      <c r="I50" s="1" t="s">
        <v>41</v>
      </c>
      <c r="J50" s="1" t="s">
        <v>250</v>
      </c>
      <c r="K50" s="1" t="s">
        <v>2598</v>
      </c>
      <c r="L50" s="1" t="s">
        <v>2599</v>
      </c>
      <c r="M50" s="1" t="s">
        <v>213</v>
      </c>
      <c r="N50" s="1" t="s">
        <v>2334</v>
      </c>
      <c r="O50" s="54" t="s">
        <v>2335</v>
      </c>
      <c r="P50" s="1">
        <v>1</v>
      </c>
      <c r="Q50" s="1" t="s">
        <v>2600</v>
      </c>
      <c r="R50" s="1" t="s">
        <v>2601</v>
      </c>
      <c r="S50" s="1" t="s">
        <v>2308</v>
      </c>
      <c r="T50" s="1" t="s">
        <v>2329</v>
      </c>
      <c r="U50" s="1" t="s">
        <v>2595</v>
      </c>
      <c r="V50" s="1"/>
      <c r="W50" s="1"/>
      <c r="X50" s="1"/>
      <c r="Y50" s="1"/>
      <c r="Z50" s="1"/>
      <c r="AA50" s="1"/>
      <c r="AB50" s="1"/>
      <c r="AC50" s="56" t="s">
        <v>230</v>
      </c>
      <c r="AD50" s="56" t="s">
        <v>227</v>
      </c>
    </row>
    <row r="51" spans="1:30">
      <c r="A51" s="1">
        <v>2021</v>
      </c>
      <c r="B51" s="1">
        <v>202110</v>
      </c>
      <c r="C51" s="1">
        <v>202116304</v>
      </c>
      <c r="D51" s="1" t="s">
        <v>831</v>
      </c>
      <c r="E51" s="1" t="s">
        <v>2602</v>
      </c>
      <c r="F51" s="1" t="s">
        <v>78</v>
      </c>
      <c r="G51" s="53" t="str">
        <f>_xlfn.XLOOKUP(Tabla2[[#This Row],[Universidad]],Conversiones!$B:$B,Conversiones!$C:$C)</f>
        <v>Maastricht University</v>
      </c>
      <c r="H51" s="53" t="str">
        <f>_xlfn.XLOOKUP(Tabla2[[#This Row],[Universidad KPIs]],Conversiones!$C:$C,Conversiones!$E:$E)</f>
        <v>Específico</v>
      </c>
      <c r="I51" s="1" t="s">
        <v>79</v>
      </c>
      <c r="J51" s="1" t="s">
        <v>250</v>
      </c>
      <c r="K51" s="1" t="s">
        <v>2603</v>
      </c>
      <c r="L51" s="1" t="s">
        <v>2604</v>
      </c>
      <c r="M51" s="1" t="s">
        <v>213</v>
      </c>
      <c r="N51" s="1" t="s">
        <v>2298</v>
      </c>
      <c r="O51" s="54" t="s">
        <v>2299</v>
      </c>
      <c r="P51" s="1">
        <v>1</v>
      </c>
      <c r="Q51" s="1" t="s">
        <v>2328</v>
      </c>
      <c r="R51" s="1" t="s">
        <v>2307</v>
      </c>
      <c r="S51" s="1" t="s">
        <v>2300</v>
      </c>
      <c r="T51" s="1" t="s">
        <v>2407</v>
      </c>
      <c r="U51" s="1" t="s">
        <v>2406</v>
      </c>
      <c r="V51" s="1" t="s">
        <v>2388</v>
      </c>
      <c r="W51" s="1"/>
      <c r="X51" s="1"/>
      <c r="Y51" s="1"/>
      <c r="Z51" s="1"/>
      <c r="AA51" s="1"/>
      <c r="AB51" s="1"/>
      <c r="AC51" s="56" t="s">
        <v>216</v>
      </c>
      <c r="AD51" s="56" t="s">
        <v>234</v>
      </c>
    </row>
    <row r="52" spans="1:30">
      <c r="A52" s="1">
        <v>2021</v>
      </c>
      <c r="B52" s="1">
        <v>202110</v>
      </c>
      <c r="C52" s="1">
        <v>202116302</v>
      </c>
      <c r="D52" s="1" t="s">
        <v>2605</v>
      </c>
      <c r="E52" s="1" t="s">
        <v>2606</v>
      </c>
      <c r="F52" s="1" t="s">
        <v>255</v>
      </c>
      <c r="G52" s="53" t="str">
        <f>_xlfn.XLOOKUP(Tabla2[[#This Row],[Universidad]],Conversiones!$B:$B,Conversiones!$C:$C)</f>
        <v>ESC Rouen (NEOMA)</v>
      </c>
      <c r="H52" s="53" t="str">
        <f>_xlfn.XLOOKUP(Tabla2[[#This Row],[Universidad KPIs]],Conversiones!$C:$C,Conversiones!$E:$E)</f>
        <v>Específico</v>
      </c>
      <c r="I52" s="1" t="s">
        <v>41</v>
      </c>
      <c r="J52" s="1" t="s">
        <v>250</v>
      </c>
      <c r="K52" s="1" t="s">
        <v>2607</v>
      </c>
      <c r="L52" s="1" t="s">
        <v>2608</v>
      </c>
      <c r="M52" s="1" t="s">
        <v>213</v>
      </c>
      <c r="N52" s="1" t="s">
        <v>2298</v>
      </c>
      <c r="O52" s="54" t="s">
        <v>2299</v>
      </c>
      <c r="P52" s="1">
        <v>1</v>
      </c>
      <c r="Q52" s="1" t="s">
        <v>2405</v>
      </c>
      <c r="R52" s="1" t="s">
        <v>2609</v>
      </c>
      <c r="S52" s="1" t="s">
        <v>2535</v>
      </c>
      <c r="T52" s="1" t="s">
        <v>2610</v>
      </c>
      <c r="U52" s="1"/>
      <c r="V52" s="1"/>
      <c r="W52" s="1"/>
      <c r="X52" s="1"/>
      <c r="Y52" s="1"/>
      <c r="Z52" s="1"/>
      <c r="AA52" s="1"/>
      <c r="AB52" s="1"/>
      <c r="AC52" s="56" t="s">
        <v>230</v>
      </c>
      <c r="AD52" s="56" t="s">
        <v>227</v>
      </c>
    </row>
    <row r="53" spans="1:30">
      <c r="A53" s="1">
        <v>2021</v>
      </c>
      <c r="B53" s="1">
        <v>202110</v>
      </c>
      <c r="C53" s="1">
        <v>202116318</v>
      </c>
      <c r="D53" s="1" t="s">
        <v>2611</v>
      </c>
      <c r="E53" s="1" t="s">
        <v>2612</v>
      </c>
      <c r="F53" s="1" t="s">
        <v>279</v>
      </c>
      <c r="G53" s="53" t="str">
        <f>_xlfn.XLOOKUP(Tabla2[[#This Row],[Universidad]],Conversiones!$B:$B,Conversiones!$C:$C)</f>
        <v>Toulouse Business School</v>
      </c>
      <c r="H53" s="53" t="str">
        <f>_xlfn.XLOOKUP(Tabla2[[#This Row],[Universidad KPIs]],Conversiones!$C:$C,Conversiones!$E:$E)</f>
        <v>Específico</v>
      </c>
      <c r="I53" s="1" t="s">
        <v>41</v>
      </c>
      <c r="J53" s="1" t="s">
        <v>250</v>
      </c>
      <c r="K53" s="1" t="s">
        <v>2613</v>
      </c>
      <c r="L53" s="1" t="s">
        <v>2614</v>
      </c>
      <c r="M53" s="1" t="s">
        <v>213</v>
      </c>
      <c r="N53" s="1" t="s">
        <v>2298</v>
      </c>
      <c r="O53" s="54" t="s">
        <v>2299</v>
      </c>
      <c r="P53" s="1">
        <v>1</v>
      </c>
      <c r="Q53" s="1" t="s">
        <v>2600</v>
      </c>
      <c r="R53" s="1" t="s">
        <v>2327</v>
      </c>
      <c r="S53" s="1" t="s">
        <v>2307</v>
      </c>
      <c r="T53" s="1" t="s">
        <v>2407</v>
      </c>
      <c r="U53" s="1" t="s">
        <v>2456</v>
      </c>
      <c r="V53" s="1"/>
      <c r="W53" s="1"/>
      <c r="X53" s="1"/>
      <c r="Y53" s="1"/>
      <c r="Z53" s="1"/>
      <c r="AA53" s="1"/>
      <c r="AB53" s="1"/>
      <c r="AC53" s="56" t="s">
        <v>216</v>
      </c>
      <c r="AD53" s="56" t="s">
        <v>234</v>
      </c>
    </row>
    <row r="54" spans="1:30">
      <c r="A54" s="1">
        <v>2021</v>
      </c>
      <c r="B54" s="1">
        <v>202110</v>
      </c>
      <c r="C54" s="1">
        <v>202116323</v>
      </c>
      <c r="D54" s="1" t="s">
        <v>2615</v>
      </c>
      <c r="E54" s="1" t="s">
        <v>2616</v>
      </c>
      <c r="F54" s="1" t="s">
        <v>279</v>
      </c>
      <c r="G54" s="53" t="str">
        <f>_xlfn.XLOOKUP(Tabla2[[#This Row],[Universidad]],Conversiones!$B:$B,Conversiones!$C:$C)</f>
        <v>Toulouse Business School</v>
      </c>
      <c r="H54" s="53" t="str">
        <f>_xlfn.XLOOKUP(Tabla2[[#This Row],[Universidad KPIs]],Conversiones!$C:$C,Conversiones!$E:$E)</f>
        <v>Específico</v>
      </c>
      <c r="I54" s="1" t="s">
        <v>41</v>
      </c>
      <c r="J54" s="1" t="s">
        <v>250</v>
      </c>
      <c r="K54" s="1" t="s">
        <v>2617</v>
      </c>
      <c r="L54" s="1" t="s">
        <v>2618</v>
      </c>
      <c r="M54" s="1" t="s">
        <v>213</v>
      </c>
      <c r="N54" s="1" t="s">
        <v>2298</v>
      </c>
      <c r="O54" s="54" t="s">
        <v>2299</v>
      </c>
      <c r="P54" s="1">
        <v>1</v>
      </c>
      <c r="Q54" s="1" t="s">
        <v>2600</v>
      </c>
      <c r="R54" s="1" t="s">
        <v>2405</v>
      </c>
      <c r="S54" s="1" t="s">
        <v>2300</v>
      </c>
      <c r="T54" s="1" t="s">
        <v>2496</v>
      </c>
      <c r="U54" s="1" t="s">
        <v>2301</v>
      </c>
      <c r="V54" s="1"/>
      <c r="W54" s="1"/>
      <c r="X54" s="1"/>
      <c r="Y54" s="1"/>
      <c r="Z54" s="1"/>
      <c r="AA54" s="1"/>
      <c r="AB54" s="1"/>
      <c r="AC54" s="56" t="s">
        <v>216</v>
      </c>
      <c r="AD54" s="56" t="s">
        <v>234</v>
      </c>
    </row>
    <row r="55" spans="1:30">
      <c r="A55" s="1">
        <v>2021</v>
      </c>
      <c r="B55" s="1">
        <v>202110</v>
      </c>
      <c r="C55" s="1">
        <v>202116297</v>
      </c>
      <c r="D55" s="1" t="s">
        <v>364</v>
      </c>
      <c r="E55" s="1" t="s">
        <v>2619</v>
      </c>
      <c r="F55" s="1" t="s">
        <v>106</v>
      </c>
      <c r="G55" s="53" t="str">
        <f>_xlfn.XLOOKUP(Tabla2[[#This Row],[Universidad]],Conversiones!$B:$B,Conversiones!$C:$C)</f>
        <v>Universidad de San Andrés</v>
      </c>
      <c r="H55" s="53" t="str">
        <f>_xlfn.XLOOKUP(Tabla2[[#This Row],[Universidad KPIs]],Conversiones!$C:$C,Conversiones!$E:$E)</f>
        <v>General</v>
      </c>
      <c r="I55" s="1" t="s">
        <v>107</v>
      </c>
      <c r="J55" s="1" t="s">
        <v>265</v>
      </c>
      <c r="K55" s="1" t="s">
        <v>2620</v>
      </c>
      <c r="L55" s="1" t="s">
        <v>2621</v>
      </c>
      <c r="M55" s="1" t="s">
        <v>213</v>
      </c>
      <c r="N55" s="1" t="s">
        <v>2334</v>
      </c>
      <c r="O55" s="54" t="s">
        <v>2335</v>
      </c>
      <c r="P55" s="1">
        <v>1</v>
      </c>
      <c r="Q55" s="1" t="s">
        <v>2622</v>
      </c>
      <c r="R55" s="1" t="s">
        <v>2623</v>
      </c>
      <c r="S55" s="1" t="s">
        <v>2356</v>
      </c>
      <c r="T55" s="1" t="s">
        <v>2376</v>
      </c>
      <c r="U55" s="1"/>
      <c r="V55" s="1"/>
      <c r="W55" s="1"/>
      <c r="X55" s="1"/>
      <c r="Y55" s="1"/>
      <c r="Z55" s="1"/>
      <c r="AA55" s="1"/>
      <c r="AB55" s="1"/>
      <c r="AC55" s="56" t="s">
        <v>228</v>
      </c>
      <c r="AD55" s="56" t="s">
        <v>227</v>
      </c>
    </row>
    <row r="56" spans="1:30">
      <c r="A56" s="1">
        <v>2021</v>
      </c>
      <c r="B56" s="1">
        <v>202110</v>
      </c>
      <c r="C56" s="1">
        <v>202116301</v>
      </c>
      <c r="D56" s="1" t="s">
        <v>2624</v>
      </c>
      <c r="E56" s="1" t="s">
        <v>2625</v>
      </c>
      <c r="F56" s="1" t="s">
        <v>152</v>
      </c>
      <c r="G56" s="53" t="str">
        <f>_xlfn.XLOOKUP(Tabla2[[#This Row],[Universidad]],Conversiones!$B:$B,Conversiones!$C:$C)</f>
        <v>Universidad Peruana de Ciencias Aplicadas</v>
      </c>
      <c r="H56" s="53" t="str">
        <f>_xlfn.XLOOKUP(Tabla2[[#This Row],[Universidad KPIs]],Conversiones!$C:$C,Conversiones!$E:$E)</f>
        <v>General</v>
      </c>
      <c r="I56" s="1" t="s">
        <v>96</v>
      </c>
      <c r="J56" s="1" t="s">
        <v>265</v>
      </c>
      <c r="K56" s="1" t="s">
        <v>2626</v>
      </c>
      <c r="L56" s="1" t="s">
        <v>2627</v>
      </c>
      <c r="M56" s="1" t="s">
        <v>213</v>
      </c>
      <c r="N56" s="1" t="s">
        <v>2298</v>
      </c>
      <c r="O56" s="54" t="s">
        <v>2299</v>
      </c>
      <c r="P56" s="1">
        <v>1</v>
      </c>
      <c r="Q56" s="1" t="s">
        <v>2309</v>
      </c>
      <c r="R56" s="1"/>
      <c r="S56" s="1"/>
      <c r="T56" s="1"/>
      <c r="U56" s="1"/>
      <c r="V56" s="1"/>
      <c r="W56" s="1"/>
      <c r="X56" s="1"/>
      <c r="Y56" s="1"/>
      <c r="Z56" s="1"/>
      <c r="AA56" s="1"/>
      <c r="AB56" s="1"/>
      <c r="AC56" s="56" t="s">
        <v>216</v>
      </c>
      <c r="AD56" s="56" t="s">
        <v>234</v>
      </c>
    </row>
    <row r="57" spans="1:30">
      <c r="A57" s="1">
        <v>2021</v>
      </c>
      <c r="B57" s="1">
        <v>202110</v>
      </c>
      <c r="C57" s="1">
        <v>202116317</v>
      </c>
      <c r="D57" s="1" t="s">
        <v>2628</v>
      </c>
      <c r="E57" s="1" t="s">
        <v>2629</v>
      </c>
      <c r="F57" s="1" t="s">
        <v>289</v>
      </c>
      <c r="G57" s="53" t="str">
        <f>_xlfn.XLOOKUP(Tabla2[[#This Row],[Universidad]],Conversiones!$B:$B,Conversiones!$C:$C)</f>
        <v>ESADE</v>
      </c>
      <c r="H57" s="53" t="str">
        <f>_xlfn.XLOOKUP(Tabla2[[#This Row],[Universidad KPIs]],Conversiones!$C:$C,Conversiones!$E:$E)</f>
        <v>Específico</v>
      </c>
      <c r="I57" s="1" t="s">
        <v>53</v>
      </c>
      <c r="J57" s="1" t="s">
        <v>250</v>
      </c>
      <c r="K57" s="1" t="s">
        <v>2630</v>
      </c>
      <c r="L57" s="1" t="s">
        <v>2631</v>
      </c>
      <c r="M57" s="1" t="s">
        <v>213</v>
      </c>
      <c r="N57" s="1" t="s">
        <v>2298</v>
      </c>
      <c r="O57" s="54" t="s">
        <v>2299</v>
      </c>
      <c r="P57" s="1">
        <v>1</v>
      </c>
      <c r="Q57" s="1" t="s">
        <v>2320</v>
      </c>
      <c r="R57" s="1" t="s">
        <v>2577</v>
      </c>
      <c r="S57" s="1" t="s">
        <v>2632</v>
      </c>
      <c r="T57" s="1" t="s">
        <v>2302</v>
      </c>
      <c r="U57" s="1"/>
      <c r="V57" s="1"/>
      <c r="W57" s="1"/>
      <c r="X57" s="1"/>
      <c r="Y57" s="1"/>
      <c r="Z57" s="1"/>
      <c r="AA57" s="1"/>
      <c r="AB57" s="1"/>
      <c r="AC57" s="56" t="s">
        <v>216</v>
      </c>
      <c r="AD57" s="56" t="s">
        <v>234</v>
      </c>
    </row>
    <row r="58" spans="1:30">
      <c r="A58" s="1">
        <v>2021</v>
      </c>
      <c r="B58" s="1">
        <v>202120</v>
      </c>
      <c r="C58" s="1">
        <v>202124840</v>
      </c>
      <c r="D58" s="1" t="s">
        <v>2633</v>
      </c>
      <c r="E58" s="1" t="s">
        <v>2634</v>
      </c>
      <c r="F58" s="1" t="s">
        <v>350</v>
      </c>
      <c r="G58" s="53" t="str">
        <f>_xlfn.XLOOKUP(Tabla2[[#This Row],[Universidad]],Conversiones!$B:$B,Conversiones!$C:$C)</f>
        <v>Audencia. École de Management</v>
      </c>
      <c r="H58" s="53" t="str">
        <f>_xlfn.XLOOKUP(Tabla2[[#This Row],[Universidad KPIs]],Conversiones!$C:$C,Conversiones!$E:$E)</f>
        <v>Específico</v>
      </c>
      <c r="I58" s="1" t="s">
        <v>41</v>
      </c>
      <c r="J58" s="1" t="s">
        <v>250</v>
      </c>
      <c r="K58" s="1" t="s">
        <v>2635</v>
      </c>
      <c r="L58" s="1" t="s">
        <v>2636</v>
      </c>
      <c r="M58" s="1" t="s">
        <v>213</v>
      </c>
      <c r="N58" s="1" t="s">
        <v>2298</v>
      </c>
      <c r="O58" s="54" t="s">
        <v>2299</v>
      </c>
      <c r="P58" s="1">
        <v>1</v>
      </c>
      <c r="Q58" s="1" t="s">
        <v>2309</v>
      </c>
      <c r="R58" s="1" t="s">
        <v>2406</v>
      </c>
      <c r="S58" s="1" t="s">
        <v>2307</v>
      </c>
      <c r="T58" s="1" t="s">
        <v>2301</v>
      </c>
      <c r="U58" s="1" t="s">
        <v>2302</v>
      </c>
      <c r="V58" s="1"/>
      <c r="W58" s="1"/>
      <c r="X58" s="1"/>
      <c r="Y58" s="1"/>
      <c r="Z58" s="1"/>
      <c r="AA58" s="1"/>
      <c r="AB58" s="1"/>
      <c r="AC58" s="56" t="s">
        <v>221</v>
      </c>
      <c r="AD58" s="56" t="s">
        <v>227</v>
      </c>
    </row>
    <row r="59" spans="1:30">
      <c r="A59" s="1">
        <v>2021</v>
      </c>
      <c r="B59" s="1">
        <v>202120</v>
      </c>
      <c r="C59" s="1">
        <v>202124921</v>
      </c>
      <c r="D59" s="1" t="s">
        <v>2134</v>
      </c>
      <c r="E59" s="1" t="s">
        <v>2637</v>
      </c>
      <c r="F59" s="1" t="s">
        <v>128</v>
      </c>
      <c r="G59" s="53" t="str">
        <f>_xlfn.XLOOKUP(Tabla2[[#This Row],[Universidad]],Conversiones!$B:$B,Conversiones!$C:$C)</f>
        <v>CY Cergy Paris Université</v>
      </c>
      <c r="H59" s="53" t="str">
        <f>_xlfn.XLOOKUP(Tabla2[[#This Row],[Universidad KPIs]],Conversiones!$C:$C,Conversiones!$E:$E)</f>
        <v>General</v>
      </c>
      <c r="I59" s="1" t="s">
        <v>41</v>
      </c>
      <c r="J59" s="1" t="s">
        <v>250</v>
      </c>
      <c r="K59" s="1" t="s">
        <v>2638</v>
      </c>
      <c r="L59" s="1" t="s">
        <v>2639</v>
      </c>
      <c r="M59" s="1" t="s">
        <v>213</v>
      </c>
      <c r="N59" s="1" t="s">
        <v>2298</v>
      </c>
      <c r="O59" s="54" t="s">
        <v>2299</v>
      </c>
      <c r="P59" s="1">
        <v>1</v>
      </c>
      <c r="Q59" s="1" t="s">
        <v>2640</v>
      </c>
      <c r="R59" s="1" t="s">
        <v>2300</v>
      </c>
      <c r="S59" s="1" t="s">
        <v>2641</v>
      </c>
      <c r="T59" s="1" t="s">
        <v>2470</v>
      </c>
      <c r="U59" s="1" t="s">
        <v>2642</v>
      </c>
      <c r="V59" s="1"/>
      <c r="W59" s="1"/>
      <c r="X59" s="1"/>
      <c r="Y59" s="1"/>
      <c r="Z59" s="1"/>
      <c r="AA59" s="1"/>
      <c r="AB59" s="1"/>
      <c r="AC59" s="56" t="s">
        <v>216</v>
      </c>
      <c r="AD59" s="56" t="s">
        <v>234</v>
      </c>
    </row>
    <row r="60" spans="1:30">
      <c r="A60" s="1">
        <v>2021</v>
      </c>
      <c r="B60" s="1">
        <v>202120</v>
      </c>
      <c r="C60" s="1">
        <v>202124878</v>
      </c>
      <c r="D60" s="1" t="s">
        <v>2643</v>
      </c>
      <c r="E60" s="1" t="s">
        <v>2644</v>
      </c>
      <c r="F60" s="1" t="s">
        <v>298</v>
      </c>
      <c r="G60" s="53" t="str">
        <f>_xlfn.XLOOKUP(Tabla2[[#This Row],[Universidad]],Conversiones!$B:$B,Conversiones!$C:$C)</f>
        <v>ESSEC</v>
      </c>
      <c r="H60" s="53" t="str">
        <f>_xlfn.XLOOKUP(Tabla2[[#This Row],[Universidad KPIs]],Conversiones!$C:$C,Conversiones!$E:$E)</f>
        <v>Específico</v>
      </c>
      <c r="I60" s="1" t="s">
        <v>41</v>
      </c>
      <c r="J60" s="1" t="s">
        <v>250</v>
      </c>
      <c r="K60" s="1" t="s">
        <v>2645</v>
      </c>
      <c r="L60" s="1" t="s">
        <v>2646</v>
      </c>
      <c r="M60" s="1" t="s">
        <v>213</v>
      </c>
      <c r="N60" s="1" t="s">
        <v>2298</v>
      </c>
      <c r="O60" s="54" t="s">
        <v>2299</v>
      </c>
      <c r="P60" s="1">
        <v>1</v>
      </c>
      <c r="Q60" s="1" t="s">
        <v>2405</v>
      </c>
      <c r="R60" s="1" t="s">
        <v>2632</v>
      </c>
      <c r="S60" s="1" t="s">
        <v>2647</v>
      </c>
      <c r="T60" s="1" t="s">
        <v>2300</v>
      </c>
      <c r="U60" s="1"/>
      <c r="V60" s="1"/>
      <c r="W60" s="1"/>
      <c r="X60" s="1"/>
      <c r="Y60" s="1"/>
      <c r="Z60" s="1"/>
      <c r="AA60" s="1"/>
      <c r="AB60" s="1"/>
      <c r="AC60" s="56" t="s">
        <v>216</v>
      </c>
      <c r="AD60" s="56" t="s">
        <v>234</v>
      </c>
    </row>
    <row r="61" spans="1:30">
      <c r="A61" s="1">
        <v>2021</v>
      </c>
      <c r="B61" s="1">
        <v>202120</v>
      </c>
      <c r="C61" s="1">
        <v>202124838</v>
      </c>
      <c r="D61" s="1" t="s">
        <v>2648</v>
      </c>
      <c r="E61" s="1" t="s">
        <v>2649</v>
      </c>
      <c r="F61" s="1" t="s">
        <v>298</v>
      </c>
      <c r="G61" s="53" t="str">
        <f>_xlfn.XLOOKUP(Tabla2[[#This Row],[Universidad]],Conversiones!$B:$B,Conversiones!$C:$C)</f>
        <v>ESSEC</v>
      </c>
      <c r="H61" s="53" t="str">
        <f>_xlfn.XLOOKUP(Tabla2[[#This Row],[Universidad KPIs]],Conversiones!$C:$C,Conversiones!$E:$E)</f>
        <v>Específico</v>
      </c>
      <c r="I61" s="1" t="s">
        <v>41</v>
      </c>
      <c r="J61" s="1" t="s">
        <v>250</v>
      </c>
      <c r="K61" s="1" t="s">
        <v>2650</v>
      </c>
      <c r="L61" s="1" t="s">
        <v>2651</v>
      </c>
      <c r="M61" s="1" t="s">
        <v>213</v>
      </c>
      <c r="N61" s="1" t="s">
        <v>2334</v>
      </c>
      <c r="O61" s="54" t="s">
        <v>2335</v>
      </c>
      <c r="P61" s="1">
        <v>1</v>
      </c>
      <c r="Q61" s="1" t="s">
        <v>2652</v>
      </c>
      <c r="R61" s="1" t="s">
        <v>2653</v>
      </c>
      <c r="S61" s="1" t="s">
        <v>2654</v>
      </c>
      <c r="T61" s="1"/>
      <c r="U61" s="1"/>
      <c r="V61" s="1"/>
      <c r="W61" s="1"/>
      <c r="X61" s="1"/>
      <c r="Y61" s="1"/>
      <c r="Z61" s="1"/>
      <c r="AA61" s="1"/>
      <c r="AB61" s="1"/>
      <c r="AC61" s="56" t="s">
        <v>222</v>
      </c>
      <c r="AD61" s="56" t="s">
        <v>227</v>
      </c>
    </row>
    <row r="62" spans="1:30">
      <c r="A62" s="1">
        <v>2021</v>
      </c>
      <c r="B62" s="1">
        <v>202120</v>
      </c>
      <c r="C62" s="1">
        <v>202124845</v>
      </c>
      <c r="D62" s="1" t="s">
        <v>2655</v>
      </c>
      <c r="E62" s="1" t="s">
        <v>2656</v>
      </c>
      <c r="F62" s="1" t="s">
        <v>298</v>
      </c>
      <c r="G62" s="53" t="str">
        <f>_xlfn.XLOOKUP(Tabla2[[#This Row],[Universidad]],Conversiones!$B:$B,Conversiones!$C:$C)</f>
        <v>ESSEC</v>
      </c>
      <c r="H62" s="53" t="str">
        <f>_xlfn.XLOOKUP(Tabla2[[#This Row],[Universidad KPIs]],Conversiones!$C:$C,Conversiones!$E:$E)</f>
        <v>Específico</v>
      </c>
      <c r="I62" s="1" t="s">
        <v>41</v>
      </c>
      <c r="J62" s="1" t="s">
        <v>250</v>
      </c>
      <c r="K62" s="1" t="s">
        <v>2657</v>
      </c>
      <c r="L62" s="1" t="s">
        <v>2658</v>
      </c>
      <c r="M62" s="1" t="s">
        <v>213</v>
      </c>
      <c r="N62" s="1" t="s">
        <v>2334</v>
      </c>
      <c r="O62" s="54" t="s">
        <v>2335</v>
      </c>
      <c r="P62" s="1">
        <v>1</v>
      </c>
      <c r="Q62" s="1" t="s">
        <v>2659</v>
      </c>
      <c r="R62" s="1" t="s">
        <v>2654</v>
      </c>
      <c r="S62" s="1" t="s">
        <v>2660</v>
      </c>
      <c r="T62" s="1"/>
      <c r="U62" s="1"/>
      <c r="V62" s="1"/>
      <c r="W62" s="1"/>
      <c r="X62" s="1"/>
      <c r="Y62" s="1"/>
      <c r="Z62" s="1"/>
      <c r="AA62" s="1"/>
      <c r="AB62" s="1"/>
      <c r="AC62" s="56" t="s">
        <v>222</v>
      </c>
      <c r="AD62" s="56" t="s">
        <v>227</v>
      </c>
    </row>
    <row r="63" spans="1:30">
      <c r="A63" s="1">
        <v>2021</v>
      </c>
      <c r="B63" s="1">
        <v>202120</v>
      </c>
      <c r="C63" s="1">
        <v>202124938</v>
      </c>
      <c r="D63" s="1" t="s">
        <v>2661</v>
      </c>
      <c r="E63" s="1" t="s">
        <v>2662</v>
      </c>
      <c r="F63" s="1" t="s">
        <v>298</v>
      </c>
      <c r="G63" s="53" t="str">
        <f>_xlfn.XLOOKUP(Tabla2[[#This Row],[Universidad]],Conversiones!$B:$B,Conversiones!$C:$C)</f>
        <v>ESSEC</v>
      </c>
      <c r="H63" s="53" t="str">
        <f>_xlfn.XLOOKUP(Tabla2[[#This Row],[Universidad KPIs]],Conversiones!$C:$C,Conversiones!$E:$E)</f>
        <v>Específico</v>
      </c>
      <c r="I63" s="1" t="s">
        <v>41</v>
      </c>
      <c r="J63" s="1" t="s">
        <v>250</v>
      </c>
      <c r="K63" s="1" t="s">
        <v>2663</v>
      </c>
      <c r="L63" s="1" t="s">
        <v>2664</v>
      </c>
      <c r="M63" s="1" t="s">
        <v>213</v>
      </c>
      <c r="N63" s="1" t="s">
        <v>2298</v>
      </c>
      <c r="O63" s="54" t="s">
        <v>2299</v>
      </c>
      <c r="P63" s="1">
        <v>1</v>
      </c>
      <c r="Q63" s="1" t="s">
        <v>2600</v>
      </c>
      <c r="R63" s="1" t="s">
        <v>2601</v>
      </c>
      <c r="S63" s="1" t="s">
        <v>2322</v>
      </c>
      <c r="T63" s="1" t="s">
        <v>2301</v>
      </c>
      <c r="U63" s="1"/>
      <c r="V63" s="1"/>
      <c r="W63" s="1"/>
      <c r="X63" s="1"/>
      <c r="Y63" s="1"/>
      <c r="Z63" s="1"/>
      <c r="AA63" s="1"/>
      <c r="AB63" s="1"/>
      <c r="AC63" s="56" t="s">
        <v>216</v>
      </c>
      <c r="AD63" s="56" t="s">
        <v>234</v>
      </c>
    </row>
    <row r="64" spans="1:30">
      <c r="A64" s="1">
        <v>2021</v>
      </c>
      <c r="B64" s="1">
        <v>202120</v>
      </c>
      <c r="C64" s="1">
        <v>202124854</v>
      </c>
      <c r="D64" s="1" t="s">
        <v>2665</v>
      </c>
      <c r="E64" s="1" t="s">
        <v>2666</v>
      </c>
      <c r="F64" s="1" t="s">
        <v>298</v>
      </c>
      <c r="G64" s="53" t="str">
        <f>_xlfn.XLOOKUP(Tabla2[[#This Row],[Universidad]],Conversiones!$B:$B,Conversiones!$C:$C)</f>
        <v>ESSEC</v>
      </c>
      <c r="H64" s="53" t="str">
        <f>_xlfn.XLOOKUP(Tabla2[[#This Row],[Universidad KPIs]],Conversiones!$C:$C,Conversiones!$E:$E)</f>
        <v>Específico</v>
      </c>
      <c r="I64" s="1" t="s">
        <v>41</v>
      </c>
      <c r="J64" s="1" t="s">
        <v>250</v>
      </c>
      <c r="K64" s="1" t="s">
        <v>2667</v>
      </c>
      <c r="L64" s="1" t="s">
        <v>2668</v>
      </c>
      <c r="M64" s="1" t="s">
        <v>213</v>
      </c>
      <c r="N64" s="1" t="s">
        <v>2334</v>
      </c>
      <c r="O64" s="54" t="s">
        <v>2335</v>
      </c>
      <c r="P64" s="1">
        <v>1</v>
      </c>
      <c r="Q64" s="1" t="s">
        <v>2669</v>
      </c>
      <c r="R64" s="1" t="s">
        <v>2670</v>
      </c>
      <c r="S64" s="1" t="s">
        <v>2671</v>
      </c>
      <c r="T64" s="1" t="s">
        <v>2672</v>
      </c>
      <c r="U64" s="1" t="s">
        <v>2595</v>
      </c>
      <c r="V64" s="1"/>
      <c r="W64" s="1"/>
      <c r="X64" s="1"/>
      <c r="Y64" s="1"/>
      <c r="Z64" s="1"/>
      <c r="AA64" s="1"/>
      <c r="AB64" s="1"/>
      <c r="AC64" s="56" t="s">
        <v>228</v>
      </c>
      <c r="AD64" s="56" t="s">
        <v>227</v>
      </c>
    </row>
    <row r="65" spans="1:30">
      <c r="A65" s="1">
        <v>2021</v>
      </c>
      <c r="B65" s="1">
        <v>202120</v>
      </c>
      <c r="C65" s="1">
        <v>202124837</v>
      </c>
      <c r="D65" s="1" t="s">
        <v>2673</v>
      </c>
      <c r="E65" s="1" t="s">
        <v>2674</v>
      </c>
      <c r="F65" s="1" t="s">
        <v>619</v>
      </c>
      <c r="G65" s="53" t="str">
        <f>_xlfn.XLOOKUP(Tabla2[[#This Row],[Universidad]],Conversiones!$B:$B,Conversiones!$C:$C)</f>
        <v>Grenoble. École de Management</v>
      </c>
      <c r="H65" s="53" t="str">
        <f>_xlfn.XLOOKUP(Tabla2[[#This Row],[Universidad KPIs]],Conversiones!$C:$C,Conversiones!$E:$E)</f>
        <v>Específico</v>
      </c>
      <c r="I65" s="1" t="s">
        <v>41</v>
      </c>
      <c r="J65" s="1" t="s">
        <v>250</v>
      </c>
      <c r="K65" s="1" t="s">
        <v>2675</v>
      </c>
      <c r="L65" s="1" t="s">
        <v>2676</v>
      </c>
      <c r="M65" s="1" t="s">
        <v>213</v>
      </c>
      <c r="N65" s="1" t="s">
        <v>2298</v>
      </c>
      <c r="O65" s="54" t="s">
        <v>2299</v>
      </c>
      <c r="P65" s="1">
        <v>1</v>
      </c>
      <c r="Q65" s="1" t="s">
        <v>2405</v>
      </c>
      <c r="R65" s="1" t="s">
        <v>2647</v>
      </c>
      <c r="S65" s="1" t="s">
        <v>2577</v>
      </c>
      <c r="T65" s="1" t="s">
        <v>2300</v>
      </c>
      <c r="U65" s="1"/>
      <c r="V65" s="1"/>
      <c r="W65" s="1"/>
      <c r="X65" s="1"/>
      <c r="Y65" s="1"/>
      <c r="Z65" s="1"/>
      <c r="AA65" s="1"/>
      <c r="AB65" s="1"/>
      <c r="AC65" s="56" t="s">
        <v>230</v>
      </c>
      <c r="AD65" s="56" t="s">
        <v>227</v>
      </c>
    </row>
    <row r="66" spans="1:30">
      <c r="A66" s="1">
        <v>2021</v>
      </c>
      <c r="B66" s="1">
        <v>202120</v>
      </c>
      <c r="C66" s="1">
        <v>202124912</v>
      </c>
      <c r="D66" s="1" t="s">
        <v>2677</v>
      </c>
      <c r="E66" s="1" t="s">
        <v>2678</v>
      </c>
      <c r="F66" s="1" t="s">
        <v>410</v>
      </c>
      <c r="G66" s="53" t="str">
        <f>_xlfn.XLOOKUP(Tabla2[[#This Row],[Universidad]],Conversiones!$B:$B,Conversiones!$C:$C)</f>
        <v xml:space="preserve">CBS- Copenhagen Business School  </v>
      </c>
      <c r="H66" s="53" t="str">
        <f>_xlfn.XLOOKUP(Tabla2[[#This Row],[Universidad KPIs]],Conversiones!$C:$C,Conversiones!$E:$E)</f>
        <v>Específico</v>
      </c>
      <c r="I66" s="1" t="s">
        <v>47</v>
      </c>
      <c r="J66" s="1" t="s">
        <v>250</v>
      </c>
      <c r="K66" s="1" t="s">
        <v>2679</v>
      </c>
      <c r="L66" s="1" t="s">
        <v>2680</v>
      </c>
      <c r="M66" s="1" t="s">
        <v>213</v>
      </c>
      <c r="N66" s="1" t="s">
        <v>2298</v>
      </c>
      <c r="O66" s="54" t="s">
        <v>2299</v>
      </c>
      <c r="P66" s="1">
        <v>1</v>
      </c>
      <c r="Q66" s="1" t="s">
        <v>2475</v>
      </c>
      <c r="R66" s="1" t="s">
        <v>2407</v>
      </c>
      <c r="S66" s="1" t="s">
        <v>2301</v>
      </c>
      <c r="T66" s="1" t="s">
        <v>2681</v>
      </c>
      <c r="U66" s="1" t="s">
        <v>2302</v>
      </c>
      <c r="V66" s="1"/>
      <c r="W66" s="1"/>
      <c r="X66" s="1"/>
      <c r="Y66" s="1"/>
      <c r="Z66" s="1"/>
      <c r="AA66" s="1"/>
      <c r="AB66" s="1"/>
      <c r="AC66" s="56" t="s">
        <v>216</v>
      </c>
      <c r="AD66" s="56" t="s">
        <v>234</v>
      </c>
    </row>
    <row r="67" spans="1:30">
      <c r="A67" s="1">
        <v>2021</v>
      </c>
      <c r="B67" s="1">
        <v>202120</v>
      </c>
      <c r="C67" s="1">
        <v>202124918</v>
      </c>
      <c r="D67" s="1" t="s">
        <v>2682</v>
      </c>
      <c r="E67" s="1" t="s">
        <v>2683</v>
      </c>
      <c r="F67" s="1" t="s">
        <v>608</v>
      </c>
      <c r="G67" s="53" t="str">
        <f>_xlfn.XLOOKUP(Tabla2[[#This Row],[Universidad]],Conversiones!$B:$B,Conversiones!$C:$C)</f>
        <v>IE Instituto Empresa</v>
      </c>
      <c r="H67" s="53" t="str">
        <f>_xlfn.XLOOKUP(Tabla2[[#This Row],[Universidad KPIs]],Conversiones!$C:$C,Conversiones!$E:$E)</f>
        <v>General</v>
      </c>
      <c r="I67" s="1" t="s">
        <v>53</v>
      </c>
      <c r="J67" s="1" t="s">
        <v>250</v>
      </c>
      <c r="K67" s="1" t="s">
        <v>2684</v>
      </c>
      <c r="L67" s="1" t="s">
        <v>2685</v>
      </c>
      <c r="M67" s="1" t="s">
        <v>213</v>
      </c>
      <c r="N67" s="1" t="s">
        <v>2298</v>
      </c>
      <c r="O67" s="54" t="s">
        <v>2299</v>
      </c>
      <c r="P67" s="1">
        <v>1</v>
      </c>
      <c r="Q67" s="1" t="s">
        <v>2327</v>
      </c>
      <c r="R67" s="1" t="s">
        <v>2601</v>
      </c>
      <c r="S67" s="1" t="s">
        <v>2322</v>
      </c>
      <c r="T67" s="1" t="s">
        <v>2301</v>
      </c>
      <c r="U67" s="1"/>
      <c r="V67" s="1"/>
      <c r="W67" s="1"/>
      <c r="X67" s="1"/>
      <c r="Y67" s="1"/>
      <c r="Z67" s="1"/>
      <c r="AA67" s="1"/>
      <c r="AB67" s="1"/>
      <c r="AC67" s="56" t="s">
        <v>216</v>
      </c>
      <c r="AD67" s="56" t="s">
        <v>234</v>
      </c>
    </row>
    <row r="68" spans="1:30">
      <c r="A68" s="1">
        <v>2021</v>
      </c>
      <c r="B68" s="1">
        <v>202120</v>
      </c>
      <c r="C68" s="1">
        <v>202124885</v>
      </c>
      <c r="D68" s="1" t="s">
        <v>2686</v>
      </c>
      <c r="E68" s="1" t="s">
        <v>2687</v>
      </c>
      <c r="F68" s="1" t="s">
        <v>78</v>
      </c>
      <c r="G68" s="53" t="str">
        <f>_xlfn.XLOOKUP(Tabla2[[#This Row],[Universidad]],Conversiones!$B:$B,Conversiones!$C:$C)</f>
        <v>Maastricht University</v>
      </c>
      <c r="H68" s="53" t="str">
        <f>_xlfn.XLOOKUP(Tabla2[[#This Row],[Universidad KPIs]],Conversiones!$C:$C,Conversiones!$E:$E)</f>
        <v>Específico</v>
      </c>
      <c r="I68" s="1" t="s">
        <v>79</v>
      </c>
      <c r="J68" s="1" t="s">
        <v>250</v>
      </c>
      <c r="K68" s="1" t="s">
        <v>2688</v>
      </c>
      <c r="L68" s="1" t="s">
        <v>2689</v>
      </c>
      <c r="M68" s="1" t="s">
        <v>213</v>
      </c>
      <c r="N68" s="1" t="s">
        <v>2298</v>
      </c>
      <c r="O68" s="54" t="s">
        <v>2299</v>
      </c>
      <c r="P68" s="1">
        <v>1</v>
      </c>
      <c r="Q68" s="1" t="s">
        <v>2412</v>
      </c>
      <c r="R68" s="1" t="s">
        <v>2601</v>
      </c>
      <c r="S68" s="1" t="s">
        <v>2690</v>
      </c>
      <c r="T68" s="1" t="s">
        <v>2441</v>
      </c>
      <c r="U68" s="1" t="s">
        <v>2300</v>
      </c>
      <c r="V68" s="1" t="s">
        <v>2388</v>
      </c>
      <c r="W68" s="1"/>
      <c r="X68" s="1"/>
      <c r="Y68" s="1"/>
      <c r="Z68" s="1"/>
      <c r="AA68" s="1"/>
      <c r="AB68" s="1"/>
      <c r="AC68" s="56" t="s">
        <v>216</v>
      </c>
      <c r="AD68" s="56" t="s">
        <v>234</v>
      </c>
    </row>
    <row r="69" spans="1:30">
      <c r="A69" s="1">
        <v>2021</v>
      </c>
      <c r="B69" s="1">
        <v>202120</v>
      </c>
      <c r="C69" s="1">
        <v>202124828</v>
      </c>
      <c r="D69" s="1" t="s">
        <v>2691</v>
      </c>
      <c r="E69" s="1" t="s">
        <v>2692</v>
      </c>
      <c r="F69" s="1" t="s">
        <v>255</v>
      </c>
      <c r="G69" s="53" t="str">
        <f>_xlfn.XLOOKUP(Tabla2[[#This Row],[Universidad]],Conversiones!$B:$B,Conversiones!$C:$C)</f>
        <v>ESC Rouen (NEOMA)</v>
      </c>
      <c r="H69" s="53" t="str">
        <f>_xlfn.XLOOKUP(Tabla2[[#This Row],[Universidad KPIs]],Conversiones!$C:$C,Conversiones!$E:$E)</f>
        <v>Específico</v>
      </c>
      <c r="I69" s="1" t="s">
        <v>41</v>
      </c>
      <c r="J69" s="1" t="s">
        <v>250</v>
      </c>
      <c r="K69" s="1" t="s">
        <v>2693</v>
      </c>
      <c r="L69" s="1" t="s">
        <v>2694</v>
      </c>
      <c r="M69" s="1" t="s">
        <v>213</v>
      </c>
      <c r="N69" s="1" t="s">
        <v>2334</v>
      </c>
      <c r="O69" s="54" t="s">
        <v>2335</v>
      </c>
      <c r="P69" s="1">
        <v>1</v>
      </c>
      <c r="Q69" s="1" t="s">
        <v>2485</v>
      </c>
      <c r="R69" s="1" t="s">
        <v>2695</v>
      </c>
      <c r="S69" s="1" t="s">
        <v>2672</v>
      </c>
      <c r="T69" s="1" t="s">
        <v>2696</v>
      </c>
      <c r="U69" s="1" t="s">
        <v>2697</v>
      </c>
      <c r="V69" s="1"/>
      <c r="W69" s="1"/>
      <c r="X69" s="1"/>
      <c r="Y69" s="1"/>
      <c r="Z69" s="1"/>
      <c r="AA69" s="1"/>
      <c r="AB69" s="1"/>
      <c r="AC69" s="56" t="s">
        <v>221</v>
      </c>
      <c r="AD69" s="56" t="s">
        <v>227</v>
      </c>
    </row>
    <row r="70" spans="1:30">
      <c r="A70" s="1">
        <v>2021</v>
      </c>
      <c r="B70" s="1">
        <v>202120</v>
      </c>
      <c r="C70" s="1">
        <v>202124841</v>
      </c>
      <c r="D70" s="1" t="s">
        <v>2698</v>
      </c>
      <c r="E70" s="1" t="s">
        <v>2699</v>
      </c>
      <c r="F70" s="1" t="s">
        <v>255</v>
      </c>
      <c r="G70" s="53" t="str">
        <f>_xlfn.XLOOKUP(Tabla2[[#This Row],[Universidad]],Conversiones!$B:$B,Conversiones!$C:$C)</f>
        <v>ESC Rouen (NEOMA)</v>
      </c>
      <c r="H70" s="53" t="str">
        <f>_xlfn.XLOOKUP(Tabla2[[#This Row],[Universidad KPIs]],Conversiones!$C:$C,Conversiones!$E:$E)</f>
        <v>Específico</v>
      </c>
      <c r="I70" s="1" t="s">
        <v>41</v>
      </c>
      <c r="J70" s="1" t="s">
        <v>250</v>
      </c>
      <c r="K70" s="1" t="s">
        <v>2700</v>
      </c>
      <c r="L70" s="1" t="s">
        <v>2701</v>
      </c>
      <c r="M70" s="1" t="s">
        <v>213</v>
      </c>
      <c r="N70" s="1" t="s">
        <v>2298</v>
      </c>
      <c r="O70" s="54" t="s">
        <v>2299</v>
      </c>
      <c r="P70" s="1">
        <v>1</v>
      </c>
      <c r="Q70" s="1" t="s">
        <v>2475</v>
      </c>
      <c r="R70" s="1" t="s">
        <v>2309</v>
      </c>
      <c r="S70" s="1" t="s">
        <v>2307</v>
      </c>
      <c r="T70" s="1" t="s">
        <v>2702</v>
      </c>
      <c r="U70" s="1"/>
      <c r="V70" s="1"/>
      <c r="W70" s="1"/>
      <c r="X70" s="1"/>
      <c r="Y70" s="1"/>
      <c r="Z70" s="1"/>
      <c r="AA70" s="1"/>
      <c r="AB70" s="1"/>
      <c r="AC70" s="56" t="s">
        <v>228</v>
      </c>
      <c r="AD70" s="56" t="s">
        <v>227</v>
      </c>
    </row>
    <row r="71" spans="1:30">
      <c r="A71" s="1">
        <v>2021</v>
      </c>
      <c r="B71" s="1">
        <v>202120</v>
      </c>
      <c r="C71" s="1">
        <v>202124847</v>
      </c>
      <c r="D71" s="1" t="s">
        <v>2703</v>
      </c>
      <c r="E71" s="1" t="s">
        <v>2704</v>
      </c>
      <c r="F71" s="1" t="s">
        <v>255</v>
      </c>
      <c r="G71" s="53" t="str">
        <f>_xlfn.XLOOKUP(Tabla2[[#This Row],[Universidad]],Conversiones!$B:$B,Conversiones!$C:$C)</f>
        <v>ESC Rouen (NEOMA)</v>
      </c>
      <c r="H71" s="53" t="str">
        <f>_xlfn.XLOOKUP(Tabla2[[#This Row],[Universidad KPIs]],Conversiones!$C:$C,Conversiones!$E:$E)</f>
        <v>Específico</v>
      </c>
      <c r="I71" s="1" t="s">
        <v>41</v>
      </c>
      <c r="J71" s="1" t="s">
        <v>250</v>
      </c>
      <c r="K71" s="1" t="s">
        <v>2705</v>
      </c>
      <c r="L71" s="1" t="s">
        <v>2706</v>
      </c>
      <c r="M71" s="1" t="s">
        <v>213</v>
      </c>
      <c r="N71" s="1" t="s">
        <v>2334</v>
      </c>
      <c r="O71" s="54" t="s">
        <v>2335</v>
      </c>
      <c r="P71" s="1">
        <v>1</v>
      </c>
      <c r="Q71" s="1" t="s">
        <v>2707</v>
      </c>
      <c r="R71" s="1" t="s">
        <v>2708</v>
      </c>
      <c r="S71" s="1" t="s">
        <v>2709</v>
      </c>
      <c r="T71" s="1" t="s">
        <v>2710</v>
      </c>
      <c r="U71" s="1"/>
      <c r="V71" s="1"/>
      <c r="W71" s="1"/>
      <c r="X71" s="1"/>
      <c r="Y71" s="1"/>
      <c r="Z71" s="1"/>
      <c r="AA71" s="1"/>
      <c r="AB71" s="1"/>
      <c r="AC71" s="56" t="s">
        <v>222</v>
      </c>
      <c r="AD71" s="56" t="s">
        <v>227</v>
      </c>
    </row>
    <row r="72" spans="1:30">
      <c r="A72" s="1">
        <v>2021</v>
      </c>
      <c r="B72" s="1">
        <v>202120</v>
      </c>
      <c r="C72" s="1">
        <v>202124831</v>
      </c>
      <c r="D72" s="1" t="s">
        <v>2711</v>
      </c>
      <c r="E72" s="1" t="s">
        <v>2712</v>
      </c>
      <c r="F72" s="1" t="s">
        <v>86</v>
      </c>
      <c r="G72" s="53" t="str">
        <f>_xlfn.XLOOKUP(Tabla2[[#This Row],[Universidad]],Conversiones!$B:$B,Conversiones!$C:$C)</f>
        <v>Politecnico di Milano</v>
      </c>
      <c r="H72" s="53" t="str">
        <f>_xlfn.XLOOKUP(Tabla2[[#This Row],[Universidad KPIs]],Conversiones!$C:$C,Conversiones!$E:$E)</f>
        <v>Específico</v>
      </c>
      <c r="I72" s="1" t="s">
        <v>87</v>
      </c>
      <c r="J72" s="1" t="s">
        <v>250</v>
      </c>
      <c r="K72" s="1" t="s">
        <v>2713</v>
      </c>
      <c r="L72" s="1" t="s">
        <v>2714</v>
      </c>
      <c r="M72" s="1" t="s">
        <v>213</v>
      </c>
      <c r="N72" s="1" t="s">
        <v>2334</v>
      </c>
      <c r="O72" s="54" t="s">
        <v>2335</v>
      </c>
      <c r="P72" s="1">
        <v>1</v>
      </c>
      <c r="Q72" s="1" t="s">
        <v>2715</v>
      </c>
      <c r="R72" s="1" t="s">
        <v>2307</v>
      </c>
      <c r="S72" s="1" t="s">
        <v>2716</v>
      </c>
      <c r="T72" s="1" t="s">
        <v>2717</v>
      </c>
      <c r="U72" s="1" t="s">
        <v>2595</v>
      </c>
      <c r="V72" s="1"/>
      <c r="W72" s="1"/>
      <c r="X72" s="1"/>
      <c r="Y72" s="1"/>
      <c r="Z72" s="1"/>
      <c r="AA72" s="1"/>
      <c r="AB72" s="1"/>
      <c r="AC72" s="56" t="s">
        <v>221</v>
      </c>
      <c r="AD72" s="56" t="s">
        <v>227</v>
      </c>
    </row>
    <row r="73" spans="1:30">
      <c r="A73" s="1">
        <v>2021</v>
      </c>
      <c r="B73" s="1">
        <v>202120</v>
      </c>
      <c r="C73" s="1">
        <v>202124892</v>
      </c>
      <c r="D73" s="1" t="s">
        <v>2718</v>
      </c>
      <c r="E73" s="1" t="s">
        <v>2719</v>
      </c>
      <c r="F73" s="1" t="s">
        <v>86</v>
      </c>
      <c r="G73" s="53" t="str">
        <f>_xlfn.XLOOKUP(Tabla2[[#This Row],[Universidad]],Conversiones!$B:$B,Conversiones!$C:$C)</f>
        <v>Politecnico di Milano</v>
      </c>
      <c r="H73" s="53" t="str">
        <f>_xlfn.XLOOKUP(Tabla2[[#This Row],[Universidad KPIs]],Conversiones!$C:$C,Conversiones!$E:$E)</f>
        <v>Específico</v>
      </c>
      <c r="I73" s="1" t="s">
        <v>87</v>
      </c>
      <c r="J73" s="1" t="s">
        <v>250</v>
      </c>
      <c r="K73" s="1" t="s">
        <v>2720</v>
      </c>
      <c r="L73" s="1" t="s">
        <v>2721</v>
      </c>
      <c r="M73" s="1" t="s">
        <v>213</v>
      </c>
      <c r="N73" s="1" t="s">
        <v>2298</v>
      </c>
      <c r="O73" s="54" t="s">
        <v>2299</v>
      </c>
      <c r="P73" s="1">
        <v>1</v>
      </c>
      <c r="Q73" s="1" t="s">
        <v>2722</v>
      </c>
      <c r="R73" s="1" t="s">
        <v>2723</v>
      </c>
      <c r="S73" s="1" t="s">
        <v>2307</v>
      </c>
      <c r="T73" s="1" t="s">
        <v>2407</v>
      </c>
      <c r="U73" s="1" t="s">
        <v>2724</v>
      </c>
      <c r="V73" s="1" t="s">
        <v>2725</v>
      </c>
      <c r="W73" s="1"/>
      <c r="X73" s="1"/>
      <c r="Y73" s="1"/>
      <c r="Z73" s="1"/>
      <c r="AA73" s="1"/>
      <c r="AB73" s="1"/>
      <c r="AC73" s="56" t="s">
        <v>216</v>
      </c>
      <c r="AD73" s="56" t="s">
        <v>234</v>
      </c>
    </row>
    <row r="74" spans="1:30">
      <c r="A74" s="1">
        <v>2021</v>
      </c>
      <c r="B74" s="1">
        <v>202120</v>
      </c>
      <c r="C74" s="1">
        <v>202124833</v>
      </c>
      <c r="D74" s="1" t="s">
        <v>2726</v>
      </c>
      <c r="E74" s="1" t="s">
        <v>2727</v>
      </c>
      <c r="F74" s="1" t="s">
        <v>86</v>
      </c>
      <c r="G74" s="53" t="str">
        <f>_xlfn.XLOOKUP(Tabla2[[#This Row],[Universidad]],Conversiones!$B:$B,Conversiones!$C:$C)</f>
        <v>Politecnico di Milano</v>
      </c>
      <c r="H74" s="53" t="str">
        <f>_xlfn.XLOOKUP(Tabla2[[#This Row],[Universidad KPIs]],Conversiones!$C:$C,Conversiones!$E:$E)</f>
        <v>Específico</v>
      </c>
      <c r="I74" s="1" t="s">
        <v>87</v>
      </c>
      <c r="J74" s="1" t="s">
        <v>250</v>
      </c>
      <c r="K74" s="1" t="s">
        <v>2728</v>
      </c>
      <c r="L74" s="1" t="s">
        <v>2729</v>
      </c>
      <c r="M74" s="1" t="s">
        <v>213</v>
      </c>
      <c r="N74" s="1" t="s">
        <v>2334</v>
      </c>
      <c r="O74" s="54" t="s">
        <v>2335</v>
      </c>
      <c r="P74" s="1">
        <v>1</v>
      </c>
      <c r="Q74" s="1" t="s">
        <v>2730</v>
      </c>
      <c r="R74" s="1" t="s">
        <v>2731</v>
      </c>
      <c r="S74" s="1" t="s">
        <v>2732</v>
      </c>
      <c r="T74" s="1" t="s">
        <v>2733</v>
      </c>
      <c r="U74" s="1"/>
      <c r="V74" s="1"/>
      <c r="W74" s="1"/>
      <c r="X74" s="1"/>
      <c r="Y74" s="1"/>
      <c r="Z74" s="1"/>
      <c r="AA74" s="1"/>
      <c r="AB74" s="1"/>
      <c r="AC74" s="56" t="s">
        <v>221</v>
      </c>
      <c r="AD74" s="56" t="s">
        <v>227</v>
      </c>
    </row>
    <row r="75" spans="1:30">
      <c r="A75" s="1">
        <v>2021</v>
      </c>
      <c r="B75" s="1">
        <v>202120</v>
      </c>
      <c r="C75" s="1">
        <v>202124891</v>
      </c>
      <c r="D75" s="1" t="s">
        <v>2134</v>
      </c>
      <c r="E75" s="1" t="s">
        <v>2734</v>
      </c>
      <c r="F75" s="1" t="s">
        <v>307</v>
      </c>
      <c r="G75" s="53" t="str">
        <f>_xlfn.XLOOKUP(Tabla2[[#This Row],[Universidad]],Conversiones!$B:$B,Conversiones!$C:$C)</f>
        <v>University of Mannheim Business School</v>
      </c>
      <c r="H75" s="53" t="str">
        <f>_xlfn.XLOOKUP(Tabla2[[#This Row],[Universidad KPIs]],Conversiones!$C:$C,Conversiones!$E:$E)</f>
        <v>Específico</v>
      </c>
      <c r="I75" s="1" t="s">
        <v>60</v>
      </c>
      <c r="J75" s="1" t="s">
        <v>250</v>
      </c>
      <c r="K75" s="1" t="s">
        <v>2735</v>
      </c>
      <c r="L75" s="1" t="s">
        <v>2736</v>
      </c>
      <c r="M75" s="1" t="s">
        <v>213</v>
      </c>
      <c r="N75" s="1" t="s">
        <v>2298</v>
      </c>
      <c r="O75" s="54" t="s">
        <v>2299</v>
      </c>
      <c r="P75" s="1">
        <v>1</v>
      </c>
      <c r="Q75" s="1" t="s">
        <v>2601</v>
      </c>
      <c r="R75" s="1" t="s">
        <v>2405</v>
      </c>
      <c r="S75" s="1" t="s">
        <v>2309</v>
      </c>
      <c r="T75" s="1" t="s">
        <v>2307</v>
      </c>
      <c r="U75" s="1" t="s">
        <v>2329</v>
      </c>
      <c r="V75" s="1"/>
      <c r="W75" s="1"/>
      <c r="X75" s="1"/>
      <c r="Y75" s="1"/>
      <c r="Z75" s="1"/>
      <c r="AA75" s="1"/>
      <c r="AB75" s="1"/>
      <c r="AC75" s="56" t="s">
        <v>216</v>
      </c>
      <c r="AD75" s="56" t="s">
        <v>234</v>
      </c>
    </row>
    <row r="76" spans="1:30">
      <c r="A76" s="1">
        <v>2021</v>
      </c>
      <c r="B76" s="1">
        <v>202120</v>
      </c>
      <c r="C76" s="1">
        <v>202124896</v>
      </c>
      <c r="D76" s="1" t="s">
        <v>434</v>
      </c>
      <c r="E76" s="1" t="s">
        <v>2737</v>
      </c>
      <c r="F76" s="1" t="s">
        <v>307</v>
      </c>
      <c r="G76" s="53" t="str">
        <f>_xlfn.XLOOKUP(Tabla2[[#This Row],[Universidad]],Conversiones!$B:$B,Conversiones!$C:$C)</f>
        <v>University of Mannheim Business School</v>
      </c>
      <c r="H76" s="53" t="str">
        <f>_xlfn.XLOOKUP(Tabla2[[#This Row],[Universidad KPIs]],Conversiones!$C:$C,Conversiones!$E:$E)</f>
        <v>Específico</v>
      </c>
      <c r="I76" s="1" t="s">
        <v>60</v>
      </c>
      <c r="J76" s="1" t="s">
        <v>250</v>
      </c>
      <c r="K76" s="1" t="s">
        <v>2738</v>
      </c>
      <c r="L76" s="1" t="s">
        <v>2739</v>
      </c>
      <c r="M76" s="1" t="s">
        <v>213</v>
      </c>
      <c r="N76" s="1" t="s">
        <v>2298</v>
      </c>
      <c r="O76" s="54" t="s">
        <v>2299</v>
      </c>
      <c r="P76" s="1">
        <v>1</v>
      </c>
      <c r="Q76" s="1" t="s">
        <v>2640</v>
      </c>
      <c r="R76" s="1" t="s">
        <v>2601</v>
      </c>
      <c r="S76" s="1" t="s">
        <v>2407</v>
      </c>
      <c r="T76" s="1" t="s">
        <v>2740</v>
      </c>
      <c r="U76" s="1" t="s">
        <v>2329</v>
      </c>
      <c r="V76" s="1"/>
      <c r="W76" s="1"/>
      <c r="X76" s="1"/>
      <c r="Y76" s="1"/>
      <c r="Z76" s="1"/>
      <c r="AA76" s="1"/>
      <c r="AB76" s="1"/>
      <c r="AC76" s="56" t="s">
        <v>216</v>
      </c>
      <c r="AD76" s="56" t="s">
        <v>234</v>
      </c>
    </row>
    <row r="77" spans="1:30">
      <c r="A77" s="1">
        <v>2021</v>
      </c>
      <c r="B77" s="1">
        <v>202120</v>
      </c>
      <c r="C77" s="1">
        <v>202124940</v>
      </c>
      <c r="D77" s="1" t="s">
        <v>2741</v>
      </c>
      <c r="E77" s="1" t="s">
        <v>2742</v>
      </c>
      <c r="F77" s="1" t="s">
        <v>307</v>
      </c>
      <c r="G77" s="53" t="str">
        <f>_xlfn.XLOOKUP(Tabla2[[#This Row],[Universidad]],Conversiones!$B:$B,Conversiones!$C:$C)</f>
        <v>University of Mannheim Business School</v>
      </c>
      <c r="H77" s="53" t="str">
        <f>_xlfn.XLOOKUP(Tabla2[[#This Row],[Universidad KPIs]],Conversiones!$C:$C,Conversiones!$E:$E)</f>
        <v>Específico</v>
      </c>
      <c r="I77" s="1" t="s">
        <v>60</v>
      </c>
      <c r="J77" s="1" t="s">
        <v>250</v>
      </c>
      <c r="K77" s="1" t="s">
        <v>2743</v>
      </c>
      <c r="L77" s="1" t="s">
        <v>2744</v>
      </c>
      <c r="M77" s="1" t="s">
        <v>213</v>
      </c>
      <c r="N77" s="1" t="s">
        <v>2298</v>
      </c>
      <c r="O77" s="54" t="s">
        <v>2299</v>
      </c>
      <c r="P77" s="1">
        <v>1</v>
      </c>
      <c r="Q77" s="1" t="s">
        <v>2309</v>
      </c>
      <c r="R77" s="1" t="s">
        <v>2745</v>
      </c>
      <c r="S77" s="1" t="s">
        <v>2307</v>
      </c>
      <c r="T77" s="1" t="s">
        <v>2329</v>
      </c>
      <c r="U77" s="1" t="s">
        <v>2746</v>
      </c>
      <c r="V77" s="1"/>
      <c r="W77" s="1"/>
      <c r="X77" s="1"/>
      <c r="Y77" s="1"/>
      <c r="Z77" s="1"/>
      <c r="AA77" s="1"/>
      <c r="AB77" s="1"/>
      <c r="AC77" s="56" t="s">
        <v>216</v>
      </c>
      <c r="AD77" s="56" t="s">
        <v>234</v>
      </c>
    </row>
    <row r="78" spans="1:30">
      <c r="A78" s="1">
        <v>2021</v>
      </c>
      <c r="B78" s="1">
        <v>202120</v>
      </c>
      <c r="C78" s="1">
        <v>202124853</v>
      </c>
      <c r="D78" s="1" t="s">
        <v>2747</v>
      </c>
      <c r="E78" s="1" t="s">
        <v>2748</v>
      </c>
      <c r="F78" s="1" t="s">
        <v>307</v>
      </c>
      <c r="G78" s="53" t="str">
        <f>_xlfn.XLOOKUP(Tabla2[[#This Row],[Universidad]],Conversiones!$B:$B,Conversiones!$C:$C)</f>
        <v>University of Mannheim Business School</v>
      </c>
      <c r="H78" s="53" t="str">
        <f>_xlfn.XLOOKUP(Tabla2[[#This Row],[Universidad KPIs]],Conversiones!$C:$C,Conversiones!$E:$E)</f>
        <v>Específico</v>
      </c>
      <c r="I78" s="1" t="s">
        <v>60</v>
      </c>
      <c r="J78" s="1" t="s">
        <v>250</v>
      </c>
      <c r="K78" s="1" t="s">
        <v>2749</v>
      </c>
      <c r="L78" s="1" t="s">
        <v>2750</v>
      </c>
      <c r="M78" s="1" t="s">
        <v>213</v>
      </c>
      <c r="N78" s="1" t="s">
        <v>2298</v>
      </c>
      <c r="O78" s="54" t="s">
        <v>2299</v>
      </c>
      <c r="P78" s="1">
        <v>1</v>
      </c>
      <c r="Q78" s="1" t="s">
        <v>2394</v>
      </c>
      <c r="R78" s="1" t="s">
        <v>2307</v>
      </c>
      <c r="S78" s="1" t="s">
        <v>2595</v>
      </c>
      <c r="T78" s="1"/>
      <c r="U78" s="1"/>
      <c r="V78" s="1"/>
      <c r="W78" s="1"/>
      <c r="X78" s="1"/>
      <c r="Y78" s="1"/>
      <c r="Z78" s="1"/>
      <c r="AA78" s="1"/>
      <c r="AB78" s="1"/>
      <c r="AC78" s="56" t="s">
        <v>228</v>
      </c>
      <c r="AD78" s="56" t="s">
        <v>227</v>
      </c>
    </row>
    <row r="79" spans="1:30">
      <c r="A79" s="1">
        <v>2021</v>
      </c>
      <c r="B79" s="1">
        <v>202120</v>
      </c>
      <c r="C79" s="1">
        <v>202124842</v>
      </c>
      <c r="D79" s="1" t="s">
        <v>2751</v>
      </c>
      <c r="E79" s="1" t="s">
        <v>2752</v>
      </c>
      <c r="F79" s="1" t="s">
        <v>493</v>
      </c>
      <c r="G79" s="53" t="str">
        <f>_xlfn.XLOOKUP(Tabla2[[#This Row],[Universidad]],Conversiones!$B:$B,Conversiones!$C:$C)</f>
        <v>University of Saint Gallen</v>
      </c>
      <c r="H79" s="53" t="str">
        <f>_xlfn.XLOOKUP(Tabla2[[#This Row],[Universidad KPIs]],Conversiones!$C:$C,Conversiones!$E:$E)</f>
        <v>Específico</v>
      </c>
      <c r="I79" s="1" t="s">
        <v>65</v>
      </c>
      <c r="J79" s="1" t="s">
        <v>250</v>
      </c>
      <c r="K79" s="1" t="s">
        <v>2753</v>
      </c>
      <c r="L79" s="1" t="s">
        <v>2754</v>
      </c>
      <c r="M79" s="1" t="s">
        <v>213</v>
      </c>
      <c r="N79" s="1" t="s">
        <v>2334</v>
      </c>
      <c r="O79" s="54" t="s">
        <v>2335</v>
      </c>
      <c r="P79" s="1">
        <v>1</v>
      </c>
      <c r="Q79" s="1" t="s">
        <v>2755</v>
      </c>
      <c r="R79" s="1" t="s">
        <v>2756</v>
      </c>
      <c r="S79" s="1" t="s">
        <v>2708</v>
      </c>
      <c r="T79" s="1" t="s">
        <v>2757</v>
      </c>
      <c r="U79" s="1" t="s">
        <v>2758</v>
      </c>
      <c r="V79" s="1" t="s">
        <v>2759</v>
      </c>
      <c r="W79" s="1"/>
      <c r="X79" s="1"/>
      <c r="Y79" s="1"/>
      <c r="Z79" s="1"/>
      <c r="AA79" s="1"/>
      <c r="AB79" s="1"/>
      <c r="AC79" s="56" t="s">
        <v>221</v>
      </c>
      <c r="AD79" s="56" t="s">
        <v>227</v>
      </c>
    </row>
    <row r="80" spans="1:30">
      <c r="A80" s="1">
        <v>2021</v>
      </c>
      <c r="B80" s="1">
        <v>202120</v>
      </c>
      <c r="C80" s="1">
        <v>202124887</v>
      </c>
      <c r="D80" s="1" t="s">
        <v>2760</v>
      </c>
      <c r="E80" s="1" t="s">
        <v>2761</v>
      </c>
      <c r="F80" s="1" t="s">
        <v>1369</v>
      </c>
      <c r="G80" s="53" t="str">
        <f>_xlfn.XLOOKUP(Tabla2[[#This Row],[Universidad]],Conversiones!$B:$B,Conversiones!$C:$C)</f>
        <v>EM Strasbourg</v>
      </c>
      <c r="H80" s="53" t="str">
        <f>_xlfn.XLOOKUP(Tabla2[[#This Row],[Universidad KPIs]],Conversiones!$C:$C,Conversiones!$E:$E)</f>
        <v>Específico</v>
      </c>
      <c r="I80" s="1" t="s">
        <v>41</v>
      </c>
      <c r="J80" s="1" t="s">
        <v>250</v>
      </c>
      <c r="K80" s="1" t="s">
        <v>2762</v>
      </c>
      <c r="L80" s="1" t="s">
        <v>2763</v>
      </c>
      <c r="M80" s="1" t="s">
        <v>213</v>
      </c>
      <c r="N80" s="1" t="s">
        <v>2298</v>
      </c>
      <c r="O80" s="54" t="s">
        <v>2299</v>
      </c>
      <c r="P80" s="1">
        <v>1</v>
      </c>
      <c r="Q80" s="1" t="s">
        <v>2755</v>
      </c>
      <c r="R80" s="1" t="s">
        <v>2764</v>
      </c>
      <c r="S80" s="1" t="s">
        <v>2577</v>
      </c>
      <c r="T80" s="1" t="s">
        <v>2329</v>
      </c>
      <c r="U80" s="1" t="s">
        <v>2302</v>
      </c>
      <c r="V80" s="1"/>
      <c r="W80" s="1"/>
      <c r="X80" s="1"/>
      <c r="Y80" s="1"/>
      <c r="Z80" s="1"/>
      <c r="AA80" s="1"/>
      <c r="AB80" s="1"/>
      <c r="AC80" s="56" t="s">
        <v>216</v>
      </c>
      <c r="AD80" s="56" t="s">
        <v>234</v>
      </c>
    </row>
    <row r="81" spans="1:30">
      <c r="A81" s="1">
        <v>2021</v>
      </c>
      <c r="B81" s="1">
        <v>202120</v>
      </c>
      <c r="C81" s="1">
        <v>202121452</v>
      </c>
      <c r="D81" s="1" t="s">
        <v>2765</v>
      </c>
      <c r="E81" s="1" t="s">
        <v>2766</v>
      </c>
      <c r="F81" s="1" t="s">
        <v>100</v>
      </c>
      <c r="G81" s="53" t="str">
        <f>_xlfn.XLOOKUP(Tabla2[[#This Row],[Universidad]],Conversiones!$B:$B,Conversiones!$C:$C)</f>
        <v>University of Glasgow</v>
      </c>
      <c r="H81" s="53" t="str">
        <f>_xlfn.XLOOKUP(Tabla2[[#This Row],[Universidad KPIs]],Conversiones!$C:$C,Conversiones!$E:$E)</f>
        <v>General</v>
      </c>
      <c r="I81" s="1" t="s">
        <v>39</v>
      </c>
      <c r="J81" s="1" t="s">
        <v>250</v>
      </c>
      <c r="K81" s="1"/>
      <c r="L81" s="1" t="s">
        <v>2767</v>
      </c>
      <c r="M81" s="1" t="s">
        <v>213</v>
      </c>
      <c r="N81" s="1" t="s">
        <v>2334</v>
      </c>
      <c r="O81" s="54" t="s">
        <v>2335</v>
      </c>
      <c r="P81" s="1">
        <v>1</v>
      </c>
      <c r="Q81" s="1" t="s">
        <v>2708</v>
      </c>
      <c r="R81" s="1" t="s">
        <v>2768</v>
      </c>
      <c r="S81" s="1" t="s">
        <v>2733</v>
      </c>
      <c r="T81" s="1" t="s">
        <v>2769</v>
      </c>
      <c r="U81" s="1"/>
      <c r="V81" s="1"/>
      <c r="W81" s="1"/>
      <c r="X81" s="1"/>
      <c r="Y81" s="1"/>
      <c r="Z81" s="1"/>
      <c r="AA81" s="1"/>
      <c r="AB81" s="1"/>
      <c r="AC81" s="56" t="s">
        <v>220</v>
      </c>
      <c r="AD81" s="56" t="s">
        <v>227</v>
      </c>
    </row>
    <row r="82" spans="1:30">
      <c r="A82" s="1">
        <v>2021</v>
      </c>
      <c r="B82" s="1">
        <v>202120</v>
      </c>
      <c r="C82" s="1">
        <v>202121450</v>
      </c>
      <c r="D82" s="1" t="s">
        <v>2770</v>
      </c>
      <c r="E82" s="1" t="s">
        <v>2771</v>
      </c>
      <c r="F82" s="1" t="s">
        <v>100</v>
      </c>
      <c r="G82" s="53" t="str">
        <f>_xlfn.XLOOKUP(Tabla2[[#This Row],[Universidad]],Conversiones!$B:$B,Conversiones!$C:$C)</f>
        <v>University of Glasgow</v>
      </c>
      <c r="H82" s="53" t="str">
        <f>_xlfn.XLOOKUP(Tabla2[[#This Row],[Universidad KPIs]],Conversiones!$C:$C,Conversiones!$E:$E)</f>
        <v>General</v>
      </c>
      <c r="I82" s="1" t="s">
        <v>39</v>
      </c>
      <c r="J82" s="1" t="s">
        <v>250</v>
      </c>
      <c r="K82" s="1"/>
      <c r="L82" s="1" t="s">
        <v>2772</v>
      </c>
      <c r="M82" s="1" t="s">
        <v>213</v>
      </c>
      <c r="N82" s="1" t="s">
        <v>2334</v>
      </c>
      <c r="O82" s="54" t="s">
        <v>2335</v>
      </c>
      <c r="P82" s="1">
        <v>1</v>
      </c>
      <c r="Q82" s="1" t="s">
        <v>2708</v>
      </c>
      <c r="R82" s="1" t="s">
        <v>2768</v>
      </c>
      <c r="S82" s="1" t="s">
        <v>2733</v>
      </c>
      <c r="T82" s="1" t="s">
        <v>2769</v>
      </c>
      <c r="U82" s="1"/>
      <c r="V82" s="1"/>
      <c r="W82" s="1"/>
      <c r="X82" s="1"/>
      <c r="Y82" s="1"/>
      <c r="Z82" s="1"/>
      <c r="AA82" s="1"/>
      <c r="AB82" s="1"/>
      <c r="AC82" s="56" t="s">
        <v>220</v>
      </c>
      <c r="AD82" s="56" t="s">
        <v>227</v>
      </c>
    </row>
    <row r="83" spans="1:30">
      <c r="A83" s="1">
        <v>2021</v>
      </c>
      <c r="B83" s="1">
        <v>202120</v>
      </c>
      <c r="C83" s="1">
        <v>202121451</v>
      </c>
      <c r="D83" s="1" t="s">
        <v>2773</v>
      </c>
      <c r="E83" s="1" t="s">
        <v>2774</v>
      </c>
      <c r="F83" s="1" t="s">
        <v>100</v>
      </c>
      <c r="G83" s="53" t="str">
        <f>_xlfn.XLOOKUP(Tabla2[[#This Row],[Universidad]],Conversiones!$B:$B,Conversiones!$C:$C)</f>
        <v>University of Glasgow</v>
      </c>
      <c r="H83" s="53" t="str">
        <f>_xlfn.XLOOKUP(Tabla2[[#This Row],[Universidad KPIs]],Conversiones!$C:$C,Conversiones!$E:$E)</f>
        <v>General</v>
      </c>
      <c r="I83" s="1" t="s">
        <v>39</v>
      </c>
      <c r="J83" s="1" t="s">
        <v>250</v>
      </c>
      <c r="K83" s="1"/>
      <c r="L83" s="1" t="s">
        <v>2775</v>
      </c>
      <c r="M83" s="1" t="s">
        <v>213</v>
      </c>
      <c r="N83" s="1" t="s">
        <v>2334</v>
      </c>
      <c r="O83" s="54" t="s">
        <v>2335</v>
      </c>
      <c r="P83" s="1">
        <v>1</v>
      </c>
      <c r="Q83" s="1" t="s">
        <v>2715</v>
      </c>
      <c r="R83" s="1" t="s">
        <v>2768</v>
      </c>
      <c r="S83" s="1" t="s">
        <v>2733</v>
      </c>
      <c r="T83" s="1" t="s">
        <v>2769</v>
      </c>
      <c r="U83" s="1"/>
      <c r="V83" s="1"/>
      <c r="W83" s="1"/>
      <c r="X83" s="1"/>
      <c r="Y83" s="1"/>
      <c r="Z83" s="1"/>
      <c r="AA83" s="1"/>
      <c r="AB83" s="1"/>
      <c r="AC83" s="56" t="s">
        <v>220</v>
      </c>
      <c r="AD83" s="56" t="s">
        <v>227</v>
      </c>
    </row>
    <row r="84" spans="1:30">
      <c r="A84" s="1">
        <v>2021</v>
      </c>
      <c r="B84" s="1">
        <v>202120</v>
      </c>
      <c r="C84" s="1">
        <v>202121448</v>
      </c>
      <c r="D84" s="1" t="s">
        <v>2776</v>
      </c>
      <c r="E84" s="1" t="s">
        <v>2777</v>
      </c>
      <c r="F84" s="1" t="s">
        <v>100</v>
      </c>
      <c r="G84" s="53" t="str">
        <f>_xlfn.XLOOKUP(Tabla2[[#This Row],[Universidad]],Conversiones!$B:$B,Conversiones!$C:$C)</f>
        <v>University of Glasgow</v>
      </c>
      <c r="H84" s="53" t="str">
        <f>_xlfn.XLOOKUP(Tabla2[[#This Row],[Universidad KPIs]],Conversiones!$C:$C,Conversiones!$E:$E)</f>
        <v>General</v>
      </c>
      <c r="I84" s="1" t="s">
        <v>39</v>
      </c>
      <c r="J84" s="1" t="s">
        <v>250</v>
      </c>
      <c r="K84" s="1"/>
      <c r="L84" s="1" t="s">
        <v>2778</v>
      </c>
      <c r="M84" s="1" t="s">
        <v>213</v>
      </c>
      <c r="N84" s="1" t="s">
        <v>2334</v>
      </c>
      <c r="O84" s="54" t="s">
        <v>2335</v>
      </c>
      <c r="P84" s="1">
        <v>1</v>
      </c>
      <c r="Q84" s="1" t="s">
        <v>2708</v>
      </c>
      <c r="R84" s="1" t="s">
        <v>2715</v>
      </c>
      <c r="S84" s="1" t="s">
        <v>2768</v>
      </c>
      <c r="T84" s="1" t="s">
        <v>2769</v>
      </c>
      <c r="U84" s="1"/>
      <c r="V84" s="1"/>
      <c r="W84" s="1"/>
      <c r="X84" s="1"/>
      <c r="Y84" s="1"/>
      <c r="Z84" s="1"/>
      <c r="AA84" s="1"/>
      <c r="AB84" s="1"/>
      <c r="AC84" s="56" t="s">
        <v>220</v>
      </c>
      <c r="AD84" s="56" t="s">
        <v>227</v>
      </c>
    </row>
    <row r="85" spans="1:30">
      <c r="A85" s="1">
        <v>2021</v>
      </c>
      <c r="B85" s="1">
        <v>202120</v>
      </c>
      <c r="C85" s="1">
        <v>202121431</v>
      </c>
      <c r="D85" s="1" t="s">
        <v>2779</v>
      </c>
      <c r="E85" s="1" t="s">
        <v>2780</v>
      </c>
      <c r="F85" s="1" t="s">
        <v>100</v>
      </c>
      <c r="G85" s="53" t="str">
        <f>_xlfn.XLOOKUP(Tabla2[[#This Row],[Universidad]],Conversiones!$B:$B,Conversiones!$C:$C)</f>
        <v>University of Glasgow</v>
      </c>
      <c r="H85" s="53" t="str">
        <f>_xlfn.XLOOKUP(Tabla2[[#This Row],[Universidad KPIs]],Conversiones!$C:$C,Conversiones!$E:$E)</f>
        <v>General</v>
      </c>
      <c r="I85" s="1" t="s">
        <v>39</v>
      </c>
      <c r="J85" s="1" t="s">
        <v>250</v>
      </c>
      <c r="K85" s="1"/>
      <c r="L85" s="1" t="s">
        <v>2781</v>
      </c>
      <c r="M85" s="1" t="s">
        <v>213</v>
      </c>
      <c r="N85" s="1" t="s">
        <v>2334</v>
      </c>
      <c r="O85" s="54" t="s">
        <v>2335</v>
      </c>
      <c r="P85" s="1">
        <v>1</v>
      </c>
      <c r="Q85" s="1" t="s">
        <v>2708</v>
      </c>
      <c r="R85" s="1" t="s">
        <v>2768</v>
      </c>
      <c r="S85" s="1" t="s">
        <v>2733</v>
      </c>
      <c r="T85" s="1" t="s">
        <v>2769</v>
      </c>
      <c r="U85" s="1"/>
      <c r="V85" s="1"/>
      <c r="W85" s="1"/>
      <c r="X85" s="1"/>
      <c r="Y85" s="1"/>
      <c r="Z85" s="1"/>
      <c r="AA85" s="1"/>
      <c r="AB85" s="1"/>
      <c r="AC85" s="56" t="s">
        <v>220</v>
      </c>
      <c r="AD85" s="56" t="s">
        <v>227</v>
      </c>
    </row>
    <row r="86" spans="1:30">
      <c r="A86" s="1">
        <v>2021</v>
      </c>
      <c r="B86" s="1">
        <v>202120</v>
      </c>
      <c r="C86" s="1">
        <v>202121449</v>
      </c>
      <c r="D86" s="1" t="s">
        <v>2782</v>
      </c>
      <c r="E86" s="1" t="s">
        <v>2783</v>
      </c>
      <c r="F86" s="1" t="s">
        <v>100</v>
      </c>
      <c r="G86" s="53" t="str">
        <f>_xlfn.XLOOKUP(Tabla2[[#This Row],[Universidad]],Conversiones!$B:$B,Conversiones!$C:$C)</f>
        <v>University of Glasgow</v>
      </c>
      <c r="H86" s="53" t="str">
        <f>_xlfn.XLOOKUP(Tabla2[[#This Row],[Universidad KPIs]],Conversiones!$C:$C,Conversiones!$E:$E)</f>
        <v>General</v>
      </c>
      <c r="I86" s="1" t="s">
        <v>39</v>
      </c>
      <c r="J86" s="1" t="s">
        <v>250</v>
      </c>
      <c r="K86" s="1"/>
      <c r="L86" s="1" t="s">
        <v>2784</v>
      </c>
      <c r="M86" s="1" t="s">
        <v>213</v>
      </c>
      <c r="N86" s="1" t="s">
        <v>2334</v>
      </c>
      <c r="O86" s="54" t="s">
        <v>2335</v>
      </c>
      <c r="P86" s="1">
        <v>1</v>
      </c>
      <c r="Q86" s="1" t="s">
        <v>2708</v>
      </c>
      <c r="R86" s="1" t="s">
        <v>2768</v>
      </c>
      <c r="S86" s="1" t="s">
        <v>2733</v>
      </c>
      <c r="T86" s="1" t="s">
        <v>2769</v>
      </c>
      <c r="U86" s="1"/>
      <c r="V86" s="1"/>
      <c r="W86" s="1"/>
      <c r="X86" s="1"/>
      <c r="Y86" s="1"/>
      <c r="Z86" s="1"/>
      <c r="AA86" s="1"/>
      <c r="AB86" s="1"/>
      <c r="AC86" s="56" t="s">
        <v>220</v>
      </c>
      <c r="AD86" s="56" t="s">
        <v>227</v>
      </c>
    </row>
    <row r="87" spans="1:30">
      <c r="A87" s="1">
        <v>2021</v>
      </c>
      <c r="B87" s="1">
        <v>202110</v>
      </c>
      <c r="C87" s="1">
        <v>202116340</v>
      </c>
      <c r="D87" s="1" t="s">
        <v>2785</v>
      </c>
      <c r="E87" s="1" t="s">
        <v>2786</v>
      </c>
      <c r="F87" s="1" t="s">
        <v>279</v>
      </c>
      <c r="G87" s="53" t="str">
        <f>_xlfn.XLOOKUP(Tabla2[[#This Row],[Universidad]],Conversiones!$B:$B,Conversiones!$C:$C)</f>
        <v>Toulouse Business School</v>
      </c>
      <c r="H87" s="53" t="str">
        <f>_xlfn.XLOOKUP(Tabla2[[#This Row],[Universidad KPIs]],Conversiones!$C:$C,Conversiones!$E:$E)</f>
        <v>Específico</v>
      </c>
      <c r="I87" s="1" t="s">
        <v>41</v>
      </c>
      <c r="J87" s="1" t="s">
        <v>250</v>
      </c>
      <c r="K87" s="1" t="s">
        <v>2787</v>
      </c>
      <c r="L87" s="1" t="e">
        <v>#N/A</v>
      </c>
      <c r="M87" s="1" t="s">
        <v>214</v>
      </c>
      <c r="N87" s="1" t="s">
        <v>2298</v>
      </c>
      <c r="O87" s="54"/>
      <c r="P87" s="1">
        <v>1</v>
      </c>
      <c r="Q87" s="1" t="s">
        <v>2535</v>
      </c>
      <c r="R87" s="1" t="s">
        <v>2307</v>
      </c>
      <c r="S87" s="1" t="s">
        <v>2388</v>
      </c>
      <c r="T87" s="1" t="s">
        <v>2321</v>
      </c>
      <c r="U87" s="1" t="s">
        <v>2475</v>
      </c>
      <c r="V87" s="1" t="s">
        <v>2788</v>
      </c>
      <c r="W87" s="1" t="s">
        <v>2789</v>
      </c>
      <c r="X87" s="1"/>
      <c r="Y87" s="1"/>
      <c r="Z87" s="1"/>
      <c r="AA87" s="1"/>
      <c r="AB87" s="1"/>
      <c r="AC87" s="56" t="s">
        <v>216</v>
      </c>
      <c r="AD87" s="56" t="s">
        <v>234</v>
      </c>
    </row>
    <row r="88" spans="1:30">
      <c r="A88" s="1">
        <v>2022</v>
      </c>
      <c r="B88" s="1">
        <v>202210</v>
      </c>
      <c r="C88" s="1">
        <v>202216143</v>
      </c>
      <c r="D88" s="1" t="s">
        <v>2790</v>
      </c>
      <c r="E88" s="1" t="s">
        <v>2791</v>
      </c>
      <c r="F88" s="1" t="s">
        <v>2792</v>
      </c>
      <c r="G88" s="53" t="str">
        <f>_xlfn.XLOOKUP(Tabla2[[#This Row],[Universidad]],Conversiones!$B:$B,Conversiones!$C:$C)</f>
        <v>Aalborg University</v>
      </c>
      <c r="H88" s="53" t="str">
        <f>_xlfn.XLOOKUP(Tabla2[[#This Row],[Universidad KPIs]],Conversiones!$C:$C,Conversiones!$E:$E)</f>
        <v>General</v>
      </c>
      <c r="I88" s="1" t="s">
        <v>47</v>
      </c>
      <c r="J88" s="1" t="s">
        <v>250</v>
      </c>
      <c r="K88" s="1" t="s">
        <v>2793</v>
      </c>
      <c r="L88" s="1" t="s">
        <v>2794</v>
      </c>
      <c r="M88" s="1" t="s">
        <v>213</v>
      </c>
      <c r="N88" s="1" t="s">
        <v>2334</v>
      </c>
      <c r="O88" s="54" t="s">
        <v>2335</v>
      </c>
      <c r="P88" s="1">
        <v>1</v>
      </c>
      <c r="Q88" s="1" t="s">
        <v>2328</v>
      </c>
      <c r="R88" s="1" t="s">
        <v>2795</v>
      </c>
      <c r="S88" s="1" t="s">
        <v>2339</v>
      </c>
      <c r="T88" s="1" t="s">
        <v>2382</v>
      </c>
      <c r="U88" s="1" t="s">
        <v>2300</v>
      </c>
      <c r="V88" s="1" t="s">
        <v>2463</v>
      </c>
      <c r="W88" s="1" t="s">
        <v>2376</v>
      </c>
      <c r="X88" s="1"/>
      <c r="Y88" s="1"/>
      <c r="Z88" s="1"/>
      <c r="AA88" s="1"/>
      <c r="AB88" s="1"/>
      <c r="AC88" s="56" t="s">
        <v>228</v>
      </c>
      <c r="AD88" s="56" t="s">
        <v>227</v>
      </c>
    </row>
    <row r="89" spans="1:30">
      <c r="A89" s="1">
        <v>2022</v>
      </c>
      <c r="B89" s="1">
        <v>202210</v>
      </c>
      <c r="C89" s="1">
        <v>202216145</v>
      </c>
      <c r="D89" s="1" t="s">
        <v>2796</v>
      </c>
      <c r="E89" s="1" t="s">
        <v>2797</v>
      </c>
      <c r="F89" s="1" t="s">
        <v>350</v>
      </c>
      <c r="G89" s="53" t="str">
        <f>_xlfn.XLOOKUP(Tabla2[[#This Row],[Universidad]],Conversiones!$B:$B,Conversiones!$C:$C)</f>
        <v>Audencia. École de Management</v>
      </c>
      <c r="H89" s="53" t="str">
        <f>_xlfn.XLOOKUP(Tabla2[[#This Row],[Universidad KPIs]],Conversiones!$C:$C,Conversiones!$E:$E)</f>
        <v>Específico</v>
      </c>
      <c r="I89" s="1" t="s">
        <v>41</v>
      </c>
      <c r="J89" s="1" t="s">
        <v>250</v>
      </c>
      <c r="K89" s="1" t="s">
        <v>2798</v>
      </c>
      <c r="L89" s="1" t="s">
        <v>2799</v>
      </c>
      <c r="M89" s="1" t="s">
        <v>213</v>
      </c>
      <c r="N89" s="1" t="s">
        <v>2298</v>
      </c>
      <c r="O89" s="54" t="s">
        <v>2299</v>
      </c>
      <c r="P89" s="1">
        <v>1</v>
      </c>
      <c r="Q89" s="1" t="s">
        <v>2321</v>
      </c>
      <c r="R89" s="1" t="s">
        <v>2309</v>
      </c>
      <c r="S89" s="1" t="s">
        <v>2407</v>
      </c>
      <c r="T89" s="1" t="s">
        <v>2480</v>
      </c>
      <c r="U89" s="1" t="s">
        <v>2388</v>
      </c>
      <c r="V89" s="1" t="s">
        <v>2609</v>
      </c>
      <c r="W89" s="1"/>
      <c r="X89" s="1"/>
      <c r="Y89" s="1"/>
      <c r="Z89" s="1"/>
      <c r="AA89" s="1"/>
      <c r="AB89" s="1"/>
      <c r="AC89" s="56" t="s">
        <v>216</v>
      </c>
      <c r="AD89" s="56" t="s">
        <v>234</v>
      </c>
    </row>
    <row r="90" spans="1:30">
      <c r="A90" s="1">
        <v>2022</v>
      </c>
      <c r="B90" s="1">
        <v>202210</v>
      </c>
      <c r="C90" s="1">
        <v>202216148</v>
      </c>
      <c r="D90" s="1" t="s">
        <v>2800</v>
      </c>
      <c r="E90" s="1" t="s">
        <v>2801</v>
      </c>
      <c r="F90" s="1" t="s">
        <v>350</v>
      </c>
      <c r="G90" s="53" t="str">
        <f>_xlfn.XLOOKUP(Tabla2[[#This Row],[Universidad]],Conversiones!$B:$B,Conversiones!$C:$C)</f>
        <v>Audencia. École de Management</v>
      </c>
      <c r="H90" s="53" t="str">
        <f>_xlfn.XLOOKUP(Tabla2[[#This Row],[Universidad KPIs]],Conversiones!$C:$C,Conversiones!$E:$E)</f>
        <v>Específico</v>
      </c>
      <c r="I90" s="1" t="s">
        <v>41</v>
      </c>
      <c r="J90" s="1" t="s">
        <v>250</v>
      </c>
      <c r="K90" s="1" t="s">
        <v>2802</v>
      </c>
      <c r="L90" s="1" t="s">
        <v>2803</v>
      </c>
      <c r="M90" s="1" t="s">
        <v>213</v>
      </c>
      <c r="N90" s="1" t="s">
        <v>2298</v>
      </c>
      <c r="O90" s="54" t="s">
        <v>2299</v>
      </c>
      <c r="P90" s="1">
        <v>1</v>
      </c>
      <c r="Q90" s="1" t="s">
        <v>2321</v>
      </c>
      <c r="R90" s="1" t="s">
        <v>2632</v>
      </c>
      <c r="S90" s="1" t="s">
        <v>2407</v>
      </c>
      <c r="T90" s="1" t="s">
        <v>2301</v>
      </c>
      <c r="U90" s="1" t="s">
        <v>2329</v>
      </c>
      <c r="V90" s="1"/>
      <c r="W90" s="1"/>
      <c r="X90" s="1"/>
      <c r="Y90" s="1"/>
      <c r="Z90" s="1"/>
      <c r="AA90" s="1"/>
      <c r="AB90" s="1"/>
      <c r="AC90" s="56" t="s">
        <v>216</v>
      </c>
      <c r="AD90" s="56" t="s">
        <v>234</v>
      </c>
    </row>
    <row r="91" spans="1:30">
      <c r="A91" s="1">
        <v>2022</v>
      </c>
      <c r="B91" s="1">
        <v>202210</v>
      </c>
      <c r="C91" s="1">
        <v>202216146</v>
      </c>
      <c r="D91" s="1" t="s">
        <v>327</v>
      </c>
      <c r="E91" s="1" t="s">
        <v>2804</v>
      </c>
      <c r="F91" s="1" t="s">
        <v>388</v>
      </c>
      <c r="G91" s="53" t="str">
        <f>_xlfn.XLOOKUP(Tabla2[[#This Row],[Universidad]],Conversiones!$B:$B,Conversiones!$C:$C)</f>
        <v>ESCP</v>
      </c>
      <c r="H91" s="53" t="str">
        <f>_xlfn.XLOOKUP(Tabla2[[#This Row],[Universidad KPIs]],Conversiones!$C:$C,Conversiones!$E:$E)</f>
        <v>Específico</v>
      </c>
      <c r="I91" s="1" t="s">
        <v>41</v>
      </c>
      <c r="J91" s="1" t="s">
        <v>250</v>
      </c>
      <c r="K91" s="1" t="s">
        <v>2805</v>
      </c>
      <c r="L91" s="1" t="s">
        <v>2806</v>
      </c>
      <c r="M91" s="1" t="s">
        <v>213</v>
      </c>
      <c r="N91" s="1" t="s">
        <v>2334</v>
      </c>
      <c r="O91" s="54" t="s">
        <v>2335</v>
      </c>
      <c r="P91" s="1">
        <v>1</v>
      </c>
      <c r="Q91" s="1" t="s">
        <v>2516</v>
      </c>
      <c r="R91" s="1" t="s">
        <v>2695</v>
      </c>
      <c r="S91" s="1" t="s">
        <v>2353</v>
      </c>
      <c r="T91" s="1" t="s">
        <v>2672</v>
      </c>
      <c r="U91" s="1" t="s">
        <v>2807</v>
      </c>
      <c r="V91" s="1"/>
      <c r="W91" s="1"/>
      <c r="X91" s="1"/>
      <c r="Y91" s="1"/>
      <c r="Z91" s="1"/>
      <c r="AA91" s="1"/>
      <c r="AB91" s="1"/>
      <c r="AC91" s="56" t="s">
        <v>228</v>
      </c>
      <c r="AD91" s="56" t="s">
        <v>227</v>
      </c>
    </row>
    <row r="92" spans="1:30">
      <c r="A92" s="1">
        <v>2022</v>
      </c>
      <c r="B92" s="1">
        <v>202210</v>
      </c>
      <c r="C92" s="1">
        <v>202216198</v>
      </c>
      <c r="D92" s="1" t="s">
        <v>2808</v>
      </c>
      <c r="E92" s="1" t="s">
        <v>2809</v>
      </c>
      <c r="F92" s="1" t="s">
        <v>528</v>
      </c>
      <c r="G92" s="53" t="str">
        <f>_xlfn.XLOOKUP(Tabla2[[#This Row],[Universidad]],Conversiones!$B:$B,Conversiones!$C:$C)</f>
        <v>ICN Business School - Institut Commercial de Nancy</v>
      </c>
      <c r="H92" s="53" t="str">
        <f>_xlfn.XLOOKUP(Tabla2[[#This Row],[Universidad KPIs]],Conversiones!$C:$C,Conversiones!$E:$E)</f>
        <v>Específico</v>
      </c>
      <c r="I92" s="1" t="s">
        <v>41</v>
      </c>
      <c r="J92" s="1" t="s">
        <v>250</v>
      </c>
      <c r="K92" s="1" t="s">
        <v>2810</v>
      </c>
      <c r="L92" s="1" t="s">
        <v>2811</v>
      </c>
      <c r="M92" s="1" t="s">
        <v>213</v>
      </c>
      <c r="N92" s="1" t="s">
        <v>2298</v>
      </c>
      <c r="O92" s="54" t="s">
        <v>2299</v>
      </c>
      <c r="P92" s="1">
        <v>1</v>
      </c>
      <c r="Q92" s="1" t="s">
        <v>2405</v>
      </c>
      <c r="R92" s="1" t="s">
        <v>2369</v>
      </c>
      <c r="S92" s="1" t="s">
        <v>2300</v>
      </c>
      <c r="T92" s="1" t="s">
        <v>2451</v>
      </c>
      <c r="U92" s="1"/>
      <c r="V92" s="1"/>
      <c r="W92" s="1"/>
      <c r="X92" s="1"/>
      <c r="Y92" s="1"/>
      <c r="Z92" s="1"/>
      <c r="AA92" s="1"/>
      <c r="AB92" s="1"/>
      <c r="AC92" s="56" t="s">
        <v>216</v>
      </c>
      <c r="AD92" s="56" t="s">
        <v>234</v>
      </c>
    </row>
    <row r="93" spans="1:30">
      <c r="A93" s="1">
        <v>2022</v>
      </c>
      <c r="B93" s="1">
        <v>202210</v>
      </c>
      <c r="C93" s="1">
        <v>202216166</v>
      </c>
      <c r="D93" s="1" t="s">
        <v>2812</v>
      </c>
      <c r="E93" s="1" t="s">
        <v>2813</v>
      </c>
      <c r="F93" s="1" t="s">
        <v>608</v>
      </c>
      <c r="G93" s="53" t="str">
        <f>_xlfn.XLOOKUP(Tabla2[[#This Row],[Universidad]],Conversiones!$B:$B,Conversiones!$C:$C)</f>
        <v>IE Instituto Empresa</v>
      </c>
      <c r="H93" s="53" t="str">
        <f>_xlfn.XLOOKUP(Tabla2[[#This Row],[Universidad KPIs]],Conversiones!$C:$C,Conversiones!$E:$E)</f>
        <v>General</v>
      </c>
      <c r="I93" s="1" t="s">
        <v>53</v>
      </c>
      <c r="J93" s="1" t="s">
        <v>250</v>
      </c>
      <c r="K93" s="1" t="s">
        <v>2814</v>
      </c>
      <c r="L93" s="1" t="s">
        <v>2815</v>
      </c>
      <c r="M93" s="1" t="s">
        <v>213</v>
      </c>
      <c r="N93" s="1" t="s">
        <v>2298</v>
      </c>
      <c r="O93" s="54" t="s">
        <v>2299</v>
      </c>
      <c r="P93" s="1">
        <v>1</v>
      </c>
      <c r="Q93" s="1" t="s">
        <v>2322</v>
      </c>
      <c r="R93" s="1" t="s">
        <v>2406</v>
      </c>
      <c r="S93" s="1" t="s">
        <v>2816</v>
      </c>
      <c r="T93" s="1" t="s">
        <v>2817</v>
      </c>
      <c r="U93" s="1" t="s">
        <v>2818</v>
      </c>
      <c r="V93" s="1"/>
      <c r="W93" s="1"/>
      <c r="X93" s="1"/>
      <c r="Y93" s="1"/>
      <c r="Z93" s="1"/>
      <c r="AA93" s="1"/>
      <c r="AB93" s="1"/>
      <c r="AC93" s="56" t="s">
        <v>216</v>
      </c>
      <c r="AD93" s="56" t="s">
        <v>234</v>
      </c>
    </row>
    <row r="94" spans="1:30">
      <c r="A94" s="1">
        <v>2022</v>
      </c>
      <c r="B94" s="1">
        <v>202210</v>
      </c>
      <c r="C94" s="1">
        <v>202216225</v>
      </c>
      <c r="D94" s="1" t="s">
        <v>2819</v>
      </c>
      <c r="E94" s="1" t="s">
        <v>2820</v>
      </c>
      <c r="F94" s="1" t="s">
        <v>608</v>
      </c>
      <c r="G94" s="53" t="str">
        <f>_xlfn.XLOOKUP(Tabla2[[#This Row],[Universidad]],Conversiones!$B:$B,Conversiones!$C:$C)</f>
        <v>IE Instituto Empresa</v>
      </c>
      <c r="H94" s="53" t="str">
        <f>_xlfn.XLOOKUP(Tabla2[[#This Row],[Universidad KPIs]],Conversiones!$C:$C,Conversiones!$E:$E)</f>
        <v>General</v>
      </c>
      <c r="I94" s="1" t="s">
        <v>53</v>
      </c>
      <c r="J94" s="1" t="s">
        <v>250</v>
      </c>
      <c r="K94" s="1" t="s">
        <v>2821</v>
      </c>
      <c r="L94" s="1" t="s">
        <v>2822</v>
      </c>
      <c r="M94" s="1" t="s">
        <v>213</v>
      </c>
      <c r="N94" s="1" t="s">
        <v>2298</v>
      </c>
      <c r="O94" s="54" t="s">
        <v>2299</v>
      </c>
      <c r="P94" s="1">
        <v>1</v>
      </c>
      <c r="Q94" s="1" t="s">
        <v>2322</v>
      </c>
      <c r="R94" s="1" t="s">
        <v>2406</v>
      </c>
      <c r="S94" s="1" t="s">
        <v>2816</v>
      </c>
      <c r="T94" s="1" t="s">
        <v>2817</v>
      </c>
      <c r="U94" s="1" t="s">
        <v>2818</v>
      </c>
      <c r="V94" s="1"/>
      <c r="W94" s="1"/>
      <c r="X94" s="1"/>
      <c r="Y94" s="1"/>
      <c r="Z94" s="1"/>
      <c r="AA94" s="1"/>
      <c r="AB94" s="1"/>
      <c r="AC94" s="56" t="s">
        <v>216</v>
      </c>
      <c r="AD94" s="56" t="s">
        <v>234</v>
      </c>
    </row>
    <row r="95" spans="1:30">
      <c r="A95" s="1">
        <v>2022</v>
      </c>
      <c r="B95" s="1">
        <v>202210</v>
      </c>
      <c r="C95" s="1">
        <v>202216215</v>
      </c>
      <c r="D95" s="1" t="s">
        <v>2823</v>
      </c>
      <c r="E95" s="1" t="s">
        <v>2824</v>
      </c>
      <c r="F95" s="1" t="s">
        <v>130</v>
      </c>
      <c r="G95" s="53" t="str">
        <f>_xlfn.XLOOKUP(Tabla2[[#This Row],[Universidad]],Conversiones!$B:$B,Conversiones!$C:$C)</f>
        <v>Institut d’Etudes Politiques de Paris</v>
      </c>
      <c r="H95" s="53" t="str">
        <f>_xlfn.XLOOKUP(Tabla2[[#This Row],[Universidad KPIs]],Conversiones!$C:$C,Conversiones!$E:$E)</f>
        <v>General</v>
      </c>
      <c r="I95" s="1" t="s">
        <v>41</v>
      </c>
      <c r="J95" s="1" t="s">
        <v>250</v>
      </c>
      <c r="K95" s="1" t="s">
        <v>2825</v>
      </c>
      <c r="L95" s="1" t="s">
        <v>2826</v>
      </c>
      <c r="M95" s="1" t="s">
        <v>213</v>
      </c>
      <c r="N95" s="1" t="s">
        <v>2298</v>
      </c>
      <c r="O95" s="54" t="s">
        <v>2299</v>
      </c>
      <c r="P95" s="1">
        <v>1</v>
      </c>
      <c r="Q95" s="1" t="s">
        <v>2827</v>
      </c>
      <c r="R95" s="1" t="s">
        <v>2577</v>
      </c>
      <c r="S95" s="1" t="s">
        <v>2828</v>
      </c>
      <c r="T95" s="1" t="s">
        <v>2829</v>
      </c>
      <c r="U95" s="1" t="s">
        <v>2302</v>
      </c>
      <c r="V95" s="1" t="s">
        <v>2830</v>
      </c>
      <c r="W95" s="1"/>
      <c r="X95" s="1"/>
      <c r="Y95" s="1"/>
      <c r="Z95" s="1"/>
      <c r="AA95" s="1"/>
      <c r="AB95" s="1"/>
      <c r="AC95" s="56" t="s">
        <v>216</v>
      </c>
      <c r="AD95" s="56" t="s">
        <v>234</v>
      </c>
    </row>
    <row r="96" spans="1:30">
      <c r="A96" s="1">
        <v>2022</v>
      </c>
      <c r="B96" s="1">
        <v>202210</v>
      </c>
      <c r="C96" s="1">
        <v>202216201</v>
      </c>
      <c r="D96" s="1" t="s">
        <v>2831</v>
      </c>
      <c r="E96" s="1" t="s">
        <v>2832</v>
      </c>
      <c r="F96" s="1" t="s">
        <v>320</v>
      </c>
      <c r="G96" s="53" t="str">
        <f>_xlfn.XLOOKUP(Tabla2[[#This Row],[Universidad]],Conversiones!$B:$B,Conversiones!$C:$C)</f>
        <v>KLU Kühne Logistics University</v>
      </c>
      <c r="H96" s="53" t="str">
        <f>_xlfn.XLOOKUP(Tabla2[[#This Row],[Universidad KPIs]],Conversiones!$C:$C,Conversiones!$E:$E)</f>
        <v>Específico</v>
      </c>
      <c r="I96" s="1" t="s">
        <v>60</v>
      </c>
      <c r="J96" s="1" t="s">
        <v>250</v>
      </c>
      <c r="K96" s="1" t="s">
        <v>2833</v>
      </c>
      <c r="L96" s="1" t="s">
        <v>2834</v>
      </c>
      <c r="M96" s="1" t="s">
        <v>213</v>
      </c>
      <c r="N96" s="1" t="s">
        <v>2298</v>
      </c>
      <c r="O96" s="54" t="s">
        <v>2299</v>
      </c>
      <c r="P96" s="1">
        <v>1</v>
      </c>
      <c r="Q96" s="1" t="s">
        <v>2328</v>
      </c>
      <c r="R96" s="1" t="s">
        <v>2382</v>
      </c>
      <c r="S96" s="1" t="s">
        <v>2407</v>
      </c>
      <c r="T96" s="1" t="s">
        <v>2302</v>
      </c>
      <c r="U96" s="1"/>
      <c r="V96" s="1"/>
      <c r="W96" s="1"/>
      <c r="X96" s="1"/>
      <c r="Y96" s="1"/>
      <c r="Z96" s="1"/>
      <c r="AA96" s="1"/>
      <c r="AB96" s="1"/>
      <c r="AC96" s="56" t="s">
        <v>216</v>
      </c>
      <c r="AD96" s="56" t="s">
        <v>234</v>
      </c>
    </row>
    <row r="97" spans="1:30">
      <c r="A97" s="1">
        <v>2022</v>
      </c>
      <c r="B97" s="1">
        <v>202210</v>
      </c>
      <c r="C97" s="1">
        <v>202216172</v>
      </c>
      <c r="D97" s="1" t="s">
        <v>2835</v>
      </c>
      <c r="E97" s="1" t="s">
        <v>2836</v>
      </c>
      <c r="F97" s="1" t="s">
        <v>78</v>
      </c>
      <c r="G97" s="53" t="str">
        <f>_xlfn.XLOOKUP(Tabla2[[#This Row],[Universidad]],Conversiones!$B:$B,Conversiones!$C:$C)</f>
        <v>Maastricht University</v>
      </c>
      <c r="H97" s="53" t="str">
        <f>_xlfn.XLOOKUP(Tabla2[[#This Row],[Universidad KPIs]],Conversiones!$C:$C,Conversiones!$E:$E)</f>
        <v>Específico</v>
      </c>
      <c r="I97" s="1" t="s">
        <v>79</v>
      </c>
      <c r="J97" s="1" t="s">
        <v>250</v>
      </c>
      <c r="K97" s="1" t="s">
        <v>2837</v>
      </c>
      <c r="L97" s="1" t="s">
        <v>2838</v>
      </c>
      <c r="M97" s="1" t="s">
        <v>213</v>
      </c>
      <c r="N97" s="1" t="s">
        <v>2298</v>
      </c>
      <c r="O97" s="54" t="s">
        <v>2299</v>
      </c>
      <c r="P97" s="1">
        <v>1</v>
      </c>
      <c r="Q97" s="1" t="s">
        <v>2328</v>
      </c>
      <c r="R97" s="1" t="s">
        <v>2321</v>
      </c>
      <c r="S97" s="1" t="s">
        <v>2322</v>
      </c>
      <c r="T97" s="1" t="s">
        <v>2407</v>
      </c>
      <c r="U97" s="1" t="s">
        <v>2370</v>
      </c>
      <c r="V97" s="1" t="s">
        <v>2839</v>
      </c>
      <c r="W97" s="1"/>
      <c r="X97" s="1"/>
      <c r="Y97" s="1"/>
      <c r="Z97" s="1"/>
      <c r="AA97" s="1"/>
      <c r="AB97" s="1"/>
      <c r="AC97" s="56" t="s">
        <v>216</v>
      </c>
      <c r="AD97" s="56" t="s">
        <v>234</v>
      </c>
    </row>
    <row r="98" spans="1:30">
      <c r="A98" s="1">
        <v>2022</v>
      </c>
      <c r="B98" s="1">
        <v>202210</v>
      </c>
      <c r="C98" s="1">
        <v>202216188</v>
      </c>
      <c r="D98" s="1" t="s">
        <v>2840</v>
      </c>
      <c r="E98" s="1" t="s">
        <v>2841</v>
      </c>
      <c r="F98" s="1" t="s">
        <v>78</v>
      </c>
      <c r="G98" s="53" t="str">
        <f>_xlfn.XLOOKUP(Tabla2[[#This Row],[Universidad]],Conversiones!$B:$B,Conversiones!$C:$C)</f>
        <v>Maastricht University</v>
      </c>
      <c r="H98" s="53" t="str">
        <f>_xlfn.XLOOKUP(Tabla2[[#This Row],[Universidad KPIs]],Conversiones!$C:$C,Conversiones!$E:$E)</f>
        <v>Específico</v>
      </c>
      <c r="I98" s="1" t="s">
        <v>79</v>
      </c>
      <c r="J98" s="1" t="s">
        <v>250</v>
      </c>
      <c r="K98" s="1" t="s">
        <v>2842</v>
      </c>
      <c r="L98" s="1" t="s">
        <v>2843</v>
      </c>
      <c r="M98" s="1" t="s">
        <v>213</v>
      </c>
      <c r="N98" s="1" t="s">
        <v>2298</v>
      </c>
      <c r="O98" s="54" t="s">
        <v>2299</v>
      </c>
      <c r="P98" s="1">
        <v>1</v>
      </c>
      <c r="Q98" s="1" t="s">
        <v>2328</v>
      </c>
      <c r="R98" s="1" t="s">
        <v>2844</v>
      </c>
      <c r="S98" s="1" t="s">
        <v>2845</v>
      </c>
      <c r="T98" s="1" t="s">
        <v>2407</v>
      </c>
      <c r="U98" s="1" t="s">
        <v>2302</v>
      </c>
      <c r="V98" s="1" t="s">
        <v>2388</v>
      </c>
      <c r="W98" s="1"/>
      <c r="X98" s="1"/>
      <c r="Y98" s="1"/>
      <c r="Z98" s="1"/>
      <c r="AA98" s="1"/>
      <c r="AB98" s="1"/>
      <c r="AC98" s="56" t="s">
        <v>216</v>
      </c>
      <c r="AD98" s="56" t="s">
        <v>234</v>
      </c>
    </row>
    <row r="99" spans="1:30">
      <c r="A99" s="1">
        <v>2022</v>
      </c>
      <c r="B99" s="1">
        <v>202210</v>
      </c>
      <c r="C99" s="1">
        <v>202216190</v>
      </c>
      <c r="D99" s="1" t="s">
        <v>2846</v>
      </c>
      <c r="E99" s="1" t="s">
        <v>2847</v>
      </c>
      <c r="F99" s="1" t="s">
        <v>78</v>
      </c>
      <c r="G99" s="53" t="str">
        <f>_xlfn.XLOOKUP(Tabla2[[#This Row],[Universidad]],Conversiones!$B:$B,Conversiones!$C:$C)</f>
        <v>Maastricht University</v>
      </c>
      <c r="H99" s="53" t="str">
        <f>_xlfn.XLOOKUP(Tabla2[[#This Row],[Universidad KPIs]],Conversiones!$C:$C,Conversiones!$E:$E)</f>
        <v>Específico</v>
      </c>
      <c r="I99" s="1" t="s">
        <v>79</v>
      </c>
      <c r="J99" s="1" t="s">
        <v>250</v>
      </c>
      <c r="K99" s="1" t="s">
        <v>2848</v>
      </c>
      <c r="L99" s="1" t="s">
        <v>2849</v>
      </c>
      <c r="M99" s="1" t="s">
        <v>213</v>
      </c>
      <c r="N99" s="1" t="s">
        <v>2298</v>
      </c>
      <c r="O99" s="54" t="s">
        <v>2299</v>
      </c>
      <c r="P99" s="1">
        <v>1</v>
      </c>
      <c r="Q99" s="1" t="s">
        <v>2328</v>
      </c>
      <c r="R99" s="1" t="s">
        <v>2300</v>
      </c>
      <c r="S99" s="1" t="s">
        <v>2407</v>
      </c>
      <c r="T99" s="1" t="s">
        <v>2370</v>
      </c>
      <c r="U99" s="1" t="s">
        <v>2839</v>
      </c>
      <c r="V99" s="1" t="s">
        <v>2388</v>
      </c>
      <c r="W99" s="1"/>
      <c r="X99" s="1"/>
      <c r="Y99" s="1"/>
      <c r="Z99" s="1"/>
      <c r="AA99" s="1"/>
      <c r="AB99" s="1"/>
      <c r="AC99" s="56" t="s">
        <v>216</v>
      </c>
      <c r="AD99" s="56" t="s">
        <v>234</v>
      </c>
    </row>
    <row r="100" spans="1:30">
      <c r="A100" s="1">
        <v>2022</v>
      </c>
      <c r="B100" s="1">
        <v>202210</v>
      </c>
      <c r="C100" s="1">
        <v>202216196</v>
      </c>
      <c r="D100" s="1" t="s">
        <v>2850</v>
      </c>
      <c r="E100" s="1" t="s">
        <v>2851</v>
      </c>
      <c r="F100" s="1" t="s">
        <v>80</v>
      </c>
      <c r="G100" s="53" t="str">
        <f>_xlfn.XLOOKUP(Tabla2[[#This Row],[Universidad]],Conversiones!$B:$B,Conversiones!$C:$C)</f>
        <v>McGill University</v>
      </c>
      <c r="H100" s="53" t="str">
        <f>_xlfn.XLOOKUP(Tabla2[[#This Row],[Universidad KPIs]],Conversiones!$C:$C,Conversiones!$E:$E)</f>
        <v>Específico</v>
      </c>
      <c r="I100" s="1" t="s">
        <v>58</v>
      </c>
      <c r="J100" s="1" t="s">
        <v>260</v>
      </c>
      <c r="K100" s="1" t="s">
        <v>2852</v>
      </c>
      <c r="L100" s="1" t="s">
        <v>2853</v>
      </c>
      <c r="M100" s="1" t="s">
        <v>213</v>
      </c>
      <c r="N100" s="1" t="s">
        <v>2298</v>
      </c>
      <c r="O100" s="54" t="s">
        <v>2299</v>
      </c>
      <c r="P100" s="1">
        <v>1</v>
      </c>
      <c r="Q100" s="1" t="s">
        <v>2336</v>
      </c>
      <c r="R100" s="1" t="s">
        <v>2632</v>
      </c>
      <c r="S100" s="1" t="s">
        <v>2828</v>
      </c>
      <c r="T100" s="1" t="s">
        <v>2854</v>
      </c>
      <c r="U100" s="1"/>
      <c r="V100" s="1"/>
      <c r="W100" s="1"/>
      <c r="X100" s="1"/>
      <c r="Y100" s="1"/>
      <c r="Z100" s="1"/>
      <c r="AA100" s="1"/>
      <c r="AB100" s="1"/>
      <c r="AC100" s="56" t="s">
        <v>216</v>
      </c>
      <c r="AD100" s="56" t="s">
        <v>234</v>
      </c>
    </row>
    <row r="101" spans="1:30">
      <c r="A101" s="1">
        <v>2022</v>
      </c>
      <c r="B101" s="1">
        <v>202210</v>
      </c>
      <c r="C101" s="1">
        <v>202216222</v>
      </c>
      <c r="D101" s="1" t="s">
        <v>2855</v>
      </c>
      <c r="E101" s="1" t="s">
        <v>2856</v>
      </c>
      <c r="F101" s="1" t="s">
        <v>80</v>
      </c>
      <c r="G101" s="53" t="str">
        <f>_xlfn.XLOOKUP(Tabla2[[#This Row],[Universidad]],Conversiones!$B:$B,Conversiones!$C:$C)</f>
        <v>McGill University</v>
      </c>
      <c r="H101" s="53" t="str">
        <f>_xlfn.XLOOKUP(Tabla2[[#This Row],[Universidad KPIs]],Conversiones!$C:$C,Conversiones!$E:$E)</f>
        <v>Específico</v>
      </c>
      <c r="I101" s="1" t="s">
        <v>58</v>
      </c>
      <c r="J101" s="1" t="s">
        <v>260</v>
      </c>
      <c r="K101" s="1" t="s">
        <v>2857</v>
      </c>
      <c r="L101" s="1" t="s">
        <v>2858</v>
      </c>
      <c r="M101" s="1" t="s">
        <v>213</v>
      </c>
      <c r="N101" s="1" t="s">
        <v>2298</v>
      </c>
      <c r="O101" s="54" t="s">
        <v>2299</v>
      </c>
      <c r="P101" s="1">
        <v>1</v>
      </c>
      <c r="Q101" s="1" t="s">
        <v>2336</v>
      </c>
      <c r="R101" s="1" t="s">
        <v>2859</v>
      </c>
      <c r="S101" s="1" t="s">
        <v>2441</v>
      </c>
      <c r="T101" s="1" t="s">
        <v>2860</v>
      </c>
      <c r="U101" s="1"/>
      <c r="V101" s="1"/>
      <c r="W101" s="1"/>
      <c r="X101" s="1"/>
      <c r="Y101" s="1"/>
      <c r="Z101" s="1"/>
      <c r="AA101" s="1"/>
      <c r="AB101" s="1"/>
      <c r="AC101" s="56" t="s">
        <v>216</v>
      </c>
      <c r="AD101" s="56" t="s">
        <v>234</v>
      </c>
    </row>
    <row r="102" spans="1:30">
      <c r="A102" s="1">
        <v>2022</v>
      </c>
      <c r="B102" s="1">
        <v>202210</v>
      </c>
      <c r="C102" s="1">
        <v>202216137</v>
      </c>
      <c r="D102" s="1" t="s">
        <v>2861</v>
      </c>
      <c r="E102" s="1" t="s">
        <v>2862</v>
      </c>
      <c r="F102" s="1" t="s">
        <v>255</v>
      </c>
      <c r="G102" s="53" t="str">
        <f>_xlfn.XLOOKUP(Tabla2[[#This Row],[Universidad]],Conversiones!$B:$B,Conversiones!$C:$C)</f>
        <v>ESC Rouen (NEOMA)</v>
      </c>
      <c r="H102" s="53" t="str">
        <f>_xlfn.XLOOKUP(Tabla2[[#This Row],[Universidad KPIs]],Conversiones!$C:$C,Conversiones!$E:$E)</f>
        <v>Específico</v>
      </c>
      <c r="I102" s="1" t="s">
        <v>41</v>
      </c>
      <c r="J102" s="1" t="s">
        <v>250</v>
      </c>
      <c r="K102" s="1" t="s">
        <v>2863</v>
      </c>
      <c r="L102" s="1" t="s">
        <v>2864</v>
      </c>
      <c r="M102" s="1" t="s">
        <v>213</v>
      </c>
      <c r="N102" s="1" t="s">
        <v>2298</v>
      </c>
      <c r="O102" s="54" t="s">
        <v>2299</v>
      </c>
      <c r="P102" s="1">
        <v>1</v>
      </c>
      <c r="Q102" s="1" t="s">
        <v>2632</v>
      </c>
      <c r="R102" s="1" t="s">
        <v>2309</v>
      </c>
      <c r="S102" s="1" t="s">
        <v>2307</v>
      </c>
      <c r="T102" s="1" t="s">
        <v>2860</v>
      </c>
      <c r="U102" s="1"/>
      <c r="V102" s="1"/>
      <c r="W102" s="1"/>
      <c r="X102" s="1"/>
      <c r="Y102" s="1"/>
      <c r="Z102" s="1"/>
      <c r="AA102" s="1"/>
      <c r="AB102" s="1"/>
      <c r="AC102" s="56" t="s">
        <v>230</v>
      </c>
      <c r="AD102" s="56" t="s">
        <v>227</v>
      </c>
    </row>
    <row r="103" spans="1:30">
      <c r="A103" s="1">
        <v>2022</v>
      </c>
      <c r="B103" s="1">
        <v>202210</v>
      </c>
      <c r="C103" s="1">
        <v>202216139</v>
      </c>
      <c r="D103" s="1" t="s">
        <v>2865</v>
      </c>
      <c r="E103" s="1" t="s">
        <v>2866</v>
      </c>
      <c r="F103" s="1" t="s">
        <v>255</v>
      </c>
      <c r="G103" s="53" t="str">
        <f>_xlfn.XLOOKUP(Tabla2[[#This Row],[Universidad]],Conversiones!$B:$B,Conversiones!$C:$C)</f>
        <v>ESC Rouen (NEOMA)</v>
      </c>
      <c r="H103" s="53" t="str">
        <f>_xlfn.XLOOKUP(Tabla2[[#This Row],[Universidad KPIs]],Conversiones!$C:$C,Conversiones!$E:$E)</f>
        <v>Específico</v>
      </c>
      <c r="I103" s="1" t="s">
        <v>41</v>
      </c>
      <c r="J103" s="1" t="s">
        <v>250</v>
      </c>
      <c r="K103" s="1" t="s">
        <v>2867</v>
      </c>
      <c r="L103" s="1" t="s">
        <v>2868</v>
      </c>
      <c r="M103" s="1" t="s">
        <v>213</v>
      </c>
      <c r="N103" s="1" t="s">
        <v>2334</v>
      </c>
      <c r="O103" s="54" t="s">
        <v>2335</v>
      </c>
      <c r="P103" s="1">
        <v>1</v>
      </c>
      <c r="Q103" s="1" t="s">
        <v>2695</v>
      </c>
      <c r="R103" s="1" t="s">
        <v>2363</v>
      </c>
      <c r="S103" s="1" t="s">
        <v>2869</v>
      </c>
      <c r="T103" s="1" t="s">
        <v>2870</v>
      </c>
      <c r="U103" s="1" t="s">
        <v>2355</v>
      </c>
      <c r="V103" s="1"/>
      <c r="W103" s="1"/>
      <c r="X103" s="1"/>
      <c r="Y103" s="1"/>
      <c r="Z103" s="1"/>
      <c r="AA103" s="1"/>
      <c r="AB103" s="1"/>
      <c r="AC103" s="56" t="s">
        <v>221</v>
      </c>
      <c r="AD103" s="56" t="s">
        <v>227</v>
      </c>
    </row>
    <row r="104" spans="1:30">
      <c r="A104" s="1">
        <v>2022</v>
      </c>
      <c r="B104" s="1">
        <v>202210</v>
      </c>
      <c r="C104" s="1">
        <v>202216147</v>
      </c>
      <c r="D104" s="1" t="s">
        <v>2871</v>
      </c>
      <c r="E104" s="1" t="s">
        <v>2872</v>
      </c>
      <c r="F104" s="1" t="s">
        <v>139</v>
      </c>
      <c r="G104" s="53" t="str">
        <f>_xlfn.XLOOKUP(Tabla2[[#This Row],[Universidad]],Conversiones!$B:$B,Conversiones!$C:$C)</f>
        <v>Technische Universität München (TUM)</v>
      </c>
      <c r="H104" s="53" t="str">
        <f>_xlfn.XLOOKUP(Tabla2[[#This Row],[Universidad KPIs]],Conversiones!$C:$C,Conversiones!$E:$E)</f>
        <v>General</v>
      </c>
      <c r="I104" s="1" t="s">
        <v>60</v>
      </c>
      <c r="J104" s="1" t="s">
        <v>250</v>
      </c>
      <c r="K104" s="1" t="s">
        <v>2873</v>
      </c>
      <c r="L104" s="1" t="s">
        <v>2874</v>
      </c>
      <c r="M104" s="1" t="s">
        <v>213</v>
      </c>
      <c r="N104" s="1" t="s">
        <v>2334</v>
      </c>
      <c r="O104" s="54" t="s">
        <v>2335</v>
      </c>
      <c r="P104" s="1">
        <v>1</v>
      </c>
      <c r="Q104" s="1" t="s">
        <v>2339</v>
      </c>
      <c r="R104" s="1" t="s">
        <v>2860</v>
      </c>
      <c r="S104" s="1" t="s">
        <v>2486</v>
      </c>
      <c r="T104" s="1" t="s">
        <v>2875</v>
      </c>
      <c r="U104" s="1" t="s">
        <v>2464</v>
      </c>
      <c r="V104" s="1"/>
      <c r="W104" s="1"/>
      <c r="X104" s="1"/>
      <c r="Y104" s="1"/>
      <c r="Z104" s="1"/>
      <c r="AA104" s="1"/>
      <c r="AB104" s="1"/>
      <c r="AC104" s="56" t="s">
        <v>228</v>
      </c>
      <c r="AD104" s="56" t="s">
        <v>227</v>
      </c>
    </row>
    <row r="105" spans="1:30">
      <c r="A105" s="1">
        <v>2022</v>
      </c>
      <c r="B105" s="1">
        <v>202210</v>
      </c>
      <c r="C105" s="1">
        <v>202216149</v>
      </c>
      <c r="D105" s="1" t="s">
        <v>2876</v>
      </c>
      <c r="E105" s="1" t="s">
        <v>2877</v>
      </c>
      <c r="F105" s="1" t="s">
        <v>139</v>
      </c>
      <c r="G105" s="53" t="str">
        <f>_xlfn.XLOOKUP(Tabla2[[#This Row],[Universidad]],Conversiones!$B:$B,Conversiones!$C:$C)</f>
        <v>Technische Universität München (TUM)</v>
      </c>
      <c r="H105" s="53" t="str">
        <f>_xlfn.XLOOKUP(Tabla2[[#This Row],[Universidad KPIs]],Conversiones!$C:$C,Conversiones!$E:$E)</f>
        <v>General</v>
      </c>
      <c r="I105" s="1" t="s">
        <v>60</v>
      </c>
      <c r="J105" s="1" t="s">
        <v>250</v>
      </c>
      <c r="K105" s="1" t="s">
        <v>2878</v>
      </c>
      <c r="L105" s="1" t="s">
        <v>2879</v>
      </c>
      <c r="M105" s="1" t="s">
        <v>213</v>
      </c>
      <c r="N105" s="1" t="s">
        <v>2334</v>
      </c>
      <c r="O105" s="54" t="s">
        <v>2335</v>
      </c>
      <c r="P105" s="1">
        <v>1</v>
      </c>
      <c r="Q105" s="1" t="s">
        <v>2309</v>
      </c>
      <c r="R105" s="1" t="s">
        <v>2363</v>
      </c>
      <c r="S105" s="1" t="s">
        <v>2486</v>
      </c>
      <c r="T105" s="1" t="s">
        <v>2854</v>
      </c>
      <c r="U105" s="1" t="s">
        <v>2880</v>
      </c>
      <c r="V105" s="1" t="s">
        <v>2881</v>
      </c>
      <c r="W105" s="1" t="s">
        <v>2882</v>
      </c>
      <c r="X105" s="1"/>
      <c r="Y105" s="1"/>
      <c r="Z105" s="1"/>
      <c r="AA105" s="1"/>
      <c r="AB105" s="1"/>
      <c r="AC105" s="56" t="s">
        <v>230</v>
      </c>
      <c r="AD105" s="56" t="s">
        <v>227</v>
      </c>
    </row>
    <row r="106" spans="1:30">
      <c r="A106" s="1">
        <v>2022</v>
      </c>
      <c r="B106" s="1">
        <v>202210</v>
      </c>
      <c r="C106" s="1">
        <v>202216160</v>
      </c>
      <c r="D106" s="1" t="s">
        <v>2883</v>
      </c>
      <c r="E106" s="1" t="s">
        <v>2884</v>
      </c>
      <c r="F106" s="1" t="s">
        <v>279</v>
      </c>
      <c r="G106" s="53" t="str">
        <f>_xlfn.XLOOKUP(Tabla2[[#This Row],[Universidad]],Conversiones!$B:$B,Conversiones!$C:$C)</f>
        <v>Toulouse Business School</v>
      </c>
      <c r="H106" s="53" t="str">
        <f>_xlfn.XLOOKUP(Tabla2[[#This Row],[Universidad KPIs]],Conversiones!$C:$C,Conversiones!$E:$E)</f>
        <v>Específico</v>
      </c>
      <c r="I106" s="1" t="s">
        <v>41</v>
      </c>
      <c r="J106" s="1" t="s">
        <v>250</v>
      </c>
      <c r="K106" s="1" t="s">
        <v>2885</v>
      </c>
      <c r="L106" s="1" t="s">
        <v>2886</v>
      </c>
      <c r="M106" s="1" t="s">
        <v>213</v>
      </c>
      <c r="N106" s="1" t="s">
        <v>2298</v>
      </c>
      <c r="O106" s="54" t="s">
        <v>2299</v>
      </c>
      <c r="P106" s="1">
        <v>1</v>
      </c>
      <c r="Q106" s="1" t="s">
        <v>2887</v>
      </c>
      <c r="R106" s="1" t="s">
        <v>2329</v>
      </c>
      <c r="S106" s="1" t="s">
        <v>2888</v>
      </c>
      <c r="T106" s="1" t="s">
        <v>2889</v>
      </c>
      <c r="U106" s="1" t="s">
        <v>2535</v>
      </c>
      <c r="V106" s="1"/>
      <c r="W106" s="1"/>
      <c r="X106" s="1"/>
      <c r="Y106" s="1"/>
      <c r="Z106" s="1"/>
      <c r="AA106" s="1"/>
      <c r="AB106" s="1"/>
      <c r="AC106" s="56" t="s">
        <v>216</v>
      </c>
      <c r="AD106" s="56" t="s">
        <v>234</v>
      </c>
    </row>
    <row r="107" spans="1:30">
      <c r="A107" s="1">
        <v>2022</v>
      </c>
      <c r="B107" s="1">
        <v>202210</v>
      </c>
      <c r="C107" s="1">
        <v>202216169</v>
      </c>
      <c r="D107" s="1" t="s">
        <v>2890</v>
      </c>
      <c r="E107" s="1" t="s">
        <v>2891</v>
      </c>
      <c r="F107" s="1" t="s">
        <v>279</v>
      </c>
      <c r="G107" s="53" t="str">
        <f>_xlfn.XLOOKUP(Tabla2[[#This Row],[Universidad]],Conversiones!$B:$B,Conversiones!$C:$C)</f>
        <v>Toulouse Business School</v>
      </c>
      <c r="H107" s="53" t="str">
        <f>_xlfn.XLOOKUP(Tabla2[[#This Row],[Universidad KPIs]],Conversiones!$C:$C,Conversiones!$E:$E)</f>
        <v>Específico</v>
      </c>
      <c r="I107" s="1" t="s">
        <v>41</v>
      </c>
      <c r="J107" s="1" t="s">
        <v>250</v>
      </c>
      <c r="K107" s="1" t="s">
        <v>2892</v>
      </c>
      <c r="L107" s="1" t="s">
        <v>2893</v>
      </c>
      <c r="M107" s="1" t="s">
        <v>213</v>
      </c>
      <c r="N107" s="1" t="s">
        <v>2298</v>
      </c>
      <c r="O107" s="54" t="s">
        <v>2299</v>
      </c>
      <c r="P107" s="1">
        <v>1</v>
      </c>
      <c r="Q107" s="1" t="s">
        <v>2321</v>
      </c>
      <c r="R107" s="1" t="s">
        <v>2322</v>
      </c>
      <c r="S107" s="1" t="s">
        <v>2407</v>
      </c>
      <c r="T107" s="1" t="s">
        <v>2888</v>
      </c>
      <c r="U107" s="1" t="s">
        <v>2889</v>
      </c>
      <c r="V107" s="1"/>
      <c r="W107" s="1"/>
      <c r="X107" s="1"/>
      <c r="Y107" s="1"/>
      <c r="Z107" s="1"/>
      <c r="AA107" s="1"/>
      <c r="AB107" s="1"/>
      <c r="AC107" s="56" t="s">
        <v>216</v>
      </c>
      <c r="AD107" s="56" t="s">
        <v>234</v>
      </c>
    </row>
    <row r="108" spans="1:30">
      <c r="A108" s="1">
        <v>2022</v>
      </c>
      <c r="B108" s="1">
        <v>202210</v>
      </c>
      <c r="C108" s="1">
        <v>202216171</v>
      </c>
      <c r="D108" s="1" t="s">
        <v>2894</v>
      </c>
      <c r="E108" s="1" t="s">
        <v>2895</v>
      </c>
      <c r="F108" s="1" t="s">
        <v>279</v>
      </c>
      <c r="G108" s="53" t="str">
        <f>_xlfn.XLOOKUP(Tabla2[[#This Row],[Universidad]],Conversiones!$B:$B,Conversiones!$C:$C)</f>
        <v>Toulouse Business School</v>
      </c>
      <c r="H108" s="53" t="str">
        <f>_xlfn.XLOOKUP(Tabla2[[#This Row],[Universidad KPIs]],Conversiones!$C:$C,Conversiones!$E:$E)</f>
        <v>Específico</v>
      </c>
      <c r="I108" s="1" t="s">
        <v>41</v>
      </c>
      <c r="J108" s="1" t="s">
        <v>250</v>
      </c>
      <c r="K108" s="1" t="s">
        <v>2896</v>
      </c>
      <c r="L108" s="1" t="s">
        <v>2897</v>
      </c>
      <c r="M108" s="1" t="s">
        <v>213</v>
      </c>
      <c r="N108" s="1" t="s">
        <v>2298</v>
      </c>
      <c r="O108" s="54" t="s">
        <v>2299</v>
      </c>
      <c r="P108" s="1">
        <v>1</v>
      </c>
      <c r="Q108" s="1" t="s">
        <v>2321</v>
      </c>
      <c r="R108" s="1" t="s">
        <v>2456</v>
      </c>
      <c r="S108" s="1" t="s">
        <v>2887</v>
      </c>
      <c r="T108" s="1" t="s">
        <v>2307</v>
      </c>
      <c r="U108" s="1" t="s">
        <v>2888</v>
      </c>
      <c r="V108" s="1"/>
      <c r="W108" s="1"/>
      <c r="X108" s="1"/>
      <c r="Y108" s="1"/>
      <c r="Z108" s="1"/>
      <c r="AA108" s="1"/>
      <c r="AB108" s="1"/>
      <c r="AC108" s="56" t="s">
        <v>216</v>
      </c>
      <c r="AD108" s="56" t="s">
        <v>234</v>
      </c>
    </row>
    <row r="109" spans="1:30">
      <c r="A109" s="1">
        <v>2022</v>
      </c>
      <c r="B109" s="1">
        <v>202210</v>
      </c>
      <c r="C109" s="1">
        <v>202216204</v>
      </c>
      <c r="D109" s="1" t="s">
        <v>2898</v>
      </c>
      <c r="E109" s="1" t="s">
        <v>2899</v>
      </c>
      <c r="F109" s="1" t="s">
        <v>279</v>
      </c>
      <c r="G109" s="53" t="str">
        <f>_xlfn.XLOOKUP(Tabla2[[#This Row],[Universidad]],Conversiones!$B:$B,Conversiones!$C:$C)</f>
        <v>Toulouse Business School</v>
      </c>
      <c r="H109" s="53" t="str">
        <f>_xlfn.XLOOKUP(Tabla2[[#This Row],[Universidad KPIs]],Conversiones!$C:$C,Conversiones!$E:$E)</f>
        <v>Específico</v>
      </c>
      <c r="I109" s="1" t="s">
        <v>41</v>
      </c>
      <c r="J109" s="1" t="s">
        <v>250</v>
      </c>
      <c r="K109" s="1" t="s">
        <v>2900</v>
      </c>
      <c r="L109" s="1" t="s">
        <v>2901</v>
      </c>
      <c r="M109" s="1" t="s">
        <v>213</v>
      </c>
      <c r="N109" s="1" t="s">
        <v>2298</v>
      </c>
      <c r="O109" s="54" t="s">
        <v>2299</v>
      </c>
      <c r="P109" s="1">
        <v>1</v>
      </c>
      <c r="Q109" s="1" t="s">
        <v>2632</v>
      </c>
      <c r="R109" s="1" t="s">
        <v>2369</v>
      </c>
      <c r="S109" s="1" t="s">
        <v>2307</v>
      </c>
      <c r="T109" s="1" t="s">
        <v>2363</v>
      </c>
      <c r="U109" s="1" t="s">
        <v>2308</v>
      </c>
      <c r="V109" s="1"/>
      <c r="W109" s="1"/>
      <c r="X109" s="1"/>
      <c r="Y109" s="1"/>
      <c r="Z109" s="1"/>
      <c r="AA109" s="1"/>
      <c r="AB109" s="1"/>
      <c r="AC109" s="56" t="s">
        <v>216</v>
      </c>
      <c r="AD109" s="56" t="s">
        <v>234</v>
      </c>
    </row>
    <row r="110" spans="1:30">
      <c r="A110" s="1">
        <v>2022</v>
      </c>
      <c r="B110" s="1">
        <v>202210</v>
      </c>
      <c r="C110" s="1">
        <v>202216205</v>
      </c>
      <c r="D110" s="1" t="s">
        <v>2902</v>
      </c>
      <c r="E110" s="1" t="s">
        <v>2903</v>
      </c>
      <c r="F110" s="1" t="s">
        <v>341</v>
      </c>
      <c r="G110" s="53" t="str">
        <f>_xlfn.XLOOKUP(Tabla2[[#This Row],[Universidad]],Conversiones!$B:$B,Conversiones!$C:$C)</f>
        <v>A.B. Freeman School of Business, Tulane University</v>
      </c>
      <c r="H110" s="53" t="str">
        <f>_xlfn.XLOOKUP(Tabla2[[#This Row],[Universidad KPIs]],Conversiones!$C:$C,Conversiones!$E:$E)</f>
        <v>Específico</v>
      </c>
      <c r="I110" s="1" t="s">
        <v>35</v>
      </c>
      <c r="J110" s="1" t="s">
        <v>260</v>
      </c>
      <c r="K110" s="1" t="s">
        <v>2904</v>
      </c>
      <c r="L110" s="1" t="s">
        <v>2905</v>
      </c>
      <c r="M110" s="1" t="s">
        <v>213</v>
      </c>
      <c r="N110" s="1" t="s">
        <v>2298</v>
      </c>
      <c r="O110" s="54" t="s">
        <v>2299</v>
      </c>
      <c r="P110" s="1">
        <v>1</v>
      </c>
      <c r="Q110" s="1" t="s">
        <v>2441</v>
      </c>
      <c r="R110" s="1" t="s">
        <v>2363</v>
      </c>
      <c r="S110" s="1" t="s">
        <v>2329</v>
      </c>
      <c r="T110" s="1" t="s">
        <v>2370</v>
      </c>
      <c r="U110" s="1"/>
      <c r="V110" s="1"/>
      <c r="W110" s="1"/>
      <c r="X110" s="1"/>
      <c r="Y110" s="1"/>
      <c r="Z110" s="1"/>
      <c r="AA110" s="1"/>
      <c r="AB110" s="1"/>
      <c r="AC110" s="56" t="s">
        <v>216</v>
      </c>
      <c r="AD110" s="56" t="s">
        <v>234</v>
      </c>
    </row>
    <row r="111" spans="1:30">
      <c r="A111" s="1">
        <v>2022</v>
      </c>
      <c r="B111" s="1">
        <v>202210</v>
      </c>
      <c r="C111" s="1">
        <v>202216226</v>
      </c>
      <c r="D111" s="1" t="s">
        <v>2906</v>
      </c>
      <c r="E111" s="1" t="s">
        <v>2907</v>
      </c>
      <c r="F111" s="1" t="s">
        <v>341</v>
      </c>
      <c r="G111" s="53" t="str">
        <f>_xlfn.XLOOKUP(Tabla2[[#This Row],[Universidad]],Conversiones!$B:$B,Conversiones!$C:$C)</f>
        <v>A.B. Freeman School of Business, Tulane University</v>
      </c>
      <c r="H111" s="53" t="str">
        <f>_xlfn.XLOOKUP(Tabla2[[#This Row],[Universidad KPIs]],Conversiones!$C:$C,Conversiones!$E:$E)</f>
        <v>Específico</v>
      </c>
      <c r="I111" s="1" t="s">
        <v>35</v>
      </c>
      <c r="J111" s="1" t="s">
        <v>260</v>
      </c>
      <c r="K111" s="1" t="s">
        <v>2908</v>
      </c>
      <c r="L111" s="1" t="s">
        <v>2909</v>
      </c>
      <c r="M111" s="1" t="s">
        <v>213</v>
      </c>
      <c r="N111" s="1" t="s">
        <v>2298</v>
      </c>
      <c r="O111" s="54" t="s">
        <v>2299</v>
      </c>
      <c r="P111" s="1">
        <v>1</v>
      </c>
      <c r="Q111" s="1" t="s">
        <v>2578</v>
      </c>
      <c r="R111" s="1" t="s">
        <v>2441</v>
      </c>
      <c r="S111" s="1" t="s">
        <v>2308</v>
      </c>
      <c r="T111" s="1" t="s">
        <v>2329</v>
      </c>
      <c r="U111" s="1"/>
      <c r="V111" s="1"/>
      <c r="W111" s="1"/>
      <c r="X111" s="1"/>
      <c r="Y111" s="1"/>
      <c r="Z111" s="1"/>
      <c r="AA111" s="1"/>
      <c r="AB111" s="1"/>
      <c r="AC111" s="56" t="s">
        <v>216</v>
      </c>
      <c r="AD111" s="56" t="s">
        <v>234</v>
      </c>
    </row>
    <row r="112" spans="1:30">
      <c r="A112" s="1">
        <v>2022</v>
      </c>
      <c r="B112" s="1">
        <v>202210</v>
      </c>
      <c r="C112" s="1">
        <v>202216228</v>
      </c>
      <c r="D112" s="1" t="s">
        <v>2910</v>
      </c>
      <c r="E112" s="1" t="s">
        <v>2911</v>
      </c>
      <c r="F112" s="1" t="s">
        <v>341</v>
      </c>
      <c r="G112" s="53" t="str">
        <f>_xlfn.XLOOKUP(Tabla2[[#This Row],[Universidad]],Conversiones!$B:$B,Conversiones!$C:$C)</f>
        <v>A.B. Freeman School of Business, Tulane University</v>
      </c>
      <c r="H112" s="53" t="str">
        <f>_xlfn.XLOOKUP(Tabla2[[#This Row],[Universidad KPIs]],Conversiones!$C:$C,Conversiones!$E:$E)</f>
        <v>Específico</v>
      </c>
      <c r="I112" s="1" t="s">
        <v>35</v>
      </c>
      <c r="J112" s="1" t="s">
        <v>260</v>
      </c>
      <c r="K112" s="1" t="s">
        <v>2912</v>
      </c>
      <c r="L112" s="1" t="s">
        <v>2913</v>
      </c>
      <c r="M112" s="1" t="s">
        <v>213</v>
      </c>
      <c r="N112" s="1" t="s">
        <v>2298</v>
      </c>
      <c r="O112" s="54" t="s">
        <v>2299</v>
      </c>
      <c r="P112" s="1">
        <v>1</v>
      </c>
      <c r="Q112" s="1" t="s">
        <v>2859</v>
      </c>
      <c r="R112" s="1" t="s">
        <v>2578</v>
      </c>
      <c r="S112" s="1" t="s">
        <v>2887</v>
      </c>
      <c r="T112" s="1" t="s">
        <v>2441</v>
      </c>
      <c r="U112" s="1"/>
      <c r="V112" s="1"/>
      <c r="W112" s="1"/>
      <c r="X112" s="1"/>
      <c r="Y112" s="1"/>
      <c r="Z112" s="1"/>
      <c r="AA112" s="1"/>
      <c r="AB112" s="1"/>
      <c r="AC112" s="56" t="s">
        <v>216</v>
      </c>
      <c r="AD112" s="56" t="s">
        <v>234</v>
      </c>
    </row>
    <row r="113" spans="1:30">
      <c r="A113" s="1">
        <v>2022</v>
      </c>
      <c r="B113" s="1">
        <v>202210</v>
      </c>
      <c r="C113" s="1">
        <v>202216163</v>
      </c>
      <c r="D113" s="1" t="s">
        <v>2914</v>
      </c>
      <c r="E113" s="1" t="s">
        <v>2915</v>
      </c>
      <c r="F113" s="1" t="s">
        <v>2916</v>
      </c>
      <c r="G113" s="53" t="str">
        <f>_xlfn.XLOOKUP(Tabla2[[#This Row],[Universidad]],Conversiones!$B:$B,Conversiones!$C:$C)</f>
        <v>Universidad Católica Boliviana "San Pablo"</v>
      </c>
      <c r="H113" s="53" t="str">
        <f>_xlfn.XLOOKUP(Tabla2[[#This Row],[Universidad KPIs]],Conversiones!$C:$C,Conversiones!$E:$E)</f>
        <v>General</v>
      </c>
      <c r="I113" s="1" t="s">
        <v>142</v>
      </c>
      <c r="J113" s="1" t="s">
        <v>265</v>
      </c>
      <c r="K113" s="1" t="s">
        <v>2917</v>
      </c>
      <c r="L113" s="1" t="s">
        <v>2918</v>
      </c>
      <c r="M113" s="1" t="s">
        <v>213</v>
      </c>
      <c r="N113" s="1" t="s">
        <v>2298</v>
      </c>
      <c r="O113" s="54" t="s">
        <v>2299</v>
      </c>
      <c r="P113" s="1">
        <v>1</v>
      </c>
      <c r="Q113" s="1" t="s">
        <v>2919</v>
      </c>
      <c r="R113" s="1" t="s">
        <v>2870</v>
      </c>
      <c r="S113" s="1" t="s">
        <v>2920</v>
      </c>
      <c r="T113" s="1" t="s">
        <v>2921</v>
      </c>
      <c r="U113" s="1" t="s">
        <v>2922</v>
      </c>
      <c r="V113" s="1" t="s">
        <v>2725</v>
      </c>
      <c r="W113" s="1" t="s">
        <v>2525</v>
      </c>
      <c r="X113" s="1"/>
      <c r="Y113" s="1"/>
      <c r="Z113" s="1"/>
      <c r="AA113" s="1"/>
      <c r="AB113" s="1"/>
      <c r="AC113" s="56" t="s">
        <v>216</v>
      </c>
      <c r="AD113" s="56" t="s">
        <v>234</v>
      </c>
    </row>
    <row r="114" spans="1:30">
      <c r="A114" s="1">
        <v>2022</v>
      </c>
      <c r="B114" s="1">
        <v>202210</v>
      </c>
      <c r="C114" s="1">
        <v>202213258</v>
      </c>
      <c r="D114" s="1" t="s">
        <v>2923</v>
      </c>
      <c r="E114" s="1" t="s">
        <v>2924</v>
      </c>
      <c r="F114" s="1" t="s">
        <v>2203</v>
      </c>
      <c r="G114" s="53" t="str">
        <f>_xlfn.XLOOKUP(Tabla2[[#This Row],[Universidad]],Conversiones!$B:$B,Conversiones!$C:$C)</f>
        <v>Universidad Nacional Autonoma de México (UNAM)</v>
      </c>
      <c r="H114" s="53" t="str">
        <f>_xlfn.XLOOKUP(Tabla2[[#This Row],[Universidad KPIs]],Conversiones!$C:$C,Conversiones!$E:$E)</f>
        <v>General</v>
      </c>
      <c r="I114" s="1" t="s">
        <v>71</v>
      </c>
      <c r="J114" s="1" t="s">
        <v>260</v>
      </c>
      <c r="K114" s="1" t="s">
        <v>2925</v>
      </c>
      <c r="L114" s="1" t="s">
        <v>2926</v>
      </c>
      <c r="M114" s="1" t="s">
        <v>213</v>
      </c>
      <c r="N114" s="1" t="s">
        <v>2298</v>
      </c>
      <c r="O114" s="54" t="s">
        <v>2299</v>
      </c>
      <c r="P114" s="1">
        <v>1</v>
      </c>
      <c r="Q114" s="1" t="s">
        <v>2927</v>
      </c>
      <c r="R114" s="1" t="s">
        <v>2405</v>
      </c>
      <c r="S114" s="1" t="s">
        <v>2369</v>
      </c>
      <c r="T114" s="1" t="s">
        <v>2928</v>
      </c>
      <c r="U114" s="1"/>
      <c r="V114" s="1"/>
      <c r="W114" s="1"/>
      <c r="X114" s="1"/>
      <c r="Y114" s="1"/>
      <c r="Z114" s="1"/>
      <c r="AA114" s="1"/>
      <c r="AB114" s="1"/>
      <c r="AC114" s="56" t="s">
        <v>216</v>
      </c>
      <c r="AD114" s="56" t="s">
        <v>234</v>
      </c>
    </row>
    <row r="115" spans="1:30">
      <c r="A115" s="1">
        <v>2022</v>
      </c>
      <c r="B115" s="1">
        <v>202210</v>
      </c>
      <c r="C115" s="1">
        <v>202216150</v>
      </c>
      <c r="D115" s="1" t="s">
        <v>2269</v>
      </c>
      <c r="E115" s="1" t="s">
        <v>2929</v>
      </c>
      <c r="F115" s="1" t="s">
        <v>189</v>
      </c>
      <c r="G115" s="53" t="str">
        <f>_xlfn.XLOOKUP(Tabla2[[#This Row],[Universidad]],Conversiones!$B:$B,Conversiones!$C:$C)</f>
        <v>Università Ca' Foscari Venezia</v>
      </c>
      <c r="H115" s="53" t="str">
        <f>_xlfn.XLOOKUP(Tabla2[[#This Row],[Universidad KPIs]],Conversiones!$C:$C,Conversiones!$E:$E)</f>
        <v>General</v>
      </c>
      <c r="I115" s="1" t="s">
        <v>87</v>
      </c>
      <c r="J115" s="1" t="s">
        <v>250</v>
      </c>
      <c r="K115" s="1" t="s">
        <v>2930</v>
      </c>
      <c r="L115" s="1" t="s">
        <v>2931</v>
      </c>
      <c r="M115" s="1" t="s">
        <v>213</v>
      </c>
      <c r="N115" s="1" t="s">
        <v>2334</v>
      </c>
      <c r="O115" s="54" t="s">
        <v>2335</v>
      </c>
      <c r="P115" s="1">
        <v>1</v>
      </c>
      <c r="Q115" s="1" t="s">
        <v>2932</v>
      </c>
      <c r="R115" s="1" t="s">
        <v>2933</v>
      </c>
      <c r="S115" s="1" t="s">
        <v>2363</v>
      </c>
      <c r="T115" s="1" t="s">
        <v>2934</v>
      </c>
      <c r="U115" s="1" t="s">
        <v>2935</v>
      </c>
      <c r="V115" s="1"/>
      <c r="W115" s="1"/>
      <c r="X115" s="1"/>
      <c r="Y115" s="1"/>
      <c r="Z115" s="1"/>
      <c r="AA115" s="1"/>
      <c r="AB115" s="1"/>
      <c r="AC115" s="56" t="s">
        <v>230</v>
      </c>
      <c r="AD115" s="56" t="s">
        <v>227</v>
      </c>
    </row>
    <row r="116" spans="1:30">
      <c r="A116" s="1">
        <v>2022</v>
      </c>
      <c r="B116" s="1">
        <v>202210</v>
      </c>
      <c r="C116" s="1">
        <v>202124887</v>
      </c>
      <c r="D116" s="1" t="s">
        <v>2760</v>
      </c>
      <c r="E116" s="1" t="s">
        <v>2761</v>
      </c>
      <c r="F116" s="1" t="s">
        <v>1369</v>
      </c>
      <c r="G116" s="53" t="str">
        <f>_xlfn.XLOOKUP(Tabla2[[#This Row],[Universidad]],Conversiones!$B:$B,Conversiones!$C:$C)</f>
        <v>EM Strasbourg</v>
      </c>
      <c r="H116" s="53" t="str">
        <f>_xlfn.XLOOKUP(Tabla2[[#This Row],[Universidad KPIs]],Conversiones!$C:$C,Conversiones!$E:$E)</f>
        <v>Específico</v>
      </c>
      <c r="I116" s="1" t="s">
        <v>41</v>
      </c>
      <c r="J116" s="1" t="s">
        <v>250</v>
      </c>
      <c r="K116" s="1" t="s">
        <v>2762</v>
      </c>
      <c r="L116" s="1" t="s">
        <v>2763</v>
      </c>
      <c r="M116" s="1" t="s">
        <v>213</v>
      </c>
      <c r="N116" s="1" t="s">
        <v>2298</v>
      </c>
      <c r="O116" s="54" t="s">
        <v>2299</v>
      </c>
      <c r="P116" s="1">
        <v>1</v>
      </c>
      <c r="Q116" s="1" t="s">
        <v>2936</v>
      </c>
      <c r="R116" s="1" t="s">
        <v>2300</v>
      </c>
      <c r="S116" s="1" t="s">
        <v>2407</v>
      </c>
      <c r="T116" s="1" t="s">
        <v>2937</v>
      </c>
      <c r="U116" s="1" t="s">
        <v>2938</v>
      </c>
      <c r="V116" s="1"/>
      <c r="W116" s="1"/>
      <c r="X116" s="1"/>
      <c r="Y116" s="1"/>
      <c r="Z116" s="1"/>
      <c r="AA116" s="1"/>
      <c r="AB116" s="1"/>
      <c r="AC116" s="56" t="s">
        <v>216</v>
      </c>
      <c r="AD116" s="56" t="s">
        <v>234</v>
      </c>
    </row>
    <row r="117" spans="1:30">
      <c r="A117" s="1">
        <v>2022</v>
      </c>
      <c r="B117" s="1">
        <v>202220</v>
      </c>
      <c r="C117" s="1">
        <v>202224936</v>
      </c>
      <c r="D117" s="1" t="s">
        <v>2939</v>
      </c>
      <c r="E117" s="1" t="s">
        <v>2940</v>
      </c>
      <c r="F117" s="1" t="s">
        <v>350</v>
      </c>
      <c r="G117" s="53" t="str">
        <f>_xlfn.XLOOKUP(Tabla2[[#This Row],[Universidad]],Conversiones!$B:$B,Conversiones!$C:$C)</f>
        <v>Audencia. École de Management</v>
      </c>
      <c r="H117" s="53" t="str">
        <f>_xlfn.XLOOKUP(Tabla2[[#This Row],[Universidad KPIs]],Conversiones!$C:$C,Conversiones!$E:$E)</f>
        <v>Específico</v>
      </c>
      <c r="I117" s="1" t="s">
        <v>41</v>
      </c>
      <c r="J117" s="1" t="s">
        <v>250</v>
      </c>
      <c r="K117" s="1" t="s">
        <v>2941</v>
      </c>
      <c r="L117" s="1" t="s">
        <v>2942</v>
      </c>
      <c r="M117" s="1" t="s">
        <v>213</v>
      </c>
      <c r="N117" s="1" t="s">
        <v>2334</v>
      </c>
      <c r="O117" s="54" t="s">
        <v>2335</v>
      </c>
      <c r="P117" s="1">
        <v>1</v>
      </c>
      <c r="Q117" s="1" t="s">
        <v>2652</v>
      </c>
      <c r="R117" s="1" t="s">
        <v>2653</v>
      </c>
      <c r="S117" s="1" t="s">
        <v>2654</v>
      </c>
      <c r="T117" s="1" t="s">
        <v>2943</v>
      </c>
      <c r="U117" s="1" t="s">
        <v>2944</v>
      </c>
      <c r="V117" s="1"/>
      <c r="W117" s="1"/>
      <c r="X117" s="1"/>
      <c r="Y117" s="1"/>
      <c r="Z117" s="1"/>
      <c r="AA117" s="1"/>
      <c r="AB117" s="1"/>
      <c r="AC117" s="56" t="s">
        <v>222</v>
      </c>
      <c r="AD117" s="56" t="s">
        <v>227</v>
      </c>
    </row>
    <row r="118" spans="1:30">
      <c r="A118" s="1">
        <v>2022</v>
      </c>
      <c r="B118" s="1">
        <v>202220</v>
      </c>
      <c r="C118" s="1">
        <v>202225088</v>
      </c>
      <c r="D118" s="1" t="s">
        <v>2945</v>
      </c>
      <c r="E118" s="1" t="s">
        <v>2946</v>
      </c>
      <c r="F118" s="1" t="s">
        <v>350</v>
      </c>
      <c r="G118" s="53" t="str">
        <f>_xlfn.XLOOKUP(Tabla2[[#This Row],[Universidad]],Conversiones!$B:$B,Conversiones!$C:$C)</f>
        <v>Audencia. École de Management</v>
      </c>
      <c r="H118" s="53" t="str">
        <f>_xlfn.XLOOKUP(Tabla2[[#This Row],[Universidad KPIs]],Conversiones!$C:$C,Conversiones!$E:$E)</f>
        <v>Específico</v>
      </c>
      <c r="I118" s="1" t="s">
        <v>41</v>
      </c>
      <c r="J118" s="1" t="s">
        <v>250</v>
      </c>
      <c r="K118" s="1" t="s">
        <v>2947</v>
      </c>
      <c r="L118" s="1" t="s">
        <v>2948</v>
      </c>
      <c r="M118" s="1" t="s">
        <v>213</v>
      </c>
      <c r="N118" s="1" t="s">
        <v>2298</v>
      </c>
      <c r="O118" s="54" t="s">
        <v>2299</v>
      </c>
      <c r="P118" s="1">
        <v>1</v>
      </c>
      <c r="Q118" s="1" t="s">
        <v>2732</v>
      </c>
      <c r="R118" s="1" t="s">
        <v>2647</v>
      </c>
      <c r="S118" s="1" t="s">
        <v>2369</v>
      </c>
      <c r="T118" s="1" t="s">
        <v>2870</v>
      </c>
      <c r="U118" s="1" t="s">
        <v>2407</v>
      </c>
      <c r="V118" s="1"/>
      <c r="W118" s="1"/>
      <c r="X118" s="1"/>
      <c r="Y118" s="1"/>
      <c r="Z118" s="1"/>
      <c r="AA118" s="1"/>
      <c r="AB118" s="1"/>
      <c r="AC118" s="56" t="s">
        <v>216</v>
      </c>
      <c r="AD118" s="56" t="s">
        <v>234</v>
      </c>
    </row>
    <row r="119" spans="1:30">
      <c r="A119" s="1">
        <v>2022</v>
      </c>
      <c r="B119" s="1">
        <v>202220</v>
      </c>
      <c r="C119" s="1">
        <v>202225104</v>
      </c>
      <c r="D119" s="1" t="s">
        <v>2949</v>
      </c>
      <c r="E119" s="1" t="s">
        <v>2950</v>
      </c>
      <c r="F119" s="1" t="s">
        <v>335</v>
      </c>
      <c r="G119" s="53" t="str">
        <f>_xlfn.XLOOKUP(Tabla2[[#This Row],[Universidad]],Conversiones!$B:$B,Conversiones!$C:$C)</f>
        <v>HEC Montréal</v>
      </c>
      <c r="H119" s="53" t="str">
        <f>_xlfn.XLOOKUP(Tabla2[[#This Row],[Universidad KPIs]],Conversiones!$C:$C,Conversiones!$E:$E)</f>
        <v>Específico</v>
      </c>
      <c r="I119" s="1" t="s">
        <v>58</v>
      </c>
      <c r="J119" s="1" t="s">
        <v>260</v>
      </c>
      <c r="K119" s="1" t="s">
        <v>2951</v>
      </c>
      <c r="L119" s="1" t="s">
        <v>2952</v>
      </c>
      <c r="M119" s="1" t="s">
        <v>213</v>
      </c>
      <c r="N119" s="1" t="s">
        <v>2298</v>
      </c>
      <c r="O119" s="54" t="s">
        <v>2299</v>
      </c>
      <c r="P119" s="1">
        <v>1</v>
      </c>
      <c r="Q119" s="1" t="s">
        <v>2328</v>
      </c>
      <c r="R119" s="1" t="s">
        <v>2307</v>
      </c>
      <c r="S119" s="1" t="s">
        <v>2308</v>
      </c>
      <c r="T119" s="1" t="s">
        <v>2407</v>
      </c>
      <c r="U119" s="1" t="s">
        <v>2889</v>
      </c>
      <c r="V119" s="1"/>
      <c r="W119" s="1"/>
      <c r="X119" s="1"/>
      <c r="Y119" s="1"/>
      <c r="Z119" s="1"/>
      <c r="AA119" s="1"/>
      <c r="AB119" s="1"/>
      <c r="AC119" s="56" t="s">
        <v>216</v>
      </c>
      <c r="AD119" s="56" t="s">
        <v>234</v>
      </c>
    </row>
    <row r="120" spans="1:30">
      <c r="A120" s="1">
        <v>2022</v>
      </c>
      <c r="B120" s="1">
        <v>202220</v>
      </c>
      <c r="C120" s="1">
        <v>202224951</v>
      </c>
      <c r="D120" s="1" t="s">
        <v>2953</v>
      </c>
      <c r="E120" s="1" t="s">
        <v>2954</v>
      </c>
      <c r="F120" s="1" t="s">
        <v>388</v>
      </c>
      <c r="G120" s="53" t="str">
        <f>_xlfn.XLOOKUP(Tabla2[[#This Row],[Universidad]],Conversiones!$B:$B,Conversiones!$C:$C)</f>
        <v>ESCP</v>
      </c>
      <c r="H120" s="53" t="str">
        <f>_xlfn.XLOOKUP(Tabla2[[#This Row],[Universidad KPIs]],Conversiones!$C:$C,Conversiones!$E:$E)</f>
        <v>Específico</v>
      </c>
      <c r="I120" s="1" t="s">
        <v>41</v>
      </c>
      <c r="J120" s="1" t="s">
        <v>250</v>
      </c>
      <c r="K120" s="1" t="s">
        <v>2955</v>
      </c>
      <c r="L120" s="1" t="s">
        <v>2956</v>
      </c>
      <c r="M120" s="1" t="s">
        <v>213</v>
      </c>
      <c r="N120" s="1" t="s">
        <v>2334</v>
      </c>
      <c r="O120" s="54" t="s">
        <v>2335</v>
      </c>
      <c r="P120" s="1">
        <v>1</v>
      </c>
      <c r="Q120" s="1" t="s">
        <v>2707</v>
      </c>
      <c r="R120" s="1" t="s">
        <v>2708</v>
      </c>
      <c r="S120" s="1" t="s">
        <v>2957</v>
      </c>
      <c r="T120" s="1" t="s">
        <v>2958</v>
      </c>
      <c r="U120" s="1" t="s">
        <v>2672</v>
      </c>
      <c r="V120" s="1"/>
      <c r="W120" s="1"/>
      <c r="X120" s="1"/>
      <c r="Y120" s="1"/>
      <c r="Z120" s="1"/>
      <c r="AA120" s="1"/>
      <c r="AB120" s="1"/>
      <c r="AC120" s="56" t="s">
        <v>221</v>
      </c>
      <c r="AD120" s="56" t="s">
        <v>227</v>
      </c>
    </row>
    <row r="121" spans="1:30">
      <c r="A121" s="1">
        <v>2022</v>
      </c>
      <c r="B121" s="1">
        <v>202220</v>
      </c>
      <c r="C121" s="1">
        <v>202225101</v>
      </c>
      <c r="D121" s="1" t="s">
        <v>2959</v>
      </c>
      <c r="E121" s="1" t="s">
        <v>2960</v>
      </c>
      <c r="F121" s="1" t="s">
        <v>388</v>
      </c>
      <c r="G121" s="53" t="str">
        <f>_xlfn.XLOOKUP(Tabla2[[#This Row],[Universidad]],Conversiones!$B:$B,Conversiones!$C:$C)</f>
        <v>ESCP</v>
      </c>
      <c r="H121" s="53" t="str">
        <f>_xlfn.XLOOKUP(Tabla2[[#This Row],[Universidad KPIs]],Conversiones!$C:$C,Conversiones!$E:$E)</f>
        <v>Específico</v>
      </c>
      <c r="I121" s="1" t="s">
        <v>41</v>
      </c>
      <c r="J121" s="1" t="s">
        <v>250</v>
      </c>
      <c r="K121" s="1" t="s">
        <v>2961</v>
      </c>
      <c r="L121" s="1" t="s">
        <v>2962</v>
      </c>
      <c r="M121" s="1" t="s">
        <v>213</v>
      </c>
      <c r="N121" s="1" t="s">
        <v>2298</v>
      </c>
      <c r="O121" s="54" t="s">
        <v>2299</v>
      </c>
      <c r="P121" s="1">
        <v>1</v>
      </c>
      <c r="Q121" s="1" t="s">
        <v>2963</v>
      </c>
      <c r="R121" s="1" t="s">
        <v>2654</v>
      </c>
      <c r="S121" s="1" t="s">
        <v>2964</v>
      </c>
      <c r="T121" s="1" t="s">
        <v>2965</v>
      </c>
      <c r="U121" s="1"/>
      <c r="V121" s="1"/>
      <c r="W121" s="1"/>
      <c r="X121" s="1"/>
      <c r="Y121" s="1"/>
      <c r="Z121" s="1"/>
      <c r="AA121" s="1"/>
      <c r="AB121" s="1"/>
      <c r="AC121" s="56" t="s">
        <v>220</v>
      </c>
      <c r="AD121" s="56" t="s">
        <v>227</v>
      </c>
    </row>
    <row r="122" spans="1:30">
      <c r="A122" s="1">
        <v>2022</v>
      </c>
      <c r="B122" s="1">
        <v>202220</v>
      </c>
      <c r="C122" s="1">
        <v>202224937</v>
      </c>
      <c r="D122" s="1" t="s">
        <v>2966</v>
      </c>
      <c r="E122" s="1" t="s">
        <v>2967</v>
      </c>
      <c r="F122" s="1" t="s">
        <v>298</v>
      </c>
      <c r="G122" s="53" t="str">
        <f>_xlfn.XLOOKUP(Tabla2[[#This Row],[Universidad]],Conversiones!$B:$B,Conversiones!$C:$C)</f>
        <v>ESSEC</v>
      </c>
      <c r="H122" s="53" t="str">
        <f>_xlfn.XLOOKUP(Tabla2[[#This Row],[Universidad KPIs]],Conversiones!$C:$C,Conversiones!$E:$E)</f>
        <v>Específico</v>
      </c>
      <c r="I122" s="1" t="s">
        <v>41</v>
      </c>
      <c r="J122" s="1" t="s">
        <v>250</v>
      </c>
      <c r="K122" s="1" t="s">
        <v>2968</v>
      </c>
      <c r="L122" s="1" t="s">
        <v>2969</v>
      </c>
      <c r="M122" s="1" t="s">
        <v>213</v>
      </c>
      <c r="N122" s="1" t="s">
        <v>2334</v>
      </c>
      <c r="O122" s="54" t="s">
        <v>2335</v>
      </c>
      <c r="P122" s="1">
        <v>1</v>
      </c>
      <c r="Q122" s="1" t="s">
        <v>2963</v>
      </c>
      <c r="R122" s="1" t="s">
        <v>2654</v>
      </c>
      <c r="S122" s="1" t="s">
        <v>2660</v>
      </c>
      <c r="T122" s="1"/>
      <c r="U122" s="1"/>
      <c r="V122" s="1"/>
      <c r="W122" s="1"/>
      <c r="X122" s="1"/>
      <c r="Y122" s="1"/>
      <c r="Z122" s="1"/>
      <c r="AA122" s="1"/>
      <c r="AB122" s="1"/>
      <c r="AC122" s="56" t="s">
        <v>221</v>
      </c>
      <c r="AD122" s="56" t="s">
        <v>227</v>
      </c>
    </row>
    <row r="123" spans="1:30">
      <c r="A123" s="1">
        <v>2022</v>
      </c>
      <c r="B123" s="1">
        <v>202220</v>
      </c>
      <c r="C123" s="1">
        <v>202225031</v>
      </c>
      <c r="D123" s="1" t="s">
        <v>2970</v>
      </c>
      <c r="E123" s="1" t="s">
        <v>2971</v>
      </c>
      <c r="F123" s="1" t="s">
        <v>298</v>
      </c>
      <c r="G123" s="53" t="str">
        <f>_xlfn.XLOOKUP(Tabla2[[#This Row],[Universidad]],Conversiones!$B:$B,Conversiones!$C:$C)</f>
        <v>ESSEC</v>
      </c>
      <c r="H123" s="53" t="str">
        <f>_xlfn.XLOOKUP(Tabla2[[#This Row],[Universidad KPIs]],Conversiones!$C:$C,Conversiones!$E:$E)</f>
        <v>Específico</v>
      </c>
      <c r="I123" s="1" t="s">
        <v>41</v>
      </c>
      <c r="J123" s="1" t="s">
        <v>250</v>
      </c>
      <c r="K123" s="1" t="s">
        <v>2972</v>
      </c>
      <c r="L123" s="1" t="s">
        <v>2973</v>
      </c>
      <c r="M123" s="1" t="s">
        <v>213</v>
      </c>
      <c r="N123" s="1" t="s">
        <v>2298</v>
      </c>
      <c r="O123" s="54" t="s">
        <v>2299</v>
      </c>
      <c r="P123" s="1">
        <v>1</v>
      </c>
      <c r="Q123" s="1" t="s">
        <v>2731</v>
      </c>
      <c r="R123" s="1" t="s">
        <v>2601</v>
      </c>
      <c r="S123" s="1" t="s">
        <v>2974</v>
      </c>
      <c r="T123" s="1" t="s">
        <v>2382</v>
      </c>
      <c r="U123" s="1" t="s">
        <v>2407</v>
      </c>
      <c r="V123" s="1"/>
      <c r="W123" s="1"/>
      <c r="X123" s="1"/>
      <c r="Y123" s="1"/>
      <c r="Z123" s="1"/>
      <c r="AA123" s="1"/>
      <c r="AB123" s="1"/>
      <c r="AC123" s="56" t="s">
        <v>216</v>
      </c>
      <c r="AD123" s="56" t="s">
        <v>234</v>
      </c>
    </row>
    <row r="124" spans="1:30">
      <c r="A124" s="1">
        <v>2022</v>
      </c>
      <c r="B124" s="1">
        <v>202220</v>
      </c>
      <c r="C124" s="1">
        <v>202225008</v>
      </c>
      <c r="D124" s="1" t="s">
        <v>2975</v>
      </c>
      <c r="E124" s="1" t="s">
        <v>2976</v>
      </c>
      <c r="F124" s="1" t="s">
        <v>619</v>
      </c>
      <c r="G124" s="53" t="str">
        <f>_xlfn.XLOOKUP(Tabla2[[#This Row],[Universidad]],Conversiones!$B:$B,Conversiones!$C:$C)</f>
        <v>Grenoble. École de Management</v>
      </c>
      <c r="H124" s="53" t="str">
        <f>_xlfn.XLOOKUP(Tabla2[[#This Row],[Universidad KPIs]],Conversiones!$C:$C,Conversiones!$E:$E)</f>
        <v>Específico</v>
      </c>
      <c r="I124" s="1" t="s">
        <v>41</v>
      </c>
      <c r="J124" s="1" t="s">
        <v>250</v>
      </c>
      <c r="K124" s="1" t="s">
        <v>2977</v>
      </c>
      <c r="L124" s="1" t="s">
        <v>2978</v>
      </c>
      <c r="M124" s="1" t="s">
        <v>213</v>
      </c>
      <c r="N124" s="1" t="s">
        <v>2298</v>
      </c>
      <c r="O124" s="54" t="s">
        <v>2299</v>
      </c>
      <c r="P124" s="1">
        <v>1</v>
      </c>
      <c r="Q124" s="1" t="s">
        <v>2321</v>
      </c>
      <c r="R124" s="1" t="s">
        <v>2369</v>
      </c>
      <c r="S124" s="1" t="s">
        <v>2307</v>
      </c>
      <c r="T124" s="1" t="s">
        <v>2300</v>
      </c>
      <c r="U124" s="1"/>
      <c r="V124" s="1"/>
      <c r="W124" s="1"/>
      <c r="X124" s="1"/>
      <c r="Y124" s="1"/>
      <c r="Z124" s="1"/>
      <c r="AA124" s="1"/>
      <c r="AB124" s="1"/>
      <c r="AC124" s="56" t="s">
        <v>220</v>
      </c>
      <c r="AD124" s="56" t="s">
        <v>227</v>
      </c>
    </row>
    <row r="125" spans="1:30">
      <c r="A125" s="1">
        <v>2022</v>
      </c>
      <c r="B125" s="1">
        <v>202220</v>
      </c>
      <c r="C125" s="1">
        <v>202225051</v>
      </c>
      <c r="D125" s="1" t="s">
        <v>2979</v>
      </c>
      <c r="E125" s="1" t="s">
        <v>2980</v>
      </c>
      <c r="F125" s="1" t="s">
        <v>410</v>
      </c>
      <c r="G125" s="53" t="str">
        <f>_xlfn.XLOOKUP(Tabla2[[#This Row],[Universidad]],Conversiones!$B:$B,Conversiones!$C:$C)</f>
        <v xml:space="preserve">CBS- Copenhagen Business School  </v>
      </c>
      <c r="H125" s="53" t="str">
        <f>_xlfn.XLOOKUP(Tabla2[[#This Row],[Universidad KPIs]],Conversiones!$C:$C,Conversiones!$E:$E)</f>
        <v>Específico</v>
      </c>
      <c r="I125" s="1" t="s">
        <v>47</v>
      </c>
      <c r="J125" s="1" t="s">
        <v>250</v>
      </c>
      <c r="K125" s="1" t="s">
        <v>2981</v>
      </c>
      <c r="L125" s="1" t="s">
        <v>2982</v>
      </c>
      <c r="M125" s="1" t="s">
        <v>213</v>
      </c>
      <c r="N125" s="1" t="s">
        <v>2298</v>
      </c>
      <c r="O125" s="54" t="s">
        <v>2299</v>
      </c>
      <c r="P125" s="1">
        <v>1</v>
      </c>
      <c r="Q125" s="1" t="s">
        <v>2983</v>
      </c>
      <c r="R125" s="1" t="s">
        <v>2984</v>
      </c>
      <c r="S125" s="1" t="s">
        <v>2300</v>
      </c>
      <c r="T125" s="1" t="s">
        <v>2329</v>
      </c>
      <c r="U125" s="1" t="s">
        <v>2525</v>
      </c>
      <c r="V125" s="1"/>
      <c r="W125" s="1"/>
      <c r="X125" s="1"/>
      <c r="Y125" s="1"/>
      <c r="Z125" s="1"/>
      <c r="AA125" s="1"/>
      <c r="AB125" s="1"/>
      <c r="AC125" s="56" t="s">
        <v>216</v>
      </c>
      <c r="AD125" s="56" t="s">
        <v>234</v>
      </c>
    </row>
    <row r="126" spans="1:30">
      <c r="A126" s="1">
        <v>2022</v>
      </c>
      <c r="B126" s="1">
        <v>202220</v>
      </c>
      <c r="C126" s="1">
        <v>202225065</v>
      </c>
      <c r="D126" s="1" t="s">
        <v>2985</v>
      </c>
      <c r="E126" s="1" t="s">
        <v>2986</v>
      </c>
      <c r="F126" s="1" t="s">
        <v>410</v>
      </c>
      <c r="G126" s="53" t="str">
        <f>_xlfn.XLOOKUP(Tabla2[[#This Row],[Universidad]],Conversiones!$B:$B,Conversiones!$C:$C)</f>
        <v xml:space="preserve">CBS- Copenhagen Business School  </v>
      </c>
      <c r="H126" s="53" t="str">
        <f>_xlfn.XLOOKUP(Tabla2[[#This Row],[Universidad KPIs]],Conversiones!$C:$C,Conversiones!$E:$E)</f>
        <v>Específico</v>
      </c>
      <c r="I126" s="1" t="s">
        <v>47</v>
      </c>
      <c r="J126" s="1" t="s">
        <v>250</v>
      </c>
      <c r="K126" s="1" t="s">
        <v>2987</v>
      </c>
      <c r="L126" s="1" t="s">
        <v>2988</v>
      </c>
      <c r="M126" s="1" t="s">
        <v>213</v>
      </c>
      <c r="N126" s="1" t="s">
        <v>2298</v>
      </c>
      <c r="O126" s="54" t="s">
        <v>2299</v>
      </c>
      <c r="P126" s="1">
        <v>1</v>
      </c>
      <c r="Q126" s="1" t="s">
        <v>2601</v>
      </c>
      <c r="R126" s="1" t="s">
        <v>2300</v>
      </c>
      <c r="S126" s="1" t="s">
        <v>2302</v>
      </c>
      <c r="T126" s="1" t="s">
        <v>2525</v>
      </c>
      <c r="U126" s="1"/>
      <c r="V126" s="1"/>
      <c r="W126" s="1"/>
      <c r="X126" s="1"/>
      <c r="Y126" s="1"/>
      <c r="Z126" s="1"/>
      <c r="AA126" s="1"/>
      <c r="AB126" s="1"/>
      <c r="AC126" s="56" t="s">
        <v>216</v>
      </c>
      <c r="AD126" s="56" t="s">
        <v>234</v>
      </c>
    </row>
    <row r="127" spans="1:30">
      <c r="A127" s="1">
        <v>2022</v>
      </c>
      <c r="B127" s="1">
        <v>202220</v>
      </c>
      <c r="C127" s="1">
        <v>202225082</v>
      </c>
      <c r="D127" s="1" t="s">
        <v>2989</v>
      </c>
      <c r="E127" s="1" t="s">
        <v>2990</v>
      </c>
      <c r="F127" s="1" t="s">
        <v>410</v>
      </c>
      <c r="G127" s="53" t="str">
        <f>_xlfn.XLOOKUP(Tabla2[[#This Row],[Universidad]],Conversiones!$B:$B,Conversiones!$C:$C)</f>
        <v xml:space="preserve">CBS- Copenhagen Business School  </v>
      </c>
      <c r="H127" s="53" t="str">
        <f>_xlfn.XLOOKUP(Tabla2[[#This Row],[Universidad KPIs]],Conversiones!$C:$C,Conversiones!$E:$E)</f>
        <v>Específico</v>
      </c>
      <c r="I127" s="1" t="s">
        <v>47</v>
      </c>
      <c r="J127" s="1" t="s">
        <v>250</v>
      </c>
      <c r="K127" s="1" t="s">
        <v>2991</v>
      </c>
      <c r="L127" s="1" t="s">
        <v>2992</v>
      </c>
      <c r="M127" s="1" t="s">
        <v>213</v>
      </c>
      <c r="N127" s="1" t="s">
        <v>2298</v>
      </c>
      <c r="O127" s="54" t="s">
        <v>2299</v>
      </c>
      <c r="P127" s="1">
        <v>1</v>
      </c>
      <c r="Q127" s="1" t="s">
        <v>2600</v>
      </c>
      <c r="R127" s="1" t="s">
        <v>2363</v>
      </c>
      <c r="S127" s="1" t="s">
        <v>2300</v>
      </c>
      <c r="T127" s="1" t="s">
        <v>2407</v>
      </c>
      <c r="U127" s="1" t="s">
        <v>2329</v>
      </c>
      <c r="V127" s="1"/>
      <c r="W127" s="1"/>
      <c r="X127" s="1"/>
      <c r="Y127" s="1"/>
      <c r="Z127" s="1"/>
      <c r="AA127" s="1"/>
      <c r="AB127" s="1"/>
      <c r="AC127" s="56" t="s">
        <v>216</v>
      </c>
      <c r="AD127" s="56" t="s">
        <v>234</v>
      </c>
    </row>
    <row r="128" spans="1:30">
      <c r="A128" s="1">
        <v>2022</v>
      </c>
      <c r="B128" s="1">
        <v>202220</v>
      </c>
      <c r="C128" s="1">
        <v>202225079</v>
      </c>
      <c r="D128" s="1" t="s">
        <v>2993</v>
      </c>
      <c r="E128" s="1" t="s">
        <v>2994</v>
      </c>
      <c r="F128" s="1" t="s">
        <v>528</v>
      </c>
      <c r="G128" s="53" t="str">
        <f>_xlfn.XLOOKUP(Tabla2[[#This Row],[Universidad]],Conversiones!$B:$B,Conversiones!$C:$C)</f>
        <v>ICN Business School - Institut Commercial de Nancy</v>
      </c>
      <c r="H128" s="53" t="str">
        <f>_xlfn.XLOOKUP(Tabla2[[#This Row],[Universidad KPIs]],Conversiones!$C:$C,Conversiones!$E:$E)</f>
        <v>Específico</v>
      </c>
      <c r="I128" s="1" t="s">
        <v>41</v>
      </c>
      <c r="J128" s="1" t="s">
        <v>250</v>
      </c>
      <c r="K128" s="1" t="s">
        <v>2995</v>
      </c>
      <c r="L128" s="1" t="s">
        <v>2996</v>
      </c>
      <c r="M128" s="1" t="s">
        <v>213</v>
      </c>
      <c r="N128" s="1" t="s">
        <v>2298</v>
      </c>
      <c r="O128" s="54" t="s">
        <v>2299</v>
      </c>
      <c r="P128" s="1">
        <v>1</v>
      </c>
      <c r="Q128" s="1" t="s">
        <v>2601</v>
      </c>
      <c r="R128" s="1" t="s">
        <v>2307</v>
      </c>
      <c r="S128" s="1" t="s">
        <v>2997</v>
      </c>
      <c r="T128" s="1" t="s">
        <v>2300</v>
      </c>
      <c r="U128" s="1"/>
      <c r="V128" s="1"/>
      <c r="W128" s="1"/>
      <c r="X128" s="1"/>
      <c r="Y128" s="1"/>
      <c r="Z128" s="1"/>
      <c r="AA128" s="1"/>
      <c r="AB128" s="1"/>
      <c r="AC128" s="56" t="s">
        <v>216</v>
      </c>
      <c r="AD128" s="56" t="s">
        <v>234</v>
      </c>
    </row>
    <row r="129" spans="1:30">
      <c r="A129" s="1">
        <v>2022</v>
      </c>
      <c r="B129" s="1">
        <v>202220</v>
      </c>
      <c r="C129" s="1">
        <v>202225037</v>
      </c>
      <c r="D129" s="1" t="s">
        <v>2998</v>
      </c>
      <c r="E129" s="1" t="s">
        <v>2999</v>
      </c>
      <c r="F129" s="1" t="s">
        <v>608</v>
      </c>
      <c r="G129" s="53" t="str">
        <f>_xlfn.XLOOKUP(Tabla2[[#This Row],[Universidad]],Conversiones!$B:$B,Conversiones!$C:$C)</f>
        <v>IE Instituto Empresa</v>
      </c>
      <c r="H129" s="53" t="str">
        <f>_xlfn.XLOOKUP(Tabla2[[#This Row],[Universidad KPIs]],Conversiones!$C:$C,Conversiones!$E:$E)</f>
        <v>General</v>
      </c>
      <c r="I129" s="1" t="s">
        <v>53</v>
      </c>
      <c r="J129" s="1" t="s">
        <v>250</v>
      </c>
      <c r="K129" s="1" t="s">
        <v>3000</v>
      </c>
      <c r="L129" s="1" t="s">
        <v>3001</v>
      </c>
      <c r="M129" s="1" t="s">
        <v>213</v>
      </c>
      <c r="N129" s="1" t="s">
        <v>2298</v>
      </c>
      <c r="O129" s="54" t="s">
        <v>2299</v>
      </c>
      <c r="P129" s="1">
        <v>1</v>
      </c>
      <c r="Q129" s="1" t="s">
        <v>3002</v>
      </c>
      <c r="R129" s="1" t="s">
        <v>2362</v>
      </c>
      <c r="S129" s="1" t="s">
        <v>2469</v>
      </c>
      <c r="T129" s="1" t="s">
        <v>3003</v>
      </c>
      <c r="U129" s="1" t="s">
        <v>3004</v>
      </c>
      <c r="V129" s="1"/>
      <c r="W129" s="1"/>
      <c r="X129" s="1"/>
      <c r="Y129" s="1"/>
      <c r="Z129" s="1"/>
      <c r="AA129" s="1"/>
      <c r="AB129" s="1"/>
      <c r="AC129" s="56" t="s">
        <v>216</v>
      </c>
      <c r="AD129" s="56" t="s">
        <v>234</v>
      </c>
    </row>
    <row r="130" spans="1:30">
      <c r="A130" s="1">
        <v>2022</v>
      </c>
      <c r="B130" s="1">
        <v>202220</v>
      </c>
      <c r="C130" s="1">
        <v>202226493</v>
      </c>
      <c r="D130" s="1" t="s">
        <v>3005</v>
      </c>
      <c r="E130" s="1" t="s">
        <v>3006</v>
      </c>
      <c r="F130" s="1" t="s">
        <v>781</v>
      </c>
      <c r="G130" s="53" t="str">
        <f>_xlfn.XLOOKUP(Tabla2[[#This Row],[Universidad]],Conversiones!$B:$B,Conversiones!$C:$C)</f>
        <v>ITESM-EGADE -Instituto tecnológico y de estudios superiores de Monterrey</v>
      </c>
      <c r="H130" s="53" t="str">
        <f>_xlfn.XLOOKUP(Tabla2[[#This Row],[Universidad KPIs]],Conversiones!$C:$C,Conversiones!$E:$E)</f>
        <v>Específico</v>
      </c>
      <c r="I130" s="1" t="s">
        <v>71</v>
      </c>
      <c r="J130" s="1" t="s">
        <v>260</v>
      </c>
      <c r="K130" s="1" t="s">
        <v>3007</v>
      </c>
      <c r="L130" s="1" t="s">
        <v>3008</v>
      </c>
      <c r="M130" s="1" t="s">
        <v>213</v>
      </c>
      <c r="N130" s="1" t="s">
        <v>2298</v>
      </c>
      <c r="O130" s="54" t="s">
        <v>2299</v>
      </c>
      <c r="P130" s="1">
        <v>1</v>
      </c>
      <c r="Q130" s="1" t="s">
        <v>2405</v>
      </c>
      <c r="R130" s="1" t="s">
        <v>2577</v>
      </c>
      <c r="S130" s="1" t="s">
        <v>2300</v>
      </c>
      <c r="T130" s="1" t="s">
        <v>2451</v>
      </c>
      <c r="U130" s="1"/>
      <c r="V130" s="1"/>
      <c r="W130" s="1"/>
      <c r="X130" s="1"/>
      <c r="Y130" s="1"/>
      <c r="Z130" s="1"/>
      <c r="AA130" s="1"/>
      <c r="AB130" s="1"/>
      <c r="AC130" s="56" t="s">
        <v>216</v>
      </c>
      <c r="AD130" s="56" t="s">
        <v>234</v>
      </c>
    </row>
    <row r="131" spans="1:30">
      <c r="A131" s="1">
        <v>2022</v>
      </c>
      <c r="B131" s="1">
        <v>202220</v>
      </c>
      <c r="C131" s="1">
        <v>202226502</v>
      </c>
      <c r="D131" s="1" t="s">
        <v>3009</v>
      </c>
      <c r="E131" s="1" t="s">
        <v>3010</v>
      </c>
      <c r="F131" s="1" t="s">
        <v>781</v>
      </c>
      <c r="G131" s="53" t="str">
        <f>_xlfn.XLOOKUP(Tabla2[[#This Row],[Universidad]],Conversiones!$B:$B,Conversiones!$C:$C)</f>
        <v>ITESM-EGADE -Instituto tecnológico y de estudios superiores de Monterrey</v>
      </c>
      <c r="H131" s="53" t="str">
        <f>_xlfn.XLOOKUP(Tabla2[[#This Row],[Universidad KPIs]],Conversiones!$C:$C,Conversiones!$E:$E)</f>
        <v>Específico</v>
      </c>
      <c r="I131" s="1" t="s">
        <v>71</v>
      </c>
      <c r="J131" s="1" t="s">
        <v>260</v>
      </c>
      <c r="K131" s="1" t="s">
        <v>3011</v>
      </c>
      <c r="L131" s="1" t="s">
        <v>3012</v>
      </c>
      <c r="M131" s="1" t="s">
        <v>213</v>
      </c>
      <c r="N131" s="1" t="s">
        <v>2298</v>
      </c>
      <c r="O131" s="54" t="s">
        <v>2299</v>
      </c>
      <c r="P131" s="1">
        <v>1</v>
      </c>
      <c r="Q131" s="1" t="s">
        <v>2328</v>
      </c>
      <c r="R131" s="1" t="s">
        <v>2310</v>
      </c>
      <c r="S131" s="1" t="s">
        <v>2681</v>
      </c>
      <c r="T131" s="1" t="s">
        <v>2370</v>
      </c>
      <c r="U131" s="1"/>
      <c r="V131" s="1"/>
      <c r="W131" s="1"/>
      <c r="X131" s="1"/>
      <c r="Y131" s="1"/>
      <c r="Z131" s="1"/>
      <c r="AA131" s="1"/>
      <c r="AB131" s="1"/>
      <c r="AC131" s="56" t="s">
        <v>216</v>
      </c>
      <c r="AD131" s="56" t="s">
        <v>234</v>
      </c>
    </row>
    <row r="132" spans="1:30">
      <c r="A132" s="1">
        <v>2022</v>
      </c>
      <c r="B132" s="1">
        <v>202220</v>
      </c>
      <c r="C132" s="1">
        <v>202226495</v>
      </c>
      <c r="D132" s="1" t="s">
        <v>3013</v>
      </c>
      <c r="E132" s="1" t="s">
        <v>3014</v>
      </c>
      <c r="F132" s="1" t="s">
        <v>781</v>
      </c>
      <c r="G132" s="53" t="str">
        <f>_xlfn.XLOOKUP(Tabla2[[#This Row],[Universidad]],Conversiones!$B:$B,Conversiones!$C:$C)</f>
        <v>ITESM-EGADE -Instituto tecnológico y de estudios superiores de Monterrey</v>
      </c>
      <c r="H132" s="53" t="str">
        <f>_xlfn.XLOOKUP(Tabla2[[#This Row],[Universidad KPIs]],Conversiones!$C:$C,Conversiones!$E:$E)</f>
        <v>Específico</v>
      </c>
      <c r="I132" s="1" t="s">
        <v>71</v>
      </c>
      <c r="J132" s="1" t="s">
        <v>260</v>
      </c>
      <c r="K132" s="1" t="s">
        <v>3015</v>
      </c>
      <c r="L132" s="1" t="s">
        <v>3016</v>
      </c>
      <c r="M132" s="1" t="s">
        <v>213</v>
      </c>
      <c r="N132" s="1" t="s">
        <v>2298</v>
      </c>
      <c r="O132" s="54" t="s">
        <v>2299</v>
      </c>
      <c r="P132" s="1">
        <v>1</v>
      </c>
      <c r="Q132" s="1" t="s">
        <v>3017</v>
      </c>
      <c r="R132" s="1" t="s">
        <v>2309</v>
      </c>
      <c r="S132" s="1" t="s">
        <v>2308</v>
      </c>
      <c r="T132" s="1" t="s">
        <v>2470</v>
      </c>
      <c r="U132" s="1" t="s">
        <v>2725</v>
      </c>
      <c r="V132" s="1" t="s">
        <v>2329</v>
      </c>
      <c r="W132" s="1" t="s">
        <v>2463</v>
      </c>
      <c r="X132" s="1" t="s">
        <v>2609</v>
      </c>
      <c r="Y132" s="1"/>
      <c r="Z132" s="1"/>
      <c r="AA132" s="1"/>
      <c r="AB132" s="1"/>
      <c r="AC132" s="56" t="s">
        <v>216</v>
      </c>
      <c r="AD132" s="56" t="s">
        <v>234</v>
      </c>
    </row>
    <row r="133" spans="1:30">
      <c r="A133" s="1">
        <v>2022</v>
      </c>
      <c r="B133" s="1">
        <v>202220</v>
      </c>
      <c r="C133" s="1">
        <v>202226496</v>
      </c>
      <c r="D133" s="1" t="s">
        <v>3018</v>
      </c>
      <c r="E133" s="1" t="s">
        <v>3019</v>
      </c>
      <c r="F133" s="1" t="s">
        <v>781</v>
      </c>
      <c r="G133" s="53" t="str">
        <f>_xlfn.XLOOKUP(Tabla2[[#This Row],[Universidad]],Conversiones!$B:$B,Conversiones!$C:$C)</f>
        <v>ITESM-EGADE -Instituto tecnológico y de estudios superiores de Monterrey</v>
      </c>
      <c r="H133" s="53" t="str">
        <f>_xlfn.XLOOKUP(Tabla2[[#This Row],[Universidad KPIs]],Conversiones!$C:$C,Conversiones!$E:$E)</f>
        <v>Específico</v>
      </c>
      <c r="I133" s="1" t="s">
        <v>71</v>
      </c>
      <c r="J133" s="1" t="s">
        <v>260</v>
      </c>
      <c r="K133" s="1" t="s">
        <v>3020</v>
      </c>
      <c r="L133" s="1" t="s">
        <v>3021</v>
      </c>
      <c r="M133" s="1" t="s">
        <v>213</v>
      </c>
      <c r="N133" s="1" t="s">
        <v>2298</v>
      </c>
      <c r="O133" s="54" t="s">
        <v>2299</v>
      </c>
      <c r="P133" s="1">
        <v>1</v>
      </c>
      <c r="Q133" s="1" t="s">
        <v>2328</v>
      </c>
      <c r="R133" s="1" t="s">
        <v>3022</v>
      </c>
      <c r="S133" s="1" t="s">
        <v>2307</v>
      </c>
      <c r="T133" s="1" t="s">
        <v>2577</v>
      </c>
      <c r="U133" s="1" t="s">
        <v>2480</v>
      </c>
      <c r="V133" s="1" t="s">
        <v>2609</v>
      </c>
      <c r="W133" s="1" t="s">
        <v>2464</v>
      </c>
      <c r="X133" s="1"/>
      <c r="Y133" s="1"/>
      <c r="Z133" s="1"/>
      <c r="AA133" s="1"/>
      <c r="AB133" s="1"/>
      <c r="AC133" s="56" t="s">
        <v>216</v>
      </c>
      <c r="AD133" s="56" t="s">
        <v>234</v>
      </c>
    </row>
    <row r="134" spans="1:30">
      <c r="A134" s="1">
        <v>2022</v>
      </c>
      <c r="B134" s="1">
        <v>202220</v>
      </c>
      <c r="C134" s="1">
        <v>202225018</v>
      </c>
      <c r="D134" s="1" t="s">
        <v>2945</v>
      </c>
      <c r="E134" s="1" t="s">
        <v>3023</v>
      </c>
      <c r="F134" s="1" t="s">
        <v>3024</v>
      </c>
      <c r="G134" s="53" t="str">
        <f>_xlfn.XLOOKUP(Tabla2[[#This Row],[Universidad]],Conversiones!$B:$B,Conversiones!$C:$C)</f>
        <v>JIBS Jönköping International Business School</v>
      </c>
      <c r="H134" s="53" t="str">
        <f>_xlfn.XLOOKUP(Tabla2[[#This Row],[Universidad KPIs]],Conversiones!$C:$C,Conversiones!$E:$E)</f>
        <v>Específico</v>
      </c>
      <c r="I134" s="1" t="s">
        <v>74</v>
      </c>
      <c r="J134" s="1" t="s">
        <v>250</v>
      </c>
      <c r="K134" s="1" t="s">
        <v>3025</v>
      </c>
      <c r="L134" s="1" t="s">
        <v>3026</v>
      </c>
      <c r="M134" s="1" t="s">
        <v>213</v>
      </c>
      <c r="N134" s="1" t="s">
        <v>2298</v>
      </c>
      <c r="O134" s="54" t="s">
        <v>2299</v>
      </c>
      <c r="P134" s="1">
        <v>1</v>
      </c>
      <c r="Q134" s="1" t="s">
        <v>2600</v>
      </c>
      <c r="R134" s="1" t="s">
        <v>2328</v>
      </c>
      <c r="S134" s="1" t="s">
        <v>2394</v>
      </c>
      <c r="T134" s="1" t="s">
        <v>2307</v>
      </c>
      <c r="U134" s="1" t="s">
        <v>2363</v>
      </c>
      <c r="V134" s="1"/>
      <c r="W134" s="1"/>
      <c r="X134" s="1"/>
      <c r="Y134" s="1"/>
      <c r="Z134" s="1"/>
      <c r="AA134" s="1"/>
      <c r="AB134" s="1"/>
      <c r="AC134" s="56" t="s">
        <v>216</v>
      </c>
      <c r="AD134" s="56" t="s">
        <v>234</v>
      </c>
    </row>
    <row r="135" spans="1:30">
      <c r="A135" s="1">
        <v>2022</v>
      </c>
      <c r="B135" s="1">
        <v>202220</v>
      </c>
      <c r="C135" s="1">
        <v>202225056</v>
      </c>
      <c r="D135" s="1" t="s">
        <v>3027</v>
      </c>
      <c r="E135" s="1" t="s">
        <v>3028</v>
      </c>
      <c r="F135" s="1" t="s">
        <v>3024</v>
      </c>
      <c r="G135" s="53" t="str">
        <f>_xlfn.XLOOKUP(Tabla2[[#This Row],[Universidad]],Conversiones!$B:$B,Conversiones!$C:$C)</f>
        <v>JIBS Jönköping International Business School</v>
      </c>
      <c r="H135" s="53" t="str">
        <f>_xlfn.XLOOKUP(Tabla2[[#This Row],[Universidad KPIs]],Conversiones!$C:$C,Conversiones!$E:$E)</f>
        <v>Específico</v>
      </c>
      <c r="I135" s="1" t="s">
        <v>74</v>
      </c>
      <c r="J135" s="1" t="s">
        <v>250</v>
      </c>
      <c r="K135" s="1" t="s">
        <v>3029</v>
      </c>
      <c r="L135" s="1" t="s">
        <v>3030</v>
      </c>
      <c r="M135" s="1" t="s">
        <v>213</v>
      </c>
      <c r="N135" s="1" t="s">
        <v>2298</v>
      </c>
      <c r="O135" s="54" t="s">
        <v>2299</v>
      </c>
      <c r="P135" s="1">
        <v>1</v>
      </c>
      <c r="Q135" s="1" t="s">
        <v>2600</v>
      </c>
      <c r="R135" s="1" t="s">
        <v>2475</v>
      </c>
      <c r="S135" s="1" t="s">
        <v>2601</v>
      </c>
      <c r="T135" s="1" t="s">
        <v>2469</v>
      </c>
      <c r="U135" s="1" t="s">
        <v>2301</v>
      </c>
      <c r="V135" s="1" t="s">
        <v>2609</v>
      </c>
      <c r="W135" s="1"/>
      <c r="X135" s="1"/>
      <c r="Y135" s="1"/>
      <c r="Z135" s="1"/>
      <c r="AA135" s="1"/>
      <c r="AB135" s="1"/>
      <c r="AC135" s="56" t="s">
        <v>220</v>
      </c>
      <c r="AD135" s="56" t="s">
        <v>227</v>
      </c>
    </row>
    <row r="136" spans="1:30">
      <c r="A136" s="1">
        <v>2022</v>
      </c>
      <c r="B136" s="1">
        <v>202220</v>
      </c>
      <c r="C136" s="1">
        <v>202224957</v>
      </c>
      <c r="D136" s="1" t="s">
        <v>3031</v>
      </c>
      <c r="E136" s="1" t="s">
        <v>3032</v>
      </c>
      <c r="F136" s="1" t="s">
        <v>3024</v>
      </c>
      <c r="G136" s="53" t="str">
        <f>_xlfn.XLOOKUP(Tabla2[[#This Row],[Universidad]],Conversiones!$B:$B,Conversiones!$C:$C)</f>
        <v>JIBS Jönköping International Business School</v>
      </c>
      <c r="H136" s="53" t="str">
        <f>_xlfn.XLOOKUP(Tabla2[[#This Row],[Universidad KPIs]],Conversiones!$C:$C,Conversiones!$E:$E)</f>
        <v>Específico</v>
      </c>
      <c r="I136" s="1" t="s">
        <v>74</v>
      </c>
      <c r="J136" s="1" t="s">
        <v>250</v>
      </c>
      <c r="K136" s="1" t="s">
        <v>3033</v>
      </c>
      <c r="L136" s="1" t="s">
        <v>3034</v>
      </c>
      <c r="M136" s="1" t="s">
        <v>213</v>
      </c>
      <c r="N136" s="1" t="s">
        <v>2298</v>
      </c>
      <c r="O136" s="54" t="s">
        <v>2299</v>
      </c>
      <c r="P136" s="1">
        <v>1</v>
      </c>
      <c r="Q136" s="1" t="s">
        <v>2647</v>
      </c>
      <c r="R136" s="1" t="s">
        <v>2322</v>
      </c>
      <c r="S136" s="1" t="s">
        <v>2307</v>
      </c>
      <c r="T136" s="1" t="s">
        <v>2300</v>
      </c>
      <c r="U136" s="1" t="s">
        <v>2370</v>
      </c>
      <c r="V136" s="1" t="s">
        <v>2302</v>
      </c>
      <c r="W136" s="1"/>
      <c r="X136" s="1"/>
      <c r="Y136" s="1"/>
      <c r="Z136" s="1"/>
      <c r="AA136" s="1"/>
      <c r="AB136" s="1"/>
      <c r="AC136" s="56" t="s">
        <v>219</v>
      </c>
      <c r="AD136" s="56" t="s">
        <v>227</v>
      </c>
    </row>
    <row r="137" spans="1:30">
      <c r="A137" s="1">
        <v>2022</v>
      </c>
      <c r="B137" s="1">
        <v>202220</v>
      </c>
      <c r="C137" s="1">
        <v>202224988</v>
      </c>
      <c r="D137" s="1" t="s">
        <v>3035</v>
      </c>
      <c r="E137" s="1" t="s">
        <v>3036</v>
      </c>
      <c r="F137" s="1" t="s">
        <v>78</v>
      </c>
      <c r="G137" s="53" t="str">
        <f>_xlfn.XLOOKUP(Tabla2[[#This Row],[Universidad]],Conversiones!$B:$B,Conversiones!$C:$C)</f>
        <v>Maastricht University</v>
      </c>
      <c r="H137" s="53" t="str">
        <f>_xlfn.XLOOKUP(Tabla2[[#This Row],[Universidad KPIs]],Conversiones!$C:$C,Conversiones!$E:$E)</f>
        <v>Específico</v>
      </c>
      <c r="I137" s="1" t="s">
        <v>79</v>
      </c>
      <c r="J137" s="1" t="s">
        <v>250</v>
      </c>
      <c r="K137" s="1" t="s">
        <v>3037</v>
      </c>
      <c r="L137" s="1" t="s">
        <v>3038</v>
      </c>
      <c r="M137" s="1" t="s">
        <v>213</v>
      </c>
      <c r="N137" s="1" t="s">
        <v>2298</v>
      </c>
      <c r="O137" s="54" t="s">
        <v>2299</v>
      </c>
      <c r="P137" s="1">
        <v>1</v>
      </c>
      <c r="Q137" s="1" t="s">
        <v>2328</v>
      </c>
      <c r="R137" s="1" t="s">
        <v>2601</v>
      </c>
      <c r="S137" s="1" t="s">
        <v>2441</v>
      </c>
      <c r="T137" s="1" t="s">
        <v>2997</v>
      </c>
      <c r="U137" s="1" t="s">
        <v>2300</v>
      </c>
      <c r="V137" s="1" t="s">
        <v>2370</v>
      </c>
      <c r="W137" s="1" t="s">
        <v>2302</v>
      </c>
      <c r="X137" s="1"/>
      <c r="Y137" s="1"/>
      <c r="Z137" s="1"/>
      <c r="AA137" s="1"/>
      <c r="AB137" s="1"/>
      <c r="AC137" s="56" t="s">
        <v>216</v>
      </c>
      <c r="AD137" s="56" t="s">
        <v>234</v>
      </c>
    </row>
    <row r="138" spans="1:30">
      <c r="A138" s="1">
        <v>2022</v>
      </c>
      <c r="B138" s="1">
        <v>202220</v>
      </c>
      <c r="C138" s="1">
        <v>202224952</v>
      </c>
      <c r="D138" s="1" t="s">
        <v>3039</v>
      </c>
      <c r="E138" s="1" t="s">
        <v>3040</v>
      </c>
      <c r="F138" s="1" t="s">
        <v>78</v>
      </c>
      <c r="G138" s="53" t="str">
        <f>_xlfn.XLOOKUP(Tabla2[[#This Row],[Universidad]],Conversiones!$B:$B,Conversiones!$C:$C)</f>
        <v>Maastricht University</v>
      </c>
      <c r="H138" s="53" t="str">
        <f>_xlfn.XLOOKUP(Tabla2[[#This Row],[Universidad KPIs]],Conversiones!$C:$C,Conversiones!$E:$E)</f>
        <v>Específico</v>
      </c>
      <c r="I138" s="1" t="s">
        <v>79</v>
      </c>
      <c r="J138" s="1" t="s">
        <v>250</v>
      </c>
      <c r="K138" s="1" t="s">
        <v>3041</v>
      </c>
      <c r="L138" s="1" t="s">
        <v>3042</v>
      </c>
      <c r="M138" s="1" t="s">
        <v>213</v>
      </c>
      <c r="N138" s="1" t="s">
        <v>2334</v>
      </c>
      <c r="O138" s="54" t="s">
        <v>2335</v>
      </c>
      <c r="P138" s="1">
        <v>1</v>
      </c>
      <c r="Q138" s="1" t="s">
        <v>2695</v>
      </c>
      <c r="R138" s="1" t="s">
        <v>3043</v>
      </c>
      <c r="S138" s="1" t="s">
        <v>2731</v>
      </c>
      <c r="T138" s="1" t="s">
        <v>2974</v>
      </c>
      <c r="U138" s="1" t="s">
        <v>3044</v>
      </c>
      <c r="V138" s="1" t="s">
        <v>2672</v>
      </c>
      <c r="W138" s="1" t="s">
        <v>3045</v>
      </c>
      <c r="X138" s="1" t="s">
        <v>3046</v>
      </c>
      <c r="Y138" s="1"/>
      <c r="Z138" s="1"/>
      <c r="AA138" s="1"/>
      <c r="AB138" s="1"/>
      <c r="AC138" s="56" t="s">
        <v>230</v>
      </c>
      <c r="AD138" s="56" t="s">
        <v>227</v>
      </c>
    </row>
    <row r="139" spans="1:30">
      <c r="A139" s="1">
        <v>2022</v>
      </c>
      <c r="B139" s="1">
        <v>202220</v>
      </c>
      <c r="C139" s="1">
        <v>202225092</v>
      </c>
      <c r="D139" s="1" t="s">
        <v>327</v>
      </c>
      <c r="E139" s="1" t="s">
        <v>3047</v>
      </c>
      <c r="F139" s="1" t="s">
        <v>255</v>
      </c>
      <c r="G139" s="53" t="str">
        <f>_xlfn.XLOOKUP(Tabla2[[#This Row],[Universidad]],Conversiones!$B:$B,Conversiones!$C:$C)</f>
        <v>ESC Rouen (NEOMA)</v>
      </c>
      <c r="H139" s="53" t="str">
        <f>_xlfn.XLOOKUP(Tabla2[[#This Row],[Universidad KPIs]],Conversiones!$C:$C,Conversiones!$E:$E)</f>
        <v>Específico</v>
      </c>
      <c r="I139" s="1" t="s">
        <v>41</v>
      </c>
      <c r="J139" s="1" t="s">
        <v>250</v>
      </c>
      <c r="K139" s="1" t="s">
        <v>3048</v>
      </c>
      <c r="L139" s="1" t="s">
        <v>3049</v>
      </c>
      <c r="M139" s="1" t="s">
        <v>213</v>
      </c>
      <c r="N139" s="1" t="s">
        <v>2298</v>
      </c>
      <c r="O139" s="54" t="s">
        <v>2299</v>
      </c>
      <c r="P139" s="1">
        <v>1</v>
      </c>
      <c r="Q139" s="1" t="s">
        <v>2600</v>
      </c>
      <c r="R139" s="1" t="s">
        <v>2887</v>
      </c>
      <c r="S139" s="1" t="s">
        <v>3050</v>
      </c>
      <c r="T139" s="1" t="s">
        <v>3051</v>
      </c>
      <c r="U139" s="1" t="s">
        <v>2681</v>
      </c>
      <c r="V139" s="1"/>
      <c r="W139" s="1"/>
      <c r="X139" s="1"/>
      <c r="Y139" s="1"/>
      <c r="Z139" s="1"/>
      <c r="AA139" s="1"/>
      <c r="AB139" s="1"/>
      <c r="AC139" s="56" t="s">
        <v>220</v>
      </c>
      <c r="AD139" s="56" t="s">
        <v>227</v>
      </c>
    </row>
    <row r="140" spans="1:30">
      <c r="A140" s="1">
        <v>2022</v>
      </c>
      <c r="B140" s="1">
        <v>202220</v>
      </c>
      <c r="C140" s="1">
        <v>202224933</v>
      </c>
      <c r="D140" s="1" t="s">
        <v>3052</v>
      </c>
      <c r="E140" s="1" t="s">
        <v>3053</v>
      </c>
      <c r="F140" s="1" t="s">
        <v>86</v>
      </c>
      <c r="G140" s="53" t="str">
        <f>_xlfn.XLOOKUP(Tabla2[[#This Row],[Universidad]],Conversiones!$B:$B,Conversiones!$C:$C)</f>
        <v>Politecnico di Milano</v>
      </c>
      <c r="H140" s="53" t="str">
        <f>_xlfn.XLOOKUP(Tabla2[[#This Row],[Universidad KPIs]],Conversiones!$C:$C,Conversiones!$E:$E)</f>
        <v>Específico</v>
      </c>
      <c r="I140" s="1" t="s">
        <v>87</v>
      </c>
      <c r="J140" s="1" t="s">
        <v>250</v>
      </c>
      <c r="K140" s="1" t="s">
        <v>3054</v>
      </c>
      <c r="L140" s="1" t="s">
        <v>3055</v>
      </c>
      <c r="M140" s="1" t="s">
        <v>213</v>
      </c>
      <c r="N140" s="1" t="s">
        <v>2334</v>
      </c>
      <c r="O140" s="54" t="s">
        <v>2335</v>
      </c>
      <c r="P140" s="1">
        <v>1</v>
      </c>
      <c r="Q140" s="1" t="s">
        <v>3056</v>
      </c>
      <c r="R140" s="1" t="s">
        <v>2309</v>
      </c>
      <c r="S140" s="1" t="s">
        <v>2672</v>
      </c>
      <c r="T140" s="1"/>
      <c r="U140" s="1"/>
      <c r="V140" s="1"/>
      <c r="W140" s="1"/>
      <c r="X140" s="1"/>
      <c r="Y140" s="1"/>
      <c r="Z140" s="1"/>
      <c r="AA140" s="1"/>
      <c r="AB140" s="1"/>
      <c r="AC140" s="56" t="s">
        <v>221</v>
      </c>
      <c r="AD140" s="56" t="s">
        <v>227</v>
      </c>
    </row>
    <row r="141" spans="1:30">
      <c r="A141" s="1">
        <v>2022</v>
      </c>
      <c r="B141" s="1">
        <v>202220</v>
      </c>
      <c r="C141" s="1">
        <v>202225036</v>
      </c>
      <c r="D141" s="1" t="s">
        <v>3057</v>
      </c>
      <c r="E141" s="1" t="s">
        <v>3058</v>
      </c>
      <c r="F141" s="1" t="s">
        <v>86</v>
      </c>
      <c r="G141" s="53" t="str">
        <f>_xlfn.XLOOKUP(Tabla2[[#This Row],[Universidad]],Conversiones!$B:$B,Conversiones!$C:$C)</f>
        <v>Politecnico di Milano</v>
      </c>
      <c r="H141" s="53" t="str">
        <f>_xlfn.XLOOKUP(Tabla2[[#This Row],[Universidad KPIs]],Conversiones!$C:$C,Conversiones!$E:$E)</f>
        <v>Específico</v>
      </c>
      <c r="I141" s="1" t="s">
        <v>87</v>
      </c>
      <c r="J141" s="1" t="s">
        <v>250</v>
      </c>
      <c r="K141" s="1" t="s">
        <v>3059</v>
      </c>
      <c r="L141" s="1" t="s">
        <v>3060</v>
      </c>
      <c r="M141" s="1" t="s">
        <v>213</v>
      </c>
      <c r="N141" s="1" t="s">
        <v>2298</v>
      </c>
      <c r="O141" s="54" t="s">
        <v>2299</v>
      </c>
      <c r="P141" s="1">
        <v>1</v>
      </c>
      <c r="Q141" s="1" t="s">
        <v>2321</v>
      </c>
      <c r="R141" s="1" t="s">
        <v>2647</v>
      </c>
      <c r="S141" s="1" t="s">
        <v>2322</v>
      </c>
      <c r="T141" s="1" t="s">
        <v>2307</v>
      </c>
      <c r="U141" s="1" t="s">
        <v>2370</v>
      </c>
      <c r="V141" s="1" t="s">
        <v>2302</v>
      </c>
      <c r="W141" s="1"/>
      <c r="X141" s="1"/>
      <c r="Y141" s="1"/>
      <c r="Z141" s="1"/>
      <c r="AA141" s="1"/>
      <c r="AB141" s="1"/>
      <c r="AC141" s="56" t="s">
        <v>216</v>
      </c>
      <c r="AD141" s="56" t="s">
        <v>234</v>
      </c>
    </row>
    <row r="142" spans="1:30">
      <c r="A142" s="1">
        <v>2022</v>
      </c>
      <c r="B142" s="1">
        <v>202220</v>
      </c>
      <c r="C142" s="1">
        <v>202225071</v>
      </c>
      <c r="D142" s="1" t="s">
        <v>3061</v>
      </c>
      <c r="E142" s="1" t="s">
        <v>3062</v>
      </c>
      <c r="F142" s="1" t="s">
        <v>133</v>
      </c>
      <c r="G142" s="53" t="str">
        <f>_xlfn.XLOOKUP(Tabla2[[#This Row],[Universidad]],Conversiones!$B:$B,Conversiones!$C:$C)</f>
        <v>Pontificia Universidad Católica de Chile</v>
      </c>
      <c r="H142" s="53" t="str">
        <f>_xlfn.XLOOKUP(Tabla2[[#This Row],[Universidad KPIs]],Conversiones!$C:$C,Conversiones!$E:$E)</f>
        <v>General</v>
      </c>
      <c r="I142" s="1" t="s">
        <v>93</v>
      </c>
      <c r="J142" s="1" t="s">
        <v>265</v>
      </c>
      <c r="K142" s="1" t="s">
        <v>3063</v>
      </c>
      <c r="L142" s="1" t="s">
        <v>3064</v>
      </c>
      <c r="M142" s="1" t="s">
        <v>213</v>
      </c>
      <c r="N142" s="1" t="s">
        <v>2298</v>
      </c>
      <c r="O142" s="54" t="s">
        <v>2299</v>
      </c>
      <c r="P142" s="1">
        <v>1</v>
      </c>
      <c r="Q142" s="1" t="s">
        <v>3065</v>
      </c>
      <c r="R142" s="1" t="s">
        <v>2321</v>
      </c>
      <c r="S142" s="1" t="s">
        <v>2369</v>
      </c>
      <c r="T142" s="1" t="s">
        <v>2740</v>
      </c>
      <c r="U142" s="1" t="s">
        <v>3066</v>
      </c>
      <c r="V142" s="1" t="s">
        <v>2464</v>
      </c>
      <c r="W142" s="1"/>
      <c r="X142" s="1"/>
      <c r="Y142" s="1"/>
      <c r="Z142" s="1"/>
      <c r="AA142" s="1"/>
      <c r="AB142" s="1"/>
      <c r="AC142" s="56" t="s">
        <v>216</v>
      </c>
      <c r="AD142" s="56" t="s">
        <v>234</v>
      </c>
    </row>
    <row r="143" spans="1:30">
      <c r="A143" s="1">
        <v>2022</v>
      </c>
      <c r="B143" s="1">
        <v>202220</v>
      </c>
      <c r="C143" s="1">
        <v>202225061</v>
      </c>
      <c r="D143" s="1" t="s">
        <v>3067</v>
      </c>
      <c r="E143" s="1" t="s">
        <v>3068</v>
      </c>
      <c r="F143" s="1" t="s">
        <v>397</v>
      </c>
      <c r="G143" s="53" t="str">
        <f>_xlfn.XLOOKUP(Tabla2[[#This Row],[Universidad]],Conversiones!$B:$B,Conversiones!$C:$C)</f>
        <v>Roskilde University</v>
      </c>
      <c r="H143" s="53" t="str">
        <f>_xlfn.XLOOKUP(Tabla2[[#This Row],[Universidad KPIs]],Conversiones!$C:$C,Conversiones!$E:$E)</f>
        <v>General</v>
      </c>
      <c r="I143" s="1" t="s">
        <v>47</v>
      </c>
      <c r="J143" s="1" t="s">
        <v>250</v>
      </c>
      <c r="K143" s="1" t="s">
        <v>3069</v>
      </c>
      <c r="L143" s="1" t="s">
        <v>3070</v>
      </c>
      <c r="M143" s="1" t="s">
        <v>213</v>
      </c>
      <c r="N143" s="1" t="s">
        <v>2298</v>
      </c>
      <c r="O143" s="54" t="s">
        <v>2299</v>
      </c>
      <c r="P143" s="1">
        <v>1</v>
      </c>
      <c r="Q143" s="1" t="s">
        <v>2328</v>
      </c>
      <c r="R143" s="1" t="s">
        <v>2300</v>
      </c>
      <c r="S143" s="1" t="s">
        <v>2480</v>
      </c>
      <c r="T143" s="1" t="s">
        <v>2302</v>
      </c>
      <c r="U143" s="1"/>
      <c r="V143" s="1"/>
      <c r="W143" s="1"/>
      <c r="X143" s="1"/>
      <c r="Y143" s="1"/>
      <c r="Z143" s="1"/>
      <c r="AA143" s="1"/>
      <c r="AB143" s="1"/>
      <c r="AC143" s="56" t="s">
        <v>216</v>
      </c>
      <c r="AD143" s="56" t="s">
        <v>234</v>
      </c>
    </row>
    <row r="144" spans="1:30">
      <c r="A144" s="1">
        <v>2022</v>
      </c>
      <c r="B144" s="1">
        <v>202220</v>
      </c>
      <c r="C144" s="1">
        <v>202225094</v>
      </c>
      <c r="D144" s="1" t="s">
        <v>3071</v>
      </c>
      <c r="E144" s="1" t="s">
        <v>3072</v>
      </c>
      <c r="F144" s="1" t="s">
        <v>139</v>
      </c>
      <c r="G144" s="53" t="str">
        <f>_xlfn.XLOOKUP(Tabla2[[#This Row],[Universidad]],Conversiones!$B:$B,Conversiones!$C:$C)</f>
        <v>Technische Universität München (TUM)</v>
      </c>
      <c r="H144" s="53" t="str">
        <f>_xlfn.XLOOKUP(Tabla2[[#This Row],[Universidad KPIs]],Conversiones!$C:$C,Conversiones!$E:$E)</f>
        <v>General</v>
      </c>
      <c r="I144" s="1" t="s">
        <v>60</v>
      </c>
      <c r="J144" s="1" t="s">
        <v>250</v>
      </c>
      <c r="K144" s="1" t="s">
        <v>3073</v>
      </c>
      <c r="L144" s="1" t="s">
        <v>3074</v>
      </c>
      <c r="M144" s="1" t="s">
        <v>213</v>
      </c>
      <c r="N144" s="1" t="s">
        <v>2298</v>
      </c>
      <c r="O144" s="54" t="s">
        <v>2299</v>
      </c>
      <c r="P144" s="1">
        <v>1</v>
      </c>
      <c r="Q144" s="1" t="s">
        <v>2321</v>
      </c>
      <c r="R144" s="1" t="s">
        <v>2441</v>
      </c>
      <c r="S144" s="1" t="s">
        <v>2363</v>
      </c>
      <c r="T144" s="1" t="s">
        <v>2407</v>
      </c>
      <c r="U144" s="1" t="s">
        <v>2463</v>
      </c>
      <c r="V144" s="1" t="s">
        <v>3075</v>
      </c>
      <c r="W144" s="1"/>
      <c r="X144" s="1"/>
      <c r="Y144" s="1"/>
      <c r="Z144" s="1"/>
      <c r="AA144" s="1"/>
      <c r="AB144" s="1"/>
      <c r="AC144" s="56" t="s">
        <v>216</v>
      </c>
      <c r="AD144" s="56" t="s">
        <v>234</v>
      </c>
    </row>
    <row r="145" spans="1:30">
      <c r="A145" s="1">
        <v>2022</v>
      </c>
      <c r="B145" s="1">
        <v>202220</v>
      </c>
      <c r="C145" s="1">
        <v>202225025</v>
      </c>
      <c r="D145" s="1" t="s">
        <v>509</v>
      </c>
      <c r="E145" s="1" t="s">
        <v>3076</v>
      </c>
      <c r="F145" s="1" t="s">
        <v>341</v>
      </c>
      <c r="G145" s="53" t="str">
        <f>_xlfn.XLOOKUP(Tabla2[[#This Row],[Universidad]],Conversiones!$B:$B,Conversiones!$C:$C)</f>
        <v>A.B. Freeman School of Business, Tulane University</v>
      </c>
      <c r="H145" s="53" t="str">
        <f>_xlfn.XLOOKUP(Tabla2[[#This Row],[Universidad KPIs]],Conversiones!$C:$C,Conversiones!$E:$E)</f>
        <v>Específico</v>
      </c>
      <c r="I145" s="1" t="s">
        <v>35</v>
      </c>
      <c r="J145" s="1" t="s">
        <v>260</v>
      </c>
      <c r="K145" s="1" t="s">
        <v>3077</v>
      </c>
      <c r="L145" s="1" t="s">
        <v>3078</v>
      </c>
      <c r="M145" s="1" t="s">
        <v>213</v>
      </c>
      <c r="N145" s="1" t="s">
        <v>2298</v>
      </c>
      <c r="O145" s="54" t="s">
        <v>2299</v>
      </c>
      <c r="P145" s="1">
        <v>1</v>
      </c>
      <c r="Q145" s="1" t="s">
        <v>2632</v>
      </c>
      <c r="R145" s="1" t="s">
        <v>2307</v>
      </c>
      <c r="S145" s="1" t="s">
        <v>2407</v>
      </c>
      <c r="T145" s="1" t="s">
        <v>2451</v>
      </c>
      <c r="U145" s="1"/>
      <c r="V145" s="1"/>
      <c r="W145" s="1"/>
      <c r="X145" s="1"/>
      <c r="Y145" s="1"/>
      <c r="Z145" s="1"/>
      <c r="AA145" s="1"/>
      <c r="AB145" s="1"/>
      <c r="AC145" s="56" t="s">
        <v>216</v>
      </c>
      <c r="AD145" s="56" t="s">
        <v>234</v>
      </c>
    </row>
    <row r="146" spans="1:30">
      <c r="A146" s="1">
        <v>2022</v>
      </c>
      <c r="B146" s="1">
        <v>202220</v>
      </c>
      <c r="C146" s="1">
        <v>202225055</v>
      </c>
      <c r="D146" s="1" t="s">
        <v>3079</v>
      </c>
      <c r="E146" s="1" t="s">
        <v>3080</v>
      </c>
      <c r="F146" s="1" t="s">
        <v>341</v>
      </c>
      <c r="G146" s="53" t="str">
        <f>_xlfn.XLOOKUP(Tabla2[[#This Row],[Universidad]],Conversiones!$B:$B,Conversiones!$C:$C)</f>
        <v>A.B. Freeman School of Business, Tulane University</v>
      </c>
      <c r="H146" s="53" t="str">
        <f>_xlfn.XLOOKUP(Tabla2[[#This Row],[Universidad KPIs]],Conversiones!$C:$C,Conversiones!$E:$E)</f>
        <v>Específico</v>
      </c>
      <c r="I146" s="1" t="s">
        <v>35</v>
      </c>
      <c r="J146" s="1" t="s">
        <v>260</v>
      </c>
      <c r="K146" s="1" t="s">
        <v>3081</v>
      </c>
      <c r="L146" s="1" t="s">
        <v>3082</v>
      </c>
      <c r="M146" s="1" t="s">
        <v>213</v>
      </c>
      <c r="N146" s="1" t="s">
        <v>2298</v>
      </c>
      <c r="O146" s="54" t="s">
        <v>2299</v>
      </c>
      <c r="P146" s="1">
        <v>1</v>
      </c>
      <c r="Q146" s="1" t="s">
        <v>3083</v>
      </c>
      <c r="R146" s="1" t="s">
        <v>3084</v>
      </c>
      <c r="S146" s="1" t="s">
        <v>2329</v>
      </c>
      <c r="T146" s="1" t="s">
        <v>2463</v>
      </c>
      <c r="U146" s="1" t="s">
        <v>2388</v>
      </c>
      <c r="V146" s="1"/>
      <c r="W146" s="1"/>
      <c r="X146" s="1"/>
      <c r="Y146" s="1"/>
      <c r="Z146" s="1"/>
      <c r="AA146" s="1"/>
      <c r="AB146" s="1"/>
      <c r="AC146" s="56" t="s">
        <v>216</v>
      </c>
      <c r="AD146" s="56" t="s">
        <v>234</v>
      </c>
    </row>
    <row r="147" spans="1:30">
      <c r="A147" s="1">
        <v>2022</v>
      </c>
      <c r="B147" s="1">
        <v>202220</v>
      </c>
      <c r="C147" s="1">
        <v>202216163</v>
      </c>
      <c r="D147" s="1" t="s">
        <v>2914</v>
      </c>
      <c r="E147" s="1" t="s">
        <v>2915</v>
      </c>
      <c r="F147" s="1" t="s">
        <v>2916</v>
      </c>
      <c r="G147" s="53" t="str">
        <f>_xlfn.XLOOKUP(Tabla2[[#This Row],[Universidad]],Conversiones!$B:$B,Conversiones!$C:$C)</f>
        <v>Universidad Católica Boliviana "San Pablo"</v>
      </c>
      <c r="H147" s="53" t="str">
        <f>_xlfn.XLOOKUP(Tabla2[[#This Row],[Universidad KPIs]],Conversiones!$C:$C,Conversiones!$E:$E)</f>
        <v>General</v>
      </c>
      <c r="I147" s="1" t="s">
        <v>142</v>
      </c>
      <c r="J147" s="1" t="s">
        <v>265</v>
      </c>
      <c r="K147" s="1" t="s">
        <v>2917</v>
      </c>
      <c r="L147" s="1" t="s">
        <v>2918</v>
      </c>
      <c r="M147" s="1" t="s">
        <v>213</v>
      </c>
      <c r="N147" s="1" t="s">
        <v>2298</v>
      </c>
      <c r="O147" s="54" t="s">
        <v>2299</v>
      </c>
      <c r="P147" s="1">
        <v>1</v>
      </c>
      <c r="Q147" s="1" t="s">
        <v>3085</v>
      </c>
      <c r="R147" s="1" t="s">
        <v>2470</v>
      </c>
      <c r="S147" s="1" t="s">
        <v>2370</v>
      </c>
      <c r="T147" s="1" t="s">
        <v>2435</v>
      </c>
      <c r="U147" s="1" t="s">
        <v>2463</v>
      </c>
      <c r="V147" s="1"/>
      <c r="W147" s="1"/>
      <c r="X147" s="1"/>
      <c r="Y147" s="1"/>
      <c r="Z147" s="1"/>
      <c r="AA147" s="1"/>
      <c r="AB147" s="1"/>
      <c r="AC147" s="56" t="s">
        <v>216</v>
      </c>
      <c r="AD147" s="56" t="s">
        <v>234</v>
      </c>
    </row>
    <row r="148" spans="1:30">
      <c r="A148" s="1">
        <v>2022</v>
      </c>
      <c r="B148" s="1">
        <v>202220</v>
      </c>
      <c r="C148" s="1">
        <v>202225069</v>
      </c>
      <c r="D148" s="1" t="s">
        <v>3086</v>
      </c>
      <c r="E148" s="1" t="s">
        <v>3087</v>
      </c>
      <c r="F148" s="1" t="s">
        <v>2916</v>
      </c>
      <c r="G148" s="53" t="str">
        <f>_xlfn.XLOOKUP(Tabla2[[#This Row],[Universidad]],Conversiones!$B:$B,Conversiones!$C:$C)</f>
        <v>Universidad Católica Boliviana "San Pablo"</v>
      </c>
      <c r="H148" s="53" t="str">
        <f>_xlfn.XLOOKUP(Tabla2[[#This Row],[Universidad KPIs]],Conversiones!$C:$C,Conversiones!$E:$E)</f>
        <v>General</v>
      </c>
      <c r="I148" s="1" t="s">
        <v>142</v>
      </c>
      <c r="J148" s="1" t="s">
        <v>265</v>
      </c>
      <c r="K148" s="1" t="s">
        <v>3088</v>
      </c>
      <c r="L148" s="1" t="s">
        <v>3089</v>
      </c>
      <c r="M148" s="1" t="s">
        <v>213</v>
      </c>
      <c r="N148" s="1" t="s">
        <v>2298</v>
      </c>
      <c r="O148" s="54" t="s">
        <v>2299</v>
      </c>
      <c r="P148" s="1">
        <v>1</v>
      </c>
      <c r="Q148" s="1" t="s">
        <v>2601</v>
      </c>
      <c r="R148" s="1" t="s">
        <v>2307</v>
      </c>
      <c r="S148" s="1" t="s">
        <v>2329</v>
      </c>
      <c r="T148" s="1" t="s">
        <v>2370</v>
      </c>
      <c r="U148" s="1" t="s">
        <v>2525</v>
      </c>
      <c r="V148" s="1" t="s">
        <v>2464</v>
      </c>
      <c r="W148" s="1"/>
      <c r="X148" s="1"/>
      <c r="Y148" s="1"/>
      <c r="Z148" s="1"/>
      <c r="AA148" s="1"/>
      <c r="AB148" s="1"/>
      <c r="AC148" s="56" t="s">
        <v>216</v>
      </c>
      <c r="AD148" s="56" t="s">
        <v>234</v>
      </c>
    </row>
    <row r="149" spans="1:30">
      <c r="A149" s="1">
        <v>2022</v>
      </c>
      <c r="B149" s="1">
        <v>202220</v>
      </c>
      <c r="C149" s="1">
        <v>202225013</v>
      </c>
      <c r="D149" s="1" t="s">
        <v>3090</v>
      </c>
      <c r="E149" s="1" t="s">
        <v>3091</v>
      </c>
      <c r="F149" s="1" t="s">
        <v>274</v>
      </c>
      <c r="G149" s="53" t="str">
        <f>_xlfn.XLOOKUP(Tabla2[[#This Row],[Universidad]],Conversiones!$B:$B,Conversiones!$C:$C)</f>
        <v>Catolica Lisbon Business &amp; Economics. Universidade Católica Portuguesa</v>
      </c>
      <c r="H149" s="53" t="str">
        <f>_xlfn.XLOOKUP(Tabla2[[#This Row],[Universidad KPIs]],Conversiones!$C:$C,Conversiones!$E:$E)</f>
        <v>Específico</v>
      </c>
      <c r="I149" s="1" t="s">
        <v>45</v>
      </c>
      <c r="J149" s="1" t="s">
        <v>250</v>
      </c>
      <c r="K149" s="1" t="s">
        <v>3092</v>
      </c>
      <c r="L149" s="1" t="s">
        <v>3093</v>
      </c>
      <c r="M149" s="1" t="s">
        <v>213</v>
      </c>
      <c r="N149" s="1" t="s">
        <v>2298</v>
      </c>
      <c r="O149" s="54" t="s">
        <v>2299</v>
      </c>
      <c r="P149" s="1">
        <v>1</v>
      </c>
      <c r="Q149" s="1" t="s">
        <v>2601</v>
      </c>
      <c r="R149" s="1" t="s">
        <v>2322</v>
      </c>
      <c r="S149" s="1" t="s">
        <v>3094</v>
      </c>
      <c r="T149" s="1" t="s">
        <v>2329</v>
      </c>
      <c r="U149" s="1"/>
      <c r="V149" s="1"/>
      <c r="W149" s="1"/>
      <c r="X149" s="1"/>
      <c r="Y149" s="1"/>
      <c r="Z149" s="1"/>
      <c r="AA149" s="1"/>
      <c r="AB149" s="1"/>
      <c r="AC149" s="56" t="s">
        <v>216</v>
      </c>
      <c r="AD149" s="56" t="s">
        <v>234</v>
      </c>
    </row>
    <row r="150" spans="1:30">
      <c r="A150" s="1">
        <v>2022</v>
      </c>
      <c r="B150" s="1">
        <v>202220</v>
      </c>
      <c r="C150" s="1">
        <v>202225067</v>
      </c>
      <c r="D150" s="1" t="s">
        <v>3095</v>
      </c>
      <c r="E150" s="1" t="s">
        <v>3096</v>
      </c>
      <c r="F150" s="1" t="s">
        <v>424</v>
      </c>
      <c r="G150" s="53" t="str">
        <f>_xlfn.XLOOKUP(Tabla2[[#This Row],[Universidad]],Conversiones!$B:$B,Conversiones!$C:$C)</f>
        <v>Nova School of Business and Economics</v>
      </c>
      <c r="H150" s="53" t="str">
        <f>_xlfn.XLOOKUP(Tabla2[[#This Row],[Universidad KPIs]],Conversiones!$C:$C,Conversiones!$E:$E)</f>
        <v>Específico</v>
      </c>
      <c r="I150" s="1" t="s">
        <v>45</v>
      </c>
      <c r="J150" s="1" t="s">
        <v>250</v>
      </c>
      <c r="K150" s="1" t="s">
        <v>3097</v>
      </c>
      <c r="L150" s="1" t="s">
        <v>3098</v>
      </c>
      <c r="M150" s="1" t="s">
        <v>213</v>
      </c>
      <c r="N150" s="1" t="s">
        <v>2298</v>
      </c>
      <c r="O150" s="54" t="s">
        <v>2299</v>
      </c>
      <c r="P150" s="1">
        <v>1</v>
      </c>
      <c r="Q150" s="1" t="s">
        <v>2601</v>
      </c>
      <c r="R150" s="1" t="s">
        <v>2308</v>
      </c>
      <c r="S150" s="1" t="s">
        <v>2407</v>
      </c>
      <c r="T150" s="1" t="s">
        <v>2480</v>
      </c>
      <c r="U150" s="1" t="s">
        <v>2370</v>
      </c>
      <c r="V150" s="1"/>
      <c r="W150" s="1"/>
      <c r="X150" s="1"/>
      <c r="Y150" s="1"/>
      <c r="Z150" s="1"/>
      <c r="AA150" s="1"/>
      <c r="AB150" s="1"/>
      <c r="AC150" s="56" t="s">
        <v>216</v>
      </c>
      <c r="AD150" s="56" t="s">
        <v>234</v>
      </c>
    </row>
    <row r="151" spans="1:30">
      <c r="A151" s="1">
        <v>2022</v>
      </c>
      <c r="B151" s="1">
        <v>202220</v>
      </c>
      <c r="C151" s="1">
        <v>202225103</v>
      </c>
      <c r="D151" s="1" t="s">
        <v>3099</v>
      </c>
      <c r="E151" s="1" t="s">
        <v>3100</v>
      </c>
      <c r="F151" s="1" t="s">
        <v>424</v>
      </c>
      <c r="G151" s="53" t="str">
        <f>_xlfn.XLOOKUP(Tabla2[[#This Row],[Universidad]],Conversiones!$B:$B,Conversiones!$C:$C)</f>
        <v>Nova School of Business and Economics</v>
      </c>
      <c r="H151" s="53" t="str">
        <f>_xlfn.XLOOKUP(Tabla2[[#This Row],[Universidad KPIs]],Conversiones!$C:$C,Conversiones!$E:$E)</f>
        <v>Específico</v>
      </c>
      <c r="I151" s="1" t="s">
        <v>45</v>
      </c>
      <c r="J151" s="1" t="s">
        <v>250</v>
      </c>
      <c r="K151" s="1" t="s">
        <v>3101</v>
      </c>
      <c r="L151" s="1" t="s">
        <v>3102</v>
      </c>
      <c r="M151" s="1" t="s">
        <v>213</v>
      </c>
      <c r="N151" s="1" t="s">
        <v>2298</v>
      </c>
      <c r="O151" s="54" t="s">
        <v>2299</v>
      </c>
      <c r="P151" s="1">
        <v>1</v>
      </c>
      <c r="Q151" s="1" t="s">
        <v>2601</v>
      </c>
      <c r="R151" s="1" t="s">
        <v>2322</v>
      </c>
      <c r="S151" s="1" t="s">
        <v>2369</v>
      </c>
      <c r="T151" s="1" t="s">
        <v>2308</v>
      </c>
      <c r="U151" s="1" t="s">
        <v>2370</v>
      </c>
      <c r="V151" s="1"/>
      <c r="W151" s="1"/>
      <c r="X151" s="1"/>
      <c r="Y151" s="1"/>
      <c r="Z151" s="1"/>
      <c r="AA151" s="1"/>
      <c r="AB151" s="1"/>
      <c r="AC151" s="56" t="s">
        <v>216</v>
      </c>
      <c r="AD151" s="56" t="s">
        <v>234</v>
      </c>
    </row>
    <row r="152" spans="1:30">
      <c r="A152" s="1">
        <v>2022</v>
      </c>
      <c r="B152" s="1">
        <v>202220</v>
      </c>
      <c r="C152" s="1">
        <v>202225091</v>
      </c>
      <c r="D152" s="1" t="s">
        <v>3103</v>
      </c>
      <c r="E152" s="1" t="s">
        <v>3104</v>
      </c>
      <c r="F152" s="1" t="s">
        <v>307</v>
      </c>
      <c r="G152" s="53" t="str">
        <f>_xlfn.XLOOKUP(Tabla2[[#This Row],[Universidad]],Conversiones!$B:$B,Conversiones!$C:$C)</f>
        <v>University of Mannheim Business School</v>
      </c>
      <c r="H152" s="53" t="str">
        <f>_xlfn.XLOOKUP(Tabla2[[#This Row],[Universidad KPIs]],Conversiones!$C:$C,Conversiones!$E:$E)</f>
        <v>Específico</v>
      </c>
      <c r="I152" s="1" t="s">
        <v>60</v>
      </c>
      <c r="J152" s="1" t="s">
        <v>250</v>
      </c>
      <c r="K152" s="1" t="s">
        <v>3105</v>
      </c>
      <c r="L152" s="1" t="s">
        <v>3106</v>
      </c>
      <c r="M152" s="1" t="s">
        <v>213</v>
      </c>
      <c r="N152" s="1" t="s">
        <v>2334</v>
      </c>
      <c r="O152" s="54" t="s">
        <v>2335</v>
      </c>
      <c r="P152" s="1">
        <v>1</v>
      </c>
      <c r="Q152" s="1" t="s">
        <v>3043</v>
      </c>
      <c r="R152" s="1" t="s">
        <v>3050</v>
      </c>
      <c r="S152" s="1" t="s">
        <v>3107</v>
      </c>
      <c r="T152" s="1" t="s">
        <v>3108</v>
      </c>
      <c r="U152" s="1"/>
      <c r="V152" s="1"/>
      <c r="W152" s="1"/>
      <c r="X152" s="1"/>
      <c r="Y152" s="1"/>
      <c r="Z152" s="1"/>
      <c r="AA152" s="1"/>
      <c r="AB152" s="1"/>
      <c r="AC152" s="56" t="s">
        <v>220</v>
      </c>
      <c r="AD152" s="56" t="s">
        <v>227</v>
      </c>
    </row>
    <row r="153" spans="1:30">
      <c r="A153" s="1">
        <v>2022</v>
      </c>
      <c r="B153" s="1">
        <v>202220</v>
      </c>
      <c r="C153" s="1">
        <v>202225090</v>
      </c>
      <c r="D153" s="1" t="s">
        <v>3109</v>
      </c>
      <c r="E153" s="1" t="s">
        <v>3110</v>
      </c>
      <c r="F153" s="1" t="s">
        <v>158</v>
      </c>
      <c r="G153" s="53" t="str">
        <f>_xlfn.XLOOKUP(Tabla2[[#This Row],[Universidad]],Conversiones!$B:$B,Conversiones!$C:$C)</f>
        <v>Universitat Politècnica de Catalunya</v>
      </c>
      <c r="H153" s="53" t="str">
        <f>_xlfn.XLOOKUP(Tabla2[[#This Row],[Universidad KPIs]],Conversiones!$C:$C,Conversiones!$E:$E)</f>
        <v>General</v>
      </c>
      <c r="I153" s="1" t="s">
        <v>53</v>
      </c>
      <c r="J153" s="1" t="s">
        <v>250</v>
      </c>
      <c r="K153" s="1" t="s">
        <v>3111</v>
      </c>
      <c r="L153" s="1" t="s">
        <v>3112</v>
      </c>
      <c r="M153" s="1" t="s">
        <v>213</v>
      </c>
      <c r="N153" s="1" t="s">
        <v>2298</v>
      </c>
      <c r="O153" s="54" t="s">
        <v>2299</v>
      </c>
      <c r="P153" s="1">
        <v>1</v>
      </c>
      <c r="Q153" s="1" t="s">
        <v>2480</v>
      </c>
      <c r="R153" s="1" t="s">
        <v>3113</v>
      </c>
      <c r="S153" s="1" t="s">
        <v>2451</v>
      </c>
      <c r="T153" s="1" t="s">
        <v>2370</v>
      </c>
      <c r="U153" s="1"/>
      <c r="V153" s="1"/>
      <c r="W153" s="1"/>
      <c r="X153" s="1"/>
      <c r="Y153" s="1"/>
      <c r="Z153" s="1"/>
      <c r="AA153" s="1"/>
      <c r="AB153" s="1"/>
      <c r="AC153" s="56" t="s">
        <v>216</v>
      </c>
      <c r="AD153" s="56" t="s">
        <v>234</v>
      </c>
    </row>
    <row r="154" spans="1:30">
      <c r="A154" s="1">
        <v>2022</v>
      </c>
      <c r="B154" s="1">
        <v>202220</v>
      </c>
      <c r="C154" s="1">
        <v>202225087</v>
      </c>
      <c r="D154" s="1" t="s">
        <v>3114</v>
      </c>
      <c r="E154" s="1" t="s">
        <v>2946</v>
      </c>
      <c r="F154" s="1" t="s">
        <v>289</v>
      </c>
      <c r="G154" s="53" t="str">
        <f>_xlfn.XLOOKUP(Tabla2[[#This Row],[Universidad]],Conversiones!$B:$B,Conversiones!$C:$C)</f>
        <v>ESADE</v>
      </c>
      <c r="H154" s="53" t="str">
        <f>_xlfn.XLOOKUP(Tabla2[[#This Row],[Universidad KPIs]],Conversiones!$C:$C,Conversiones!$E:$E)</f>
        <v>Específico</v>
      </c>
      <c r="I154" s="1" t="s">
        <v>53</v>
      </c>
      <c r="J154" s="1" t="s">
        <v>250</v>
      </c>
      <c r="K154" s="1" t="s">
        <v>3115</v>
      </c>
      <c r="L154" s="1" t="s">
        <v>3116</v>
      </c>
      <c r="M154" s="1" t="s">
        <v>213</v>
      </c>
      <c r="N154" s="1" t="s">
        <v>2298</v>
      </c>
      <c r="O154" s="54" t="s">
        <v>2299</v>
      </c>
      <c r="P154" s="1">
        <v>1</v>
      </c>
      <c r="Q154" s="1" t="s">
        <v>2322</v>
      </c>
      <c r="R154" s="1" t="s">
        <v>2300</v>
      </c>
      <c r="S154" s="1" t="s">
        <v>2407</v>
      </c>
      <c r="T154" s="1" t="s">
        <v>2301</v>
      </c>
      <c r="U154" s="1" t="s">
        <v>2370</v>
      </c>
      <c r="V154" s="1" t="s">
        <v>2463</v>
      </c>
      <c r="W154" s="1" t="s">
        <v>2357</v>
      </c>
      <c r="X154" s="1"/>
      <c r="Y154" s="1"/>
      <c r="Z154" s="1"/>
      <c r="AA154" s="1"/>
      <c r="AB154" s="1"/>
      <c r="AC154" s="56" t="s">
        <v>216</v>
      </c>
      <c r="AD154" s="56" t="s">
        <v>234</v>
      </c>
    </row>
    <row r="155" spans="1:30">
      <c r="A155" s="1">
        <v>2022</v>
      </c>
      <c r="B155" s="1">
        <v>202220</v>
      </c>
      <c r="C155" s="1">
        <v>202225097</v>
      </c>
      <c r="D155" s="1" t="s">
        <v>3117</v>
      </c>
      <c r="E155" s="1" t="s">
        <v>3118</v>
      </c>
      <c r="F155" s="1" t="s">
        <v>161</v>
      </c>
      <c r="G155" s="53" t="str">
        <f>_xlfn.XLOOKUP(Tabla2[[#This Row],[Universidad]],Conversiones!$B:$B,Conversiones!$C:$C)</f>
        <v>Université de Genève</v>
      </c>
      <c r="H155" s="53" t="str">
        <f>_xlfn.XLOOKUP(Tabla2[[#This Row],[Universidad KPIs]],Conversiones!$C:$C,Conversiones!$E:$E)</f>
        <v>General</v>
      </c>
      <c r="I155" s="1" t="s">
        <v>65</v>
      </c>
      <c r="J155" s="1" t="s">
        <v>250</v>
      </c>
      <c r="K155" s="1" t="s">
        <v>3119</v>
      </c>
      <c r="L155" s="1" t="s">
        <v>3120</v>
      </c>
      <c r="M155" s="1" t="s">
        <v>213</v>
      </c>
      <c r="N155" s="1" t="s">
        <v>2298</v>
      </c>
      <c r="O155" s="54" t="s">
        <v>2299</v>
      </c>
      <c r="P155" s="1">
        <v>1</v>
      </c>
      <c r="Q155" s="1" t="s">
        <v>2652</v>
      </c>
      <c r="R155" s="1" t="s">
        <v>2654</v>
      </c>
      <c r="S155" s="1" t="s">
        <v>2321</v>
      </c>
      <c r="T155" s="1" t="s">
        <v>2943</v>
      </c>
      <c r="U155" s="1"/>
      <c r="V155" s="1"/>
      <c r="W155" s="1"/>
      <c r="X155" s="1"/>
      <c r="Y155" s="1"/>
      <c r="Z155" s="1"/>
      <c r="AA155" s="1"/>
      <c r="AB155" s="1"/>
      <c r="AC155" s="56" t="s">
        <v>220</v>
      </c>
      <c r="AD155" s="56" t="s">
        <v>227</v>
      </c>
    </row>
    <row r="156" spans="1:30">
      <c r="A156" s="1">
        <v>2022</v>
      </c>
      <c r="B156" s="1">
        <v>202220</v>
      </c>
      <c r="C156" s="1">
        <v>202225686</v>
      </c>
      <c r="D156" s="1" t="s">
        <v>3121</v>
      </c>
      <c r="E156" s="1" t="s">
        <v>3122</v>
      </c>
      <c r="F156" s="1" t="s">
        <v>1369</v>
      </c>
      <c r="G156" s="53" t="str">
        <f>_xlfn.XLOOKUP(Tabla2[[#This Row],[Universidad]],Conversiones!$B:$B,Conversiones!$C:$C)</f>
        <v>EM Strasbourg</v>
      </c>
      <c r="H156" s="53" t="str">
        <f>_xlfn.XLOOKUP(Tabla2[[#This Row],[Universidad KPIs]],Conversiones!$C:$C,Conversiones!$E:$E)</f>
        <v>Específico</v>
      </c>
      <c r="I156" s="1" t="s">
        <v>41</v>
      </c>
      <c r="J156" s="1" t="s">
        <v>250</v>
      </c>
      <c r="K156" s="1" t="s">
        <v>3123</v>
      </c>
      <c r="L156" s="1" t="s">
        <v>3124</v>
      </c>
      <c r="M156" s="1" t="s">
        <v>213</v>
      </c>
      <c r="N156" s="1" t="s">
        <v>2298</v>
      </c>
      <c r="O156" s="54" t="s">
        <v>2299</v>
      </c>
      <c r="P156" s="1">
        <v>1</v>
      </c>
      <c r="Q156" s="1" t="s">
        <v>3125</v>
      </c>
      <c r="R156" s="1" t="s">
        <v>3126</v>
      </c>
      <c r="S156" s="1" t="s">
        <v>3043</v>
      </c>
      <c r="T156" s="1" t="s">
        <v>2632</v>
      </c>
      <c r="U156" s="1" t="s">
        <v>3045</v>
      </c>
      <c r="V156" s="1" t="s">
        <v>3127</v>
      </c>
      <c r="W156" s="1"/>
      <c r="X156" s="1"/>
      <c r="Y156" s="1"/>
      <c r="Z156" s="1"/>
      <c r="AA156" s="1"/>
      <c r="AB156" s="1"/>
      <c r="AC156" s="56" t="s">
        <v>230</v>
      </c>
      <c r="AD156" s="56" t="s">
        <v>227</v>
      </c>
    </row>
    <row r="157" spans="1:30">
      <c r="A157" s="1">
        <v>2022</v>
      </c>
      <c r="B157" s="1">
        <v>202220</v>
      </c>
      <c r="C157" s="1">
        <v>202225023</v>
      </c>
      <c r="D157" s="1" t="s">
        <v>3128</v>
      </c>
      <c r="E157" s="1" t="s">
        <v>3129</v>
      </c>
      <c r="F157" s="1" t="s">
        <v>914</v>
      </c>
      <c r="G157" s="53" t="str">
        <f>_xlfn.XLOOKUP(Tabla2[[#This Row],[Universidad]],Conversiones!$B:$B,Conversiones!$C:$C)</f>
        <v>Universidad Jean Moulin Lyon 3</v>
      </c>
      <c r="H157" s="53" t="str">
        <f>_xlfn.XLOOKUP(Tabla2[[#This Row],[Universidad KPIs]],Conversiones!$C:$C,Conversiones!$E:$E)</f>
        <v>General</v>
      </c>
      <c r="I157" s="1" t="s">
        <v>41</v>
      </c>
      <c r="J157" s="1" t="s">
        <v>250</v>
      </c>
      <c r="K157" s="1" t="s">
        <v>3130</v>
      </c>
      <c r="L157" s="1" t="s">
        <v>3131</v>
      </c>
      <c r="M157" s="1" t="s">
        <v>213</v>
      </c>
      <c r="N157" s="1" t="s">
        <v>2298</v>
      </c>
      <c r="O157" s="54" t="s">
        <v>2299</v>
      </c>
      <c r="P157" s="1">
        <v>1</v>
      </c>
      <c r="Q157" s="1" t="s">
        <v>2601</v>
      </c>
      <c r="R157" s="1" t="s">
        <v>2322</v>
      </c>
      <c r="S157" s="1" t="s">
        <v>2759</v>
      </c>
      <c r="T157" s="1" t="s">
        <v>2329</v>
      </c>
      <c r="U157" s="1" t="s">
        <v>2370</v>
      </c>
      <c r="V157" s="1" t="s">
        <v>2302</v>
      </c>
      <c r="W157" s="1"/>
      <c r="X157" s="1"/>
      <c r="Y157" s="1"/>
      <c r="Z157" s="1"/>
      <c r="AA157" s="1"/>
      <c r="AB157" s="1"/>
      <c r="AC157" s="56" t="s">
        <v>216</v>
      </c>
      <c r="AD157" s="56" t="s">
        <v>234</v>
      </c>
    </row>
    <row r="158" spans="1:30">
      <c r="A158" s="1">
        <v>2022</v>
      </c>
      <c r="B158" s="1">
        <v>202220</v>
      </c>
      <c r="C158" s="1">
        <v>202225058</v>
      </c>
      <c r="D158" s="1" t="s">
        <v>3132</v>
      </c>
      <c r="E158" s="1" t="s">
        <v>3133</v>
      </c>
      <c r="F158" s="1" t="s">
        <v>2264</v>
      </c>
      <c r="G158" s="53" t="str">
        <f>_xlfn.XLOOKUP(Tabla2[[#This Row],[Universidad]],Conversiones!$B:$B,Conversiones!$C:$C)</f>
        <v>Université Paris-Dauphine</v>
      </c>
      <c r="H158" s="53" t="str">
        <f>_xlfn.XLOOKUP(Tabla2[[#This Row],[Universidad KPIs]],Conversiones!$C:$C,Conversiones!$E:$E)</f>
        <v>General</v>
      </c>
      <c r="I158" s="1" t="s">
        <v>41</v>
      </c>
      <c r="J158" s="1" t="s">
        <v>250</v>
      </c>
      <c r="K158" s="1" t="s">
        <v>3134</v>
      </c>
      <c r="L158" s="1" t="s">
        <v>3135</v>
      </c>
      <c r="M158" s="1" t="s">
        <v>213</v>
      </c>
      <c r="N158" s="1" t="s">
        <v>2298</v>
      </c>
      <c r="O158" s="54" t="s">
        <v>2299</v>
      </c>
      <c r="P158" s="1">
        <v>1</v>
      </c>
      <c r="Q158" s="1" t="s">
        <v>2328</v>
      </c>
      <c r="R158" s="1" t="s">
        <v>2307</v>
      </c>
      <c r="S158" s="1" t="s">
        <v>2300</v>
      </c>
      <c r="T158" s="1" t="s">
        <v>2463</v>
      </c>
      <c r="U158" s="1" t="s">
        <v>2388</v>
      </c>
      <c r="V158" s="1" t="s">
        <v>3136</v>
      </c>
      <c r="W158" s="1"/>
      <c r="X158" s="1"/>
      <c r="Y158" s="1"/>
      <c r="Z158" s="1"/>
      <c r="AA158" s="1"/>
      <c r="AB158" s="1"/>
      <c r="AC158" s="56" t="s">
        <v>216</v>
      </c>
      <c r="AD158" s="56" t="s">
        <v>234</v>
      </c>
    </row>
    <row r="159" spans="1:30">
      <c r="A159" s="1">
        <v>2022</v>
      </c>
      <c r="B159" s="1">
        <v>202220</v>
      </c>
      <c r="C159" s="1">
        <v>202225004</v>
      </c>
      <c r="D159" s="1" t="s">
        <v>3137</v>
      </c>
      <c r="E159" s="1" t="s">
        <v>3138</v>
      </c>
      <c r="F159" s="1" t="s">
        <v>98</v>
      </c>
      <c r="G159" s="53" t="str">
        <f>_xlfn.XLOOKUP(Tabla2[[#This Row],[Universidad]],Conversiones!$B:$B,Conversiones!$C:$C)</f>
        <v>Universiteit Utrecht</v>
      </c>
      <c r="H159" s="53" t="str">
        <f>_xlfn.XLOOKUP(Tabla2[[#This Row],[Universidad KPIs]],Conversiones!$C:$C,Conversiones!$E:$E)</f>
        <v>Específico</v>
      </c>
      <c r="I159" s="1" t="s">
        <v>79</v>
      </c>
      <c r="J159" s="1" t="s">
        <v>250</v>
      </c>
      <c r="K159" s="1" t="s">
        <v>3139</v>
      </c>
      <c r="L159" s="1" t="s">
        <v>3140</v>
      </c>
      <c r="M159" s="1" t="s">
        <v>213</v>
      </c>
      <c r="N159" s="1" t="s">
        <v>2334</v>
      </c>
      <c r="O159" s="54" t="s">
        <v>2335</v>
      </c>
      <c r="P159" s="1">
        <v>1</v>
      </c>
      <c r="Q159" s="1" t="s">
        <v>2669</v>
      </c>
      <c r="R159" s="1" t="s">
        <v>2997</v>
      </c>
      <c r="S159" s="1" t="s">
        <v>2716</v>
      </c>
      <c r="T159" s="1" t="s">
        <v>2370</v>
      </c>
      <c r="U159" s="1"/>
      <c r="V159" s="1"/>
      <c r="W159" s="1"/>
      <c r="X159" s="1"/>
      <c r="Y159" s="1"/>
      <c r="Z159" s="1"/>
      <c r="AA159" s="1"/>
      <c r="AB159" s="1"/>
      <c r="AC159" s="56" t="s">
        <v>216</v>
      </c>
      <c r="AD159" s="56" t="s">
        <v>234</v>
      </c>
    </row>
    <row r="160" spans="1:30">
      <c r="A160" s="1">
        <v>2022</v>
      </c>
      <c r="B160" s="1">
        <v>202220</v>
      </c>
      <c r="C160" s="1">
        <v>202224941</v>
      </c>
      <c r="D160" s="1" t="s">
        <v>3141</v>
      </c>
      <c r="E160" s="1" t="s">
        <v>3142</v>
      </c>
      <c r="F160" s="1" t="s">
        <v>98</v>
      </c>
      <c r="G160" s="53" t="str">
        <f>_xlfn.XLOOKUP(Tabla2[[#This Row],[Universidad]],Conversiones!$B:$B,Conversiones!$C:$C)</f>
        <v>Universiteit Utrecht</v>
      </c>
      <c r="H160" s="53" t="str">
        <f>_xlfn.XLOOKUP(Tabla2[[#This Row],[Universidad KPIs]],Conversiones!$C:$C,Conversiones!$E:$E)</f>
        <v>Específico</v>
      </c>
      <c r="I160" s="1" t="s">
        <v>79</v>
      </c>
      <c r="J160" s="1" t="s">
        <v>250</v>
      </c>
      <c r="K160" s="1" t="s">
        <v>3143</v>
      </c>
      <c r="L160" s="1" t="s">
        <v>3144</v>
      </c>
      <c r="M160" s="1" t="s">
        <v>213</v>
      </c>
      <c r="N160" s="1" t="s">
        <v>2334</v>
      </c>
      <c r="O160" s="54" t="s">
        <v>2335</v>
      </c>
      <c r="P160" s="1">
        <v>1</v>
      </c>
      <c r="Q160" s="1" t="s">
        <v>2708</v>
      </c>
      <c r="R160" s="1" t="s">
        <v>2733</v>
      </c>
      <c r="S160" s="1" t="s">
        <v>3145</v>
      </c>
      <c r="T160" s="1"/>
      <c r="U160" s="1"/>
      <c r="V160" s="1"/>
      <c r="W160" s="1"/>
      <c r="X160" s="1"/>
      <c r="Y160" s="1"/>
      <c r="Z160" s="1"/>
      <c r="AA160" s="1"/>
      <c r="AB160" s="1"/>
      <c r="AC160" s="56" t="s">
        <v>222</v>
      </c>
      <c r="AD160" s="56" t="s">
        <v>227</v>
      </c>
    </row>
    <row r="161" spans="1:30">
      <c r="A161" s="1">
        <v>2022</v>
      </c>
      <c r="B161" s="1">
        <v>202220</v>
      </c>
      <c r="C161" s="1">
        <v>202226517</v>
      </c>
      <c r="D161" s="1" t="s">
        <v>3146</v>
      </c>
      <c r="E161" s="1" t="s">
        <v>3147</v>
      </c>
      <c r="F161" s="1" t="s">
        <v>100</v>
      </c>
      <c r="G161" s="53" t="str">
        <f>_xlfn.XLOOKUP(Tabla2[[#This Row],[Universidad]],Conversiones!$B:$B,Conversiones!$C:$C)</f>
        <v>University of Glasgow</v>
      </c>
      <c r="H161" s="53" t="str">
        <f>_xlfn.XLOOKUP(Tabla2[[#This Row],[Universidad KPIs]],Conversiones!$C:$C,Conversiones!$E:$E)</f>
        <v>General</v>
      </c>
      <c r="I161" s="1" t="s">
        <v>39</v>
      </c>
      <c r="J161" s="1" t="s">
        <v>250</v>
      </c>
      <c r="K161" s="1" t="s">
        <v>3148</v>
      </c>
      <c r="L161" s="1" t="s">
        <v>3149</v>
      </c>
      <c r="M161" s="1" t="s">
        <v>213</v>
      </c>
      <c r="N161" s="1" t="s">
        <v>2334</v>
      </c>
      <c r="O161" s="54" t="s">
        <v>2335</v>
      </c>
      <c r="P161" s="1">
        <v>1</v>
      </c>
      <c r="Q161" s="1" t="s">
        <v>2708</v>
      </c>
      <c r="R161" s="1" t="s">
        <v>2768</v>
      </c>
      <c r="S161" s="1" t="s">
        <v>2769</v>
      </c>
      <c r="T161" s="1" t="s">
        <v>3150</v>
      </c>
      <c r="U161" s="1"/>
      <c r="V161" s="1"/>
      <c r="W161" s="1"/>
      <c r="X161" s="1"/>
      <c r="Y161" s="1"/>
      <c r="Z161" s="1"/>
      <c r="AA161" s="1"/>
      <c r="AB161" s="1"/>
      <c r="AC161" s="56" t="s">
        <v>220</v>
      </c>
      <c r="AD161" s="56" t="s">
        <v>227</v>
      </c>
    </row>
    <row r="162" spans="1:30">
      <c r="A162" s="1">
        <v>2022</v>
      </c>
      <c r="B162" s="1">
        <v>202220</v>
      </c>
      <c r="C162" s="1">
        <v>202226514</v>
      </c>
      <c r="D162" s="1" t="s">
        <v>3151</v>
      </c>
      <c r="E162" s="1" t="s">
        <v>3152</v>
      </c>
      <c r="F162" s="1" t="s">
        <v>100</v>
      </c>
      <c r="G162" s="53" t="str">
        <f>_xlfn.XLOOKUP(Tabla2[[#This Row],[Universidad]],Conversiones!$B:$B,Conversiones!$C:$C)</f>
        <v>University of Glasgow</v>
      </c>
      <c r="H162" s="53" t="str">
        <f>_xlfn.XLOOKUP(Tabla2[[#This Row],[Universidad KPIs]],Conversiones!$C:$C,Conversiones!$E:$E)</f>
        <v>General</v>
      </c>
      <c r="I162" s="1" t="s">
        <v>39</v>
      </c>
      <c r="J162" s="1" t="s">
        <v>250</v>
      </c>
      <c r="K162" s="1" t="s">
        <v>3153</v>
      </c>
      <c r="L162" s="1" t="s">
        <v>3154</v>
      </c>
      <c r="M162" s="1" t="s">
        <v>213</v>
      </c>
      <c r="N162" s="1" t="s">
        <v>2334</v>
      </c>
      <c r="O162" s="54" t="s">
        <v>2335</v>
      </c>
      <c r="P162" s="1">
        <v>1</v>
      </c>
      <c r="Q162" s="1" t="s">
        <v>2708</v>
      </c>
      <c r="R162" s="1" t="s">
        <v>2768</v>
      </c>
      <c r="S162" s="1" t="s">
        <v>2769</v>
      </c>
      <c r="T162" s="1" t="s">
        <v>3150</v>
      </c>
      <c r="U162" s="1"/>
      <c r="V162" s="1"/>
      <c r="W162" s="1"/>
      <c r="X162" s="1"/>
      <c r="Y162" s="1"/>
      <c r="Z162" s="1"/>
      <c r="AA162" s="1"/>
      <c r="AB162" s="1"/>
      <c r="AC162" s="56" t="s">
        <v>220</v>
      </c>
      <c r="AD162" s="56" t="s">
        <v>227</v>
      </c>
    </row>
    <row r="163" spans="1:30">
      <c r="A163" s="1">
        <v>2022</v>
      </c>
      <c r="B163" s="1">
        <v>202220</v>
      </c>
      <c r="C163" s="1">
        <v>202226520</v>
      </c>
      <c r="D163" s="1" t="s">
        <v>3155</v>
      </c>
      <c r="E163" s="1" t="s">
        <v>3156</v>
      </c>
      <c r="F163" s="1" t="s">
        <v>100</v>
      </c>
      <c r="G163" s="53" t="str">
        <f>_xlfn.XLOOKUP(Tabla2[[#This Row],[Universidad]],Conversiones!$B:$B,Conversiones!$C:$C)</f>
        <v>University of Glasgow</v>
      </c>
      <c r="H163" s="53" t="str">
        <f>_xlfn.XLOOKUP(Tabla2[[#This Row],[Universidad KPIs]],Conversiones!$C:$C,Conversiones!$E:$E)</f>
        <v>General</v>
      </c>
      <c r="I163" s="1" t="s">
        <v>39</v>
      </c>
      <c r="J163" s="1" t="s">
        <v>250</v>
      </c>
      <c r="K163" s="1" t="s">
        <v>3157</v>
      </c>
      <c r="L163" s="1" t="s">
        <v>3158</v>
      </c>
      <c r="M163" s="1" t="s">
        <v>213</v>
      </c>
      <c r="N163" s="1" t="s">
        <v>2334</v>
      </c>
      <c r="O163" s="54" t="s">
        <v>2335</v>
      </c>
      <c r="P163" s="1">
        <v>1</v>
      </c>
      <c r="Q163" s="1" t="s">
        <v>2708</v>
      </c>
      <c r="R163" s="1" t="s">
        <v>2768</v>
      </c>
      <c r="S163" s="1" t="s">
        <v>2733</v>
      </c>
      <c r="T163" s="1" t="s">
        <v>2769</v>
      </c>
      <c r="U163" s="1"/>
      <c r="V163" s="1"/>
      <c r="W163" s="1"/>
      <c r="X163" s="1"/>
      <c r="Y163" s="1"/>
      <c r="Z163" s="1"/>
      <c r="AA163" s="1"/>
      <c r="AB163" s="1"/>
      <c r="AC163" s="56" t="s">
        <v>220</v>
      </c>
      <c r="AD163" s="56" t="s">
        <v>227</v>
      </c>
    </row>
    <row r="164" spans="1:30">
      <c r="A164" s="1">
        <v>2022</v>
      </c>
      <c r="B164" s="1">
        <v>202220</v>
      </c>
      <c r="C164" s="1">
        <v>202226513</v>
      </c>
      <c r="D164" s="1" t="s">
        <v>3159</v>
      </c>
      <c r="E164" s="1" t="s">
        <v>3160</v>
      </c>
      <c r="F164" s="1" t="s">
        <v>100</v>
      </c>
      <c r="G164" s="53" t="str">
        <f>_xlfn.XLOOKUP(Tabla2[[#This Row],[Universidad]],Conversiones!$B:$B,Conversiones!$C:$C)</f>
        <v>University of Glasgow</v>
      </c>
      <c r="H164" s="53" t="str">
        <f>_xlfn.XLOOKUP(Tabla2[[#This Row],[Universidad KPIs]],Conversiones!$C:$C,Conversiones!$E:$E)</f>
        <v>General</v>
      </c>
      <c r="I164" s="1" t="s">
        <v>39</v>
      </c>
      <c r="J164" s="1" t="s">
        <v>250</v>
      </c>
      <c r="K164" s="1" t="s">
        <v>3161</v>
      </c>
      <c r="L164" s="1" t="s">
        <v>3162</v>
      </c>
      <c r="M164" s="1" t="s">
        <v>213</v>
      </c>
      <c r="N164" s="1" t="s">
        <v>2334</v>
      </c>
      <c r="O164" s="54" t="s">
        <v>2335</v>
      </c>
      <c r="P164" s="1">
        <v>1</v>
      </c>
      <c r="Q164" s="1" t="s">
        <v>2708</v>
      </c>
      <c r="R164" s="1" t="s">
        <v>2768</v>
      </c>
      <c r="S164" s="1" t="s">
        <v>2733</v>
      </c>
      <c r="T164" s="1" t="s">
        <v>2769</v>
      </c>
      <c r="U164" s="1"/>
      <c r="V164" s="1"/>
      <c r="W164" s="1"/>
      <c r="X164" s="1"/>
      <c r="Y164" s="1"/>
      <c r="Z164" s="1"/>
      <c r="AA164" s="1"/>
      <c r="AB164" s="1"/>
      <c r="AC164" s="56" t="s">
        <v>220</v>
      </c>
      <c r="AD164" s="56" t="s">
        <v>227</v>
      </c>
    </row>
    <row r="165" spans="1:30">
      <c r="A165" s="1">
        <v>2022</v>
      </c>
      <c r="B165" s="1">
        <v>202220</v>
      </c>
      <c r="C165" s="1">
        <v>202226522</v>
      </c>
      <c r="D165" s="1" t="s">
        <v>3163</v>
      </c>
      <c r="E165" s="1" t="s">
        <v>3164</v>
      </c>
      <c r="F165" s="1" t="s">
        <v>100</v>
      </c>
      <c r="G165" s="53" t="str">
        <f>_xlfn.XLOOKUP(Tabla2[[#This Row],[Universidad]],Conversiones!$B:$B,Conversiones!$C:$C)</f>
        <v>University of Glasgow</v>
      </c>
      <c r="H165" s="53" t="str">
        <f>_xlfn.XLOOKUP(Tabla2[[#This Row],[Universidad KPIs]],Conversiones!$C:$C,Conversiones!$E:$E)</f>
        <v>General</v>
      </c>
      <c r="I165" s="1" t="s">
        <v>39</v>
      </c>
      <c r="J165" s="1" t="s">
        <v>250</v>
      </c>
      <c r="K165" s="1" t="s">
        <v>3165</v>
      </c>
      <c r="L165" s="1" t="s">
        <v>3166</v>
      </c>
      <c r="M165" s="1" t="s">
        <v>213</v>
      </c>
      <c r="N165" s="1" t="s">
        <v>2334</v>
      </c>
      <c r="O165" s="54" t="s">
        <v>2335</v>
      </c>
      <c r="P165" s="1">
        <v>1</v>
      </c>
      <c r="Q165" s="1" t="s">
        <v>2708</v>
      </c>
      <c r="R165" s="1" t="s">
        <v>2768</v>
      </c>
      <c r="S165" s="1" t="s">
        <v>2733</v>
      </c>
      <c r="T165" s="1" t="s">
        <v>2769</v>
      </c>
      <c r="U165" s="1"/>
      <c r="V165" s="1"/>
      <c r="W165" s="1"/>
      <c r="X165" s="1"/>
      <c r="Y165" s="1"/>
      <c r="Z165" s="1"/>
      <c r="AA165" s="1"/>
      <c r="AB165" s="1"/>
      <c r="AC165" s="56" t="s">
        <v>220</v>
      </c>
      <c r="AD165" s="56" t="s">
        <v>227</v>
      </c>
    </row>
    <row r="166" spans="1:30">
      <c r="A166" s="1">
        <v>2022</v>
      </c>
      <c r="B166" s="1">
        <v>202220</v>
      </c>
      <c r="C166" s="1">
        <v>202226512</v>
      </c>
      <c r="D166" s="1" t="s">
        <v>3167</v>
      </c>
      <c r="E166" s="1" t="s">
        <v>3168</v>
      </c>
      <c r="F166" s="1" t="s">
        <v>100</v>
      </c>
      <c r="G166" s="53" t="str">
        <f>_xlfn.XLOOKUP(Tabla2[[#This Row],[Universidad]],Conversiones!$B:$B,Conversiones!$C:$C)</f>
        <v>University of Glasgow</v>
      </c>
      <c r="H166" s="53" t="str">
        <f>_xlfn.XLOOKUP(Tabla2[[#This Row],[Universidad KPIs]],Conversiones!$C:$C,Conversiones!$E:$E)</f>
        <v>General</v>
      </c>
      <c r="I166" s="1" t="s">
        <v>39</v>
      </c>
      <c r="J166" s="1" t="s">
        <v>250</v>
      </c>
      <c r="K166" s="1" t="s">
        <v>3169</v>
      </c>
      <c r="L166" s="1" t="s">
        <v>3170</v>
      </c>
      <c r="M166" s="1" t="s">
        <v>213</v>
      </c>
      <c r="N166" s="1" t="s">
        <v>2334</v>
      </c>
      <c r="O166" s="54" t="s">
        <v>2335</v>
      </c>
      <c r="P166" s="1">
        <v>1</v>
      </c>
      <c r="Q166" s="1" t="s">
        <v>2708</v>
      </c>
      <c r="R166" s="1" t="s">
        <v>2768</v>
      </c>
      <c r="S166" s="1" t="s">
        <v>2733</v>
      </c>
      <c r="T166" s="1" t="s">
        <v>2769</v>
      </c>
      <c r="U166" s="1"/>
      <c r="V166" s="1"/>
      <c r="W166" s="1"/>
      <c r="X166" s="1"/>
      <c r="Y166" s="1"/>
      <c r="Z166" s="1"/>
      <c r="AA166" s="1"/>
      <c r="AB166" s="1"/>
      <c r="AC166" s="56" t="s">
        <v>220</v>
      </c>
      <c r="AD166" s="56" t="s">
        <v>227</v>
      </c>
    </row>
    <row r="167" spans="1:30">
      <c r="A167" s="1">
        <v>2022</v>
      </c>
      <c r="B167" s="1">
        <v>202220</v>
      </c>
      <c r="C167" s="1">
        <v>202226515</v>
      </c>
      <c r="D167" s="1" t="s">
        <v>3171</v>
      </c>
      <c r="E167" s="1" t="s">
        <v>3172</v>
      </c>
      <c r="F167" s="1" t="s">
        <v>100</v>
      </c>
      <c r="G167" s="53" t="str">
        <f>_xlfn.XLOOKUP(Tabla2[[#This Row],[Universidad]],Conversiones!$B:$B,Conversiones!$C:$C)</f>
        <v>University of Glasgow</v>
      </c>
      <c r="H167" s="53" t="str">
        <f>_xlfn.XLOOKUP(Tabla2[[#This Row],[Universidad KPIs]],Conversiones!$C:$C,Conversiones!$E:$E)</f>
        <v>General</v>
      </c>
      <c r="I167" s="1" t="s">
        <v>39</v>
      </c>
      <c r="J167" s="1" t="s">
        <v>250</v>
      </c>
      <c r="K167" s="1" t="s">
        <v>3173</v>
      </c>
      <c r="L167" s="1" t="s">
        <v>3174</v>
      </c>
      <c r="M167" s="1" t="s">
        <v>213</v>
      </c>
      <c r="N167" s="1" t="s">
        <v>2334</v>
      </c>
      <c r="O167" s="54" t="s">
        <v>2335</v>
      </c>
      <c r="P167" s="1">
        <v>1</v>
      </c>
      <c r="Q167" s="1" t="s">
        <v>2708</v>
      </c>
      <c r="R167" s="1" t="s">
        <v>2768</v>
      </c>
      <c r="S167" s="1" t="s">
        <v>2733</v>
      </c>
      <c r="T167" s="1" t="s">
        <v>2769</v>
      </c>
      <c r="U167" s="1"/>
      <c r="V167" s="1"/>
      <c r="W167" s="1"/>
      <c r="X167" s="1"/>
      <c r="Y167" s="1"/>
      <c r="Z167" s="1"/>
      <c r="AA167" s="1"/>
      <c r="AB167" s="1"/>
      <c r="AC167" s="56" t="s">
        <v>220</v>
      </c>
      <c r="AD167" s="56" t="s">
        <v>227</v>
      </c>
    </row>
    <row r="168" spans="1:30">
      <c r="A168" s="1">
        <v>2022</v>
      </c>
      <c r="B168" s="1">
        <v>202220</v>
      </c>
      <c r="C168" s="1">
        <v>202226518</v>
      </c>
      <c r="D168" s="1" t="s">
        <v>3175</v>
      </c>
      <c r="E168" s="1" t="s">
        <v>3176</v>
      </c>
      <c r="F168" s="1" t="s">
        <v>100</v>
      </c>
      <c r="G168" s="53" t="str">
        <f>_xlfn.XLOOKUP(Tabla2[[#This Row],[Universidad]],Conversiones!$B:$B,Conversiones!$C:$C)</f>
        <v>University of Glasgow</v>
      </c>
      <c r="H168" s="53" t="str">
        <f>_xlfn.XLOOKUP(Tabla2[[#This Row],[Universidad KPIs]],Conversiones!$C:$C,Conversiones!$E:$E)</f>
        <v>General</v>
      </c>
      <c r="I168" s="1" t="s">
        <v>39</v>
      </c>
      <c r="J168" s="1" t="s">
        <v>250</v>
      </c>
      <c r="K168" s="1" t="s">
        <v>3177</v>
      </c>
      <c r="L168" s="1" t="s">
        <v>3178</v>
      </c>
      <c r="M168" s="1" t="s">
        <v>213</v>
      </c>
      <c r="N168" s="1" t="s">
        <v>2334</v>
      </c>
      <c r="O168" s="54" t="s">
        <v>2335</v>
      </c>
      <c r="P168" s="1">
        <v>1</v>
      </c>
      <c r="Q168" s="1" t="s">
        <v>2708</v>
      </c>
      <c r="R168" s="1" t="s">
        <v>2768</v>
      </c>
      <c r="S168" s="1" t="s">
        <v>2733</v>
      </c>
      <c r="T168" s="1" t="s">
        <v>2769</v>
      </c>
      <c r="U168" s="1"/>
      <c r="V168" s="1"/>
      <c r="W168" s="1"/>
      <c r="X168" s="1"/>
      <c r="Y168" s="1"/>
      <c r="Z168" s="1"/>
      <c r="AA168" s="1"/>
      <c r="AB168" s="1"/>
      <c r="AC168" s="56" t="s">
        <v>220</v>
      </c>
      <c r="AD168" s="56" t="s">
        <v>227</v>
      </c>
    </row>
    <row r="169" spans="1:30">
      <c r="A169" s="1">
        <v>2022</v>
      </c>
      <c r="B169" s="1">
        <v>202220</v>
      </c>
      <c r="C169" s="1">
        <v>202226521</v>
      </c>
      <c r="D169" s="1" t="s">
        <v>3179</v>
      </c>
      <c r="E169" s="1" t="s">
        <v>3180</v>
      </c>
      <c r="F169" s="1" t="s">
        <v>100</v>
      </c>
      <c r="G169" s="53" t="str">
        <f>_xlfn.XLOOKUP(Tabla2[[#This Row],[Universidad]],Conversiones!$B:$B,Conversiones!$C:$C)</f>
        <v>University of Glasgow</v>
      </c>
      <c r="H169" s="53" t="str">
        <f>_xlfn.XLOOKUP(Tabla2[[#This Row],[Universidad KPIs]],Conversiones!$C:$C,Conversiones!$E:$E)</f>
        <v>General</v>
      </c>
      <c r="I169" s="1" t="s">
        <v>39</v>
      </c>
      <c r="J169" s="1" t="s">
        <v>250</v>
      </c>
      <c r="K169" s="1" t="s">
        <v>3181</v>
      </c>
      <c r="L169" s="1" t="s">
        <v>3182</v>
      </c>
      <c r="M169" s="1" t="s">
        <v>213</v>
      </c>
      <c r="N169" s="1" t="s">
        <v>2334</v>
      </c>
      <c r="O169" s="54" t="s">
        <v>2335</v>
      </c>
      <c r="P169" s="1">
        <v>1</v>
      </c>
      <c r="Q169" s="1" t="s">
        <v>2708</v>
      </c>
      <c r="R169" s="1" t="s">
        <v>2768</v>
      </c>
      <c r="S169" s="1" t="s">
        <v>2733</v>
      </c>
      <c r="T169" s="1" t="s">
        <v>2769</v>
      </c>
      <c r="U169" s="1"/>
      <c r="V169" s="1"/>
      <c r="W169" s="1"/>
      <c r="X169" s="1"/>
      <c r="Y169" s="1"/>
      <c r="Z169" s="1"/>
      <c r="AA169" s="1"/>
      <c r="AB169" s="1"/>
      <c r="AC169" s="56" t="s">
        <v>220</v>
      </c>
      <c r="AD169" s="56" t="s">
        <v>227</v>
      </c>
    </row>
    <row r="170" spans="1:30">
      <c r="A170" s="1">
        <v>2022</v>
      </c>
      <c r="B170" s="1">
        <v>202220</v>
      </c>
      <c r="C170" s="1">
        <v>202226519</v>
      </c>
      <c r="D170" s="1" t="s">
        <v>3183</v>
      </c>
      <c r="E170" s="1" t="s">
        <v>3184</v>
      </c>
      <c r="F170" s="1" t="s">
        <v>100</v>
      </c>
      <c r="G170" s="53" t="str">
        <f>_xlfn.XLOOKUP(Tabla2[[#This Row],[Universidad]],Conversiones!$B:$B,Conversiones!$C:$C)</f>
        <v>University of Glasgow</v>
      </c>
      <c r="H170" s="53" t="str">
        <f>_xlfn.XLOOKUP(Tabla2[[#This Row],[Universidad KPIs]],Conversiones!$C:$C,Conversiones!$E:$E)</f>
        <v>General</v>
      </c>
      <c r="I170" s="1" t="s">
        <v>39</v>
      </c>
      <c r="J170" s="1" t="s">
        <v>250</v>
      </c>
      <c r="K170" s="1" t="s">
        <v>3185</v>
      </c>
      <c r="L170" s="1" t="s">
        <v>3186</v>
      </c>
      <c r="M170" s="1" t="s">
        <v>213</v>
      </c>
      <c r="N170" s="1" t="s">
        <v>2334</v>
      </c>
      <c r="O170" s="54" t="s">
        <v>2335</v>
      </c>
      <c r="P170" s="1">
        <v>1</v>
      </c>
      <c r="Q170" s="1" t="s">
        <v>2708</v>
      </c>
      <c r="R170" s="1" t="s">
        <v>2768</v>
      </c>
      <c r="S170" s="1" t="s">
        <v>2733</v>
      </c>
      <c r="T170" s="1" t="s">
        <v>2769</v>
      </c>
      <c r="U170" s="1"/>
      <c r="V170" s="1"/>
      <c r="W170" s="1"/>
      <c r="X170" s="1"/>
      <c r="Y170" s="1"/>
      <c r="Z170" s="1"/>
      <c r="AA170" s="1"/>
      <c r="AB170" s="1"/>
      <c r="AC170" s="56" t="s">
        <v>220</v>
      </c>
      <c r="AD170" s="56" t="s">
        <v>227</v>
      </c>
    </row>
    <row r="171" spans="1:30">
      <c r="A171" s="1">
        <v>2022</v>
      </c>
      <c r="B171" s="1">
        <v>202220</v>
      </c>
      <c r="C171" s="1">
        <v>202312994</v>
      </c>
      <c r="D171" s="1" t="s">
        <v>3187</v>
      </c>
      <c r="E171" s="1" t="s">
        <v>3188</v>
      </c>
      <c r="F171" s="1" t="s">
        <v>100</v>
      </c>
      <c r="G171" s="53" t="str">
        <f>_xlfn.XLOOKUP(Tabla2[[#This Row],[Universidad]],Conversiones!$B:$B,Conversiones!$C:$C)</f>
        <v>University of Glasgow</v>
      </c>
      <c r="H171" s="53" t="str">
        <f>_xlfn.XLOOKUP(Tabla2[[#This Row],[Universidad KPIs]],Conversiones!$C:$C,Conversiones!$E:$E)</f>
        <v>General</v>
      </c>
      <c r="I171" s="1" t="s">
        <v>39</v>
      </c>
      <c r="J171" s="1" t="s">
        <v>250</v>
      </c>
      <c r="K171" s="1" t="s">
        <v>3189</v>
      </c>
      <c r="L171" s="1" t="s">
        <v>3190</v>
      </c>
      <c r="M171" s="1" t="s">
        <v>213</v>
      </c>
      <c r="N171" s="1" t="s">
        <v>2334</v>
      </c>
      <c r="O171" s="54" t="s">
        <v>2335</v>
      </c>
      <c r="P171" s="1">
        <v>1</v>
      </c>
      <c r="Q171" s="1" t="s">
        <v>2708</v>
      </c>
      <c r="R171" s="1" t="s">
        <v>2768</v>
      </c>
      <c r="S171" s="1" t="s">
        <v>2733</v>
      </c>
      <c r="T171" s="1" t="s">
        <v>2769</v>
      </c>
      <c r="U171" s="1"/>
      <c r="V171" s="1"/>
      <c r="W171" s="1"/>
      <c r="X171" s="1"/>
      <c r="Y171" s="1"/>
      <c r="Z171" s="1"/>
      <c r="AA171" s="1"/>
      <c r="AB171" s="1"/>
      <c r="AC171" s="56" t="s">
        <v>220</v>
      </c>
      <c r="AD171" s="56" t="s">
        <v>227</v>
      </c>
    </row>
    <row r="172" spans="1:30">
      <c r="A172" s="1">
        <v>2022</v>
      </c>
      <c r="B172" s="1">
        <v>202220</v>
      </c>
      <c r="C172" s="1">
        <v>202226516</v>
      </c>
      <c r="D172" s="1" t="s">
        <v>3191</v>
      </c>
      <c r="E172" s="1" t="s">
        <v>3192</v>
      </c>
      <c r="F172" s="1" t="s">
        <v>100</v>
      </c>
      <c r="G172" s="53" t="str">
        <f>_xlfn.XLOOKUP(Tabla2[[#This Row],[Universidad]],Conversiones!$B:$B,Conversiones!$C:$C)</f>
        <v>University of Glasgow</v>
      </c>
      <c r="H172" s="53" t="str">
        <f>_xlfn.XLOOKUP(Tabla2[[#This Row],[Universidad KPIs]],Conversiones!$C:$C,Conversiones!$E:$E)</f>
        <v>General</v>
      </c>
      <c r="I172" s="1" t="s">
        <v>39</v>
      </c>
      <c r="J172" s="1" t="s">
        <v>250</v>
      </c>
      <c r="K172" s="1" t="s">
        <v>3193</v>
      </c>
      <c r="L172" s="1" t="s">
        <v>3194</v>
      </c>
      <c r="M172" s="1" t="s">
        <v>213</v>
      </c>
      <c r="N172" s="1" t="s">
        <v>2334</v>
      </c>
      <c r="O172" s="54" t="s">
        <v>2335</v>
      </c>
      <c r="P172" s="1">
        <v>1</v>
      </c>
      <c r="Q172" s="1" t="s">
        <v>2708</v>
      </c>
      <c r="R172" s="1" t="s">
        <v>2768</v>
      </c>
      <c r="S172" s="1" t="s">
        <v>2769</v>
      </c>
      <c r="T172" s="1" t="s">
        <v>3150</v>
      </c>
      <c r="U172" s="1"/>
      <c r="V172" s="1"/>
      <c r="W172" s="1"/>
      <c r="X172" s="1"/>
      <c r="Y172" s="1"/>
      <c r="Z172" s="1"/>
      <c r="AA172" s="1"/>
      <c r="AB172" s="1"/>
      <c r="AC172" s="56" t="s">
        <v>220</v>
      </c>
      <c r="AD172" s="56" t="s">
        <v>227</v>
      </c>
    </row>
    <row r="173" spans="1:30">
      <c r="A173" s="1">
        <v>2023</v>
      </c>
      <c r="B173" s="1">
        <v>202320</v>
      </c>
      <c r="C173" s="1">
        <v>202325765</v>
      </c>
      <c r="D173" s="1" t="s">
        <v>2134</v>
      </c>
      <c r="E173" s="1" t="s">
        <v>3195</v>
      </c>
      <c r="F173" s="1" t="s">
        <v>86</v>
      </c>
      <c r="G173" s="53" t="str">
        <f>_xlfn.XLOOKUP(Tabla2[[#This Row],[Universidad]],Conversiones!$B:$B,Conversiones!$C:$C)</f>
        <v>Politecnico di Milano</v>
      </c>
      <c r="H173" s="53" t="str">
        <f>_xlfn.XLOOKUP(Tabla2[[#This Row],[Universidad KPIs]],Conversiones!$C:$C,Conversiones!$E:$E)</f>
        <v>Específico</v>
      </c>
      <c r="I173" s="1" t="s">
        <v>87</v>
      </c>
      <c r="J173" s="1" t="s">
        <v>250</v>
      </c>
      <c r="K173" s="1" t="s">
        <v>3196</v>
      </c>
      <c r="L173" s="1" t="s">
        <v>3197</v>
      </c>
      <c r="M173" s="1" t="s">
        <v>213</v>
      </c>
      <c r="N173" s="1" t="s">
        <v>2298</v>
      </c>
      <c r="O173" s="54" t="s">
        <v>3198</v>
      </c>
      <c r="P173" s="1">
        <v>1</v>
      </c>
      <c r="Q173" s="1" t="s">
        <v>2307</v>
      </c>
      <c r="R173" s="1" t="s">
        <v>3199</v>
      </c>
      <c r="S173" s="1" t="s">
        <v>3200</v>
      </c>
      <c r="T173" s="1"/>
      <c r="U173" s="1"/>
      <c r="V173" s="1"/>
      <c r="W173" s="1"/>
      <c r="X173" s="1"/>
      <c r="Y173" s="1"/>
      <c r="Z173" s="1"/>
      <c r="AA173" s="1"/>
      <c r="AB173" s="1"/>
      <c r="AC173" s="56" t="s">
        <v>221</v>
      </c>
      <c r="AD173" s="56" t="s">
        <v>227</v>
      </c>
    </row>
    <row r="174" spans="1:30">
      <c r="A174" s="1">
        <v>2023</v>
      </c>
      <c r="B174" s="1">
        <v>202310</v>
      </c>
      <c r="C174" s="1">
        <v>202316924</v>
      </c>
      <c r="D174" s="1" t="s">
        <v>3201</v>
      </c>
      <c r="E174" s="1" t="s">
        <v>3202</v>
      </c>
      <c r="F174" s="1" t="s">
        <v>424</v>
      </c>
      <c r="G174" s="53" t="str">
        <f>_xlfn.XLOOKUP(Tabla2[[#This Row],[Universidad]],Conversiones!$B:$B,Conversiones!$C:$C)</f>
        <v>Nova School of Business and Economics</v>
      </c>
      <c r="H174" s="53" t="str">
        <f>_xlfn.XLOOKUP(Tabla2[[#This Row],[Universidad KPIs]],Conversiones!$C:$C,Conversiones!$E:$E)</f>
        <v>Específico</v>
      </c>
      <c r="I174" s="1" t="s">
        <v>45</v>
      </c>
      <c r="J174" s="1" t="s">
        <v>250</v>
      </c>
      <c r="K174" s="1" t="s">
        <v>3203</v>
      </c>
      <c r="L174" s="1" t="s">
        <v>3204</v>
      </c>
      <c r="M174" s="1" t="s">
        <v>213</v>
      </c>
      <c r="N174" s="1" t="s">
        <v>2298</v>
      </c>
      <c r="O174" s="54" t="s">
        <v>2299</v>
      </c>
      <c r="P174" s="1">
        <v>1</v>
      </c>
      <c r="Q174" s="1" t="s">
        <v>2307</v>
      </c>
      <c r="R174" s="1" t="s">
        <v>2308</v>
      </c>
      <c r="S174" s="1" t="s">
        <v>2407</v>
      </c>
      <c r="T174" s="1" t="s">
        <v>2681</v>
      </c>
      <c r="U174" s="1" t="s">
        <v>2370</v>
      </c>
      <c r="V174" s="1"/>
      <c r="W174" s="1"/>
      <c r="X174" s="1"/>
      <c r="Y174" s="1"/>
      <c r="Z174" s="1"/>
      <c r="AA174" s="1"/>
      <c r="AB174" s="1"/>
      <c r="AC174" s="56" t="s">
        <v>216</v>
      </c>
      <c r="AD174" s="56" t="s">
        <v>234</v>
      </c>
    </row>
    <row r="175" spans="1:30">
      <c r="A175" s="1">
        <v>2023</v>
      </c>
      <c r="B175" s="1">
        <v>202310</v>
      </c>
      <c r="C175" s="1">
        <v>202316822</v>
      </c>
      <c r="D175" s="1" t="s">
        <v>3205</v>
      </c>
      <c r="E175" s="1" t="s">
        <v>3206</v>
      </c>
      <c r="F175" s="1" t="s">
        <v>86</v>
      </c>
      <c r="G175" s="53" t="str">
        <f>_xlfn.XLOOKUP(Tabla2[[#This Row],[Universidad]],Conversiones!$B:$B,Conversiones!$C:$C)</f>
        <v>Politecnico di Milano</v>
      </c>
      <c r="H175" s="53" t="str">
        <f>_xlfn.XLOOKUP(Tabla2[[#This Row],[Universidad KPIs]],Conversiones!$C:$C,Conversiones!$E:$E)</f>
        <v>Específico</v>
      </c>
      <c r="I175" s="1" t="s">
        <v>87</v>
      </c>
      <c r="J175" s="1" t="s">
        <v>250</v>
      </c>
      <c r="K175" s="1" t="s">
        <v>3207</v>
      </c>
      <c r="L175" s="1" t="s">
        <v>3208</v>
      </c>
      <c r="M175" s="1" t="s">
        <v>213</v>
      </c>
      <c r="N175" s="1" t="s">
        <v>2334</v>
      </c>
      <c r="O175" s="54" t="s">
        <v>2335</v>
      </c>
      <c r="P175" s="1">
        <v>1</v>
      </c>
      <c r="Q175" s="1" t="s">
        <v>3209</v>
      </c>
      <c r="R175" s="1" t="s">
        <v>3210</v>
      </c>
      <c r="S175" s="1" t="s">
        <v>2363</v>
      </c>
      <c r="T175" s="1" t="s">
        <v>3211</v>
      </c>
      <c r="U175" s="1" t="s">
        <v>3212</v>
      </c>
      <c r="V175" s="1" t="s">
        <v>3213</v>
      </c>
      <c r="W175" s="1" t="s">
        <v>2464</v>
      </c>
      <c r="X175" s="1" t="s">
        <v>3214</v>
      </c>
      <c r="Y175" s="1"/>
      <c r="Z175" s="1"/>
      <c r="AA175" s="1"/>
      <c r="AB175" s="1"/>
      <c r="AC175" s="56" t="s">
        <v>220</v>
      </c>
      <c r="AD175" s="56" t="s">
        <v>227</v>
      </c>
    </row>
    <row r="176" spans="1:30">
      <c r="A176" s="1">
        <v>2023</v>
      </c>
      <c r="B176" s="1">
        <v>202320</v>
      </c>
      <c r="C176" s="1">
        <v>202316822</v>
      </c>
      <c r="D176" s="1" t="s">
        <v>3205</v>
      </c>
      <c r="E176" s="1" t="s">
        <v>3206</v>
      </c>
      <c r="F176" s="1" t="s">
        <v>86</v>
      </c>
      <c r="G176" s="53" t="str">
        <f>_xlfn.XLOOKUP(Tabla2[[#This Row],[Universidad]],Conversiones!$B:$B,Conversiones!$C:$C)</f>
        <v>Politecnico di Milano</v>
      </c>
      <c r="H176" s="53" t="str">
        <f>_xlfn.XLOOKUP(Tabla2[[#This Row],[Universidad KPIs]],Conversiones!$C:$C,Conversiones!$E:$E)</f>
        <v>Específico</v>
      </c>
      <c r="I176" s="1" t="s">
        <v>87</v>
      </c>
      <c r="J176" s="1" t="s">
        <v>250</v>
      </c>
      <c r="K176" s="1" t="s">
        <v>3207</v>
      </c>
      <c r="L176" s="1" t="s">
        <v>3208</v>
      </c>
      <c r="M176" s="1" t="s">
        <v>213</v>
      </c>
      <c r="N176" s="1" t="s">
        <v>2334</v>
      </c>
      <c r="O176" s="54" t="s">
        <v>3198</v>
      </c>
      <c r="P176" s="1">
        <v>1</v>
      </c>
      <c r="Q176" s="1" t="s">
        <v>3215</v>
      </c>
      <c r="R176" s="1" t="s">
        <v>3216</v>
      </c>
      <c r="S176" s="1" t="s">
        <v>3217</v>
      </c>
      <c r="T176" s="1" t="s">
        <v>2464</v>
      </c>
      <c r="U176" s="1" t="s">
        <v>3218</v>
      </c>
      <c r="V176" s="1" t="s">
        <v>3219</v>
      </c>
      <c r="W176" s="1" t="s">
        <v>3220</v>
      </c>
      <c r="X176" s="1" t="s">
        <v>3221</v>
      </c>
      <c r="Y176" s="1"/>
      <c r="Z176" s="1"/>
      <c r="AA176" s="1"/>
      <c r="AB176" s="1"/>
      <c r="AC176" s="56" t="s">
        <v>220</v>
      </c>
      <c r="AD176" s="56" t="s">
        <v>227</v>
      </c>
    </row>
    <row r="177" spans="1:30">
      <c r="A177" s="1">
        <v>2023</v>
      </c>
      <c r="B177" s="1">
        <v>202310</v>
      </c>
      <c r="C177" s="1">
        <v>202316847</v>
      </c>
      <c r="D177" s="1" t="s">
        <v>3222</v>
      </c>
      <c r="E177" s="1" t="s">
        <v>3223</v>
      </c>
      <c r="F177" s="1" t="s">
        <v>50</v>
      </c>
      <c r="G177" s="53" t="str">
        <f>_xlfn.XLOOKUP(Tabla2[[#This Row],[Universidad]],Conversiones!$B:$B,Conversiones!$C:$C)</f>
        <v>EDHEC Business School</v>
      </c>
      <c r="H177" s="53" t="str">
        <f>_xlfn.XLOOKUP(Tabla2[[#This Row],[Universidad KPIs]],Conversiones!$C:$C,Conversiones!$E:$E)</f>
        <v>Específico</v>
      </c>
      <c r="I177" s="1" t="s">
        <v>41</v>
      </c>
      <c r="J177" s="1" t="s">
        <v>250</v>
      </c>
      <c r="K177" s="1" t="s">
        <v>3224</v>
      </c>
      <c r="L177" s="1" t="s">
        <v>3225</v>
      </c>
      <c r="M177" s="1" t="s">
        <v>213</v>
      </c>
      <c r="N177" s="1" t="s">
        <v>2298</v>
      </c>
      <c r="O177" s="54" t="s">
        <v>2299</v>
      </c>
      <c r="P177" s="1">
        <v>1</v>
      </c>
      <c r="Q177" s="1" t="s">
        <v>2328</v>
      </c>
      <c r="R177" s="1" t="s">
        <v>3022</v>
      </c>
      <c r="S177" s="1" t="s">
        <v>2577</v>
      </c>
      <c r="T177" s="1" t="s">
        <v>2300</v>
      </c>
      <c r="U177" s="1" t="s">
        <v>3226</v>
      </c>
      <c r="V177" s="1"/>
      <c r="W177" s="1"/>
      <c r="X177" s="1"/>
      <c r="Y177" s="1"/>
      <c r="Z177" s="1"/>
      <c r="AA177" s="1"/>
      <c r="AB177" s="1"/>
      <c r="AC177" s="56" t="s">
        <v>216</v>
      </c>
      <c r="AD177" s="56" t="s">
        <v>234</v>
      </c>
    </row>
    <row r="178" spans="1:30">
      <c r="A178" s="1">
        <v>2023</v>
      </c>
      <c r="B178" s="1">
        <v>202320</v>
      </c>
      <c r="C178" s="1">
        <v>202325873</v>
      </c>
      <c r="D178" s="1" t="s">
        <v>3227</v>
      </c>
      <c r="E178" s="1" t="s">
        <v>3228</v>
      </c>
      <c r="F178" s="1" t="s">
        <v>341</v>
      </c>
      <c r="G178" s="53" t="str">
        <f>_xlfn.XLOOKUP(Tabla2[[#This Row],[Universidad]],Conversiones!$B:$B,Conversiones!$C:$C)</f>
        <v>A.B. Freeman School of Business, Tulane University</v>
      </c>
      <c r="H178" s="53" t="str">
        <f>_xlfn.XLOOKUP(Tabla2[[#This Row],[Universidad KPIs]],Conversiones!$C:$C,Conversiones!$E:$E)</f>
        <v>Específico</v>
      </c>
      <c r="I178" s="1" t="s">
        <v>35</v>
      </c>
      <c r="J178" s="1" t="s">
        <v>260</v>
      </c>
      <c r="K178" s="1" t="s">
        <v>3229</v>
      </c>
      <c r="L178" s="1" t="s">
        <v>3230</v>
      </c>
      <c r="M178" s="1" t="s">
        <v>213</v>
      </c>
      <c r="N178" s="1" t="s">
        <v>2298</v>
      </c>
      <c r="O178" s="54" t="s">
        <v>3198</v>
      </c>
      <c r="P178" s="1">
        <v>1</v>
      </c>
      <c r="Q178" s="1" t="s">
        <v>2480</v>
      </c>
      <c r="R178" s="1" t="s">
        <v>2307</v>
      </c>
      <c r="S178" s="1" t="s">
        <v>2601</v>
      </c>
      <c r="T178" s="1" t="s">
        <v>3199</v>
      </c>
      <c r="U178" s="1" t="s">
        <v>3231</v>
      </c>
      <c r="V178" s="1" t="s">
        <v>3232</v>
      </c>
      <c r="W178" s="1" t="s">
        <v>3217</v>
      </c>
      <c r="X178" s="1" t="s">
        <v>2922</v>
      </c>
      <c r="Y178" s="1"/>
      <c r="Z178" s="1"/>
      <c r="AA178" s="1"/>
      <c r="AB178" s="1"/>
      <c r="AC178" s="56" t="s">
        <v>216</v>
      </c>
      <c r="AD178" s="56" t="s">
        <v>234</v>
      </c>
    </row>
    <row r="179" spans="1:30">
      <c r="A179" s="1">
        <v>2023</v>
      </c>
      <c r="B179" s="1">
        <v>202310</v>
      </c>
      <c r="C179" s="1">
        <v>202316848</v>
      </c>
      <c r="D179" s="1" t="s">
        <v>3233</v>
      </c>
      <c r="E179" s="1" t="s">
        <v>3234</v>
      </c>
      <c r="F179" s="1" t="s">
        <v>341</v>
      </c>
      <c r="G179" s="53" t="str">
        <f>_xlfn.XLOOKUP(Tabla2[[#This Row],[Universidad]],Conversiones!$B:$B,Conversiones!$C:$C)</f>
        <v>A.B. Freeman School of Business, Tulane University</v>
      </c>
      <c r="H179" s="53" t="str">
        <f>_xlfn.XLOOKUP(Tabla2[[#This Row],[Universidad KPIs]],Conversiones!$C:$C,Conversiones!$E:$E)</f>
        <v>Específico</v>
      </c>
      <c r="I179" s="1" t="s">
        <v>35</v>
      </c>
      <c r="J179" s="1" t="s">
        <v>260</v>
      </c>
      <c r="K179" s="1" t="s">
        <v>3235</v>
      </c>
      <c r="L179" s="1" t="s">
        <v>3236</v>
      </c>
      <c r="M179" s="1" t="s">
        <v>213</v>
      </c>
      <c r="N179" s="1" t="s">
        <v>2298</v>
      </c>
      <c r="O179" s="54" t="s">
        <v>2299</v>
      </c>
      <c r="P179" s="1">
        <v>1</v>
      </c>
      <c r="Q179" s="1" t="s">
        <v>2600</v>
      </c>
      <c r="R179" s="1" t="s">
        <v>2578</v>
      </c>
      <c r="S179" s="1" t="s">
        <v>2407</v>
      </c>
      <c r="T179" s="1" t="s">
        <v>2480</v>
      </c>
      <c r="U179" s="1" t="s">
        <v>2329</v>
      </c>
      <c r="V179" s="1" t="s">
        <v>2463</v>
      </c>
      <c r="W179" s="1" t="s">
        <v>3218</v>
      </c>
      <c r="X179" s="1"/>
      <c r="Y179" s="1"/>
      <c r="Z179" s="1"/>
      <c r="AA179" s="1"/>
      <c r="AB179" s="1"/>
      <c r="AC179" s="56" t="s">
        <v>216</v>
      </c>
      <c r="AD179" s="56" t="s">
        <v>234</v>
      </c>
    </row>
    <row r="180" spans="1:30">
      <c r="A180" s="1">
        <v>2023</v>
      </c>
      <c r="B180" s="1">
        <v>202310</v>
      </c>
      <c r="C180" s="1">
        <v>202316925</v>
      </c>
      <c r="D180" s="1" t="s">
        <v>3237</v>
      </c>
      <c r="E180" s="1" t="s">
        <v>3238</v>
      </c>
      <c r="F180" s="1" t="s">
        <v>608</v>
      </c>
      <c r="G180" s="53" t="str">
        <f>_xlfn.XLOOKUP(Tabla2[[#This Row],[Universidad]],Conversiones!$B:$B,Conversiones!$C:$C)</f>
        <v>IE Instituto Empresa</v>
      </c>
      <c r="H180" s="53" t="str">
        <f>_xlfn.XLOOKUP(Tabla2[[#This Row],[Universidad KPIs]],Conversiones!$C:$C,Conversiones!$E:$E)</f>
        <v>General</v>
      </c>
      <c r="I180" s="1" t="s">
        <v>53</v>
      </c>
      <c r="J180" s="1" t="s">
        <v>250</v>
      </c>
      <c r="K180" s="1" t="s">
        <v>3239</v>
      </c>
      <c r="L180" s="1" t="s">
        <v>3240</v>
      </c>
      <c r="M180" s="1" t="s">
        <v>213</v>
      </c>
      <c r="N180" s="1" t="s">
        <v>2298</v>
      </c>
      <c r="O180" s="54" t="s">
        <v>2299</v>
      </c>
      <c r="P180" s="1">
        <v>1</v>
      </c>
      <c r="Q180" s="1" t="s">
        <v>2441</v>
      </c>
      <c r="R180" s="1" t="s">
        <v>2307</v>
      </c>
      <c r="S180" s="1" t="s">
        <v>2407</v>
      </c>
      <c r="T180" s="1" t="s">
        <v>2370</v>
      </c>
      <c r="U180" s="1" t="s">
        <v>2609</v>
      </c>
      <c r="V180" s="1"/>
      <c r="W180" s="1"/>
      <c r="X180" s="1"/>
      <c r="Y180" s="1"/>
      <c r="Z180" s="1"/>
      <c r="AA180" s="1"/>
      <c r="AB180" s="1"/>
      <c r="AC180" s="56" t="s">
        <v>216</v>
      </c>
      <c r="AD180" s="56" t="s">
        <v>234</v>
      </c>
    </row>
    <row r="181" spans="1:30">
      <c r="A181" s="1">
        <v>2023</v>
      </c>
      <c r="B181" s="1">
        <v>202310</v>
      </c>
      <c r="C181" s="1">
        <v>202316850</v>
      </c>
      <c r="D181" s="1" t="s">
        <v>3241</v>
      </c>
      <c r="E181" s="1" t="s">
        <v>3242</v>
      </c>
      <c r="F181" s="1" t="s">
        <v>78</v>
      </c>
      <c r="G181" s="53" t="str">
        <f>_xlfn.XLOOKUP(Tabla2[[#This Row],[Universidad]],Conversiones!$B:$B,Conversiones!$C:$C)</f>
        <v>Maastricht University</v>
      </c>
      <c r="H181" s="53" t="str">
        <f>_xlfn.XLOOKUP(Tabla2[[#This Row],[Universidad KPIs]],Conversiones!$C:$C,Conversiones!$E:$E)</f>
        <v>Específico</v>
      </c>
      <c r="I181" s="1" t="s">
        <v>79</v>
      </c>
      <c r="J181" s="1" t="s">
        <v>250</v>
      </c>
      <c r="K181" s="1" t="s">
        <v>3243</v>
      </c>
      <c r="L181" s="1" t="s">
        <v>3244</v>
      </c>
      <c r="M181" s="1" t="s">
        <v>213</v>
      </c>
      <c r="N181" s="1" t="s">
        <v>2298</v>
      </c>
      <c r="O181" s="54" t="s">
        <v>2299</v>
      </c>
      <c r="P181" s="1">
        <v>1</v>
      </c>
      <c r="Q181" s="1" t="s">
        <v>3083</v>
      </c>
      <c r="R181" s="1" t="s">
        <v>2322</v>
      </c>
      <c r="S181" s="1" t="s">
        <v>2307</v>
      </c>
      <c r="T181" s="1" t="s">
        <v>2382</v>
      </c>
      <c r="U181" s="1" t="s">
        <v>2407</v>
      </c>
      <c r="V181" s="1" t="s">
        <v>2370</v>
      </c>
      <c r="W181" s="1" t="s">
        <v>2302</v>
      </c>
      <c r="X181" s="1"/>
      <c r="Y181" s="1"/>
      <c r="Z181" s="1"/>
      <c r="AA181" s="1"/>
      <c r="AB181" s="1"/>
      <c r="AC181" s="56" t="s">
        <v>216</v>
      </c>
      <c r="AD181" s="56" t="s">
        <v>234</v>
      </c>
    </row>
    <row r="182" spans="1:30">
      <c r="A182" s="1">
        <v>2023</v>
      </c>
      <c r="B182" s="1">
        <v>202310</v>
      </c>
      <c r="C182" s="1">
        <v>202316852</v>
      </c>
      <c r="D182" s="1" t="s">
        <v>3245</v>
      </c>
      <c r="E182" s="1" t="s">
        <v>3246</v>
      </c>
      <c r="F182" s="1" t="s">
        <v>50</v>
      </c>
      <c r="G182" s="53" t="str">
        <f>_xlfn.XLOOKUP(Tabla2[[#This Row],[Universidad]],Conversiones!$B:$B,Conversiones!$C:$C)</f>
        <v>EDHEC Business School</v>
      </c>
      <c r="H182" s="53" t="str">
        <f>_xlfn.XLOOKUP(Tabla2[[#This Row],[Universidad KPIs]],Conversiones!$C:$C,Conversiones!$E:$E)</f>
        <v>Específico</v>
      </c>
      <c r="I182" s="1" t="s">
        <v>41</v>
      </c>
      <c r="J182" s="1" t="s">
        <v>250</v>
      </c>
      <c r="K182" s="1" t="s">
        <v>3247</v>
      </c>
      <c r="L182" s="1" t="s">
        <v>3248</v>
      </c>
      <c r="M182" s="1" t="s">
        <v>213</v>
      </c>
      <c r="N182" s="1" t="s">
        <v>2298</v>
      </c>
      <c r="O182" s="54" t="s">
        <v>2299</v>
      </c>
      <c r="P182" s="1">
        <v>1</v>
      </c>
      <c r="Q182" s="1" t="s">
        <v>3249</v>
      </c>
      <c r="R182" s="1" t="s">
        <v>2578</v>
      </c>
      <c r="S182" s="1" t="s">
        <v>2300</v>
      </c>
      <c r="T182" s="1" t="s">
        <v>2641</v>
      </c>
      <c r="U182" s="1" t="s">
        <v>3250</v>
      </c>
      <c r="V182" s="1" t="s">
        <v>2609</v>
      </c>
      <c r="W182" s="1"/>
      <c r="X182" s="1"/>
      <c r="Y182" s="1"/>
      <c r="Z182" s="1"/>
      <c r="AA182" s="1"/>
      <c r="AB182" s="1"/>
      <c r="AC182" s="56" t="s">
        <v>216</v>
      </c>
      <c r="AD182" s="56" t="s">
        <v>234</v>
      </c>
    </row>
    <row r="183" spans="1:30">
      <c r="A183" s="1">
        <v>2023</v>
      </c>
      <c r="B183" s="1">
        <v>202310</v>
      </c>
      <c r="C183" s="1">
        <v>202314869</v>
      </c>
      <c r="D183" s="1" t="s">
        <v>3251</v>
      </c>
      <c r="E183" s="1" t="s">
        <v>3252</v>
      </c>
      <c r="F183" s="1" t="s">
        <v>493</v>
      </c>
      <c r="G183" s="53" t="str">
        <f>_xlfn.XLOOKUP(Tabla2[[#This Row],[Universidad]],Conversiones!$B:$B,Conversiones!$C:$C)</f>
        <v>University of Saint Gallen</v>
      </c>
      <c r="H183" s="53" t="str">
        <f>_xlfn.XLOOKUP(Tabla2[[#This Row],[Universidad KPIs]],Conversiones!$C:$C,Conversiones!$E:$E)</f>
        <v>Específico</v>
      </c>
      <c r="I183" s="1" t="s">
        <v>65</v>
      </c>
      <c r="J183" s="1" t="s">
        <v>250</v>
      </c>
      <c r="K183" s="1" t="s">
        <v>3253</v>
      </c>
      <c r="L183" s="1" t="s">
        <v>3254</v>
      </c>
      <c r="M183" s="1" t="s">
        <v>213</v>
      </c>
      <c r="N183" s="1" t="s">
        <v>2334</v>
      </c>
      <c r="O183" s="54" t="s">
        <v>2335</v>
      </c>
      <c r="P183" s="1">
        <v>1</v>
      </c>
      <c r="Q183" s="1" t="s">
        <v>3255</v>
      </c>
      <c r="R183" s="1" t="s">
        <v>3256</v>
      </c>
      <c r="S183" s="1" t="s">
        <v>3257</v>
      </c>
      <c r="T183" s="1" t="s">
        <v>3258</v>
      </c>
      <c r="U183" s="1" t="s">
        <v>3259</v>
      </c>
      <c r="V183" s="1"/>
      <c r="W183" s="1"/>
      <c r="X183" s="1"/>
      <c r="Y183" s="1"/>
      <c r="Z183" s="1"/>
      <c r="AA183" s="1"/>
      <c r="AB183" s="1"/>
      <c r="AC183" s="56" t="s">
        <v>231</v>
      </c>
      <c r="AD183" s="56" t="s">
        <v>227</v>
      </c>
    </row>
    <row r="184" spans="1:30">
      <c r="A184" s="1">
        <v>2023</v>
      </c>
      <c r="B184" s="1">
        <v>202320</v>
      </c>
      <c r="C184" s="1">
        <v>202325884</v>
      </c>
      <c r="D184" s="1" t="s">
        <v>3260</v>
      </c>
      <c r="E184" s="1" t="s">
        <v>3261</v>
      </c>
      <c r="F184" s="1" t="s">
        <v>274</v>
      </c>
      <c r="G184" s="53" t="str">
        <f>_xlfn.XLOOKUP(Tabla2[[#This Row],[Universidad]],Conversiones!$B:$B,Conversiones!$C:$C)</f>
        <v>Catolica Lisbon Business &amp; Economics. Universidade Católica Portuguesa</v>
      </c>
      <c r="H184" s="53" t="str">
        <f>_xlfn.XLOOKUP(Tabla2[[#This Row],[Universidad KPIs]],Conversiones!$C:$C,Conversiones!$E:$E)</f>
        <v>Específico</v>
      </c>
      <c r="I184" s="1" t="s">
        <v>45</v>
      </c>
      <c r="J184" s="1" t="s">
        <v>250</v>
      </c>
      <c r="K184" s="1" t="s">
        <v>3262</v>
      </c>
      <c r="L184" s="1" t="s">
        <v>3263</v>
      </c>
      <c r="M184" s="1" t="s">
        <v>213</v>
      </c>
      <c r="N184" s="1" t="s">
        <v>2298</v>
      </c>
      <c r="O184" s="54" t="s">
        <v>3198</v>
      </c>
      <c r="P184" s="1">
        <v>1</v>
      </c>
      <c r="Q184" s="1" t="s">
        <v>2327</v>
      </c>
      <c r="R184" s="1" t="s">
        <v>2307</v>
      </c>
      <c r="S184" s="1" t="s">
        <v>2329</v>
      </c>
      <c r="T184" s="1" t="s">
        <v>3264</v>
      </c>
      <c r="U184" s="1"/>
      <c r="V184" s="1"/>
      <c r="W184" s="1"/>
      <c r="X184" s="1"/>
      <c r="Y184" s="1"/>
      <c r="Z184" s="1"/>
      <c r="AA184" s="1"/>
      <c r="AB184" s="1"/>
      <c r="AC184" s="56" t="s">
        <v>216</v>
      </c>
      <c r="AD184" s="56" t="s">
        <v>234</v>
      </c>
    </row>
    <row r="185" spans="1:30">
      <c r="A185" s="1">
        <v>2023</v>
      </c>
      <c r="B185" s="1">
        <v>202310</v>
      </c>
      <c r="C185" s="1">
        <v>202316858</v>
      </c>
      <c r="D185" s="1" t="s">
        <v>3265</v>
      </c>
      <c r="E185" s="1" t="s">
        <v>3266</v>
      </c>
      <c r="F185" s="1" t="s">
        <v>1454</v>
      </c>
      <c r="G185" s="53" t="str">
        <f>_xlfn.XLOOKUP(Tabla2[[#This Row],[Universidad]],Conversiones!$B:$B,Conversiones!$C:$C)</f>
        <v>HEC Paris</v>
      </c>
      <c r="H185" s="53" t="str">
        <f>_xlfn.XLOOKUP(Tabla2[[#This Row],[Universidad KPIs]],Conversiones!$C:$C,Conversiones!$E:$E)</f>
        <v>Específico</v>
      </c>
      <c r="I185" s="1" t="s">
        <v>41</v>
      </c>
      <c r="J185" s="1" t="s">
        <v>250</v>
      </c>
      <c r="K185" s="1" t="s">
        <v>3267</v>
      </c>
      <c r="L185" s="1" t="s">
        <v>3268</v>
      </c>
      <c r="M185" s="1" t="s">
        <v>213</v>
      </c>
      <c r="N185" s="1" t="s">
        <v>2298</v>
      </c>
      <c r="O185" s="54" t="s">
        <v>2299</v>
      </c>
      <c r="P185" s="1">
        <v>1</v>
      </c>
      <c r="Q185" s="1" t="s">
        <v>2600</v>
      </c>
      <c r="R185" s="1" t="s">
        <v>2309</v>
      </c>
      <c r="S185" s="1" t="s">
        <v>2307</v>
      </c>
      <c r="T185" s="1" t="s">
        <v>3269</v>
      </c>
      <c r="U185" s="1"/>
      <c r="V185" s="1"/>
      <c r="W185" s="1"/>
      <c r="X185" s="1"/>
      <c r="Y185" s="1"/>
      <c r="Z185" s="1"/>
      <c r="AA185" s="1"/>
      <c r="AB185" s="1"/>
      <c r="AC185" s="56" t="s">
        <v>216</v>
      </c>
      <c r="AD185" s="56" t="s">
        <v>234</v>
      </c>
    </row>
    <row r="186" spans="1:30">
      <c r="A186" s="1">
        <v>2023</v>
      </c>
      <c r="B186" s="1">
        <v>202310</v>
      </c>
      <c r="C186" s="1">
        <v>202316861</v>
      </c>
      <c r="D186" s="1" t="s">
        <v>3270</v>
      </c>
      <c r="E186" s="1" t="s">
        <v>3271</v>
      </c>
      <c r="F186" s="1" t="s">
        <v>1306</v>
      </c>
      <c r="G186" s="53" t="str">
        <f>_xlfn.XLOOKUP(Tabla2[[#This Row],[Universidad]],Conversiones!$B:$B,Conversiones!$C:$C)</f>
        <v>Universidad del Pacífico</v>
      </c>
      <c r="H186" s="53" t="str">
        <f>_xlfn.XLOOKUP(Tabla2[[#This Row],[Universidad KPIs]],Conversiones!$C:$C,Conversiones!$E:$E)</f>
        <v>Específico</v>
      </c>
      <c r="I186" s="1" t="s">
        <v>96</v>
      </c>
      <c r="J186" s="1" t="s">
        <v>265</v>
      </c>
      <c r="K186" s="1" t="s">
        <v>3272</v>
      </c>
      <c r="L186" s="1" t="s">
        <v>3273</v>
      </c>
      <c r="M186" s="1" t="s">
        <v>213</v>
      </c>
      <c r="N186" s="1" t="s">
        <v>2298</v>
      </c>
      <c r="O186" s="54" t="s">
        <v>2299</v>
      </c>
      <c r="P186" s="1">
        <v>1</v>
      </c>
      <c r="Q186" s="1" t="s">
        <v>2405</v>
      </c>
      <c r="R186" s="1" t="s">
        <v>2309</v>
      </c>
      <c r="S186" s="1" t="s">
        <v>2307</v>
      </c>
      <c r="T186" s="1" t="s">
        <v>2407</v>
      </c>
      <c r="U186" s="1" t="s">
        <v>2369</v>
      </c>
      <c r="V186" s="1"/>
      <c r="W186" s="1"/>
      <c r="X186" s="1"/>
      <c r="Y186" s="1"/>
      <c r="Z186" s="1"/>
      <c r="AA186" s="1"/>
      <c r="AB186" s="1"/>
      <c r="AC186" s="56" t="s">
        <v>216</v>
      </c>
      <c r="AD186" s="56" t="s">
        <v>234</v>
      </c>
    </row>
    <row r="187" spans="1:30">
      <c r="A187" s="1">
        <v>2023</v>
      </c>
      <c r="B187" s="1">
        <v>202310</v>
      </c>
      <c r="C187" s="1">
        <v>202316862</v>
      </c>
      <c r="D187" s="1" t="s">
        <v>3274</v>
      </c>
      <c r="E187" s="1" t="s">
        <v>3275</v>
      </c>
      <c r="F187" s="1" t="s">
        <v>255</v>
      </c>
      <c r="G187" s="53" t="str">
        <f>_xlfn.XLOOKUP(Tabla2[[#This Row],[Universidad]],Conversiones!$B:$B,Conversiones!$C:$C)</f>
        <v>ESC Rouen (NEOMA)</v>
      </c>
      <c r="H187" s="53" t="str">
        <f>_xlfn.XLOOKUP(Tabla2[[#This Row],[Universidad KPIs]],Conversiones!$C:$C,Conversiones!$E:$E)</f>
        <v>Específico</v>
      </c>
      <c r="I187" s="1" t="s">
        <v>41</v>
      </c>
      <c r="J187" s="1" t="s">
        <v>250</v>
      </c>
      <c r="K187" s="1" t="s">
        <v>3276</v>
      </c>
      <c r="L187" s="1" t="s">
        <v>3277</v>
      </c>
      <c r="M187" s="1" t="s">
        <v>213</v>
      </c>
      <c r="N187" s="1" t="s">
        <v>2298</v>
      </c>
      <c r="O187" s="54" t="s">
        <v>2299</v>
      </c>
      <c r="P187" s="1">
        <v>1</v>
      </c>
      <c r="Q187" s="1" t="s">
        <v>2321</v>
      </c>
      <c r="R187" s="1" t="s">
        <v>2632</v>
      </c>
      <c r="S187" s="1" t="s">
        <v>2456</v>
      </c>
      <c r="T187" s="1" t="s">
        <v>3211</v>
      </c>
      <c r="U187" s="1"/>
      <c r="V187" s="1"/>
      <c r="W187" s="1"/>
      <c r="X187" s="1"/>
      <c r="Y187" s="1"/>
      <c r="Z187" s="1"/>
      <c r="AA187" s="1"/>
      <c r="AB187" s="1"/>
      <c r="AC187" s="56" t="s">
        <v>216</v>
      </c>
      <c r="AD187" s="56" t="s">
        <v>234</v>
      </c>
    </row>
    <row r="188" spans="1:30">
      <c r="A188" s="1">
        <v>2023</v>
      </c>
      <c r="B188" s="1">
        <v>202320</v>
      </c>
      <c r="C188" s="1">
        <v>202325780</v>
      </c>
      <c r="D188" s="1" t="s">
        <v>3278</v>
      </c>
      <c r="E188" s="1" t="s">
        <v>3279</v>
      </c>
      <c r="F188" s="1" t="s">
        <v>619</v>
      </c>
      <c r="G188" s="53" t="str">
        <f>_xlfn.XLOOKUP(Tabla2[[#This Row],[Universidad]],Conversiones!$B:$B,Conversiones!$C:$C)</f>
        <v>Grenoble. École de Management</v>
      </c>
      <c r="H188" s="53" t="str">
        <f>_xlfn.XLOOKUP(Tabla2[[#This Row],[Universidad KPIs]],Conversiones!$C:$C,Conversiones!$E:$E)</f>
        <v>Específico</v>
      </c>
      <c r="I188" s="1" t="s">
        <v>41</v>
      </c>
      <c r="J188" s="1" t="s">
        <v>250</v>
      </c>
      <c r="K188" s="1" t="s">
        <v>3280</v>
      </c>
      <c r="L188" s="1" t="s">
        <v>3281</v>
      </c>
      <c r="M188" s="1" t="s">
        <v>213</v>
      </c>
      <c r="N188" s="1" t="s">
        <v>2298</v>
      </c>
      <c r="O188" s="54" t="s">
        <v>3198</v>
      </c>
      <c r="P188" s="1">
        <v>1</v>
      </c>
      <c r="Q188" s="1" t="s">
        <v>2301</v>
      </c>
      <c r="R188" s="1" t="s">
        <v>2496</v>
      </c>
      <c r="S188" s="1" t="s">
        <v>2600</v>
      </c>
      <c r="T188" s="1" t="s">
        <v>3282</v>
      </c>
      <c r="U188" s="1" t="s">
        <v>3283</v>
      </c>
      <c r="V188" s="1"/>
      <c r="W188" s="1"/>
      <c r="X188" s="1"/>
      <c r="Y188" s="1"/>
      <c r="Z188" s="1"/>
      <c r="AA188" s="1"/>
      <c r="AB188" s="1"/>
      <c r="AC188" s="56" t="s">
        <v>232</v>
      </c>
      <c r="AD188" s="56" t="s">
        <v>227</v>
      </c>
    </row>
    <row r="189" spans="1:30">
      <c r="A189" s="1">
        <v>2023</v>
      </c>
      <c r="B189" s="1">
        <v>202310</v>
      </c>
      <c r="C189" s="1">
        <v>202316827</v>
      </c>
      <c r="D189" s="1" t="s">
        <v>3284</v>
      </c>
      <c r="E189" s="1" t="s">
        <v>3285</v>
      </c>
      <c r="F189" s="1" t="s">
        <v>388</v>
      </c>
      <c r="G189" s="53" t="str">
        <f>_xlfn.XLOOKUP(Tabla2[[#This Row],[Universidad]],Conversiones!$B:$B,Conversiones!$C:$C)</f>
        <v>ESCP</v>
      </c>
      <c r="H189" s="53" t="str">
        <f>_xlfn.XLOOKUP(Tabla2[[#This Row],[Universidad KPIs]],Conversiones!$C:$C,Conversiones!$E:$E)</f>
        <v>Específico</v>
      </c>
      <c r="I189" s="1" t="s">
        <v>41</v>
      </c>
      <c r="J189" s="1" t="s">
        <v>250</v>
      </c>
      <c r="K189" s="1" t="s">
        <v>3286</v>
      </c>
      <c r="L189" s="1" t="s">
        <v>3287</v>
      </c>
      <c r="M189" s="1" t="s">
        <v>213</v>
      </c>
      <c r="N189" s="1" t="s">
        <v>2334</v>
      </c>
      <c r="O189" s="54" t="s">
        <v>2335</v>
      </c>
      <c r="P189" s="1">
        <v>1</v>
      </c>
      <c r="Q189" s="1" t="s">
        <v>3256</v>
      </c>
      <c r="R189" s="1" t="s">
        <v>3288</v>
      </c>
      <c r="S189" s="1" t="s">
        <v>3289</v>
      </c>
      <c r="T189" s="1" t="s">
        <v>2590</v>
      </c>
      <c r="U189" s="1" t="s">
        <v>2882</v>
      </c>
      <c r="V189" s="1"/>
      <c r="W189" s="1"/>
      <c r="X189" s="1"/>
      <c r="Y189" s="1"/>
      <c r="Z189" s="1"/>
      <c r="AA189" s="1"/>
      <c r="AB189" s="1"/>
      <c r="AC189" s="56" t="s">
        <v>220</v>
      </c>
      <c r="AD189" s="56" t="s">
        <v>227</v>
      </c>
    </row>
    <row r="190" spans="1:30">
      <c r="A190" s="1">
        <v>2023</v>
      </c>
      <c r="B190" s="1">
        <v>202320</v>
      </c>
      <c r="C190" s="1">
        <v>202325778</v>
      </c>
      <c r="D190" s="1" t="s">
        <v>3290</v>
      </c>
      <c r="E190" s="1" t="s">
        <v>3291</v>
      </c>
      <c r="F190" s="1" t="s">
        <v>86</v>
      </c>
      <c r="G190" s="53" t="str">
        <f>_xlfn.XLOOKUP(Tabla2[[#This Row],[Universidad]],Conversiones!$B:$B,Conversiones!$C:$C)</f>
        <v>Politecnico di Milano</v>
      </c>
      <c r="H190" s="53" t="str">
        <f>_xlfn.XLOOKUP(Tabla2[[#This Row],[Universidad KPIs]],Conversiones!$C:$C,Conversiones!$E:$E)</f>
        <v>Específico</v>
      </c>
      <c r="I190" s="1" t="s">
        <v>87</v>
      </c>
      <c r="J190" s="1" t="s">
        <v>250</v>
      </c>
      <c r="K190" s="1" t="s">
        <v>3292</v>
      </c>
      <c r="L190" s="1" t="s">
        <v>3293</v>
      </c>
      <c r="M190" s="1" t="s">
        <v>213</v>
      </c>
      <c r="N190" s="1" t="s">
        <v>2298</v>
      </c>
      <c r="O190" s="54" t="s">
        <v>3198</v>
      </c>
      <c r="P190" s="1">
        <v>1</v>
      </c>
      <c r="Q190" s="1" t="s">
        <v>2407</v>
      </c>
      <c r="R190" s="1" t="s">
        <v>2321</v>
      </c>
      <c r="S190" s="1" t="s">
        <v>3294</v>
      </c>
      <c r="T190" s="1" t="s">
        <v>2464</v>
      </c>
      <c r="U190" s="1" t="s">
        <v>3218</v>
      </c>
      <c r="V190" s="1" t="s">
        <v>3219</v>
      </c>
      <c r="W190" s="1" t="s">
        <v>3295</v>
      </c>
      <c r="X190" s="1"/>
      <c r="Y190" s="1"/>
      <c r="Z190" s="1"/>
      <c r="AA190" s="1"/>
      <c r="AB190" s="1"/>
      <c r="AC190" s="56" t="s">
        <v>222</v>
      </c>
      <c r="AD190" s="56" t="s">
        <v>227</v>
      </c>
    </row>
    <row r="191" spans="1:30">
      <c r="A191" s="1">
        <v>2023</v>
      </c>
      <c r="B191" s="1">
        <v>202320</v>
      </c>
      <c r="C191" s="1">
        <v>202325788</v>
      </c>
      <c r="D191" s="1" t="s">
        <v>3296</v>
      </c>
      <c r="E191" s="1" t="s">
        <v>3297</v>
      </c>
      <c r="F191" s="1" t="s">
        <v>325</v>
      </c>
      <c r="G191" s="53" t="str">
        <f>_xlfn.XLOOKUP(Tabla2[[#This Row],[Universidad]],Conversiones!$B:$B,Conversiones!$C:$C)</f>
        <v>Università Commerciale Luigi Bocconi</v>
      </c>
      <c r="H191" s="53" t="str">
        <f>_xlfn.XLOOKUP(Tabla2[[#This Row],[Universidad KPIs]],Conversiones!$C:$C,Conversiones!$E:$E)</f>
        <v>Específico</v>
      </c>
      <c r="I191" s="1" t="s">
        <v>87</v>
      </c>
      <c r="J191" s="1" t="s">
        <v>250</v>
      </c>
      <c r="K191" s="1" t="s">
        <v>3298</v>
      </c>
      <c r="L191" s="1" t="s">
        <v>3299</v>
      </c>
      <c r="M191" s="1" t="s">
        <v>213</v>
      </c>
      <c r="N191" s="1" t="s">
        <v>2334</v>
      </c>
      <c r="O191" s="54" t="s">
        <v>3198</v>
      </c>
      <c r="P191" s="1">
        <v>1</v>
      </c>
      <c r="Q191" s="1" t="s">
        <v>2307</v>
      </c>
      <c r="R191" s="1" t="s">
        <v>3022</v>
      </c>
      <c r="S191" s="1" t="s">
        <v>3300</v>
      </c>
      <c r="T191" s="1" t="s">
        <v>3145</v>
      </c>
      <c r="U191" s="1" t="s">
        <v>2347</v>
      </c>
      <c r="V191" s="1"/>
      <c r="W191" s="1"/>
      <c r="X191" s="1"/>
      <c r="Y191" s="1"/>
      <c r="Z191" s="1"/>
      <c r="AA191" s="1"/>
      <c r="AB191" s="1"/>
      <c r="AC191" s="56" t="s">
        <v>221</v>
      </c>
      <c r="AD191" s="56" t="s">
        <v>227</v>
      </c>
    </row>
    <row r="192" spans="1:30">
      <c r="A192" s="1">
        <v>2023</v>
      </c>
      <c r="B192" s="1">
        <v>202320</v>
      </c>
      <c r="C192" s="1">
        <v>202325813</v>
      </c>
      <c r="D192" s="1" t="s">
        <v>3301</v>
      </c>
      <c r="E192" s="1" t="s">
        <v>3302</v>
      </c>
      <c r="F192" s="1" t="s">
        <v>86</v>
      </c>
      <c r="G192" s="53" t="str">
        <f>_xlfn.XLOOKUP(Tabla2[[#This Row],[Universidad]],Conversiones!$B:$B,Conversiones!$C:$C)</f>
        <v>Politecnico di Milano</v>
      </c>
      <c r="H192" s="53" t="str">
        <f>_xlfn.XLOOKUP(Tabla2[[#This Row],[Universidad KPIs]],Conversiones!$C:$C,Conversiones!$E:$E)</f>
        <v>Específico</v>
      </c>
      <c r="I192" s="1" t="s">
        <v>87</v>
      </c>
      <c r="J192" s="1" t="s">
        <v>250</v>
      </c>
      <c r="K192" s="1" t="s">
        <v>3303</v>
      </c>
      <c r="L192" s="1" t="s">
        <v>3304</v>
      </c>
      <c r="M192" s="1" t="s">
        <v>213</v>
      </c>
      <c r="N192" s="1" t="s">
        <v>2298</v>
      </c>
      <c r="O192" s="54" t="s">
        <v>3198</v>
      </c>
      <c r="P192" s="1">
        <v>1</v>
      </c>
      <c r="Q192" s="1" t="s">
        <v>2525</v>
      </c>
      <c r="R192" s="1" t="s">
        <v>2407</v>
      </c>
      <c r="S192" s="1" t="s">
        <v>2300</v>
      </c>
      <c r="T192" s="1" t="s">
        <v>2370</v>
      </c>
      <c r="U192" s="1" t="s">
        <v>2307</v>
      </c>
      <c r="V192" s="1" t="s">
        <v>2601</v>
      </c>
      <c r="W192" s="1"/>
      <c r="X192" s="1"/>
      <c r="Y192" s="1"/>
      <c r="Z192" s="1"/>
      <c r="AA192" s="1"/>
      <c r="AB192" s="1"/>
      <c r="AC192" s="56" t="s">
        <v>216</v>
      </c>
      <c r="AD192" s="56" t="s">
        <v>234</v>
      </c>
    </row>
    <row r="193" spans="1:30">
      <c r="A193" s="1">
        <v>2023</v>
      </c>
      <c r="B193" s="1">
        <v>202310</v>
      </c>
      <c r="C193" s="1">
        <v>202316915</v>
      </c>
      <c r="D193" s="1" t="s">
        <v>3305</v>
      </c>
      <c r="E193" s="1" t="s">
        <v>3306</v>
      </c>
      <c r="F193" s="1" t="s">
        <v>424</v>
      </c>
      <c r="G193" s="53" t="str">
        <f>_xlfn.XLOOKUP(Tabla2[[#This Row],[Universidad]],Conversiones!$B:$B,Conversiones!$C:$C)</f>
        <v>Nova School of Business and Economics</v>
      </c>
      <c r="H193" s="53" t="str">
        <f>_xlfn.XLOOKUP(Tabla2[[#This Row],[Universidad KPIs]],Conversiones!$C:$C,Conversiones!$E:$E)</f>
        <v>Específico</v>
      </c>
      <c r="I193" s="1" t="s">
        <v>45</v>
      </c>
      <c r="J193" s="1" t="s">
        <v>250</v>
      </c>
      <c r="K193" s="1" t="s">
        <v>3307</v>
      </c>
      <c r="L193" s="1" t="s">
        <v>3308</v>
      </c>
      <c r="M193" s="1" t="s">
        <v>213</v>
      </c>
      <c r="N193" s="1" t="s">
        <v>2298</v>
      </c>
      <c r="O193" s="54" t="s">
        <v>2299</v>
      </c>
      <c r="P193" s="1">
        <v>1</v>
      </c>
      <c r="Q193" s="1" t="s">
        <v>2328</v>
      </c>
      <c r="R193" s="1" t="s">
        <v>3309</v>
      </c>
      <c r="S193" s="1" t="s">
        <v>2308</v>
      </c>
      <c r="T193" s="1" t="s">
        <v>2369</v>
      </c>
      <c r="U193" s="1" t="s">
        <v>2370</v>
      </c>
      <c r="V193" s="1" t="s">
        <v>2830</v>
      </c>
      <c r="W193" s="1"/>
      <c r="X193" s="1"/>
      <c r="Y193" s="1"/>
      <c r="Z193" s="1"/>
      <c r="AA193" s="1"/>
      <c r="AB193" s="1"/>
      <c r="AC193" s="56" t="s">
        <v>216</v>
      </c>
      <c r="AD193" s="56" t="s">
        <v>234</v>
      </c>
    </row>
    <row r="194" spans="1:30">
      <c r="A194" s="1">
        <v>2023</v>
      </c>
      <c r="B194" s="1">
        <v>202320</v>
      </c>
      <c r="C194" s="1">
        <v>202325820</v>
      </c>
      <c r="D194" s="1" t="s">
        <v>3310</v>
      </c>
      <c r="E194" s="1" t="s">
        <v>3311</v>
      </c>
      <c r="F194" s="1" t="s">
        <v>289</v>
      </c>
      <c r="G194" s="53" t="str">
        <f>_xlfn.XLOOKUP(Tabla2[[#This Row],[Universidad]],Conversiones!$B:$B,Conversiones!$C:$C)</f>
        <v>ESADE</v>
      </c>
      <c r="H194" s="53" t="str">
        <f>_xlfn.XLOOKUP(Tabla2[[#This Row],[Universidad KPIs]],Conversiones!$C:$C,Conversiones!$E:$E)</f>
        <v>Específico</v>
      </c>
      <c r="I194" s="1" t="s">
        <v>53</v>
      </c>
      <c r="J194" s="1" t="s">
        <v>250</v>
      </c>
      <c r="K194" s="1" t="s">
        <v>3312</v>
      </c>
      <c r="L194" s="1" t="s">
        <v>3313</v>
      </c>
      <c r="M194" s="1" t="s">
        <v>213</v>
      </c>
      <c r="N194" s="1" t="s">
        <v>2298</v>
      </c>
      <c r="O194" s="54" t="s">
        <v>3198</v>
      </c>
      <c r="P194" s="1">
        <v>1</v>
      </c>
      <c r="Q194" s="1" t="s">
        <v>2328</v>
      </c>
      <c r="R194" s="1" t="s">
        <v>2412</v>
      </c>
      <c r="S194" s="1" t="s">
        <v>2307</v>
      </c>
      <c r="T194" s="1" t="s">
        <v>2309</v>
      </c>
      <c r="U194" s="1" t="s">
        <v>2329</v>
      </c>
      <c r="V194" s="1"/>
      <c r="W194" s="1"/>
      <c r="X194" s="1"/>
      <c r="Y194" s="1"/>
      <c r="Z194" s="1"/>
      <c r="AA194" s="1"/>
      <c r="AB194" s="1"/>
      <c r="AC194" s="56" t="s">
        <v>216</v>
      </c>
      <c r="AD194" s="56" t="s">
        <v>234</v>
      </c>
    </row>
    <row r="195" spans="1:30">
      <c r="A195" s="1">
        <v>2023</v>
      </c>
      <c r="B195" s="1">
        <v>202320</v>
      </c>
      <c r="C195" s="1">
        <v>202325743</v>
      </c>
      <c r="D195" s="1" t="s">
        <v>3314</v>
      </c>
      <c r="E195" s="1" t="s">
        <v>3315</v>
      </c>
      <c r="F195" s="1" t="s">
        <v>1369</v>
      </c>
      <c r="G195" s="53" t="str">
        <f>_xlfn.XLOOKUP(Tabla2[[#This Row],[Universidad]],Conversiones!$B:$B,Conversiones!$C:$C)</f>
        <v>EM Strasbourg</v>
      </c>
      <c r="H195" s="53" t="str">
        <f>_xlfn.XLOOKUP(Tabla2[[#This Row],[Universidad KPIs]],Conversiones!$C:$C,Conversiones!$E:$E)</f>
        <v>Específico</v>
      </c>
      <c r="I195" s="1" t="s">
        <v>41</v>
      </c>
      <c r="J195" s="1" t="s">
        <v>250</v>
      </c>
      <c r="K195" s="1" t="s">
        <v>3316</v>
      </c>
      <c r="L195" s="1" t="s">
        <v>3317</v>
      </c>
      <c r="M195" s="1" t="s">
        <v>213</v>
      </c>
      <c r="N195" s="1" t="s">
        <v>2298</v>
      </c>
      <c r="O195" s="54" t="s">
        <v>3198</v>
      </c>
      <c r="P195" s="1">
        <v>1</v>
      </c>
      <c r="Q195" s="1" t="s">
        <v>2300</v>
      </c>
      <c r="R195" s="1" t="s">
        <v>3318</v>
      </c>
      <c r="S195" s="1" t="s">
        <v>2417</v>
      </c>
      <c r="T195" s="1"/>
      <c r="U195" s="1"/>
      <c r="V195" s="1"/>
      <c r="W195" s="1"/>
      <c r="X195" s="1"/>
      <c r="Y195" s="1"/>
      <c r="Z195" s="1"/>
      <c r="AA195" s="1"/>
      <c r="AB195" s="1"/>
      <c r="AC195" s="56" t="s">
        <v>216</v>
      </c>
      <c r="AD195" s="56" t="s">
        <v>234</v>
      </c>
    </row>
    <row r="196" spans="1:30">
      <c r="A196" s="1">
        <v>2023</v>
      </c>
      <c r="B196" s="1">
        <v>202320</v>
      </c>
      <c r="C196" s="1">
        <v>202324243</v>
      </c>
      <c r="D196" s="1" t="s">
        <v>3319</v>
      </c>
      <c r="E196" s="1" t="s">
        <v>3320</v>
      </c>
      <c r="F196" s="1" t="s">
        <v>100</v>
      </c>
      <c r="G196" s="53" t="str">
        <f>_xlfn.XLOOKUP(Tabla2[[#This Row],[Universidad]],Conversiones!$B:$B,Conversiones!$C:$C)</f>
        <v>University of Glasgow</v>
      </c>
      <c r="H196" s="53" t="str">
        <f>_xlfn.XLOOKUP(Tabla2[[#This Row],[Universidad KPIs]],Conversiones!$C:$C,Conversiones!$E:$E)</f>
        <v>General</v>
      </c>
      <c r="I196" s="1" t="s">
        <v>39</v>
      </c>
      <c r="J196" s="1" t="s">
        <v>250</v>
      </c>
      <c r="K196" s="1" t="s">
        <v>3321</v>
      </c>
      <c r="L196" s="1" t="s">
        <v>3322</v>
      </c>
      <c r="M196" s="1" t="s">
        <v>213</v>
      </c>
      <c r="N196" s="1" t="s">
        <v>2334</v>
      </c>
      <c r="O196" s="54" t="s">
        <v>3323</v>
      </c>
      <c r="P196" s="1">
        <v>1</v>
      </c>
      <c r="Q196" s="1" t="s">
        <v>2708</v>
      </c>
      <c r="R196" s="1" t="s">
        <v>2768</v>
      </c>
      <c r="S196" s="1" t="s">
        <v>2769</v>
      </c>
      <c r="T196" s="1" t="s">
        <v>2733</v>
      </c>
      <c r="U196" s="1"/>
      <c r="V196" s="1"/>
      <c r="W196" s="1"/>
      <c r="X196" s="1"/>
      <c r="Y196" s="1"/>
      <c r="Z196" s="1"/>
      <c r="AA196" s="1"/>
      <c r="AB196" s="1"/>
      <c r="AC196" s="56" t="s">
        <v>220</v>
      </c>
      <c r="AD196" s="56" t="s">
        <v>227</v>
      </c>
    </row>
    <row r="197" spans="1:30">
      <c r="A197" s="1">
        <v>2023</v>
      </c>
      <c r="B197" s="1">
        <v>202310</v>
      </c>
      <c r="C197" s="1">
        <v>202225023</v>
      </c>
      <c r="D197" s="1" t="s">
        <v>3128</v>
      </c>
      <c r="E197" s="1" t="s">
        <v>3129</v>
      </c>
      <c r="F197" s="1" t="s">
        <v>914</v>
      </c>
      <c r="G197" s="53" t="str">
        <f>_xlfn.XLOOKUP(Tabla2[[#This Row],[Universidad]],Conversiones!$B:$B,Conversiones!$C:$C)</f>
        <v>Universidad Jean Moulin Lyon 3</v>
      </c>
      <c r="H197" s="53" t="str">
        <f>_xlfn.XLOOKUP(Tabla2[[#This Row],[Universidad KPIs]],Conversiones!$C:$C,Conversiones!$E:$E)</f>
        <v>General</v>
      </c>
      <c r="I197" s="1" t="s">
        <v>41</v>
      </c>
      <c r="J197" s="1" t="s">
        <v>250</v>
      </c>
      <c r="K197" s="1" t="s">
        <v>3130</v>
      </c>
      <c r="L197" s="1" t="s">
        <v>3131</v>
      </c>
      <c r="M197" s="1" t="s">
        <v>213</v>
      </c>
      <c r="N197" s="1" t="s">
        <v>2298</v>
      </c>
      <c r="O197" s="54" t="s">
        <v>2299</v>
      </c>
      <c r="P197" s="1">
        <v>1</v>
      </c>
      <c r="Q197" s="1" t="s">
        <v>2321</v>
      </c>
      <c r="R197" s="1" t="s">
        <v>2441</v>
      </c>
      <c r="S197" s="1" t="s">
        <v>2307</v>
      </c>
      <c r="T197" s="1" t="s">
        <v>2759</v>
      </c>
      <c r="U197" s="1" t="s">
        <v>2407</v>
      </c>
      <c r="V197" s="1" t="s">
        <v>2369</v>
      </c>
      <c r="W197" s="1"/>
      <c r="X197" s="1"/>
      <c r="Y197" s="1"/>
      <c r="Z197" s="1"/>
      <c r="AA197" s="1"/>
      <c r="AB197" s="1"/>
      <c r="AC197" s="56" t="s">
        <v>216</v>
      </c>
      <c r="AD197" s="56" t="s">
        <v>234</v>
      </c>
    </row>
    <row r="198" spans="1:30">
      <c r="A198" s="1">
        <v>2023</v>
      </c>
      <c r="B198" s="1">
        <v>202320</v>
      </c>
      <c r="C198" s="1">
        <v>202325801</v>
      </c>
      <c r="D198" s="1" t="s">
        <v>434</v>
      </c>
      <c r="E198" s="1" t="s">
        <v>3324</v>
      </c>
      <c r="F198" s="1" t="s">
        <v>781</v>
      </c>
      <c r="G198" s="53" t="str">
        <f>_xlfn.XLOOKUP(Tabla2[[#This Row],[Universidad]],Conversiones!$B:$B,Conversiones!$C:$C)</f>
        <v>ITESM-EGADE -Instituto tecnológico y de estudios superiores de Monterrey</v>
      </c>
      <c r="H198" s="53" t="str">
        <f>_xlfn.XLOOKUP(Tabla2[[#This Row],[Universidad KPIs]],Conversiones!$C:$C,Conversiones!$E:$E)</f>
        <v>Específico</v>
      </c>
      <c r="I198" s="1" t="s">
        <v>71</v>
      </c>
      <c r="J198" s="1" t="s">
        <v>260</v>
      </c>
      <c r="K198" s="1" t="s">
        <v>3325</v>
      </c>
      <c r="L198" s="1" t="s">
        <v>3326</v>
      </c>
      <c r="M198" s="1" t="s">
        <v>213</v>
      </c>
      <c r="N198" s="1" t="s">
        <v>2298</v>
      </c>
      <c r="O198" s="54" t="s">
        <v>3198</v>
      </c>
      <c r="P198" s="1">
        <v>1</v>
      </c>
      <c r="Q198" s="1" t="s">
        <v>2328</v>
      </c>
      <c r="R198" s="1" t="s">
        <v>2407</v>
      </c>
      <c r="S198" s="1" t="s">
        <v>2300</v>
      </c>
      <c r="T198" s="1" t="s">
        <v>2307</v>
      </c>
      <c r="U198" s="1" t="s">
        <v>2859</v>
      </c>
      <c r="V198" s="1" t="s">
        <v>2309</v>
      </c>
      <c r="W198" s="1"/>
      <c r="X198" s="1"/>
      <c r="Y198" s="1"/>
      <c r="Z198" s="1"/>
      <c r="AA198" s="1"/>
      <c r="AB198" s="1"/>
      <c r="AC198" s="56" t="s">
        <v>216</v>
      </c>
      <c r="AD198" s="56" t="s">
        <v>234</v>
      </c>
    </row>
    <row r="199" spans="1:30">
      <c r="A199" s="1">
        <v>2023</v>
      </c>
      <c r="B199" s="1">
        <v>202310</v>
      </c>
      <c r="C199" s="1">
        <v>202314870</v>
      </c>
      <c r="D199" s="1" t="s">
        <v>3327</v>
      </c>
      <c r="E199" s="1" t="s">
        <v>3328</v>
      </c>
      <c r="F199" s="1" t="s">
        <v>424</v>
      </c>
      <c r="G199" s="53" t="str">
        <f>_xlfn.XLOOKUP(Tabla2[[#This Row],[Universidad]],Conversiones!$B:$B,Conversiones!$C:$C)</f>
        <v>Nova School of Business and Economics</v>
      </c>
      <c r="H199" s="53" t="str">
        <f>_xlfn.XLOOKUP(Tabla2[[#This Row],[Universidad KPIs]],Conversiones!$C:$C,Conversiones!$E:$E)</f>
        <v>Específico</v>
      </c>
      <c r="I199" s="1" t="s">
        <v>45</v>
      </c>
      <c r="J199" s="1" t="s">
        <v>250</v>
      </c>
      <c r="K199" s="1" t="s">
        <v>3329</v>
      </c>
      <c r="L199" s="1" t="s">
        <v>3330</v>
      </c>
      <c r="M199" s="1" t="s">
        <v>213</v>
      </c>
      <c r="N199" s="1" t="s">
        <v>2334</v>
      </c>
      <c r="O199" s="54" t="s">
        <v>2335</v>
      </c>
      <c r="P199" s="1">
        <v>1</v>
      </c>
      <c r="Q199" s="1" t="s">
        <v>3255</v>
      </c>
      <c r="R199" s="1" t="s">
        <v>3256</v>
      </c>
      <c r="S199" s="1" t="s">
        <v>3257</v>
      </c>
      <c r="T199" s="1" t="s">
        <v>3258</v>
      </c>
      <c r="U199" s="1" t="s">
        <v>3289</v>
      </c>
      <c r="V199" s="1"/>
      <c r="W199" s="1"/>
      <c r="X199" s="1"/>
      <c r="Y199" s="1"/>
      <c r="Z199" s="1"/>
      <c r="AA199" s="1"/>
      <c r="AB199" s="1"/>
      <c r="AC199" s="56" t="s">
        <v>231</v>
      </c>
      <c r="AD199" s="56" t="s">
        <v>227</v>
      </c>
    </row>
    <row r="200" spans="1:30">
      <c r="A200" s="1">
        <v>2023</v>
      </c>
      <c r="B200" s="1">
        <v>202320</v>
      </c>
      <c r="C200" s="1">
        <v>202325763</v>
      </c>
      <c r="D200" s="1" t="s">
        <v>3331</v>
      </c>
      <c r="E200" s="1" t="s">
        <v>3332</v>
      </c>
      <c r="F200" s="1" t="s">
        <v>255</v>
      </c>
      <c r="G200" s="53" t="str">
        <f>_xlfn.XLOOKUP(Tabla2[[#This Row],[Universidad]],Conversiones!$B:$B,Conversiones!$C:$C)</f>
        <v>ESC Rouen (NEOMA)</v>
      </c>
      <c r="H200" s="53" t="str">
        <f>_xlfn.XLOOKUP(Tabla2[[#This Row],[Universidad KPIs]],Conversiones!$C:$C,Conversiones!$E:$E)</f>
        <v>Específico</v>
      </c>
      <c r="I200" s="1" t="s">
        <v>41</v>
      </c>
      <c r="J200" s="1" t="s">
        <v>250</v>
      </c>
      <c r="K200" s="1" t="s">
        <v>3333</v>
      </c>
      <c r="L200" s="1" t="s">
        <v>3334</v>
      </c>
      <c r="M200" s="1" t="s">
        <v>213</v>
      </c>
      <c r="N200" s="1" t="s">
        <v>2298</v>
      </c>
      <c r="O200" s="54" t="s">
        <v>3198</v>
      </c>
      <c r="P200" s="1">
        <v>1</v>
      </c>
      <c r="Q200" s="1" t="s">
        <v>2301</v>
      </c>
      <c r="R200" s="1" t="s">
        <v>2300</v>
      </c>
      <c r="S200" s="1" t="s">
        <v>3211</v>
      </c>
      <c r="T200" s="1" t="s">
        <v>2860</v>
      </c>
      <c r="U200" s="1"/>
      <c r="V200" s="1"/>
      <c r="W200" s="1"/>
      <c r="X200" s="1"/>
      <c r="Y200" s="1"/>
      <c r="Z200" s="1"/>
      <c r="AA200" s="1"/>
      <c r="AB200" s="1"/>
      <c r="AC200" s="56" t="s">
        <v>232</v>
      </c>
      <c r="AD200" s="56" t="s">
        <v>227</v>
      </c>
    </row>
    <row r="201" spans="1:30">
      <c r="A201" s="1">
        <v>2023</v>
      </c>
      <c r="B201" s="1">
        <v>202310</v>
      </c>
      <c r="C201" s="1">
        <v>202316870</v>
      </c>
      <c r="D201" s="1" t="s">
        <v>3335</v>
      </c>
      <c r="E201" s="1" t="s">
        <v>3336</v>
      </c>
      <c r="F201" s="1" t="s">
        <v>78</v>
      </c>
      <c r="G201" s="53" t="str">
        <f>_xlfn.XLOOKUP(Tabla2[[#This Row],[Universidad]],Conversiones!$B:$B,Conversiones!$C:$C)</f>
        <v>Maastricht University</v>
      </c>
      <c r="H201" s="53" t="str">
        <f>_xlfn.XLOOKUP(Tabla2[[#This Row],[Universidad KPIs]],Conversiones!$C:$C,Conversiones!$E:$E)</f>
        <v>Específico</v>
      </c>
      <c r="I201" s="1" t="s">
        <v>79</v>
      </c>
      <c r="J201" s="1" t="s">
        <v>250</v>
      </c>
      <c r="K201" s="1" t="s">
        <v>3337</v>
      </c>
      <c r="L201" s="1" t="s">
        <v>3338</v>
      </c>
      <c r="M201" s="1" t="s">
        <v>213</v>
      </c>
      <c r="N201" s="1" t="s">
        <v>2298</v>
      </c>
      <c r="O201" s="54" t="s">
        <v>2299</v>
      </c>
      <c r="P201" s="1">
        <v>1</v>
      </c>
      <c r="Q201" s="1" t="s">
        <v>3309</v>
      </c>
      <c r="R201" s="1" t="s">
        <v>2321</v>
      </c>
      <c r="S201" s="1" t="s">
        <v>2322</v>
      </c>
      <c r="T201" s="1" t="s">
        <v>2307</v>
      </c>
      <c r="U201" s="1" t="s">
        <v>2370</v>
      </c>
      <c r="V201" s="1" t="s">
        <v>2302</v>
      </c>
      <c r="W201" s="1"/>
      <c r="X201" s="1"/>
      <c r="Y201" s="1"/>
      <c r="Z201" s="1"/>
      <c r="AA201" s="1"/>
      <c r="AB201" s="1"/>
      <c r="AC201" s="56" t="s">
        <v>216</v>
      </c>
      <c r="AD201" s="56" t="s">
        <v>234</v>
      </c>
    </row>
    <row r="202" spans="1:30">
      <c r="A202" s="1">
        <v>2023</v>
      </c>
      <c r="B202" s="1">
        <v>202310</v>
      </c>
      <c r="C202" s="1">
        <v>202316871</v>
      </c>
      <c r="D202" s="1" t="s">
        <v>3339</v>
      </c>
      <c r="E202" s="1" t="s">
        <v>3340</v>
      </c>
      <c r="F202" s="1" t="s">
        <v>608</v>
      </c>
      <c r="G202" s="53" t="str">
        <f>_xlfn.XLOOKUP(Tabla2[[#This Row],[Universidad]],Conversiones!$B:$B,Conversiones!$C:$C)</f>
        <v>IE Instituto Empresa</v>
      </c>
      <c r="H202" s="53" t="str">
        <f>_xlfn.XLOOKUP(Tabla2[[#This Row],[Universidad KPIs]],Conversiones!$C:$C,Conversiones!$E:$E)</f>
        <v>General</v>
      </c>
      <c r="I202" s="1" t="s">
        <v>53</v>
      </c>
      <c r="J202" s="1" t="s">
        <v>250</v>
      </c>
      <c r="K202" s="1" t="s">
        <v>3341</v>
      </c>
      <c r="L202" s="1" t="s">
        <v>3342</v>
      </c>
      <c r="M202" s="1" t="s">
        <v>213</v>
      </c>
      <c r="N202" s="1" t="s">
        <v>2298</v>
      </c>
      <c r="O202" s="54" t="s">
        <v>2299</v>
      </c>
      <c r="P202" s="1">
        <v>1</v>
      </c>
      <c r="Q202" s="1" t="s">
        <v>3343</v>
      </c>
      <c r="R202" s="1" t="s">
        <v>3309</v>
      </c>
      <c r="S202" s="1" t="s">
        <v>2322</v>
      </c>
      <c r="T202" s="1" t="s">
        <v>3211</v>
      </c>
      <c r="U202" s="1" t="s">
        <v>2609</v>
      </c>
      <c r="V202" s="1"/>
      <c r="W202" s="1"/>
      <c r="X202" s="1"/>
      <c r="Y202" s="1"/>
      <c r="Z202" s="1"/>
      <c r="AA202" s="1"/>
      <c r="AB202" s="1"/>
      <c r="AC202" s="56" t="s">
        <v>216</v>
      </c>
      <c r="AD202" s="56" t="s">
        <v>234</v>
      </c>
    </row>
    <row r="203" spans="1:30">
      <c r="A203" s="1">
        <v>2023</v>
      </c>
      <c r="B203" s="1">
        <v>202310</v>
      </c>
      <c r="C203" s="1">
        <v>202316830</v>
      </c>
      <c r="D203" s="1" t="s">
        <v>3344</v>
      </c>
      <c r="E203" s="1" t="s">
        <v>3345</v>
      </c>
      <c r="F203" s="1" t="s">
        <v>86</v>
      </c>
      <c r="G203" s="53" t="str">
        <f>_xlfn.XLOOKUP(Tabla2[[#This Row],[Universidad]],Conversiones!$B:$B,Conversiones!$C:$C)</f>
        <v>Politecnico di Milano</v>
      </c>
      <c r="H203" s="53" t="str">
        <f>_xlfn.XLOOKUP(Tabla2[[#This Row],[Universidad KPIs]],Conversiones!$C:$C,Conversiones!$E:$E)</f>
        <v>Específico</v>
      </c>
      <c r="I203" s="1" t="s">
        <v>87</v>
      </c>
      <c r="J203" s="1" t="s">
        <v>250</v>
      </c>
      <c r="K203" s="1" t="s">
        <v>3346</v>
      </c>
      <c r="L203" s="1" t="s">
        <v>3347</v>
      </c>
      <c r="M203" s="1" t="s">
        <v>213</v>
      </c>
      <c r="N203" s="1" t="s">
        <v>2334</v>
      </c>
      <c r="O203" s="54" t="s">
        <v>2335</v>
      </c>
      <c r="P203" s="1">
        <v>1</v>
      </c>
      <c r="Q203" s="1" t="s">
        <v>3209</v>
      </c>
      <c r="R203" s="1" t="s">
        <v>3210</v>
      </c>
      <c r="S203" s="1" t="s">
        <v>2363</v>
      </c>
      <c r="T203" s="1" t="s">
        <v>3211</v>
      </c>
      <c r="U203" s="1" t="s">
        <v>3212</v>
      </c>
      <c r="V203" s="1" t="s">
        <v>3213</v>
      </c>
      <c r="W203" s="1" t="s">
        <v>3214</v>
      </c>
      <c r="X203" s="1" t="s">
        <v>3075</v>
      </c>
      <c r="Y203" s="1"/>
      <c r="Z203" s="1"/>
      <c r="AA203" s="1"/>
      <c r="AB203" s="1"/>
      <c r="AC203" s="56" t="s">
        <v>220</v>
      </c>
      <c r="AD203" s="56" t="s">
        <v>227</v>
      </c>
    </row>
    <row r="204" spans="1:30">
      <c r="A204" s="1">
        <v>2023</v>
      </c>
      <c r="B204" s="1">
        <v>202320</v>
      </c>
      <c r="C204" s="1">
        <v>202316830</v>
      </c>
      <c r="D204" s="1" t="s">
        <v>3344</v>
      </c>
      <c r="E204" s="1" t="s">
        <v>3345</v>
      </c>
      <c r="F204" s="1" t="s">
        <v>86</v>
      </c>
      <c r="G204" s="53" t="str">
        <f>_xlfn.XLOOKUP(Tabla2[[#This Row],[Universidad]],Conversiones!$B:$B,Conversiones!$C:$C)</f>
        <v>Politecnico di Milano</v>
      </c>
      <c r="H204" s="53" t="str">
        <f>_xlfn.XLOOKUP(Tabla2[[#This Row],[Universidad KPIs]],Conversiones!$C:$C,Conversiones!$E:$E)</f>
        <v>Específico</v>
      </c>
      <c r="I204" s="1" t="s">
        <v>87</v>
      </c>
      <c r="J204" s="1" t="s">
        <v>250</v>
      </c>
      <c r="K204" s="1" t="s">
        <v>3346</v>
      </c>
      <c r="L204" s="1" t="s">
        <v>3347</v>
      </c>
      <c r="M204" s="1" t="s">
        <v>213</v>
      </c>
      <c r="N204" s="1" t="s">
        <v>2334</v>
      </c>
      <c r="O204" s="54" t="s">
        <v>3198</v>
      </c>
      <c r="P204" s="1">
        <v>1</v>
      </c>
      <c r="Q204" s="1" t="s">
        <v>3215</v>
      </c>
      <c r="R204" s="1" t="s">
        <v>3216</v>
      </c>
      <c r="S204" s="1" t="s">
        <v>3217</v>
      </c>
      <c r="T204" s="1" t="s">
        <v>2464</v>
      </c>
      <c r="U204" s="1" t="s">
        <v>3348</v>
      </c>
      <c r="V204" s="1" t="s">
        <v>3219</v>
      </c>
      <c r="W204" s="1" t="s">
        <v>3220</v>
      </c>
      <c r="X204" s="1" t="s">
        <v>3221</v>
      </c>
      <c r="Y204" s="1"/>
      <c r="Z204" s="1"/>
      <c r="AA204" s="1"/>
      <c r="AB204" s="1"/>
      <c r="AC204" s="56" t="s">
        <v>220</v>
      </c>
      <c r="AD204" s="56" t="s">
        <v>227</v>
      </c>
    </row>
    <row r="205" spans="1:30">
      <c r="A205" s="1">
        <v>2023</v>
      </c>
      <c r="B205" s="1">
        <v>202320</v>
      </c>
      <c r="C205" s="1">
        <v>202325843</v>
      </c>
      <c r="D205" s="1" t="s">
        <v>3349</v>
      </c>
      <c r="E205" s="1" t="s">
        <v>3350</v>
      </c>
      <c r="F205" s="1" t="s">
        <v>78</v>
      </c>
      <c r="G205" s="53" t="str">
        <f>_xlfn.XLOOKUP(Tabla2[[#This Row],[Universidad]],Conversiones!$B:$B,Conversiones!$C:$C)</f>
        <v>Maastricht University</v>
      </c>
      <c r="H205" s="53" t="str">
        <f>_xlfn.XLOOKUP(Tabla2[[#This Row],[Universidad KPIs]],Conversiones!$C:$C,Conversiones!$E:$E)</f>
        <v>Específico</v>
      </c>
      <c r="I205" s="1" t="s">
        <v>79</v>
      </c>
      <c r="J205" s="1" t="s">
        <v>250</v>
      </c>
      <c r="K205" s="1" t="s">
        <v>3351</v>
      </c>
      <c r="L205" s="1" t="s">
        <v>3352</v>
      </c>
      <c r="M205" s="1" t="s">
        <v>213</v>
      </c>
      <c r="N205" s="1" t="s">
        <v>2298</v>
      </c>
      <c r="O205" s="54" t="s">
        <v>3198</v>
      </c>
      <c r="P205" s="1">
        <v>1</v>
      </c>
      <c r="Q205" s="1" t="s">
        <v>2300</v>
      </c>
      <c r="R205" s="1" t="s">
        <v>2370</v>
      </c>
      <c r="S205" s="1" t="s">
        <v>2307</v>
      </c>
      <c r="T205" s="1" t="s">
        <v>2321</v>
      </c>
      <c r="U205" s="1" t="s">
        <v>2441</v>
      </c>
      <c r="V205" s="1" t="s">
        <v>2601</v>
      </c>
      <c r="W205" s="1"/>
      <c r="X205" s="1"/>
      <c r="Y205" s="1"/>
      <c r="Z205" s="1"/>
      <c r="AA205" s="1"/>
      <c r="AB205" s="1"/>
      <c r="AC205" s="56" t="s">
        <v>216</v>
      </c>
      <c r="AD205" s="56" t="s">
        <v>234</v>
      </c>
    </row>
    <row r="206" spans="1:30">
      <c r="A206" s="1">
        <v>2023</v>
      </c>
      <c r="B206" s="1">
        <v>202310</v>
      </c>
      <c r="C206" s="1">
        <v>202316872</v>
      </c>
      <c r="D206" s="1" t="s">
        <v>3353</v>
      </c>
      <c r="E206" s="1" t="s">
        <v>3354</v>
      </c>
      <c r="F206" s="1" t="s">
        <v>80</v>
      </c>
      <c r="G206" s="53" t="str">
        <f>_xlfn.XLOOKUP(Tabla2[[#This Row],[Universidad]],Conversiones!$B:$B,Conversiones!$C:$C)</f>
        <v>McGill University</v>
      </c>
      <c r="H206" s="53" t="str">
        <f>_xlfn.XLOOKUP(Tabla2[[#This Row],[Universidad KPIs]],Conversiones!$C:$C,Conversiones!$E:$E)</f>
        <v>Específico</v>
      </c>
      <c r="I206" s="1" t="s">
        <v>58</v>
      </c>
      <c r="J206" s="1" t="s">
        <v>260</v>
      </c>
      <c r="K206" s="1" t="s">
        <v>3355</v>
      </c>
      <c r="L206" s="1" t="s">
        <v>3356</v>
      </c>
      <c r="M206" s="1" t="s">
        <v>213</v>
      </c>
      <c r="N206" s="1" t="s">
        <v>2298</v>
      </c>
      <c r="O206" s="54" t="s">
        <v>2299</v>
      </c>
      <c r="P206" s="1">
        <v>1</v>
      </c>
      <c r="Q206" s="1" t="s">
        <v>2441</v>
      </c>
      <c r="R206" s="1" t="s">
        <v>2407</v>
      </c>
      <c r="S206" s="1" t="s">
        <v>3003</v>
      </c>
      <c r="T206" s="1" t="s">
        <v>2525</v>
      </c>
      <c r="U206" s="1"/>
      <c r="V206" s="1"/>
      <c r="W206" s="1"/>
      <c r="X206" s="1"/>
      <c r="Y206" s="1"/>
      <c r="Z206" s="1"/>
      <c r="AA206" s="1"/>
      <c r="AB206" s="1"/>
      <c r="AC206" s="56" t="s">
        <v>216</v>
      </c>
      <c r="AD206" s="56" t="s">
        <v>234</v>
      </c>
    </row>
    <row r="207" spans="1:30">
      <c r="A207" s="1">
        <v>2023</v>
      </c>
      <c r="B207" s="1">
        <v>202320</v>
      </c>
      <c r="C207" s="1">
        <v>202325828</v>
      </c>
      <c r="D207" s="1" t="s">
        <v>3357</v>
      </c>
      <c r="E207" s="1" t="s">
        <v>3358</v>
      </c>
      <c r="F207" s="1" t="s">
        <v>255</v>
      </c>
      <c r="G207" s="53" t="str">
        <f>_xlfn.XLOOKUP(Tabla2[[#This Row],[Universidad]],Conversiones!$B:$B,Conversiones!$C:$C)</f>
        <v>ESC Rouen (NEOMA)</v>
      </c>
      <c r="H207" s="53" t="str">
        <f>_xlfn.XLOOKUP(Tabla2[[#This Row],[Universidad KPIs]],Conversiones!$C:$C,Conversiones!$E:$E)</f>
        <v>Específico</v>
      </c>
      <c r="I207" s="1" t="s">
        <v>41</v>
      </c>
      <c r="J207" s="1" t="s">
        <v>250</v>
      </c>
      <c r="K207" s="1" t="s">
        <v>3359</v>
      </c>
      <c r="L207" s="1" t="s">
        <v>3360</v>
      </c>
      <c r="M207" s="1" t="s">
        <v>213</v>
      </c>
      <c r="N207" s="1" t="s">
        <v>2298</v>
      </c>
      <c r="O207" s="54" t="s">
        <v>3198</v>
      </c>
      <c r="P207" s="1">
        <v>1</v>
      </c>
      <c r="Q207" s="1" t="s">
        <v>2577</v>
      </c>
      <c r="R207" s="1" t="s">
        <v>2525</v>
      </c>
      <c r="S207" s="1" t="s">
        <v>2407</v>
      </c>
      <c r="T207" s="1" t="s">
        <v>2300</v>
      </c>
      <c r="U207" s="1"/>
      <c r="V207" s="1"/>
      <c r="W207" s="1"/>
      <c r="X207" s="1"/>
      <c r="Y207" s="1"/>
      <c r="Z207" s="1"/>
      <c r="AA207" s="1"/>
      <c r="AB207" s="1"/>
      <c r="AC207" s="56" t="s">
        <v>216</v>
      </c>
      <c r="AD207" s="56" t="s">
        <v>234</v>
      </c>
    </row>
    <row r="208" spans="1:30">
      <c r="A208" s="1">
        <v>2023</v>
      </c>
      <c r="B208" s="1">
        <v>202320</v>
      </c>
      <c r="C208" s="1">
        <v>202324234</v>
      </c>
      <c r="D208" s="1" t="s">
        <v>3361</v>
      </c>
      <c r="E208" s="1" t="s">
        <v>3362</v>
      </c>
      <c r="F208" s="1" t="s">
        <v>100</v>
      </c>
      <c r="G208" s="53" t="str">
        <f>_xlfn.XLOOKUP(Tabla2[[#This Row],[Universidad]],Conversiones!$B:$B,Conversiones!$C:$C)</f>
        <v>University of Glasgow</v>
      </c>
      <c r="H208" s="53" t="str">
        <f>_xlfn.XLOOKUP(Tabla2[[#This Row],[Universidad KPIs]],Conversiones!$C:$C,Conversiones!$E:$E)</f>
        <v>General</v>
      </c>
      <c r="I208" s="1" t="s">
        <v>39</v>
      </c>
      <c r="J208" s="1" t="s">
        <v>250</v>
      </c>
      <c r="K208" s="1" t="s">
        <v>3363</v>
      </c>
      <c r="L208" s="1" t="s">
        <v>3364</v>
      </c>
      <c r="M208" s="1" t="s">
        <v>213</v>
      </c>
      <c r="N208" s="1" t="s">
        <v>2334</v>
      </c>
      <c r="O208" s="54" t="s">
        <v>3323</v>
      </c>
      <c r="P208" s="1">
        <v>1</v>
      </c>
      <c r="Q208" s="1" t="s">
        <v>2708</v>
      </c>
      <c r="R208" s="1" t="s">
        <v>2768</v>
      </c>
      <c r="S208" s="1" t="s">
        <v>2769</v>
      </c>
      <c r="T208" s="1" t="s">
        <v>2733</v>
      </c>
      <c r="U208" s="1"/>
      <c r="V208" s="1"/>
      <c r="W208" s="1"/>
      <c r="X208" s="1"/>
      <c r="Y208" s="1"/>
      <c r="Z208" s="1"/>
      <c r="AA208" s="1"/>
      <c r="AB208" s="1"/>
      <c r="AC208" s="56" t="s">
        <v>220</v>
      </c>
      <c r="AD208" s="56" t="s">
        <v>227</v>
      </c>
    </row>
    <row r="209" spans="1:30">
      <c r="A209" s="1">
        <v>2023</v>
      </c>
      <c r="B209" s="1">
        <v>202320</v>
      </c>
      <c r="C209" s="1">
        <v>202325790</v>
      </c>
      <c r="D209" s="1" t="s">
        <v>3365</v>
      </c>
      <c r="E209" s="1" t="s">
        <v>3366</v>
      </c>
      <c r="F209" s="1" t="s">
        <v>78</v>
      </c>
      <c r="G209" s="53" t="str">
        <f>_xlfn.XLOOKUP(Tabla2[[#This Row],[Universidad]],Conversiones!$B:$B,Conversiones!$C:$C)</f>
        <v>Maastricht University</v>
      </c>
      <c r="H209" s="53" t="str">
        <f>_xlfn.XLOOKUP(Tabla2[[#This Row],[Universidad KPIs]],Conversiones!$C:$C,Conversiones!$E:$E)</f>
        <v>Específico</v>
      </c>
      <c r="I209" s="1" t="s">
        <v>79</v>
      </c>
      <c r="J209" s="1" t="s">
        <v>250</v>
      </c>
      <c r="K209" s="1" t="s">
        <v>3367</v>
      </c>
      <c r="L209" s="1" t="s">
        <v>3368</v>
      </c>
      <c r="M209" s="1" t="s">
        <v>213</v>
      </c>
      <c r="N209" s="1" t="s">
        <v>2298</v>
      </c>
      <c r="O209" s="54" t="s">
        <v>3198</v>
      </c>
      <c r="P209" s="1">
        <v>1</v>
      </c>
      <c r="Q209" s="1" t="s">
        <v>2328</v>
      </c>
      <c r="R209" s="1" t="s">
        <v>2407</v>
      </c>
      <c r="S209" s="1" t="s">
        <v>2370</v>
      </c>
      <c r="T209" s="1" t="s">
        <v>2302</v>
      </c>
      <c r="U209" s="1" t="s">
        <v>2321</v>
      </c>
      <c r="V209" s="1" t="s">
        <v>2601</v>
      </c>
      <c r="W209" s="1"/>
      <c r="X209" s="1"/>
      <c r="Y209" s="1"/>
      <c r="Z209" s="1"/>
      <c r="AA209" s="1"/>
      <c r="AB209" s="1"/>
      <c r="AC209" s="56" t="s">
        <v>216</v>
      </c>
      <c r="AD209" s="56" t="s">
        <v>234</v>
      </c>
    </row>
    <row r="210" spans="1:30">
      <c r="A210" s="1">
        <v>2023</v>
      </c>
      <c r="B210" s="1">
        <v>202320</v>
      </c>
      <c r="C210" s="1">
        <v>202326508</v>
      </c>
      <c r="D210" s="1" t="s">
        <v>3369</v>
      </c>
      <c r="E210" s="1" t="s">
        <v>3370</v>
      </c>
      <c r="F210" s="1" t="s">
        <v>190</v>
      </c>
      <c r="G210" s="53" t="str">
        <f>_xlfn.XLOOKUP(Tabla2[[#This Row],[Universidad]],Conversiones!$B:$B,Conversiones!$C:$C)</f>
        <v>Université Catholique de Louvain</v>
      </c>
      <c r="H210" s="53" t="str">
        <f>_xlfn.XLOOKUP(Tabla2[[#This Row],[Universidad KPIs]],Conversiones!$C:$C,Conversiones!$E:$E)</f>
        <v>General</v>
      </c>
      <c r="I210" s="1" t="s">
        <v>169</v>
      </c>
      <c r="J210" s="1" t="s">
        <v>250</v>
      </c>
      <c r="K210" s="1" t="s">
        <v>3371</v>
      </c>
      <c r="L210" s="1" t="s">
        <v>3372</v>
      </c>
      <c r="M210" s="1" t="s">
        <v>213</v>
      </c>
      <c r="N210" s="1" t="s">
        <v>2334</v>
      </c>
      <c r="O210" s="54" t="s">
        <v>3373</v>
      </c>
      <c r="P210" s="1">
        <v>1</v>
      </c>
      <c r="Q210" s="1" t="s">
        <v>2716</v>
      </c>
      <c r="R210" s="1" t="s">
        <v>3374</v>
      </c>
      <c r="S210" s="1" t="s">
        <v>3375</v>
      </c>
      <c r="T210" s="1" t="s">
        <v>3300</v>
      </c>
      <c r="U210" s="1" t="s">
        <v>3145</v>
      </c>
      <c r="V210" s="1" t="s">
        <v>3376</v>
      </c>
      <c r="W210" s="1"/>
      <c r="X210" s="1"/>
      <c r="Y210" s="1"/>
      <c r="Z210" s="1"/>
      <c r="AA210" s="1"/>
      <c r="AB210" s="1"/>
      <c r="AC210" s="56" t="s">
        <v>231</v>
      </c>
      <c r="AD210" s="56" t="s">
        <v>227</v>
      </c>
    </row>
    <row r="211" spans="1:30">
      <c r="A211" s="1">
        <v>2023</v>
      </c>
      <c r="B211" s="1">
        <v>202310</v>
      </c>
      <c r="C211" s="1">
        <v>202316831</v>
      </c>
      <c r="D211" s="1" t="s">
        <v>3377</v>
      </c>
      <c r="E211" s="1" t="s">
        <v>3378</v>
      </c>
      <c r="F211" s="1" t="s">
        <v>320</v>
      </c>
      <c r="G211" s="53" t="str">
        <f>_xlfn.XLOOKUP(Tabla2[[#This Row],[Universidad]],Conversiones!$B:$B,Conversiones!$C:$C)</f>
        <v>KLU Kühne Logistics University</v>
      </c>
      <c r="H211" s="53" t="str">
        <f>_xlfn.XLOOKUP(Tabla2[[#This Row],[Universidad KPIs]],Conversiones!$C:$C,Conversiones!$E:$E)</f>
        <v>Específico</v>
      </c>
      <c r="I211" s="1" t="s">
        <v>60</v>
      </c>
      <c r="J211" s="1" t="s">
        <v>250</v>
      </c>
      <c r="K211" s="1" t="s">
        <v>3379</v>
      </c>
      <c r="L211" s="1" t="s">
        <v>3380</v>
      </c>
      <c r="M211" s="1" t="s">
        <v>213</v>
      </c>
      <c r="N211" s="1" t="s">
        <v>2298</v>
      </c>
      <c r="O211" s="54" t="s">
        <v>2299</v>
      </c>
      <c r="P211" s="1">
        <v>1</v>
      </c>
      <c r="Q211" s="1" t="s">
        <v>2322</v>
      </c>
      <c r="R211" s="1" t="s">
        <v>2307</v>
      </c>
      <c r="S211" s="1" t="s">
        <v>2382</v>
      </c>
      <c r="T211" s="1" t="s">
        <v>2407</v>
      </c>
      <c r="U211" s="1" t="s">
        <v>3381</v>
      </c>
      <c r="V211" s="1" t="s">
        <v>2370</v>
      </c>
      <c r="W211" s="1"/>
      <c r="X211" s="1"/>
      <c r="Y211" s="1"/>
      <c r="Z211" s="1"/>
      <c r="AA211" s="1"/>
      <c r="AB211" s="1"/>
      <c r="AC211" s="56" t="s">
        <v>220</v>
      </c>
      <c r="AD211" s="56" t="s">
        <v>227</v>
      </c>
    </row>
    <row r="212" spans="1:30">
      <c r="A212" s="1">
        <v>2023</v>
      </c>
      <c r="B212" s="1">
        <v>202320</v>
      </c>
      <c r="C212" s="1">
        <v>202325758</v>
      </c>
      <c r="D212" s="1" t="s">
        <v>3382</v>
      </c>
      <c r="E212" s="1" t="s">
        <v>3383</v>
      </c>
      <c r="F212" s="1" t="s">
        <v>78</v>
      </c>
      <c r="G212" s="53" t="str">
        <f>_xlfn.XLOOKUP(Tabla2[[#This Row],[Universidad]],Conversiones!$B:$B,Conversiones!$C:$C)</f>
        <v>Maastricht University</v>
      </c>
      <c r="H212" s="53" t="str">
        <f>_xlfn.XLOOKUP(Tabla2[[#This Row],[Universidad KPIs]],Conversiones!$C:$C,Conversiones!$E:$E)</f>
        <v>Específico</v>
      </c>
      <c r="I212" s="1" t="s">
        <v>79</v>
      </c>
      <c r="J212" s="1" t="s">
        <v>250</v>
      </c>
      <c r="K212" s="1" t="s">
        <v>3384</v>
      </c>
      <c r="L212" s="1" t="s">
        <v>3385</v>
      </c>
      <c r="M212" s="1" t="s">
        <v>213</v>
      </c>
      <c r="N212" s="1" t="s">
        <v>2298</v>
      </c>
      <c r="O212" s="54" t="s">
        <v>3198</v>
      </c>
      <c r="P212" s="1">
        <v>1</v>
      </c>
      <c r="Q212" s="1" t="s">
        <v>2328</v>
      </c>
      <c r="R212" s="1" t="s">
        <v>2407</v>
      </c>
      <c r="S212" s="1" t="s">
        <v>2370</v>
      </c>
      <c r="T212" s="1" t="s">
        <v>2302</v>
      </c>
      <c r="U212" s="1" t="s">
        <v>2321</v>
      </c>
      <c r="V212" s="1" t="s">
        <v>2601</v>
      </c>
      <c r="W212" s="1"/>
      <c r="X212" s="1"/>
      <c r="Y212" s="1"/>
      <c r="Z212" s="1"/>
      <c r="AA212" s="1"/>
      <c r="AB212" s="1"/>
      <c r="AC212" s="56" t="s">
        <v>216</v>
      </c>
      <c r="AD212" s="56" t="s">
        <v>234</v>
      </c>
    </row>
    <row r="213" spans="1:30">
      <c r="A213" s="1">
        <v>2023</v>
      </c>
      <c r="B213" s="1">
        <v>202310</v>
      </c>
      <c r="C213" s="1">
        <v>202316876</v>
      </c>
      <c r="D213" s="1" t="s">
        <v>3386</v>
      </c>
      <c r="E213" s="1" t="s">
        <v>3387</v>
      </c>
      <c r="F213" s="1" t="s">
        <v>255</v>
      </c>
      <c r="G213" s="53" t="str">
        <f>_xlfn.XLOOKUP(Tabla2[[#This Row],[Universidad]],Conversiones!$B:$B,Conversiones!$C:$C)</f>
        <v>ESC Rouen (NEOMA)</v>
      </c>
      <c r="H213" s="53" t="str">
        <f>_xlfn.XLOOKUP(Tabla2[[#This Row],[Universidad KPIs]],Conversiones!$C:$C,Conversiones!$E:$E)</f>
        <v>Específico</v>
      </c>
      <c r="I213" s="1" t="s">
        <v>41</v>
      </c>
      <c r="J213" s="1" t="s">
        <v>250</v>
      </c>
      <c r="K213" s="1" t="s">
        <v>3388</v>
      </c>
      <c r="L213" s="1" t="s">
        <v>3389</v>
      </c>
      <c r="M213" s="1" t="s">
        <v>213</v>
      </c>
      <c r="N213" s="1" t="s">
        <v>2298</v>
      </c>
      <c r="O213" s="54" t="s">
        <v>2299</v>
      </c>
      <c r="P213" s="1">
        <v>1</v>
      </c>
      <c r="Q213" s="1" t="s">
        <v>2321</v>
      </c>
      <c r="R213" s="1" t="s">
        <v>2632</v>
      </c>
      <c r="S213" s="1" t="s">
        <v>2363</v>
      </c>
      <c r="T213" s="1" t="s">
        <v>2302</v>
      </c>
      <c r="U213" s="1"/>
      <c r="V213" s="1"/>
      <c r="W213" s="1"/>
      <c r="X213" s="1"/>
      <c r="Y213" s="1"/>
      <c r="Z213" s="1"/>
      <c r="AA213" s="1"/>
      <c r="AB213" s="1"/>
      <c r="AC213" s="56" t="s">
        <v>216</v>
      </c>
      <c r="AD213" s="56" t="s">
        <v>234</v>
      </c>
    </row>
    <row r="214" spans="1:30">
      <c r="A214" s="1">
        <v>2023</v>
      </c>
      <c r="B214" s="1">
        <v>202320</v>
      </c>
      <c r="C214" s="1">
        <v>202325840</v>
      </c>
      <c r="D214" s="1" t="s">
        <v>3390</v>
      </c>
      <c r="E214" s="1" t="s">
        <v>3391</v>
      </c>
      <c r="F214" s="1" t="s">
        <v>3024</v>
      </c>
      <c r="G214" s="53" t="str">
        <f>_xlfn.XLOOKUP(Tabla2[[#This Row],[Universidad]],Conversiones!$B:$B,Conversiones!$C:$C)</f>
        <v>JIBS Jönköping International Business School</v>
      </c>
      <c r="H214" s="53" t="str">
        <f>_xlfn.XLOOKUP(Tabla2[[#This Row],[Universidad KPIs]],Conversiones!$C:$C,Conversiones!$E:$E)</f>
        <v>Específico</v>
      </c>
      <c r="I214" s="1" t="s">
        <v>74</v>
      </c>
      <c r="J214" s="1" t="s">
        <v>250</v>
      </c>
      <c r="K214" s="1" t="s">
        <v>3392</v>
      </c>
      <c r="L214" s="1" t="s">
        <v>3393</v>
      </c>
      <c r="M214" s="1" t="s">
        <v>213</v>
      </c>
      <c r="N214" s="1" t="s">
        <v>2298</v>
      </c>
      <c r="O214" s="54" t="s">
        <v>3198</v>
      </c>
      <c r="P214" s="1">
        <v>1</v>
      </c>
      <c r="Q214" s="1" t="s">
        <v>2328</v>
      </c>
      <c r="R214" s="1" t="s">
        <v>2307</v>
      </c>
      <c r="S214" s="1" t="s">
        <v>2601</v>
      </c>
      <c r="T214" s="1" t="s">
        <v>3199</v>
      </c>
      <c r="U214" s="1" t="s">
        <v>3200</v>
      </c>
      <c r="V214" s="1"/>
      <c r="W214" s="1"/>
      <c r="X214" s="1"/>
      <c r="Y214" s="1"/>
      <c r="Z214" s="1"/>
      <c r="AA214" s="1"/>
      <c r="AB214" s="1"/>
      <c r="AC214" s="56" t="s">
        <v>216</v>
      </c>
      <c r="AD214" s="56" t="s">
        <v>234</v>
      </c>
    </row>
    <row r="215" spans="1:30">
      <c r="A215" s="1">
        <v>2023</v>
      </c>
      <c r="B215" s="1">
        <v>202320</v>
      </c>
      <c r="C215" s="1">
        <v>202325846</v>
      </c>
      <c r="D215" s="1" t="s">
        <v>3394</v>
      </c>
      <c r="E215" s="1" t="s">
        <v>3395</v>
      </c>
      <c r="F215" s="1" t="s">
        <v>161</v>
      </c>
      <c r="G215" s="53" t="str">
        <f>_xlfn.XLOOKUP(Tabla2[[#This Row],[Universidad]],Conversiones!$B:$B,Conversiones!$C:$C)</f>
        <v>Université de Genève</v>
      </c>
      <c r="H215" s="53" t="str">
        <f>_xlfn.XLOOKUP(Tabla2[[#This Row],[Universidad KPIs]],Conversiones!$C:$C,Conversiones!$E:$E)</f>
        <v>General</v>
      </c>
      <c r="I215" s="1" t="s">
        <v>65</v>
      </c>
      <c r="J215" s="1" t="s">
        <v>250</v>
      </c>
      <c r="K215" s="1" t="s">
        <v>3396</v>
      </c>
      <c r="L215" s="1" t="s">
        <v>3397</v>
      </c>
      <c r="M215" s="1" t="s">
        <v>213</v>
      </c>
      <c r="N215" s="1" t="s">
        <v>2298</v>
      </c>
      <c r="O215" s="54" t="s">
        <v>3198</v>
      </c>
      <c r="P215" s="1">
        <v>1</v>
      </c>
      <c r="Q215" s="1" t="s">
        <v>2407</v>
      </c>
      <c r="R215" s="1" t="s">
        <v>2307</v>
      </c>
      <c r="S215" s="1" t="s">
        <v>2321</v>
      </c>
      <c r="T215" s="1" t="s">
        <v>2647</v>
      </c>
      <c r="U215" s="1" t="s">
        <v>2601</v>
      </c>
      <c r="V215" s="1" t="s">
        <v>2382</v>
      </c>
      <c r="W215" s="1" t="s">
        <v>2347</v>
      </c>
      <c r="X215" s="1"/>
      <c r="Y215" s="1"/>
      <c r="Z215" s="1"/>
      <c r="AA215" s="1"/>
      <c r="AB215" s="1"/>
      <c r="AC215" s="56" t="s">
        <v>216</v>
      </c>
      <c r="AD215" s="56" t="s">
        <v>234</v>
      </c>
    </row>
    <row r="216" spans="1:30">
      <c r="A216" s="1">
        <v>2023</v>
      </c>
      <c r="B216" s="1">
        <v>202310</v>
      </c>
      <c r="C216" s="1">
        <v>202314871</v>
      </c>
      <c r="D216" s="1" t="s">
        <v>3398</v>
      </c>
      <c r="E216" s="1" t="s">
        <v>3399</v>
      </c>
      <c r="F216" s="1" t="s">
        <v>1454</v>
      </c>
      <c r="G216" s="53" t="str">
        <f>_xlfn.XLOOKUP(Tabla2[[#This Row],[Universidad]],Conversiones!$B:$B,Conversiones!$C:$C)</f>
        <v>HEC Paris</v>
      </c>
      <c r="H216" s="53" t="str">
        <f>_xlfn.XLOOKUP(Tabla2[[#This Row],[Universidad KPIs]],Conversiones!$C:$C,Conversiones!$E:$E)</f>
        <v>Específico</v>
      </c>
      <c r="I216" s="1" t="s">
        <v>41</v>
      </c>
      <c r="J216" s="1" t="s">
        <v>250</v>
      </c>
      <c r="K216" s="1" t="s">
        <v>3400</v>
      </c>
      <c r="L216" s="1" t="s">
        <v>3401</v>
      </c>
      <c r="M216" s="1" t="s">
        <v>213</v>
      </c>
      <c r="N216" s="1" t="s">
        <v>2334</v>
      </c>
      <c r="O216" s="54" t="s">
        <v>2335</v>
      </c>
      <c r="P216" s="1">
        <v>1</v>
      </c>
      <c r="Q216" s="1" t="s">
        <v>3255</v>
      </c>
      <c r="R216" s="1" t="s">
        <v>3256</v>
      </c>
      <c r="S216" s="1" t="s">
        <v>3257</v>
      </c>
      <c r="T216" s="1" t="s">
        <v>3258</v>
      </c>
      <c r="U216" s="1" t="s">
        <v>3289</v>
      </c>
      <c r="V216" s="1"/>
      <c r="W216" s="1"/>
      <c r="X216" s="1"/>
      <c r="Y216" s="1"/>
      <c r="Z216" s="1"/>
      <c r="AA216" s="1"/>
      <c r="AB216" s="1"/>
      <c r="AC216" s="56" t="s">
        <v>231</v>
      </c>
      <c r="AD216" s="56" t="s">
        <v>227</v>
      </c>
    </row>
    <row r="217" spans="1:30">
      <c r="A217" s="1">
        <v>2023</v>
      </c>
      <c r="B217" s="1">
        <v>202320</v>
      </c>
      <c r="C217" s="1">
        <v>202325885</v>
      </c>
      <c r="D217" s="1" t="s">
        <v>3402</v>
      </c>
      <c r="E217" s="1" t="s">
        <v>3403</v>
      </c>
      <c r="F217" s="1" t="s">
        <v>493</v>
      </c>
      <c r="G217" s="53" t="str">
        <f>_xlfn.XLOOKUP(Tabla2[[#This Row],[Universidad]],Conversiones!$B:$B,Conversiones!$C:$C)</f>
        <v>University of Saint Gallen</v>
      </c>
      <c r="H217" s="53" t="str">
        <f>_xlfn.XLOOKUP(Tabla2[[#This Row],[Universidad KPIs]],Conversiones!$C:$C,Conversiones!$E:$E)</f>
        <v>Específico</v>
      </c>
      <c r="I217" s="1" t="s">
        <v>65</v>
      </c>
      <c r="J217" s="1" t="s">
        <v>250</v>
      </c>
      <c r="K217" s="1" t="s">
        <v>3404</v>
      </c>
      <c r="L217" s="1" t="s">
        <v>3405</v>
      </c>
      <c r="M217" s="1" t="s">
        <v>213</v>
      </c>
      <c r="N217" s="1" t="s">
        <v>2334</v>
      </c>
      <c r="O217" s="54" t="s">
        <v>3198</v>
      </c>
      <c r="P217" s="1">
        <v>1</v>
      </c>
      <c r="Q217" s="1" t="s">
        <v>3406</v>
      </c>
      <c r="R217" s="1" t="s">
        <v>3407</v>
      </c>
      <c r="S217" s="1" t="s">
        <v>2764</v>
      </c>
      <c r="T217" s="1" t="s">
        <v>3408</v>
      </c>
      <c r="U217" s="1" t="s">
        <v>2707</v>
      </c>
      <c r="V217" s="1" t="s">
        <v>3409</v>
      </c>
      <c r="W217" s="1"/>
      <c r="X217" s="1"/>
      <c r="Y217" s="1"/>
      <c r="Z217" s="1"/>
      <c r="AA217" s="1"/>
      <c r="AB217" s="1"/>
      <c r="AC217" s="56" t="s">
        <v>216</v>
      </c>
      <c r="AD217" s="56" t="s">
        <v>234</v>
      </c>
    </row>
    <row r="218" spans="1:30">
      <c r="A218" s="1">
        <v>2023</v>
      </c>
      <c r="B218" s="1">
        <v>202320</v>
      </c>
      <c r="C218" s="1">
        <v>202325809</v>
      </c>
      <c r="D218" s="1" t="s">
        <v>713</v>
      </c>
      <c r="E218" s="1" t="s">
        <v>3410</v>
      </c>
      <c r="F218" s="1" t="s">
        <v>98</v>
      </c>
      <c r="G218" s="53" t="str">
        <f>_xlfn.XLOOKUP(Tabla2[[#This Row],[Universidad]],Conversiones!$B:$B,Conversiones!$C:$C)</f>
        <v>Universiteit Utrecht</v>
      </c>
      <c r="H218" s="53" t="str">
        <f>_xlfn.XLOOKUP(Tabla2[[#This Row],[Universidad KPIs]],Conversiones!$C:$C,Conversiones!$E:$E)</f>
        <v>Específico</v>
      </c>
      <c r="I218" s="1" t="s">
        <v>79</v>
      </c>
      <c r="J218" s="1" t="s">
        <v>250</v>
      </c>
      <c r="K218" s="1" t="s">
        <v>3411</v>
      </c>
      <c r="L218" s="1" t="s">
        <v>3412</v>
      </c>
      <c r="M218" s="1" t="s">
        <v>213</v>
      </c>
      <c r="N218" s="1" t="s">
        <v>2298</v>
      </c>
      <c r="O218" s="54" t="s">
        <v>3198</v>
      </c>
      <c r="P218" s="1">
        <v>1</v>
      </c>
      <c r="Q218" s="1" t="s">
        <v>2328</v>
      </c>
      <c r="R218" s="1" t="s">
        <v>2300</v>
      </c>
      <c r="S218" s="1" t="s">
        <v>2302</v>
      </c>
      <c r="T218" s="1" t="s">
        <v>2307</v>
      </c>
      <c r="U218" s="1" t="s">
        <v>3413</v>
      </c>
      <c r="V218" s="1" t="s">
        <v>3200</v>
      </c>
      <c r="W218" s="1" t="s">
        <v>2464</v>
      </c>
      <c r="X218" s="1"/>
      <c r="Y218" s="1"/>
      <c r="Z218" s="1"/>
      <c r="AA218" s="1"/>
      <c r="AB218" s="1"/>
      <c r="AC218" s="56" t="s">
        <v>216</v>
      </c>
      <c r="AD218" s="56" t="s">
        <v>234</v>
      </c>
    </row>
    <row r="219" spans="1:30">
      <c r="A219" s="1">
        <v>2023</v>
      </c>
      <c r="B219" s="1">
        <v>202320</v>
      </c>
      <c r="C219" s="1">
        <v>202326509</v>
      </c>
      <c r="D219" s="1" t="s">
        <v>3414</v>
      </c>
      <c r="E219" s="1" t="s">
        <v>3415</v>
      </c>
      <c r="F219" s="1" t="s">
        <v>289</v>
      </c>
      <c r="G219" s="53" t="str">
        <f>_xlfn.XLOOKUP(Tabla2[[#This Row],[Universidad]],Conversiones!$B:$B,Conversiones!$C:$C)</f>
        <v>ESADE</v>
      </c>
      <c r="H219" s="53" t="str">
        <f>_xlfn.XLOOKUP(Tabla2[[#This Row],[Universidad KPIs]],Conversiones!$C:$C,Conversiones!$E:$E)</f>
        <v>Específico</v>
      </c>
      <c r="I219" s="1" t="s">
        <v>53</v>
      </c>
      <c r="J219" s="1" t="s">
        <v>250</v>
      </c>
      <c r="K219" s="1" t="s">
        <v>3416</v>
      </c>
      <c r="L219" s="1" t="s">
        <v>3417</v>
      </c>
      <c r="M219" s="1" t="s">
        <v>213</v>
      </c>
      <c r="N219" s="1" t="s">
        <v>2334</v>
      </c>
      <c r="O219" s="54" t="s">
        <v>3373</v>
      </c>
      <c r="P219" s="1">
        <v>1</v>
      </c>
      <c r="Q219" s="1" t="s">
        <v>3374</v>
      </c>
      <c r="R219" s="1" t="s">
        <v>3375</v>
      </c>
      <c r="S219" s="1" t="s">
        <v>3300</v>
      </c>
      <c r="T219" s="1" t="s">
        <v>3145</v>
      </c>
      <c r="U219" s="1" t="s">
        <v>3259</v>
      </c>
      <c r="V219" s="1" t="s">
        <v>3376</v>
      </c>
      <c r="W219" s="1"/>
      <c r="X219" s="1"/>
      <c r="Y219" s="1"/>
      <c r="Z219" s="1"/>
      <c r="AA219" s="1"/>
      <c r="AB219" s="1"/>
      <c r="AC219" s="56" t="s">
        <v>231</v>
      </c>
      <c r="AD219" s="56" t="s">
        <v>227</v>
      </c>
    </row>
    <row r="220" spans="1:30">
      <c r="A220" s="1">
        <v>2023</v>
      </c>
      <c r="B220" s="1">
        <v>202310</v>
      </c>
      <c r="C220" s="1">
        <v>202316882</v>
      </c>
      <c r="D220" s="1" t="s">
        <v>3418</v>
      </c>
      <c r="E220" s="1" t="s">
        <v>3419</v>
      </c>
      <c r="F220" s="1" t="s">
        <v>1454</v>
      </c>
      <c r="G220" s="53" t="str">
        <f>_xlfn.XLOOKUP(Tabla2[[#This Row],[Universidad]],Conversiones!$B:$B,Conversiones!$C:$C)</f>
        <v>HEC Paris</v>
      </c>
      <c r="H220" s="53" t="str">
        <f>_xlfn.XLOOKUP(Tabla2[[#This Row],[Universidad KPIs]],Conversiones!$C:$C,Conversiones!$E:$E)</f>
        <v>Específico</v>
      </c>
      <c r="I220" s="1" t="s">
        <v>41</v>
      </c>
      <c r="J220" s="1" t="s">
        <v>250</v>
      </c>
      <c r="K220" s="1" t="s">
        <v>3420</v>
      </c>
      <c r="L220" s="1" t="s">
        <v>3421</v>
      </c>
      <c r="M220" s="1" t="s">
        <v>213</v>
      </c>
      <c r="N220" s="1" t="s">
        <v>2298</v>
      </c>
      <c r="O220" s="54" t="s">
        <v>2299</v>
      </c>
      <c r="P220" s="1">
        <v>1</v>
      </c>
      <c r="Q220" s="1" t="s">
        <v>2600</v>
      </c>
      <c r="R220" s="1" t="s">
        <v>2309</v>
      </c>
      <c r="S220" s="1" t="s">
        <v>2307</v>
      </c>
      <c r="T220" s="1" t="s">
        <v>3422</v>
      </c>
      <c r="U220" s="1"/>
      <c r="V220" s="1"/>
      <c r="W220" s="1"/>
      <c r="X220" s="1"/>
      <c r="Y220" s="1"/>
      <c r="Z220" s="1"/>
      <c r="AA220" s="1"/>
      <c r="AB220" s="1"/>
      <c r="AC220" s="56" t="s">
        <v>216</v>
      </c>
      <c r="AD220" s="56" t="s">
        <v>234</v>
      </c>
    </row>
    <row r="221" spans="1:30">
      <c r="A221" s="1">
        <v>2023</v>
      </c>
      <c r="B221" s="1">
        <v>202310</v>
      </c>
      <c r="C221" s="1">
        <v>202316886</v>
      </c>
      <c r="D221" s="1" t="s">
        <v>3423</v>
      </c>
      <c r="E221" s="1" t="s">
        <v>3424</v>
      </c>
      <c r="F221" s="1" t="s">
        <v>36</v>
      </c>
      <c r="G221" s="53" t="str">
        <f>_xlfn.XLOOKUP(Tabla2[[#This Row],[Universidad]],Conversiones!$B:$B,Conversiones!$C:$C)</f>
        <v>Aalto University</v>
      </c>
      <c r="H221" s="53" t="str">
        <f>_xlfn.XLOOKUP(Tabla2[[#This Row],[Universidad KPIs]],Conversiones!$C:$C,Conversiones!$E:$E)</f>
        <v>Específico</v>
      </c>
      <c r="I221" s="1" t="s">
        <v>37</v>
      </c>
      <c r="J221" s="1" t="s">
        <v>250</v>
      </c>
      <c r="K221" s="1" t="s">
        <v>3425</v>
      </c>
      <c r="L221" s="1" t="s">
        <v>3426</v>
      </c>
      <c r="M221" s="1" t="s">
        <v>213</v>
      </c>
      <c r="N221" s="1" t="s">
        <v>2298</v>
      </c>
      <c r="O221" s="54" t="s">
        <v>2299</v>
      </c>
      <c r="P221" s="1">
        <v>1</v>
      </c>
      <c r="Q221" s="1" t="s">
        <v>2328</v>
      </c>
      <c r="R221" s="1" t="s">
        <v>3427</v>
      </c>
      <c r="S221" s="1" t="s">
        <v>2322</v>
      </c>
      <c r="T221" s="1" t="s">
        <v>2370</v>
      </c>
      <c r="U221" s="1" t="s">
        <v>2302</v>
      </c>
      <c r="V221" s="1"/>
      <c r="W221" s="1"/>
      <c r="X221" s="1"/>
      <c r="Y221" s="1"/>
      <c r="Z221" s="1"/>
      <c r="AA221" s="1"/>
      <c r="AB221" s="1"/>
      <c r="AC221" s="56" t="s">
        <v>216</v>
      </c>
      <c r="AD221" s="56" t="s">
        <v>234</v>
      </c>
    </row>
    <row r="222" spans="1:30">
      <c r="A222" s="1">
        <v>2023</v>
      </c>
      <c r="B222" s="1">
        <v>202310</v>
      </c>
      <c r="C222" s="1">
        <v>202316887</v>
      </c>
      <c r="D222" s="1" t="s">
        <v>3428</v>
      </c>
      <c r="E222" s="1" t="s">
        <v>3429</v>
      </c>
      <c r="F222" s="1" t="s">
        <v>350</v>
      </c>
      <c r="G222" s="53" t="str">
        <f>_xlfn.XLOOKUP(Tabla2[[#This Row],[Universidad]],Conversiones!$B:$B,Conversiones!$C:$C)</f>
        <v>Audencia. École de Management</v>
      </c>
      <c r="H222" s="53" t="str">
        <f>_xlfn.XLOOKUP(Tabla2[[#This Row],[Universidad KPIs]],Conversiones!$C:$C,Conversiones!$E:$E)</f>
        <v>Específico</v>
      </c>
      <c r="I222" s="1" t="s">
        <v>41</v>
      </c>
      <c r="J222" s="1" t="s">
        <v>250</v>
      </c>
      <c r="K222" s="1" t="s">
        <v>3430</v>
      </c>
      <c r="L222" s="1" t="s">
        <v>3431</v>
      </c>
      <c r="M222" s="1" t="s">
        <v>213</v>
      </c>
      <c r="N222" s="1" t="s">
        <v>2298</v>
      </c>
      <c r="O222" s="54" t="s">
        <v>2299</v>
      </c>
      <c r="P222" s="1">
        <v>1</v>
      </c>
      <c r="Q222" s="1" t="s">
        <v>3022</v>
      </c>
      <c r="R222" s="1" t="s">
        <v>2309</v>
      </c>
      <c r="S222" s="1" t="s">
        <v>2307</v>
      </c>
      <c r="T222" s="1" t="s">
        <v>2407</v>
      </c>
      <c r="U222" s="1" t="s">
        <v>2681</v>
      </c>
      <c r="V222" s="1"/>
      <c r="W222" s="1"/>
      <c r="X222" s="1"/>
      <c r="Y222" s="1"/>
      <c r="Z222" s="1"/>
      <c r="AA222" s="1"/>
      <c r="AB222" s="1"/>
      <c r="AC222" s="56" t="s">
        <v>216</v>
      </c>
      <c r="AD222" s="56" t="s">
        <v>234</v>
      </c>
    </row>
    <row r="223" spans="1:30">
      <c r="A223" s="1">
        <v>2023</v>
      </c>
      <c r="B223" s="1">
        <v>202320</v>
      </c>
      <c r="C223" s="1">
        <v>202325772</v>
      </c>
      <c r="D223" s="1" t="s">
        <v>3432</v>
      </c>
      <c r="E223" s="1" t="s">
        <v>3433</v>
      </c>
      <c r="F223" s="1" t="s">
        <v>397</v>
      </c>
      <c r="G223" s="53" t="str">
        <f>_xlfn.XLOOKUP(Tabla2[[#This Row],[Universidad]],Conversiones!$B:$B,Conversiones!$C:$C)</f>
        <v>Roskilde University</v>
      </c>
      <c r="H223" s="53" t="str">
        <f>_xlfn.XLOOKUP(Tabla2[[#This Row],[Universidad KPIs]],Conversiones!$C:$C,Conversiones!$E:$E)</f>
        <v>General</v>
      </c>
      <c r="I223" s="1" t="s">
        <v>47</v>
      </c>
      <c r="J223" s="1" t="s">
        <v>250</v>
      </c>
      <c r="K223" s="1" t="s">
        <v>3434</v>
      </c>
      <c r="L223" s="1" t="s">
        <v>3435</v>
      </c>
      <c r="M223" s="1" t="s">
        <v>213</v>
      </c>
      <c r="N223" s="1" t="s">
        <v>2334</v>
      </c>
      <c r="O223" s="54" t="s">
        <v>3198</v>
      </c>
      <c r="P223" s="1">
        <v>1</v>
      </c>
      <c r="Q223" s="1" t="s">
        <v>3375</v>
      </c>
      <c r="R223" s="1" t="s">
        <v>2708</v>
      </c>
      <c r="S223" s="1" t="s">
        <v>3300</v>
      </c>
      <c r="T223" s="1" t="s">
        <v>3145</v>
      </c>
      <c r="U223" s="1" t="s">
        <v>2733</v>
      </c>
      <c r="V223" s="1"/>
      <c r="W223" s="1"/>
      <c r="X223" s="1"/>
      <c r="Y223" s="1"/>
      <c r="Z223" s="1"/>
      <c r="AA223" s="1"/>
      <c r="AB223" s="1"/>
      <c r="AC223" s="56" t="s">
        <v>232</v>
      </c>
      <c r="AD223" s="56" t="s">
        <v>227</v>
      </c>
    </row>
    <row r="224" spans="1:30">
      <c r="A224" s="1">
        <v>2023</v>
      </c>
      <c r="B224" s="1">
        <v>202320</v>
      </c>
      <c r="C224" s="1">
        <v>202325821</v>
      </c>
      <c r="D224" s="1" t="s">
        <v>3436</v>
      </c>
      <c r="E224" s="1" t="s">
        <v>3437</v>
      </c>
      <c r="F224" s="1" t="s">
        <v>289</v>
      </c>
      <c r="G224" s="53" t="str">
        <f>_xlfn.XLOOKUP(Tabla2[[#This Row],[Universidad]],Conversiones!$B:$B,Conversiones!$C:$C)</f>
        <v>ESADE</v>
      </c>
      <c r="H224" s="53" t="str">
        <f>_xlfn.XLOOKUP(Tabla2[[#This Row],[Universidad KPIs]],Conversiones!$C:$C,Conversiones!$E:$E)</f>
        <v>Específico</v>
      </c>
      <c r="I224" s="1" t="s">
        <v>53</v>
      </c>
      <c r="J224" s="1" t="s">
        <v>250</v>
      </c>
      <c r="K224" s="1" t="s">
        <v>3438</v>
      </c>
      <c r="L224" s="1" t="s">
        <v>3439</v>
      </c>
      <c r="M224" s="1" t="s">
        <v>213</v>
      </c>
      <c r="N224" s="1" t="s">
        <v>2298</v>
      </c>
      <c r="O224" s="54" t="s">
        <v>3198</v>
      </c>
      <c r="P224" s="1">
        <v>1</v>
      </c>
      <c r="Q224" s="1" t="s">
        <v>2525</v>
      </c>
      <c r="R224" s="1" t="s">
        <v>2328</v>
      </c>
      <c r="S224" s="1" t="s">
        <v>2412</v>
      </c>
      <c r="T224" s="1" t="s">
        <v>2309</v>
      </c>
      <c r="U224" s="1" t="s">
        <v>2329</v>
      </c>
      <c r="V224" s="1" t="s">
        <v>2315</v>
      </c>
      <c r="W224" s="1"/>
      <c r="X224" s="1"/>
      <c r="Y224" s="1"/>
      <c r="Z224" s="1"/>
      <c r="AA224" s="1"/>
      <c r="AB224" s="1"/>
      <c r="AC224" s="56" t="s">
        <v>216</v>
      </c>
      <c r="AD224" s="56" t="s">
        <v>234</v>
      </c>
    </row>
    <row r="225" spans="1:30">
      <c r="A225" s="1">
        <v>2023</v>
      </c>
      <c r="B225" s="1">
        <v>202320</v>
      </c>
      <c r="C225" s="1">
        <v>202325825</v>
      </c>
      <c r="D225" s="1" t="s">
        <v>3440</v>
      </c>
      <c r="E225" s="1" t="s">
        <v>3441</v>
      </c>
      <c r="F225" s="1" t="s">
        <v>350</v>
      </c>
      <c r="G225" s="53" t="str">
        <f>_xlfn.XLOOKUP(Tabla2[[#This Row],[Universidad]],Conversiones!$B:$B,Conversiones!$C:$C)</f>
        <v>Audencia. École de Management</v>
      </c>
      <c r="H225" s="53" t="str">
        <f>_xlfn.XLOOKUP(Tabla2[[#This Row],[Universidad KPIs]],Conversiones!$C:$C,Conversiones!$E:$E)</f>
        <v>Específico</v>
      </c>
      <c r="I225" s="1" t="s">
        <v>41</v>
      </c>
      <c r="J225" s="1" t="s">
        <v>250</v>
      </c>
      <c r="K225" s="1" t="s">
        <v>3442</v>
      </c>
      <c r="L225" s="1" t="s">
        <v>3443</v>
      </c>
      <c r="M225" s="1" t="s">
        <v>213</v>
      </c>
      <c r="N225" s="1" t="s">
        <v>2298</v>
      </c>
      <c r="O225" s="54" t="s">
        <v>3198</v>
      </c>
      <c r="P225" s="1">
        <v>1</v>
      </c>
      <c r="Q225" s="1" t="s">
        <v>2301</v>
      </c>
      <c r="R225" s="1" t="s">
        <v>2407</v>
      </c>
      <c r="S225" s="1" t="s">
        <v>2600</v>
      </c>
      <c r="T225" s="1" t="s">
        <v>2469</v>
      </c>
      <c r="U225" s="1" t="s">
        <v>2308</v>
      </c>
      <c r="V225" s="1"/>
      <c r="W225" s="1"/>
      <c r="X225" s="1"/>
      <c r="Y225" s="1"/>
      <c r="Z225" s="1"/>
      <c r="AA225" s="1"/>
      <c r="AB225" s="1"/>
      <c r="AC225" s="56" t="s">
        <v>216</v>
      </c>
      <c r="AD225" s="56" t="s">
        <v>234</v>
      </c>
    </row>
    <row r="226" spans="1:30">
      <c r="A226" s="1">
        <v>2023</v>
      </c>
      <c r="B226" s="1">
        <v>202320</v>
      </c>
      <c r="C226" s="1">
        <v>202325819</v>
      </c>
      <c r="D226" s="1" t="s">
        <v>3444</v>
      </c>
      <c r="E226" s="1" t="s">
        <v>3445</v>
      </c>
      <c r="F226" s="1" t="s">
        <v>325</v>
      </c>
      <c r="G226" s="53" t="str">
        <f>_xlfn.XLOOKUP(Tabla2[[#This Row],[Universidad]],Conversiones!$B:$B,Conversiones!$C:$C)</f>
        <v>Università Commerciale Luigi Bocconi</v>
      </c>
      <c r="H226" s="53" t="str">
        <f>_xlfn.XLOOKUP(Tabla2[[#This Row],[Universidad KPIs]],Conversiones!$C:$C,Conversiones!$E:$E)</f>
        <v>Específico</v>
      </c>
      <c r="I226" s="1" t="s">
        <v>87</v>
      </c>
      <c r="J226" s="1" t="s">
        <v>250</v>
      </c>
      <c r="K226" s="1" t="s">
        <v>3446</v>
      </c>
      <c r="L226" s="1" t="s">
        <v>3447</v>
      </c>
      <c r="M226" s="1" t="s">
        <v>213</v>
      </c>
      <c r="N226" s="1" t="s">
        <v>2298</v>
      </c>
      <c r="O226" s="54" t="s">
        <v>3198</v>
      </c>
      <c r="P226" s="1">
        <v>1</v>
      </c>
      <c r="Q226" s="1" t="s">
        <v>2412</v>
      </c>
      <c r="R226" s="1" t="s">
        <v>2300</v>
      </c>
      <c r="S226" s="1" t="s">
        <v>2681</v>
      </c>
      <c r="T226" s="1" t="s">
        <v>2308</v>
      </c>
      <c r="U226" s="1" t="s">
        <v>3448</v>
      </c>
      <c r="V226" s="1"/>
      <c r="W226" s="1"/>
      <c r="X226" s="1"/>
      <c r="Y226" s="1"/>
      <c r="Z226" s="1"/>
      <c r="AA226" s="1"/>
      <c r="AB226" s="1"/>
      <c r="AC226" s="56" t="s">
        <v>216</v>
      </c>
      <c r="AD226" s="56" t="s">
        <v>234</v>
      </c>
    </row>
    <row r="227" spans="1:30">
      <c r="A227" s="1">
        <v>2023</v>
      </c>
      <c r="B227" s="1">
        <v>202320</v>
      </c>
      <c r="C227" s="1">
        <v>202325883</v>
      </c>
      <c r="D227" s="1" t="s">
        <v>3449</v>
      </c>
      <c r="E227" s="1" t="s">
        <v>3450</v>
      </c>
      <c r="F227" s="1" t="s">
        <v>274</v>
      </c>
      <c r="G227" s="53" t="str">
        <f>_xlfn.XLOOKUP(Tabla2[[#This Row],[Universidad]],Conversiones!$B:$B,Conversiones!$C:$C)</f>
        <v>Catolica Lisbon Business &amp; Economics. Universidade Católica Portuguesa</v>
      </c>
      <c r="H227" s="53" t="str">
        <f>_xlfn.XLOOKUP(Tabla2[[#This Row],[Universidad KPIs]],Conversiones!$C:$C,Conversiones!$E:$E)</f>
        <v>Específico</v>
      </c>
      <c r="I227" s="1" t="s">
        <v>45</v>
      </c>
      <c r="J227" s="1" t="s">
        <v>250</v>
      </c>
      <c r="K227" s="1" t="s">
        <v>3451</v>
      </c>
      <c r="L227" s="1" t="s">
        <v>3452</v>
      </c>
      <c r="M227" s="1" t="s">
        <v>213</v>
      </c>
      <c r="N227" s="1" t="s">
        <v>2298</v>
      </c>
      <c r="O227" s="54" t="s">
        <v>3198</v>
      </c>
      <c r="P227" s="1">
        <v>1</v>
      </c>
      <c r="Q227" s="1" t="s">
        <v>2407</v>
      </c>
      <c r="R227" s="1" t="s">
        <v>2327</v>
      </c>
      <c r="S227" s="1" t="s">
        <v>2307</v>
      </c>
      <c r="T227" s="1" t="s">
        <v>3453</v>
      </c>
      <c r="U227" s="1" t="s">
        <v>3264</v>
      </c>
      <c r="V227" s="1"/>
      <c r="W227" s="1"/>
      <c r="X227" s="1"/>
      <c r="Y227" s="1"/>
      <c r="Z227" s="1"/>
      <c r="AA227" s="1"/>
      <c r="AB227" s="1"/>
      <c r="AC227" s="56" t="s">
        <v>216</v>
      </c>
      <c r="AD227" s="56" t="s">
        <v>234</v>
      </c>
    </row>
    <row r="228" spans="1:30">
      <c r="A228" s="1">
        <v>2023</v>
      </c>
      <c r="B228" s="1">
        <v>202310</v>
      </c>
      <c r="C228" s="1">
        <v>202314876</v>
      </c>
      <c r="D228" s="1" t="s">
        <v>3454</v>
      </c>
      <c r="E228" s="1" t="s">
        <v>3455</v>
      </c>
      <c r="F228" s="1" t="s">
        <v>124</v>
      </c>
      <c r="G228" s="53" t="str">
        <f>_xlfn.XLOOKUP(Tabla2[[#This Row],[Universidad]],Conversiones!$B:$B,Conversiones!$C:$C)</f>
        <v>American University of Central Asia</v>
      </c>
      <c r="H228" s="53" t="str">
        <f>_xlfn.XLOOKUP(Tabla2[[#This Row],[Universidad KPIs]],Conversiones!$C:$C,Conversiones!$E:$E)</f>
        <v>General</v>
      </c>
      <c r="I228" s="1" t="s">
        <v>125</v>
      </c>
      <c r="J228" s="1" t="s">
        <v>537</v>
      </c>
      <c r="K228" s="1" t="s">
        <v>3456</v>
      </c>
      <c r="L228" s="1" t="s">
        <v>3457</v>
      </c>
      <c r="M228" s="1" t="s">
        <v>213</v>
      </c>
      <c r="N228" s="1" t="s">
        <v>2298</v>
      </c>
      <c r="O228" s="54" t="s">
        <v>2299</v>
      </c>
      <c r="P228" s="1">
        <v>1</v>
      </c>
      <c r="Q228" s="1" t="s">
        <v>2328</v>
      </c>
      <c r="R228" s="1" t="s">
        <v>2412</v>
      </c>
      <c r="S228" s="1" t="s">
        <v>2370</v>
      </c>
      <c r="T228" s="1" t="s">
        <v>2302</v>
      </c>
      <c r="U228" s="1" t="s">
        <v>2525</v>
      </c>
      <c r="V228" s="1"/>
      <c r="W228" s="1"/>
      <c r="X228" s="1"/>
      <c r="Y228" s="1"/>
      <c r="Z228" s="1"/>
      <c r="AA228" s="1"/>
      <c r="AB228" s="1"/>
      <c r="AC228" s="56" t="s">
        <v>216</v>
      </c>
      <c r="AD228" s="56" t="s">
        <v>234</v>
      </c>
    </row>
    <row r="229" spans="1:30">
      <c r="A229" s="1">
        <v>2023</v>
      </c>
      <c r="B229" s="1">
        <v>202320</v>
      </c>
      <c r="C229" s="1">
        <v>202325817</v>
      </c>
      <c r="D229" s="1" t="s">
        <v>3458</v>
      </c>
      <c r="E229" s="1" t="s">
        <v>3459</v>
      </c>
      <c r="F229" s="1" t="s">
        <v>325</v>
      </c>
      <c r="G229" s="53" t="str">
        <f>_xlfn.XLOOKUP(Tabla2[[#This Row],[Universidad]],Conversiones!$B:$B,Conversiones!$C:$C)</f>
        <v>Università Commerciale Luigi Bocconi</v>
      </c>
      <c r="H229" s="53" t="str">
        <f>_xlfn.XLOOKUP(Tabla2[[#This Row],[Universidad KPIs]],Conversiones!$C:$C,Conversiones!$E:$E)</f>
        <v>Específico</v>
      </c>
      <c r="I229" s="1" t="s">
        <v>87</v>
      </c>
      <c r="J229" s="1" t="s">
        <v>250</v>
      </c>
      <c r="K229" s="1" t="s">
        <v>3460</v>
      </c>
      <c r="L229" s="1" t="s">
        <v>3461</v>
      </c>
      <c r="M229" s="1" t="s">
        <v>213</v>
      </c>
      <c r="N229" s="1" t="s">
        <v>2298</v>
      </c>
      <c r="O229" s="54" t="s">
        <v>3198</v>
      </c>
      <c r="P229" s="1">
        <v>1</v>
      </c>
      <c r="Q229" s="1" t="s">
        <v>2412</v>
      </c>
      <c r="R229" s="1" t="s">
        <v>2300</v>
      </c>
      <c r="S229" s="1" t="s">
        <v>2681</v>
      </c>
      <c r="T229" s="1" t="s">
        <v>2308</v>
      </c>
      <c r="U229" s="1" t="s">
        <v>3448</v>
      </c>
      <c r="V229" s="1"/>
      <c r="W229" s="1"/>
      <c r="X229" s="1"/>
      <c r="Y229" s="1"/>
      <c r="Z229" s="1"/>
      <c r="AA229" s="1"/>
      <c r="AB229" s="1"/>
      <c r="AC229" s="56" t="s">
        <v>216</v>
      </c>
      <c r="AD229" s="56" t="s">
        <v>234</v>
      </c>
    </row>
    <row r="230" spans="1:30">
      <c r="A230" s="1">
        <v>2023</v>
      </c>
      <c r="B230" s="1">
        <v>202310</v>
      </c>
      <c r="C230" s="1">
        <v>202316896</v>
      </c>
      <c r="D230" s="1" t="s">
        <v>3462</v>
      </c>
      <c r="E230" s="1" t="s">
        <v>3463</v>
      </c>
      <c r="F230" s="1" t="s">
        <v>350</v>
      </c>
      <c r="G230" s="53" t="str">
        <f>_xlfn.XLOOKUP(Tabla2[[#This Row],[Universidad]],Conversiones!$B:$B,Conversiones!$C:$C)</f>
        <v>Audencia. École de Management</v>
      </c>
      <c r="H230" s="53" t="str">
        <f>_xlfn.XLOOKUP(Tabla2[[#This Row],[Universidad KPIs]],Conversiones!$C:$C,Conversiones!$E:$E)</f>
        <v>Específico</v>
      </c>
      <c r="I230" s="1" t="s">
        <v>41</v>
      </c>
      <c r="J230" s="1" t="s">
        <v>250</v>
      </c>
      <c r="K230" s="1" t="s">
        <v>3464</v>
      </c>
      <c r="L230" s="1" t="s">
        <v>3465</v>
      </c>
      <c r="M230" s="1" t="s">
        <v>213</v>
      </c>
      <c r="N230" s="1" t="s">
        <v>2298</v>
      </c>
      <c r="O230" s="54" t="s">
        <v>2299</v>
      </c>
      <c r="P230" s="1">
        <v>1</v>
      </c>
      <c r="Q230" s="1" t="s">
        <v>2321</v>
      </c>
      <c r="R230" s="1" t="s">
        <v>2307</v>
      </c>
      <c r="S230" s="1" t="s">
        <v>2407</v>
      </c>
      <c r="T230" s="1" t="s">
        <v>3211</v>
      </c>
      <c r="U230" s="1" t="s">
        <v>2369</v>
      </c>
      <c r="V230" s="1"/>
      <c r="W230" s="1"/>
      <c r="X230" s="1"/>
      <c r="Y230" s="1"/>
      <c r="Z230" s="1"/>
      <c r="AA230" s="1"/>
      <c r="AB230" s="1"/>
      <c r="AC230" s="56" t="s">
        <v>216</v>
      </c>
      <c r="AD230" s="56" t="s">
        <v>234</v>
      </c>
    </row>
    <row r="231" spans="1:30">
      <c r="A231" s="1">
        <v>2023</v>
      </c>
      <c r="B231" s="1">
        <v>202320</v>
      </c>
      <c r="C231" s="1">
        <v>202325770</v>
      </c>
      <c r="D231" s="1" t="s">
        <v>3466</v>
      </c>
      <c r="E231" s="1" t="s">
        <v>3467</v>
      </c>
      <c r="F231" s="1" t="s">
        <v>388</v>
      </c>
      <c r="G231" s="53" t="str">
        <f>_xlfn.XLOOKUP(Tabla2[[#This Row],[Universidad]],Conversiones!$B:$B,Conversiones!$C:$C)</f>
        <v>ESCP</v>
      </c>
      <c r="H231" s="53" t="str">
        <f>_xlfn.XLOOKUP(Tabla2[[#This Row],[Universidad KPIs]],Conversiones!$C:$C,Conversiones!$E:$E)</f>
        <v>Específico</v>
      </c>
      <c r="I231" s="1" t="s">
        <v>41</v>
      </c>
      <c r="J231" s="1" t="s">
        <v>250</v>
      </c>
      <c r="K231" s="1" t="s">
        <v>3468</v>
      </c>
      <c r="L231" s="1" t="s">
        <v>3469</v>
      </c>
      <c r="M231" s="1" t="s">
        <v>213</v>
      </c>
      <c r="N231" s="1" t="s">
        <v>2334</v>
      </c>
      <c r="O231" s="54" t="s">
        <v>3198</v>
      </c>
      <c r="P231" s="1">
        <v>1</v>
      </c>
      <c r="Q231" s="1" t="s">
        <v>2307</v>
      </c>
      <c r="R231" s="1" t="s">
        <v>3470</v>
      </c>
      <c r="S231" s="1" t="s">
        <v>3259</v>
      </c>
      <c r="T231" s="1" t="s">
        <v>3471</v>
      </c>
      <c r="U231" s="1" t="s">
        <v>2510</v>
      </c>
      <c r="V231" s="1" t="s">
        <v>3472</v>
      </c>
      <c r="W231" s="1"/>
      <c r="X231" s="1"/>
      <c r="Y231" s="1"/>
      <c r="Z231" s="1"/>
      <c r="AA231" s="1"/>
      <c r="AB231" s="1"/>
      <c r="AC231" s="56" t="s">
        <v>231</v>
      </c>
      <c r="AD231" s="56" t="s">
        <v>227</v>
      </c>
    </row>
    <row r="232" spans="1:30">
      <c r="A232" s="1">
        <v>2023</v>
      </c>
      <c r="B232" s="1">
        <v>202320</v>
      </c>
      <c r="C232" s="1">
        <v>202324262</v>
      </c>
      <c r="D232" s="1" t="s">
        <v>3473</v>
      </c>
      <c r="E232" s="1" t="s">
        <v>3474</v>
      </c>
      <c r="F232" s="1" t="s">
        <v>124</v>
      </c>
      <c r="G232" s="53" t="str">
        <f>_xlfn.XLOOKUP(Tabla2[[#This Row],[Universidad]],Conversiones!$B:$B,Conversiones!$C:$C)</f>
        <v>American University of Central Asia</v>
      </c>
      <c r="H232" s="53" t="str">
        <f>_xlfn.XLOOKUP(Tabla2[[#This Row],[Universidad KPIs]],Conversiones!$C:$C,Conversiones!$E:$E)</f>
        <v>General</v>
      </c>
      <c r="I232" s="1" t="s">
        <v>125</v>
      </c>
      <c r="J232" s="1" t="s">
        <v>537</v>
      </c>
      <c r="K232" s="1" t="s">
        <v>3475</v>
      </c>
      <c r="L232" s="1" t="s">
        <v>3476</v>
      </c>
      <c r="M232" s="1" t="s">
        <v>213</v>
      </c>
      <c r="N232" s="1" t="s">
        <v>2298</v>
      </c>
      <c r="O232" s="54" t="s">
        <v>1121</v>
      </c>
      <c r="P232" s="1">
        <v>1</v>
      </c>
      <c r="Q232" s="1" t="s">
        <v>2328</v>
      </c>
      <c r="R232" s="1" t="s">
        <v>2300</v>
      </c>
      <c r="S232" s="1" t="s">
        <v>2601</v>
      </c>
      <c r="T232" s="1" t="s">
        <v>3477</v>
      </c>
      <c r="U232" s="1"/>
      <c r="V232" s="1"/>
      <c r="W232" s="1"/>
      <c r="X232" s="1"/>
      <c r="Y232" s="1"/>
      <c r="Z232" s="1"/>
      <c r="AA232" s="1"/>
      <c r="AB232" s="1"/>
      <c r="AC232" s="56" t="s">
        <v>216</v>
      </c>
      <c r="AD232" s="56" t="s">
        <v>234</v>
      </c>
    </row>
    <row r="233" spans="1:30">
      <c r="A233" s="1">
        <v>2023</v>
      </c>
      <c r="B233" s="1">
        <v>202320</v>
      </c>
      <c r="C233" s="1">
        <v>202324240</v>
      </c>
      <c r="D233" s="1" t="s">
        <v>713</v>
      </c>
      <c r="E233" s="1" t="s">
        <v>3478</v>
      </c>
      <c r="F233" s="1" t="s">
        <v>100</v>
      </c>
      <c r="G233" s="53" t="str">
        <f>_xlfn.XLOOKUP(Tabla2[[#This Row],[Universidad]],Conversiones!$B:$B,Conversiones!$C:$C)</f>
        <v>University of Glasgow</v>
      </c>
      <c r="H233" s="53" t="str">
        <f>_xlfn.XLOOKUP(Tabla2[[#This Row],[Universidad KPIs]],Conversiones!$C:$C,Conversiones!$E:$E)</f>
        <v>General</v>
      </c>
      <c r="I233" s="1" t="s">
        <v>39</v>
      </c>
      <c r="J233" s="1" t="s">
        <v>250</v>
      </c>
      <c r="K233" s="1" t="s">
        <v>3479</v>
      </c>
      <c r="L233" s="1" t="s">
        <v>3480</v>
      </c>
      <c r="M233" s="1" t="s">
        <v>213</v>
      </c>
      <c r="N233" s="1" t="s">
        <v>2334</v>
      </c>
      <c r="O233" s="54" t="s">
        <v>3323</v>
      </c>
      <c r="P233" s="1">
        <v>1</v>
      </c>
      <c r="Q233" s="1" t="s">
        <v>2708</v>
      </c>
      <c r="R233" s="1" t="s">
        <v>2768</v>
      </c>
      <c r="S233" s="1" t="s">
        <v>2769</v>
      </c>
      <c r="T233" s="1" t="s">
        <v>2733</v>
      </c>
      <c r="U233" s="1"/>
      <c r="V233" s="1"/>
      <c r="W233" s="1"/>
      <c r="X233" s="1"/>
      <c r="Y233" s="1"/>
      <c r="Z233" s="1"/>
      <c r="AA233" s="1"/>
      <c r="AB233" s="1"/>
      <c r="AC233" s="56" t="s">
        <v>220</v>
      </c>
      <c r="AD233" s="56" t="s">
        <v>227</v>
      </c>
    </row>
    <row r="234" spans="1:30">
      <c r="A234" s="1">
        <v>2023</v>
      </c>
      <c r="B234" s="1">
        <v>202310</v>
      </c>
      <c r="C234" s="1">
        <v>202314872</v>
      </c>
      <c r="D234" s="1" t="s">
        <v>3481</v>
      </c>
      <c r="E234" s="1" t="s">
        <v>3482</v>
      </c>
      <c r="F234" s="1" t="s">
        <v>410</v>
      </c>
      <c r="G234" s="53" t="str">
        <f>_xlfn.XLOOKUP(Tabla2[[#This Row],[Universidad]],Conversiones!$B:$B,Conversiones!$C:$C)</f>
        <v xml:space="preserve">CBS- Copenhagen Business School  </v>
      </c>
      <c r="H234" s="53" t="str">
        <f>_xlfn.XLOOKUP(Tabla2[[#This Row],[Universidad KPIs]],Conversiones!$C:$C,Conversiones!$E:$E)</f>
        <v>Específico</v>
      </c>
      <c r="I234" s="1" t="s">
        <v>47</v>
      </c>
      <c r="J234" s="1" t="s">
        <v>250</v>
      </c>
      <c r="K234" s="1" t="s">
        <v>3483</v>
      </c>
      <c r="L234" s="1" t="s">
        <v>3484</v>
      </c>
      <c r="M234" s="1" t="s">
        <v>213</v>
      </c>
      <c r="N234" s="1" t="s">
        <v>2334</v>
      </c>
      <c r="O234" s="54" t="s">
        <v>2335</v>
      </c>
      <c r="P234" s="1">
        <v>1</v>
      </c>
      <c r="Q234" s="1" t="s">
        <v>3255</v>
      </c>
      <c r="R234" s="1" t="s">
        <v>3485</v>
      </c>
      <c r="S234" s="1" t="s">
        <v>3486</v>
      </c>
      <c r="T234" s="1" t="s">
        <v>3257</v>
      </c>
      <c r="U234" s="1" t="s">
        <v>3258</v>
      </c>
      <c r="V234" s="1"/>
      <c r="W234" s="1"/>
      <c r="X234" s="1"/>
      <c r="Y234" s="1"/>
      <c r="Z234" s="1"/>
      <c r="AA234" s="1"/>
      <c r="AB234" s="1"/>
      <c r="AC234" s="56" t="s">
        <v>231</v>
      </c>
      <c r="AD234" s="56" t="s">
        <v>227</v>
      </c>
    </row>
    <row r="235" spans="1:30">
      <c r="A235" s="1">
        <v>2023</v>
      </c>
      <c r="B235" s="1">
        <v>202320</v>
      </c>
      <c r="C235" s="1">
        <v>202325779</v>
      </c>
      <c r="D235" s="1" t="s">
        <v>3487</v>
      </c>
      <c r="E235" s="1" t="s">
        <v>3488</v>
      </c>
      <c r="F235" s="1" t="s">
        <v>619</v>
      </c>
      <c r="G235" s="53" t="str">
        <f>_xlfn.XLOOKUP(Tabla2[[#This Row],[Universidad]],Conversiones!$B:$B,Conversiones!$C:$C)</f>
        <v>Grenoble. École de Management</v>
      </c>
      <c r="H235" s="53" t="str">
        <f>_xlfn.XLOOKUP(Tabla2[[#This Row],[Universidad KPIs]],Conversiones!$C:$C,Conversiones!$E:$E)</f>
        <v>Específico</v>
      </c>
      <c r="I235" s="1" t="s">
        <v>41</v>
      </c>
      <c r="J235" s="1" t="s">
        <v>250</v>
      </c>
      <c r="K235" s="1" t="s">
        <v>3489</v>
      </c>
      <c r="L235" s="1" t="s">
        <v>3490</v>
      </c>
      <c r="M235" s="1" t="s">
        <v>213</v>
      </c>
      <c r="N235" s="1" t="s">
        <v>2298</v>
      </c>
      <c r="O235" s="54" t="s">
        <v>3198</v>
      </c>
      <c r="P235" s="1">
        <v>1</v>
      </c>
      <c r="Q235" s="1" t="s">
        <v>2328</v>
      </c>
      <c r="R235" s="1" t="s">
        <v>2732</v>
      </c>
      <c r="S235" s="1" t="s">
        <v>3491</v>
      </c>
      <c r="T235" s="1" t="s">
        <v>2709</v>
      </c>
      <c r="U235" s="1" t="s">
        <v>2702</v>
      </c>
      <c r="V235" s="1"/>
      <c r="W235" s="1"/>
      <c r="X235" s="1"/>
      <c r="Y235" s="1"/>
      <c r="Z235" s="1"/>
      <c r="AA235" s="1"/>
      <c r="AB235" s="1"/>
      <c r="AC235" s="56" t="s">
        <v>223</v>
      </c>
      <c r="AD235" s="56" t="s">
        <v>227</v>
      </c>
    </row>
    <row r="236" spans="1:30">
      <c r="A236" s="1">
        <v>2023</v>
      </c>
      <c r="B236" s="1">
        <v>202320</v>
      </c>
      <c r="C236" s="1">
        <v>202325882</v>
      </c>
      <c r="D236" s="1" t="s">
        <v>3492</v>
      </c>
      <c r="E236" s="1" t="s">
        <v>3493</v>
      </c>
      <c r="F236" s="1" t="s">
        <v>274</v>
      </c>
      <c r="G236" s="53" t="str">
        <f>_xlfn.XLOOKUP(Tabla2[[#This Row],[Universidad]],Conversiones!$B:$B,Conversiones!$C:$C)</f>
        <v>Catolica Lisbon Business &amp; Economics. Universidade Católica Portuguesa</v>
      </c>
      <c r="H236" s="53" t="str">
        <f>_xlfn.XLOOKUP(Tabla2[[#This Row],[Universidad KPIs]],Conversiones!$C:$C,Conversiones!$E:$E)</f>
        <v>Específico</v>
      </c>
      <c r="I236" s="1" t="s">
        <v>45</v>
      </c>
      <c r="J236" s="1" t="s">
        <v>250</v>
      </c>
      <c r="K236" s="1" t="s">
        <v>3494</v>
      </c>
      <c r="L236" s="1" t="s">
        <v>3495</v>
      </c>
      <c r="M236" s="1" t="s">
        <v>213</v>
      </c>
      <c r="N236" s="1" t="s">
        <v>2298</v>
      </c>
      <c r="O236" s="54" t="s">
        <v>3198</v>
      </c>
      <c r="P236" s="1">
        <v>1</v>
      </c>
      <c r="Q236" s="1" t="s">
        <v>2370</v>
      </c>
      <c r="R236" s="1" t="s">
        <v>2307</v>
      </c>
      <c r="S236" s="1" t="s">
        <v>2601</v>
      </c>
      <c r="T236" s="1" t="s">
        <v>2369</v>
      </c>
      <c r="U236" s="1" t="s">
        <v>2308</v>
      </c>
      <c r="V236" s="1" t="s">
        <v>2329</v>
      </c>
      <c r="W236" s="1"/>
      <c r="X236" s="1"/>
      <c r="Y236" s="1"/>
      <c r="Z236" s="1"/>
      <c r="AA236" s="1"/>
      <c r="AB236" s="1"/>
      <c r="AC236" s="56" t="s">
        <v>216</v>
      </c>
      <c r="AD236" s="56" t="s">
        <v>234</v>
      </c>
    </row>
    <row r="237" spans="1:30">
      <c r="A237" s="1">
        <v>2023</v>
      </c>
      <c r="B237" s="1">
        <v>202320</v>
      </c>
      <c r="C237" s="1">
        <v>202325841</v>
      </c>
      <c r="D237" s="1" t="s">
        <v>1073</v>
      </c>
      <c r="E237" s="1" t="s">
        <v>3496</v>
      </c>
      <c r="F237" s="1" t="s">
        <v>3024</v>
      </c>
      <c r="G237" s="53" t="str">
        <f>_xlfn.XLOOKUP(Tabla2[[#This Row],[Universidad]],Conversiones!$B:$B,Conversiones!$C:$C)</f>
        <v>JIBS Jönköping International Business School</v>
      </c>
      <c r="H237" s="53" t="str">
        <f>_xlfn.XLOOKUP(Tabla2[[#This Row],[Universidad KPIs]],Conversiones!$C:$C,Conversiones!$E:$E)</f>
        <v>Específico</v>
      </c>
      <c r="I237" s="1" t="s">
        <v>74</v>
      </c>
      <c r="J237" s="1" t="s">
        <v>250</v>
      </c>
      <c r="K237" s="1" t="s">
        <v>3497</v>
      </c>
      <c r="L237" s="1" t="s">
        <v>3498</v>
      </c>
      <c r="M237" s="1" t="s">
        <v>213</v>
      </c>
      <c r="N237" s="1" t="s">
        <v>2298</v>
      </c>
      <c r="O237" s="54" t="s">
        <v>3198</v>
      </c>
      <c r="P237" s="1">
        <v>1</v>
      </c>
      <c r="Q237" s="1" t="s">
        <v>2328</v>
      </c>
      <c r="R237" s="1" t="s">
        <v>2412</v>
      </c>
      <c r="S237" s="1" t="s">
        <v>2307</v>
      </c>
      <c r="T237" s="1" t="s">
        <v>2321</v>
      </c>
      <c r="U237" s="1" t="s">
        <v>2889</v>
      </c>
      <c r="V237" s="1" t="s">
        <v>3200</v>
      </c>
      <c r="W237" s="1"/>
      <c r="X237" s="1"/>
      <c r="Y237" s="1"/>
      <c r="Z237" s="1"/>
      <c r="AA237" s="1"/>
      <c r="AB237" s="1"/>
      <c r="AC237" s="56" t="s">
        <v>216</v>
      </c>
      <c r="AD237" s="56" t="s">
        <v>234</v>
      </c>
    </row>
    <row r="238" spans="1:30">
      <c r="A238" s="1">
        <v>2023</v>
      </c>
      <c r="B238" s="1">
        <v>202320</v>
      </c>
      <c r="C238" s="1">
        <v>202325807</v>
      </c>
      <c r="D238" s="1" t="s">
        <v>3499</v>
      </c>
      <c r="E238" s="1" t="s">
        <v>3500</v>
      </c>
      <c r="F238" s="1" t="s">
        <v>289</v>
      </c>
      <c r="G238" s="53" t="str">
        <f>_xlfn.XLOOKUP(Tabla2[[#This Row],[Universidad]],Conversiones!$B:$B,Conversiones!$C:$C)</f>
        <v>ESADE</v>
      </c>
      <c r="H238" s="53" t="str">
        <f>_xlfn.XLOOKUP(Tabla2[[#This Row],[Universidad KPIs]],Conversiones!$C:$C,Conversiones!$E:$E)</f>
        <v>Específico</v>
      </c>
      <c r="I238" s="1" t="s">
        <v>53</v>
      </c>
      <c r="J238" s="1" t="s">
        <v>250</v>
      </c>
      <c r="K238" s="1" t="s">
        <v>3501</v>
      </c>
      <c r="L238" s="1" t="s">
        <v>3502</v>
      </c>
      <c r="M238" s="1" t="s">
        <v>213</v>
      </c>
      <c r="N238" s="1" t="s">
        <v>2298</v>
      </c>
      <c r="O238" s="54" t="s">
        <v>3198</v>
      </c>
      <c r="P238" s="1">
        <v>1</v>
      </c>
      <c r="Q238" s="1" t="s">
        <v>2321</v>
      </c>
      <c r="R238" s="1" t="s">
        <v>3022</v>
      </c>
      <c r="S238" s="1" t="s">
        <v>2309</v>
      </c>
      <c r="T238" s="1" t="s">
        <v>3503</v>
      </c>
      <c r="U238" s="1"/>
      <c r="V238" s="1"/>
      <c r="W238" s="1"/>
      <c r="X238" s="1"/>
      <c r="Y238" s="1"/>
      <c r="Z238" s="1"/>
      <c r="AA238" s="1"/>
      <c r="AB238" s="1"/>
      <c r="AC238" s="56" t="s">
        <v>216</v>
      </c>
      <c r="AD238" s="56" t="s">
        <v>234</v>
      </c>
    </row>
    <row r="239" spans="1:30">
      <c r="A239" s="1">
        <v>2023</v>
      </c>
      <c r="B239" s="1">
        <v>202320</v>
      </c>
      <c r="C239" s="1">
        <v>202325845</v>
      </c>
      <c r="D239" s="1" t="s">
        <v>3504</v>
      </c>
      <c r="E239" s="1" t="s">
        <v>3505</v>
      </c>
      <c r="F239" s="1" t="s">
        <v>410</v>
      </c>
      <c r="G239" s="53" t="str">
        <f>_xlfn.XLOOKUP(Tabla2[[#This Row],[Universidad]],Conversiones!$B:$B,Conversiones!$C:$C)</f>
        <v xml:space="preserve">CBS- Copenhagen Business School  </v>
      </c>
      <c r="H239" s="53" t="str">
        <f>_xlfn.XLOOKUP(Tabla2[[#This Row],[Universidad KPIs]],Conversiones!$C:$C,Conversiones!$E:$E)</f>
        <v>Específico</v>
      </c>
      <c r="I239" s="1" t="s">
        <v>47</v>
      </c>
      <c r="J239" s="1" t="s">
        <v>250</v>
      </c>
      <c r="K239" s="1" t="s">
        <v>3506</v>
      </c>
      <c r="L239" s="1" t="s">
        <v>3507</v>
      </c>
      <c r="M239" s="1" t="s">
        <v>213</v>
      </c>
      <c r="N239" s="1" t="s">
        <v>2298</v>
      </c>
      <c r="O239" s="54" t="s">
        <v>3198</v>
      </c>
      <c r="P239" s="1">
        <v>1</v>
      </c>
      <c r="Q239" s="1" t="s">
        <v>2525</v>
      </c>
      <c r="R239" s="1" t="s">
        <v>2407</v>
      </c>
      <c r="S239" s="1" t="s">
        <v>2412</v>
      </c>
      <c r="T239" s="1" t="s">
        <v>2300</v>
      </c>
      <c r="U239" s="1" t="s">
        <v>2307</v>
      </c>
      <c r="V239" s="1" t="s">
        <v>3200</v>
      </c>
      <c r="W239" s="1"/>
      <c r="X239" s="1"/>
      <c r="Y239" s="1"/>
      <c r="Z239" s="1"/>
      <c r="AA239" s="1"/>
      <c r="AB239" s="1"/>
      <c r="AC239" s="56" t="s">
        <v>216</v>
      </c>
      <c r="AD239" s="56" t="s">
        <v>234</v>
      </c>
    </row>
    <row r="240" spans="1:30">
      <c r="A240" s="1">
        <v>2023</v>
      </c>
      <c r="B240" s="1">
        <v>202320</v>
      </c>
      <c r="C240" s="1">
        <v>202325877</v>
      </c>
      <c r="D240" s="1" t="s">
        <v>3508</v>
      </c>
      <c r="E240" s="1" t="s">
        <v>3509</v>
      </c>
      <c r="F240" s="1" t="s">
        <v>424</v>
      </c>
      <c r="G240" s="53" t="str">
        <f>_xlfn.XLOOKUP(Tabla2[[#This Row],[Universidad]],Conversiones!$B:$B,Conversiones!$C:$C)</f>
        <v>Nova School of Business and Economics</v>
      </c>
      <c r="H240" s="53" t="str">
        <f>_xlfn.XLOOKUP(Tabla2[[#This Row],[Universidad KPIs]],Conversiones!$C:$C,Conversiones!$E:$E)</f>
        <v>Específico</v>
      </c>
      <c r="I240" s="1" t="s">
        <v>45</v>
      </c>
      <c r="J240" s="1" t="s">
        <v>250</v>
      </c>
      <c r="K240" s="1" t="s">
        <v>3510</v>
      </c>
      <c r="L240" s="1" t="s">
        <v>3511</v>
      </c>
      <c r="M240" s="1" t="s">
        <v>213</v>
      </c>
      <c r="N240" s="1" t="s">
        <v>2298</v>
      </c>
      <c r="O240" s="54" t="s">
        <v>3198</v>
      </c>
      <c r="P240" s="1">
        <v>1</v>
      </c>
      <c r="Q240" s="1" t="s">
        <v>2388</v>
      </c>
      <c r="R240" s="1" t="s">
        <v>2407</v>
      </c>
      <c r="S240" s="1" t="s">
        <v>2370</v>
      </c>
      <c r="T240" s="1" t="s">
        <v>2681</v>
      </c>
      <c r="U240" s="1" t="s">
        <v>2307</v>
      </c>
      <c r="V240" s="1" t="s">
        <v>2308</v>
      </c>
      <c r="W240" s="1"/>
      <c r="X240" s="1"/>
      <c r="Y240" s="1"/>
      <c r="Z240" s="1"/>
      <c r="AA240" s="1"/>
      <c r="AB240" s="1"/>
      <c r="AC240" s="56" t="s">
        <v>216</v>
      </c>
      <c r="AD240" s="56" t="s">
        <v>234</v>
      </c>
    </row>
    <row r="241" spans="1:30">
      <c r="A241" s="1">
        <v>2023</v>
      </c>
      <c r="B241" s="1">
        <v>202310</v>
      </c>
      <c r="C241" s="1">
        <v>202316901</v>
      </c>
      <c r="D241" s="1" t="s">
        <v>3512</v>
      </c>
      <c r="E241" s="1" t="s">
        <v>3513</v>
      </c>
      <c r="F241" s="1" t="s">
        <v>78</v>
      </c>
      <c r="G241" s="53" t="str">
        <f>_xlfn.XLOOKUP(Tabla2[[#This Row],[Universidad]],Conversiones!$B:$B,Conversiones!$C:$C)</f>
        <v>Maastricht University</v>
      </c>
      <c r="H241" s="53" t="str">
        <f>_xlfn.XLOOKUP(Tabla2[[#This Row],[Universidad KPIs]],Conversiones!$C:$C,Conversiones!$E:$E)</f>
        <v>Específico</v>
      </c>
      <c r="I241" s="1" t="s">
        <v>79</v>
      </c>
      <c r="J241" s="1" t="s">
        <v>250</v>
      </c>
      <c r="K241" s="1" t="s">
        <v>3514</v>
      </c>
      <c r="L241" s="1" t="s">
        <v>3515</v>
      </c>
      <c r="M241" s="1" t="s">
        <v>213</v>
      </c>
      <c r="N241" s="1" t="s">
        <v>2298</v>
      </c>
      <c r="O241" s="54" t="s">
        <v>2299</v>
      </c>
      <c r="P241" s="1">
        <v>1</v>
      </c>
      <c r="Q241" s="1" t="s">
        <v>2321</v>
      </c>
      <c r="R241" s="1" t="s">
        <v>2632</v>
      </c>
      <c r="S241" s="1" t="s">
        <v>2322</v>
      </c>
      <c r="T241" s="1" t="s">
        <v>2441</v>
      </c>
      <c r="U241" s="1" t="s">
        <v>2382</v>
      </c>
      <c r="V241" s="1" t="s">
        <v>2300</v>
      </c>
      <c r="W241" s="1" t="s">
        <v>3422</v>
      </c>
      <c r="X241" s="1"/>
      <c r="Y241" s="1"/>
      <c r="Z241" s="1"/>
      <c r="AA241" s="1"/>
      <c r="AB241" s="1"/>
      <c r="AC241" s="56" t="s">
        <v>216</v>
      </c>
      <c r="AD241" s="56" t="s">
        <v>234</v>
      </c>
    </row>
    <row r="242" spans="1:30">
      <c r="A242" s="1">
        <v>2023</v>
      </c>
      <c r="B242" s="1">
        <v>202310</v>
      </c>
      <c r="C242" s="1">
        <v>202316903</v>
      </c>
      <c r="D242" s="1" t="s">
        <v>3516</v>
      </c>
      <c r="E242" s="1" t="s">
        <v>3517</v>
      </c>
      <c r="F242" s="1" t="s">
        <v>528</v>
      </c>
      <c r="G242" s="53" t="str">
        <f>_xlfn.XLOOKUP(Tabla2[[#This Row],[Universidad]],Conversiones!$B:$B,Conversiones!$C:$C)</f>
        <v>ICN Business School - Institut Commercial de Nancy</v>
      </c>
      <c r="H242" s="53" t="str">
        <f>_xlfn.XLOOKUP(Tabla2[[#This Row],[Universidad KPIs]],Conversiones!$C:$C,Conversiones!$E:$E)</f>
        <v>Específico</v>
      </c>
      <c r="I242" s="1" t="s">
        <v>41</v>
      </c>
      <c r="J242" s="1" t="s">
        <v>250</v>
      </c>
      <c r="K242" s="1" t="s">
        <v>3518</v>
      </c>
      <c r="L242" s="1" t="s">
        <v>3519</v>
      </c>
      <c r="M242" s="1" t="s">
        <v>213</v>
      </c>
      <c r="N242" s="1" t="s">
        <v>2298</v>
      </c>
      <c r="O242" s="54" t="s">
        <v>2299</v>
      </c>
      <c r="P242" s="1">
        <v>1</v>
      </c>
      <c r="Q242" s="1" t="s">
        <v>2578</v>
      </c>
      <c r="R242" s="1" t="s">
        <v>2309</v>
      </c>
      <c r="S242" s="1" t="s">
        <v>2860</v>
      </c>
      <c r="T242" s="1" t="s">
        <v>2329</v>
      </c>
      <c r="U242" s="1"/>
      <c r="V242" s="1"/>
      <c r="W242" s="1"/>
      <c r="X242" s="1"/>
      <c r="Y242" s="1"/>
      <c r="Z242" s="1"/>
      <c r="AA242" s="1"/>
      <c r="AB242" s="1"/>
      <c r="AC242" s="56" t="s">
        <v>216</v>
      </c>
      <c r="AD242" s="56" t="s">
        <v>234</v>
      </c>
    </row>
    <row r="243" spans="1:30">
      <c r="A243" s="1">
        <v>2023</v>
      </c>
      <c r="B243" s="1">
        <v>202320</v>
      </c>
      <c r="C243" s="1">
        <v>202214275</v>
      </c>
      <c r="D243" s="1" t="s">
        <v>3520</v>
      </c>
      <c r="E243" s="1" t="s">
        <v>3521</v>
      </c>
      <c r="F243" s="1" t="s">
        <v>100</v>
      </c>
      <c r="G243" s="53" t="str">
        <f>_xlfn.XLOOKUP(Tabla2[[#This Row],[Universidad]],Conversiones!$B:$B,Conversiones!$C:$C)</f>
        <v>University of Glasgow</v>
      </c>
      <c r="H243" s="53" t="str">
        <f>_xlfn.XLOOKUP(Tabla2[[#This Row],[Universidad KPIs]],Conversiones!$C:$C,Conversiones!$E:$E)</f>
        <v>General</v>
      </c>
      <c r="I243" s="1" t="s">
        <v>39</v>
      </c>
      <c r="J243" s="1" t="s">
        <v>250</v>
      </c>
      <c r="K243" s="1" t="s">
        <v>3522</v>
      </c>
      <c r="L243" s="1" t="s">
        <v>3523</v>
      </c>
      <c r="M243" s="1" t="s">
        <v>213</v>
      </c>
      <c r="N243" s="1" t="s">
        <v>2334</v>
      </c>
      <c r="O243" s="54" t="s">
        <v>3323</v>
      </c>
      <c r="P243" s="1">
        <v>1</v>
      </c>
      <c r="Q243" s="1" t="s">
        <v>2708</v>
      </c>
      <c r="R243" s="1" t="s">
        <v>2768</v>
      </c>
      <c r="S243" s="1" t="s">
        <v>2769</v>
      </c>
      <c r="T243" s="1" t="s">
        <v>2733</v>
      </c>
      <c r="U243" s="1"/>
      <c r="V243" s="1"/>
      <c r="W243" s="1"/>
      <c r="X243" s="1"/>
      <c r="Y243" s="1"/>
      <c r="Z243" s="1"/>
      <c r="AA243" s="1"/>
      <c r="AB243" s="1"/>
      <c r="AC243" s="56" t="s">
        <v>220</v>
      </c>
      <c r="AD243" s="56" t="s">
        <v>227</v>
      </c>
    </row>
    <row r="244" spans="1:30">
      <c r="A244" s="1">
        <v>2023</v>
      </c>
      <c r="B244" s="1">
        <v>202320</v>
      </c>
      <c r="C244" s="1">
        <v>202325727</v>
      </c>
      <c r="D244" s="1" t="s">
        <v>3524</v>
      </c>
      <c r="E244" s="1" t="s">
        <v>3525</v>
      </c>
      <c r="F244" s="1" t="s">
        <v>167</v>
      </c>
      <c r="G244" s="53" t="str">
        <f>_xlfn.XLOOKUP(Tabla2[[#This Row],[Universidad]],Conversiones!$B:$B,Conversiones!$C:$C)</f>
        <v>University of Sussex</v>
      </c>
      <c r="H244" s="53" t="str">
        <f>_xlfn.XLOOKUP(Tabla2[[#This Row],[Universidad KPIs]],Conversiones!$C:$C,Conversiones!$E:$E)</f>
        <v>General</v>
      </c>
      <c r="I244" s="1" t="s">
        <v>39</v>
      </c>
      <c r="J244" s="1" t="s">
        <v>250</v>
      </c>
      <c r="K244" s="1" t="s">
        <v>3526</v>
      </c>
      <c r="L244" s="1" t="s">
        <v>3527</v>
      </c>
      <c r="M244" s="1" t="s">
        <v>213</v>
      </c>
      <c r="N244" s="1" t="s">
        <v>2298</v>
      </c>
      <c r="O244" s="54" t="s">
        <v>3198</v>
      </c>
      <c r="P244" s="1">
        <v>1</v>
      </c>
      <c r="Q244" s="1" t="s">
        <v>2300</v>
      </c>
      <c r="R244" s="1" t="s">
        <v>2363</v>
      </c>
      <c r="S244" s="1" t="s">
        <v>3348</v>
      </c>
      <c r="T244" s="1" t="s">
        <v>2357</v>
      </c>
      <c r="U244" s="1"/>
      <c r="V244" s="1"/>
      <c r="W244" s="1"/>
      <c r="X244" s="1"/>
      <c r="Y244" s="1"/>
      <c r="Z244" s="1"/>
      <c r="AA244" s="1"/>
      <c r="AB244" s="1"/>
      <c r="AC244" s="56" t="s">
        <v>216</v>
      </c>
      <c r="AD244" s="56" t="s">
        <v>234</v>
      </c>
    </row>
    <row r="245" spans="1:30">
      <c r="A245" s="1">
        <v>2023</v>
      </c>
      <c r="B245" s="1">
        <v>202310</v>
      </c>
      <c r="C245" s="1">
        <v>202316837</v>
      </c>
      <c r="D245" s="1" t="s">
        <v>3528</v>
      </c>
      <c r="E245" s="1" t="s">
        <v>3529</v>
      </c>
      <c r="F245" s="1" t="s">
        <v>388</v>
      </c>
      <c r="G245" s="53" t="str">
        <f>_xlfn.XLOOKUP(Tabla2[[#This Row],[Universidad]],Conversiones!$B:$B,Conversiones!$C:$C)</f>
        <v>ESCP</v>
      </c>
      <c r="H245" s="53" t="str">
        <f>_xlfn.XLOOKUP(Tabla2[[#This Row],[Universidad KPIs]],Conversiones!$C:$C,Conversiones!$E:$E)</f>
        <v>Específico</v>
      </c>
      <c r="I245" s="1" t="s">
        <v>41</v>
      </c>
      <c r="J245" s="1" t="s">
        <v>250</v>
      </c>
      <c r="K245" s="1" t="s">
        <v>3530</v>
      </c>
      <c r="L245" s="1" t="s">
        <v>3531</v>
      </c>
      <c r="M245" s="1" t="s">
        <v>213</v>
      </c>
      <c r="N245" s="1" t="s">
        <v>2334</v>
      </c>
      <c r="O245" s="54" t="s">
        <v>2335</v>
      </c>
      <c r="P245" s="1">
        <v>1</v>
      </c>
      <c r="Q245" s="1" t="s">
        <v>2339</v>
      </c>
      <c r="R245" s="1" t="s">
        <v>3258</v>
      </c>
      <c r="S245" s="1" t="s">
        <v>2376</v>
      </c>
      <c r="T245" s="1"/>
      <c r="U245" s="1"/>
      <c r="V245" s="1"/>
      <c r="W245" s="1"/>
      <c r="X245" s="1"/>
      <c r="Y245" s="1"/>
      <c r="Z245" s="1"/>
      <c r="AA245" s="1"/>
      <c r="AB245" s="1"/>
      <c r="AC245" s="56" t="s">
        <v>220</v>
      </c>
      <c r="AD245" s="56" t="s">
        <v>227</v>
      </c>
    </row>
    <row r="246" spans="1:30">
      <c r="A246" s="1">
        <v>2023</v>
      </c>
      <c r="B246" s="1">
        <v>202310</v>
      </c>
      <c r="C246" s="1">
        <v>202314873</v>
      </c>
      <c r="D246" s="1" t="s">
        <v>3532</v>
      </c>
      <c r="E246" s="1" t="s">
        <v>3533</v>
      </c>
      <c r="F246" s="1" t="s">
        <v>493</v>
      </c>
      <c r="G246" s="53" t="str">
        <f>_xlfn.XLOOKUP(Tabla2[[#This Row],[Universidad]],Conversiones!$B:$B,Conversiones!$C:$C)</f>
        <v>University of Saint Gallen</v>
      </c>
      <c r="H246" s="53" t="str">
        <f>_xlfn.XLOOKUP(Tabla2[[#This Row],[Universidad KPIs]],Conversiones!$C:$C,Conversiones!$E:$E)</f>
        <v>Específico</v>
      </c>
      <c r="I246" s="1" t="s">
        <v>65</v>
      </c>
      <c r="J246" s="1" t="s">
        <v>250</v>
      </c>
      <c r="K246" s="1" t="s">
        <v>3534</v>
      </c>
      <c r="L246" s="1" t="s">
        <v>3535</v>
      </c>
      <c r="M246" s="1" t="s">
        <v>213</v>
      </c>
      <c r="N246" s="1" t="s">
        <v>2334</v>
      </c>
      <c r="O246" s="54" t="s">
        <v>2335</v>
      </c>
      <c r="P246" s="1">
        <v>1</v>
      </c>
      <c r="Q246" s="1" t="s">
        <v>3255</v>
      </c>
      <c r="R246" s="1" t="s">
        <v>3256</v>
      </c>
      <c r="S246" s="1" t="s">
        <v>3486</v>
      </c>
      <c r="T246" s="1" t="s">
        <v>3257</v>
      </c>
      <c r="U246" s="1" t="s">
        <v>3258</v>
      </c>
      <c r="V246" s="1" t="s">
        <v>3259</v>
      </c>
      <c r="W246" s="1" t="s">
        <v>2356</v>
      </c>
      <c r="X246" s="1"/>
      <c r="Y246" s="1"/>
      <c r="Z246" s="1"/>
      <c r="AA246" s="1"/>
      <c r="AB246" s="1"/>
      <c r="AC246" s="56" t="s">
        <v>231</v>
      </c>
      <c r="AD246" s="56" t="s">
        <v>227</v>
      </c>
    </row>
    <row r="247" spans="1:30">
      <c r="A247" s="1">
        <v>2023</v>
      </c>
      <c r="B247" s="1">
        <v>202320</v>
      </c>
      <c r="C247" s="1">
        <v>202325881</v>
      </c>
      <c r="D247" s="1" t="s">
        <v>3536</v>
      </c>
      <c r="E247" s="1" t="s">
        <v>3537</v>
      </c>
      <c r="F247" s="1" t="s">
        <v>274</v>
      </c>
      <c r="G247" s="53" t="str">
        <f>_xlfn.XLOOKUP(Tabla2[[#This Row],[Universidad]],Conversiones!$B:$B,Conversiones!$C:$C)</f>
        <v>Catolica Lisbon Business &amp; Economics. Universidade Católica Portuguesa</v>
      </c>
      <c r="H247" s="53" t="str">
        <f>_xlfn.XLOOKUP(Tabla2[[#This Row],[Universidad KPIs]],Conversiones!$C:$C,Conversiones!$E:$E)</f>
        <v>Específico</v>
      </c>
      <c r="I247" s="1" t="s">
        <v>45</v>
      </c>
      <c r="J247" s="1" t="s">
        <v>250</v>
      </c>
      <c r="K247" s="1" t="s">
        <v>3538</v>
      </c>
      <c r="L247" s="1" t="s">
        <v>3539</v>
      </c>
      <c r="M247" s="1" t="s">
        <v>213</v>
      </c>
      <c r="N247" s="1" t="s">
        <v>2298</v>
      </c>
      <c r="O247" s="54" t="s">
        <v>3198</v>
      </c>
      <c r="P247" s="1">
        <v>1</v>
      </c>
      <c r="Q247" s="1" t="s">
        <v>2370</v>
      </c>
      <c r="R247" s="1" t="s">
        <v>2307</v>
      </c>
      <c r="S247" s="1" t="s">
        <v>2601</v>
      </c>
      <c r="T247" s="1" t="s">
        <v>2369</v>
      </c>
      <c r="U247" s="1" t="s">
        <v>2309</v>
      </c>
      <c r="V247" s="1" t="s">
        <v>2329</v>
      </c>
      <c r="W247" s="1"/>
      <c r="X247" s="1"/>
      <c r="Y247" s="1"/>
      <c r="Z247" s="1"/>
      <c r="AA247" s="1"/>
      <c r="AB247" s="1"/>
      <c r="AC247" s="56" t="s">
        <v>216</v>
      </c>
      <c r="AD247" s="56" t="s">
        <v>234</v>
      </c>
    </row>
    <row r="248" spans="1:30">
      <c r="A248" s="1">
        <v>2023</v>
      </c>
      <c r="B248" s="1">
        <v>202320</v>
      </c>
      <c r="C248" s="1">
        <v>202324247</v>
      </c>
      <c r="D248" s="1" t="s">
        <v>3540</v>
      </c>
      <c r="E248" s="1" t="s">
        <v>3541</v>
      </c>
      <c r="F248" s="1" t="s">
        <v>100</v>
      </c>
      <c r="G248" s="53" t="str">
        <f>_xlfn.XLOOKUP(Tabla2[[#This Row],[Universidad]],Conversiones!$B:$B,Conversiones!$C:$C)</f>
        <v>University of Glasgow</v>
      </c>
      <c r="H248" s="53" t="str">
        <f>_xlfn.XLOOKUP(Tabla2[[#This Row],[Universidad KPIs]],Conversiones!$C:$C,Conversiones!$E:$E)</f>
        <v>General</v>
      </c>
      <c r="I248" s="1" t="s">
        <v>39</v>
      </c>
      <c r="J248" s="1" t="s">
        <v>250</v>
      </c>
      <c r="K248" s="1" t="s">
        <v>3542</v>
      </c>
      <c r="L248" s="1" t="s">
        <v>3543</v>
      </c>
      <c r="M248" s="1" t="s">
        <v>213</v>
      </c>
      <c r="N248" s="1" t="s">
        <v>2334</v>
      </c>
      <c r="O248" s="54" t="s">
        <v>3323</v>
      </c>
      <c r="P248" s="1">
        <v>1</v>
      </c>
      <c r="Q248" s="1" t="s">
        <v>2708</v>
      </c>
      <c r="R248" s="1" t="s">
        <v>2768</v>
      </c>
      <c r="S248" s="1" t="s">
        <v>2769</v>
      </c>
      <c r="T248" s="1" t="s">
        <v>2733</v>
      </c>
      <c r="U248" s="1"/>
      <c r="V248" s="1"/>
      <c r="W248" s="1"/>
      <c r="X248" s="1"/>
      <c r="Y248" s="1"/>
      <c r="Z248" s="1"/>
      <c r="AA248" s="1"/>
      <c r="AB248" s="1"/>
      <c r="AC248" s="56" t="s">
        <v>220</v>
      </c>
      <c r="AD248" s="56" t="s">
        <v>227</v>
      </c>
    </row>
    <row r="249" spans="1:30">
      <c r="A249" s="1">
        <v>2023</v>
      </c>
      <c r="B249" s="1">
        <v>202310</v>
      </c>
      <c r="C249" s="1">
        <v>202316908</v>
      </c>
      <c r="D249" s="1" t="s">
        <v>3544</v>
      </c>
      <c r="E249" s="1" t="s">
        <v>3545</v>
      </c>
      <c r="F249" s="1" t="s">
        <v>78</v>
      </c>
      <c r="G249" s="53" t="str">
        <f>_xlfn.XLOOKUP(Tabla2[[#This Row],[Universidad]],Conversiones!$B:$B,Conversiones!$C:$C)</f>
        <v>Maastricht University</v>
      </c>
      <c r="H249" s="53" t="str">
        <f>_xlfn.XLOOKUP(Tabla2[[#This Row],[Universidad KPIs]],Conversiones!$C:$C,Conversiones!$E:$E)</f>
        <v>Específico</v>
      </c>
      <c r="I249" s="1" t="s">
        <v>79</v>
      </c>
      <c r="J249" s="1" t="s">
        <v>250</v>
      </c>
      <c r="K249" s="1" t="s">
        <v>3546</v>
      </c>
      <c r="L249" s="1" t="s">
        <v>3547</v>
      </c>
      <c r="M249" s="1" t="s">
        <v>213</v>
      </c>
      <c r="N249" s="1" t="s">
        <v>2298</v>
      </c>
      <c r="O249" s="54" t="s">
        <v>2299</v>
      </c>
      <c r="P249" s="1">
        <v>1</v>
      </c>
      <c r="Q249" s="1" t="s">
        <v>2328</v>
      </c>
      <c r="R249" s="1" t="s">
        <v>3083</v>
      </c>
      <c r="S249" s="1" t="s">
        <v>3309</v>
      </c>
      <c r="T249" s="1" t="s">
        <v>2321</v>
      </c>
      <c r="U249" s="1" t="s">
        <v>2322</v>
      </c>
      <c r="V249" s="1" t="s">
        <v>2382</v>
      </c>
      <c r="W249" s="1" t="s">
        <v>2370</v>
      </c>
      <c r="X249" s="1"/>
      <c r="Y249" s="1"/>
      <c r="Z249" s="1"/>
      <c r="AA249" s="1"/>
      <c r="AB249" s="1"/>
      <c r="AC249" s="56" t="s">
        <v>216</v>
      </c>
      <c r="AD249" s="56" t="s">
        <v>234</v>
      </c>
    </row>
    <row r="250" spans="1:30">
      <c r="A250" s="1">
        <v>2023</v>
      </c>
      <c r="B250" s="1">
        <v>202310</v>
      </c>
      <c r="C250" s="1">
        <v>202316909</v>
      </c>
      <c r="D250" s="1" t="s">
        <v>3548</v>
      </c>
      <c r="E250" s="1" t="s">
        <v>3549</v>
      </c>
      <c r="F250" s="1" t="s">
        <v>1454</v>
      </c>
      <c r="G250" s="53" t="str">
        <f>_xlfn.XLOOKUP(Tabla2[[#This Row],[Universidad]],Conversiones!$B:$B,Conversiones!$C:$C)</f>
        <v>HEC Paris</v>
      </c>
      <c r="H250" s="53" t="str">
        <f>_xlfn.XLOOKUP(Tabla2[[#This Row],[Universidad KPIs]],Conversiones!$C:$C,Conversiones!$E:$E)</f>
        <v>Específico</v>
      </c>
      <c r="I250" s="1" t="s">
        <v>41</v>
      </c>
      <c r="J250" s="1" t="s">
        <v>250</v>
      </c>
      <c r="K250" s="1" t="s">
        <v>3550</v>
      </c>
      <c r="L250" s="1" t="s">
        <v>3551</v>
      </c>
      <c r="M250" s="1" t="s">
        <v>213</v>
      </c>
      <c r="N250" s="1" t="s">
        <v>2298</v>
      </c>
      <c r="O250" s="54" t="s">
        <v>2299</v>
      </c>
      <c r="P250" s="1">
        <v>1</v>
      </c>
      <c r="Q250" s="1" t="s">
        <v>2600</v>
      </c>
      <c r="R250" s="1" t="s">
        <v>2309</v>
      </c>
      <c r="S250" s="1" t="s">
        <v>2307</v>
      </c>
      <c r="T250" s="1" t="s">
        <v>3422</v>
      </c>
      <c r="U250" s="1"/>
      <c r="V250" s="1"/>
      <c r="W250" s="1"/>
      <c r="X250" s="1"/>
      <c r="Y250" s="1"/>
      <c r="Z250" s="1"/>
      <c r="AA250" s="1"/>
      <c r="AB250" s="1"/>
      <c r="AC250" s="56" t="s">
        <v>216</v>
      </c>
      <c r="AD250" s="56" t="s">
        <v>234</v>
      </c>
    </row>
    <row r="251" spans="1:30">
      <c r="A251" s="1">
        <v>2023</v>
      </c>
      <c r="B251" s="1">
        <v>202320</v>
      </c>
      <c r="C251" s="1">
        <v>202325776</v>
      </c>
      <c r="D251" s="1" t="s">
        <v>3552</v>
      </c>
      <c r="E251" s="1" t="s">
        <v>1073</v>
      </c>
      <c r="F251" s="1" t="s">
        <v>255</v>
      </c>
      <c r="G251" s="53" t="str">
        <f>_xlfn.XLOOKUP(Tabla2[[#This Row],[Universidad]],Conversiones!$B:$B,Conversiones!$C:$C)</f>
        <v>ESC Rouen (NEOMA)</v>
      </c>
      <c r="H251" s="53" t="str">
        <f>_xlfn.XLOOKUP(Tabla2[[#This Row],[Universidad KPIs]],Conversiones!$C:$C,Conversiones!$E:$E)</f>
        <v>Específico</v>
      </c>
      <c r="I251" s="1" t="s">
        <v>41</v>
      </c>
      <c r="J251" s="1" t="s">
        <v>250</v>
      </c>
      <c r="K251" s="1" t="s">
        <v>3553</v>
      </c>
      <c r="L251" s="1" t="s">
        <v>3554</v>
      </c>
      <c r="M251" s="1" t="s">
        <v>213</v>
      </c>
      <c r="N251" s="1" t="s">
        <v>2298</v>
      </c>
      <c r="O251" s="54" t="s">
        <v>3198</v>
      </c>
      <c r="P251" s="1">
        <v>1</v>
      </c>
      <c r="Q251" s="1" t="s">
        <v>2525</v>
      </c>
      <c r="R251" s="1" t="s">
        <v>2407</v>
      </c>
      <c r="S251" s="1" t="s">
        <v>2412</v>
      </c>
      <c r="T251" s="1" t="s">
        <v>2300</v>
      </c>
      <c r="U251" s="1"/>
      <c r="V251" s="1"/>
      <c r="W251" s="1"/>
      <c r="X251" s="1"/>
      <c r="Y251" s="1"/>
      <c r="Z251" s="1"/>
      <c r="AA251" s="1"/>
      <c r="AB251" s="1"/>
      <c r="AC251" s="56" t="s">
        <v>233</v>
      </c>
      <c r="AD251" s="56" t="s">
        <v>227</v>
      </c>
    </row>
    <row r="252" spans="1:30">
      <c r="A252" s="1">
        <v>2023</v>
      </c>
      <c r="B252" s="1">
        <v>202310</v>
      </c>
      <c r="C252" s="1">
        <v>202316910</v>
      </c>
      <c r="D252" s="1" t="s">
        <v>3555</v>
      </c>
      <c r="E252" s="1" t="s">
        <v>3556</v>
      </c>
      <c r="F252" s="1" t="s">
        <v>78</v>
      </c>
      <c r="G252" s="53" t="str">
        <f>_xlfn.XLOOKUP(Tabla2[[#This Row],[Universidad]],Conversiones!$B:$B,Conversiones!$C:$C)</f>
        <v>Maastricht University</v>
      </c>
      <c r="H252" s="53" t="str">
        <f>_xlfn.XLOOKUP(Tabla2[[#This Row],[Universidad KPIs]],Conversiones!$C:$C,Conversiones!$E:$E)</f>
        <v>Específico</v>
      </c>
      <c r="I252" s="1" t="s">
        <v>79</v>
      </c>
      <c r="J252" s="1" t="s">
        <v>250</v>
      </c>
      <c r="K252" s="1" t="s">
        <v>3557</v>
      </c>
      <c r="L252" s="1" t="s">
        <v>3558</v>
      </c>
      <c r="M252" s="1" t="s">
        <v>213</v>
      </c>
      <c r="N252" s="1" t="s">
        <v>2298</v>
      </c>
      <c r="O252" s="54" t="s">
        <v>2299</v>
      </c>
      <c r="P252" s="1">
        <v>1</v>
      </c>
      <c r="Q252" s="1" t="s">
        <v>2328</v>
      </c>
      <c r="R252" s="1" t="s">
        <v>3309</v>
      </c>
      <c r="S252" s="1" t="s">
        <v>2321</v>
      </c>
      <c r="T252" s="1" t="s">
        <v>2632</v>
      </c>
      <c r="U252" s="1" t="s">
        <v>2322</v>
      </c>
      <c r="V252" s="1" t="s">
        <v>2382</v>
      </c>
      <c r="W252" s="1" t="s">
        <v>2370</v>
      </c>
      <c r="X252" s="1"/>
      <c r="Y252" s="1"/>
      <c r="Z252" s="1"/>
      <c r="AA252" s="1"/>
      <c r="AB252" s="1"/>
      <c r="AC252" s="56" t="s">
        <v>216</v>
      </c>
      <c r="AD252" s="56" t="s">
        <v>234</v>
      </c>
    </row>
    <row r="253" spans="1:30">
      <c r="A253" s="1">
        <v>2023</v>
      </c>
      <c r="B253" s="1">
        <v>202310</v>
      </c>
      <c r="C253" s="1">
        <v>202316839</v>
      </c>
      <c r="D253" s="1" t="s">
        <v>3559</v>
      </c>
      <c r="E253" s="1" t="s">
        <v>3560</v>
      </c>
      <c r="F253" s="1" t="s">
        <v>86</v>
      </c>
      <c r="G253" s="53" t="str">
        <f>_xlfn.XLOOKUP(Tabla2[[#This Row],[Universidad]],Conversiones!$B:$B,Conversiones!$C:$C)</f>
        <v>Politecnico di Milano</v>
      </c>
      <c r="H253" s="53" t="str">
        <f>_xlfn.XLOOKUP(Tabla2[[#This Row],[Universidad KPIs]],Conversiones!$C:$C,Conversiones!$E:$E)</f>
        <v>Específico</v>
      </c>
      <c r="I253" s="1" t="s">
        <v>87</v>
      </c>
      <c r="J253" s="1" t="s">
        <v>250</v>
      </c>
      <c r="K253" s="1" t="s">
        <v>3561</v>
      </c>
      <c r="L253" s="1" t="s">
        <v>3562</v>
      </c>
      <c r="M253" s="1" t="s">
        <v>213</v>
      </c>
      <c r="N253" s="1" t="s">
        <v>2334</v>
      </c>
      <c r="O253" s="54" t="s">
        <v>2335</v>
      </c>
      <c r="P253" s="1">
        <v>1</v>
      </c>
      <c r="Q253" s="1" t="s">
        <v>2345</v>
      </c>
      <c r="R253" s="1" t="s">
        <v>3563</v>
      </c>
      <c r="S253" s="1" t="s">
        <v>3289</v>
      </c>
      <c r="T253" s="1"/>
      <c r="U253" s="1"/>
      <c r="V253" s="1"/>
      <c r="W253" s="1"/>
      <c r="X253" s="1"/>
      <c r="Y253" s="1"/>
      <c r="Z253" s="1"/>
      <c r="AA253" s="1"/>
      <c r="AB253" s="1"/>
      <c r="AC253" s="56" t="s">
        <v>220</v>
      </c>
      <c r="AD253" s="56" t="s">
        <v>227</v>
      </c>
    </row>
    <row r="254" spans="1:30">
      <c r="A254" s="1">
        <v>2023</v>
      </c>
      <c r="B254" s="1">
        <v>202320</v>
      </c>
      <c r="C254" s="1">
        <v>202325822</v>
      </c>
      <c r="D254" s="1" t="s">
        <v>2819</v>
      </c>
      <c r="E254" s="1" t="s">
        <v>3564</v>
      </c>
      <c r="F254" s="1" t="s">
        <v>289</v>
      </c>
      <c r="G254" s="53" t="str">
        <f>_xlfn.XLOOKUP(Tabla2[[#This Row],[Universidad]],Conversiones!$B:$B,Conversiones!$C:$C)</f>
        <v>ESADE</v>
      </c>
      <c r="H254" s="53" t="str">
        <f>_xlfn.XLOOKUP(Tabla2[[#This Row],[Universidad KPIs]],Conversiones!$C:$C,Conversiones!$E:$E)</f>
        <v>Específico</v>
      </c>
      <c r="I254" s="1" t="s">
        <v>53</v>
      </c>
      <c r="J254" s="1" t="s">
        <v>250</v>
      </c>
      <c r="K254" s="1" t="s">
        <v>3565</v>
      </c>
      <c r="L254" s="1" t="s">
        <v>3566</v>
      </c>
      <c r="M254" s="1" t="s">
        <v>213</v>
      </c>
      <c r="N254" s="1" t="s">
        <v>2298</v>
      </c>
      <c r="O254" s="54" t="s">
        <v>3198</v>
      </c>
      <c r="P254" s="1">
        <v>1</v>
      </c>
      <c r="Q254" s="1" t="s">
        <v>2328</v>
      </c>
      <c r="R254" s="1" t="s">
        <v>2412</v>
      </c>
      <c r="S254" s="1" t="s">
        <v>2307</v>
      </c>
      <c r="T254" s="1" t="s">
        <v>2309</v>
      </c>
      <c r="U254" s="1" t="s">
        <v>2329</v>
      </c>
      <c r="V254" s="1"/>
      <c r="W254" s="1"/>
      <c r="X254" s="1"/>
      <c r="Y254" s="1"/>
      <c r="Z254" s="1"/>
      <c r="AA254" s="1"/>
      <c r="AB254" s="1"/>
      <c r="AC254" s="56" t="s">
        <v>216</v>
      </c>
      <c r="AD254" s="56" t="s">
        <v>234</v>
      </c>
    </row>
    <row r="255" spans="1:30">
      <c r="A255" s="1">
        <v>2023</v>
      </c>
      <c r="B255" s="1">
        <v>202320</v>
      </c>
      <c r="C255" s="1">
        <v>202325805</v>
      </c>
      <c r="D255" s="1" t="s">
        <v>3567</v>
      </c>
      <c r="E255" s="1" t="s">
        <v>3568</v>
      </c>
      <c r="F255" s="1" t="s">
        <v>410</v>
      </c>
      <c r="G255" s="53" t="str">
        <f>_xlfn.XLOOKUP(Tabla2[[#This Row],[Universidad]],Conversiones!$B:$B,Conversiones!$C:$C)</f>
        <v xml:space="preserve">CBS- Copenhagen Business School  </v>
      </c>
      <c r="H255" s="53" t="str">
        <f>_xlfn.XLOOKUP(Tabla2[[#This Row],[Universidad KPIs]],Conversiones!$C:$C,Conversiones!$E:$E)</f>
        <v>Específico</v>
      </c>
      <c r="I255" s="1" t="s">
        <v>47</v>
      </c>
      <c r="J255" s="1" t="s">
        <v>250</v>
      </c>
      <c r="K255" s="1" t="s">
        <v>3569</v>
      </c>
      <c r="L255" s="1" t="s">
        <v>3570</v>
      </c>
      <c r="M255" s="1" t="s">
        <v>213</v>
      </c>
      <c r="N255" s="1" t="s">
        <v>2298</v>
      </c>
      <c r="O255" s="54" t="s">
        <v>3198</v>
      </c>
      <c r="P255" s="1">
        <v>1</v>
      </c>
      <c r="Q255" s="1" t="s">
        <v>2412</v>
      </c>
      <c r="R255" s="1" t="s">
        <v>2300</v>
      </c>
      <c r="S255" s="1" t="s">
        <v>2370</v>
      </c>
      <c r="T255" s="1" t="s">
        <v>2307</v>
      </c>
      <c r="U255" s="1" t="s">
        <v>3199</v>
      </c>
      <c r="V255" s="1"/>
      <c r="W255" s="1"/>
      <c r="X255" s="1"/>
      <c r="Y255" s="1"/>
      <c r="Z255" s="1"/>
      <c r="AA255" s="1"/>
      <c r="AB255" s="1"/>
      <c r="AC255" s="56" t="s">
        <v>216</v>
      </c>
      <c r="AD255" s="56" t="s">
        <v>234</v>
      </c>
    </row>
    <row r="256" spans="1:30">
      <c r="A256" s="1">
        <v>2023</v>
      </c>
      <c r="B256" s="1">
        <v>202320</v>
      </c>
      <c r="C256" s="1">
        <v>202325823</v>
      </c>
      <c r="D256" s="1" t="s">
        <v>2819</v>
      </c>
      <c r="E256" s="1" t="s">
        <v>3571</v>
      </c>
      <c r="F256" s="1" t="s">
        <v>289</v>
      </c>
      <c r="G256" s="53" t="str">
        <f>_xlfn.XLOOKUP(Tabla2[[#This Row],[Universidad]],Conversiones!$B:$B,Conversiones!$C:$C)</f>
        <v>ESADE</v>
      </c>
      <c r="H256" s="53" t="str">
        <f>_xlfn.XLOOKUP(Tabla2[[#This Row],[Universidad KPIs]],Conversiones!$C:$C,Conversiones!$E:$E)</f>
        <v>Específico</v>
      </c>
      <c r="I256" s="1" t="s">
        <v>53</v>
      </c>
      <c r="J256" s="1" t="s">
        <v>250</v>
      </c>
      <c r="K256" s="1" t="s">
        <v>3572</v>
      </c>
      <c r="L256" s="1" t="s">
        <v>3573</v>
      </c>
      <c r="M256" s="1" t="s">
        <v>213</v>
      </c>
      <c r="N256" s="1" t="s">
        <v>2298</v>
      </c>
      <c r="O256" s="54" t="s">
        <v>3198</v>
      </c>
      <c r="P256" s="1">
        <v>1</v>
      </c>
      <c r="Q256" s="1" t="s">
        <v>2525</v>
      </c>
      <c r="R256" s="1" t="s">
        <v>2328</v>
      </c>
      <c r="S256" s="1" t="s">
        <v>2412</v>
      </c>
      <c r="T256" s="1" t="s">
        <v>2307</v>
      </c>
      <c r="U256" s="1" t="s">
        <v>3199</v>
      </c>
      <c r="V256" s="1"/>
      <c r="W256" s="1"/>
      <c r="X256" s="1"/>
      <c r="Y256" s="1"/>
      <c r="Z256" s="1"/>
      <c r="AA256" s="1"/>
      <c r="AB256" s="1"/>
      <c r="AC256" s="56" t="s">
        <v>216</v>
      </c>
      <c r="AD256" s="56" t="s">
        <v>234</v>
      </c>
    </row>
    <row r="257" spans="1:30">
      <c r="A257" s="1">
        <v>2023</v>
      </c>
      <c r="B257" s="1">
        <v>202320</v>
      </c>
      <c r="C257" s="1">
        <v>202325878</v>
      </c>
      <c r="D257" s="1" t="s">
        <v>3574</v>
      </c>
      <c r="E257" s="1" t="s">
        <v>3575</v>
      </c>
      <c r="F257" s="1" t="s">
        <v>424</v>
      </c>
      <c r="G257" s="53" t="str">
        <f>_xlfn.XLOOKUP(Tabla2[[#This Row],[Universidad]],Conversiones!$B:$B,Conversiones!$C:$C)</f>
        <v>Nova School of Business and Economics</v>
      </c>
      <c r="H257" s="53" t="str">
        <f>_xlfn.XLOOKUP(Tabla2[[#This Row],[Universidad KPIs]],Conversiones!$C:$C,Conversiones!$E:$E)</f>
        <v>Específico</v>
      </c>
      <c r="I257" s="1" t="s">
        <v>45</v>
      </c>
      <c r="J257" s="1" t="s">
        <v>250</v>
      </c>
      <c r="K257" s="1" t="s">
        <v>3576</v>
      </c>
      <c r="L257" s="1" t="s">
        <v>3577</v>
      </c>
      <c r="M257" s="1" t="s">
        <v>213</v>
      </c>
      <c r="N257" s="1" t="s">
        <v>2298</v>
      </c>
      <c r="O257" s="54" t="s">
        <v>3198</v>
      </c>
      <c r="P257" s="1">
        <v>1</v>
      </c>
      <c r="Q257" s="1" t="s">
        <v>2407</v>
      </c>
      <c r="R257" s="1" t="s">
        <v>2370</v>
      </c>
      <c r="S257" s="1" t="s">
        <v>2307</v>
      </c>
      <c r="T257" s="1" t="s">
        <v>2601</v>
      </c>
      <c r="U257" s="1" t="s">
        <v>2369</v>
      </c>
      <c r="V257" s="1" t="s">
        <v>2308</v>
      </c>
      <c r="W257" s="1"/>
      <c r="X257" s="1"/>
      <c r="Y257" s="1"/>
      <c r="Z257" s="1"/>
      <c r="AA257" s="1"/>
      <c r="AB257" s="1"/>
      <c r="AC257" s="56" t="s">
        <v>216</v>
      </c>
      <c r="AD257" s="56" t="s">
        <v>234</v>
      </c>
    </row>
    <row r="258" spans="1:30">
      <c r="A258" s="1">
        <v>2023</v>
      </c>
      <c r="B258" s="1">
        <v>202310</v>
      </c>
      <c r="C258" s="1">
        <v>202314874</v>
      </c>
      <c r="D258" s="1" t="s">
        <v>3578</v>
      </c>
      <c r="E258" s="1" t="s">
        <v>3579</v>
      </c>
      <c r="F258" s="1" t="s">
        <v>186</v>
      </c>
      <c r="G258" s="53" t="str">
        <f>_xlfn.XLOOKUP(Tabla2[[#This Row],[Universidad]],Conversiones!$B:$B,Conversiones!$C:$C)</f>
        <v>Norges Handelshøyskole</v>
      </c>
      <c r="H258" s="53" t="str">
        <f>_xlfn.XLOOKUP(Tabla2[[#This Row],[Universidad KPIs]],Conversiones!$C:$C,Conversiones!$E:$E)</f>
        <v>General</v>
      </c>
      <c r="I258" s="1" t="s">
        <v>43</v>
      </c>
      <c r="J258" s="1" t="s">
        <v>250</v>
      </c>
      <c r="K258" s="1" t="s">
        <v>3580</v>
      </c>
      <c r="L258" s="1" t="s">
        <v>3581</v>
      </c>
      <c r="M258" s="1" t="s">
        <v>213</v>
      </c>
      <c r="N258" s="1" t="s">
        <v>2334</v>
      </c>
      <c r="O258" s="54" t="s">
        <v>2335</v>
      </c>
      <c r="P258" s="1">
        <v>1</v>
      </c>
      <c r="Q258" s="1" t="s">
        <v>3255</v>
      </c>
      <c r="R258" s="1" t="s">
        <v>3485</v>
      </c>
      <c r="S258" s="1" t="s">
        <v>3486</v>
      </c>
      <c r="T258" s="1" t="s">
        <v>3257</v>
      </c>
      <c r="U258" s="1" t="s">
        <v>3258</v>
      </c>
      <c r="V258" s="1" t="s">
        <v>3259</v>
      </c>
      <c r="W258" s="1"/>
      <c r="X258" s="1"/>
      <c r="Y258" s="1"/>
      <c r="Z258" s="1"/>
      <c r="AA258" s="1"/>
      <c r="AB258" s="1"/>
      <c r="AC258" s="56" t="s">
        <v>231</v>
      </c>
      <c r="AD258" s="56" t="s">
        <v>227</v>
      </c>
    </row>
    <row r="259" spans="1:30">
      <c r="A259" s="1">
        <v>2023</v>
      </c>
      <c r="B259" s="1">
        <v>202320</v>
      </c>
      <c r="C259" s="1">
        <v>202326510</v>
      </c>
      <c r="D259" s="1" t="s">
        <v>3582</v>
      </c>
      <c r="E259" s="1" t="s">
        <v>3583</v>
      </c>
      <c r="F259" s="1" t="s">
        <v>1454</v>
      </c>
      <c r="G259" s="53" t="str">
        <f>_xlfn.XLOOKUP(Tabla2[[#This Row],[Universidad]],Conversiones!$B:$B,Conversiones!$C:$C)</f>
        <v>HEC Paris</v>
      </c>
      <c r="H259" s="53" t="str">
        <f>_xlfn.XLOOKUP(Tabla2[[#This Row],[Universidad KPIs]],Conversiones!$C:$C,Conversiones!$E:$E)</f>
        <v>Específico</v>
      </c>
      <c r="I259" s="1" t="s">
        <v>41</v>
      </c>
      <c r="J259" s="1" t="s">
        <v>250</v>
      </c>
      <c r="K259" s="1" t="s">
        <v>3584</v>
      </c>
      <c r="L259" s="1" t="s">
        <v>3585</v>
      </c>
      <c r="M259" s="1" t="s">
        <v>213</v>
      </c>
      <c r="N259" s="1" t="s">
        <v>2334</v>
      </c>
      <c r="O259" s="54" t="s">
        <v>3373</v>
      </c>
      <c r="P259" s="1">
        <v>1</v>
      </c>
      <c r="Q259" s="1" t="s">
        <v>2716</v>
      </c>
      <c r="R259" s="1" t="s">
        <v>3374</v>
      </c>
      <c r="S259" s="1" t="s">
        <v>3375</v>
      </c>
      <c r="T259" s="1" t="s">
        <v>3300</v>
      </c>
      <c r="U259" s="1" t="s">
        <v>2869</v>
      </c>
      <c r="V259" s="1" t="s">
        <v>3376</v>
      </c>
      <c r="W259" s="1"/>
      <c r="X259" s="1"/>
      <c r="Y259" s="1"/>
      <c r="Z259" s="1"/>
      <c r="AA259" s="1"/>
      <c r="AB259" s="1"/>
      <c r="AC259" s="56" t="s">
        <v>231</v>
      </c>
      <c r="AD259" s="56" t="s">
        <v>227</v>
      </c>
    </row>
    <row r="260" spans="1:30">
      <c r="A260" s="1">
        <v>2023</v>
      </c>
      <c r="B260" s="1">
        <v>202320</v>
      </c>
      <c r="C260" s="1">
        <v>202325826</v>
      </c>
      <c r="D260" s="1" t="s">
        <v>783</v>
      </c>
      <c r="E260" s="1" t="s">
        <v>3586</v>
      </c>
      <c r="F260" s="1" t="s">
        <v>350</v>
      </c>
      <c r="G260" s="53" t="str">
        <f>_xlfn.XLOOKUP(Tabla2[[#This Row],[Universidad]],Conversiones!$B:$B,Conversiones!$C:$C)</f>
        <v>Audencia. École de Management</v>
      </c>
      <c r="H260" s="53" t="str">
        <f>_xlfn.XLOOKUP(Tabla2[[#This Row],[Universidad KPIs]],Conversiones!$C:$C,Conversiones!$E:$E)</f>
        <v>Específico</v>
      </c>
      <c r="I260" s="1" t="s">
        <v>41</v>
      </c>
      <c r="J260" s="1" t="s">
        <v>250</v>
      </c>
      <c r="K260" s="1" t="s">
        <v>3587</v>
      </c>
      <c r="L260" s="1" t="s">
        <v>3588</v>
      </c>
      <c r="M260" s="1" t="s">
        <v>213</v>
      </c>
      <c r="N260" s="1" t="s">
        <v>2298</v>
      </c>
      <c r="O260" s="54" t="s">
        <v>3198</v>
      </c>
      <c r="P260" s="1">
        <v>1</v>
      </c>
      <c r="Q260" s="1" t="s">
        <v>2577</v>
      </c>
      <c r="R260" s="1" t="s">
        <v>2301</v>
      </c>
      <c r="S260" s="1" t="s">
        <v>2302</v>
      </c>
      <c r="T260" s="1" t="s">
        <v>3022</v>
      </c>
      <c r="U260" s="1" t="s">
        <v>3211</v>
      </c>
      <c r="V260" s="1"/>
      <c r="W260" s="1"/>
      <c r="X260" s="1"/>
      <c r="Y260" s="1"/>
      <c r="Z260" s="1"/>
      <c r="AA260" s="1"/>
      <c r="AB260" s="1"/>
      <c r="AC260" s="56" t="s">
        <v>216</v>
      </c>
      <c r="AD260" s="56" t="s">
        <v>234</v>
      </c>
    </row>
    <row r="261" spans="1:30">
      <c r="A261" s="1">
        <v>2023</v>
      </c>
      <c r="B261" s="1">
        <v>202320</v>
      </c>
      <c r="C261" s="1">
        <v>202325874</v>
      </c>
      <c r="D261" s="1" t="s">
        <v>3589</v>
      </c>
      <c r="E261" s="1" t="s">
        <v>3590</v>
      </c>
      <c r="F261" s="1" t="s">
        <v>341</v>
      </c>
      <c r="G261" s="53" t="str">
        <f>_xlfn.XLOOKUP(Tabla2[[#This Row],[Universidad]],Conversiones!$B:$B,Conversiones!$C:$C)</f>
        <v>A.B. Freeman School of Business, Tulane University</v>
      </c>
      <c r="H261" s="53" t="str">
        <f>_xlfn.XLOOKUP(Tabla2[[#This Row],[Universidad KPIs]],Conversiones!$C:$C,Conversiones!$E:$E)</f>
        <v>Específico</v>
      </c>
      <c r="I261" s="1" t="s">
        <v>35</v>
      </c>
      <c r="J261" s="1" t="s">
        <v>260</v>
      </c>
      <c r="K261" s="1" t="s">
        <v>3591</v>
      </c>
      <c r="L261" s="1" t="s">
        <v>3592</v>
      </c>
      <c r="M261" s="1" t="s">
        <v>213</v>
      </c>
      <c r="N261" s="1" t="s">
        <v>2298</v>
      </c>
      <c r="O261" s="54" t="s">
        <v>3198</v>
      </c>
      <c r="P261" s="1">
        <v>1</v>
      </c>
      <c r="Q261" s="1" t="s">
        <v>2307</v>
      </c>
      <c r="R261" s="1" t="s">
        <v>3211</v>
      </c>
      <c r="S261" s="1" t="s">
        <v>2394</v>
      </c>
      <c r="T261" s="1" t="s">
        <v>2860</v>
      </c>
      <c r="U261" s="1"/>
      <c r="V261" s="1"/>
      <c r="W261" s="1"/>
      <c r="X261" s="1"/>
      <c r="Y261" s="1"/>
      <c r="Z261" s="1"/>
      <c r="AA261" s="1"/>
      <c r="AB261" s="1"/>
      <c r="AC261" s="56" t="s">
        <v>216</v>
      </c>
      <c r="AD261" s="56" t="s">
        <v>234</v>
      </c>
    </row>
    <row r="262" spans="1:30">
      <c r="A262" s="1">
        <v>2023</v>
      </c>
      <c r="B262" s="1">
        <v>202310</v>
      </c>
      <c r="C262" s="1">
        <v>202316912</v>
      </c>
      <c r="D262" s="1" t="s">
        <v>3593</v>
      </c>
      <c r="E262" s="1" t="s">
        <v>3594</v>
      </c>
      <c r="F262" s="1" t="s">
        <v>1454</v>
      </c>
      <c r="G262" s="53" t="str">
        <f>_xlfn.XLOOKUP(Tabla2[[#This Row],[Universidad]],Conversiones!$B:$B,Conversiones!$C:$C)</f>
        <v>HEC Paris</v>
      </c>
      <c r="H262" s="53" t="str">
        <f>_xlfn.XLOOKUP(Tabla2[[#This Row],[Universidad KPIs]],Conversiones!$C:$C,Conversiones!$E:$E)</f>
        <v>Específico</v>
      </c>
      <c r="I262" s="1" t="s">
        <v>41</v>
      </c>
      <c r="J262" s="1" t="s">
        <v>250</v>
      </c>
      <c r="K262" s="1" t="s">
        <v>3595</v>
      </c>
      <c r="L262" s="1" t="s">
        <v>3596</v>
      </c>
      <c r="M262" s="1" t="s">
        <v>213</v>
      </c>
      <c r="N262" s="1" t="s">
        <v>2298</v>
      </c>
      <c r="O262" s="54" t="s">
        <v>2299</v>
      </c>
      <c r="P262" s="1">
        <v>1</v>
      </c>
      <c r="Q262" s="1" t="s">
        <v>2600</v>
      </c>
      <c r="R262" s="1" t="s">
        <v>2309</v>
      </c>
      <c r="S262" s="1" t="s">
        <v>2307</v>
      </c>
      <c r="T262" s="1" t="s">
        <v>3422</v>
      </c>
      <c r="U262" s="1"/>
      <c r="V262" s="1"/>
      <c r="W262" s="1"/>
      <c r="X262" s="1"/>
      <c r="Y262" s="1"/>
      <c r="Z262" s="1"/>
      <c r="AA262" s="1"/>
      <c r="AB262" s="1"/>
      <c r="AC262" s="56" t="s">
        <v>216</v>
      </c>
      <c r="AD262" s="56" t="s">
        <v>234</v>
      </c>
    </row>
    <row r="263" spans="1:30">
      <c r="A263" s="1">
        <v>2023</v>
      </c>
      <c r="B263" s="1">
        <v>202320</v>
      </c>
      <c r="C263" s="1">
        <v>202325844</v>
      </c>
      <c r="D263" s="1" t="s">
        <v>3597</v>
      </c>
      <c r="E263" s="1" t="s">
        <v>3598</v>
      </c>
      <c r="F263" s="1" t="s">
        <v>78</v>
      </c>
      <c r="G263" s="53" t="str">
        <f>_xlfn.XLOOKUP(Tabla2[[#This Row],[Universidad]],Conversiones!$B:$B,Conversiones!$C:$C)</f>
        <v>Maastricht University</v>
      </c>
      <c r="H263" s="53" t="str">
        <f>_xlfn.XLOOKUP(Tabla2[[#This Row],[Universidad KPIs]],Conversiones!$C:$C,Conversiones!$E:$E)</f>
        <v>Específico</v>
      </c>
      <c r="I263" s="1" t="s">
        <v>79</v>
      </c>
      <c r="J263" s="1" t="s">
        <v>250</v>
      </c>
      <c r="K263" s="1" t="s">
        <v>3599</v>
      </c>
      <c r="L263" s="1" t="s">
        <v>3600</v>
      </c>
      <c r="M263" s="1" t="s">
        <v>213</v>
      </c>
      <c r="N263" s="1" t="s">
        <v>2298</v>
      </c>
      <c r="O263" s="54" t="s">
        <v>3198</v>
      </c>
      <c r="P263" s="1">
        <v>1</v>
      </c>
      <c r="Q263" s="1" t="s">
        <v>2328</v>
      </c>
      <c r="R263" s="1" t="s">
        <v>2370</v>
      </c>
      <c r="S263" s="1" t="s">
        <v>2302</v>
      </c>
      <c r="T263" s="1" t="s">
        <v>2321</v>
      </c>
      <c r="U263" s="1" t="s">
        <v>2441</v>
      </c>
      <c r="V263" s="1" t="s">
        <v>2601</v>
      </c>
      <c r="W263" s="1"/>
      <c r="X263" s="1"/>
      <c r="Y263" s="1"/>
      <c r="Z263" s="1"/>
      <c r="AA263" s="1"/>
      <c r="AB263" s="1"/>
      <c r="AC263" s="56" t="s">
        <v>216</v>
      </c>
      <c r="AD263" s="56" t="s">
        <v>234</v>
      </c>
    </row>
    <row r="264" spans="1:30">
      <c r="A264" s="1">
        <v>2023</v>
      </c>
      <c r="B264" s="1">
        <v>202320</v>
      </c>
      <c r="C264" s="1">
        <v>202325759</v>
      </c>
      <c r="D264" s="1" t="s">
        <v>421</v>
      </c>
      <c r="E264" s="1" t="s">
        <v>3601</v>
      </c>
      <c r="F264" s="1" t="s">
        <v>98</v>
      </c>
      <c r="G264" s="53" t="str">
        <f>_xlfn.XLOOKUP(Tabla2[[#This Row],[Universidad]],Conversiones!$B:$B,Conversiones!$C:$C)</f>
        <v>Universiteit Utrecht</v>
      </c>
      <c r="H264" s="53" t="str">
        <f>_xlfn.XLOOKUP(Tabla2[[#This Row],[Universidad KPIs]],Conversiones!$C:$C,Conversiones!$E:$E)</f>
        <v>Específico</v>
      </c>
      <c r="I264" s="1" t="s">
        <v>79</v>
      </c>
      <c r="J264" s="1" t="s">
        <v>250</v>
      </c>
      <c r="K264" s="1" t="s">
        <v>3602</v>
      </c>
      <c r="L264" s="1" t="s">
        <v>3603</v>
      </c>
      <c r="M264" s="1" t="s">
        <v>213</v>
      </c>
      <c r="N264" s="1" t="s">
        <v>2334</v>
      </c>
      <c r="O264" s="54" t="s">
        <v>3198</v>
      </c>
      <c r="P264" s="1">
        <v>1</v>
      </c>
      <c r="Q264" s="1" t="s">
        <v>3374</v>
      </c>
      <c r="R264" s="1" t="s">
        <v>3375</v>
      </c>
      <c r="S264" s="1" t="s">
        <v>3259</v>
      </c>
      <c r="T264" s="1" t="s">
        <v>3604</v>
      </c>
      <c r="U264" s="1" t="s">
        <v>2382</v>
      </c>
      <c r="V264" s="1"/>
      <c r="W264" s="1"/>
      <c r="X264" s="1"/>
      <c r="Y264" s="1"/>
      <c r="Z264" s="1"/>
      <c r="AA264" s="1"/>
      <c r="AB264" s="1"/>
      <c r="AC264" s="56" t="s">
        <v>222</v>
      </c>
      <c r="AD264" s="56" t="s">
        <v>227</v>
      </c>
    </row>
    <row r="265" spans="1:30">
      <c r="A265" s="1">
        <v>2023</v>
      </c>
      <c r="B265" s="1">
        <v>202320</v>
      </c>
      <c r="C265" s="1">
        <v>202325860</v>
      </c>
      <c r="D265" s="1" t="s">
        <v>3605</v>
      </c>
      <c r="E265" s="1" t="s">
        <v>3606</v>
      </c>
      <c r="F265" s="1" t="s">
        <v>781</v>
      </c>
      <c r="G265" s="53" t="str">
        <f>_xlfn.XLOOKUP(Tabla2[[#This Row],[Universidad]],Conversiones!$B:$B,Conversiones!$C:$C)</f>
        <v>ITESM-EGADE -Instituto tecnológico y de estudios superiores de Monterrey</v>
      </c>
      <c r="H265" s="53" t="str">
        <f>_xlfn.XLOOKUP(Tabla2[[#This Row],[Universidad KPIs]],Conversiones!$C:$C,Conversiones!$E:$E)</f>
        <v>Específico</v>
      </c>
      <c r="I265" s="1" t="s">
        <v>71</v>
      </c>
      <c r="J265" s="1" t="s">
        <v>260</v>
      </c>
      <c r="K265" s="1" t="s">
        <v>3607</v>
      </c>
      <c r="L265" s="1" t="s">
        <v>3608</v>
      </c>
      <c r="M265" s="1" t="s">
        <v>213</v>
      </c>
      <c r="N265" s="1" t="s">
        <v>2298</v>
      </c>
      <c r="O265" s="54" t="s">
        <v>3198</v>
      </c>
      <c r="P265" s="1">
        <v>1</v>
      </c>
      <c r="Q265" s="1" t="s">
        <v>2328</v>
      </c>
      <c r="R265" s="1" t="s">
        <v>2407</v>
      </c>
      <c r="S265" s="1" t="s">
        <v>2300</v>
      </c>
      <c r="T265" s="1" t="s">
        <v>2370</v>
      </c>
      <c r="U265" s="1" t="s">
        <v>3022</v>
      </c>
      <c r="V265" s="1" t="s">
        <v>3211</v>
      </c>
      <c r="W265" s="1" t="s">
        <v>3609</v>
      </c>
      <c r="X265" s="1"/>
      <c r="Y265" s="1"/>
      <c r="Z265" s="1"/>
      <c r="AA265" s="1"/>
      <c r="AB265" s="1"/>
      <c r="AC265" s="56" t="s">
        <v>216</v>
      </c>
      <c r="AD265" s="56" t="s">
        <v>234</v>
      </c>
    </row>
    <row r="266" spans="1:30">
      <c r="A266" s="1">
        <v>2023</v>
      </c>
      <c r="B266" s="1"/>
      <c r="C266" s="1">
        <v>202317659</v>
      </c>
      <c r="D266" s="1" t="s">
        <v>3610</v>
      </c>
      <c r="E266" s="1" t="s">
        <v>3611</v>
      </c>
      <c r="F266" s="1" t="s">
        <v>3024</v>
      </c>
      <c r="G266" s="53" t="str">
        <f>_xlfn.XLOOKUP(Tabla2[[#This Row],[Universidad]],Conversiones!$B:$B,Conversiones!$C:$C)</f>
        <v>JIBS Jönköping International Business School</v>
      </c>
      <c r="H266" s="53" t="str">
        <f>_xlfn.XLOOKUP(Tabla2[[#This Row],[Universidad KPIs]],Conversiones!$C:$C,Conversiones!$E:$E)</f>
        <v>Específico</v>
      </c>
      <c r="I266" s="1" t="s">
        <v>74</v>
      </c>
      <c r="J266" s="1" t="s">
        <v>250</v>
      </c>
      <c r="K266" s="1" t="s">
        <v>3612</v>
      </c>
      <c r="L266" s="1" t="s">
        <v>3613</v>
      </c>
      <c r="M266" s="1" t="s">
        <v>226</v>
      </c>
      <c r="N266" s="1"/>
      <c r="O266" s="54"/>
      <c r="P266" s="1"/>
      <c r="Q266" s="1"/>
      <c r="R266" s="1"/>
      <c r="S266" s="1"/>
      <c r="T266" s="1"/>
      <c r="U266" s="1"/>
      <c r="V266" s="1"/>
      <c r="W266" s="1"/>
      <c r="X266" s="1"/>
      <c r="Y266" s="1"/>
      <c r="Z266" s="1"/>
      <c r="AA266" s="1"/>
      <c r="AB266" s="1"/>
      <c r="AC266" s="56" t="s">
        <v>3614</v>
      </c>
      <c r="AD266" s="56" t="s">
        <v>227</v>
      </c>
    </row>
    <row r="267" spans="1:30">
      <c r="A267" s="1">
        <v>2023</v>
      </c>
      <c r="B267" s="1"/>
      <c r="C267" s="1">
        <v>202317660</v>
      </c>
      <c r="D267" s="1" t="s">
        <v>3615</v>
      </c>
      <c r="E267" s="1" t="s">
        <v>3616</v>
      </c>
      <c r="F267" s="1" t="s">
        <v>3024</v>
      </c>
      <c r="G267" s="53" t="str">
        <f>_xlfn.XLOOKUP(Tabla2[[#This Row],[Universidad]],Conversiones!$B:$B,Conversiones!$C:$C)</f>
        <v>JIBS Jönköping International Business School</v>
      </c>
      <c r="H267" s="53" t="str">
        <f>_xlfn.XLOOKUP(Tabla2[[#This Row],[Universidad KPIs]],Conversiones!$C:$C,Conversiones!$E:$E)</f>
        <v>Específico</v>
      </c>
      <c r="I267" s="1" t="s">
        <v>74</v>
      </c>
      <c r="J267" s="1" t="s">
        <v>250</v>
      </c>
      <c r="K267" s="1" t="s">
        <v>3617</v>
      </c>
      <c r="L267" s="1" t="s">
        <v>3618</v>
      </c>
      <c r="M267" s="1" t="s">
        <v>226</v>
      </c>
      <c r="N267" s="1"/>
      <c r="O267" s="54"/>
      <c r="P267" s="1"/>
      <c r="Q267" s="1"/>
      <c r="R267" s="1"/>
      <c r="S267" s="1"/>
      <c r="T267" s="1"/>
      <c r="U267" s="1"/>
      <c r="V267" s="1"/>
      <c r="W267" s="1"/>
      <c r="X267" s="1"/>
      <c r="Y267" s="1"/>
      <c r="Z267" s="1"/>
      <c r="AA267" s="1"/>
      <c r="AB267" s="1"/>
      <c r="AC267" s="56" t="s">
        <v>3614</v>
      </c>
      <c r="AD267" s="56" t="s">
        <v>227</v>
      </c>
    </row>
    <row r="268" spans="1:30">
      <c r="A268" s="1">
        <v>2023</v>
      </c>
      <c r="B268" s="1"/>
      <c r="C268" s="1">
        <v>202413688</v>
      </c>
      <c r="D268" s="1" t="s">
        <v>1431</v>
      </c>
      <c r="E268" s="1" t="s">
        <v>3619</v>
      </c>
      <c r="F268" s="1" t="s">
        <v>210</v>
      </c>
      <c r="G268" s="53" t="str">
        <f>_xlfn.XLOOKUP(Tabla2[[#This Row],[Universidad]],Conversiones!$B:$B,Conversiones!$C:$C)</f>
        <v>Universidad Nacional de Rosario</v>
      </c>
      <c r="H268" s="53" t="str">
        <f>_xlfn.XLOOKUP(Tabla2[[#This Row],[Universidad KPIs]],Conversiones!$C:$C,Conversiones!$E:$E)</f>
        <v>General</v>
      </c>
      <c r="I268" s="1" t="s">
        <v>107</v>
      </c>
      <c r="J268" s="1" t="s">
        <v>265</v>
      </c>
      <c r="K268" s="1" t="s">
        <v>3620</v>
      </c>
      <c r="L268" s="1" t="s">
        <v>3621</v>
      </c>
      <c r="M268" s="1" t="s">
        <v>226</v>
      </c>
      <c r="N268" s="1"/>
      <c r="O268" s="54"/>
      <c r="P268" s="1"/>
      <c r="Q268" s="1"/>
      <c r="R268" s="1"/>
      <c r="S268" s="1"/>
      <c r="T268" s="1"/>
      <c r="U268" s="1"/>
      <c r="V268" s="1"/>
      <c r="W268" s="1"/>
      <c r="X268" s="1"/>
      <c r="Y268" s="1"/>
      <c r="Z268" s="1"/>
      <c r="AA268" s="1"/>
      <c r="AB268" s="1"/>
      <c r="AC268" s="56" t="s">
        <v>229</v>
      </c>
      <c r="AD268" s="56" t="s">
        <v>229</v>
      </c>
    </row>
    <row r="269" spans="1:30">
      <c r="A269" s="1">
        <v>2024</v>
      </c>
      <c r="B269" s="1">
        <v>202410</v>
      </c>
      <c r="C269" s="1">
        <v>202416815</v>
      </c>
      <c r="D269" s="1" t="s">
        <v>3622</v>
      </c>
      <c r="E269" s="1" t="s">
        <v>3623</v>
      </c>
      <c r="F269" s="1" t="s">
        <v>493</v>
      </c>
      <c r="G269" s="53" t="str">
        <f>_xlfn.XLOOKUP(Tabla2[[#This Row],[Universidad]],Conversiones!$B:$B,Conversiones!$C:$C)</f>
        <v>University of Saint Gallen</v>
      </c>
      <c r="H269" s="53" t="str">
        <f>_xlfn.XLOOKUP(Tabla2[[#This Row],[Universidad KPIs]],Conversiones!$C:$C,Conversiones!$E:$E)</f>
        <v>Específico</v>
      </c>
      <c r="I269" s="1" t="s">
        <v>65</v>
      </c>
      <c r="J269" s="1" t="s">
        <v>250</v>
      </c>
      <c r="K269" s="1" t="s">
        <v>3624</v>
      </c>
      <c r="L269" s="1" t="s">
        <v>3625</v>
      </c>
      <c r="M269" s="1" t="s">
        <v>213</v>
      </c>
      <c r="N269" s="1" t="s">
        <v>3626</v>
      </c>
      <c r="O269" s="54"/>
      <c r="P269" s="1">
        <v>1</v>
      </c>
      <c r="Q269" s="1" t="s">
        <v>2745</v>
      </c>
      <c r="R269" s="1" t="s">
        <v>3627</v>
      </c>
      <c r="S269" s="1" t="s">
        <v>2464</v>
      </c>
      <c r="T269" s="1" t="s">
        <v>3628</v>
      </c>
      <c r="U269" s="1" t="s">
        <v>2486</v>
      </c>
      <c r="V269" s="1" t="s">
        <v>3629</v>
      </c>
      <c r="W269" s="1"/>
      <c r="X269" s="1"/>
      <c r="Y269" s="1"/>
      <c r="Z269" s="1"/>
      <c r="AA269" s="1"/>
      <c r="AB269" s="1"/>
      <c r="AC269" s="56" t="s">
        <v>220</v>
      </c>
      <c r="AD269" s="56" t="s">
        <v>227</v>
      </c>
    </row>
    <row r="270" spans="1:30">
      <c r="A270" s="1">
        <v>2024</v>
      </c>
      <c r="B270" s="1">
        <v>202410</v>
      </c>
      <c r="C270" s="1">
        <v>202416817</v>
      </c>
      <c r="D270" s="1" t="s">
        <v>3630</v>
      </c>
      <c r="E270" s="1" t="s">
        <v>3631</v>
      </c>
      <c r="F270" s="1" t="s">
        <v>307</v>
      </c>
      <c r="G270" s="53" t="str">
        <f>_xlfn.XLOOKUP(Tabla2[[#This Row],[Universidad]],Conversiones!$B:$B,Conversiones!$C:$C)</f>
        <v>University of Mannheim Business School</v>
      </c>
      <c r="H270" s="53" t="str">
        <f>_xlfn.XLOOKUP(Tabla2[[#This Row],[Universidad KPIs]],Conversiones!$C:$C,Conversiones!$E:$E)</f>
        <v>Específico</v>
      </c>
      <c r="I270" s="1" t="s">
        <v>60</v>
      </c>
      <c r="J270" s="1" t="s">
        <v>250</v>
      </c>
      <c r="K270" s="1" t="s">
        <v>3632</v>
      </c>
      <c r="L270" s="1" t="s">
        <v>3633</v>
      </c>
      <c r="M270" s="1" t="s">
        <v>213</v>
      </c>
      <c r="N270" s="1" t="s">
        <v>3626</v>
      </c>
      <c r="O270" s="54"/>
      <c r="P270" s="1">
        <v>1</v>
      </c>
      <c r="Q270" s="1" t="s">
        <v>2370</v>
      </c>
      <c r="R270" s="1" t="s">
        <v>3199</v>
      </c>
      <c r="S270" s="1" t="s">
        <v>2363</v>
      </c>
      <c r="T270" s="1" t="s">
        <v>3485</v>
      </c>
      <c r="U270" s="1"/>
      <c r="V270" s="1"/>
      <c r="W270" s="1"/>
      <c r="X270" s="1"/>
      <c r="Y270" s="1"/>
      <c r="Z270" s="1"/>
      <c r="AA270" s="1"/>
      <c r="AB270" s="1"/>
      <c r="AC270" s="56" t="s">
        <v>220</v>
      </c>
      <c r="AD270" s="56" t="s">
        <v>227</v>
      </c>
    </row>
    <row r="271" spans="1:30">
      <c r="A271" s="1">
        <v>2024</v>
      </c>
      <c r="B271" s="1">
        <v>202410</v>
      </c>
      <c r="C271" s="1">
        <v>202416835</v>
      </c>
      <c r="D271" s="1" t="s">
        <v>3634</v>
      </c>
      <c r="E271" s="1" t="s">
        <v>3635</v>
      </c>
      <c r="F271" s="1" t="s">
        <v>78</v>
      </c>
      <c r="G271" s="53" t="str">
        <f>_xlfn.XLOOKUP(Tabla2[[#This Row],[Universidad]],Conversiones!$B:$B,Conversiones!$C:$C)</f>
        <v>Maastricht University</v>
      </c>
      <c r="H271" s="53" t="str">
        <f>_xlfn.XLOOKUP(Tabla2[[#This Row],[Universidad KPIs]],Conversiones!$C:$C,Conversiones!$E:$E)</f>
        <v>Específico</v>
      </c>
      <c r="I271" s="1" t="s">
        <v>79</v>
      </c>
      <c r="J271" s="1" t="s">
        <v>250</v>
      </c>
      <c r="K271" s="1" t="s">
        <v>3636</v>
      </c>
      <c r="L271" s="1" t="s">
        <v>3637</v>
      </c>
      <c r="M271" s="1" t="s">
        <v>213</v>
      </c>
      <c r="N271" s="1" t="s">
        <v>3626</v>
      </c>
      <c r="O271" s="54"/>
      <c r="P271" s="1">
        <v>1</v>
      </c>
      <c r="Q271" s="1" t="s">
        <v>2388</v>
      </c>
      <c r="R271" s="1" t="s">
        <v>2370</v>
      </c>
      <c r="S271" s="1" t="s">
        <v>2321</v>
      </c>
      <c r="T271" s="1" t="s">
        <v>3309</v>
      </c>
      <c r="U271" s="1" t="s">
        <v>2369</v>
      </c>
      <c r="V271" s="1" t="s">
        <v>3638</v>
      </c>
      <c r="W271" s="1" t="s">
        <v>2845</v>
      </c>
      <c r="X271" s="1"/>
      <c r="Y271" s="1"/>
      <c r="Z271" s="1"/>
      <c r="AA271" s="1"/>
      <c r="AB271" s="1"/>
      <c r="AC271" s="56" t="s">
        <v>216</v>
      </c>
      <c r="AD271" s="56" t="s">
        <v>234</v>
      </c>
    </row>
    <row r="272" spans="1:30">
      <c r="A272" s="1">
        <v>2024</v>
      </c>
      <c r="B272" s="1">
        <v>202410</v>
      </c>
      <c r="C272" s="1">
        <v>202416855</v>
      </c>
      <c r="D272" s="1" t="s">
        <v>3639</v>
      </c>
      <c r="E272" s="1" t="s">
        <v>3640</v>
      </c>
      <c r="F272" s="1" t="s">
        <v>2264</v>
      </c>
      <c r="G272" s="53" t="str">
        <f>_xlfn.XLOOKUP(Tabla2[[#This Row],[Universidad]],Conversiones!$B:$B,Conversiones!$C:$C)</f>
        <v>Université Paris-Dauphine</v>
      </c>
      <c r="H272" s="53" t="str">
        <f>_xlfn.XLOOKUP(Tabla2[[#This Row],[Universidad KPIs]],Conversiones!$C:$C,Conversiones!$E:$E)</f>
        <v>General</v>
      </c>
      <c r="I272" s="1" t="s">
        <v>41</v>
      </c>
      <c r="J272" s="1" t="s">
        <v>250</v>
      </c>
      <c r="K272" s="1" t="s">
        <v>3641</v>
      </c>
      <c r="L272" s="1" t="s">
        <v>3642</v>
      </c>
      <c r="M272" s="1" t="s">
        <v>213</v>
      </c>
      <c r="N272" s="1" t="s">
        <v>3626</v>
      </c>
      <c r="O272" s="54"/>
      <c r="P272" s="1">
        <v>1</v>
      </c>
      <c r="Q272" s="1" t="s">
        <v>2321</v>
      </c>
      <c r="R272" s="1" t="s">
        <v>2745</v>
      </c>
      <c r="S272" s="1" t="s">
        <v>2568</v>
      </c>
      <c r="T272" s="1" t="s">
        <v>2559</v>
      </c>
      <c r="U272" s="1" t="s">
        <v>2881</v>
      </c>
      <c r="V272" s="1" t="s">
        <v>2433</v>
      </c>
      <c r="W272" s="1"/>
      <c r="X272" s="1"/>
      <c r="Y272" s="1"/>
      <c r="Z272" s="1"/>
      <c r="AA272" s="1"/>
      <c r="AB272" s="1"/>
      <c r="AC272" s="56" t="s">
        <v>216</v>
      </c>
      <c r="AD272" s="56" t="s">
        <v>234</v>
      </c>
    </row>
    <row r="273" spans="1:30">
      <c r="A273" s="1">
        <v>2024</v>
      </c>
      <c r="B273" s="1">
        <v>202410</v>
      </c>
      <c r="C273" s="1">
        <v>202416857</v>
      </c>
      <c r="D273" s="1" t="s">
        <v>3643</v>
      </c>
      <c r="E273" s="1" t="s">
        <v>3644</v>
      </c>
      <c r="F273" s="1" t="s">
        <v>86</v>
      </c>
      <c r="G273" s="53" t="str">
        <f>_xlfn.XLOOKUP(Tabla2[[#This Row],[Universidad]],Conversiones!$B:$B,Conversiones!$C:$C)</f>
        <v>Politecnico di Milano</v>
      </c>
      <c r="H273" s="53" t="str">
        <f>_xlfn.XLOOKUP(Tabla2[[#This Row],[Universidad KPIs]],Conversiones!$C:$C,Conversiones!$E:$E)</f>
        <v>Específico</v>
      </c>
      <c r="I273" s="1" t="s">
        <v>87</v>
      </c>
      <c r="J273" s="1" t="s">
        <v>250</v>
      </c>
      <c r="K273" s="1" t="s">
        <v>3645</v>
      </c>
      <c r="L273" s="1" t="s">
        <v>3646</v>
      </c>
      <c r="M273" s="1" t="s">
        <v>213</v>
      </c>
      <c r="N273" s="1" t="s">
        <v>3626</v>
      </c>
      <c r="O273" s="54"/>
      <c r="P273" s="1">
        <v>1</v>
      </c>
      <c r="Q273" s="1" t="s">
        <v>3255</v>
      </c>
      <c r="R273" s="1" t="s">
        <v>2376</v>
      </c>
      <c r="S273" s="1"/>
      <c r="T273" s="1"/>
      <c r="U273" s="1"/>
      <c r="V273" s="1"/>
      <c r="W273" s="1"/>
      <c r="X273" s="1"/>
      <c r="Y273" s="1"/>
      <c r="Z273" s="1"/>
      <c r="AA273" s="1"/>
      <c r="AB273" s="1"/>
      <c r="AC273" s="56" t="s">
        <v>216</v>
      </c>
      <c r="AD273" s="56" t="s">
        <v>234</v>
      </c>
    </row>
    <row r="274" spans="1:30">
      <c r="A274" s="1">
        <v>2024</v>
      </c>
      <c r="B274" s="1">
        <v>202410</v>
      </c>
      <c r="C274" s="1">
        <v>202416932</v>
      </c>
      <c r="D274" s="1" t="s">
        <v>3647</v>
      </c>
      <c r="E274" s="1" t="s">
        <v>3648</v>
      </c>
      <c r="F274" s="1" t="s">
        <v>388</v>
      </c>
      <c r="G274" s="53" t="str">
        <f>_xlfn.XLOOKUP(Tabla2[[#This Row],[Universidad]],Conversiones!$B:$B,Conversiones!$C:$C)</f>
        <v>ESCP</v>
      </c>
      <c r="H274" s="53" t="str">
        <f>_xlfn.XLOOKUP(Tabla2[[#This Row],[Universidad KPIs]],Conversiones!$C:$C,Conversiones!$E:$E)</f>
        <v>Específico</v>
      </c>
      <c r="I274" s="1" t="s">
        <v>41</v>
      </c>
      <c r="J274" s="1" t="s">
        <v>250</v>
      </c>
      <c r="K274" s="1" t="s">
        <v>3649</v>
      </c>
      <c r="L274" s="1" t="s">
        <v>3650</v>
      </c>
      <c r="M274" s="1" t="s">
        <v>213</v>
      </c>
      <c r="N274" s="1" t="s">
        <v>3626</v>
      </c>
      <c r="O274" s="54"/>
      <c r="P274" s="1">
        <v>1</v>
      </c>
      <c r="Q274" s="1" t="s">
        <v>3289</v>
      </c>
      <c r="R274" s="1" t="s">
        <v>2345</v>
      </c>
      <c r="S274" s="1" t="s">
        <v>3563</v>
      </c>
      <c r="T274" s="1"/>
      <c r="U274" s="1"/>
      <c r="V274" s="1"/>
      <c r="W274" s="1"/>
      <c r="X274" s="1"/>
      <c r="Y274" s="1"/>
      <c r="Z274" s="1"/>
      <c r="AA274" s="1"/>
      <c r="AB274" s="1"/>
      <c r="AC274" s="56" t="s">
        <v>216</v>
      </c>
      <c r="AD274" s="56" t="s">
        <v>234</v>
      </c>
    </row>
    <row r="275" spans="1:30">
      <c r="A275" s="1">
        <v>2024</v>
      </c>
      <c r="B275" s="1">
        <v>202410</v>
      </c>
      <c r="C275" s="1">
        <v>202325743</v>
      </c>
      <c r="D275" s="1" t="s">
        <v>3314</v>
      </c>
      <c r="E275" s="1" t="s">
        <v>3651</v>
      </c>
      <c r="F275" s="1" t="s">
        <v>1369</v>
      </c>
      <c r="G275" s="53" t="str">
        <f>_xlfn.XLOOKUP(Tabla2[[#This Row],[Universidad]],Conversiones!$B:$B,Conversiones!$C:$C)</f>
        <v>EM Strasbourg</v>
      </c>
      <c r="H275" s="53" t="str">
        <f>_xlfn.XLOOKUP(Tabla2[[#This Row],[Universidad KPIs]],Conversiones!$C:$C,Conversiones!$E:$E)</f>
        <v>Específico</v>
      </c>
      <c r="I275" s="1" t="s">
        <v>41</v>
      </c>
      <c r="J275" s="1" t="s">
        <v>250</v>
      </c>
      <c r="K275" s="1" t="s">
        <v>3316</v>
      </c>
      <c r="L275" s="1" t="s">
        <v>3317</v>
      </c>
      <c r="M275" s="1" t="s">
        <v>213</v>
      </c>
      <c r="N275" s="1" t="s">
        <v>3626</v>
      </c>
      <c r="O275" s="54"/>
      <c r="P275" s="1">
        <v>1</v>
      </c>
      <c r="Q275" s="1" t="s">
        <v>2307</v>
      </c>
      <c r="R275" s="1" t="s">
        <v>3199</v>
      </c>
      <c r="S275" s="1" t="s">
        <v>2329</v>
      </c>
      <c r="T275" s="1" t="s">
        <v>3652</v>
      </c>
      <c r="U275" s="1" t="s">
        <v>3422</v>
      </c>
      <c r="V275" s="1"/>
      <c r="W275" s="1"/>
      <c r="X275" s="1"/>
      <c r="Y275" s="1"/>
      <c r="Z275" s="1"/>
      <c r="AA275" s="1"/>
      <c r="AB275" s="1"/>
      <c r="AC275" s="56" t="s">
        <v>216</v>
      </c>
      <c r="AD275" s="56" t="s">
        <v>234</v>
      </c>
    </row>
    <row r="276" spans="1:30">
      <c r="A276" s="1">
        <v>2024</v>
      </c>
      <c r="B276" s="1">
        <v>202410</v>
      </c>
      <c r="C276" s="1">
        <v>202416870</v>
      </c>
      <c r="D276" s="1" t="s">
        <v>3653</v>
      </c>
      <c r="E276" s="1" t="s">
        <v>3654</v>
      </c>
      <c r="F276" s="1" t="s">
        <v>78</v>
      </c>
      <c r="G276" s="53" t="str">
        <f>_xlfn.XLOOKUP(Tabla2[[#This Row],[Universidad]],Conversiones!$B:$B,Conversiones!$C:$C)</f>
        <v>Maastricht University</v>
      </c>
      <c r="H276" s="53" t="str">
        <f>_xlfn.XLOOKUP(Tabla2[[#This Row],[Universidad KPIs]],Conversiones!$C:$C,Conversiones!$E:$E)</f>
        <v>Específico</v>
      </c>
      <c r="I276" s="1" t="s">
        <v>79</v>
      </c>
      <c r="J276" s="1" t="s">
        <v>250</v>
      </c>
      <c r="K276" s="1" t="s">
        <v>3655</v>
      </c>
      <c r="L276" s="1" t="s">
        <v>3656</v>
      </c>
      <c r="M276" s="1" t="s">
        <v>213</v>
      </c>
      <c r="N276" s="1" t="s">
        <v>3626</v>
      </c>
      <c r="O276" s="54"/>
      <c r="P276" s="1">
        <v>1</v>
      </c>
      <c r="Q276" s="1" t="s">
        <v>2370</v>
      </c>
      <c r="R276" s="1" t="s">
        <v>2321</v>
      </c>
      <c r="S276" s="1" t="s">
        <v>3309</v>
      </c>
      <c r="T276" s="1" t="s">
        <v>2369</v>
      </c>
      <c r="U276" s="1" t="s">
        <v>3199</v>
      </c>
      <c r="V276" s="1" t="s">
        <v>2845</v>
      </c>
      <c r="W276" s="1"/>
      <c r="X276" s="1"/>
      <c r="Y276" s="1"/>
      <c r="Z276" s="1"/>
      <c r="AA276" s="1"/>
      <c r="AB276" s="1"/>
      <c r="AC276" s="56" t="s">
        <v>216</v>
      </c>
      <c r="AD276" s="56" t="s">
        <v>234</v>
      </c>
    </row>
    <row r="277" spans="1:30">
      <c r="A277" s="1">
        <v>2024</v>
      </c>
      <c r="B277" s="1">
        <v>202410</v>
      </c>
      <c r="C277" s="1">
        <v>202416875</v>
      </c>
      <c r="D277" s="1" t="s">
        <v>3657</v>
      </c>
      <c r="E277" s="1" t="s">
        <v>3658</v>
      </c>
      <c r="F277" s="1" t="s">
        <v>325</v>
      </c>
      <c r="G277" s="53" t="str">
        <f>_xlfn.XLOOKUP(Tabla2[[#This Row],[Universidad]],Conversiones!$B:$B,Conversiones!$C:$C)</f>
        <v>Università Commerciale Luigi Bocconi</v>
      </c>
      <c r="H277" s="53" t="str">
        <f>_xlfn.XLOOKUP(Tabla2[[#This Row],[Universidad KPIs]],Conversiones!$C:$C,Conversiones!$E:$E)</f>
        <v>Específico</v>
      </c>
      <c r="I277" s="1" t="s">
        <v>87</v>
      </c>
      <c r="J277" s="1" t="s">
        <v>250</v>
      </c>
      <c r="K277" s="1" t="s">
        <v>3659</v>
      </c>
      <c r="L277" s="1" t="s">
        <v>3660</v>
      </c>
      <c r="M277" s="1" t="s">
        <v>213</v>
      </c>
      <c r="N277" s="1" t="s">
        <v>3626</v>
      </c>
      <c r="O277" s="54"/>
      <c r="P277" s="1">
        <v>1</v>
      </c>
      <c r="Q277" s="1" t="s">
        <v>2328</v>
      </c>
      <c r="R277" s="1" t="s">
        <v>2681</v>
      </c>
      <c r="S277" s="1" t="s">
        <v>2307</v>
      </c>
      <c r="T277" s="1" t="s">
        <v>3661</v>
      </c>
      <c r="U277" s="1"/>
      <c r="V277" s="1"/>
      <c r="W277" s="1"/>
      <c r="X277" s="1"/>
      <c r="Y277" s="1"/>
      <c r="Z277" s="1"/>
      <c r="AA277" s="1"/>
      <c r="AB277" s="1"/>
      <c r="AC277" s="56" t="s">
        <v>216</v>
      </c>
      <c r="AD277" s="56" t="s">
        <v>234</v>
      </c>
    </row>
    <row r="278" spans="1:30">
      <c r="A278" s="1">
        <v>2024</v>
      </c>
      <c r="B278" s="1">
        <v>202410</v>
      </c>
      <c r="C278" s="1">
        <v>202416824</v>
      </c>
      <c r="D278" s="1" t="s">
        <v>3662</v>
      </c>
      <c r="E278" s="1" t="s">
        <v>3663</v>
      </c>
      <c r="F278" s="1" t="s">
        <v>388</v>
      </c>
      <c r="G278" s="53" t="str">
        <f>_xlfn.XLOOKUP(Tabla2[[#This Row],[Universidad]],Conversiones!$B:$B,Conversiones!$C:$C)</f>
        <v>ESCP</v>
      </c>
      <c r="H278" s="53" t="str">
        <f>_xlfn.XLOOKUP(Tabla2[[#This Row],[Universidad KPIs]],Conversiones!$C:$C,Conversiones!$E:$E)</f>
        <v>Específico</v>
      </c>
      <c r="I278" s="1" t="s">
        <v>41</v>
      </c>
      <c r="J278" s="1" t="s">
        <v>250</v>
      </c>
      <c r="K278" s="1" t="s">
        <v>3664</v>
      </c>
      <c r="L278" s="1" t="s">
        <v>3665</v>
      </c>
      <c r="M278" s="1" t="s">
        <v>213</v>
      </c>
      <c r="N278" s="1" t="s">
        <v>3626</v>
      </c>
      <c r="O278" s="54"/>
      <c r="P278" s="1">
        <v>1</v>
      </c>
      <c r="Q278" s="1" t="s">
        <v>2589</v>
      </c>
      <c r="R278" s="1" t="s">
        <v>3289</v>
      </c>
      <c r="S278" s="1" t="s">
        <v>2345</v>
      </c>
      <c r="T278" s="1" t="s">
        <v>3563</v>
      </c>
      <c r="U278" s="1"/>
      <c r="V278" s="1"/>
      <c r="W278" s="1"/>
      <c r="X278" s="1"/>
      <c r="Y278" s="1"/>
      <c r="Z278" s="1"/>
      <c r="AA278" s="1"/>
      <c r="AB278" s="1"/>
      <c r="AC278" s="56" t="s">
        <v>220</v>
      </c>
      <c r="AD278" s="56" t="s">
        <v>227</v>
      </c>
    </row>
    <row r="279" spans="1:30">
      <c r="A279" s="1">
        <v>2024</v>
      </c>
      <c r="B279" s="1">
        <v>202410</v>
      </c>
      <c r="C279" s="1">
        <v>202416889</v>
      </c>
      <c r="D279" s="1" t="s">
        <v>3666</v>
      </c>
      <c r="E279" s="1" t="s">
        <v>3667</v>
      </c>
      <c r="F279" s="1" t="s">
        <v>80</v>
      </c>
      <c r="G279" s="53" t="str">
        <f>_xlfn.XLOOKUP(Tabla2[[#This Row],[Universidad]],Conversiones!$B:$B,Conversiones!$C:$C)</f>
        <v>McGill University</v>
      </c>
      <c r="H279" s="53" t="str">
        <f>_xlfn.XLOOKUP(Tabla2[[#This Row],[Universidad KPIs]],Conversiones!$C:$C,Conversiones!$E:$E)</f>
        <v>Específico</v>
      </c>
      <c r="I279" s="1" t="s">
        <v>58</v>
      </c>
      <c r="J279" s="1" t="s">
        <v>260</v>
      </c>
      <c r="K279" s="1" t="s">
        <v>3668</v>
      </c>
      <c r="L279" s="1" t="s">
        <v>3669</v>
      </c>
      <c r="M279" s="1" t="s">
        <v>213</v>
      </c>
      <c r="N279" s="1" t="s">
        <v>3626</v>
      </c>
      <c r="O279" s="54"/>
      <c r="P279" s="1">
        <v>1</v>
      </c>
      <c r="Q279" s="1" t="s">
        <v>2407</v>
      </c>
      <c r="R279" s="1" t="s">
        <v>2370</v>
      </c>
      <c r="S279" s="1" t="s">
        <v>3249</v>
      </c>
      <c r="T279" s="1" t="s">
        <v>3670</v>
      </c>
      <c r="U279" s="1"/>
      <c r="V279" s="1"/>
      <c r="W279" s="1"/>
      <c r="X279" s="1"/>
      <c r="Y279" s="1"/>
      <c r="Z279" s="1"/>
      <c r="AA279" s="1"/>
      <c r="AB279" s="1"/>
      <c r="AC279" s="56" t="s">
        <v>216</v>
      </c>
      <c r="AD279" s="56" t="s">
        <v>234</v>
      </c>
    </row>
    <row r="280" spans="1:30">
      <c r="A280" s="1">
        <v>2024</v>
      </c>
      <c r="B280" s="1">
        <v>202410</v>
      </c>
      <c r="C280" s="1">
        <v>202415036</v>
      </c>
      <c r="D280" s="1" t="s">
        <v>3671</v>
      </c>
      <c r="E280" s="1" t="s">
        <v>3672</v>
      </c>
      <c r="F280" s="1" t="s">
        <v>124</v>
      </c>
      <c r="G280" s="53" t="str">
        <f>_xlfn.XLOOKUP(Tabla2[[#This Row],[Universidad]],Conversiones!$B:$B,Conversiones!$C:$C)</f>
        <v>American University of Central Asia</v>
      </c>
      <c r="H280" s="53" t="str">
        <f>_xlfn.XLOOKUP(Tabla2[[#This Row],[Universidad KPIs]],Conversiones!$C:$C,Conversiones!$E:$E)</f>
        <v>General</v>
      </c>
      <c r="I280" s="1" t="s">
        <v>125</v>
      </c>
      <c r="J280" s="1" t="s">
        <v>537</v>
      </c>
      <c r="K280" s="1" t="s">
        <v>3673</v>
      </c>
      <c r="L280" s="1" t="s">
        <v>3674</v>
      </c>
      <c r="M280" s="1" t="s">
        <v>213</v>
      </c>
      <c r="N280" s="1" t="s">
        <v>3626</v>
      </c>
      <c r="O280" s="54"/>
      <c r="P280" s="1">
        <v>1</v>
      </c>
      <c r="Q280" s="1" t="s">
        <v>2525</v>
      </c>
      <c r="R280" s="1" t="s">
        <v>2369</v>
      </c>
      <c r="S280" s="1" t="s">
        <v>3200</v>
      </c>
      <c r="T280" s="1"/>
      <c r="U280" s="1"/>
      <c r="V280" s="1"/>
      <c r="W280" s="1"/>
      <c r="X280" s="1"/>
      <c r="Y280" s="1"/>
      <c r="Z280" s="1"/>
      <c r="AA280" s="1"/>
      <c r="AB280" s="1"/>
      <c r="AC280" s="56" t="s">
        <v>216</v>
      </c>
      <c r="AD280" s="56" t="s">
        <v>234</v>
      </c>
    </row>
    <row r="281" spans="1:30">
      <c r="A281" s="1">
        <v>2024</v>
      </c>
      <c r="B281" s="1">
        <v>202410</v>
      </c>
      <c r="C281" s="1">
        <v>202416890</v>
      </c>
      <c r="D281" s="1" t="s">
        <v>3675</v>
      </c>
      <c r="E281" s="1" t="s">
        <v>3676</v>
      </c>
      <c r="F281" s="1" t="s">
        <v>335</v>
      </c>
      <c r="G281" s="53" t="str">
        <f>_xlfn.XLOOKUP(Tabla2[[#This Row],[Universidad]],Conversiones!$B:$B,Conversiones!$C:$C)</f>
        <v>HEC Montréal</v>
      </c>
      <c r="H281" s="53" t="str">
        <f>_xlfn.XLOOKUP(Tabla2[[#This Row],[Universidad KPIs]],Conversiones!$C:$C,Conversiones!$E:$E)</f>
        <v>Específico</v>
      </c>
      <c r="I281" s="1" t="s">
        <v>58</v>
      </c>
      <c r="J281" s="1" t="s">
        <v>260</v>
      </c>
      <c r="K281" s="1" t="s">
        <v>3677</v>
      </c>
      <c r="L281" s="1" t="s">
        <v>3678</v>
      </c>
      <c r="M281" s="1" t="s">
        <v>213</v>
      </c>
      <c r="N281" s="1" t="s">
        <v>3626</v>
      </c>
      <c r="O281" s="54"/>
      <c r="P281" s="1">
        <v>1</v>
      </c>
      <c r="Q281" s="1" t="s">
        <v>2302</v>
      </c>
      <c r="R281" s="1" t="s">
        <v>2307</v>
      </c>
      <c r="S281" s="1" t="s">
        <v>3309</v>
      </c>
      <c r="T281" s="1" t="s">
        <v>2889</v>
      </c>
      <c r="U281" s="1" t="s">
        <v>2369</v>
      </c>
      <c r="V281" s="1" t="s">
        <v>2357</v>
      </c>
      <c r="W281" s="1" t="s">
        <v>2881</v>
      </c>
      <c r="X281" s="1"/>
      <c r="Y281" s="1"/>
      <c r="Z281" s="1"/>
      <c r="AA281" s="1"/>
      <c r="AB281" s="1"/>
      <c r="AC281" s="56" t="s">
        <v>216</v>
      </c>
      <c r="AD281" s="56" t="s">
        <v>234</v>
      </c>
    </row>
    <row r="282" spans="1:30">
      <c r="A282" s="1">
        <v>2024</v>
      </c>
      <c r="B282" s="1">
        <v>202410</v>
      </c>
      <c r="C282" s="1">
        <v>202417144</v>
      </c>
      <c r="D282" s="1" t="s">
        <v>3679</v>
      </c>
      <c r="E282" s="1" t="s">
        <v>3680</v>
      </c>
      <c r="F282" s="1" t="s">
        <v>78</v>
      </c>
      <c r="G282" s="53" t="str">
        <f>_xlfn.XLOOKUP(Tabla2[[#This Row],[Universidad]],Conversiones!$B:$B,Conversiones!$C:$C)</f>
        <v>Maastricht University</v>
      </c>
      <c r="H282" s="53" t="str">
        <f>_xlfn.XLOOKUP(Tabla2[[#This Row],[Universidad KPIs]],Conversiones!$C:$C,Conversiones!$E:$E)</f>
        <v>Específico</v>
      </c>
      <c r="I282" s="1" t="s">
        <v>79</v>
      </c>
      <c r="J282" s="1" t="s">
        <v>250</v>
      </c>
      <c r="K282" s="1" t="s">
        <v>3681</v>
      </c>
      <c r="L282" s="1" t="s">
        <v>3682</v>
      </c>
      <c r="M282" s="1" t="s">
        <v>2072</v>
      </c>
      <c r="N282" s="1" t="s">
        <v>3626</v>
      </c>
      <c r="O282" s="54"/>
      <c r="P282" s="1">
        <v>1</v>
      </c>
      <c r="Q282" s="1" t="s">
        <v>2388</v>
      </c>
      <c r="R282" s="1" t="s">
        <v>2525</v>
      </c>
      <c r="S282" s="1" t="s">
        <v>2370</v>
      </c>
      <c r="T282" s="1" t="s">
        <v>2681</v>
      </c>
      <c r="U282" s="1" t="s">
        <v>3309</v>
      </c>
      <c r="V282" s="1" t="s">
        <v>2369</v>
      </c>
      <c r="W282" s="1" t="s">
        <v>3638</v>
      </c>
      <c r="X282" s="1"/>
      <c r="Y282" s="1"/>
      <c r="Z282" s="1"/>
      <c r="AA282" s="1"/>
      <c r="AB282" s="1"/>
      <c r="AC282" s="56" t="s">
        <v>216</v>
      </c>
      <c r="AD282" s="56" t="s">
        <v>234</v>
      </c>
    </row>
    <row r="283" spans="1:30">
      <c r="A283" s="1">
        <v>2024</v>
      </c>
      <c r="B283" s="1">
        <v>202410</v>
      </c>
      <c r="C283" s="1">
        <v>202416919</v>
      </c>
      <c r="D283" s="1" t="s">
        <v>3683</v>
      </c>
      <c r="E283" s="1" t="s">
        <v>3684</v>
      </c>
      <c r="F283" s="1" t="s">
        <v>350</v>
      </c>
      <c r="G283" s="53" t="str">
        <f>_xlfn.XLOOKUP(Tabla2[[#This Row],[Universidad]],Conversiones!$B:$B,Conversiones!$C:$C)</f>
        <v>Audencia. École de Management</v>
      </c>
      <c r="H283" s="53" t="str">
        <f>_xlfn.XLOOKUP(Tabla2[[#This Row],[Universidad KPIs]],Conversiones!$C:$C,Conversiones!$E:$E)</f>
        <v>Específico</v>
      </c>
      <c r="I283" s="1" t="s">
        <v>41</v>
      </c>
      <c r="J283" s="1" t="s">
        <v>250</v>
      </c>
      <c r="K283" s="1" t="s">
        <v>3685</v>
      </c>
      <c r="L283" s="1" t="s">
        <v>3686</v>
      </c>
      <c r="M283" s="1" t="s">
        <v>213</v>
      </c>
      <c r="N283" s="1" t="s">
        <v>3626</v>
      </c>
      <c r="O283" s="54"/>
      <c r="P283" s="1">
        <v>1</v>
      </c>
      <c r="Q283" s="1" t="s">
        <v>2407</v>
      </c>
      <c r="R283" s="1" t="s">
        <v>2681</v>
      </c>
      <c r="S283" s="1" t="s">
        <v>2307</v>
      </c>
      <c r="T283" s="1" t="s">
        <v>2456</v>
      </c>
      <c r="U283" s="1" t="s">
        <v>2329</v>
      </c>
      <c r="V283" s="1" t="s">
        <v>2463</v>
      </c>
      <c r="W283" s="1"/>
      <c r="X283" s="1"/>
      <c r="Y283" s="1"/>
      <c r="Z283" s="1"/>
      <c r="AA283" s="1"/>
      <c r="AB283" s="1"/>
      <c r="AC283" s="56" t="s">
        <v>216</v>
      </c>
      <c r="AD283" s="56" t="s">
        <v>234</v>
      </c>
    </row>
    <row r="284" spans="1:30">
      <c r="A284" s="1">
        <v>2024</v>
      </c>
      <c r="B284" s="1">
        <v>202410</v>
      </c>
      <c r="C284" s="1">
        <v>202416920</v>
      </c>
      <c r="D284" s="1" t="s">
        <v>3559</v>
      </c>
      <c r="E284" s="1" t="s">
        <v>3687</v>
      </c>
      <c r="F284" s="1" t="s">
        <v>86</v>
      </c>
      <c r="G284" s="53" t="str">
        <f>_xlfn.XLOOKUP(Tabla2[[#This Row],[Universidad]],Conversiones!$B:$B,Conversiones!$C:$C)</f>
        <v>Politecnico di Milano</v>
      </c>
      <c r="H284" s="53" t="str">
        <f>_xlfn.XLOOKUP(Tabla2[[#This Row],[Universidad KPIs]],Conversiones!$C:$C,Conversiones!$E:$E)</f>
        <v>Específico</v>
      </c>
      <c r="I284" s="1" t="s">
        <v>87</v>
      </c>
      <c r="J284" s="1" t="s">
        <v>250</v>
      </c>
      <c r="K284" s="1" t="s">
        <v>3688</v>
      </c>
      <c r="L284" s="1" t="s">
        <v>3689</v>
      </c>
      <c r="M284" s="1" t="s">
        <v>213</v>
      </c>
      <c r="N284" s="1" t="s">
        <v>3626</v>
      </c>
      <c r="O284" s="54"/>
      <c r="P284" s="1">
        <v>1</v>
      </c>
      <c r="Q284" s="1" t="s">
        <v>2525</v>
      </c>
      <c r="R284" s="1" t="s">
        <v>2407</v>
      </c>
      <c r="S284" s="1" t="s">
        <v>2370</v>
      </c>
      <c r="T284" s="1" t="s">
        <v>2307</v>
      </c>
      <c r="U284" s="1" t="s">
        <v>3255</v>
      </c>
      <c r="V284" s="1"/>
      <c r="W284" s="1"/>
      <c r="X284" s="1"/>
      <c r="Y284" s="1"/>
      <c r="Z284" s="1"/>
      <c r="AA284" s="1"/>
      <c r="AB284" s="1"/>
      <c r="AC284" s="56" t="s">
        <v>216</v>
      </c>
      <c r="AD284" s="56" t="s">
        <v>234</v>
      </c>
    </row>
    <row r="285" spans="1:30">
      <c r="A285" s="1">
        <v>2024</v>
      </c>
      <c r="B285" s="1">
        <v>202410</v>
      </c>
      <c r="C285" s="1">
        <v>202416923</v>
      </c>
      <c r="D285" s="1" t="s">
        <v>3690</v>
      </c>
      <c r="E285" s="1" t="s">
        <v>3691</v>
      </c>
      <c r="F285" s="1" t="s">
        <v>78</v>
      </c>
      <c r="G285" s="53" t="str">
        <f>_xlfn.XLOOKUP(Tabla2[[#This Row],[Universidad]],Conversiones!$B:$B,Conversiones!$C:$C)</f>
        <v>Maastricht University</v>
      </c>
      <c r="H285" s="53" t="str">
        <f>_xlfn.XLOOKUP(Tabla2[[#This Row],[Universidad KPIs]],Conversiones!$C:$C,Conversiones!$E:$E)</f>
        <v>Específico</v>
      </c>
      <c r="I285" s="1" t="s">
        <v>79</v>
      </c>
      <c r="J285" s="1" t="s">
        <v>250</v>
      </c>
      <c r="K285" s="1" t="s">
        <v>3692</v>
      </c>
      <c r="L285" s="1" t="s">
        <v>3693</v>
      </c>
      <c r="M285" s="1" t="s">
        <v>213</v>
      </c>
      <c r="N285" s="1" t="s">
        <v>3626</v>
      </c>
      <c r="O285" s="54"/>
      <c r="P285" s="1">
        <v>1</v>
      </c>
      <c r="Q285" s="1" t="s">
        <v>2370</v>
      </c>
      <c r="R285" s="1" t="s">
        <v>2681</v>
      </c>
      <c r="S285" s="1" t="s">
        <v>2321</v>
      </c>
      <c r="T285" s="1" t="s">
        <v>3309</v>
      </c>
      <c r="U285" s="1" t="s">
        <v>2369</v>
      </c>
      <c r="V285" s="1" t="s">
        <v>3199</v>
      </c>
      <c r="W285" s="1"/>
      <c r="X285" s="1"/>
      <c r="Y285" s="1"/>
      <c r="Z285" s="1"/>
      <c r="AA285" s="1"/>
      <c r="AB285" s="1"/>
      <c r="AC285" s="56" t="s">
        <v>216</v>
      </c>
      <c r="AD285" s="56" t="s">
        <v>234</v>
      </c>
    </row>
    <row r="286" spans="1:30">
      <c r="A286" s="1">
        <v>2024</v>
      </c>
      <c r="B286" s="1">
        <v>202410</v>
      </c>
      <c r="C286" s="1">
        <v>202416826</v>
      </c>
      <c r="D286" s="1" t="s">
        <v>3694</v>
      </c>
      <c r="E286" s="1" t="s">
        <v>3695</v>
      </c>
      <c r="F286" s="1" t="s">
        <v>298</v>
      </c>
      <c r="G286" s="53" t="str">
        <f>_xlfn.XLOOKUP(Tabla2[[#This Row],[Universidad]],Conversiones!$B:$B,Conversiones!$C:$C)</f>
        <v>ESSEC</v>
      </c>
      <c r="H286" s="53" t="str">
        <f>_xlfn.XLOOKUP(Tabla2[[#This Row],[Universidad KPIs]],Conversiones!$C:$C,Conversiones!$E:$E)</f>
        <v>Específico</v>
      </c>
      <c r="I286" s="1" t="s">
        <v>41</v>
      </c>
      <c r="J286" s="1" t="s">
        <v>250</v>
      </c>
      <c r="K286" s="1" t="s">
        <v>3696</v>
      </c>
      <c r="L286" s="1" t="s">
        <v>3697</v>
      </c>
      <c r="M286" s="1" t="s">
        <v>213</v>
      </c>
      <c r="N286" s="1" t="s">
        <v>3626</v>
      </c>
      <c r="O286" s="54"/>
      <c r="P286" s="1">
        <v>1</v>
      </c>
      <c r="Q286" s="1" t="s">
        <v>3289</v>
      </c>
      <c r="R286" s="1" t="s">
        <v>2345</v>
      </c>
      <c r="S286" s="1" t="s">
        <v>3563</v>
      </c>
      <c r="T286" s="1" t="s">
        <v>3698</v>
      </c>
      <c r="U286" s="1" t="s">
        <v>3218</v>
      </c>
      <c r="V286" s="1" t="s">
        <v>2502</v>
      </c>
      <c r="W286" s="1" t="s">
        <v>2759</v>
      </c>
      <c r="X286" s="1" t="s">
        <v>3075</v>
      </c>
      <c r="Y286" s="1" t="s">
        <v>3699</v>
      </c>
      <c r="Z286" s="1"/>
      <c r="AA286" s="1"/>
      <c r="AB286" s="1"/>
      <c r="AC286" s="56" t="s">
        <v>220</v>
      </c>
      <c r="AD286" s="56" t="s">
        <v>227</v>
      </c>
    </row>
    <row r="287" spans="1:30">
      <c r="A287" s="1">
        <v>2024</v>
      </c>
      <c r="B287" s="1">
        <v>202410</v>
      </c>
      <c r="C287" s="1">
        <v>202416926</v>
      </c>
      <c r="D287" s="1" t="s">
        <v>3700</v>
      </c>
      <c r="E287" s="1" t="s">
        <v>3701</v>
      </c>
      <c r="F287" s="1" t="s">
        <v>129</v>
      </c>
      <c r="G287" s="53" t="str">
        <f>_xlfn.XLOOKUP(Tabla2[[#This Row],[Universidad]],Conversiones!$B:$B,Conversiones!$C:$C)</f>
        <v>FHNW Fachhochschule Nordwestschweiz</v>
      </c>
      <c r="H287" s="53" t="str">
        <f>_xlfn.XLOOKUP(Tabla2[[#This Row],[Universidad KPIs]],Conversiones!$C:$C,Conversiones!$E:$E)</f>
        <v>General</v>
      </c>
      <c r="I287" s="1" t="s">
        <v>65</v>
      </c>
      <c r="J287" s="1" t="s">
        <v>250</v>
      </c>
      <c r="K287" s="1" t="s">
        <v>3702</v>
      </c>
      <c r="L287" s="1" t="s">
        <v>3703</v>
      </c>
      <c r="M287" s="1" t="s">
        <v>213</v>
      </c>
      <c r="N287" s="1" t="s">
        <v>3626</v>
      </c>
      <c r="O287" s="54"/>
      <c r="P287" s="1">
        <v>1</v>
      </c>
      <c r="Q287" s="1" t="s">
        <v>2370</v>
      </c>
      <c r="R287" s="1" t="s">
        <v>2307</v>
      </c>
      <c r="S287" s="1" t="s">
        <v>2441</v>
      </c>
      <c r="T287" s="1" t="s">
        <v>2382</v>
      </c>
      <c r="U287" s="1"/>
      <c r="V287" s="1"/>
      <c r="W287" s="1"/>
      <c r="X287" s="1"/>
      <c r="Y287" s="1"/>
      <c r="Z287" s="1"/>
      <c r="AA287" s="1"/>
      <c r="AB287" s="1"/>
      <c r="AC287" s="56" t="s">
        <v>216</v>
      </c>
      <c r="AD287" s="56" t="s">
        <v>234</v>
      </c>
    </row>
    <row r="288" spans="1:30">
      <c r="A288" s="1">
        <v>2024</v>
      </c>
      <c r="B288" s="1">
        <v>202410</v>
      </c>
      <c r="C288" s="1">
        <v>202416827</v>
      </c>
      <c r="D288" s="1" t="s">
        <v>3704</v>
      </c>
      <c r="E288" s="1" t="s">
        <v>3705</v>
      </c>
      <c r="F288" s="1" t="s">
        <v>298</v>
      </c>
      <c r="G288" s="53" t="str">
        <f>_xlfn.XLOOKUP(Tabla2[[#This Row],[Universidad]],Conversiones!$B:$B,Conversiones!$C:$C)</f>
        <v>ESSEC</v>
      </c>
      <c r="H288" s="53" t="str">
        <f>_xlfn.XLOOKUP(Tabla2[[#This Row],[Universidad KPIs]],Conversiones!$C:$C,Conversiones!$E:$E)</f>
        <v>Específico</v>
      </c>
      <c r="I288" s="1" t="s">
        <v>41</v>
      </c>
      <c r="J288" s="1" t="s">
        <v>250</v>
      </c>
      <c r="K288" s="1" t="s">
        <v>3706</v>
      </c>
      <c r="L288" s="1" t="s">
        <v>3707</v>
      </c>
      <c r="M288" s="1" t="s">
        <v>213</v>
      </c>
      <c r="N288" s="1" t="s">
        <v>3626</v>
      </c>
      <c r="O288" s="54"/>
      <c r="P288" s="1">
        <v>1</v>
      </c>
      <c r="Q288" s="1" t="s">
        <v>2589</v>
      </c>
      <c r="R288" s="1" t="s">
        <v>2345</v>
      </c>
      <c r="S288" s="1" t="s">
        <v>3563</v>
      </c>
      <c r="T288" s="1"/>
      <c r="U288" s="1"/>
      <c r="V288" s="1"/>
      <c r="W288" s="1"/>
      <c r="X288" s="1"/>
      <c r="Y288" s="1"/>
      <c r="Z288" s="1"/>
      <c r="AA288" s="1"/>
      <c r="AB288" s="1"/>
      <c r="AC288" s="56" t="s">
        <v>220</v>
      </c>
      <c r="AD288" s="56" t="s">
        <v>227</v>
      </c>
    </row>
    <row r="289" spans="1:30">
      <c r="A289" s="1">
        <v>2024</v>
      </c>
      <c r="B289" s="1">
        <v>202410</v>
      </c>
      <c r="C289" s="1">
        <v>202416912</v>
      </c>
      <c r="D289" s="1" t="s">
        <v>3708</v>
      </c>
      <c r="E289" s="1" t="s">
        <v>3709</v>
      </c>
      <c r="F289" s="1" t="s">
        <v>350</v>
      </c>
      <c r="G289" s="53" t="str">
        <f>_xlfn.XLOOKUP(Tabla2[[#This Row],[Universidad]],Conversiones!$B:$B,Conversiones!$C:$C)</f>
        <v>Audencia. École de Management</v>
      </c>
      <c r="H289" s="53" t="str">
        <f>_xlfn.XLOOKUP(Tabla2[[#This Row],[Universidad KPIs]],Conversiones!$C:$C,Conversiones!$E:$E)</f>
        <v>Específico</v>
      </c>
      <c r="I289" s="1" t="s">
        <v>41</v>
      </c>
      <c r="J289" s="1" t="s">
        <v>250</v>
      </c>
      <c r="K289" s="1" t="s">
        <v>3710</v>
      </c>
      <c r="L289" s="1" t="s">
        <v>3711</v>
      </c>
      <c r="M289" s="1" t="s">
        <v>213</v>
      </c>
      <c r="N289" s="1" t="s">
        <v>3626</v>
      </c>
      <c r="O289" s="54"/>
      <c r="P289" s="1">
        <v>1</v>
      </c>
      <c r="Q289" s="1" t="s">
        <v>2525</v>
      </c>
      <c r="R289" s="1" t="s">
        <v>2301</v>
      </c>
      <c r="S289" s="1" t="s">
        <v>2412</v>
      </c>
      <c r="T289" s="1" t="s">
        <v>2310</v>
      </c>
      <c r="U289" s="1" t="s">
        <v>2681</v>
      </c>
      <c r="V289" s="1" t="s">
        <v>2830</v>
      </c>
      <c r="W289" s="1"/>
      <c r="X289" s="1"/>
      <c r="Y289" s="1"/>
      <c r="Z289" s="1"/>
      <c r="AA289" s="1"/>
      <c r="AB289" s="1"/>
      <c r="AC289" s="56" t="s">
        <v>216</v>
      </c>
      <c r="AD289" s="56" t="s">
        <v>234</v>
      </c>
    </row>
    <row r="290" spans="1:30">
      <c r="A290" s="1">
        <v>2024</v>
      </c>
      <c r="B290" s="1">
        <v>202410</v>
      </c>
      <c r="C290" s="1">
        <v>202416910</v>
      </c>
      <c r="D290" s="1" t="s">
        <v>1069</v>
      </c>
      <c r="E290" s="1" t="s">
        <v>3712</v>
      </c>
      <c r="F290" s="1" t="s">
        <v>80</v>
      </c>
      <c r="G290" s="53" t="str">
        <f>_xlfn.XLOOKUP(Tabla2[[#This Row],[Universidad]],Conversiones!$B:$B,Conversiones!$C:$C)</f>
        <v>McGill University</v>
      </c>
      <c r="H290" s="53" t="str">
        <f>_xlfn.XLOOKUP(Tabla2[[#This Row],[Universidad KPIs]],Conversiones!$C:$C,Conversiones!$E:$E)</f>
        <v>Específico</v>
      </c>
      <c r="I290" s="1" t="s">
        <v>58</v>
      </c>
      <c r="J290" s="1" t="s">
        <v>260</v>
      </c>
      <c r="K290" s="1" t="s">
        <v>3713</v>
      </c>
      <c r="L290" s="1" t="s">
        <v>3714</v>
      </c>
      <c r="M290" s="1" t="s">
        <v>213</v>
      </c>
      <c r="N290" s="1" t="s">
        <v>3626</v>
      </c>
      <c r="O290" s="54"/>
      <c r="P290" s="1">
        <v>1</v>
      </c>
      <c r="Q290" s="1" t="s">
        <v>2525</v>
      </c>
      <c r="R290" s="1" t="s">
        <v>3715</v>
      </c>
      <c r="S290" s="1" t="s">
        <v>3309</v>
      </c>
      <c r="T290" s="1" t="s">
        <v>2441</v>
      </c>
      <c r="U290" s="1"/>
      <c r="V290" s="1"/>
      <c r="W290" s="1"/>
      <c r="X290" s="1"/>
      <c r="Y290" s="1"/>
      <c r="Z290" s="1"/>
      <c r="AA290" s="1"/>
      <c r="AB290" s="1"/>
      <c r="AC290" s="56" t="s">
        <v>216</v>
      </c>
      <c r="AD290" s="56" t="s">
        <v>234</v>
      </c>
    </row>
    <row r="291" spans="1:30">
      <c r="A291" s="1">
        <v>2024</v>
      </c>
      <c r="B291" s="1">
        <v>202410</v>
      </c>
      <c r="C291" s="1">
        <v>202416829</v>
      </c>
      <c r="D291" s="1" t="s">
        <v>3716</v>
      </c>
      <c r="E291" s="1" t="s">
        <v>3717</v>
      </c>
      <c r="F291" s="1" t="s">
        <v>383</v>
      </c>
      <c r="G291" s="53" t="str">
        <f>_xlfn.XLOOKUP(Tabla2[[#This Row],[Universidad]],Conversiones!$B:$B,Conversiones!$C:$C)</f>
        <v>Faculté des Sciences de l'Administration. FSA Laval</v>
      </c>
      <c r="H291" s="53" t="str">
        <f>_xlfn.XLOOKUP(Tabla2[[#This Row],[Universidad KPIs]],Conversiones!$C:$C,Conversiones!$E:$E)</f>
        <v>Específico</v>
      </c>
      <c r="I291" s="1" t="s">
        <v>58</v>
      </c>
      <c r="J291" s="1" t="s">
        <v>260</v>
      </c>
      <c r="K291" s="1" t="s">
        <v>3718</v>
      </c>
      <c r="L291" s="1" t="s">
        <v>3719</v>
      </c>
      <c r="M291" s="1" t="s">
        <v>213</v>
      </c>
      <c r="N291" s="1" t="s">
        <v>3626</v>
      </c>
      <c r="O291" s="54"/>
      <c r="P291" s="1">
        <v>1</v>
      </c>
      <c r="Q291" s="1" t="s">
        <v>2933</v>
      </c>
      <c r="R291" s="1" t="s">
        <v>2854</v>
      </c>
      <c r="S291" s="1" t="s">
        <v>3720</v>
      </c>
      <c r="T291" s="1" t="s">
        <v>2464</v>
      </c>
      <c r="U291" s="1" t="s">
        <v>2759</v>
      </c>
      <c r="V291" s="1" t="s">
        <v>2463</v>
      </c>
      <c r="W291" s="1" t="s">
        <v>2882</v>
      </c>
      <c r="X291" s="1" t="s">
        <v>2934</v>
      </c>
      <c r="Y291" s="1" t="s">
        <v>2491</v>
      </c>
      <c r="Z291" s="1" t="s">
        <v>2486</v>
      </c>
      <c r="AA291" s="1"/>
      <c r="AB291" s="1"/>
      <c r="AC291" s="56" t="s">
        <v>220</v>
      </c>
      <c r="AD291" s="56" t="s">
        <v>227</v>
      </c>
    </row>
    <row r="292" spans="1:30">
      <c r="A292" s="1">
        <v>2024</v>
      </c>
      <c r="B292" s="1">
        <v>202410</v>
      </c>
      <c r="C292" s="1">
        <v>202416906</v>
      </c>
      <c r="D292" s="1" t="s">
        <v>3721</v>
      </c>
      <c r="E292" s="1" t="s">
        <v>3722</v>
      </c>
      <c r="F292" s="1" t="s">
        <v>320</v>
      </c>
      <c r="G292" s="53" t="str">
        <f>_xlfn.XLOOKUP(Tabla2[[#This Row],[Universidad]],Conversiones!$B:$B,Conversiones!$C:$C)</f>
        <v>KLU Kühne Logistics University</v>
      </c>
      <c r="H292" s="53" t="str">
        <f>_xlfn.XLOOKUP(Tabla2[[#This Row],[Universidad KPIs]],Conversiones!$C:$C,Conversiones!$E:$E)</f>
        <v>Específico</v>
      </c>
      <c r="I292" s="1" t="s">
        <v>60</v>
      </c>
      <c r="J292" s="1" t="s">
        <v>250</v>
      </c>
      <c r="K292" s="1" t="s">
        <v>3723</v>
      </c>
      <c r="L292" s="1" t="s">
        <v>3724</v>
      </c>
      <c r="M292" s="1" t="s">
        <v>213</v>
      </c>
      <c r="N292" s="1" t="s">
        <v>3626</v>
      </c>
      <c r="O292" s="54"/>
      <c r="P292" s="1">
        <v>1</v>
      </c>
      <c r="Q292" s="1" t="s">
        <v>2525</v>
      </c>
      <c r="R292" s="1" t="s">
        <v>2307</v>
      </c>
      <c r="S292" s="1" t="s">
        <v>2321</v>
      </c>
      <c r="T292" s="1" t="s">
        <v>2441</v>
      </c>
      <c r="U292" s="1"/>
      <c r="V292" s="1"/>
      <c r="W292" s="1"/>
      <c r="X292" s="1"/>
      <c r="Y292" s="1"/>
      <c r="Z292" s="1"/>
      <c r="AA292" s="1"/>
      <c r="AB292" s="1"/>
      <c r="AC292" s="56" t="s">
        <v>216</v>
      </c>
      <c r="AD292" s="56" t="s">
        <v>234</v>
      </c>
    </row>
    <row r="293" spans="1:30">
      <c r="A293" s="1">
        <v>2024</v>
      </c>
      <c r="B293" s="1">
        <v>202410</v>
      </c>
      <c r="C293" s="1">
        <v>202416896</v>
      </c>
      <c r="D293" s="1" t="s">
        <v>3725</v>
      </c>
      <c r="E293" s="1" t="s">
        <v>3726</v>
      </c>
      <c r="F293" s="1" t="s">
        <v>738</v>
      </c>
      <c r="G293" s="53" t="str">
        <f>_xlfn.XLOOKUP(Tabla2[[#This Row],[Universidad]],Conversiones!$B:$B,Conversiones!$C:$C)</f>
        <v>Universidad de Tilburg</v>
      </c>
      <c r="H293" s="53" t="str">
        <f>_xlfn.XLOOKUP(Tabla2[[#This Row],[Universidad KPIs]],Conversiones!$C:$C,Conversiones!$E:$E)</f>
        <v>Específico</v>
      </c>
      <c r="I293" s="1" t="s">
        <v>79</v>
      </c>
      <c r="J293" s="1" t="s">
        <v>250</v>
      </c>
      <c r="K293" s="1" t="s">
        <v>3727</v>
      </c>
      <c r="L293" s="1" t="s">
        <v>3728</v>
      </c>
      <c r="M293" s="1" t="s">
        <v>213</v>
      </c>
      <c r="N293" s="1" t="s">
        <v>3626</v>
      </c>
      <c r="O293" s="54"/>
      <c r="P293" s="1">
        <v>1</v>
      </c>
      <c r="Q293" s="1" t="s">
        <v>2370</v>
      </c>
      <c r="R293" s="1" t="s">
        <v>2889</v>
      </c>
      <c r="S293" s="1" t="s">
        <v>2369</v>
      </c>
      <c r="T293" s="1" t="s">
        <v>2382</v>
      </c>
      <c r="U293" s="1" t="s">
        <v>3218</v>
      </c>
      <c r="V293" s="1" t="s">
        <v>2759</v>
      </c>
      <c r="W293" s="1" t="s">
        <v>2442</v>
      </c>
      <c r="X293" s="1"/>
      <c r="Y293" s="1"/>
      <c r="Z293" s="1"/>
      <c r="AA293" s="1"/>
      <c r="AB293" s="1"/>
      <c r="AC293" s="56" t="s">
        <v>216</v>
      </c>
      <c r="AD293" s="56" t="s">
        <v>234</v>
      </c>
    </row>
    <row r="294" spans="1:30">
      <c r="A294" s="1">
        <v>2024</v>
      </c>
      <c r="B294" s="1">
        <v>202410</v>
      </c>
      <c r="C294" s="1">
        <v>202416895</v>
      </c>
      <c r="D294" s="1" t="s">
        <v>3729</v>
      </c>
      <c r="E294" s="1" t="s">
        <v>3730</v>
      </c>
      <c r="F294" s="1" t="s">
        <v>1306</v>
      </c>
      <c r="G294" s="53" t="str">
        <f>_xlfn.XLOOKUP(Tabla2[[#This Row],[Universidad]],Conversiones!$B:$B,Conversiones!$C:$C)</f>
        <v>Universidad del Pacífico</v>
      </c>
      <c r="H294" s="53" t="str">
        <f>_xlfn.XLOOKUP(Tabla2[[#This Row],[Universidad KPIs]],Conversiones!$C:$C,Conversiones!$E:$E)</f>
        <v>Específico</v>
      </c>
      <c r="I294" s="1" t="s">
        <v>96</v>
      </c>
      <c r="J294" s="1" t="s">
        <v>265</v>
      </c>
      <c r="K294" s="1" t="s">
        <v>3731</v>
      </c>
      <c r="L294" s="1" t="s">
        <v>3732</v>
      </c>
      <c r="M294" s="1" t="s">
        <v>213</v>
      </c>
      <c r="N294" s="1" t="s">
        <v>3626</v>
      </c>
      <c r="O294" s="54"/>
      <c r="P294" s="1">
        <v>1</v>
      </c>
      <c r="Q294" s="1" t="s">
        <v>2307</v>
      </c>
      <c r="R294" s="1" t="s">
        <v>2369</v>
      </c>
      <c r="S294" s="1" t="s">
        <v>2309</v>
      </c>
      <c r="T294" s="1" t="s">
        <v>2329</v>
      </c>
      <c r="U294" s="1" t="s">
        <v>2578</v>
      </c>
      <c r="V294" s="1"/>
      <c r="W294" s="1"/>
      <c r="X294" s="1"/>
      <c r="Y294" s="1"/>
      <c r="Z294" s="1"/>
      <c r="AA294" s="1"/>
      <c r="AB294" s="1"/>
      <c r="AC294" s="56" t="s">
        <v>216</v>
      </c>
      <c r="AD294" s="56" t="s">
        <v>234</v>
      </c>
    </row>
    <row r="295" spans="1:30">
      <c r="A295" s="1">
        <v>2024</v>
      </c>
      <c r="B295" s="1">
        <v>202410</v>
      </c>
      <c r="C295" s="1">
        <v>202416894</v>
      </c>
      <c r="D295" s="1" t="s">
        <v>3733</v>
      </c>
      <c r="E295" s="1" t="s">
        <v>3734</v>
      </c>
      <c r="F295" s="1" t="s">
        <v>608</v>
      </c>
      <c r="G295" s="53" t="str">
        <f>_xlfn.XLOOKUP(Tabla2[[#This Row],[Universidad]],Conversiones!$B:$B,Conversiones!$C:$C)</f>
        <v>IE Instituto Empresa</v>
      </c>
      <c r="H295" s="53" t="str">
        <f>_xlfn.XLOOKUP(Tabla2[[#This Row],[Universidad KPIs]],Conversiones!$C:$C,Conversiones!$E:$E)</f>
        <v>General</v>
      </c>
      <c r="I295" s="1" t="s">
        <v>53</v>
      </c>
      <c r="J295" s="1" t="s">
        <v>250</v>
      </c>
      <c r="K295" s="1" t="s">
        <v>3735</v>
      </c>
      <c r="L295" s="1" t="s">
        <v>3736</v>
      </c>
      <c r="M295" s="1" t="s">
        <v>213</v>
      </c>
      <c r="N295" s="1" t="s">
        <v>3626</v>
      </c>
      <c r="O295" s="54"/>
      <c r="P295" s="1">
        <v>1</v>
      </c>
      <c r="Q295" s="1" t="s">
        <v>2388</v>
      </c>
      <c r="R295" s="1" t="s">
        <v>2525</v>
      </c>
      <c r="S295" s="1" t="s">
        <v>2301</v>
      </c>
      <c r="T295" s="1" t="s">
        <v>2412</v>
      </c>
      <c r="U295" s="1" t="s">
        <v>2300</v>
      </c>
      <c r="V295" s="1" t="s">
        <v>2370</v>
      </c>
      <c r="W295" s="1"/>
      <c r="X295" s="1"/>
      <c r="Y295" s="1"/>
      <c r="Z295" s="1"/>
      <c r="AA295" s="1"/>
      <c r="AB295" s="1"/>
      <c r="AC295" s="56" t="s">
        <v>216</v>
      </c>
      <c r="AD295" s="56" t="s">
        <v>234</v>
      </c>
    </row>
    <row r="296" spans="1:30">
      <c r="A296" s="1">
        <v>2024</v>
      </c>
      <c r="B296" s="1">
        <v>202410</v>
      </c>
      <c r="C296" s="1">
        <v>202415033</v>
      </c>
      <c r="D296" s="1" t="s">
        <v>3737</v>
      </c>
      <c r="E296" s="1" t="s">
        <v>3738</v>
      </c>
      <c r="F296" s="1" t="s">
        <v>124</v>
      </c>
      <c r="G296" s="53" t="str">
        <f>_xlfn.XLOOKUP(Tabla2[[#This Row],[Universidad]],Conversiones!$B:$B,Conversiones!$C:$C)</f>
        <v>American University of Central Asia</v>
      </c>
      <c r="H296" s="53" t="str">
        <f>_xlfn.XLOOKUP(Tabla2[[#This Row],[Universidad KPIs]],Conversiones!$C:$C,Conversiones!$E:$E)</f>
        <v>General</v>
      </c>
      <c r="I296" s="1" t="s">
        <v>125</v>
      </c>
      <c r="J296" s="1" t="s">
        <v>537</v>
      </c>
      <c r="K296" s="1" t="s">
        <v>3739</v>
      </c>
      <c r="L296" s="1" t="s">
        <v>3740</v>
      </c>
      <c r="M296" s="1" t="s">
        <v>213</v>
      </c>
      <c r="N296" s="1" t="s">
        <v>3626</v>
      </c>
      <c r="O296" s="54"/>
      <c r="P296" s="1">
        <v>1</v>
      </c>
      <c r="Q296" s="1" t="s">
        <v>2412</v>
      </c>
      <c r="R296" s="1" t="s">
        <v>2370</v>
      </c>
      <c r="S296" s="1" t="s">
        <v>2307</v>
      </c>
      <c r="T296" s="1" t="s">
        <v>2441</v>
      </c>
      <c r="U296" s="1" t="s">
        <v>3200</v>
      </c>
      <c r="V296" s="1"/>
      <c r="W296" s="1"/>
      <c r="X296" s="1"/>
      <c r="Y296" s="1"/>
      <c r="Z296" s="1"/>
      <c r="AA296" s="1"/>
      <c r="AB296" s="1"/>
      <c r="AC296" s="56" t="s">
        <v>216</v>
      </c>
      <c r="AD296" s="56" t="s">
        <v>234</v>
      </c>
    </row>
    <row r="297" spans="1:30">
      <c r="A297" s="1">
        <v>2024</v>
      </c>
      <c r="B297" s="1">
        <v>202410</v>
      </c>
      <c r="C297" s="1">
        <v>202416873</v>
      </c>
      <c r="D297" s="1" t="s">
        <v>3741</v>
      </c>
      <c r="E297" s="1" t="s">
        <v>3742</v>
      </c>
      <c r="F297" s="1" t="s">
        <v>78</v>
      </c>
      <c r="G297" s="53" t="str">
        <f>_xlfn.XLOOKUP(Tabla2[[#This Row],[Universidad]],Conversiones!$B:$B,Conversiones!$C:$C)</f>
        <v>Maastricht University</v>
      </c>
      <c r="H297" s="53" t="str">
        <f>_xlfn.XLOOKUP(Tabla2[[#This Row],[Universidad KPIs]],Conversiones!$C:$C,Conversiones!$E:$E)</f>
        <v>Específico</v>
      </c>
      <c r="I297" s="1" t="s">
        <v>79</v>
      </c>
      <c r="J297" s="1" t="s">
        <v>250</v>
      </c>
      <c r="K297" s="1" t="s">
        <v>3743</v>
      </c>
      <c r="L297" s="1" t="s">
        <v>3744</v>
      </c>
      <c r="M297" s="1" t="s">
        <v>213</v>
      </c>
      <c r="N297" s="1" t="s">
        <v>3626</v>
      </c>
      <c r="O297" s="54"/>
      <c r="P297" s="1">
        <v>1</v>
      </c>
      <c r="Q297" s="1" t="s">
        <v>2388</v>
      </c>
      <c r="R297" s="1" t="s">
        <v>2370</v>
      </c>
      <c r="S297" s="1" t="s">
        <v>2321</v>
      </c>
      <c r="T297" s="1" t="s">
        <v>3309</v>
      </c>
      <c r="U297" s="1" t="s">
        <v>2369</v>
      </c>
      <c r="V297" s="1" t="s">
        <v>2845</v>
      </c>
      <c r="W297" s="1"/>
      <c r="X297" s="1"/>
      <c r="Y297" s="1"/>
      <c r="Z297" s="1"/>
      <c r="AA297" s="1"/>
      <c r="AB297" s="1"/>
      <c r="AC297" s="56" t="s">
        <v>216</v>
      </c>
      <c r="AD297" s="56" t="s">
        <v>234</v>
      </c>
    </row>
    <row r="298" spans="1:30">
      <c r="A298" s="1">
        <v>2024</v>
      </c>
      <c r="B298" s="1">
        <v>202410</v>
      </c>
      <c r="C298" s="1">
        <v>202416856</v>
      </c>
      <c r="D298" s="1" t="s">
        <v>659</v>
      </c>
      <c r="E298" s="1" t="s">
        <v>3745</v>
      </c>
      <c r="F298" s="1" t="s">
        <v>80</v>
      </c>
      <c r="G298" s="53" t="str">
        <f>_xlfn.XLOOKUP(Tabla2[[#This Row],[Universidad]],Conversiones!$B:$B,Conversiones!$C:$C)</f>
        <v>McGill University</v>
      </c>
      <c r="H298" s="53" t="str">
        <f>_xlfn.XLOOKUP(Tabla2[[#This Row],[Universidad KPIs]],Conversiones!$C:$C,Conversiones!$E:$E)</f>
        <v>Específico</v>
      </c>
      <c r="I298" s="1" t="s">
        <v>58</v>
      </c>
      <c r="J298" s="1" t="s">
        <v>260</v>
      </c>
      <c r="K298" s="1" t="s">
        <v>3746</v>
      </c>
      <c r="L298" s="1" t="s">
        <v>3747</v>
      </c>
      <c r="M298" s="1" t="s">
        <v>213</v>
      </c>
      <c r="N298" s="1" t="s">
        <v>3626</v>
      </c>
      <c r="O298" s="54"/>
      <c r="P298" s="1">
        <v>1</v>
      </c>
      <c r="Q298" s="1" t="s">
        <v>2301</v>
      </c>
      <c r="R298" s="1" t="s">
        <v>2300</v>
      </c>
      <c r="S298" s="1" t="s">
        <v>2308</v>
      </c>
      <c r="T298" s="1" t="s">
        <v>3748</v>
      </c>
      <c r="U298" s="1" t="s">
        <v>3749</v>
      </c>
      <c r="V298" s="1"/>
      <c r="W298" s="1"/>
      <c r="X298" s="1"/>
      <c r="Y298" s="1"/>
      <c r="Z298" s="1"/>
      <c r="AA298" s="1"/>
      <c r="AB298" s="1"/>
      <c r="AC298" s="56" t="s">
        <v>216</v>
      </c>
      <c r="AD298" s="56" t="s">
        <v>234</v>
      </c>
    </row>
    <row r="299" spans="1:30">
      <c r="A299" s="1">
        <v>2024</v>
      </c>
      <c r="B299" s="1">
        <v>202410</v>
      </c>
      <c r="C299" s="1">
        <v>202416852</v>
      </c>
      <c r="D299" s="1" t="s">
        <v>3750</v>
      </c>
      <c r="E299" s="1" t="s">
        <v>3751</v>
      </c>
      <c r="F299" s="1" t="s">
        <v>80</v>
      </c>
      <c r="G299" s="53" t="str">
        <f>_xlfn.XLOOKUP(Tabla2[[#This Row],[Universidad]],Conversiones!$B:$B,Conversiones!$C:$C)</f>
        <v>McGill University</v>
      </c>
      <c r="H299" s="53" t="str">
        <f>_xlfn.XLOOKUP(Tabla2[[#This Row],[Universidad KPIs]],Conversiones!$C:$C,Conversiones!$E:$E)</f>
        <v>Específico</v>
      </c>
      <c r="I299" s="1" t="s">
        <v>58</v>
      </c>
      <c r="J299" s="1" t="s">
        <v>260</v>
      </c>
      <c r="K299" s="1" t="s">
        <v>3752</v>
      </c>
      <c r="L299" s="1" t="s">
        <v>3753</v>
      </c>
      <c r="M299" s="1" t="s">
        <v>213</v>
      </c>
      <c r="N299" s="1" t="s">
        <v>3626</v>
      </c>
      <c r="O299" s="54"/>
      <c r="P299" s="1">
        <v>1</v>
      </c>
      <c r="Q299" s="1" t="s">
        <v>2525</v>
      </c>
      <c r="R299" s="1" t="s">
        <v>3309</v>
      </c>
      <c r="S299" s="1" t="s">
        <v>2578</v>
      </c>
      <c r="T299" s="1" t="s">
        <v>2441</v>
      </c>
      <c r="U299" s="1"/>
      <c r="V299" s="1"/>
      <c r="W299" s="1"/>
      <c r="X299" s="1"/>
      <c r="Y299" s="1"/>
      <c r="Z299" s="1"/>
      <c r="AA299" s="1"/>
      <c r="AB299" s="1"/>
      <c r="AC299" s="56" t="s">
        <v>216</v>
      </c>
      <c r="AD299" s="56" t="s">
        <v>234</v>
      </c>
    </row>
    <row r="300" spans="1:30">
      <c r="A300" s="1">
        <v>2024</v>
      </c>
      <c r="B300" s="1">
        <v>202410</v>
      </c>
      <c r="C300" s="1">
        <v>202416850</v>
      </c>
      <c r="D300" s="1" t="s">
        <v>3754</v>
      </c>
      <c r="E300" s="1" t="s">
        <v>3586</v>
      </c>
      <c r="F300" s="1" t="s">
        <v>1454</v>
      </c>
      <c r="G300" s="53" t="str">
        <f>_xlfn.XLOOKUP(Tabla2[[#This Row],[Universidad]],Conversiones!$B:$B,Conversiones!$C:$C)</f>
        <v>HEC Paris</v>
      </c>
      <c r="H300" s="53" t="str">
        <f>_xlfn.XLOOKUP(Tabla2[[#This Row],[Universidad KPIs]],Conversiones!$C:$C,Conversiones!$E:$E)</f>
        <v>Específico</v>
      </c>
      <c r="I300" s="1" t="s">
        <v>41</v>
      </c>
      <c r="J300" s="1" t="s">
        <v>250</v>
      </c>
      <c r="K300" s="1" t="s">
        <v>3755</v>
      </c>
      <c r="L300" s="1" t="s">
        <v>3756</v>
      </c>
      <c r="M300" s="1" t="s">
        <v>213</v>
      </c>
      <c r="N300" s="1" t="s">
        <v>3626</v>
      </c>
      <c r="O300" s="54"/>
      <c r="P300" s="1">
        <v>1</v>
      </c>
      <c r="Q300" s="1" t="s">
        <v>2609</v>
      </c>
      <c r="R300" s="1" t="s">
        <v>2307</v>
      </c>
      <c r="S300" s="1" t="s">
        <v>2456</v>
      </c>
      <c r="T300" s="1" t="s">
        <v>2309</v>
      </c>
      <c r="U300" s="1" t="s">
        <v>3757</v>
      </c>
      <c r="V300" s="1"/>
      <c r="W300" s="1"/>
      <c r="X300" s="1"/>
      <c r="Y300" s="1"/>
      <c r="Z300" s="1"/>
      <c r="AA300" s="1"/>
      <c r="AB300" s="1"/>
      <c r="AC300" s="56" t="s">
        <v>216</v>
      </c>
      <c r="AD300" s="56" t="s">
        <v>234</v>
      </c>
    </row>
    <row r="301" spans="1:30">
      <c r="A301" s="1">
        <v>2024</v>
      </c>
      <c r="B301" s="1">
        <v>202410</v>
      </c>
      <c r="C301" s="1">
        <v>202416848</v>
      </c>
      <c r="D301" s="1" t="s">
        <v>3758</v>
      </c>
      <c r="E301" s="1" t="s">
        <v>3759</v>
      </c>
      <c r="F301" s="1" t="s">
        <v>608</v>
      </c>
      <c r="G301" s="53" t="str">
        <f>_xlfn.XLOOKUP(Tabla2[[#This Row],[Universidad]],Conversiones!$B:$B,Conversiones!$C:$C)</f>
        <v>IE Instituto Empresa</v>
      </c>
      <c r="H301" s="53" t="str">
        <f>_xlfn.XLOOKUP(Tabla2[[#This Row],[Universidad KPIs]],Conversiones!$C:$C,Conversiones!$E:$E)</f>
        <v>General</v>
      </c>
      <c r="I301" s="1" t="s">
        <v>53</v>
      </c>
      <c r="J301" s="1" t="s">
        <v>250</v>
      </c>
      <c r="K301" s="1" t="s">
        <v>3760</v>
      </c>
      <c r="L301" s="1" t="s">
        <v>3761</v>
      </c>
      <c r="M301" s="1" t="s">
        <v>213</v>
      </c>
      <c r="N301" s="1" t="s">
        <v>3626</v>
      </c>
      <c r="O301" s="54"/>
      <c r="P301" s="1">
        <v>1</v>
      </c>
      <c r="Q301" s="1" t="s">
        <v>2388</v>
      </c>
      <c r="R301" s="1" t="s">
        <v>2525</v>
      </c>
      <c r="S301" s="1" t="s">
        <v>2412</v>
      </c>
      <c r="T301" s="1" t="s">
        <v>2300</v>
      </c>
      <c r="U301" s="1" t="s">
        <v>2370</v>
      </c>
      <c r="V301" s="1"/>
      <c r="W301" s="1"/>
      <c r="X301" s="1"/>
      <c r="Y301" s="1"/>
      <c r="Z301" s="1"/>
      <c r="AA301" s="1"/>
      <c r="AB301" s="1"/>
      <c r="AC301" s="56" t="s">
        <v>216</v>
      </c>
      <c r="AD301" s="56" t="s">
        <v>234</v>
      </c>
    </row>
    <row r="302" spans="1:30">
      <c r="A302" s="1">
        <v>2024</v>
      </c>
      <c r="B302" s="1">
        <v>202410</v>
      </c>
      <c r="C302" s="1">
        <v>202416847</v>
      </c>
      <c r="D302" s="1" t="s">
        <v>3762</v>
      </c>
      <c r="E302" s="1" t="s">
        <v>3763</v>
      </c>
      <c r="F302" s="1" t="s">
        <v>36</v>
      </c>
      <c r="G302" s="53" t="str">
        <f>_xlfn.XLOOKUP(Tabla2[[#This Row],[Universidad]],Conversiones!$B:$B,Conversiones!$C:$C)</f>
        <v>Aalto University</v>
      </c>
      <c r="H302" s="53" t="str">
        <f>_xlfn.XLOOKUP(Tabla2[[#This Row],[Universidad KPIs]],Conversiones!$C:$C,Conversiones!$E:$E)</f>
        <v>Específico</v>
      </c>
      <c r="I302" s="1" t="s">
        <v>37</v>
      </c>
      <c r="J302" s="1" t="s">
        <v>250</v>
      </c>
      <c r="K302" s="1" t="s">
        <v>3764</v>
      </c>
      <c r="L302" s="1" t="s">
        <v>3765</v>
      </c>
      <c r="M302" s="1" t="s">
        <v>213</v>
      </c>
      <c r="N302" s="1" t="s">
        <v>3626</v>
      </c>
      <c r="O302" s="54"/>
      <c r="P302" s="1">
        <v>1</v>
      </c>
      <c r="Q302" s="1" t="s">
        <v>2525</v>
      </c>
      <c r="R302" s="1" t="s">
        <v>3199</v>
      </c>
      <c r="S302" s="1" t="s">
        <v>3766</v>
      </c>
      <c r="T302" s="1" t="s">
        <v>3767</v>
      </c>
      <c r="U302" s="1" t="s">
        <v>2759</v>
      </c>
      <c r="V302" s="1" t="s">
        <v>3768</v>
      </c>
      <c r="W302" s="1" t="s">
        <v>3477</v>
      </c>
      <c r="X302" s="1"/>
      <c r="Y302" s="1"/>
      <c r="Z302" s="1"/>
      <c r="AA302" s="1"/>
      <c r="AB302" s="1"/>
      <c r="AC302" s="56" t="s">
        <v>216</v>
      </c>
      <c r="AD302" s="56" t="s">
        <v>234</v>
      </c>
    </row>
    <row r="303" spans="1:30">
      <c r="A303" s="1">
        <v>2024</v>
      </c>
      <c r="B303" s="1">
        <v>202410</v>
      </c>
      <c r="C303" s="1">
        <v>202416840</v>
      </c>
      <c r="D303" s="1" t="s">
        <v>1366</v>
      </c>
      <c r="E303" s="1" t="s">
        <v>3769</v>
      </c>
      <c r="F303" s="1" t="s">
        <v>493</v>
      </c>
      <c r="G303" s="53" t="str">
        <f>_xlfn.XLOOKUP(Tabla2[[#This Row],[Universidad]],Conversiones!$B:$B,Conversiones!$C:$C)</f>
        <v>University of Saint Gallen</v>
      </c>
      <c r="H303" s="53" t="str">
        <f>_xlfn.XLOOKUP(Tabla2[[#This Row],[Universidad KPIs]],Conversiones!$C:$C,Conversiones!$E:$E)</f>
        <v>Específico</v>
      </c>
      <c r="I303" s="1" t="s">
        <v>65</v>
      </c>
      <c r="J303" s="1" t="s">
        <v>250</v>
      </c>
      <c r="K303" s="1" t="s">
        <v>3770</v>
      </c>
      <c r="L303" s="1" t="s">
        <v>3771</v>
      </c>
      <c r="M303" s="1" t="s">
        <v>213</v>
      </c>
      <c r="N303" s="1" t="s">
        <v>3626</v>
      </c>
      <c r="O303" s="54"/>
      <c r="P303" s="1">
        <v>1</v>
      </c>
      <c r="Q303" s="1" t="s">
        <v>3255</v>
      </c>
      <c r="R303" s="1" t="s">
        <v>2974</v>
      </c>
      <c r="S303" s="1" t="s">
        <v>3258</v>
      </c>
      <c r="T303" s="1" t="s">
        <v>3257</v>
      </c>
      <c r="U303" s="1" t="s">
        <v>3772</v>
      </c>
      <c r="V303" s="1" t="s">
        <v>2491</v>
      </c>
      <c r="W303" s="1"/>
      <c r="X303" s="1"/>
      <c r="Y303" s="1"/>
      <c r="Z303" s="1"/>
      <c r="AA303" s="1"/>
      <c r="AB303" s="1"/>
      <c r="AC303" s="56" t="s">
        <v>231</v>
      </c>
      <c r="AD303" s="56" t="s">
        <v>227</v>
      </c>
    </row>
    <row r="304" spans="1:30">
      <c r="A304" s="1">
        <v>2024</v>
      </c>
      <c r="B304" s="1">
        <v>202410</v>
      </c>
      <c r="C304" s="1">
        <v>202416841</v>
      </c>
      <c r="D304" s="1" t="s">
        <v>3773</v>
      </c>
      <c r="E304" s="1" t="s">
        <v>3774</v>
      </c>
      <c r="F304" s="1" t="s">
        <v>325</v>
      </c>
      <c r="G304" s="53" t="str">
        <f>_xlfn.XLOOKUP(Tabla2[[#This Row],[Universidad]],Conversiones!$B:$B,Conversiones!$C:$C)</f>
        <v>Università Commerciale Luigi Bocconi</v>
      </c>
      <c r="H304" s="53" t="str">
        <f>_xlfn.XLOOKUP(Tabla2[[#This Row],[Universidad KPIs]],Conversiones!$C:$C,Conversiones!$E:$E)</f>
        <v>Específico</v>
      </c>
      <c r="I304" s="1" t="s">
        <v>87</v>
      </c>
      <c r="J304" s="1" t="s">
        <v>250</v>
      </c>
      <c r="K304" s="1" t="s">
        <v>3775</v>
      </c>
      <c r="L304" s="1" t="s">
        <v>3776</v>
      </c>
      <c r="M304" s="1" t="s">
        <v>213</v>
      </c>
      <c r="N304" s="1" t="s">
        <v>3626</v>
      </c>
      <c r="O304" s="54"/>
      <c r="P304" s="1">
        <v>1</v>
      </c>
      <c r="Q304" s="1" t="s">
        <v>3255</v>
      </c>
      <c r="R304" s="1" t="s">
        <v>3259</v>
      </c>
      <c r="S304" s="1" t="s">
        <v>3258</v>
      </c>
      <c r="T304" s="1" t="s">
        <v>3257</v>
      </c>
      <c r="U304" s="1" t="s">
        <v>3772</v>
      </c>
      <c r="V304" s="1"/>
      <c r="W304" s="1"/>
      <c r="X304" s="1"/>
      <c r="Y304" s="1"/>
      <c r="Z304" s="1"/>
      <c r="AA304" s="1"/>
      <c r="AB304" s="1"/>
      <c r="AC304" s="56" t="s">
        <v>231</v>
      </c>
      <c r="AD304" s="56" t="s">
        <v>227</v>
      </c>
    </row>
    <row r="305" spans="1:30">
      <c r="A305" s="1">
        <v>2024</v>
      </c>
      <c r="B305" s="1">
        <v>202410</v>
      </c>
      <c r="C305" s="1">
        <v>202416842</v>
      </c>
      <c r="D305" s="1" t="s">
        <v>3777</v>
      </c>
      <c r="E305" s="1" t="s">
        <v>3778</v>
      </c>
      <c r="F305" s="1" t="s">
        <v>188</v>
      </c>
      <c r="G305" s="53" t="str">
        <f>_xlfn.XLOOKUP(Tabla2[[#This Row],[Universidad]],Conversiones!$B:$B,Conversiones!$C:$C)</f>
        <v>Universidad Adolfo Ibáñez</v>
      </c>
      <c r="H305" s="53" t="str">
        <f>_xlfn.XLOOKUP(Tabla2[[#This Row],[Universidad KPIs]],Conversiones!$C:$C,Conversiones!$E:$E)</f>
        <v>General</v>
      </c>
      <c r="I305" s="1" t="s">
        <v>93</v>
      </c>
      <c r="J305" s="1" t="s">
        <v>265</v>
      </c>
      <c r="K305" s="1" t="s">
        <v>3779</v>
      </c>
      <c r="L305" s="1" t="s">
        <v>3780</v>
      </c>
      <c r="M305" s="1" t="s">
        <v>213</v>
      </c>
      <c r="N305" s="1" t="s">
        <v>3626</v>
      </c>
      <c r="O305" s="54"/>
      <c r="P305" s="1">
        <v>1</v>
      </c>
      <c r="Q305" s="1" t="s">
        <v>3255</v>
      </c>
      <c r="R305" s="1" t="s">
        <v>3259</v>
      </c>
      <c r="S305" s="1" t="s">
        <v>2974</v>
      </c>
      <c r="T305" s="1" t="s">
        <v>3258</v>
      </c>
      <c r="U305" s="1" t="s">
        <v>3257</v>
      </c>
      <c r="V305" s="1" t="s">
        <v>3772</v>
      </c>
      <c r="W305" s="1"/>
      <c r="X305" s="1"/>
      <c r="Y305" s="1"/>
      <c r="Z305" s="1"/>
      <c r="AA305" s="1"/>
      <c r="AB305" s="1"/>
      <c r="AC305" s="56" t="s">
        <v>231</v>
      </c>
      <c r="AD305" s="56" t="s">
        <v>227</v>
      </c>
    </row>
    <row r="306" spans="1:30">
      <c r="A306" s="1">
        <v>2024</v>
      </c>
      <c r="B306" s="1">
        <v>202410</v>
      </c>
      <c r="C306" s="1">
        <v>202416843</v>
      </c>
      <c r="D306" s="1" t="s">
        <v>3781</v>
      </c>
      <c r="E306" s="1" t="s">
        <v>3782</v>
      </c>
      <c r="F306" s="1" t="s">
        <v>424</v>
      </c>
      <c r="G306" s="53" t="str">
        <f>_xlfn.XLOOKUP(Tabla2[[#This Row],[Universidad]],Conversiones!$B:$B,Conversiones!$C:$C)</f>
        <v>Nova School of Business and Economics</v>
      </c>
      <c r="H306" s="53" t="str">
        <f>_xlfn.XLOOKUP(Tabla2[[#This Row],[Universidad KPIs]],Conversiones!$C:$C,Conversiones!$E:$E)</f>
        <v>Específico</v>
      </c>
      <c r="I306" s="1" t="s">
        <v>45</v>
      </c>
      <c r="J306" s="1" t="s">
        <v>250</v>
      </c>
      <c r="K306" s="1" t="s">
        <v>3783</v>
      </c>
      <c r="L306" s="1" t="s">
        <v>3784</v>
      </c>
      <c r="M306" s="1" t="s">
        <v>213</v>
      </c>
      <c r="N306" s="1" t="s">
        <v>3626</v>
      </c>
      <c r="O306" s="54"/>
      <c r="P306" s="1">
        <v>1</v>
      </c>
      <c r="Q306" s="1" t="s">
        <v>3255</v>
      </c>
      <c r="R306" s="1" t="s">
        <v>3259</v>
      </c>
      <c r="S306" s="1" t="s">
        <v>2974</v>
      </c>
      <c r="T306" s="1" t="s">
        <v>3258</v>
      </c>
      <c r="U306" s="1" t="s">
        <v>3257</v>
      </c>
      <c r="V306" s="1"/>
      <c r="W306" s="1"/>
      <c r="X306" s="1"/>
      <c r="Y306" s="1"/>
      <c r="Z306" s="1"/>
      <c r="AA306" s="1"/>
      <c r="AB306" s="1"/>
      <c r="AC306" s="56" t="s">
        <v>231</v>
      </c>
      <c r="AD306" s="56" t="s">
        <v>227</v>
      </c>
    </row>
    <row r="307" spans="1:30">
      <c r="A307" s="1">
        <v>2024</v>
      </c>
      <c r="B307" s="1">
        <v>202410</v>
      </c>
      <c r="C307" s="1">
        <v>202416844</v>
      </c>
      <c r="D307" s="1" t="s">
        <v>3785</v>
      </c>
      <c r="E307" s="1" t="s">
        <v>3786</v>
      </c>
      <c r="F307" s="1" t="s">
        <v>187</v>
      </c>
      <c r="G307" s="53" t="str">
        <f>_xlfn.XLOOKUP(Tabla2[[#This Row],[Universidad]],Conversiones!$B:$B,Conversiones!$C:$C)</f>
        <v>Stockholms universitet</v>
      </c>
      <c r="H307" s="53" t="str">
        <f>_xlfn.XLOOKUP(Tabla2[[#This Row],[Universidad KPIs]],Conversiones!$C:$C,Conversiones!$E:$E)</f>
        <v>General</v>
      </c>
      <c r="I307" s="1" t="s">
        <v>74</v>
      </c>
      <c r="J307" s="1" t="s">
        <v>250</v>
      </c>
      <c r="K307" s="1" t="s">
        <v>3787</v>
      </c>
      <c r="L307" s="1" t="s">
        <v>3788</v>
      </c>
      <c r="M307" s="1" t="s">
        <v>213</v>
      </c>
      <c r="N307" s="1" t="s">
        <v>3626</v>
      </c>
      <c r="O307" s="54"/>
      <c r="P307" s="1">
        <v>1</v>
      </c>
      <c r="Q307" s="1" t="s">
        <v>3255</v>
      </c>
      <c r="R307" s="1" t="s">
        <v>3259</v>
      </c>
      <c r="S307" s="1" t="s">
        <v>2339</v>
      </c>
      <c r="T307" s="1" t="s">
        <v>3258</v>
      </c>
      <c r="U307" s="1" t="s">
        <v>2860</v>
      </c>
      <c r="V307" s="1" t="s">
        <v>3218</v>
      </c>
      <c r="W307" s="1" t="s">
        <v>3257</v>
      </c>
      <c r="X307" s="1"/>
      <c r="Y307" s="1"/>
      <c r="Z307" s="1"/>
      <c r="AA307" s="1"/>
      <c r="AB307" s="1"/>
      <c r="AC307" s="56" t="s">
        <v>231</v>
      </c>
      <c r="AD307" s="56" t="s">
        <v>227</v>
      </c>
    </row>
    <row r="308" spans="1:30">
      <c r="A308" s="1">
        <v>2024</v>
      </c>
      <c r="B308" s="1">
        <v>202410</v>
      </c>
      <c r="C308" s="1">
        <v>202416845</v>
      </c>
      <c r="D308" s="1" t="s">
        <v>3789</v>
      </c>
      <c r="E308" s="1" t="s">
        <v>3790</v>
      </c>
      <c r="F308" s="1" t="s">
        <v>176</v>
      </c>
      <c r="G308" s="53" t="str">
        <f>_xlfn.XLOOKUP(Tabla2[[#This Row],[Universidad]],Conversiones!$B:$B,Conversiones!$C:$C)</f>
        <v>Erasmus Universiteit Rotterdam</v>
      </c>
      <c r="H308" s="53" t="str">
        <f>_xlfn.XLOOKUP(Tabla2[[#This Row],[Universidad KPIs]],Conversiones!$C:$C,Conversiones!$E:$E)</f>
        <v>General</v>
      </c>
      <c r="I308" s="1" t="s">
        <v>79</v>
      </c>
      <c r="J308" s="1" t="s">
        <v>250</v>
      </c>
      <c r="K308" s="1" t="s">
        <v>3791</v>
      </c>
      <c r="L308" s="1" t="s">
        <v>3792</v>
      </c>
      <c r="M308" s="1" t="s">
        <v>213</v>
      </c>
      <c r="N308" s="1" t="s">
        <v>3626</v>
      </c>
      <c r="O308" s="54"/>
      <c r="P308" s="1">
        <v>1</v>
      </c>
      <c r="Q308" s="1" t="s">
        <v>3255</v>
      </c>
      <c r="R308" s="1" t="s">
        <v>3259</v>
      </c>
      <c r="S308" s="1" t="s">
        <v>2356</v>
      </c>
      <c r="T308" s="1" t="s">
        <v>3258</v>
      </c>
      <c r="U308" s="1" t="s">
        <v>3793</v>
      </c>
      <c r="V308" s="1" t="s">
        <v>3485</v>
      </c>
      <c r="W308" s="1" t="s">
        <v>3257</v>
      </c>
      <c r="X308" s="1"/>
      <c r="Y308" s="1"/>
      <c r="Z308" s="1"/>
      <c r="AA308" s="1"/>
      <c r="AB308" s="1"/>
      <c r="AC308" s="56" t="s">
        <v>231</v>
      </c>
      <c r="AD308" s="56" t="s">
        <v>227</v>
      </c>
    </row>
    <row r="309" spans="1:30">
      <c r="A309" s="1">
        <v>2024</v>
      </c>
      <c r="B309" s="1">
        <v>202410</v>
      </c>
      <c r="C309" s="1">
        <v>202416846</v>
      </c>
      <c r="D309" s="1" t="s">
        <v>3794</v>
      </c>
      <c r="E309" s="1" t="s">
        <v>3795</v>
      </c>
      <c r="F309" s="1" t="s">
        <v>193</v>
      </c>
      <c r="G309" s="53" t="str">
        <f>_xlfn.XLOOKUP(Tabla2[[#This Row],[Universidad]],Conversiones!$B:$B,Conversiones!$C:$C)</f>
        <v>Wirtschaftsuniversität Wien</v>
      </c>
      <c r="H309" s="53" t="str">
        <f>_xlfn.XLOOKUP(Tabla2[[#This Row],[Universidad KPIs]],Conversiones!$C:$C,Conversiones!$E:$E)</f>
        <v>General</v>
      </c>
      <c r="I309" s="1" t="s">
        <v>185</v>
      </c>
      <c r="J309" s="1" t="s">
        <v>250</v>
      </c>
      <c r="K309" s="1" t="s">
        <v>3796</v>
      </c>
      <c r="L309" s="1" t="s">
        <v>3797</v>
      </c>
      <c r="M309" s="1" t="s">
        <v>213</v>
      </c>
      <c r="N309" s="1" t="s">
        <v>3626</v>
      </c>
      <c r="O309" s="54"/>
      <c r="P309" s="1">
        <v>1</v>
      </c>
      <c r="Q309" s="1" t="s">
        <v>3255</v>
      </c>
      <c r="R309" s="1" t="s">
        <v>3259</v>
      </c>
      <c r="S309" s="1" t="s">
        <v>2356</v>
      </c>
      <c r="T309" s="1" t="s">
        <v>3258</v>
      </c>
      <c r="U309" s="1" t="s">
        <v>3257</v>
      </c>
      <c r="V309" s="1" t="s">
        <v>3772</v>
      </c>
      <c r="W309" s="1"/>
      <c r="X309" s="1"/>
      <c r="Y309" s="1"/>
      <c r="Z309" s="1"/>
      <c r="AA309" s="1"/>
      <c r="AB309" s="1"/>
      <c r="AC309" s="56" t="s">
        <v>231</v>
      </c>
      <c r="AD309" s="56" t="s">
        <v>227</v>
      </c>
    </row>
    <row r="310" spans="1:30">
      <c r="A310" s="1">
        <v>2024</v>
      </c>
      <c r="B310" s="1">
        <v>202410</v>
      </c>
      <c r="C310" s="1">
        <v>202416837</v>
      </c>
      <c r="D310" s="1" t="s">
        <v>3798</v>
      </c>
      <c r="E310" s="1" t="s">
        <v>3799</v>
      </c>
      <c r="F310" s="1" t="s">
        <v>1454</v>
      </c>
      <c r="G310" s="53" t="str">
        <f>_xlfn.XLOOKUP(Tabla2[[#This Row],[Universidad]],Conversiones!$B:$B,Conversiones!$C:$C)</f>
        <v>HEC Paris</v>
      </c>
      <c r="H310" s="53" t="str">
        <f>_xlfn.XLOOKUP(Tabla2[[#This Row],[Universidad KPIs]],Conversiones!$C:$C,Conversiones!$E:$E)</f>
        <v>Específico</v>
      </c>
      <c r="I310" s="1" t="s">
        <v>41</v>
      </c>
      <c r="J310" s="1" t="s">
        <v>250</v>
      </c>
      <c r="K310" s="1" t="s">
        <v>3800</v>
      </c>
      <c r="L310" s="1" t="s">
        <v>3801</v>
      </c>
      <c r="M310" s="1" t="s">
        <v>213</v>
      </c>
      <c r="N310" s="1" t="s">
        <v>3626</v>
      </c>
      <c r="O310" s="54"/>
      <c r="P310" s="1">
        <v>1</v>
      </c>
      <c r="Q310" s="1" t="s">
        <v>2609</v>
      </c>
      <c r="R310" s="1" t="s">
        <v>2307</v>
      </c>
      <c r="S310" s="1" t="s">
        <v>2456</v>
      </c>
      <c r="T310" s="1" t="s">
        <v>2309</v>
      </c>
      <c r="U310" s="1" t="s">
        <v>3757</v>
      </c>
      <c r="V310" s="1"/>
      <c r="W310" s="1"/>
      <c r="X310" s="1"/>
      <c r="Y310" s="1"/>
      <c r="Z310" s="1"/>
      <c r="AA310" s="1"/>
      <c r="AB310" s="1"/>
      <c r="AC310" s="56" t="s">
        <v>216</v>
      </c>
      <c r="AD310" s="82" t="s">
        <v>234</v>
      </c>
    </row>
    <row r="311" spans="1:30">
      <c r="A311" s="1">
        <v>2024</v>
      </c>
      <c r="B311" s="1">
        <v>202410</v>
      </c>
      <c r="C311" s="1">
        <v>202416924</v>
      </c>
      <c r="D311" s="1" t="s">
        <v>3802</v>
      </c>
      <c r="E311" s="1" t="s">
        <v>3803</v>
      </c>
      <c r="F311" s="1" t="s">
        <v>1454</v>
      </c>
      <c r="G311" s="53" t="str">
        <f>_xlfn.XLOOKUP(Tabla2[[#This Row],[Universidad]],Conversiones!$B:$B,Conversiones!$C:$C)</f>
        <v>HEC Paris</v>
      </c>
      <c r="H311" s="53" t="str">
        <f>_xlfn.XLOOKUP(Tabla2[[#This Row],[Universidad KPIs]],Conversiones!$C:$C,Conversiones!$E:$E)</f>
        <v>Específico</v>
      </c>
      <c r="I311" s="1" t="s">
        <v>41</v>
      </c>
      <c r="J311" s="1" t="s">
        <v>250</v>
      </c>
      <c r="K311" s="1" t="s">
        <v>3804</v>
      </c>
      <c r="L311" s="1" t="s">
        <v>3805</v>
      </c>
      <c r="M311" s="1" t="s">
        <v>213</v>
      </c>
      <c r="N311" s="1" t="s">
        <v>3626</v>
      </c>
      <c r="O311" s="54"/>
      <c r="P311" s="1">
        <v>1</v>
      </c>
      <c r="Q311" s="1" t="s">
        <v>2609</v>
      </c>
      <c r="R311" s="1" t="s">
        <v>2307</v>
      </c>
      <c r="S311" s="1" t="s">
        <v>2456</v>
      </c>
      <c r="T311" s="1" t="s">
        <v>2309</v>
      </c>
      <c r="U311" s="1" t="s">
        <v>3757</v>
      </c>
      <c r="V311" s="1"/>
      <c r="W311" s="1"/>
      <c r="X311" s="1"/>
      <c r="Y311" s="1"/>
      <c r="Z311" s="1"/>
      <c r="AA311" s="1"/>
      <c r="AB311" s="1"/>
      <c r="AC311" s="56" t="s">
        <v>216</v>
      </c>
      <c r="AD311" s="82" t="s">
        <v>234</v>
      </c>
    </row>
    <row r="312" spans="1:30">
      <c r="A312" s="1">
        <v>2024</v>
      </c>
      <c r="B312" s="1">
        <v>202410</v>
      </c>
      <c r="C312" s="1">
        <v>202416891</v>
      </c>
      <c r="D312" s="1" t="s">
        <v>3806</v>
      </c>
      <c r="E312" s="1" t="s">
        <v>3807</v>
      </c>
      <c r="F312" s="1" t="s">
        <v>1454</v>
      </c>
      <c r="G312" s="53" t="str">
        <f>_xlfn.XLOOKUP(Tabla2[[#This Row],[Universidad]],Conversiones!$B:$B,Conversiones!$C:$C)</f>
        <v>HEC Paris</v>
      </c>
      <c r="H312" s="53" t="str">
        <f>_xlfn.XLOOKUP(Tabla2[[#This Row],[Universidad KPIs]],Conversiones!$C:$C,Conversiones!$E:$E)</f>
        <v>Específico</v>
      </c>
      <c r="I312" s="1" t="s">
        <v>41</v>
      </c>
      <c r="J312" s="1" t="s">
        <v>250</v>
      </c>
      <c r="K312" s="1" t="s">
        <v>3808</v>
      </c>
      <c r="L312" s="1" t="s">
        <v>3809</v>
      </c>
      <c r="M312" s="1" t="s">
        <v>213</v>
      </c>
      <c r="N312" s="1" t="s">
        <v>3626</v>
      </c>
      <c r="O312" s="54"/>
      <c r="P312" s="1">
        <v>1</v>
      </c>
      <c r="Q312" s="1" t="s">
        <v>2609</v>
      </c>
      <c r="R312" s="1" t="s">
        <v>2307</v>
      </c>
      <c r="S312" s="1" t="s">
        <v>2456</v>
      </c>
      <c r="T312" s="1" t="s">
        <v>2309</v>
      </c>
      <c r="U312" s="1" t="s">
        <v>3757</v>
      </c>
      <c r="V312" s="1"/>
      <c r="W312" s="1"/>
      <c r="X312" s="1"/>
      <c r="Y312" s="1"/>
      <c r="Z312" s="1"/>
      <c r="AA312" s="1"/>
      <c r="AB312" s="1"/>
      <c r="AC312" s="56" t="s">
        <v>216</v>
      </c>
      <c r="AD312" s="82" t="s">
        <v>234</v>
      </c>
    </row>
    <row r="313" spans="1:30">
      <c r="A313" s="1">
        <v>2024</v>
      </c>
      <c r="B313" s="1">
        <v>202420</v>
      </c>
      <c r="C313" s="1">
        <v>202424820</v>
      </c>
      <c r="D313" s="1" t="s">
        <v>3810</v>
      </c>
      <c r="E313" s="1" t="s">
        <v>3811</v>
      </c>
      <c r="F313" s="1" t="s">
        <v>914</v>
      </c>
      <c r="G313" s="53" t="str">
        <f>_xlfn.XLOOKUP(Tabla2[[#This Row],[Universidad]],Conversiones!$B:$B,Conversiones!$C:$C)</f>
        <v>Universidad Jean Moulin Lyon 3</v>
      </c>
      <c r="H313" s="53" t="str">
        <f>_xlfn.XLOOKUP(Tabla2[[#This Row],[Universidad KPIs]],Conversiones!$C:$C,Conversiones!$E:$E)</f>
        <v>General</v>
      </c>
      <c r="I313" s="1" t="s">
        <v>41</v>
      </c>
      <c r="J313" s="1" t="s">
        <v>250</v>
      </c>
      <c r="K313" s="1" t="s">
        <v>3812</v>
      </c>
      <c r="L313" s="1" t="s">
        <v>3813</v>
      </c>
      <c r="M313" s="1" t="s">
        <v>213</v>
      </c>
      <c r="N313" s="1" t="s">
        <v>3626</v>
      </c>
      <c r="O313" s="54"/>
      <c r="P313" s="1"/>
      <c r="Q313" s="1" t="s">
        <v>2428</v>
      </c>
      <c r="R313" s="1" t="s">
        <v>3814</v>
      </c>
      <c r="S313" s="1" t="s">
        <v>3815</v>
      </c>
      <c r="T313" s="1" t="s">
        <v>3050</v>
      </c>
      <c r="U313" s="1" t="s">
        <v>3816</v>
      </c>
      <c r="V313" s="1"/>
      <c r="W313" s="1"/>
      <c r="X313" s="1"/>
      <c r="Y313" s="1"/>
      <c r="Z313" s="1"/>
      <c r="AA313" s="1"/>
      <c r="AB313" s="1"/>
      <c r="AC313" s="56" t="s">
        <v>230</v>
      </c>
      <c r="AD313" s="82" t="s">
        <v>227</v>
      </c>
    </row>
    <row r="314" spans="1:30">
      <c r="A314" s="1">
        <v>2024</v>
      </c>
      <c r="B314" s="1">
        <v>202420</v>
      </c>
      <c r="C314" s="1">
        <v>202424839</v>
      </c>
      <c r="D314" s="1" t="s">
        <v>3817</v>
      </c>
      <c r="E314" s="1" t="s">
        <v>3818</v>
      </c>
      <c r="F314" s="1" t="s">
        <v>86</v>
      </c>
      <c r="G314" s="53" t="str">
        <f>_xlfn.XLOOKUP(Tabla2[[#This Row],[Universidad]],Conversiones!$B:$B,Conversiones!$C:$C)</f>
        <v>Politecnico di Milano</v>
      </c>
      <c r="H314" s="53" t="str">
        <f>_xlfn.XLOOKUP(Tabla2[[#This Row],[Universidad KPIs]],Conversiones!$C:$C,Conversiones!$E:$E)</f>
        <v>Específico</v>
      </c>
      <c r="I314" s="1" t="s">
        <v>87</v>
      </c>
      <c r="J314" s="1" t="s">
        <v>250</v>
      </c>
      <c r="K314" s="1" t="s">
        <v>3819</v>
      </c>
      <c r="L314" s="1" t="s">
        <v>3820</v>
      </c>
      <c r="M314" s="1" t="s">
        <v>213</v>
      </c>
      <c r="N314" s="1" t="s">
        <v>3626</v>
      </c>
      <c r="O314" s="54"/>
      <c r="P314" s="1"/>
      <c r="Q314" s="1" t="s">
        <v>3199</v>
      </c>
      <c r="R314" s="1" t="s">
        <v>2355</v>
      </c>
      <c r="S314" s="1" t="s">
        <v>2807</v>
      </c>
      <c r="T314" s="1" t="s">
        <v>2869</v>
      </c>
      <c r="U314" s="1" t="s">
        <v>2696</v>
      </c>
      <c r="V314" s="1"/>
      <c r="W314" s="1"/>
      <c r="X314" s="1"/>
      <c r="Y314" s="1"/>
      <c r="Z314" s="1"/>
      <c r="AA314" s="1"/>
      <c r="AB314" s="1"/>
      <c r="AC314" s="56" t="s">
        <v>221</v>
      </c>
      <c r="AD314" s="82" t="s">
        <v>227</v>
      </c>
    </row>
    <row r="315" spans="1:30">
      <c r="A315" s="1">
        <v>2024</v>
      </c>
      <c r="B315" s="1">
        <v>202420</v>
      </c>
      <c r="C315" s="1">
        <v>202424600</v>
      </c>
      <c r="D315" s="1" t="s">
        <v>3821</v>
      </c>
      <c r="E315" s="1" t="s">
        <v>3822</v>
      </c>
      <c r="F315" s="1" t="s">
        <v>176</v>
      </c>
      <c r="G315" s="53" t="str">
        <f>_xlfn.XLOOKUP(Tabla2[[#This Row],[Universidad]],Conversiones!$B:$B,Conversiones!$C:$C)</f>
        <v>Erasmus Universiteit Rotterdam</v>
      </c>
      <c r="H315" s="53" t="str">
        <f>_xlfn.XLOOKUP(Tabla2[[#This Row],[Universidad KPIs]],Conversiones!$C:$C,Conversiones!$E:$E)</f>
        <v>General</v>
      </c>
      <c r="I315" s="1" t="s">
        <v>79</v>
      </c>
      <c r="J315" s="1" t="s">
        <v>250</v>
      </c>
      <c r="K315" s="1" t="s">
        <v>3823</v>
      </c>
      <c r="L315" s="1" t="s">
        <v>3824</v>
      </c>
      <c r="M315" s="1" t="s">
        <v>213</v>
      </c>
      <c r="N315" s="1" t="s">
        <v>3626</v>
      </c>
      <c r="O315" s="54"/>
      <c r="P315" s="1"/>
      <c r="Q315" s="1" t="s">
        <v>2370</v>
      </c>
      <c r="R315" s="1" t="s">
        <v>2480</v>
      </c>
      <c r="S315" s="1" t="s">
        <v>2406</v>
      </c>
      <c r="T315" s="1" t="s">
        <v>3199</v>
      </c>
      <c r="U315" s="1" t="s">
        <v>2997</v>
      </c>
      <c r="V315" s="1" t="s">
        <v>3825</v>
      </c>
      <c r="W315" s="1" t="s">
        <v>3826</v>
      </c>
      <c r="X315" s="1"/>
      <c r="Y315" s="1"/>
      <c r="Z315" s="1"/>
      <c r="AA315" s="1"/>
      <c r="AB315" s="1"/>
      <c r="AC315" s="56" t="s">
        <v>216</v>
      </c>
      <c r="AD315" s="82" t="s">
        <v>234</v>
      </c>
    </row>
    <row r="316" spans="1:30">
      <c r="A316" s="1">
        <v>2024</v>
      </c>
      <c r="B316" s="1">
        <v>202420</v>
      </c>
      <c r="C316" s="1">
        <v>202424607</v>
      </c>
      <c r="D316" s="1" t="s">
        <v>3827</v>
      </c>
      <c r="E316" s="1" t="s">
        <v>3828</v>
      </c>
      <c r="F316" s="1" t="s">
        <v>86</v>
      </c>
      <c r="G316" s="53" t="str">
        <f>_xlfn.XLOOKUP(Tabla2[[#This Row],[Universidad]],Conversiones!$B:$B,Conversiones!$C:$C)</f>
        <v>Politecnico di Milano</v>
      </c>
      <c r="H316" s="53" t="str">
        <f>_xlfn.XLOOKUP(Tabla2[[#This Row],[Universidad KPIs]],Conversiones!$C:$C,Conversiones!$E:$E)</f>
        <v>Específico</v>
      </c>
      <c r="I316" s="1" t="s">
        <v>87</v>
      </c>
      <c r="J316" s="1" t="s">
        <v>250</v>
      </c>
      <c r="K316" s="1" t="s">
        <v>3829</v>
      </c>
      <c r="L316" s="1" t="s">
        <v>3830</v>
      </c>
      <c r="M316" s="1" t="s">
        <v>213</v>
      </c>
      <c r="N316" s="1" t="s">
        <v>3626</v>
      </c>
      <c r="O316" s="54"/>
      <c r="P316" s="1"/>
      <c r="Q316" s="1" t="s">
        <v>2525</v>
      </c>
      <c r="R316" s="1" t="s">
        <v>2407</v>
      </c>
      <c r="S316" s="1" t="s">
        <v>2370</v>
      </c>
      <c r="T316" s="1" t="s">
        <v>2321</v>
      </c>
      <c r="U316" s="1" t="s">
        <v>3199</v>
      </c>
      <c r="V316" s="1"/>
      <c r="W316" s="1"/>
      <c r="X316" s="1"/>
      <c r="Y316" s="1"/>
      <c r="Z316" s="1"/>
      <c r="AA316" s="1"/>
      <c r="AB316" s="1"/>
      <c r="AC316" s="56" t="s">
        <v>216</v>
      </c>
      <c r="AD316" s="82" t="s">
        <v>227</v>
      </c>
    </row>
    <row r="317" spans="1:30">
      <c r="A317" s="1">
        <v>2024</v>
      </c>
      <c r="B317" s="1">
        <v>202420</v>
      </c>
      <c r="C317" s="1">
        <v>202424631</v>
      </c>
      <c r="D317" s="1" t="s">
        <v>3831</v>
      </c>
      <c r="E317" s="1" t="s">
        <v>3832</v>
      </c>
      <c r="F317" s="1" t="s">
        <v>78</v>
      </c>
      <c r="G317" s="53" t="str">
        <f>_xlfn.XLOOKUP(Tabla2[[#This Row],[Universidad]],Conversiones!$B:$B,Conversiones!$C:$C)</f>
        <v>Maastricht University</v>
      </c>
      <c r="H317" s="53" t="str">
        <f>_xlfn.XLOOKUP(Tabla2[[#This Row],[Universidad KPIs]],Conversiones!$C:$C,Conversiones!$E:$E)</f>
        <v>Específico</v>
      </c>
      <c r="I317" s="1" t="s">
        <v>79</v>
      </c>
      <c r="J317" s="1" t="s">
        <v>250</v>
      </c>
      <c r="K317" s="1" t="s">
        <v>3833</v>
      </c>
      <c r="L317" s="1" t="s">
        <v>3834</v>
      </c>
      <c r="M317" s="1" t="s">
        <v>213</v>
      </c>
      <c r="N317" s="1" t="s">
        <v>3626</v>
      </c>
      <c r="O317" s="54"/>
      <c r="P317" s="1"/>
      <c r="Q317" s="1" t="s">
        <v>2525</v>
      </c>
      <c r="R317" s="1" t="s">
        <v>2370</v>
      </c>
      <c r="S317" s="1" t="s">
        <v>2307</v>
      </c>
      <c r="T317" s="1" t="s">
        <v>2321</v>
      </c>
      <c r="U317" s="1" t="s">
        <v>3835</v>
      </c>
      <c r="V317" s="1" t="s">
        <v>3836</v>
      </c>
      <c r="W317" s="1"/>
      <c r="X317" s="1"/>
      <c r="Y317" s="1"/>
      <c r="Z317" s="1"/>
      <c r="AA317" s="1"/>
      <c r="AB317" s="1"/>
      <c r="AC317" s="56" t="s">
        <v>216</v>
      </c>
      <c r="AD317" s="82" t="s">
        <v>234</v>
      </c>
    </row>
    <row r="318" spans="1:30">
      <c r="A318" s="1">
        <v>2024</v>
      </c>
      <c r="B318" s="1">
        <v>202420</v>
      </c>
      <c r="C318" s="1">
        <v>202424612</v>
      </c>
      <c r="D318" s="1" t="s">
        <v>3837</v>
      </c>
      <c r="E318" s="1" t="s">
        <v>3838</v>
      </c>
      <c r="F318" s="1" t="s">
        <v>781</v>
      </c>
      <c r="G318" s="53" t="str">
        <f>_xlfn.XLOOKUP(Tabla2[[#This Row],[Universidad]],Conversiones!$B:$B,Conversiones!$C:$C)</f>
        <v>ITESM-EGADE -Instituto tecnológico y de estudios superiores de Monterrey</v>
      </c>
      <c r="H318" s="53" t="str">
        <f>_xlfn.XLOOKUP(Tabla2[[#This Row],[Universidad KPIs]],Conversiones!$C:$C,Conversiones!$E:$E)</f>
        <v>Específico</v>
      </c>
      <c r="I318" s="1" t="s">
        <v>71</v>
      </c>
      <c r="J318" s="1" t="s">
        <v>260</v>
      </c>
      <c r="K318" s="1" t="s">
        <v>3839</v>
      </c>
      <c r="L318" s="1" t="s">
        <v>3840</v>
      </c>
      <c r="M318" s="1" t="s">
        <v>213</v>
      </c>
      <c r="N318" s="1" t="s">
        <v>3626</v>
      </c>
      <c r="O318" s="54"/>
      <c r="P318" s="1"/>
      <c r="Q318" s="1" t="s">
        <v>2388</v>
      </c>
      <c r="R318" s="1" t="s">
        <v>2328</v>
      </c>
      <c r="S318" s="1" t="s">
        <v>2407</v>
      </c>
      <c r="T318" s="1" t="s">
        <v>2300</v>
      </c>
      <c r="U318" s="1" t="s">
        <v>2475</v>
      </c>
      <c r="V318" s="1" t="s">
        <v>2329</v>
      </c>
      <c r="W318" s="1"/>
      <c r="X318" s="1"/>
      <c r="Y318" s="1"/>
      <c r="Z318" s="1"/>
      <c r="AA318" s="1"/>
      <c r="AB318" s="1"/>
      <c r="AC318" s="56" t="s">
        <v>216</v>
      </c>
      <c r="AD318" s="82" t="s">
        <v>234</v>
      </c>
    </row>
    <row r="319" spans="1:30">
      <c r="A319" s="1">
        <v>2024</v>
      </c>
      <c r="B319" s="1">
        <v>202420</v>
      </c>
      <c r="C319" s="1">
        <v>202424635</v>
      </c>
      <c r="D319" s="1" t="s">
        <v>3841</v>
      </c>
      <c r="E319" s="1" t="s">
        <v>3842</v>
      </c>
      <c r="F319" s="1" t="s">
        <v>1517</v>
      </c>
      <c r="G319" s="53" t="str">
        <f>_xlfn.XLOOKUP(Tabla2[[#This Row],[Universidad]],Conversiones!$B:$B,Conversiones!$C:$C)</f>
        <v>NCCU- National Chengchi University</v>
      </c>
      <c r="H319" s="53" t="str">
        <f>_xlfn.XLOOKUP(Tabla2[[#This Row],[Universidad KPIs]],Conversiones!$C:$C,Conversiones!$E:$E)</f>
        <v>Específico</v>
      </c>
      <c r="I319" s="1" t="s">
        <v>82</v>
      </c>
      <c r="J319" s="1" t="s">
        <v>537</v>
      </c>
      <c r="K319" s="1" t="s">
        <v>3843</v>
      </c>
      <c r="L319" s="1" t="s">
        <v>3844</v>
      </c>
      <c r="M319" s="1" t="s">
        <v>213</v>
      </c>
      <c r="N319" s="1" t="s">
        <v>3626</v>
      </c>
      <c r="O319" s="54"/>
      <c r="P319" s="1"/>
      <c r="Q319" s="1" t="s">
        <v>2300</v>
      </c>
      <c r="R319" s="1" t="s">
        <v>3845</v>
      </c>
      <c r="S319" s="1" t="s">
        <v>2382</v>
      </c>
      <c r="T319" s="1"/>
      <c r="U319" s="1"/>
      <c r="V319" s="1"/>
      <c r="W319" s="1"/>
      <c r="X319" s="1"/>
      <c r="Y319" s="1"/>
      <c r="Z319" s="1"/>
      <c r="AA319" s="1"/>
      <c r="AB319" s="1"/>
      <c r="AC319" s="56" t="s">
        <v>216</v>
      </c>
      <c r="AD319" s="82" t="s">
        <v>234</v>
      </c>
    </row>
    <row r="320" spans="1:30">
      <c r="A320" s="1">
        <v>2024</v>
      </c>
      <c r="B320" s="1">
        <v>202420</v>
      </c>
      <c r="C320" s="1">
        <v>202424803</v>
      </c>
      <c r="D320" s="1" t="s">
        <v>3846</v>
      </c>
      <c r="E320" s="1" t="s">
        <v>3847</v>
      </c>
      <c r="F320" s="1" t="s">
        <v>78</v>
      </c>
      <c r="G320" s="53" t="str">
        <f>_xlfn.XLOOKUP(Tabla2[[#This Row],[Universidad]],Conversiones!$B:$B,Conversiones!$C:$C)</f>
        <v>Maastricht University</v>
      </c>
      <c r="H320" s="53" t="str">
        <f>_xlfn.XLOOKUP(Tabla2[[#This Row],[Universidad KPIs]],Conversiones!$C:$C,Conversiones!$E:$E)</f>
        <v>Específico</v>
      </c>
      <c r="I320" s="1" t="s">
        <v>79</v>
      </c>
      <c r="J320" s="1" t="s">
        <v>250</v>
      </c>
      <c r="K320" s="1" t="s">
        <v>3848</v>
      </c>
      <c r="L320" s="1" t="s">
        <v>3849</v>
      </c>
      <c r="M320" s="1" t="s">
        <v>213</v>
      </c>
      <c r="N320" s="1" t="s">
        <v>3626</v>
      </c>
      <c r="O320" s="54"/>
      <c r="P320" s="1"/>
      <c r="Q320" s="1" t="s">
        <v>2300</v>
      </c>
      <c r="R320" s="1" t="s">
        <v>2307</v>
      </c>
      <c r="S320" s="1" t="s">
        <v>2647</v>
      </c>
      <c r="T320" s="1" t="s">
        <v>2406</v>
      </c>
      <c r="U320" s="1" t="s">
        <v>3199</v>
      </c>
      <c r="V320" s="1" t="s">
        <v>2394</v>
      </c>
      <c r="W320" s="1"/>
      <c r="X320" s="1"/>
      <c r="Y320" s="1"/>
      <c r="Z320" s="1"/>
      <c r="AA320" s="1"/>
      <c r="AB320" s="1"/>
      <c r="AC320" s="56" t="s">
        <v>216</v>
      </c>
      <c r="AD320" s="82" t="s">
        <v>234</v>
      </c>
    </row>
    <row r="321" spans="1:30">
      <c r="A321" s="1">
        <v>2024</v>
      </c>
      <c r="B321" s="1">
        <v>202420</v>
      </c>
      <c r="C321" s="1">
        <v>202424875</v>
      </c>
      <c r="D321" s="1" t="s">
        <v>3850</v>
      </c>
      <c r="E321" s="1" t="s">
        <v>3851</v>
      </c>
      <c r="F321" s="1" t="s">
        <v>619</v>
      </c>
      <c r="G321" s="53" t="str">
        <f>_xlfn.XLOOKUP(Tabla2[[#This Row],[Universidad]],Conversiones!$B:$B,Conversiones!$C:$C)</f>
        <v>Grenoble. École de Management</v>
      </c>
      <c r="H321" s="53" t="str">
        <f>_xlfn.XLOOKUP(Tabla2[[#This Row],[Universidad KPIs]],Conversiones!$C:$C,Conversiones!$E:$E)</f>
        <v>Específico</v>
      </c>
      <c r="I321" s="1" t="s">
        <v>41</v>
      </c>
      <c r="J321" s="1" t="s">
        <v>250</v>
      </c>
      <c r="K321" s="1" t="s">
        <v>3852</v>
      </c>
      <c r="L321" s="1" t="s">
        <v>3853</v>
      </c>
      <c r="M321" s="1" t="s">
        <v>213</v>
      </c>
      <c r="N321" s="1" t="s">
        <v>3626</v>
      </c>
      <c r="O321" s="54"/>
      <c r="P321" s="1"/>
      <c r="Q321" s="1" t="s">
        <v>2609</v>
      </c>
      <c r="R321" s="1" t="s">
        <v>2328</v>
      </c>
      <c r="S321" s="1" t="s">
        <v>2300</v>
      </c>
      <c r="T321" s="1" t="s">
        <v>2600</v>
      </c>
      <c r="U321" s="1" t="s">
        <v>2309</v>
      </c>
      <c r="V321" s="1"/>
      <c r="W321" s="1"/>
      <c r="X321" s="1"/>
      <c r="Y321" s="1"/>
      <c r="Z321" s="1"/>
      <c r="AA321" s="1"/>
      <c r="AB321" s="1"/>
      <c r="AC321" s="56" t="s">
        <v>216</v>
      </c>
      <c r="AD321" s="82" t="s">
        <v>227</v>
      </c>
    </row>
    <row r="322" spans="1:30">
      <c r="A322" s="1">
        <v>2024</v>
      </c>
      <c r="B322" s="1">
        <v>202420</v>
      </c>
      <c r="C322" s="1">
        <v>202424816</v>
      </c>
      <c r="D322" s="1" t="s">
        <v>3854</v>
      </c>
      <c r="E322" s="1" t="s">
        <v>3855</v>
      </c>
      <c r="F322" s="1" t="s">
        <v>914</v>
      </c>
      <c r="G322" s="53" t="str">
        <f>_xlfn.XLOOKUP(Tabla2[[#This Row],[Universidad]],Conversiones!$B:$B,Conversiones!$C:$C)</f>
        <v>Universidad Jean Moulin Lyon 3</v>
      </c>
      <c r="H322" s="53" t="str">
        <f>_xlfn.XLOOKUP(Tabla2[[#This Row],[Universidad KPIs]],Conversiones!$C:$C,Conversiones!$E:$E)</f>
        <v>General</v>
      </c>
      <c r="I322" s="1" t="s">
        <v>41</v>
      </c>
      <c r="J322" s="1" t="s">
        <v>250</v>
      </c>
      <c r="K322" s="1" t="s">
        <v>3856</v>
      </c>
      <c r="L322" s="1" t="s">
        <v>3857</v>
      </c>
      <c r="M322" s="1" t="s">
        <v>213</v>
      </c>
      <c r="N322" s="1" t="s">
        <v>3626</v>
      </c>
      <c r="O322" s="54"/>
      <c r="P322" s="1"/>
      <c r="Q322" s="1" t="s">
        <v>2428</v>
      </c>
      <c r="R322" s="1" t="s">
        <v>3814</v>
      </c>
      <c r="S322" s="1" t="s">
        <v>2464</v>
      </c>
      <c r="T322" s="1" t="s">
        <v>3815</v>
      </c>
      <c r="U322" s="1" t="s">
        <v>3050</v>
      </c>
      <c r="V322" s="1" t="s">
        <v>3816</v>
      </c>
      <c r="W322" s="1"/>
      <c r="X322" s="1"/>
      <c r="Y322" s="1"/>
      <c r="Z322" s="1"/>
      <c r="AA322" s="1"/>
      <c r="AB322" s="1"/>
      <c r="AC322" s="56" t="s">
        <v>230</v>
      </c>
      <c r="AD322" s="82" t="s">
        <v>227</v>
      </c>
    </row>
    <row r="323" spans="1:30">
      <c r="A323" s="1">
        <v>2024</v>
      </c>
      <c r="B323" s="1">
        <v>202420</v>
      </c>
      <c r="C323" s="1">
        <v>202424836</v>
      </c>
      <c r="D323" s="1" t="s">
        <v>3858</v>
      </c>
      <c r="E323" s="1" t="s">
        <v>3859</v>
      </c>
      <c r="F323" s="1" t="s">
        <v>325</v>
      </c>
      <c r="G323" s="53" t="str">
        <f>_xlfn.XLOOKUP(Tabla2[[#This Row],[Universidad]],Conversiones!$B:$B,Conversiones!$C:$C)</f>
        <v>Università Commerciale Luigi Bocconi</v>
      </c>
      <c r="H323" s="53" t="str">
        <f>_xlfn.XLOOKUP(Tabla2[[#This Row],[Universidad KPIs]],Conversiones!$C:$C,Conversiones!$E:$E)</f>
        <v>Específico</v>
      </c>
      <c r="I323" s="1" t="s">
        <v>87</v>
      </c>
      <c r="J323" s="1" t="s">
        <v>250</v>
      </c>
      <c r="K323" s="1" t="s">
        <v>3860</v>
      </c>
      <c r="L323" s="1" t="s">
        <v>3861</v>
      </c>
      <c r="M323" s="1" t="s">
        <v>213</v>
      </c>
      <c r="N323" s="1" t="s">
        <v>3626</v>
      </c>
      <c r="O323" s="54"/>
      <c r="P323" s="1"/>
      <c r="Q323" s="1" t="s">
        <v>2328</v>
      </c>
      <c r="R323" s="1" t="s">
        <v>3862</v>
      </c>
      <c r="S323" s="1" t="s">
        <v>2394</v>
      </c>
      <c r="T323" s="1" t="s">
        <v>3863</v>
      </c>
      <c r="U323" s="1"/>
      <c r="V323" s="1"/>
      <c r="W323" s="1"/>
      <c r="X323" s="1"/>
      <c r="Y323" s="1"/>
      <c r="Z323" s="1"/>
      <c r="AA323" s="1"/>
      <c r="AB323" s="1"/>
      <c r="AC323" s="56" t="s">
        <v>220</v>
      </c>
      <c r="AD323" s="82" t="s">
        <v>227</v>
      </c>
    </row>
    <row r="324" spans="1:30">
      <c r="A324" s="1">
        <v>2024</v>
      </c>
      <c r="B324" s="1">
        <v>202420</v>
      </c>
      <c r="C324" s="1">
        <v>202424893</v>
      </c>
      <c r="D324" s="1" t="s">
        <v>3864</v>
      </c>
      <c r="E324" s="1" t="s">
        <v>3865</v>
      </c>
      <c r="F324" s="1" t="s">
        <v>289</v>
      </c>
      <c r="G324" s="53" t="str">
        <f>_xlfn.XLOOKUP(Tabla2[[#This Row],[Universidad]],Conversiones!$B:$B,Conversiones!$C:$C)</f>
        <v>ESADE</v>
      </c>
      <c r="H324" s="53" t="str">
        <f>_xlfn.XLOOKUP(Tabla2[[#This Row],[Universidad KPIs]],Conversiones!$C:$C,Conversiones!$E:$E)</f>
        <v>Específico</v>
      </c>
      <c r="I324" s="1" t="s">
        <v>53</v>
      </c>
      <c r="J324" s="1" t="s">
        <v>250</v>
      </c>
      <c r="K324" s="1" t="s">
        <v>3866</v>
      </c>
      <c r="L324" s="1" t="s">
        <v>3867</v>
      </c>
      <c r="M324" s="1" t="s">
        <v>213</v>
      </c>
      <c r="N324" s="1" t="s">
        <v>3626</v>
      </c>
      <c r="O324" s="54"/>
      <c r="P324" s="1"/>
      <c r="Q324" s="1" t="s">
        <v>2388</v>
      </c>
      <c r="R324" s="1" t="s">
        <v>2412</v>
      </c>
      <c r="S324" s="1" t="s">
        <v>2406</v>
      </c>
      <c r="T324" s="1" t="s">
        <v>3199</v>
      </c>
      <c r="U324" s="1" t="s">
        <v>3422</v>
      </c>
      <c r="V324" s="1" t="s">
        <v>3868</v>
      </c>
      <c r="W324" s="1"/>
      <c r="X324" s="1"/>
      <c r="Y324" s="1"/>
      <c r="Z324" s="1"/>
      <c r="AA324" s="1"/>
      <c r="AB324" s="1"/>
      <c r="AC324" s="56" t="s">
        <v>216</v>
      </c>
      <c r="AD324" s="82" t="s">
        <v>234</v>
      </c>
    </row>
    <row r="325" spans="1:30">
      <c r="A325" s="1">
        <v>2024</v>
      </c>
      <c r="B325" s="1">
        <v>202420</v>
      </c>
      <c r="C325" s="1">
        <v>202424832</v>
      </c>
      <c r="D325" s="1" t="s">
        <v>3869</v>
      </c>
      <c r="E325" s="1" t="s">
        <v>3870</v>
      </c>
      <c r="F325" s="1" t="s">
        <v>78</v>
      </c>
      <c r="G325" s="53" t="str">
        <f>_xlfn.XLOOKUP(Tabla2[[#This Row],[Universidad]],Conversiones!$B:$B,Conversiones!$C:$C)</f>
        <v>Maastricht University</v>
      </c>
      <c r="H325" s="53" t="str">
        <f>_xlfn.XLOOKUP(Tabla2[[#This Row],[Universidad KPIs]],Conversiones!$C:$C,Conversiones!$E:$E)</f>
        <v>Específico</v>
      </c>
      <c r="I325" s="1" t="s">
        <v>79</v>
      </c>
      <c r="J325" s="1" t="s">
        <v>250</v>
      </c>
      <c r="K325" s="1" t="s">
        <v>3871</v>
      </c>
      <c r="L325" s="1" t="s">
        <v>3872</v>
      </c>
      <c r="M325" s="1" t="s">
        <v>213</v>
      </c>
      <c r="N325" s="1" t="s">
        <v>3626</v>
      </c>
      <c r="O325" s="54"/>
      <c r="P325" s="1"/>
      <c r="Q325" s="1" t="s">
        <v>3873</v>
      </c>
      <c r="R325" s="1" t="s">
        <v>2963</v>
      </c>
      <c r="S325" s="1" t="s">
        <v>2708</v>
      </c>
      <c r="T325" s="1" t="s">
        <v>2435</v>
      </c>
      <c r="U325" s="1" t="s">
        <v>2463</v>
      </c>
      <c r="V325" s="1" t="s">
        <v>3874</v>
      </c>
      <c r="W325" s="1"/>
      <c r="X325" s="1"/>
      <c r="Y325" s="1"/>
      <c r="Z325" s="1"/>
      <c r="AA325" s="1"/>
      <c r="AB325" s="1"/>
      <c r="AC325" s="56" t="s">
        <v>220</v>
      </c>
      <c r="AD325" s="82" t="s">
        <v>227</v>
      </c>
    </row>
    <row r="326" spans="1:30">
      <c r="A326" s="1">
        <v>2024</v>
      </c>
      <c r="B326" s="1">
        <v>202420</v>
      </c>
      <c r="C326" s="1">
        <v>202424620</v>
      </c>
      <c r="D326" s="1" t="s">
        <v>3875</v>
      </c>
      <c r="E326" s="1" t="s">
        <v>3876</v>
      </c>
      <c r="F326" s="1" t="s">
        <v>78</v>
      </c>
      <c r="G326" s="53" t="str">
        <f>_xlfn.XLOOKUP(Tabla2[[#This Row],[Universidad]],Conversiones!$B:$B,Conversiones!$C:$C)</f>
        <v>Maastricht University</v>
      </c>
      <c r="H326" s="53" t="str">
        <f>_xlfn.XLOOKUP(Tabla2[[#This Row],[Universidad KPIs]],Conversiones!$C:$C,Conversiones!$E:$E)</f>
        <v>Específico</v>
      </c>
      <c r="I326" s="1" t="s">
        <v>79</v>
      </c>
      <c r="J326" s="1" t="s">
        <v>250</v>
      </c>
      <c r="K326" s="1" t="s">
        <v>3877</v>
      </c>
      <c r="L326" s="1" t="s">
        <v>3878</v>
      </c>
      <c r="M326" s="1" t="s">
        <v>213</v>
      </c>
      <c r="N326" s="1" t="s">
        <v>3626</v>
      </c>
      <c r="O326" s="54"/>
      <c r="P326" s="1"/>
      <c r="Q326" s="1" t="s">
        <v>2300</v>
      </c>
      <c r="R326" s="1" t="s">
        <v>2370</v>
      </c>
      <c r="S326" s="1" t="s">
        <v>2321</v>
      </c>
      <c r="T326" s="1" t="s">
        <v>2647</v>
      </c>
      <c r="U326" s="1" t="s">
        <v>2406</v>
      </c>
      <c r="V326" s="1" t="s">
        <v>2601</v>
      </c>
      <c r="W326" s="1" t="s">
        <v>2997</v>
      </c>
      <c r="X326" s="1"/>
      <c r="Y326" s="1"/>
      <c r="Z326" s="1"/>
      <c r="AA326" s="1"/>
      <c r="AB326" s="1"/>
      <c r="AC326" s="56" t="s">
        <v>216</v>
      </c>
      <c r="AD326" s="82" t="s">
        <v>234</v>
      </c>
    </row>
    <row r="327" spans="1:30">
      <c r="A327" s="1">
        <v>2024</v>
      </c>
      <c r="B327" s="1">
        <v>202420</v>
      </c>
      <c r="C327" s="1">
        <v>202424885</v>
      </c>
      <c r="D327" s="1" t="s">
        <v>3879</v>
      </c>
      <c r="E327" s="1" t="s">
        <v>3880</v>
      </c>
      <c r="F327" s="1" t="s">
        <v>2264</v>
      </c>
      <c r="G327" s="53" t="str">
        <f>_xlfn.XLOOKUP(Tabla2[[#This Row],[Universidad]],Conversiones!$B:$B,Conversiones!$C:$C)</f>
        <v>Université Paris-Dauphine</v>
      </c>
      <c r="H327" s="53" t="str">
        <f>_xlfn.XLOOKUP(Tabla2[[#This Row],[Universidad KPIs]],Conversiones!$C:$C,Conversiones!$E:$E)</f>
        <v>General</v>
      </c>
      <c r="I327" s="1" t="s">
        <v>41</v>
      </c>
      <c r="J327" s="1" t="s">
        <v>250</v>
      </c>
      <c r="K327" s="1" t="s">
        <v>3881</v>
      </c>
      <c r="L327" s="1" t="s">
        <v>3882</v>
      </c>
      <c r="M327" s="1" t="s">
        <v>213</v>
      </c>
      <c r="N327" s="1" t="s">
        <v>3626</v>
      </c>
      <c r="O327" s="54"/>
      <c r="P327" s="1"/>
      <c r="Q327" s="1" t="s">
        <v>2388</v>
      </c>
      <c r="R327" s="1" t="s">
        <v>2328</v>
      </c>
      <c r="S327" s="1" t="s">
        <v>2300</v>
      </c>
      <c r="T327" s="1" t="s">
        <v>2307</v>
      </c>
      <c r="U327" s="1"/>
      <c r="V327" s="1"/>
      <c r="W327" s="1"/>
      <c r="X327" s="1"/>
      <c r="Y327" s="1"/>
      <c r="Z327" s="1"/>
      <c r="AA327" s="1"/>
      <c r="AB327" s="1"/>
      <c r="AC327" s="56" t="s">
        <v>216</v>
      </c>
      <c r="AD327" s="82" t="s">
        <v>234</v>
      </c>
    </row>
    <row r="328" spans="1:30">
      <c r="A328" s="1">
        <v>2024</v>
      </c>
      <c r="B328" s="1">
        <v>202420</v>
      </c>
      <c r="C328" s="1">
        <v>202424591</v>
      </c>
      <c r="D328" s="1" t="s">
        <v>3883</v>
      </c>
      <c r="E328" s="1" t="s">
        <v>3884</v>
      </c>
      <c r="F328" s="1" t="s">
        <v>78</v>
      </c>
      <c r="G328" s="53" t="str">
        <f>_xlfn.XLOOKUP(Tabla2[[#This Row],[Universidad]],Conversiones!$B:$B,Conversiones!$C:$C)</f>
        <v>Maastricht University</v>
      </c>
      <c r="H328" s="53" t="str">
        <f>_xlfn.XLOOKUP(Tabla2[[#This Row],[Universidad KPIs]],Conversiones!$C:$C,Conversiones!$E:$E)</f>
        <v>Específico</v>
      </c>
      <c r="I328" s="1" t="s">
        <v>79</v>
      </c>
      <c r="J328" s="1" t="s">
        <v>250</v>
      </c>
      <c r="K328" s="1" t="s">
        <v>3885</v>
      </c>
      <c r="L328" s="1" t="s">
        <v>3886</v>
      </c>
      <c r="M328" s="1" t="s">
        <v>213</v>
      </c>
      <c r="N328" s="1" t="s">
        <v>3626</v>
      </c>
      <c r="O328" s="54"/>
      <c r="P328" s="1"/>
      <c r="Q328" s="1" t="s">
        <v>2370</v>
      </c>
      <c r="R328" s="1" t="s">
        <v>2307</v>
      </c>
      <c r="S328" s="1" t="s">
        <v>2321</v>
      </c>
      <c r="T328" s="1" t="s">
        <v>2647</v>
      </c>
      <c r="U328" s="1" t="s">
        <v>2601</v>
      </c>
      <c r="V328" s="1" t="s">
        <v>3199</v>
      </c>
      <c r="W328" s="1" t="s">
        <v>2997</v>
      </c>
      <c r="X328" s="1"/>
      <c r="Y328" s="1"/>
      <c r="Z328" s="1"/>
      <c r="AA328" s="1"/>
      <c r="AB328" s="1"/>
      <c r="AC328" s="56" t="s">
        <v>216</v>
      </c>
      <c r="AD328" s="82" t="s">
        <v>234</v>
      </c>
    </row>
    <row r="329" spans="1:30">
      <c r="A329" s="1">
        <v>2024</v>
      </c>
      <c r="B329" s="1">
        <v>202420</v>
      </c>
      <c r="C329" s="1">
        <v>202424624</v>
      </c>
      <c r="D329" s="1" t="s">
        <v>2006</v>
      </c>
      <c r="E329" s="1" t="s">
        <v>3887</v>
      </c>
      <c r="F329" s="1" t="s">
        <v>274</v>
      </c>
      <c r="G329" s="53" t="str">
        <f>_xlfn.XLOOKUP(Tabla2[[#This Row],[Universidad]],Conversiones!$B:$B,Conversiones!$C:$C)</f>
        <v>Catolica Lisbon Business &amp; Economics. Universidade Católica Portuguesa</v>
      </c>
      <c r="H329" s="53" t="str">
        <f>_xlfn.XLOOKUP(Tabla2[[#This Row],[Universidad KPIs]],Conversiones!$C:$C,Conversiones!$E:$E)</f>
        <v>Específico</v>
      </c>
      <c r="I329" s="1" t="s">
        <v>45</v>
      </c>
      <c r="J329" s="1" t="s">
        <v>250</v>
      </c>
      <c r="K329" s="1" t="s">
        <v>3888</v>
      </c>
      <c r="L329" s="1" t="s">
        <v>3889</v>
      </c>
      <c r="M329" s="1" t="s">
        <v>213</v>
      </c>
      <c r="N329" s="1" t="s">
        <v>3626</v>
      </c>
      <c r="O329" s="54"/>
      <c r="P329" s="1"/>
      <c r="Q329" s="1" t="s">
        <v>2388</v>
      </c>
      <c r="R329" s="1" t="s">
        <v>2370</v>
      </c>
      <c r="S329" s="1" t="s">
        <v>2681</v>
      </c>
      <c r="T329" s="1" t="s">
        <v>2307</v>
      </c>
      <c r="U329" s="1" t="s">
        <v>2308</v>
      </c>
      <c r="V329" s="1" t="s">
        <v>2369</v>
      </c>
      <c r="W329" s="1"/>
      <c r="X329" s="1"/>
      <c r="Y329" s="1"/>
      <c r="Z329" s="1"/>
      <c r="AA329" s="1"/>
      <c r="AB329" s="1"/>
      <c r="AC329" s="56" t="s">
        <v>216</v>
      </c>
      <c r="AD329" s="82" t="s">
        <v>234</v>
      </c>
    </row>
    <row r="330" spans="1:30">
      <c r="A330" s="1">
        <v>2024</v>
      </c>
      <c r="B330" s="1">
        <v>202420</v>
      </c>
      <c r="C330" s="1">
        <v>202424825</v>
      </c>
      <c r="D330" s="1" t="s">
        <v>3890</v>
      </c>
      <c r="E330" s="1" t="s">
        <v>3891</v>
      </c>
      <c r="F330" s="1" t="s">
        <v>298</v>
      </c>
      <c r="G330" s="53" t="str">
        <f>_xlfn.XLOOKUP(Tabla2[[#This Row],[Universidad]],Conversiones!$B:$B,Conversiones!$C:$C)</f>
        <v>ESSEC</v>
      </c>
      <c r="H330" s="53" t="str">
        <f>_xlfn.XLOOKUP(Tabla2[[#This Row],[Universidad KPIs]],Conversiones!$C:$C,Conversiones!$E:$E)</f>
        <v>Específico</v>
      </c>
      <c r="I330" s="1" t="s">
        <v>41</v>
      </c>
      <c r="J330" s="1" t="s">
        <v>250</v>
      </c>
      <c r="K330" s="1" t="s">
        <v>3892</v>
      </c>
      <c r="L330" s="1" t="s">
        <v>3893</v>
      </c>
      <c r="M330" s="1" t="s">
        <v>213</v>
      </c>
      <c r="N330" s="1" t="s">
        <v>3626</v>
      </c>
      <c r="O330" s="54"/>
      <c r="P330" s="1"/>
      <c r="Q330" s="1" t="s">
        <v>2652</v>
      </c>
      <c r="R330" s="1" t="s">
        <v>2944</v>
      </c>
      <c r="S330" s="1" t="s">
        <v>3894</v>
      </c>
      <c r="T330" s="1"/>
      <c r="U330" s="1"/>
      <c r="V330" s="1"/>
      <c r="W330" s="1"/>
      <c r="X330" s="1"/>
      <c r="Y330" s="1"/>
      <c r="Z330" s="1"/>
      <c r="AA330" s="1"/>
      <c r="AB330" s="1"/>
      <c r="AC330" s="56" t="s">
        <v>220</v>
      </c>
      <c r="AD330" s="82" t="s">
        <v>227</v>
      </c>
    </row>
    <row r="331" spans="1:30">
      <c r="A331" s="1">
        <v>2024</v>
      </c>
      <c r="B331" s="1">
        <v>202420</v>
      </c>
      <c r="C331" s="1">
        <v>202424862</v>
      </c>
      <c r="D331" s="1" t="s">
        <v>3895</v>
      </c>
      <c r="E331" s="1" t="s">
        <v>3896</v>
      </c>
      <c r="F331" s="1" t="s">
        <v>410</v>
      </c>
      <c r="G331" s="53" t="str">
        <f>_xlfn.XLOOKUP(Tabla2[[#This Row],[Universidad]],Conversiones!$B:$B,Conversiones!$C:$C)</f>
        <v xml:space="preserve">CBS- Copenhagen Business School  </v>
      </c>
      <c r="H331" s="53" t="str">
        <f>_xlfn.XLOOKUP(Tabla2[[#This Row],[Universidad KPIs]],Conversiones!$C:$C,Conversiones!$E:$E)</f>
        <v>Específico</v>
      </c>
      <c r="I331" s="1" t="s">
        <v>47</v>
      </c>
      <c r="J331" s="1" t="s">
        <v>250</v>
      </c>
      <c r="K331" s="1" t="s">
        <v>3897</v>
      </c>
      <c r="L331" s="1" t="s">
        <v>3898</v>
      </c>
      <c r="M331" s="1" t="s">
        <v>213</v>
      </c>
      <c r="N331" s="1" t="s">
        <v>3626</v>
      </c>
      <c r="O331" s="54"/>
      <c r="P331" s="1"/>
      <c r="Q331" s="1" t="s">
        <v>2407</v>
      </c>
      <c r="R331" s="1" t="s">
        <v>2307</v>
      </c>
      <c r="S331" s="1" t="s">
        <v>2309</v>
      </c>
      <c r="T331" s="1" t="s">
        <v>2329</v>
      </c>
      <c r="U331" s="1" t="s">
        <v>3491</v>
      </c>
      <c r="V331" s="1" t="s">
        <v>3899</v>
      </c>
      <c r="W331" s="1"/>
      <c r="X331" s="1"/>
      <c r="Y331" s="1"/>
      <c r="Z331" s="1"/>
      <c r="AA331" s="1"/>
      <c r="AB331" s="1"/>
      <c r="AC331" s="56" t="s">
        <v>216</v>
      </c>
      <c r="AD331" s="82" t="s">
        <v>234</v>
      </c>
    </row>
    <row r="332" spans="1:30">
      <c r="A332" s="1">
        <v>2024</v>
      </c>
      <c r="B332" s="1">
        <v>202420</v>
      </c>
      <c r="C332" s="1">
        <v>202424818</v>
      </c>
      <c r="D332" s="1" t="s">
        <v>3900</v>
      </c>
      <c r="E332" s="1" t="s">
        <v>3901</v>
      </c>
      <c r="F332" s="1" t="s">
        <v>388</v>
      </c>
      <c r="G332" s="53" t="str">
        <f>_xlfn.XLOOKUP(Tabla2[[#This Row],[Universidad]],Conversiones!$B:$B,Conversiones!$C:$C)</f>
        <v>ESCP</v>
      </c>
      <c r="H332" s="53" t="str">
        <f>_xlfn.XLOOKUP(Tabla2[[#This Row],[Universidad KPIs]],Conversiones!$C:$C,Conversiones!$E:$E)</f>
        <v>Específico</v>
      </c>
      <c r="I332" s="1" t="s">
        <v>41</v>
      </c>
      <c r="J332" s="1" t="s">
        <v>250</v>
      </c>
      <c r="K332" s="1" t="s">
        <v>3902</v>
      </c>
      <c r="L332" s="1" t="s">
        <v>3903</v>
      </c>
      <c r="M332" s="1" t="s">
        <v>213</v>
      </c>
      <c r="N332" s="1" t="s">
        <v>3626</v>
      </c>
      <c r="O332" s="54"/>
      <c r="P332" s="1"/>
      <c r="Q332" s="1" t="s">
        <v>2652</v>
      </c>
      <c r="R332" s="1" t="s">
        <v>2944</v>
      </c>
      <c r="S332" s="1" t="s">
        <v>3894</v>
      </c>
      <c r="T332" s="1"/>
      <c r="U332" s="1"/>
      <c r="V332" s="1"/>
      <c r="W332" s="1"/>
      <c r="X332" s="1"/>
      <c r="Y332" s="1"/>
      <c r="Z332" s="1"/>
      <c r="AA332" s="1"/>
      <c r="AB332" s="1"/>
      <c r="AC332" s="56" t="s">
        <v>220</v>
      </c>
      <c r="AD332" s="82" t="s">
        <v>227</v>
      </c>
    </row>
    <row r="333" spans="1:30">
      <c r="A333" s="1">
        <v>2024</v>
      </c>
      <c r="B333" s="1">
        <v>202420</v>
      </c>
      <c r="C333" s="1">
        <v>202424850</v>
      </c>
      <c r="D333" s="1" t="s">
        <v>3904</v>
      </c>
      <c r="E333" s="1" t="s">
        <v>3905</v>
      </c>
      <c r="F333" s="1" t="s">
        <v>161</v>
      </c>
      <c r="G333" s="53" t="str">
        <f>_xlfn.XLOOKUP(Tabla2[[#This Row],[Universidad]],Conversiones!$B:$B,Conversiones!$C:$C)</f>
        <v>Université de Genève</v>
      </c>
      <c r="H333" s="53" t="str">
        <f>_xlfn.XLOOKUP(Tabla2[[#This Row],[Universidad KPIs]],Conversiones!$C:$C,Conversiones!$E:$E)</f>
        <v>General</v>
      </c>
      <c r="I333" s="1" t="s">
        <v>65</v>
      </c>
      <c r="J333" s="1" t="s">
        <v>250</v>
      </c>
      <c r="K333" s="1" t="s">
        <v>3906</v>
      </c>
      <c r="L333" s="1" t="s">
        <v>3907</v>
      </c>
      <c r="M333" s="1" t="s">
        <v>213</v>
      </c>
      <c r="N333" s="1" t="s">
        <v>3626</v>
      </c>
      <c r="O333" s="54"/>
      <c r="P333" s="1"/>
      <c r="Q333" s="1" t="s">
        <v>2407</v>
      </c>
      <c r="R333" s="1" t="s">
        <v>2300</v>
      </c>
      <c r="S333" s="1" t="s">
        <v>2647</v>
      </c>
      <c r="T333" s="1" t="s">
        <v>2406</v>
      </c>
      <c r="U333" s="1" t="s">
        <v>3199</v>
      </c>
      <c r="V333" s="1"/>
      <c r="W333" s="1"/>
      <c r="X333" s="1"/>
      <c r="Y333" s="1"/>
      <c r="Z333" s="1"/>
      <c r="AA333" s="1"/>
      <c r="AB333" s="1"/>
      <c r="AC333" s="56" t="s">
        <v>220</v>
      </c>
      <c r="AD333" s="82" t="s">
        <v>227</v>
      </c>
    </row>
    <row r="334" spans="1:30">
      <c r="A334" s="1">
        <v>2024</v>
      </c>
      <c r="B334" s="1">
        <v>202420</v>
      </c>
      <c r="C334" s="1">
        <v>202424804</v>
      </c>
      <c r="D334" s="1" t="s">
        <v>3908</v>
      </c>
      <c r="E334" s="1" t="s">
        <v>3909</v>
      </c>
      <c r="F334" s="1" t="s">
        <v>78</v>
      </c>
      <c r="G334" s="53" t="str">
        <f>_xlfn.XLOOKUP(Tabla2[[#This Row],[Universidad]],Conversiones!$B:$B,Conversiones!$C:$C)</f>
        <v>Maastricht University</v>
      </c>
      <c r="H334" s="53" t="str">
        <f>_xlfn.XLOOKUP(Tabla2[[#This Row],[Universidad KPIs]],Conversiones!$C:$C,Conversiones!$E:$E)</f>
        <v>Específico</v>
      </c>
      <c r="I334" s="1" t="s">
        <v>79</v>
      </c>
      <c r="J334" s="1" t="s">
        <v>250</v>
      </c>
      <c r="K334" s="1" t="s">
        <v>3910</v>
      </c>
      <c r="L334" s="1" t="s">
        <v>3911</v>
      </c>
      <c r="M334" s="1" t="s">
        <v>213</v>
      </c>
      <c r="N334" s="1" t="s">
        <v>3626</v>
      </c>
      <c r="O334" s="54"/>
      <c r="P334" s="1"/>
      <c r="Q334" s="1" t="s">
        <v>2525</v>
      </c>
      <c r="R334" s="1" t="s">
        <v>2300</v>
      </c>
      <c r="S334" s="1" t="s">
        <v>2370</v>
      </c>
      <c r="T334" s="1" t="s">
        <v>2480</v>
      </c>
      <c r="U334" s="1" t="s">
        <v>2307</v>
      </c>
      <c r="V334" s="1" t="s">
        <v>2441</v>
      </c>
      <c r="W334" s="1"/>
      <c r="X334" s="1"/>
      <c r="Y334" s="1"/>
      <c r="Z334" s="1"/>
      <c r="AA334" s="1"/>
      <c r="AB334" s="1"/>
      <c r="AC334" s="56" t="s">
        <v>216</v>
      </c>
      <c r="AD334" s="82" t="s">
        <v>234</v>
      </c>
    </row>
    <row r="335" spans="1:30">
      <c r="A335" s="1">
        <v>2024</v>
      </c>
      <c r="B335" s="1">
        <v>202420</v>
      </c>
      <c r="C335" s="1">
        <v>202424587</v>
      </c>
      <c r="D335" s="1" t="s">
        <v>3912</v>
      </c>
      <c r="E335" s="1" t="s">
        <v>3913</v>
      </c>
      <c r="F335" s="1" t="s">
        <v>255</v>
      </c>
      <c r="G335" s="53" t="str">
        <f>_xlfn.XLOOKUP(Tabla2[[#This Row],[Universidad]],Conversiones!$B:$B,Conversiones!$C:$C)</f>
        <v>ESC Rouen (NEOMA)</v>
      </c>
      <c r="H335" s="53" t="str">
        <f>_xlfn.XLOOKUP(Tabla2[[#This Row],[Universidad KPIs]],Conversiones!$C:$C,Conversiones!$E:$E)</f>
        <v>Específico</v>
      </c>
      <c r="I335" s="1" t="s">
        <v>41</v>
      </c>
      <c r="J335" s="1" t="s">
        <v>250</v>
      </c>
      <c r="K335" s="1" t="s">
        <v>3914</v>
      </c>
      <c r="L335" s="1" t="s">
        <v>3915</v>
      </c>
      <c r="M335" s="1" t="s">
        <v>213</v>
      </c>
      <c r="N335" s="1" t="s">
        <v>3626</v>
      </c>
      <c r="O335" s="54"/>
      <c r="P335" s="1"/>
      <c r="Q335" s="1" t="s">
        <v>2407</v>
      </c>
      <c r="R335" s="1" t="s">
        <v>2300</v>
      </c>
      <c r="S335" s="1" t="s">
        <v>2370</v>
      </c>
      <c r="T335" s="1" t="s">
        <v>2307</v>
      </c>
      <c r="U335" s="1"/>
      <c r="V335" s="1"/>
      <c r="W335" s="1"/>
      <c r="X335" s="1"/>
      <c r="Y335" s="1"/>
      <c r="Z335" s="1"/>
      <c r="AA335" s="1"/>
      <c r="AB335" s="1"/>
      <c r="AC335" s="56" t="s">
        <v>216</v>
      </c>
      <c r="AD335" s="82" t="s">
        <v>227</v>
      </c>
    </row>
    <row r="336" spans="1:30">
      <c r="A336" s="1">
        <v>2024</v>
      </c>
      <c r="B336" s="1">
        <v>202420</v>
      </c>
      <c r="C336" s="1">
        <v>202424884</v>
      </c>
      <c r="D336" s="1" t="s">
        <v>3916</v>
      </c>
      <c r="E336" s="1" t="s">
        <v>3917</v>
      </c>
      <c r="F336" s="1" t="s">
        <v>255</v>
      </c>
      <c r="G336" s="53" t="str">
        <f>_xlfn.XLOOKUP(Tabla2[[#This Row],[Universidad]],Conversiones!$B:$B,Conversiones!$C:$C)</f>
        <v>ESC Rouen (NEOMA)</v>
      </c>
      <c r="H336" s="53" t="str">
        <f>_xlfn.XLOOKUP(Tabla2[[#This Row],[Universidad KPIs]],Conversiones!$C:$C,Conversiones!$E:$E)</f>
        <v>Específico</v>
      </c>
      <c r="I336" s="1" t="s">
        <v>41</v>
      </c>
      <c r="J336" s="1" t="s">
        <v>250</v>
      </c>
      <c r="K336" s="1" t="s">
        <v>3918</v>
      </c>
      <c r="L336" s="1" t="s">
        <v>3919</v>
      </c>
      <c r="M336" s="1" t="s">
        <v>213</v>
      </c>
      <c r="N336" s="1" t="s">
        <v>3626</v>
      </c>
      <c r="O336" s="54"/>
      <c r="P336" s="1"/>
      <c r="Q336" s="1" t="s">
        <v>2407</v>
      </c>
      <c r="R336" s="1" t="s">
        <v>2300</v>
      </c>
      <c r="S336" s="1" t="s">
        <v>2601</v>
      </c>
      <c r="T336" s="1" t="s">
        <v>2329</v>
      </c>
      <c r="U336" s="1" t="s">
        <v>2881</v>
      </c>
      <c r="V336" s="1" t="s">
        <v>3017</v>
      </c>
      <c r="W336" s="1"/>
      <c r="X336" s="1"/>
      <c r="Y336" s="1"/>
      <c r="Z336" s="1"/>
      <c r="AA336" s="1"/>
      <c r="AB336" s="1"/>
      <c r="AC336" s="56" t="s">
        <v>216</v>
      </c>
      <c r="AD336" s="82" t="s">
        <v>227</v>
      </c>
    </row>
    <row r="337" spans="1:30">
      <c r="A337" s="1">
        <v>2024</v>
      </c>
      <c r="B337" s="1">
        <v>202420</v>
      </c>
      <c r="C337" s="1">
        <v>202424603</v>
      </c>
      <c r="D337" s="1" t="s">
        <v>3920</v>
      </c>
      <c r="E337" s="1" t="s">
        <v>3921</v>
      </c>
      <c r="F337" s="1" t="s">
        <v>325</v>
      </c>
      <c r="G337" s="53" t="str">
        <f>_xlfn.XLOOKUP(Tabla2[[#This Row],[Universidad]],Conversiones!$B:$B,Conversiones!$C:$C)</f>
        <v>Università Commerciale Luigi Bocconi</v>
      </c>
      <c r="H337" s="53" t="str">
        <f>_xlfn.XLOOKUP(Tabla2[[#This Row],[Universidad KPIs]],Conversiones!$C:$C,Conversiones!$E:$E)</f>
        <v>Específico</v>
      </c>
      <c r="I337" s="1" t="s">
        <v>87</v>
      </c>
      <c r="J337" s="1" t="s">
        <v>250</v>
      </c>
      <c r="K337" s="1" t="s">
        <v>3922</v>
      </c>
      <c r="L337" s="1" t="s">
        <v>3923</v>
      </c>
      <c r="M337" s="1" t="s">
        <v>213</v>
      </c>
      <c r="N337" s="1" t="s">
        <v>3626</v>
      </c>
      <c r="O337" s="54"/>
      <c r="P337" s="1"/>
      <c r="Q337" s="1" t="s">
        <v>2300</v>
      </c>
      <c r="R337" s="1" t="s">
        <v>2370</v>
      </c>
      <c r="S337" s="1" t="s">
        <v>3022</v>
      </c>
      <c r="T337" s="1" t="s">
        <v>2308</v>
      </c>
      <c r="U337" s="1" t="s">
        <v>2329</v>
      </c>
      <c r="V337" s="1"/>
      <c r="W337" s="1"/>
      <c r="X337" s="1"/>
      <c r="Y337" s="1"/>
      <c r="Z337" s="1"/>
      <c r="AA337" s="1"/>
      <c r="AB337" s="1"/>
      <c r="AC337" s="56" t="s">
        <v>216</v>
      </c>
      <c r="AD337" s="82" t="s">
        <v>234</v>
      </c>
    </row>
    <row r="338" spans="1:30">
      <c r="A338" s="1">
        <v>2024</v>
      </c>
      <c r="B338" s="1">
        <v>202420</v>
      </c>
      <c r="C338" s="1">
        <v>202424824</v>
      </c>
      <c r="D338" s="1" t="s">
        <v>3924</v>
      </c>
      <c r="E338" s="1" t="s">
        <v>3684</v>
      </c>
      <c r="F338" s="1" t="s">
        <v>388</v>
      </c>
      <c r="G338" s="53" t="str">
        <f>_xlfn.XLOOKUP(Tabla2[[#This Row],[Universidad]],Conversiones!$B:$B,Conversiones!$C:$C)</f>
        <v>ESCP</v>
      </c>
      <c r="H338" s="53" t="str">
        <f>_xlfn.XLOOKUP(Tabla2[[#This Row],[Universidad KPIs]],Conversiones!$C:$C,Conversiones!$E:$E)</f>
        <v>Específico</v>
      </c>
      <c r="I338" s="1" t="s">
        <v>41</v>
      </c>
      <c r="J338" s="1" t="s">
        <v>250</v>
      </c>
      <c r="K338" s="1" t="s">
        <v>3925</v>
      </c>
      <c r="L338" s="1" t="s">
        <v>3926</v>
      </c>
      <c r="M338" s="1" t="s">
        <v>213</v>
      </c>
      <c r="N338" s="1" t="s">
        <v>3626</v>
      </c>
      <c r="O338" s="54"/>
      <c r="P338" s="1"/>
      <c r="Q338" s="1" t="s">
        <v>2652</v>
      </c>
      <c r="R338" s="1" t="s">
        <v>2944</v>
      </c>
      <c r="S338" s="1" t="s">
        <v>3894</v>
      </c>
      <c r="T338" s="1"/>
      <c r="U338" s="1"/>
      <c r="V338" s="1"/>
      <c r="W338" s="1"/>
      <c r="X338" s="1"/>
      <c r="Y338" s="1"/>
      <c r="Z338" s="1"/>
      <c r="AA338" s="1"/>
      <c r="AB338" s="1"/>
      <c r="AC338" s="56" t="s">
        <v>220</v>
      </c>
      <c r="AD338" s="82" t="s">
        <v>227</v>
      </c>
    </row>
    <row r="339" spans="1:30">
      <c r="A339" s="1">
        <v>2024</v>
      </c>
      <c r="B339" s="1">
        <v>202420</v>
      </c>
      <c r="C339" s="1">
        <v>202424909</v>
      </c>
      <c r="D339" s="1" t="s">
        <v>3927</v>
      </c>
      <c r="E339" s="1" t="s">
        <v>3928</v>
      </c>
      <c r="F339" s="1" t="s">
        <v>341</v>
      </c>
      <c r="G339" s="53" t="str">
        <f>_xlfn.XLOOKUP(Tabla2[[#This Row],[Universidad]],Conversiones!$B:$B,Conversiones!$C:$C)</f>
        <v>A.B. Freeman School of Business, Tulane University</v>
      </c>
      <c r="H339" s="53" t="str">
        <f>_xlfn.XLOOKUP(Tabla2[[#This Row],[Universidad KPIs]],Conversiones!$C:$C,Conversiones!$E:$E)</f>
        <v>Específico</v>
      </c>
      <c r="I339" s="1" t="s">
        <v>35</v>
      </c>
      <c r="J339" s="1" t="s">
        <v>260</v>
      </c>
      <c r="K339" s="1" t="s">
        <v>3929</v>
      </c>
      <c r="L339" s="1" t="s">
        <v>3930</v>
      </c>
      <c r="M339" s="1" t="s">
        <v>213</v>
      </c>
      <c r="N339" s="1" t="s">
        <v>3626</v>
      </c>
      <c r="O339" s="54"/>
      <c r="P339" s="1"/>
      <c r="Q339" s="1" t="s">
        <v>2609</v>
      </c>
      <c r="R339" s="1" t="s">
        <v>2301</v>
      </c>
      <c r="S339" s="1" t="s">
        <v>2307</v>
      </c>
      <c r="T339" s="1" t="s">
        <v>3199</v>
      </c>
      <c r="U339" s="1" t="s">
        <v>2394</v>
      </c>
      <c r="V339" s="1"/>
      <c r="W339" s="1"/>
      <c r="X339" s="1"/>
      <c r="Y339" s="1"/>
      <c r="Z339" s="1"/>
      <c r="AA339" s="1"/>
      <c r="AB339" s="1"/>
      <c r="AC339" s="56" t="s">
        <v>216</v>
      </c>
      <c r="AD339" s="82" t="s">
        <v>234</v>
      </c>
    </row>
    <row r="340" spans="1:30">
      <c r="A340" s="1">
        <v>2024</v>
      </c>
      <c r="B340" s="1">
        <v>202420</v>
      </c>
      <c r="C340" s="1">
        <v>202424604</v>
      </c>
      <c r="D340" s="1" t="s">
        <v>3931</v>
      </c>
      <c r="E340" s="1" t="s">
        <v>3932</v>
      </c>
      <c r="F340" s="1" t="s">
        <v>86</v>
      </c>
      <c r="G340" s="53" t="str">
        <f>_xlfn.XLOOKUP(Tabla2[[#This Row],[Universidad]],Conversiones!$B:$B,Conversiones!$C:$C)</f>
        <v>Politecnico di Milano</v>
      </c>
      <c r="H340" s="53" t="str">
        <f>_xlfn.XLOOKUP(Tabla2[[#This Row],[Universidad KPIs]],Conversiones!$C:$C,Conversiones!$E:$E)</f>
        <v>Específico</v>
      </c>
      <c r="I340" s="1" t="s">
        <v>87</v>
      </c>
      <c r="J340" s="1" t="s">
        <v>250</v>
      </c>
      <c r="K340" s="1" t="s">
        <v>3933</v>
      </c>
      <c r="L340" s="1" t="s">
        <v>3934</v>
      </c>
      <c r="M340" s="1" t="s">
        <v>213</v>
      </c>
      <c r="N340" s="1" t="s">
        <v>3626</v>
      </c>
      <c r="O340" s="54"/>
      <c r="P340" s="1"/>
      <c r="Q340" s="1" t="s">
        <v>2525</v>
      </c>
      <c r="R340" s="1" t="s">
        <v>2407</v>
      </c>
      <c r="S340" s="1" t="s">
        <v>2307</v>
      </c>
      <c r="T340" s="1" t="s">
        <v>2321</v>
      </c>
      <c r="U340" s="1" t="s">
        <v>2601</v>
      </c>
      <c r="V340" s="1" t="s">
        <v>2475</v>
      </c>
      <c r="W340" s="1" t="s">
        <v>2347</v>
      </c>
      <c r="X340" s="1" t="s">
        <v>3935</v>
      </c>
      <c r="Y340" s="1"/>
      <c r="Z340" s="1"/>
      <c r="AA340" s="1"/>
      <c r="AB340" s="1"/>
      <c r="AC340" s="56" t="s">
        <v>216</v>
      </c>
      <c r="AD340" s="82" t="s">
        <v>227</v>
      </c>
    </row>
    <row r="341" spans="1:30">
      <c r="A341" s="1">
        <v>2024</v>
      </c>
      <c r="B341" s="1">
        <v>202420</v>
      </c>
      <c r="C341" s="1">
        <v>202424625</v>
      </c>
      <c r="D341" s="1" t="s">
        <v>3449</v>
      </c>
      <c r="E341" s="1" t="s">
        <v>3936</v>
      </c>
      <c r="F341" s="1" t="s">
        <v>274</v>
      </c>
      <c r="G341" s="53" t="str">
        <f>_xlfn.XLOOKUP(Tabla2[[#This Row],[Universidad]],Conversiones!$B:$B,Conversiones!$C:$C)</f>
        <v>Catolica Lisbon Business &amp; Economics. Universidade Católica Portuguesa</v>
      </c>
      <c r="H341" s="53" t="str">
        <f>_xlfn.XLOOKUP(Tabla2[[#This Row],[Universidad KPIs]],Conversiones!$C:$C,Conversiones!$E:$E)</f>
        <v>Específico</v>
      </c>
      <c r="I341" s="1" t="s">
        <v>45</v>
      </c>
      <c r="J341" s="1" t="s">
        <v>250</v>
      </c>
      <c r="K341" s="1" t="s">
        <v>3937</v>
      </c>
      <c r="L341" s="1" t="s">
        <v>3938</v>
      </c>
      <c r="M341" s="1" t="s">
        <v>213</v>
      </c>
      <c r="N341" s="1" t="s">
        <v>3626</v>
      </c>
      <c r="O341" s="54"/>
      <c r="P341" s="1"/>
      <c r="Q341" s="1" t="s">
        <v>2388</v>
      </c>
      <c r="R341" s="1" t="s">
        <v>2370</v>
      </c>
      <c r="S341" s="1" t="s">
        <v>2681</v>
      </c>
      <c r="T341" s="1" t="s">
        <v>2307</v>
      </c>
      <c r="U341" s="1" t="s">
        <v>2308</v>
      </c>
      <c r="V341" s="1" t="s">
        <v>2369</v>
      </c>
      <c r="W341" s="1"/>
      <c r="X341" s="1"/>
      <c r="Y341" s="1"/>
      <c r="Z341" s="1"/>
      <c r="AA341" s="1"/>
      <c r="AB341" s="1"/>
      <c r="AC341" s="56" t="s">
        <v>216</v>
      </c>
      <c r="AD341" s="82" t="s">
        <v>234</v>
      </c>
    </row>
    <row r="342" spans="1:30">
      <c r="A342" s="1">
        <v>2024</v>
      </c>
      <c r="B342" s="1">
        <v>202420</v>
      </c>
      <c r="C342" s="1">
        <v>202424894</v>
      </c>
      <c r="D342" s="1" t="s">
        <v>3939</v>
      </c>
      <c r="E342" s="1" t="s">
        <v>3940</v>
      </c>
      <c r="F342" s="1" t="s">
        <v>298</v>
      </c>
      <c r="G342" s="53" t="str">
        <f>_xlfn.XLOOKUP(Tabla2[[#This Row],[Universidad]],Conversiones!$B:$B,Conversiones!$C:$C)</f>
        <v>ESSEC</v>
      </c>
      <c r="H342" s="53" t="str">
        <f>_xlfn.XLOOKUP(Tabla2[[#This Row],[Universidad KPIs]],Conversiones!$C:$C,Conversiones!$E:$E)</f>
        <v>Específico</v>
      </c>
      <c r="I342" s="1" t="s">
        <v>41</v>
      </c>
      <c r="J342" s="1" t="s">
        <v>250</v>
      </c>
      <c r="K342" s="1" t="s">
        <v>3941</v>
      </c>
      <c r="L342" s="1" t="s">
        <v>3942</v>
      </c>
      <c r="M342" s="1" t="s">
        <v>213</v>
      </c>
      <c r="N342" s="1" t="s">
        <v>3626</v>
      </c>
      <c r="O342" s="54"/>
      <c r="P342" s="1"/>
      <c r="Q342" s="1" t="s">
        <v>2641</v>
      </c>
      <c r="R342" s="1" t="s">
        <v>3943</v>
      </c>
      <c r="S342" s="1" t="s">
        <v>2362</v>
      </c>
      <c r="T342" s="1" t="s">
        <v>3944</v>
      </c>
      <c r="U342" s="1" t="s">
        <v>2382</v>
      </c>
      <c r="V342" s="1" t="s">
        <v>3348</v>
      </c>
      <c r="W342" s="1" t="s">
        <v>2759</v>
      </c>
      <c r="X342" s="1" t="s">
        <v>3945</v>
      </c>
      <c r="Y342" s="1"/>
      <c r="Z342" s="1"/>
      <c r="AA342" s="1"/>
      <c r="AB342" s="1"/>
      <c r="AC342" s="56" t="s">
        <v>216</v>
      </c>
      <c r="AD342" s="82" t="s">
        <v>234</v>
      </c>
    </row>
    <row r="343" spans="1:30">
      <c r="A343" s="1">
        <v>2024</v>
      </c>
      <c r="B343" s="1">
        <v>202420</v>
      </c>
      <c r="C343" s="1">
        <v>202424840</v>
      </c>
      <c r="D343" s="1" t="s">
        <v>3946</v>
      </c>
      <c r="E343" s="1" t="s">
        <v>3947</v>
      </c>
      <c r="F343" s="1" t="s">
        <v>325</v>
      </c>
      <c r="G343" s="53" t="str">
        <f>_xlfn.XLOOKUP(Tabla2[[#This Row],[Universidad]],Conversiones!$B:$B,Conversiones!$C:$C)</f>
        <v>Università Commerciale Luigi Bocconi</v>
      </c>
      <c r="H343" s="53" t="str">
        <f>_xlfn.XLOOKUP(Tabla2[[#This Row],[Universidad KPIs]],Conversiones!$C:$C,Conversiones!$E:$E)</f>
        <v>Específico</v>
      </c>
      <c r="I343" s="1" t="s">
        <v>87</v>
      </c>
      <c r="J343" s="1" t="s">
        <v>250</v>
      </c>
      <c r="K343" s="1" t="s">
        <v>3948</v>
      </c>
      <c r="L343" s="1" t="s">
        <v>3949</v>
      </c>
      <c r="M343" s="1" t="s">
        <v>213</v>
      </c>
      <c r="N343" s="1" t="s">
        <v>3626</v>
      </c>
      <c r="O343" s="54"/>
      <c r="P343" s="1"/>
      <c r="Q343" s="1" t="s">
        <v>2328</v>
      </c>
      <c r="R343" s="1" t="s">
        <v>2307</v>
      </c>
      <c r="S343" s="1" t="s">
        <v>3862</v>
      </c>
      <c r="T343" s="1" t="s">
        <v>2394</v>
      </c>
      <c r="U343" s="1" t="s">
        <v>2382</v>
      </c>
      <c r="V343" s="1"/>
      <c r="W343" s="1"/>
      <c r="X343" s="1"/>
      <c r="Y343" s="1"/>
      <c r="Z343" s="1"/>
      <c r="AA343" s="1"/>
      <c r="AB343" s="1"/>
      <c r="AC343" s="56" t="s">
        <v>220</v>
      </c>
      <c r="AD343" s="82" t="s">
        <v>227</v>
      </c>
    </row>
    <row r="344" spans="1:30">
      <c r="A344" s="1">
        <v>2024</v>
      </c>
      <c r="B344" s="1">
        <v>202420</v>
      </c>
      <c r="C344" s="1">
        <v>202424914</v>
      </c>
      <c r="D344" s="1" t="s">
        <v>3950</v>
      </c>
      <c r="E344" s="1" t="s">
        <v>3951</v>
      </c>
      <c r="F344" s="1" t="s">
        <v>341</v>
      </c>
      <c r="G344" s="53" t="str">
        <f>_xlfn.XLOOKUP(Tabla2[[#This Row],[Universidad]],Conversiones!$B:$B,Conversiones!$C:$C)</f>
        <v>A.B. Freeman School of Business, Tulane University</v>
      </c>
      <c r="H344" s="53" t="str">
        <f>_xlfn.XLOOKUP(Tabla2[[#This Row],[Universidad KPIs]],Conversiones!$C:$C,Conversiones!$E:$E)</f>
        <v>Específico</v>
      </c>
      <c r="I344" s="1" t="s">
        <v>35</v>
      </c>
      <c r="J344" s="1" t="s">
        <v>260</v>
      </c>
      <c r="K344" s="1" t="s">
        <v>3952</v>
      </c>
      <c r="L344" s="1" t="s">
        <v>3953</v>
      </c>
      <c r="M344" s="1" t="s">
        <v>213</v>
      </c>
      <c r="N344" s="1" t="s">
        <v>3626</v>
      </c>
      <c r="O344" s="54"/>
      <c r="P344" s="1"/>
      <c r="Q344" s="1" t="s">
        <v>2307</v>
      </c>
      <c r="R344" s="1" t="s">
        <v>2321</v>
      </c>
      <c r="S344" s="1" t="s">
        <v>3954</v>
      </c>
      <c r="T344" s="1" t="s">
        <v>3955</v>
      </c>
      <c r="U344" s="1" t="s">
        <v>3956</v>
      </c>
      <c r="V344" s="1"/>
      <c r="W344" s="1"/>
      <c r="X344" s="1"/>
      <c r="Y344" s="1"/>
      <c r="Z344" s="1"/>
      <c r="AA344" s="1"/>
      <c r="AB344" s="1"/>
      <c r="AC344" s="56" t="s">
        <v>216</v>
      </c>
      <c r="AD344" s="82" t="s">
        <v>234</v>
      </c>
    </row>
    <row r="345" spans="1:30">
      <c r="A345" s="1">
        <v>2024</v>
      </c>
      <c r="B345" s="1">
        <v>202420</v>
      </c>
      <c r="C345" s="1">
        <v>202424814</v>
      </c>
      <c r="D345" s="1" t="s">
        <v>3957</v>
      </c>
      <c r="E345" s="1" t="s">
        <v>3958</v>
      </c>
      <c r="F345" s="1" t="s">
        <v>36</v>
      </c>
      <c r="G345" s="53" t="str">
        <f>_xlfn.XLOOKUP(Tabla2[[#This Row],[Universidad]],Conversiones!$B:$B,Conversiones!$C:$C)</f>
        <v>Aalto University</v>
      </c>
      <c r="H345" s="53" t="str">
        <f>_xlfn.XLOOKUP(Tabla2[[#This Row],[Universidad KPIs]],Conversiones!$C:$C,Conversiones!$E:$E)</f>
        <v>Específico</v>
      </c>
      <c r="I345" s="1" t="s">
        <v>37</v>
      </c>
      <c r="J345" s="1" t="s">
        <v>250</v>
      </c>
      <c r="K345" s="1" t="s">
        <v>3959</v>
      </c>
      <c r="L345" s="1" t="s">
        <v>3960</v>
      </c>
      <c r="M345" s="1" t="s">
        <v>213</v>
      </c>
      <c r="N345" s="1" t="s">
        <v>3626</v>
      </c>
      <c r="O345" s="54"/>
      <c r="P345" s="1"/>
      <c r="Q345" s="1" t="s">
        <v>2525</v>
      </c>
      <c r="R345" s="1" t="s">
        <v>3413</v>
      </c>
      <c r="S345" s="1" t="s">
        <v>3961</v>
      </c>
      <c r="T345" s="1" t="s">
        <v>2382</v>
      </c>
      <c r="U345" s="1" t="s">
        <v>2464</v>
      </c>
      <c r="V345" s="1" t="s">
        <v>2357</v>
      </c>
      <c r="W345" s="1" t="s">
        <v>2463</v>
      </c>
      <c r="X345" s="1" t="s">
        <v>3220</v>
      </c>
      <c r="Y345" s="1" t="s">
        <v>2559</v>
      </c>
      <c r="Z345" s="1" t="s">
        <v>3381</v>
      </c>
      <c r="AA345" s="1"/>
      <c r="AB345" s="1"/>
      <c r="AC345" s="56" t="s">
        <v>220</v>
      </c>
      <c r="AD345" s="82" t="s">
        <v>227</v>
      </c>
    </row>
    <row r="346" spans="1:30">
      <c r="A346" s="1">
        <v>2024</v>
      </c>
      <c r="B346" s="1">
        <v>202420</v>
      </c>
      <c r="C346" s="1">
        <v>202424609</v>
      </c>
      <c r="D346" s="1" t="s">
        <v>3962</v>
      </c>
      <c r="E346" s="1" t="s">
        <v>3963</v>
      </c>
      <c r="F346" s="1" t="s">
        <v>86</v>
      </c>
      <c r="G346" s="53" t="str">
        <f>_xlfn.XLOOKUP(Tabla2[[#This Row],[Universidad]],Conversiones!$B:$B,Conversiones!$C:$C)</f>
        <v>Politecnico di Milano</v>
      </c>
      <c r="H346" s="53" t="str">
        <f>_xlfn.XLOOKUP(Tabla2[[#This Row],[Universidad KPIs]],Conversiones!$C:$C,Conversiones!$E:$E)</f>
        <v>Específico</v>
      </c>
      <c r="I346" s="1" t="s">
        <v>87</v>
      </c>
      <c r="J346" s="1" t="s">
        <v>250</v>
      </c>
      <c r="K346" s="1" t="s">
        <v>3964</v>
      </c>
      <c r="L346" s="1" t="s">
        <v>3965</v>
      </c>
      <c r="M346" s="1" t="s">
        <v>213</v>
      </c>
      <c r="N346" s="1" t="s">
        <v>3626</v>
      </c>
      <c r="O346" s="54"/>
      <c r="P346" s="1"/>
      <c r="Q346" s="1" t="s">
        <v>2525</v>
      </c>
      <c r="R346" s="1" t="s">
        <v>2407</v>
      </c>
      <c r="S346" s="1" t="s">
        <v>2321</v>
      </c>
      <c r="T346" s="1" t="s">
        <v>3199</v>
      </c>
      <c r="U346" s="1" t="s">
        <v>3966</v>
      </c>
      <c r="V346" s="1"/>
      <c r="W346" s="1"/>
      <c r="X346" s="1"/>
      <c r="Y346" s="1"/>
      <c r="Z346" s="1"/>
      <c r="AA346" s="1"/>
      <c r="AB346" s="1"/>
      <c r="AC346" s="56" t="s">
        <v>216</v>
      </c>
      <c r="AD346" s="82" t="s">
        <v>227</v>
      </c>
    </row>
    <row r="347" spans="1:30">
      <c r="A347" s="1">
        <v>2024</v>
      </c>
      <c r="B347" s="1">
        <v>202420</v>
      </c>
      <c r="C347" s="1">
        <v>202424846</v>
      </c>
      <c r="D347" s="1" t="s">
        <v>2006</v>
      </c>
      <c r="E347" s="1" t="s">
        <v>3967</v>
      </c>
      <c r="F347" s="1" t="s">
        <v>161</v>
      </c>
      <c r="G347" s="53" t="str">
        <f>_xlfn.XLOOKUP(Tabla2[[#This Row],[Universidad]],Conversiones!$B:$B,Conversiones!$C:$C)</f>
        <v>Université de Genève</v>
      </c>
      <c r="H347" s="53" t="str">
        <f>_xlfn.XLOOKUP(Tabla2[[#This Row],[Universidad KPIs]],Conversiones!$C:$C,Conversiones!$E:$E)</f>
        <v>General</v>
      </c>
      <c r="I347" s="1" t="s">
        <v>65</v>
      </c>
      <c r="J347" s="1" t="s">
        <v>250</v>
      </c>
      <c r="K347" s="1" t="s">
        <v>3968</v>
      </c>
      <c r="L347" s="1" t="s">
        <v>3969</v>
      </c>
      <c r="M347" s="1" t="s">
        <v>213</v>
      </c>
      <c r="N347" s="1" t="s">
        <v>3626</v>
      </c>
      <c r="O347" s="54"/>
      <c r="P347" s="1"/>
      <c r="Q347" s="1" t="s">
        <v>2407</v>
      </c>
      <c r="R347" s="1" t="s">
        <v>2321</v>
      </c>
      <c r="S347" s="1" t="s">
        <v>2456</v>
      </c>
      <c r="T347" s="1" t="s">
        <v>3970</v>
      </c>
      <c r="U347" s="1" t="s">
        <v>3145</v>
      </c>
      <c r="V347" s="1" t="s">
        <v>2881</v>
      </c>
      <c r="W347" s="1" t="s">
        <v>3971</v>
      </c>
      <c r="X347" s="1" t="s">
        <v>3972</v>
      </c>
      <c r="Y347" s="1"/>
      <c r="Z347" s="1"/>
      <c r="AA347" s="1"/>
      <c r="AB347" s="1"/>
      <c r="AC347" s="56" t="s">
        <v>220</v>
      </c>
      <c r="AD347" s="82" t="s">
        <v>227</v>
      </c>
    </row>
    <row r="348" spans="1:30">
      <c r="A348" s="1">
        <v>2024</v>
      </c>
      <c r="B348" s="1">
        <v>202420</v>
      </c>
      <c r="C348" s="1">
        <v>202424851</v>
      </c>
      <c r="D348" s="1" t="s">
        <v>3973</v>
      </c>
      <c r="E348" s="1" t="s">
        <v>3974</v>
      </c>
      <c r="F348" s="1" t="s">
        <v>161</v>
      </c>
      <c r="G348" s="53" t="str">
        <f>_xlfn.XLOOKUP(Tabla2[[#This Row],[Universidad]],Conversiones!$B:$B,Conversiones!$C:$C)</f>
        <v>Université de Genève</v>
      </c>
      <c r="H348" s="53" t="str">
        <f>_xlfn.XLOOKUP(Tabla2[[#This Row],[Universidad KPIs]],Conversiones!$C:$C,Conversiones!$E:$E)</f>
        <v>General</v>
      </c>
      <c r="I348" s="1" t="s">
        <v>65</v>
      </c>
      <c r="J348" s="1" t="s">
        <v>250</v>
      </c>
      <c r="K348" s="1" t="s">
        <v>3975</v>
      </c>
      <c r="L348" s="1" t="s">
        <v>3976</v>
      </c>
      <c r="M348" s="1" t="s">
        <v>213</v>
      </c>
      <c r="N348" s="1" t="s">
        <v>3626</v>
      </c>
      <c r="O348" s="54"/>
      <c r="P348" s="1"/>
      <c r="Q348" s="1" t="s">
        <v>2321</v>
      </c>
      <c r="R348" s="1" t="s">
        <v>3977</v>
      </c>
      <c r="S348" s="1" t="s">
        <v>3978</v>
      </c>
      <c r="T348" s="1" t="s">
        <v>3381</v>
      </c>
      <c r="U348" s="1"/>
      <c r="V348" s="1"/>
      <c r="W348" s="1"/>
      <c r="X348" s="1"/>
      <c r="Y348" s="1"/>
      <c r="Z348" s="1"/>
      <c r="AA348" s="1"/>
      <c r="AB348" s="1"/>
      <c r="AC348" s="56" t="s">
        <v>220</v>
      </c>
      <c r="AD348" s="82" t="s">
        <v>227</v>
      </c>
    </row>
    <row r="349" spans="1:30">
      <c r="A349" s="1">
        <v>2024</v>
      </c>
      <c r="B349" s="1">
        <v>202420</v>
      </c>
      <c r="C349" s="1">
        <v>202424826</v>
      </c>
      <c r="D349" s="1" t="s">
        <v>3979</v>
      </c>
      <c r="E349" s="1" t="s">
        <v>3980</v>
      </c>
      <c r="F349" s="1" t="s">
        <v>298</v>
      </c>
      <c r="G349" s="53" t="str">
        <f>_xlfn.XLOOKUP(Tabla2[[#This Row],[Universidad]],Conversiones!$B:$B,Conversiones!$C:$C)</f>
        <v>ESSEC</v>
      </c>
      <c r="H349" s="53" t="str">
        <f>_xlfn.XLOOKUP(Tabla2[[#This Row],[Universidad KPIs]],Conversiones!$C:$C,Conversiones!$E:$E)</f>
        <v>Específico</v>
      </c>
      <c r="I349" s="1" t="s">
        <v>41</v>
      </c>
      <c r="J349" s="1" t="s">
        <v>250</v>
      </c>
      <c r="K349" s="1" t="s">
        <v>3981</v>
      </c>
      <c r="L349" s="1" t="s">
        <v>3982</v>
      </c>
      <c r="M349" s="1" t="s">
        <v>213</v>
      </c>
      <c r="N349" s="1" t="s">
        <v>3626</v>
      </c>
      <c r="O349" s="54"/>
      <c r="P349" s="1"/>
      <c r="Q349" s="1" t="s">
        <v>2652</v>
      </c>
      <c r="R349" s="1" t="s">
        <v>2944</v>
      </c>
      <c r="S349" s="1" t="s">
        <v>3894</v>
      </c>
      <c r="T349" s="1"/>
      <c r="U349" s="1"/>
      <c r="V349" s="1"/>
      <c r="W349" s="1"/>
      <c r="X349" s="1"/>
      <c r="Y349" s="1"/>
      <c r="Z349" s="1"/>
      <c r="AA349" s="1"/>
      <c r="AB349" s="1"/>
      <c r="AC349" s="56" t="s">
        <v>220</v>
      </c>
      <c r="AD349" s="82" t="s">
        <v>227</v>
      </c>
    </row>
    <row r="350" spans="1:30">
      <c r="A350" s="1">
        <v>2024</v>
      </c>
      <c r="B350" s="1">
        <v>202420</v>
      </c>
      <c r="C350" s="1">
        <v>202424629</v>
      </c>
      <c r="D350" s="1" t="s">
        <v>3983</v>
      </c>
      <c r="E350" s="1" t="s">
        <v>3984</v>
      </c>
      <c r="F350" s="1" t="s">
        <v>176</v>
      </c>
      <c r="G350" s="53" t="str">
        <f>_xlfn.XLOOKUP(Tabla2[[#This Row],[Universidad]],Conversiones!$B:$B,Conversiones!$C:$C)</f>
        <v>Erasmus Universiteit Rotterdam</v>
      </c>
      <c r="H350" s="53" t="str">
        <f>_xlfn.XLOOKUP(Tabla2[[#This Row],[Universidad KPIs]],Conversiones!$C:$C,Conversiones!$E:$E)</f>
        <v>General</v>
      </c>
      <c r="I350" s="1" t="s">
        <v>79</v>
      </c>
      <c r="J350" s="1" t="s">
        <v>250</v>
      </c>
      <c r="K350" s="1" t="s">
        <v>3985</v>
      </c>
      <c r="L350" s="1" t="s">
        <v>3986</v>
      </c>
      <c r="M350" s="1" t="s">
        <v>213</v>
      </c>
      <c r="N350" s="1" t="s">
        <v>3626</v>
      </c>
      <c r="O350" s="54"/>
      <c r="P350" s="1"/>
      <c r="Q350" s="1" t="s">
        <v>2407</v>
      </c>
      <c r="R350" s="1" t="s">
        <v>2300</v>
      </c>
      <c r="S350" s="1" t="s">
        <v>2307</v>
      </c>
      <c r="T350" s="1" t="s">
        <v>2647</v>
      </c>
      <c r="U350" s="1" t="s">
        <v>2394</v>
      </c>
      <c r="V350" s="1" t="s">
        <v>2997</v>
      </c>
      <c r="W350" s="1"/>
      <c r="X350" s="1"/>
      <c r="Y350" s="1"/>
      <c r="Z350" s="1"/>
      <c r="AA350" s="1"/>
      <c r="AB350" s="1"/>
      <c r="AC350" s="56" t="s">
        <v>216</v>
      </c>
      <c r="AD350" s="82" t="s">
        <v>234</v>
      </c>
    </row>
    <row r="351" spans="1:30">
      <c r="A351" s="1">
        <v>2024</v>
      </c>
      <c r="B351" s="1">
        <v>202420</v>
      </c>
      <c r="C351" s="1">
        <v>202424835</v>
      </c>
      <c r="D351" s="1" t="s">
        <v>3643</v>
      </c>
      <c r="E351" s="1" t="s">
        <v>3987</v>
      </c>
      <c r="F351" s="1" t="s">
        <v>161</v>
      </c>
      <c r="G351" s="53" t="str">
        <f>_xlfn.XLOOKUP(Tabla2[[#This Row],[Universidad]],Conversiones!$B:$B,Conversiones!$C:$C)</f>
        <v>Université de Genève</v>
      </c>
      <c r="H351" s="53" t="str">
        <f>_xlfn.XLOOKUP(Tabla2[[#This Row],[Universidad KPIs]],Conversiones!$C:$C,Conversiones!$E:$E)</f>
        <v>General</v>
      </c>
      <c r="I351" s="1" t="s">
        <v>65</v>
      </c>
      <c r="J351" s="1" t="s">
        <v>250</v>
      </c>
      <c r="K351" s="1" t="s">
        <v>3988</v>
      </c>
      <c r="L351" s="1" t="s">
        <v>3989</v>
      </c>
      <c r="M351" s="1" t="s">
        <v>213</v>
      </c>
      <c r="N351" s="1" t="s">
        <v>3626</v>
      </c>
      <c r="O351" s="54"/>
      <c r="P351" s="1"/>
      <c r="Q351" s="1" t="s">
        <v>2653</v>
      </c>
      <c r="R351" s="1" t="s">
        <v>3990</v>
      </c>
      <c r="S351" s="1" t="s">
        <v>3991</v>
      </c>
      <c r="T351" s="1" t="s">
        <v>3992</v>
      </c>
      <c r="U351" s="1"/>
      <c r="V351" s="1"/>
      <c r="W351" s="1"/>
      <c r="X351" s="1"/>
      <c r="Y351" s="1"/>
      <c r="Z351" s="1"/>
      <c r="AA351" s="1"/>
      <c r="AB351" s="1"/>
      <c r="AC351" s="56" t="s">
        <v>220</v>
      </c>
      <c r="AD351" s="82" t="s">
        <v>227</v>
      </c>
    </row>
    <row r="352" spans="1:30">
      <c r="A352" s="1">
        <v>2024</v>
      </c>
      <c r="B352" s="1">
        <v>202420</v>
      </c>
      <c r="C352" s="1">
        <v>202424606</v>
      </c>
      <c r="D352" s="1" t="s">
        <v>3993</v>
      </c>
      <c r="E352" s="1" t="s">
        <v>3994</v>
      </c>
      <c r="F352" s="1" t="s">
        <v>325</v>
      </c>
      <c r="G352" s="53" t="str">
        <f>_xlfn.XLOOKUP(Tabla2[[#This Row],[Universidad]],Conversiones!$B:$B,Conversiones!$C:$C)</f>
        <v>Università Commerciale Luigi Bocconi</v>
      </c>
      <c r="H352" s="53" t="str">
        <f>_xlfn.XLOOKUP(Tabla2[[#This Row],[Universidad KPIs]],Conversiones!$C:$C,Conversiones!$E:$E)</f>
        <v>Específico</v>
      </c>
      <c r="I352" s="1" t="s">
        <v>87</v>
      </c>
      <c r="J352" s="1" t="s">
        <v>250</v>
      </c>
      <c r="K352" s="1" t="s">
        <v>3995</v>
      </c>
      <c r="L352" s="1" t="s">
        <v>3996</v>
      </c>
      <c r="M352" s="1" t="s">
        <v>213</v>
      </c>
      <c r="N352" s="1" t="s">
        <v>3626</v>
      </c>
      <c r="O352" s="54"/>
      <c r="P352" s="1"/>
      <c r="Q352" s="1" t="s">
        <v>2300</v>
      </c>
      <c r="R352" s="1" t="s">
        <v>2370</v>
      </c>
      <c r="S352" s="1" t="s">
        <v>2601</v>
      </c>
      <c r="T352" s="1" t="s">
        <v>2308</v>
      </c>
      <c r="U352" s="1" t="s">
        <v>3997</v>
      </c>
      <c r="V352" s="1"/>
      <c r="W352" s="1"/>
      <c r="X352" s="1"/>
      <c r="Y352" s="1"/>
      <c r="Z352" s="1"/>
      <c r="AA352" s="1"/>
      <c r="AB352" s="1"/>
      <c r="AC352" s="56" t="s">
        <v>216</v>
      </c>
      <c r="AD352" s="82" t="s">
        <v>234</v>
      </c>
    </row>
    <row r="353" spans="1:30">
      <c r="A353" s="1">
        <v>2024</v>
      </c>
      <c r="B353" s="1">
        <v>202420</v>
      </c>
      <c r="C353" s="1">
        <v>202424805</v>
      </c>
      <c r="D353" s="1" t="s">
        <v>3998</v>
      </c>
      <c r="E353" s="1" t="s">
        <v>3999</v>
      </c>
      <c r="F353" s="1" t="s">
        <v>738</v>
      </c>
      <c r="G353" s="53" t="str">
        <f>_xlfn.XLOOKUP(Tabla2[[#This Row],[Universidad]],Conversiones!$B:$B,Conversiones!$C:$C)</f>
        <v>Universidad de Tilburg</v>
      </c>
      <c r="H353" s="53" t="str">
        <f>_xlfn.XLOOKUP(Tabla2[[#This Row],[Universidad KPIs]],Conversiones!$C:$C,Conversiones!$E:$E)</f>
        <v>Específico</v>
      </c>
      <c r="I353" s="1" t="s">
        <v>79</v>
      </c>
      <c r="J353" s="1" t="s">
        <v>250</v>
      </c>
      <c r="K353" s="1" t="s">
        <v>4000</v>
      </c>
      <c r="L353" s="1" t="s">
        <v>4001</v>
      </c>
      <c r="M353" s="1" t="s">
        <v>213</v>
      </c>
      <c r="N353" s="1" t="s">
        <v>3626</v>
      </c>
      <c r="O353" s="54"/>
      <c r="P353" s="1"/>
      <c r="Q353" s="1" t="s">
        <v>2525</v>
      </c>
      <c r="R353" s="1" t="s">
        <v>2327</v>
      </c>
      <c r="S353" s="1" t="s">
        <v>2370</v>
      </c>
      <c r="T353" s="1" t="s">
        <v>2307</v>
      </c>
      <c r="U353" s="1" t="s">
        <v>2308</v>
      </c>
      <c r="V353" s="1" t="s">
        <v>2309</v>
      </c>
      <c r="W353" s="1"/>
      <c r="X353" s="1"/>
      <c r="Y353" s="1"/>
      <c r="Z353" s="1"/>
      <c r="AA353" s="1"/>
      <c r="AB353" s="1"/>
      <c r="AC353" s="56" t="s">
        <v>216</v>
      </c>
      <c r="AD353" s="82" t="s">
        <v>234</v>
      </c>
    </row>
    <row r="354" spans="1:30">
      <c r="A354" s="1">
        <v>2024</v>
      </c>
      <c r="B354" s="1">
        <v>202420</v>
      </c>
      <c r="C354" s="1">
        <v>202424810</v>
      </c>
      <c r="D354" s="1" t="s">
        <v>4002</v>
      </c>
      <c r="E354" s="1" t="s">
        <v>4003</v>
      </c>
      <c r="F354" s="1" t="s">
        <v>98</v>
      </c>
      <c r="G354" s="53" t="str">
        <f>_xlfn.XLOOKUP(Tabla2[[#This Row],[Universidad]],Conversiones!$B:$B,Conversiones!$C:$C)</f>
        <v>Universiteit Utrecht</v>
      </c>
      <c r="H354" s="53" t="str">
        <f>_xlfn.XLOOKUP(Tabla2[[#This Row],[Universidad KPIs]],Conversiones!$C:$C,Conversiones!$E:$E)</f>
        <v>Específico</v>
      </c>
      <c r="I354" s="1" t="s">
        <v>79</v>
      </c>
      <c r="J354" s="1" t="s">
        <v>250</v>
      </c>
      <c r="K354" s="1" t="s">
        <v>4004</v>
      </c>
      <c r="L354" s="1" t="s">
        <v>4005</v>
      </c>
      <c r="M354" s="1" t="s">
        <v>213</v>
      </c>
      <c r="N354" s="1" t="s">
        <v>3626</v>
      </c>
      <c r="O354" s="54"/>
      <c r="P354" s="1"/>
      <c r="Q354" s="1" t="s">
        <v>3145</v>
      </c>
      <c r="R354" s="1" t="s">
        <v>3990</v>
      </c>
      <c r="S354" s="1" t="s">
        <v>2463</v>
      </c>
      <c r="T354" s="1"/>
      <c r="U354" s="1"/>
      <c r="V354" s="1"/>
      <c r="W354" s="1"/>
      <c r="X354" s="1"/>
      <c r="Y354" s="1"/>
      <c r="Z354" s="1"/>
      <c r="AA354" s="1"/>
      <c r="AB354" s="1"/>
      <c r="AC354" s="56" t="s">
        <v>220</v>
      </c>
      <c r="AD354" s="82" t="s">
        <v>227</v>
      </c>
    </row>
    <row r="355" spans="1:30" ht="15.75" thickBot="1">
      <c r="A355" s="1">
        <v>2024</v>
      </c>
      <c r="B355" s="1">
        <v>202420</v>
      </c>
      <c r="C355" s="1">
        <v>202424808</v>
      </c>
      <c r="D355" s="1" t="s">
        <v>4006</v>
      </c>
      <c r="E355" s="1" t="s">
        <v>4007</v>
      </c>
      <c r="F355" s="1" t="s">
        <v>106</v>
      </c>
      <c r="G355" s="53" t="str">
        <f>_xlfn.XLOOKUP(Tabla2[[#This Row],[Universidad]],Conversiones!$B:$B,Conversiones!$C:$C)</f>
        <v>Universidad de San Andrés</v>
      </c>
      <c r="H355" s="53" t="str">
        <f>_xlfn.XLOOKUP(Tabla2[[#This Row],[Universidad KPIs]],Conversiones!$C:$C,Conversiones!$E:$E)</f>
        <v>General</v>
      </c>
      <c r="I355" s="1" t="s">
        <v>107</v>
      </c>
      <c r="J355" s="1" t="s">
        <v>265</v>
      </c>
      <c r="K355" s="1" t="s">
        <v>4008</v>
      </c>
      <c r="L355" s="1" t="s">
        <v>4009</v>
      </c>
      <c r="M355" s="1" t="s">
        <v>213</v>
      </c>
      <c r="N355" s="1" t="s">
        <v>3626</v>
      </c>
      <c r="O355" s="54"/>
      <c r="P355" s="1"/>
      <c r="Q355" s="1" t="s">
        <v>4010</v>
      </c>
      <c r="R355" s="1" t="s">
        <v>4011</v>
      </c>
      <c r="S355" s="1" t="s">
        <v>4012</v>
      </c>
      <c r="T355" s="1" t="s">
        <v>4013</v>
      </c>
      <c r="U355" s="1" t="s">
        <v>2725</v>
      </c>
      <c r="V355" s="1" t="s">
        <v>4014</v>
      </c>
      <c r="W355" s="1" t="s">
        <v>3816</v>
      </c>
      <c r="X355" s="1" t="s">
        <v>4015</v>
      </c>
      <c r="Y355" s="1"/>
      <c r="Z355" s="1"/>
      <c r="AA355" s="1"/>
      <c r="AB355" s="1"/>
      <c r="AC355" s="56" t="s">
        <v>230</v>
      </c>
      <c r="AD355" s="82" t="s">
        <v>227</v>
      </c>
    </row>
    <row r="356" spans="1:30">
      <c r="A356" s="1">
        <v>2024</v>
      </c>
      <c r="B356" s="1">
        <v>202420</v>
      </c>
      <c r="C356" s="1">
        <v>202424596</v>
      </c>
      <c r="D356" s="1" t="s">
        <v>4016</v>
      </c>
      <c r="E356" s="1" t="s">
        <v>4017</v>
      </c>
      <c r="F356" s="1" t="s">
        <v>139</v>
      </c>
      <c r="G356" s="53" t="str">
        <f>_xlfn.XLOOKUP(Tabla2[[#This Row],[Universidad]],Conversiones!$B:$B,Conversiones!$C:$C)</f>
        <v>Technische Universität München (TUM)</v>
      </c>
      <c r="H356" s="53" t="str">
        <f>_xlfn.XLOOKUP(Tabla2[[#This Row],[Universidad KPIs]],Conversiones!$C:$C,Conversiones!$E:$E)</f>
        <v>General</v>
      </c>
      <c r="I356" s="1" t="s">
        <v>60</v>
      </c>
      <c r="J356" s="1" t="s">
        <v>250</v>
      </c>
      <c r="K356" s="1" t="s">
        <v>4018</v>
      </c>
      <c r="L356" s="1" t="s">
        <v>4019</v>
      </c>
      <c r="M356" s="1" t="s">
        <v>213</v>
      </c>
      <c r="N356" s="1" t="s">
        <v>3626</v>
      </c>
      <c r="O356" s="54"/>
      <c r="P356" s="1"/>
      <c r="Q356" s="1" t="s">
        <v>2307</v>
      </c>
      <c r="R356" s="1" t="s">
        <v>2321</v>
      </c>
      <c r="S356" s="1" t="s">
        <v>2647</v>
      </c>
      <c r="T356" s="1" t="s">
        <v>3199</v>
      </c>
      <c r="U356" s="1" t="s">
        <v>2382</v>
      </c>
      <c r="V356" s="1" t="s">
        <v>3075</v>
      </c>
      <c r="W356" s="1" t="s">
        <v>2463</v>
      </c>
      <c r="X356" s="1"/>
      <c r="Y356" s="1"/>
      <c r="Z356" s="1"/>
      <c r="AA356" s="1"/>
      <c r="AB356" s="1"/>
      <c r="AC356" s="81" t="s">
        <v>216</v>
      </c>
      <c r="AD356" s="82" t="s">
        <v>227</v>
      </c>
    </row>
    <row r="357" spans="1:30">
      <c r="A357" s="1">
        <v>2024</v>
      </c>
      <c r="B357" s="1">
        <v>202420</v>
      </c>
      <c r="C357" s="1">
        <v>202424833</v>
      </c>
      <c r="D357" s="1" t="s">
        <v>4020</v>
      </c>
      <c r="E357" s="1" t="s">
        <v>4021</v>
      </c>
      <c r="F357" s="1" t="s">
        <v>493</v>
      </c>
      <c r="G357" s="53" t="str">
        <f>_xlfn.XLOOKUP(Tabla2[[#This Row],[Universidad]],Conversiones!$B:$B,Conversiones!$C:$C)</f>
        <v>University of Saint Gallen</v>
      </c>
      <c r="H357" s="53" t="str">
        <f>_xlfn.XLOOKUP(Tabla2[[#This Row],[Universidad KPIs]],Conversiones!$C:$C,Conversiones!$E:$E)</f>
        <v>Específico</v>
      </c>
      <c r="I357" s="1" t="s">
        <v>65</v>
      </c>
      <c r="J357" s="1" t="s">
        <v>250</v>
      </c>
      <c r="K357" s="1" t="s">
        <v>4022</v>
      </c>
      <c r="L357" s="1" t="s">
        <v>4023</v>
      </c>
      <c r="M357" s="1" t="s">
        <v>213</v>
      </c>
      <c r="N357" s="1" t="s">
        <v>3626</v>
      </c>
      <c r="O357" s="54"/>
      <c r="P357" s="1"/>
      <c r="Q357" s="1" t="s">
        <v>3300</v>
      </c>
      <c r="R357" s="1" t="s">
        <v>2733</v>
      </c>
      <c r="S357" s="1" t="s">
        <v>4024</v>
      </c>
      <c r="T357" s="1" t="s">
        <v>2921</v>
      </c>
      <c r="U357" s="1" t="s">
        <v>2463</v>
      </c>
      <c r="V357" s="1" t="s">
        <v>4025</v>
      </c>
      <c r="W357" s="1" t="s">
        <v>4026</v>
      </c>
      <c r="X357" s="1" t="s">
        <v>2702</v>
      </c>
      <c r="Y357" s="1"/>
      <c r="Z357" s="1"/>
      <c r="AA357" s="1"/>
      <c r="AB357" s="1"/>
      <c r="AC357" s="56" t="s">
        <v>231</v>
      </c>
      <c r="AD357" s="82" t="s">
        <v>227</v>
      </c>
    </row>
    <row r="358" spans="1:30">
      <c r="A358" s="1">
        <v>2024</v>
      </c>
      <c r="B358" s="1">
        <v>202420</v>
      </c>
      <c r="C358" s="1">
        <v>202424584</v>
      </c>
      <c r="D358" s="1" t="s">
        <v>4027</v>
      </c>
      <c r="E358" s="1" t="s">
        <v>4028</v>
      </c>
      <c r="F358" s="1" t="s">
        <v>289</v>
      </c>
      <c r="G358" s="53" t="str">
        <f>_xlfn.XLOOKUP(Tabla2[[#This Row],[Universidad]],Conversiones!$B:$B,Conversiones!$C:$C)</f>
        <v>ESADE</v>
      </c>
      <c r="H358" s="53" t="str">
        <f>_xlfn.XLOOKUP(Tabla2[[#This Row],[Universidad KPIs]],Conversiones!$C:$C,Conversiones!$E:$E)</f>
        <v>Específico</v>
      </c>
      <c r="I358" s="1" t="s">
        <v>53</v>
      </c>
      <c r="J358" s="1" t="s">
        <v>250</v>
      </c>
      <c r="K358" s="1" t="s">
        <v>4029</v>
      </c>
      <c r="L358" s="1" t="s">
        <v>4030</v>
      </c>
      <c r="M358" s="1" t="s">
        <v>213</v>
      </c>
      <c r="N358" s="1" t="s">
        <v>3626</v>
      </c>
      <c r="O358" s="54"/>
      <c r="P358" s="1"/>
      <c r="Q358" s="1" t="s">
        <v>2412</v>
      </c>
      <c r="R358" s="1" t="s">
        <v>2681</v>
      </c>
      <c r="S358" s="1" t="s">
        <v>2321</v>
      </c>
      <c r="T358" s="1" t="s">
        <v>2601</v>
      </c>
      <c r="U358" s="1" t="s">
        <v>3199</v>
      </c>
      <c r="V358" s="1"/>
      <c r="W358" s="1"/>
      <c r="X358" s="1"/>
      <c r="Y358" s="1"/>
      <c r="Z358" s="1"/>
      <c r="AA358" s="1"/>
      <c r="AB358" s="1"/>
      <c r="AC358" s="56" t="s">
        <v>216</v>
      </c>
      <c r="AD358" s="82" t="s">
        <v>234</v>
      </c>
    </row>
    <row r="359" spans="1:30">
      <c r="A359" s="1">
        <v>2024</v>
      </c>
      <c r="B359" s="1"/>
      <c r="C359" s="1">
        <v>202413690</v>
      </c>
      <c r="D359" s="1" t="s">
        <v>4031</v>
      </c>
      <c r="E359" s="1" t="s">
        <v>4032</v>
      </c>
      <c r="F359" s="1" t="s">
        <v>196</v>
      </c>
      <c r="G359" s="53" t="str">
        <f>_xlfn.XLOOKUP(Tabla2[[#This Row],[Universidad]],Conversiones!$B:$B,Conversiones!$C:$C)</f>
        <v>Aarhus Universitet</v>
      </c>
      <c r="H359" s="53" t="str">
        <f>_xlfn.XLOOKUP(Tabla2[[#This Row],[Universidad KPIs]],Conversiones!$C:$C,Conversiones!$E:$E)</f>
        <v>General</v>
      </c>
      <c r="I359" s="1" t="s">
        <v>47</v>
      </c>
      <c r="J359" s="1" t="s">
        <v>250</v>
      </c>
      <c r="K359" s="1" t="s">
        <v>4033</v>
      </c>
      <c r="L359" s="1" t="s">
        <v>4034</v>
      </c>
      <c r="M359" s="1" t="s">
        <v>226</v>
      </c>
      <c r="N359" s="1"/>
      <c r="O359" s="54"/>
      <c r="P359" s="1"/>
      <c r="Q359" s="1"/>
      <c r="R359" s="1"/>
      <c r="S359" s="1"/>
      <c r="T359" s="1"/>
      <c r="U359" s="1"/>
      <c r="V359" s="1"/>
      <c r="W359" s="1"/>
      <c r="X359" s="1"/>
      <c r="Y359" s="1"/>
      <c r="Z359" s="1"/>
      <c r="AA359" s="1"/>
      <c r="AB359" s="1"/>
      <c r="AC359" s="56" t="s">
        <v>229</v>
      </c>
      <c r="AD359" s="82" t="s">
        <v>229</v>
      </c>
    </row>
    <row r="360" spans="1:30">
      <c r="A360" s="1">
        <v>2024</v>
      </c>
      <c r="B360" s="1"/>
      <c r="C360" s="1">
        <v>202324240</v>
      </c>
      <c r="D360" s="1" t="s">
        <v>713</v>
      </c>
      <c r="E360" s="1" t="s">
        <v>3478</v>
      </c>
      <c r="F360" s="1" t="s">
        <v>100</v>
      </c>
      <c r="G360" s="53" t="str">
        <f>_xlfn.XLOOKUP(Tabla2[[#This Row],[Universidad]],Conversiones!$B:$B,Conversiones!$C:$C)</f>
        <v>University of Glasgow</v>
      </c>
      <c r="H360" s="53" t="str">
        <f>_xlfn.XLOOKUP(Tabla2[[#This Row],[Universidad KPIs]],Conversiones!$C:$C,Conversiones!$E:$E)</f>
        <v>General</v>
      </c>
      <c r="I360" s="1" t="s">
        <v>39</v>
      </c>
      <c r="J360" s="1" t="s">
        <v>250</v>
      </c>
      <c r="K360" s="1" t="s">
        <v>3479</v>
      </c>
      <c r="L360" s="1" t="s">
        <v>3480</v>
      </c>
      <c r="M360" s="1" t="s">
        <v>226</v>
      </c>
      <c r="N360" s="1"/>
      <c r="O360" s="54"/>
      <c r="P360" s="1"/>
      <c r="Q360" s="1"/>
      <c r="R360" s="1"/>
      <c r="S360" s="1"/>
      <c r="T360" s="1"/>
      <c r="U360" s="1"/>
      <c r="V360" s="1"/>
      <c r="W360" s="1"/>
      <c r="X360" s="1"/>
      <c r="Y360" s="1"/>
      <c r="Z360" s="1"/>
      <c r="AA360" s="1"/>
      <c r="AB360" s="1"/>
      <c r="AC360" s="56" t="s">
        <v>587</v>
      </c>
      <c r="AD360" s="82" t="s">
        <v>227</v>
      </c>
    </row>
    <row r="361" spans="1:30">
      <c r="A361" s="1">
        <v>2024</v>
      </c>
      <c r="B361" s="1"/>
      <c r="C361" s="1">
        <v>202421862</v>
      </c>
      <c r="D361" s="1" t="s">
        <v>4035</v>
      </c>
      <c r="E361" s="1" t="s">
        <v>4036</v>
      </c>
      <c r="F361" s="1" t="s">
        <v>197</v>
      </c>
      <c r="G361" s="53" t="str">
        <f>_xlfn.XLOOKUP(Tabla2[[#This Row],[Universidad]],Conversiones!$B:$B,Conversiones!$C:$C)</f>
        <v>Central European University - Private University</v>
      </c>
      <c r="H361" s="53" t="str">
        <f>_xlfn.XLOOKUP(Tabla2[[#This Row],[Universidad KPIs]],Conversiones!$C:$C,Conversiones!$E:$E)</f>
        <v>General</v>
      </c>
      <c r="I361" s="1" t="s">
        <v>185</v>
      </c>
      <c r="J361" s="1" t="s">
        <v>250</v>
      </c>
      <c r="K361" s="1" t="s">
        <v>4037</v>
      </c>
      <c r="L361" s="1" t="s">
        <v>4038</v>
      </c>
      <c r="M361" s="1" t="s">
        <v>226</v>
      </c>
      <c r="N361" s="1"/>
      <c r="O361" s="54"/>
      <c r="P361" s="1"/>
      <c r="Q361" s="1"/>
      <c r="R361" s="1"/>
      <c r="S361" s="1"/>
      <c r="T361" s="1"/>
      <c r="U361" s="1"/>
      <c r="V361" s="1"/>
      <c r="W361" s="1"/>
      <c r="X361" s="1"/>
      <c r="Y361" s="1"/>
      <c r="Z361" s="1"/>
      <c r="AA361" s="1"/>
      <c r="AB361" s="1"/>
      <c r="AC361" s="56" t="s">
        <v>4039</v>
      </c>
      <c r="AD361" s="82" t="s">
        <v>227</v>
      </c>
    </row>
    <row r="362" spans="1:30">
      <c r="A362" s="1">
        <v>2024</v>
      </c>
      <c r="B362" s="1"/>
      <c r="C362" s="1">
        <v>202423414</v>
      </c>
      <c r="D362" s="1" t="s">
        <v>4040</v>
      </c>
      <c r="E362" s="1" t="s">
        <v>4041</v>
      </c>
      <c r="F362" s="1" t="s">
        <v>201</v>
      </c>
      <c r="G362" s="53" t="str">
        <f>_xlfn.XLOOKUP(Tabla2[[#This Row],[Universidad]],Conversiones!$B:$B,Conversiones!$C:$C)</f>
        <v>Instituto Politécnico Nacional</v>
      </c>
      <c r="H362" s="53" t="str">
        <f>_xlfn.XLOOKUP(Tabla2[[#This Row],[Universidad KPIs]],Conversiones!$C:$C,Conversiones!$E:$E)</f>
        <v>General</v>
      </c>
      <c r="I362" s="1" t="s">
        <v>71</v>
      </c>
      <c r="J362" s="1" t="s">
        <v>260</v>
      </c>
      <c r="K362" s="1" t="s">
        <v>4042</v>
      </c>
      <c r="L362" s="1" t="s">
        <v>4043</v>
      </c>
      <c r="M362" s="1" t="s">
        <v>226</v>
      </c>
      <c r="N362" s="1"/>
      <c r="O362" s="54"/>
      <c r="P362" s="1"/>
      <c r="Q362" s="1"/>
      <c r="R362" s="1"/>
      <c r="S362" s="1"/>
      <c r="T362" s="1"/>
      <c r="U362" s="1"/>
      <c r="V362" s="1"/>
      <c r="W362" s="1"/>
      <c r="X362" s="1"/>
      <c r="Y362" s="1"/>
      <c r="Z362" s="1"/>
      <c r="AA362" s="1"/>
      <c r="AB362" s="1"/>
      <c r="AC362" s="56" t="s">
        <v>4044</v>
      </c>
      <c r="AD362" s="83" t="s">
        <v>227</v>
      </c>
    </row>
    <row r="363" spans="1:30">
      <c r="A363" s="1">
        <v>2025</v>
      </c>
      <c r="B363" s="1"/>
      <c r="C363" s="1">
        <v>202424393</v>
      </c>
      <c r="D363" s="1" t="s">
        <v>4045</v>
      </c>
      <c r="E363" s="1" t="s">
        <v>4046</v>
      </c>
      <c r="F363" s="1" t="s">
        <v>100</v>
      </c>
      <c r="G363" s="53" t="str">
        <f>_xlfn.XLOOKUP(Tabla2[[#This Row],[Universidad]],Conversiones!$B:$B,Conversiones!$C:$C)</f>
        <v>University of Glasgow</v>
      </c>
      <c r="H363" s="53" t="str">
        <f>_xlfn.XLOOKUP(Tabla2[[#This Row],[Universidad KPIs]],Conversiones!$C:$C,Conversiones!$E:$E)</f>
        <v>General</v>
      </c>
      <c r="I363" s="1" t="s">
        <v>39</v>
      </c>
      <c r="J363" s="1" t="s">
        <v>250</v>
      </c>
      <c r="K363" s="1" t="s">
        <v>4047</v>
      </c>
      <c r="L363" s="1" t="s">
        <v>4048</v>
      </c>
      <c r="M363" s="1" t="s">
        <v>226</v>
      </c>
      <c r="N363" s="1"/>
      <c r="O363" s="54"/>
      <c r="P363" s="1"/>
      <c r="Q363" s="1"/>
      <c r="R363" s="1"/>
      <c r="S363" s="1"/>
      <c r="T363" s="1"/>
      <c r="U363" s="1"/>
      <c r="V363" s="1"/>
      <c r="W363" s="1"/>
      <c r="X363" s="1"/>
      <c r="Y363" s="1"/>
      <c r="Z363" s="1"/>
      <c r="AA363" s="1"/>
      <c r="AB363" s="1"/>
      <c r="AC363" s="56" t="s">
        <v>3323</v>
      </c>
      <c r="AD363" s="82" t="s">
        <v>227</v>
      </c>
    </row>
    <row r="364" spans="1:30">
      <c r="A364" s="1">
        <v>2025</v>
      </c>
      <c r="B364" s="1"/>
      <c r="C364" s="1">
        <v>202424394</v>
      </c>
      <c r="D364" s="1" t="s">
        <v>4049</v>
      </c>
      <c r="E364" s="1" t="s">
        <v>4050</v>
      </c>
      <c r="F364" s="1" t="s">
        <v>100</v>
      </c>
      <c r="G364" s="53" t="str">
        <f>_xlfn.XLOOKUP(Tabla2[[#This Row],[Universidad]],Conversiones!$B:$B,Conversiones!$C:$C)</f>
        <v>University of Glasgow</v>
      </c>
      <c r="H364" s="53" t="str">
        <f>_xlfn.XLOOKUP(Tabla2[[#This Row],[Universidad KPIs]],Conversiones!$C:$C,Conversiones!$E:$E)</f>
        <v>General</v>
      </c>
      <c r="I364" s="1" t="s">
        <v>39</v>
      </c>
      <c r="J364" s="1" t="s">
        <v>250</v>
      </c>
      <c r="K364" s="1" t="s">
        <v>4051</v>
      </c>
      <c r="L364" s="1" t="s">
        <v>4052</v>
      </c>
      <c r="M364" s="1" t="s">
        <v>226</v>
      </c>
      <c r="N364" s="1"/>
      <c r="O364" s="54"/>
      <c r="P364" s="1"/>
      <c r="Q364" s="1"/>
      <c r="R364" s="1"/>
      <c r="S364" s="1"/>
      <c r="T364" s="1"/>
      <c r="U364" s="1"/>
      <c r="V364" s="1"/>
      <c r="W364" s="1"/>
      <c r="X364" s="1"/>
      <c r="Y364" s="1"/>
      <c r="Z364" s="1"/>
      <c r="AA364" s="1"/>
      <c r="AB364" s="1"/>
      <c r="AC364" s="56" t="s">
        <v>3323</v>
      </c>
      <c r="AD364" s="83" t="s">
        <v>227</v>
      </c>
    </row>
    <row r="365" spans="1:30">
      <c r="A365" s="1">
        <v>2025</v>
      </c>
      <c r="B365" s="1">
        <v>202510</v>
      </c>
      <c r="C365" s="1">
        <v>202516482</v>
      </c>
      <c r="D365" s="1" t="s">
        <v>4053</v>
      </c>
      <c r="E365" s="1" t="s">
        <v>4054</v>
      </c>
      <c r="F365" s="1" t="s">
        <v>350</v>
      </c>
      <c r="G365" s="53" t="str">
        <f>_xlfn.XLOOKUP(Tabla2[[#This Row],[Universidad]],Conversiones!$B:$B,Conversiones!$C:$C)</f>
        <v>Audencia. École de Management</v>
      </c>
      <c r="H365" s="53" t="str">
        <f>_xlfn.XLOOKUP(Tabla2[[#This Row],[Universidad KPIs]],Conversiones!$C:$C,Conversiones!$E:$E)</f>
        <v>Específico</v>
      </c>
      <c r="I365" s="1" t="s">
        <v>41</v>
      </c>
      <c r="J365" s="1" t="s">
        <v>250</v>
      </c>
      <c r="K365" s="1" t="s">
        <v>4055</v>
      </c>
      <c r="L365" s="1" t="s">
        <v>4056</v>
      </c>
      <c r="M365" s="1" t="s">
        <v>213</v>
      </c>
      <c r="N365" s="1"/>
      <c r="O365" s="54"/>
      <c r="P365" s="1">
        <v>5</v>
      </c>
      <c r="Q365" s="1" t="s">
        <v>2300</v>
      </c>
      <c r="R365" s="1" t="s">
        <v>2307</v>
      </c>
      <c r="S365" s="1" t="s">
        <v>2632</v>
      </c>
      <c r="T365" s="1" t="s">
        <v>2329</v>
      </c>
      <c r="U365" s="1" t="s">
        <v>2369</v>
      </c>
      <c r="V365" s="1"/>
      <c r="W365" s="1"/>
      <c r="X365" s="1"/>
      <c r="Y365" s="1"/>
      <c r="Z365" s="1"/>
      <c r="AA365" s="1"/>
      <c r="AB365" s="1"/>
      <c r="AC365" s="56" t="s">
        <v>216</v>
      </c>
      <c r="AD365" s="82" t="s">
        <v>234</v>
      </c>
    </row>
    <row r="366" spans="1:30">
      <c r="A366" s="1">
        <v>2025</v>
      </c>
      <c r="B366" s="1">
        <v>202510</v>
      </c>
      <c r="C366" s="1">
        <v>202516495</v>
      </c>
      <c r="D366" s="1" t="s">
        <v>4057</v>
      </c>
      <c r="E366" s="1" t="s">
        <v>4058</v>
      </c>
      <c r="F366" s="1" t="s">
        <v>1454</v>
      </c>
      <c r="G366" s="53" t="str">
        <f>_xlfn.XLOOKUP(Tabla2[[#This Row],[Universidad]],Conversiones!$B:$B,Conversiones!$C:$C)</f>
        <v>HEC Paris</v>
      </c>
      <c r="H366" s="53" t="str">
        <f>_xlfn.XLOOKUP(Tabla2[[#This Row],[Universidad KPIs]],Conversiones!$C:$C,Conversiones!$E:$E)</f>
        <v>Específico</v>
      </c>
      <c r="I366" s="1" t="s">
        <v>41</v>
      </c>
      <c r="J366" s="1" t="s">
        <v>250</v>
      </c>
      <c r="K366" s="1" t="s">
        <v>4059</v>
      </c>
      <c r="L366" s="1" t="s">
        <v>4060</v>
      </c>
      <c r="M366" s="1" t="s">
        <v>213</v>
      </c>
      <c r="N366" s="1"/>
      <c r="O366" s="54"/>
      <c r="P366" s="1">
        <v>4</v>
      </c>
      <c r="Q366" s="1" t="s">
        <v>4061</v>
      </c>
      <c r="R366" s="1" t="s">
        <v>4062</v>
      </c>
      <c r="S366" s="1" t="s">
        <v>4063</v>
      </c>
      <c r="T366" s="1" t="s">
        <v>4064</v>
      </c>
      <c r="U366" s="1"/>
      <c r="V366" s="1"/>
      <c r="W366" s="1"/>
      <c r="X366" s="1"/>
      <c r="Y366" s="1"/>
      <c r="Z366" s="1"/>
      <c r="AA366" s="1"/>
      <c r="AB366" s="1"/>
      <c r="AC366" s="56" t="s">
        <v>216</v>
      </c>
      <c r="AD366" s="82" t="s">
        <v>234</v>
      </c>
    </row>
    <row r="367" spans="1:30">
      <c r="A367" s="1">
        <v>2025</v>
      </c>
      <c r="B367" s="1">
        <v>202510</v>
      </c>
      <c r="C367" s="1">
        <v>202516496</v>
      </c>
      <c r="D367" s="1" t="s">
        <v>4065</v>
      </c>
      <c r="E367" s="1" t="s">
        <v>4066</v>
      </c>
      <c r="F367" s="1" t="s">
        <v>1454</v>
      </c>
      <c r="G367" s="53" t="str">
        <f>_xlfn.XLOOKUP(Tabla2[[#This Row],[Universidad]],Conversiones!$B:$B,Conversiones!$C:$C)</f>
        <v>HEC Paris</v>
      </c>
      <c r="H367" s="53" t="str">
        <f>_xlfn.XLOOKUP(Tabla2[[#This Row],[Universidad KPIs]],Conversiones!$C:$C,Conversiones!$E:$E)</f>
        <v>Específico</v>
      </c>
      <c r="I367" s="1" t="s">
        <v>41</v>
      </c>
      <c r="J367" s="1" t="s">
        <v>250</v>
      </c>
      <c r="K367" s="1" t="s">
        <v>4067</v>
      </c>
      <c r="L367" s="1" t="s">
        <v>4068</v>
      </c>
      <c r="M367" s="1" t="s">
        <v>213</v>
      </c>
      <c r="N367" s="1"/>
      <c r="O367" s="54"/>
      <c r="P367" s="1">
        <v>4</v>
      </c>
      <c r="Q367" s="1" t="s">
        <v>4061</v>
      </c>
      <c r="R367" s="1" t="s">
        <v>4062</v>
      </c>
      <c r="S367" s="1" t="s">
        <v>4063</v>
      </c>
      <c r="T367" s="1" t="s">
        <v>4064</v>
      </c>
      <c r="U367" s="1"/>
      <c r="V367" s="1"/>
      <c r="W367" s="1"/>
      <c r="X367" s="1"/>
      <c r="Y367" s="1"/>
      <c r="Z367" s="1"/>
      <c r="AA367" s="1"/>
      <c r="AB367" s="1"/>
      <c r="AC367" s="56" t="s">
        <v>216</v>
      </c>
      <c r="AD367" s="82" t="s">
        <v>234</v>
      </c>
    </row>
    <row r="368" spans="1:30">
      <c r="A368" s="1">
        <v>2025</v>
      </c>
      <c r="B368" s="1">
        <v>202510</v>
      </c>
      <c r="C368" s="1">
        <v>202516497</v>
      </c>
      <c r="D368" s="1" t="s">
        <v>4069</v>
      </c>
      <c r="E368" s="1" t="s">
        <v>4070</v>
      </c>
      <c r="F368" s="1" t="s">
        <v>1454</v>
      </c>
      <c r="G368" s="53" t="str">
        <f>_xlfn.XLOOKUP(Tabla2[[#This Row],[Universidad]],Conversiones!$B:$B,Conversiones!$C:$C)</f>
        <v>HEC Paris</v>
      </c>
      <c r="H368" s="53" t="str">
        <f>_xlfn.XLOOKUP(Tabla2[[#This Row],[Universidad KPIs]],Conversiones!$C:$C,Conversiones!$E:$E)</f>
        <v>Específico</v>
      </c>
      <c r="I368" s="1" t="s">
        <v>41</v>
      </c>
      <c r="J368" s="1" t="s">
        <v>250</v>
      </c>
      <c r="K368" s="1" t="s">
        <v>4071</v>
      </c>
      <c r="L368" s="1" t="s">
        <v>4072</v>
      </c>
      <c r="M368" s="1" t="s">
        <v>213</v>
      </c>
      <c r="N368" s="1"/>
      <c r="O368" s="54"/>
      <c r="P368" s="1">
        <v>4</v>
      </c>
      <c r="Q368" s="1" t="s">
        <v>4061</v>
      </c>
      <c r="R368" s="1" t="s">
        <v>4073</v>
      </c>
      <c r="S368" s="1" t="s">
        <v>4063</v>
      </c>
      <c r="T368" s="1" t="s">
        <v>4064</v>
      </c>
      <c r="U368" s="1"/>
      <c r="V368" s="1"/>
      <c r="W368" s="1"/>
      <c r="X368" s="1"/>
      <c r="Y368" s="1"/>
      <c r="Z368" s="1"/>
      <c r="AA368" s="1"/>
      <c r="AB368" s="1"/>
      <c r="AC368" s="56" t="s">
        <v>216</v>
      </c>
      <c r="AD368" s="82" t="s">
        <v>234</v>
      </c>
    </row>
    <row r="369" spans="1:30">
      <c r="A369" s="1">
        <v>2025</v>
      </c>
      <c r="B369" s="1">
        <v>202510</v>
      </c>
      <c r="C369" s="1">
        <v>202516498</v>
      </c>
      <c r="D369" s="1" t="s">
        <v>4074</v>
      </c>
      <c r="E369" s="1" t="s">
        <v>4075</v>
      </c>
      <c r="F369" s="1" t="s">
        <v>1454</v>
      </c>
      <c r="G369" s="53" t="str">
        <f>_xlfn.XLOOKUP(Tabla2[[#This Row],[Universidad]],Conversiones!$B:$B,Conversiones!$C:$C)</f>
        <v>HEC Paris</v>
      </c>
      <c r="H369" s="53" t="str">
        <f>_xlfn.XLOOKUP(Tabla2[[#This Row],[Universidad KPIs]],Conversiones!$C:$C,Conversiones!$E:$E)</f>
        <v>Específico</v>
      </c>
      <c r="I369" s="1" t="s">
        <v>41</v>
      </c>
      <c r="J369" s="1" t="s">
        <v>250</v>
      </c>
      <c r="K369" s="1" t="s">
        <v>4076</v>
      </c>
      <c r="L369" s="1" t="s">
        <v>4077</v>
      </c>
      <c r="M369" s="1" t="s">
        <v>213</v>
      </c>
      <c r="N369" s="1"/>
      <c r="O369" s="54"/>
      <c r="P369" s="1">
        <v>4</v>
      </c>
      <c r="Q369" s="1" t="s">
        <v>4061</v>
      </c>
      <c r="R369" s="1" t="s">
        <v>4073</v>
      </c>
      <c r="S369" s="1" t="s">
        <v>4063</v>
      </c>
      <c r="T369" s="1" t="s">
        <v>4064</v>
      </c>
      <c r="U369" s="1"/>
      <c r="V369" s="1"/>
      <c r="W369" s="1"/>
      <c r="X369" s="1"/>
      <c r="Y369" s="1"/>
      <c r="Z369" s="1"/>
      <c r="AA369" s="1"/>
      <c r="AB369" s="1"/>
      <c r="AC369" s="56" t="s">
        <v>216</v>
      </c>
      <c r="AD369" s="82" t="s">
        <v>234</v>
      </c>
    </row>
    <row r="370" spans="1:30">
      <c r="A370" s="1">
        <v>2025</v>
      </c>
      <c r="B370" s="1">
        <v>202510</v>
      </c>
      <c r="C370" s="1">
        <v>202516530</v>
      </c>
      <c r="D370" s="1" t="s">
        <v>4078</v>
      </c>
      <c r="E370" s="1" t="s">
        <v>4079</v>
      </c>
      <c r="F370" s="1" t="s">
        <v>781</v>
      </c>
      <c r="G370" s="53" t="str">
        <f>_xlfn.XLOOKUP(Tabla2[[#This Row],[Universidad]],Conversiones!$B:$B,Conversiones!$C:$C)</f>
        <v>ITESM-EGADE -Instituto tecnológico y de estudios superiores de Monterrey</v>
      </c>
      <c r="H370" s="53" t="str">
        <f>_xlfn.XLOOKUP(Tabla2[[#This Row],[Universidad KPIs]],Conversiones!$C:$C,Conversiones!$E:$E)</f>
        <v>Específico</v>
      </c>
      <c r="I370" s="1" t="s">
        <v>71</v>
      </c>
      <c r="J370" s="1" t="s">
        <v>260</v>
      </c>
      <c r="K370" s="1" t="s">
        <v>4080</v>
      </c>
      <c r="L370" s="1" t="s">
        <v>4081</v>
      </c>
      <c r="M370" s="1" t="s">
        <v>213</v>
      </c>
      <c r="N370" s="1"/>
      <c r="O370" s="54"/>
      <c r="P370" s="1">
        <v>6</v>
      </c>
      <c r="Q370" s="1" t="s">
        <v>2496</v>
      </c>
      <c r="R370" s="1" t="s">
        <v>2370</v>
      </c>
      <c r="S370" s="1" t="s">
        <v>4082</v>
      </c>
      <c r="T370" s="1" t="s">
        <v>2309</v>
      </c>
      <c r="U370" s="1" t="s">
        <v>2329</v>
      </c>
      <c r="V370" s="1" t="s">
        <v>2463</v>
      </c>
      <c r="W370" s="1"/>
      <c r="X370" s="1"/>
      <c r="Y370" s="1"/>
      <c r="Z370" s="1"/>
      <c r="AA370" s="1"/>
      <c r="AB370" s="1"/>
      <c r="AC370" s="56" t="s">
        <v>216</v>
      </c>
      <c r="AD370" s="82" t="s">
        <v>234</v>
      </c>
    </row>
    <row r="371" spans="1:30">
      <c r="A371" s="1">
        <v>2025</v>
      </c>
      <c r="B371" s="1">
        <v>202510</v>
      </c>
      <c r="C371" s="1">
        <v>202516563</v>
      </c>
      <c r="D371" s="1" t="s">
        <v>4083</v>
      </c>
      <c r="E371" s="1" t="s">
        <v>4084</v>
      </c>
      <c r="F371" s="1" t="s">
        <v>320</v>
      </c>
      <c r="G371" s="53" t="str">
        <f>_xlfn.XLOOKUP(Tabla2[[#This Row],[Universidad]],Conversiones!$B:$B,Conversiones!$C:$C)</f>
        <v>KLU Kühne Logistics University</v>
      </c>
      <c r="H371" s="53" t="str">
        <f>_xlfn.XLOOKUP(Tabla2[[#This Row],[Universidad KPIs]],Conversiones!$C:$C,Conversiones!$E:$E)</f>
        <v>Específico</v>
      </c>
      <c r="I371" s="1" t="s">
        <v>60</v>
      </c>
      <c r="J371" s="1" t="s">
        <v>250</v>
      </c>
      <c r="K371" s="1" t="s">
        <v>4085</v>
      </c>
      <c r="L371" s="1" t="s">
        <v>4086</v>
      </c>
      <c r="M371" s="1" t="s">
        <v>213</v>
      </c>
      <c r="N371" s="1"/>
      <c r="O371" s="54"/>
      <c r="P371" s="1">
        <v>4</v>
      </c>
      <c r="Q371" s="1" t="s">
        <v>2407</v>
      </c>
      <c r="R371" s="1" t="s">
        <v>2307</v>
      </c>
      <c r="S371" s="1" t="s">
        <v>2321</v>
      </c>
      <c r="T371" s="1" t="s">
        <v>2889</v>
      </c>
      <c r="U371" s="1"/>
      <c r="V371" s="1"/>
      <c r="W371" s="1"/>
      <c r="X371" s="1"/>
      <c r="Y371" s="1"/>
      <c r="Z371" s="1"/>
      <c r="AA371" s="1"/>
      <c r="AB371" s="1"/>
      <c r="AC371" s="56" t="s">
        <v>216</v>
      </c>
      <c r="AD371" s="82" t="s">
        <v>234</v>
      </c>
    </row>
    <row r="372" spans="1:30">
      <c r="A372" s="1">
        <v>2025</v>
      </c>
      <c r="B372" s="1">
        <v>202510</v>
      </c>
      <c r="C372" s="1">
        <v>202516564</v>
      </c>
      <c r="D372" s="1" t="s">
        <v>4087</v>
      </c>
      <c r="E372" s="1" t="s">
        <v>4088</v>
      </c>
      <c r="F372" s="1" t="s">
        <v>320</v>
      </c>
      <c r="G372" s="53" t="str">
        <f>_xlfn.XLOOKUP(Tabla2[[#This Row],[Universidad]],Conversiones!$B:$B,Conversiones!$C:$C)</f>
        <v>KLU Kühne Logistics University</v>
      </c>
      <c r="H372" s="53" t="str">
        <f>_xlfn.XLOOKUP(Tabla2[[#This Row],[Universidad KPIs]],Conversiones!$C:$C,Conversiones!$E:$E)</f>
        <v>Específico</v>
      </c>
      <c r="I372" s="1" t="s">
        <v>60</v>
      </c>
      <c r="J372" s="1" t="s">
        <v>250</v>
      </c>
      <c r="K372" s="1" t="s">
        <v>4089</v>
      </c>
      <c r="L372" s="1" t="s">
        <v>4090</v>
      </c>
      <c r="M372" s="1" t="s">
        <v>213</v>
      </c>
      <c r="N372" s="1"/>
      <c r="O372" s="54"/>
      <c r="P372" s="1">
        <v>4</v>
      </c>
      <c r="Q372" s="1" t="s">
        <v>2407</v>
      </c>
      <c r="R372" s="1" t="s">
        <v>2307</v>
      </c>
      <c r="S372" s="1" t="s">
        <v>2321</v>
      </c>
      <c r="T372" s="1" t="s">
        <v>2889</v>
      </c>
      <c r="U372" s="1"/>
      <c r="V372" s="1"/>
      <c r="W372" s="1"/>
      <c r="X372" s="1"/>
      <c r="Y372" s="1"/>
      <c r="Z372" s="1"/>
      <c r="AA372" s="1"/>
      <c r="AB372" s="1"/>
      <c r="AC372" s="56" t="s">
        <v>216</v>
      </c>
      <c r="AD372" s="82" t="s">
        <v>234</v>
      </c>
    </row>
    <row r="373" spans="1:30">
      <c r="A373" s="1">
        <v>2025</v>
      </c>
      <c r="B373" s="1">
        <v>202510</v>
      </c>
      <c r="C373" s="1">
        <v>202516456</v>
      </c>
      <c r="D373" s="1" t="s">
        <v>4091</v>
      </c>
      <c r="E373" s="1" t="s">
        <v>4092</v>
      </c>
      <c r="F373" s="1" t="s">
        <v>78</v>
      </c>
      <c r="G373" s="53" t="str">
        <f>_xlfn.XLOOKUP(Tabla2[[#This Row],[Universidad]],Conversiones!$B:$B,Conversiones!$C:$C)</f>
        <v>Maastricht University</v>
      </c>
      <c r="H373" s="53" t="str">
        <f>_xlfn.XLOOKUP(Tabla2[[#This Row],[Universidad KPIs]],Conversiones!$C:$C,Conversiones!$E:$E)</f>
        <v>Específico</v>
      </c>
      <c r="I373" s="1" t="s">
        <v>79</v>
      </c>
      <c r="J373" s="1" t="s">
        <v>250</v>
      </c>
      <c r="K373" s="1" t="s">
        <v>4093</v>
      </c>
      <c r="L373" s="1" t="s">
        <v>4094</v>
      </c>
      <c r="M373" s="1" t="s">
        <v>213</v>
      </c>
      <c r="N373" s="1"/>
      <c r="O373" s="54"/>
      <c r="P373" s="1">
        <v>6</v>
      </c>
      <c r="Q373" s="1" t="s">
        <v>2370</v>
      </c>
      <c r="R373" s="1" t="s">
        <v>2681</v>
      </c>
      <c r="S373" s="1" t="s">
        <v>2307</v>
      </c>
      <c r="T373" s="1" t="s">
        <v>2321</v>
      </c>
      <c r="U373" s="1" t="s">
        <v>3199</v>
      </c>
      <c r="V373" s="1" t="s">
        <v>2845</v>
      </c>
      <c r="W373" s="1"/>
      <c r="X373" s="1"/>
      <c r="Y373" s="1"/>
      <c r="Z373" s="1"/>
      <c r="AA373" s="1"/>
      <c r="AB373" s="1"/>
      <c r="AC373" s="56" t="s">
        <v>216</v>
      </c>
      <c r="AD373" s="82" t="s">
        <v>234</v>
      </c>
    </row>
    <row r="374" spans="1:30">
      <c r="A374" s="1">
        <v>2025</v>
      </c>
      <c r="B374" s="1">
        <v>202510</v>
      </c>
      <c r="C374" s="1">
        <v>202516504</v>
      </c>
      <c r="D374" s="1" t="s">
        <v>4095</v>
      </c>
      <c r="E374" s="1" t="s">
        <v>4096</v>
      </c>
      <c r="F374" s="1" t="s">
        <v>78</v>
      </c>
      <c r="G374" s="53" t="str">
        <f>_xlfn.XLOOKUP(Tabla2[[#This Row],[Universidad]],Conversiones!$B:$B,Conversiones!$C:$C)</f>
        <v>Maastricht University</v>
      </c>
      <c r="H374" s="53" t="str">
        <f>_xlfn.XLOOKUP(Tabla2[[#This Row],[Universidad KPIs]],Conversiones!$C:$C,Conversiones!$E:$E)</f>
        <v>Específico</v>
      </c>
      <c r="I374" s="1" t="s">
        <v>79</v>
      </c>
      <c r="J374" s="1" t="s">
        <v>250</v>
      </c>
      <c r="K374" s="1" t="s">
        <v>4097</v>
      </c>
      <c r="L374" s="1" t="s">
        <v>4098</v>
      </c>
      <c r="M374" s="1" t="s">
        <v>213</v>
      </c>
      <c r="N374" s="1"/>
      <c r="O374" s="54"/>
      <c r="P374" s="1">
        <v>6</v>
      </c>
      <c r="Q374" s="1" t="s">
        <v>2412</v>
      </c>
      <c r="R374" s="1" t="s">
        <v>2370</v>
      </c>
      <c r="S374" s="1" t="s">
        <v>2681</v>
      </c>
      <c r="T374" s="1" t="s">
        <v>2321</v>
      </c>
      <c r="U374" s="1" t="s">
        <v>3199</v>
      </c>
      <c r="V374" s="1" t="s">
        <v>2845</v>
      </c>
      <c r="W374" s="1"/>
      <c r="X374" s="1"/>
      <c r="Y374" s="1"/>
      <c r="Z374" s="1"/>
      <c r="AA374" s="1"/>
      <c r="AB374" s="1"/>
      <c r="AC374" s="56" t="s">
        <v>216</v>
      </c>
      <c r="AD374" s="82" t="s">
        <v>234</v>
      </c>
    </row>
    <row r="375" spans="1:30">
      <c r="A375" s="1">
        <v>2025</v>
      </c>
      <c r="B375" s="1">
        <v>202510</v>
      </c>
      <c r="C375" s="1">
        <v>202516505</v>
      </c>
      <c r="D375" s="1" t="s">
        <v>4099</v>
      </c>
      <c r="E375" s="1" t="s">
        <v>4100</v>
      </c>
      <c r="F375" s="1" t="s">
        <v>78</v>
      </c>
      <c r="G375" s="53" t="str">
        <f>_xlfn.XLOOKUP(Tabla2[[#This Row],[Universidad]],Conversiones!$B:$B,Conversiones!$C:$C)</f>
        <v>Maastricht University</v>
      </c>
      <c r="H375" s="53" t="str">
        <f>_xlfn.XLOOKUP(Tabla2[[#This Row],[Universidad KPIs]],Conversiones!$C:$C,Conversiones!$E:$E)</f>
        <v>Específico</v>
      </c>
      <c r="I375" s="1" t="s">
        <v>79</v>
      </c>
      <c r="J375" s="1" t="s">
        <v>250</v>
      </c>
      <c r="K375" s="1" t="s">
        <v>4101</v>
      </c>
      <c r="L375" s="1" t="s">
        <v>4102</v>
      </c>
      <c r="M375" s="1" t="s">
        <v>213</v>
      </c>
      <c r="N375" s="1"/>
      <c r="O375" s="54"/>
      <c r="P375" s="1">
        <v>7</v>
      </c>
      <c r="Q375" s="1" t="s">
        <v>2388</v>
      </c>
      <c r="R375" s="1" t="s">
        <v>2300</v>
      </c>
      <c r="S375" s="1" t="s">
        <v>2370</v>
      </c>
      <c r="T375" s="1" t="s">
        <v>2321</v>
      </c>
      <c r="U375" s="1" t="s">
        <v>2632</v>
      </c>
      <c r="V375" s="1" t="s">
        <v>3199</v>
      </c>
      <c r="W375" s="1" t="s">
        <v>2464</v>
      </c>
      <c r="X375" s="1"/>
      <c r="Y375" s="1"/>
      <c r="Z375" s="1"/>
      <c r="AA375" s="1"/>
      <c r="AB375" s="1"/>
      <c r="AC375" s="56" t="s">
        <v>216</v>
      </c>
      <c r="AD375" s="82" t="s">
        <v>234</v>
      </c>
    </row>
    <row r="376" spans="1:30">
      <c r="A376" s="1">
        <v>2025</v>
      </c>
      <c r="B376" s="1">
        <v>202510</v>
      </c>
      <c r="C376" s="1">
        <v>202516477</v>
      </c>
      <c r="D376" s="1" t="s">
        <v>4103</v>
      </c>
      <c r="E376" s="1" t="s">
        <v>4104</v>
      </c>
      <c r="F376" s="1" t="s">
        <v>78</v>
      </c>
      <c r="G376" s="53" t="str">
        <f>_xlfn.XLOOKUP(Tabla2[[#This Row],[Universidad]],Conversiones!$B:$B,Conversiones!$C:$C)</f>
        <v>Maastricht University</v>
      </c>
      <c r="H376" s="53" t="str">
        <f>_xlfn.XLOOKUP(Tabla2[[#This Row],[Universidad KPIs]],Conversiones!$C:$C,Conversiones!$E:$E)</f>
        <v>Específico</v>
      </c>
      <c r="I376" s="1" t="s">
        <v>79</v>
      </c>
      <c r="J376" s="1" t="s">
        <v>250</v>
      </c>
      <c r="K376" s="1" t="s">
        <v>4105</v>
      </c>
      <c r="L376" s="1" t="s">
        <v>4106</v>
      </c>
      <c r="M376" s="1" t="s">
        <v>213</v>
      </c>
      <c r="N376" s="1"/>
      <c r="O376" s="54"/>
      <c r="P376" s="1">
        <v>6</v>
      </c>
      <c r="Q376" s="1" t="s">
        <v>2407</v>
      </c>
      <c r="R376" s="1" t="s">
        <v>2300</v>
      </c>
      <c r="S376" s="1" t="s">
        <v>2370</v>
      </c>
      <c r="T376" s="1" t="s">
        <v>2681</v>
      </c>
      <c r="U376" s="1" t="s">
        <v>2307</v>
      </c>
      <c r="V376" s="1" t="s">
        <v>2321</v>
      </c>
      <c r="W376" s="1"/>
      <c r="X376" s="1"/>
      <c r="Y376" s="1"/>
      <c r="Z376" s="1"/>
      <c r="AA376" s="1"/>
      <c r="AB376" s="1"/>
      <c r="AC376" s="56" t="s">
        <v>216</v>
      </c>
      <c r="AD376" s="82" t="s">
        <v>234</v>
      </c>
    </row>
    <row r="377" spans="1:30">
      <c r="A377" s="1">
        <v>2025</v>
      </c>
      <c r="B377" s="1">
        <v>202510</v>
      </c>
      <c r="C377" s="1">
        <v>202516478</v>
      </c>
      <c r="D377" s="1" t="s">
        <v>4107</v>
      </c>
      <c r="E377" s="1" t="s">
        <v>4108</v>
      </c>
      <c r="F377" s="1" t="s">
        <v>78</v>
      </c>
      <c r="G377" s="53" t="str">
        <f>_xlfn.XLOOKUP(Tabla2[[#This Row],[Universidad]],Conversiones!$B:$B,Conversiones!$C:$C)</f>
        <v>Maastricht University</v>
      </c>
      <c r="H377" s="53" t="str">
        <f>_xlfn.XLOOKUP(Tabla2[[#This Row],[Universidad KPIs]],Conversiones!$C:$C,Conversiones!$E:$E)</f>
        <v>Específico</v>
      </c>
      <c r="I377" s="1" t="s">
        <v>79</v>
      </c>
      <c r="J377" s="1" t="s">
        <v>250</v>
      </c>
      <c r="K377" s="1" t="s">
        <v>4109</v>
      </c>
      <c r="L377" s="1" t="s">
        <v>4110</v>
      </c>
      <c r="M377" s="1" t="s">
        <v>213</v>
      </c>
      <c r="N377" s="1"/>
      <c r="O377" s="54"/>
      <c r="P377" s="1">
        <v>6</v>
      </c>
      <c r="Q377" s="1" t="s">
        <v>2407</v>
      </c>
      <c r="R377" s="1" t="s">
        <v>2300</v>
      </c>
      <c r="S377" s="1" t="s">
        <v>2370</v>
      </c>
      <c r="T377" s="1" t="s">
        <v>2681</v>
      </c>
      <c r="U377" s="1" t="s">
        <v>2307</v>
      </c>
      <c r="V377" s="1" t="s">
        <v>2321</v>
      </c>
      <c r="W377" s="1"/>
      <c r="X377" s="1"/>
      <c r="Y377" s="1"/>
      <c r="Z377" s="1"/>
      <c r="AA377" s="1"/>
      <c r="AB377" s="1"/>
      <c r="AC377" s="56" t="s">
        <v>216</v>
      </c>
      <c r="AD377" s="82" t="s">
        <v>234</v>
      </c>
    </row>
    <row r="378" spans="1:30">
      <c r="A378" s="1">
        <v>2025</v>
      </c>
      <c r="B378" s="1">
        <v>202510</v>
      </c>
      <c r="C378" s="1">
        <v>202516506</v>
      </c>
      <c r="D378" s="1" t="s">
        <v>4111</v>
      </c>
      <c r="E378" s="1" t="s">
        <v>4112</v>
      </c>
      <c r="F378" s="1" t="s">
        <v>78</v>
      </c>
      <c r="G378" s="53" t="str">
        <f>_xlfn.XLOOKUP(Tabla2[[#This Row],[Universidad]],Conversiones!$B:$B,Conversiones!$C:$C)</f>
        <v>Maastricht University</v>
      </c>
      <c r="H378" s="53" t="str">
        <f>_xlfn.XLOOKUP(Tabla2[[#This Row],[Universidad KPIs]],Conversiones!$C:$C,Conversiones!$E:$E)</f>
        <v>Específico</v>
      </c>
      <c r="I378" s="1" t="s">
        <v>79</v>
      </c>
      <c r="J378" s="1" t="s">
        <v>250</v>
      </c>
      <c r="K378" s="1" t="s">
        <v>4113</v>
      </c>
      <c r="L378" s="1" t="s">
        <v>4114</v>
      </c>
      <c r="M378" s="1" t="s">
        <v>213</v>
      </c>
      <c r="N378" s="1"/>
      <c r="O378" s="54"/>
      <c r="P378" s="1">
        <v>6</v>
      </c>
      <c r="Q378" s="1" t="s">
        <v>2412</v>
      </c>
      <c r="R378" s="1" t="s">
        <v>2370</v>
      </c>
      <c r="S378" s="1" t="s">
        <v>2681</v>
      </c>
      <c r="T378" s="1" t="s">
        <v>2321</v>
      </c>
      <c r="U378" s="1" t="s">
        <v>3199</v>
      </c>
      <c r="V378" s="1" t="s">
        <v>2845</v>
      </c>
      <c r="W378" s="1"/>
      <c r="X378" s="1"/>
      <c r="Y378" s="1"/>
      <c r="Z378" s="1"/>
      <c r="AA378" s="1"/>
      <c r="AB378" s="1"/>
      <c r="AC378" s="56" t="s">
        <v>216</v>
      </c>
      <c r="AD378" s="82" t="s">
        <v>234</v>
      </c>
    </row>
    <row r="379" spans="1:30">
      <c r="A379" s="1">
        <v>2025</v>
      </c>
      <c r="B379" s="1">
        <v>202510</v>
      </c>
      <c r="C379" s="1">
        <v>202516507</v>
      </c>
      <c r="D379" s="1" t="s">
        <v>4115</v>
      </c>
      <c r="E379" s="1" t="s">
        <v>4116</v>
      </c>
      <c r="F379" s="1" t="s">
        <v>78</v>
      </c>
      <c r="G379" s="53" t="str">
        <f>_xlfn.XLOOKUP(Tabla2[[#This Row],[Universidad]],Conversiones!$B:$B,Conversiones!$C:$C)</f>
        <v>Maastricht University</v>
      </c>
      <c r="H379" s="53" t="str">
        <f>_xlfn.XLOOKUP(Tabla2[[#This Row],[Universidad KPIs]],Conversiones!$C:$C,Conversiones!$E:$E)</f>
        <v>Específico</v>
      </c>
      <c r="I379" s="1" t="s">
        <v>79</v>
      </c>
      <c r="J379" s="1" t="s">
        <v>250</v>
      </c>
      <c r="K379" s="1" t="s">
        <v>4117</v>
      </c>
      <c r="L379" s="1" t="s">
        <v>4118</v>
      </c>
      <c r="M379" s="1" t="s">
        <v>213</v>
      </c>
      <c r="N379" s="1"/>
      <c r="O379" s="54"/>
      <c r="P379" s="1">
        <v>6</v>
      </c>
      <c r="Q379" s="1" t="s">
        <v>2407</v>
      </c>
      <c r="R379" s="1" t="s">
        <v>2370</v>
      </c>
      <c r="S379" s="1" t="s">
        <v>2681</v>
      </c>
      <c r="T379" s="1" t="s">
        <v>2321</v>
      </c>
      <c r="U379" s="1" t="s">
        <v>2632</v>
      </c>
      <c r="V379" s="1" t="s">
        <v>2845</v>
      </c>
      <c r="W379" s="1"/>
      <c r="X379" s="1"/>
      <c r="Y379" s="1"/>
      <c r="Z379" s="1"/>
      <c r="AA379" s="1"/>
      <c r="AB379" s="1"/>
      <c r="AC379" s="56" t="s">
        <v>216</v>
      </c>
      <c r="AD379" s="82" t="s">
        <v>234</v>
      </c>
    </row>
    <row r="380" spans="1:30">
      <c r="A380" s="1">
        <v>2025</v>
      </c>
      <c r="B380" s="1">
        <v>202510</v>
      </c>
      <c r="C380" s="1">
        <v>202516457</v>
      </c>
      <c r="D380" s="1" t="s">
        <v>4119</v>
      </c>
      <c r="E380" s="1" t="s">
        <v>4120</v>
      </c>
      <c r="F380" s="1" t="s">
        <v>78</v>
      </c>
      <c r="G380" s="53" t="str">
        <f>_xlfn.XLOOKUP(Tabla2[[#This Row],[Universidad]],Conversiones!$B:$B,Conversiones!$C:$C)</f>
        <v>Maastricht University</v>
      </c>
      <c r="H380" s="53" t="str">
        <f>_xlfn.XLOOKUP(Tabla2[[#This Row],[Universidad KPIs]],Conversiones!$C:$C,Conversiones!$E:$E)</f>
        <v>Específico</v>
      </c>
      <c r="I380" s="1" t="s">
        <v>79</v>
      </c>
      <c r="J380" s="1" t="s">
        <v>250</v>
      </c>
      <c r="K380" s="1" t="s">
        <v>4121</v>
      </c>
      <c r="L380" s="1" t="s">
        <v>4122</v>
      </c>
      <c r="M380" s="1" t="s">
        <v>213</v>
      </c>
      <c r="N380" s="1"/>
      <c r="O380" s="54"/>
      <c r="P380" s="1">
        <v>6</v>
      </c>
      <c r="Q380" s="1" t="s">
        <v>2412</v>
      </c>
      <c r="R380" s="1" t="s">
        <v>2370</v>
      </c>
      <c r="S380" s="1" t="s">
        <v>2307</v>
      </c>
      <c r="T380" s="1" t="s">
        <v>2321</v>
      </c>
      <c r="U380" s="1" t="s">
        <v>3199</v>
      </c>
      <c r="V380" s="1" t="s">
        <v>2845</v>
      </c>
      <c r="W380" s="1"/>
      <c r="X380" s="1"/>
      <c r="Y380" s="1"/>
      <c r="Z380" s="1"/>
      <c r="AA380" s="1"/>
      <c r="AB380" s="1"/>
      <c r="AC380" s="56" t="s">
        <v>216</v>
      </c>
      <c r="AD380" s="82" t="s">
        <v>234</v>
      </c>
    </row>
    <row r="381" spans="1:30">
      <c r="A381" s="1">
        <v>2025</v>
      </c>
      <c r="B381" s="1">
        <v>202510</v>
      </c>
      <c r="C381" s="1">
        <v>202516491</v>
      </c>
      <c r="D381" s="1" t="s">
        <v>4123</v>
      </c>
      <c r="E381" s="1" t="s">
        <v>4124</v>
      </c>
      <c r="F381" s="1" t="s">
        <v>80</v>
      </c>
      <c r="G381" s="53" t="str">
        <f>_xlfn.XLOOKUP(Tabla2[[#This Row],[Universidad]],Conversiones!$B:$B,Conversiones!$C:$C)</f>
        <v>McGill University</v>
      </c>
      <c r="H381" s="53" t="str">
        <f>_xlfn.XLOOKUP(Tabla2[[#This Row],[Universidad KPIs]],Conversiones!$C:$C,Conversiones!$E:$E)</f>
        <v>Específico</v>
      </c>
      <c r="I381" s="1" t="s">
        <v>58</v>
      </c>
      <c r="J381" s="1" t="s">
        <v>260</v>
      </c>
      <c r="K381" s="1" t="s">
        <v>4125</v>
      </c>
      <c r="L381" s="1" t="s">
        <v>4126</v>
      </c>
      <c r="M381" s="1" t="s">
        <v>213</v>
      </c>
      <c r="N381" s="1"/>
      <c r="O381" s="54"/>
      <c r="P381" s="1">
        <v>5</v>
      </c>
      <c r="Q381" s="1" t="s">
        <v>2370</v>
      </c>
      <c r="R381" s="1" t="s">
        <v>2321</v>
      </c>
      <c r="S381" s="1" t="s">
        <v>2308</v>
      </c>
      <c r="T381" s="1" t="s">
        <v>2362</v>
      </c>
      <c r="U381" s="1" t="s">
        <v>2830</v>
      </c>
      <c r="V381" s="1"/>
      <c r="W381" s="1"/>
      <c r="X381" s="1"/>
      <c r="Y381" s="1"/>
      <c r="Z381" s="1"/>
      <c r="AA381" s="1"/>
      <c r="AB381" s="1"/>
      <c r="AC381" s="56" t="s">
        <v>216</v>
      </c>
      <c r="AD381" s="82" t="s">
        <v>234</v>
      </c>
    </row>
    <row r="382" spans="1:30">
      <c r="A382" s="1">
        <v>2025</v>
      </c>
      <c r="B382" s="1">
        <v>202510</v>
      </c>
      <c r="C382" s="1">
        <v>202516475</v>
      </c>
      <c r="D382" s="1" t="s">
        <v>4127</v>
      </c>
      <c r="E382" s="1" t="s">
        <v>4128</v>
      </c>
      <c r="F382" s="1" t="s">
        <v>255</v>
      </c>
      <c r="G382" s="53" t="str">
        <f>_xlfn.XLOOKUP(Tabla2[[#This Row],[Universidad]],Conversiones!$B:$B,Conversiones!$C:$C)</f>
        <v>ESC Rouen (NEOMA)</v>
      </c>
      <c r="H382" s="53" t="str">
        <f>_xlfn.XLOOKUP(Tabla2[[#This Row],[Universidad KPIs]],Conversiones!$C:$C,Conversiones!$E:$E)</f>
        <v>Específico</v>
      </c>
      <c r="I382" s="1" t="s">
        <v>41</v>
      </c>
      <c r="J382" s="1" t="s">
        <v>250</v>
      </c>
      <c r="K382" s="1" t="s">
        <v>4129</v>
      </c>
      <c r="L382" s="1" t="s">
        <v>4130</v>
      </c>
      <c r="M382" s="1" t="s">
        <v>213</v>
      </c>
      <c r="N382" s="1"/>
      <c r="O382" s="54"/>
      <c r="P382" s="1">
        <v>4</v>
      </c>
      <c r="Q382" s="1" t="s">
        <v>2370</v>
      </c>
      <c r="R382" s="1" t="s">
        <v>4131</v>
      </c>
      <c r="S382" s="1" t="s">
        <v>2309</v>
      </c>
      <c r="T382" s="1" t="s">
        <v>2578</v>
      </c>
      <c r="U382" s="1"/>
      <c r="V382" s="1"/>
      <c r="W382" s="1"/>
      <c r="X382" s="1"/>
      <c r="Y382" s="1"/>
      <c r="Z382" s="1"/>
      <c r="AA382" s="1"/>
      <c r="AB382" s="1"/>
      <c r="AC382" s="56" t="s">
        <v>216</v>
      </c>
      <c r="AD382" s="82" t="s">
        <v>234</v>
      </c>
    </row>
    <row r="383" spans="1:30">
      <c r="A383" s="1">
        <v>2025</v>
      </c>
      <c r="B383" s="1">
        <v>202510</v>
      </c>
      <c r="C383" s="1">
        <v>202516511</v>
      </c>
      <c r="D383" s="1" t="s">
        <v>3559</v>
      </c>
      <c r="E383" s="1" t="s">
        <v>4132</v>
      </c>
      <c r="F383" s="1" t="s">
        <v>86</v>
      </c>
      <c r="G383" s="53" t="str">
        <f>_xlfn.XLOOKUP(Tabla2[[#This Row],[Universidad]],Conversiones!$B:$B,Conversiones!$C:$C)</f>
        <v>Politecnico di Milano</v>
      </c>
      <c r="H383" s="53" t="str">
        <f>_xlfn.XLOOKUP(Tabla2[[#This Row],[Universidad KPIs]],Conversiones!$C:$C,Conversiones!$E:$E)</f>
        <v>Específico</v>
      </c>
      <c r="I383" s="1" t="s">
        <v>87</v>
      </c>
      <c r="J383" s="1" t="s">
        <v>250</v>
      </c>
      <c r="K383" s="1" t="s">
        <v>4133</v>
      </c>
      <c r="L383" s="1" t="s">
        <v>4134</v>
      </c>
      <c r="M383" s="1" t="s">
        <v>213</v>
      </c>
      <c r="N383" s="1"/>
      <c r="O383" s="54"/>
      <c r="P383" s="1">
        <v>4</v>
      </c>
      <c r="Q383" s="1" t="s">
        <v>2300</v>
      </c>
      <c r="R383" s="1" t="s">
        <v>4135</v>
      </c>
      <c r="S383" s="1" t="s">
        <v>2382</v>
      </c>
      <c r="T383" s="1" t="s">
        <v>2347</v>
      </c>
      <c r="U383" s="1"/>
      <c r="V383" s="1"/>
      <c r="W383" s="1"/>
      <c r="X383" s="1"/>
      <c r="Y383" s="1"/>
      <c r="Z383" s="1"/>
      <c r="AA383" s="1"/>
      <c r="AB383" s="1"/>
      <c r="AC383" s="56" t="s">
        <v>216</v>
      </c>
      <c r="AD383" s="82" t="s">
        <v>234</v>
      </c>
    </row>
    <row r="384" spans="1:30">
      <c r="A384" s="1">
        <v>2025</v>
      </c>
      <c r="B384" s="1">
        <v>202510</v>
      </c>
      <c r="C384" s="1">
        <v>202516643</v>
      </c>
      <c r="D384" s="1" t="s">
        <v>4136</v>
      </c>
      <c r="E384" s="1" t="s">
        <v>4137</v>
      </c>
      <c r="F384" s="1" t="s">
        <v>341</v>
      </c>
      <c r="G384" s="53" t="str">
        <f>_xlfn.XLOOKUP(Tabla2[[#This Row],[Universidad]],Conversiones!$B:$B,Conversiones!$C:$C)</f>
        <v>A.B. Freeman School of Business, Tulane University</v>
      </c>
      <c r="H384" s="53" t="str">
        <f>_xlfn.XLOOKUP(Tabla2[[#This Row],[Universidad KPIs]],Conversiones!$C:$C,Conversiones!$E:$E)</f>
        <v>Específico</v>
      </c>
      <c r="I384" s="1" t="s">
        <v>35</v>
      </c>
      <c r="J384" s="1" t="s">
        <v>260</v>
      </c>
      <c r="K384" s="1" t="s">
        <v>4138</v>
      </c>
      <c r="L384" s="1" t="s">
        <v>4139</v>
      </c>
      <c r="M384" s="1" t="s">
        <v>213</v>
      </c>
      <c r="N384" s="1"/>
      <c r="O384" s="54"/>
      <c r="P384" s="1">
        <v>5</v>
      </c>
      <c r="Q384" s="1" t="s">
        <v>2407</v>
      </c>
      <c r="R384" s="1" t="s">
        <v>2370</v>
      </c>
      <c r="S384" s="1" t="s">
        <v>2889</v>
      </c>
      <c r="T384" s="1" t="s">
        <v>2369</v>
      </c>
      <c r="U384" s="1" t="s">
        <v>2860</v>
      </c>
      <c r="V384" s="1"/>
      <c r="W384" s="1"/>
      <c r="X384" s="1"/>
      <c r="Y384" s="1"/>
      <c r="Z384" s="1"/>
      <c r="AA384" s="1"/>
      <c r="AB384" s="1"/>
      <c r="AC384" s="56" t="s">
        <v>216</v>
      </c>
      <c r="AD384" s="82" t="s">
        <v>234</v>
      </c>
    </row>
    <row r="385" spans="1:30">
      <c r="A385" s="1">
        <v>2025</v>
      </c>
      <c r="B385" s="1">
        <v>202510</v>
      </c>
      <c r="C385" s="1">
        <v>202516646</v>
      </c>
      <c r="D385" s="1" t="s">
        <v>4140</v>
      </c>
      <c r="E385" s="1" t="s">
        <v>4141</v>
      </c>
      <c r="F385" s="1" t="s">
        <v>341</v>
      </c>
      <c r="G385" s="53" t="str">
        <f>_xlfn.XLOOKUP(Tabla2[[#This Row],[Universidad]],Conversiones!$B:$B,Conversiones!$C:$C)</f>
        <v>A.B. Freeman School of Business, Tulane University</v>
      </c>
      <c r="H385" s="53" t="str">
        <f>_xlfn.XLOOKUP(Tabla2[[#This Row],[Universidad KPIs]],Conversiones!$C:$C,Conversiones!$E:$E)</f>
        <v>Específico</v>
      </c>
      <c r="I385" s="1" t="s">
        <v>35</v>
      </c>
      <c r="J385" s="1" t="s">
        <v>260</v>
      </c>
      <c r="K385" s="1" t="s">
        <v>4142</v>
      </c>
      <c r="L385" s="1" t="s">
        <v>4143</v>
      </c>
      <c r="M385" s="1" t="s">
        <v>213</v>
      </c>
      <c r="N385" s="1"/>
      <c r="O385" s="54"/>
      <c r="P385" s="1">
        <v>4</v>
      </c>
      <c r="Q385" s="1" t="s">
        <v>2321</v>
      </c>
      <c r="R385" s="1" t="s">
        <v>4131</v>
      </c>
      <c r="S385" s="1" t="s">
        <v>2632</v>
      </c>
      <c r="T385" s="1" t="s">
        <v>3199</v>
      </c>
      <c r="U385" s="1"/>
      <c r="V385" s="1"/>
      <c r="W385" s="1"/>
      <c r="X385" s="1"/>
      <c r="Y385" s="1"/>
      <c r="Z385" s="1"/>
      <c r="AA385" s="1"/>
      <c r="AB385" s="1"/>
      <c r="AC385" s="56" t="s">
        <v>216</v>
      </c>
      <c r="AD385" s="82" t="s">
        <v>234</v>
      </c>
    </row>
    <row r="386" spans="1:30">
      <c r="A386" s="1">
        <v>2025</v>
      </c>
      <c r="B386" s="1">
        <v>202510</v>
      </c>
      <c r="C386" s="1">
        <v>202516640</v>
      </c>
      <c r="D386" s="1" t="s">
        <v>4144</v>
      </c>
      <c r="E386" s="1" t="s">
        <v>4145</v>
      </c>
      <c r="F386" s="1" t="s">
        <v>341</v>
      </c>
      <c r="G386" s="53" t="str">
        <f>_xlfn.XLOOKUP(Tabla2[[#This Row],[Universidad]],Conversiones!$B:$B,Conversiones!$C:$C)</f>
        <v>A.B. Freeman School of Business, Tulane University</v>
      </c>
      <c r="H386" s="53" t="str">
        <f>_xlfn.XLOOKUP(Tabla2[[#This Row],[Universidad KPIs]],Conversiones!$C:$C,Conversiones!$E:$E)</f>
        <v>Específico</v>
      </c>
      <c r="I386" s="1" t="s">
        <v>35</v>
      </c>
      <c r="J386" s="1" t="s">
        <v>260</v>
      </c>
      <c r="K386" s="1" t="s">
        <v>4146</v>
      </c>
      <c r="L386" s="1" t="s">
        <v>4147</v>
      </c>
      <c r="M386" s="1" t="s">
        <v>213</v>
      </c>
      <c r="N386" s="1"/>
      <c r="O386" s="54"/>
      <c r="P386" s="1">
        <v>4</v>
      </c>
      <c r="Q386" s="1" t="s">
        <v>4131</v>
      </c>
      <c r="R386" s="1" t="s">
        <v>2632</v>
      </c>
      <c r="S386" s="1" t="s">
        <v>4148</v>
      </c>
      <c r="T386" s="1" t="s">
        <v>4149</v>
      </c>
      <c r="U386" s="1"/>
      <c r="V386" s="1"/>
      <c r="W386" s="1"/>
      <c r="X386" s="1"/>
      <c r="Y386" s="1"/>
      <c r="Z386" s="1"/>
      <c r="AA386" s="1"/>
      <c r="AB386" s="1"/>
      <c r="AC386" s="56" t="s">
        <v>216</v>
      </c>
      <c r="AD386" s="82" t="s">
        <v>234</v>
      </c>
    </row>
    <row r="387" spans="1:30">
      <c r="A387" s="1">
        <v>2025</v>
      </c>
      <c r="B387" s="1">
        <v>202510</v>
      </c>
      <c r="C387" s="1">
        <v>202516460</v>
      </c>
      <c r="D387" s="1" t="s">
        <v>3605</v>
      </c>
      <c r="E387" s="1" t="s">
        <v>4150</v>
      </c>
      <c r="F387" s="1" t="s">
        <v>2916</v>
      </c>
      <c r="G387" s="53" t="str">
        <f>_xlfn.XLOOKUP(Tabla2[[#This Row],[Universidad]],Conversiones!$B:$B,Conversiones!$C:$C)</f>
        <v>Universidad Católica Boliviana "San Pablo"</v>
      </c>
      <c r="H387" s="53" t="str">
        <f>_xlfn.XLOOKUP(Tabla2[[#This Row],[Universidad KPIs]],Conversiones!$C:$C,Conversiones!$E:$E)</f>
        <v>General</v>
      </c>
      <c r="I387" s="1" t="s">
        <v>142</v>
      </c>
      <c r="J387" s="1" t="s">
        <v>265</v>
      </c>
      <c r="K387" s="1" t="s">
        <v>4151</v>
      </c>
      <c r="L387" s="1" t="s">
        <v>4152</v>
      </c>
      <c r="M387" s="1" t="s">
        <v>213</v>
      </c>
      <c r="N387" s="1"/>
      <c r="O387" s="54"/>
      <c r="P387" s="1">
        <v>6</v>
      </c>
      <c r="Q387" s="1" t="s">
        <v>4153</v>
      </c>
      <c r="R387" s="1" t="s">
        <v>2456</v>
      </c>
      <c r="S387" s="1" t="s">
        <v>2745</v>
      </c>
      <c r="T387" s="1" t="s">
        <v>2329</v>
      </c>
      <c r="U387" s="1" t="s">
        <v>3935</v>
      </c>
      <c r="V387" s="1" t="s">
        <v>2725</v>
      </c>
      <c r="W387" s="1"/>
      <c r="X387" s="1"/>
      <c r="Y387" s="1"/>
      <c r="Z387" s="1"/>
      <c r="AA387" s="1"/>
      <c r="AB387" s="1"/>
      <c r="AC387" s="56" t="s">
        <v>216</v>
      </c>
      <c r="AD387" s="82" t="s">
        <v>234</v>
      </c>
    </row>
    <row r="388" spans="1:30">
      <c r="A388" s="1">
        <v>2025</v>
      </c>
      <c r="B388" s="1">
        <v>202510</v>
      </c>
      <c r="C388" s="1">
        <v>202516537</v>
      </c>
      <c r="D388" s="1" t="s">
        <v>4154</v>
      </c>
      <c r="E388" s="1" t="s">
        <v>4155</v>
      </c>
      <c r="F388" s="1" t="s">
        <v>1306</v>
      </c>
      <c r="G388" s="53" t="str">
        <f>_xlfn.XLOOKUP(Tabla2[[#This Row],[Universidad]],Conversiones!$B:$B,Conversiones!$C:$C)</f>
        <v>Universidad del Pacífico</v>
      </c>
      <c r="H388" s="53" t="str">
        <f>_xlfn.XLOOKUP(Tabla2[[#This Row],[Universidad KPIs]],Conversiones!$C:$C,Conversiones!$E:$E)</f>
        <v>Específico</v>
      </c>
      <c r="I388" s="1" t="s">
        <v>96</v>
      </c>
      <c r="J388" s="1" t="s">
        <v>265</v>
      </c>
      <c r="K388" s="1" t="s">
        <v>4156</v>
      </c>
      <c r="L388" s="1" t="s">
        <v>4157</v>
      </c>
      <c r="M388" s="1" t="s">
        <v>213</v>
      </c>
      <c r="N388" s="1"/>
      <c r="O388" s="54"/>
      <c r="P388" s="1">
        <v>6</v>
      </c>
      <c r="Q388" s="1" t="s">
        <v>3022</v>
      </c>
      <c r="R388" s="1" t="s">
        <v>3715</v>
      </c>
      <c r="S388" s="1" t="s">
        <v>2456</v>
      </c>
      <c r="T388" s="1" t="s">
        <v>2309</v>
      </c>
      <c r="U388" s="1" t="s">
        <v>2475</v>
      </c>
      <c r="V388" s="1" t="s">
        <v>3935</v>
      </c>
      <c r="W388" s="1"/>
      <c r="X388" s="1"/>
      <c r="Y388" s="1"/>
      <c r="Z388" s="1"/>
      <c r="AA388" s="1"/>
      <c r="AB388" s="1"/>
      <c r="AC388" s="56" t="s">
        <v>216</v>
      </c>
      <c r="AD388" s="82" t="s">
        <v>234</v>
      </c>
    </row>
    <row r="389" spans="1:30">
      <c r="A389" s="1">
        <v>2025</v>
      </c>
      <c r="B389" s="1">
        <v>202510</v>
      </c>
      <c r="C389" s="1">
        <v>202516473</v>
      </c>
      <c r="D389" s="1" t="s">
        <v>4158</v>
      </c>
      <c r="E389" s="1" t="s">
        <v>4159</v>
      </c>
      <c r="F389" s="1" t="s">
        <v>2264</v>
      </c>
      <c r="G389" s="53" t="str">
        <f>_xlfn.XLOOKUP(Tabla2[[#This Row],[Universidad]],Conversiones!$B:$B,Conversiones!$C:$C)</f>
        <v>Université Paris-Dauphine</v>
      </c>
      <c r="H389" s="53" t="str">
        <f>_xlfn.XLOOKUP(Tabla2[[#This Row],[Universidad KPIs]],Conversiones!$C:$C,Conversiones!$E:$E)</f>
        <v>General</v>
      </c>
      <c r="I389" s="1" t="s">
        <v>41</v>
      </c>
      <c r="J389" s="1" t="s">
        <v>250</v>
      </c>
      <c r="K389" s="1" t="s">
        <v>4160</v>
      </c>
      <c r="L389" s="1" t="s">
        <v>4161</v>
      </c>
      <c r="M389" s="1" t="s">
        <v>213</v>
      </c>
      <c r="N389" s="1"/>
      <c r="O389" s="54"/>
      <c r="P389" s="1">
        <v>4</v>
      </c>
      <c r="Q389" s="1" t="s">
        <v>2407</v>
      </c>
      <c r="R389" s="1" t="s">
        <v>2300</v>
      </c>
      <c r="S389" s="1" t="s">
        <v>2307</v>
      </c>
      <c r="T389" s="1" t="s">
        <v>2308</v>
      </c>
      <c r="U389" s="1"/>
      <c r="V389" s="1"/>
      <c r="W389" s="1"/>
      <c r="X389" s="1"/>
      <c r="Y389" s="1"/>
      <c r="Z389" s="1"/>
      <c r="AA389" s="1"/>
      <c r="AB389" s="1"/>
      <c r="AC389" s="56" t="s">
        <v>216</v>
      </c>
      <c r="AD389" s="82" t="s">
        <v>234</v>
      </c>
    </row>
    <row r="390" spans="1:30">
      <c r="A390" s="1">
        <v>2025</v>
      </c>
      <c r="B390" s="1">
        <v>202510</v>
      </c>
      <c r="C390" s="1">
        <v>202514615</v>
      </c>
      <c r="D390" s="1" t="s">
        <v>4162</v>
      </c>
      <c r="E390" s="1" t="s">
        <v>4163</v>
      </c>
      <c r="F390" s="1" t="s">
        <v>174</v>
      </c>
      <c r="G390" s="53" t="str">
        <f>_xlfn.XLOOKUP(Tabla2[[#This Row],[Universidad]],Conversiones!$B:$B,Conversiones!$C:$C)</f>
        <v>Victoria University of Wellington</v>
      </c>
      <c r="H390" s="53" t="str">
        <f>_xlfn.XLOOKUP(Tabla2[[#This Row],[Universidad KPIs]],Conversiones!$C:$C,Conversiones!$E:$E)</f>
        <v>General</v>
      </c>
      <c r="I390" s="1" t="s">
        <v>175</v>
      </c>
      <c r="J390" s="1" t="s">
        <v>354</v>
      </c>
      <c r="K390" s="1" t="s">
        <v>4164</v>
      </c>
      <c r="L390" s="1" t="s">
        <v>4165</v>
      </c>
      <c r="M390" s="1" t="s">
        <v>213</v>
      </c>
      <c r="N390" s="1"/>
      <c r="O390" s="54"/>
      <c r="P390" s="1">
        <v>8</v>
      </c>
      <c r="Q390" s="1" t="s">
        <v>2407</v>
      </c>
      <c r="R390" s="1" t="s">
        <v>2370</v>
      </c>
      <c r="S390" s="1" t="s">
        <v>2889</v>
      </c>
      <c r="T390" s="1" t="s">
        <v>3200</v>
      </c>
      <c r="U390" s="1" t="s">
        <v>2357</v>
      </c>
      <c r="V390" s="1" t="s">
        <v>3348</v>
      </c>
      <c r="W390" s="1" t="s">
        <v>4166</v>
      </c>
      <c r="X390" s="1" t="s">
        <v>2463</v>
      </c>
      <c r="Y390" s="1"/>
      <c r="Z390" s="1"/>
      <c r="AA390" s="1"/>
      <c r="AB390" s="1"/>
      <c r="AC390" s="56" t="s">
        <v>216</v>
      </c>
      <c r="AD390" s="82" t="s">
        <v>234</v>
      </c>
    </row>
    <row r="391" spans="1:30">
      <c r="A391" s="1">
        <v>2025</v>
      </c>
      <c r="B391" s="1">
        <v>202510</v>
      </c>
      <c r="C391" s="1">
        <v>202516502</v>
      </c>
      <c r="D391" s="1" t="s">
        <v>4167</v>
      </c>
      <c r="E391" s="1" t="s">
        <v>4168</v>
      </c>
      <c r="F391" s="1" t="s">
        <v>4169</v>
      </c>
      <c r="G391" s="53" t="str">
        <f>_xlfn.XLOOKUP(Tabla2[[#This Row],[Universidad]],Conversiones!$B:$B,Conversiones!$C:$C)</f>
        <v>Zeppelin University</v>
      </c>
      <c r="H391" s="53" t="str">
        <f>_xlfn.XLOOKUP(Tabla2[[#This Row],[Universidad KPIs]],Conversiones!$C:$C,Conversiones!$E:$E)</f>
        <v>General</v>
      </c>
      <c r="I391" s="1" t="s">
        <v>60</v>
      </c>
      <c r="J391" s="1" t="s">
        <v>250</v>
      </c>
      <c r="K391" s="1" t="s">
        <v>4170</v>
      </c>
      <c r="L391" s="1" t="s">
        <v>4171</v>
      </c>
      <c r="M391" s="1" t="s">
        <v>213</v>
      </c>
      <c r="N391" s="1"/>
      <c r="O391" s="54"/>
      <c r="P391" s="1">
        <v>6</v>
      </c>
      <c r="Q391" s="1" t="s">
        <v>2525</v>
      </c>
      <c r="R391" s="1" t="s">
        <v>2407</v>
      </c>
      <c r="S391" s="1" t="s">
        <v>2412</v>
      </c>
      <c r="T391" s="1" t="s">
        <v>2681</v>
      </c>
      <c r="U391" s="1" t="s">
        <v>2321</v>
      </c>
      <c r="V391" s="1" t="s">
        <v>2889</v>
      </c>
      <c r="W391" s="1"/>
      <c r="X391" s="1"/>
      <c r="Y391" s="1"/>
      <c r="Z391" s="1"/>
      <c r="AA391" s="1"/>
      <c r="AB391" s="1"/>
      <c r="AC391" s="56" t="s">
        <v>216</v>
      </c>
      <c r="AD391" s="82" t="s">
        <v>234</v>
      </c>
    </row>
    <row r="392" spans="1:30">
      <c r="A392" s="1">
        <v>2025</v>
      </c>
      <c r="B392" s="1">
        <v>202510</v>
      </c>
      <c r="C392" s="1">
        <v>202516714</v>
      </c>
      <c r="D392" s="1" t="s">
        <v>4172</v>
      </c>
      <c r="E392" s="1" t="s">
        <v>4173</v>
      </c>
      <c r="F392" s="1" t="s">
        <v>4169</v>
      </c>
      <c r="G392" s="53" t="str">
        <f>_xlfn.XLOOKUP(Tabla2[[#This Row],[Universidad]],Conversiones!$B:$B,Conversiones!$C:$C)</f>
        <v>Zeppelin University</v>
      </c>
      <c r="H392" s="53" t="str">
        <f>_xlfn.XLOOKUP(Tabla2[[#This Row],[Universidad KPIs]],Conversiones!$C:$C,Conversiones!$E:$E)</f>
        <v>General</v>
      </c>
      <c r="I392" s="1" t="s">
        <v>60</v>
      </c>
      <c r="J392" s="1" t="s">
        <v>250</v>
      </c>
      <c r="K392" s="1" t="s">
        <v>4174</v>
      </c>
      <c r="L392" s="1" t="s">
        <v>4175</v>
      </c>
      <c r="M392" s="1" t="s">
        <v>225</v>
      </c>
      <c r="N392" s="1" t="s">
        <v>225</v>
      </c>
      <c r="O392" s="54"/>
      <c r="P392" s="1">
        <v>6</v>
      </c>
      <c r="Q392" s="1" t="s">
        <v>2407</v>
      </c>
      <c r="R392" s="1" t="s">
        <v>2412</v>
      </c>
      <c r="S392" s="1" t="s">
        <v>2681</v>
      </c>
      <c r="T392" s="1" t="s">
        <v>2321</v>
      </c>
      <c r="U392" s="1" t="s">
        <v>2889</v>
      </c>
      <c r="V392" s="1" t="s">
        <v>3200</v>
      </c>
      <c r="W392" s="1"/>
      <c r="X392" s="1"/>
      <c r="Y392" s="1"/>
      <c r="Z392" s="1"/>
      <c r="AA392" s="1"/>
      <c r="AB392" s="1"/>
      <c r="AC392" s="56" t="s">
        <v>216</v>
      </c>
      <c r="AD392" s="82" t="s">
        <v>234</v>
      </c>
    </row>
    <row r="393" spans="1:30">
      <c r="A393" s="1">
        <v>2025</v>
      </c>
      <c r="B393" s="1">
        <v>202510</v>
      </c>
      <c r="C393" s="1">
        <v>202516440</v>
      </c>
      <c r="D393" s="1" t="s">
        <v>4176</v>
      </c>
      <c r="E393" s="1" t="s">
        <v>4177</v>
      </c>
      <c r="F393" s="1" t="s">
        <v>307</v>
      </c>
      <c r="G393" s="53" t="str">
        <f>_xlfn.XLOOKUP(Tabla2[[#This Row],[Universidad]],Conversiones!$B:$B,Conversiones!$C:$C)</f>
        <v>University of Mannheim Business School</v>
      </c>
      <c r="H393" s="53" t="str">
        <f>_xlfn.XLOOKUP(Tabla2[[#This Row],[Universidad KPIs]],Conversiones!$C:$C,Conversiones!$E:$E)</f>
        <v>Específico</v>
      </c>
      <c r="I393" s="1" t="s">
        <v>60</v>
      </c>
      <c r="J393" s="1" t="s">
        <v>250</v>
      </c>
      <c r="K393" s="1" t="s">
        <v>4178</v>
      </c>
      <c r="L393" s="1" t="s">
        <v>4179</v>
      </c>
      <c r="M393" s="1" t="s">
        <v>213</v>
      </c>
      <c r="N393" s="1"/>
      <c r="O393" s="54"/>
      <c r="P393" s="1">
        <v>5</v>
      </c>
      <c r="Q393" s="1" t="s">
        <v>3715</v>
      </c>
      <c r="R393" s="1" t="s">
        <v>3199</v>
      </c>
      <c r="S393" s="1" t="s">
        <v>4180</v>
      </c>
      <c r="T393" s="1" t="s">
        <v>4181</v>
      </c>
      <c r="U393" s="1" t="s">
        <v>3051</v>
      </c>
      <c r="V393" s="1"/>
      <c r="W393" s="1"/>
      <c r="X393" s="1"/>
      <c r="Y393" s="1"/>
      <c r="Z393" s="1"/>
      <c r="AA393" s="1"/>
      <c r="AB393" s="1"/>
      <c r="AC393" s="56" t="s">
        <v>221</v>
      </c>
      <c r="AD393" s="82" t="s">
        <v>227</v>
      </c>
    </row>
    <row r="394" spans="1:30">
      <c r="A394" s="1">
        <v>2025</v>
      </c>
      <c r="B394" s="1">
        <v>202510</v>
      </c>
      <c r="C394" s="1">
        <v>202516450</v>
      </c>
      <c r="D394" s="1" t="s">
        <v>713</v>
      </c>
      <c r="E394" s="1" t="s">
        <v>4182</v>
      </c>
      <c r="F394" s="1" t="s">
        <v>350</v>
      </c>
      <c r="G394" s="53" t="str">
        <f>_xlfn.XLOOKUP(Tabla2[[#This Row],[Universidad]],Conversiones!$B:$B,Conversiones!$C:$C)</f>
        <v>Audencia. École de Management</v>
      </c>
      <c r="H394" s="53" t="str">
        <f>_xlfn.XLOOKUP(Tabla2[[#This Row],[Universidad KPIs]],Conversiones!$C:$C,Conversiones!$E:$E)</f>
        <v>Específico</v>
      </c>
      <c r="I394" s="1" t="s">
        <v>41</v>
      </c>
      <c r="J394" s="1" t="s">
        <v>250</v>
      </c>
      <c r="K394" s="1" t="s">
        <v>4183</v>
      </c>
      <c r="L394" s="1" t="s">
        <v>4184</v>
      </c>
      <c r="M394" s="1" t="s">
        <v>213</v>
      </c>
      <c r="N394" s="1"/>
      <c r="O394" s="54"/>
      <c r="P394" s="1">
        <v>6</v>
      </c>
      <c r="Q394" s="1" t="s">
        <v>2577</v>
      </c>
      <c r="R394" s="1" t="s">
        <v>4185</v>
      </c>
      <c r="S394" s="1" t="s">
        <v>2407</v>
      </c>
      <c r="T394" s="1" t="s">
        <v>2370</v>
      </c>
      <c r="U394" s="1" t="s">
        <v>2309</v>
      </c>
      <c r="V394" s="1" t="s">
        <v>2935</v>
      </c>
      <c r="W394" s="1"/>
      <c r="X394" s="1"/>
      <c r="Y394" s="1"/>
      <c r="Z394" s="1"/>
      <c r="AA394" s="1"/>
      <c r="AB394" s="1"/>
      <c r="AC394" s="56" t="s">
        <v>222</v>
      </c>
      <c r="AD394" s="82" t="s">
        <v>227</v>
      </c>
    </row>
    <row r="395" spans="1:30">
      <c r="A395" s="1">
        <v>2025</v>
      </c>
      <c r="B395" s="1">
        <v>202510</v>
      </c>
      <c r="C395" s="1">
        <v>202516446</v>
      </c>
      <c r="D395" s="1" t="s">
        <v>4186</v>
      </c>
      <c r="E395" s="1" t="s">
        <v>4187</v>
      </c>
      <c r="F395" s="1" t="s">
        <v>388</v>
      </c>
      <c r="G395" s="53" t="str">
        <f>_xlfn.XLOOKUP(Tabla2[[#This Row],[Universidad]],Conversiones!$B:$B,Conversiones!$C:$C)</f>
        <v>ESCP</v>
      </c>
      <c r="H395" s="53" t="str">
        <f>_xlfn.XLOOKUP(Tabla2[[#This Row],[Universidad KPIs]],Conversiones!$C:$C,Conversiones!$E:$E)</f>
        <v>Específico</v>
      </c>
      <c r="I395" s="1" t="s">
        <v>41</v>
      </c>
      <c r="J395" s="1" t="s">
        <v>250</v>
      </c>
      <c r="K395" s="1" t="s">
        <v>4188</v>
      </c>
      <c r="L395" s="1" t="s">
        <v>4189</v>
      </c>
      <c r="M395" s="1" t="s">
        <v>213</v>
      </c>
      <c r="N395" s="1"/>
      <c r="O395" s="54"/>
      <c r="P395" s="1">
        <v>3</v>
      </c>
      <c r="Q395" s="1" t="s">
        <v>2589</v>
      </c>
      <c r="R395" s="1" t="s">
        <v>3563</v>
      </c>
      <c r="S395" s="1" t="s">
        <v>4190</v>
      </c>
      <c r="T395" s="1"/>
      <c r="U395" s="1"/>
      <c r="V395" s="1"/>
      <c r="W395" s="1"/>
      <c r="X395" s="1"/>
      <c r="Y395" s="1"/>
      <c r="Z395" s="1"/>
      <c r="AA395" s="1"/>
      <c r="AB395" s="1"/>
      <c r="AC395" s="56" t="s">
        <v>222</v>
      </c>
      <c r="AD395" s="82" t="s">
        <v>227</v>
      </c>
    </row>
    <row r="396" spans="1:30">
      <c r="A396" s="1">
        <v>2025</v>
      </c>
      <c r="B396" s="1">
        <v>202510</v>
      </c>
      <c r="C396" s="1">
        <v>202516447</v>
      </c>
      <c r="D396" s="1" t="s">
        <v>4191</v>
      </c>
      <c r="E396" s="1" t="s">
        <v>4192</v>
      </c>
      <c r="F396" s="1" t="s">
        <v>388</v>
      </c>
      <c r="G396" s="53" t="str">
        <f>_xlfn.XLOOKUP(Tabla2[[#This Row],[Universidad]],Conversiones!$B:$B,Conversiones!$C:$C)</f>
        <v>ESCP</v>
      </c>
      <c r="H396" s="53" t="str">
        <f>_xlfn.XLOOKUP(Tabla2[[#This Row],[Universidad KPIs]],Conversiones!$C:$C,Conversiones!$E:$E)</f>
        <v>Específico</v>
      </c>
      <c r="I396" s="1" t="s">
        <v>41</v>
      </c>
      <c r="J396" s="1" t="s">
        <v>250</v>
      </c>
      <c r="K396" s="1" t="s">
        <v>4193</v>
      </c>
      <c r="L396" s="1" t="s">
        <v>4194</v>
      </c>
      <c r="M396" s="1" t="s">
        <v>213</v>
      </c>
      <c r="N396" s="1"/>
      <c r="O396" s="54"/>
      <c r="P396" s="1">
        <v>4</v>
      </c>
      <c r="Q396" s="1" t="s">
        <v>2589</v>
      </c>
      <c r="R396" s="1" t="s">
        <v>3289</v>
      </c>
      <c r="S396" s="1" t="s">
        <v>2345</v>
      </c>
      <c r="T396" s="1" t="s">
        <v>3563</v>
      </c>
      <c r="U396" s="1"/>
      <c r="V396" s="1"/>
      <c r="W396" s="1"/>
      <c r="X396" s="1"/>
      <c r="Y396" s="1"/>
      <c r="Z396" s="1"/>
      <c r="AA396" s="1"/>
      <c r="AB396" s="1"/>
      <c r="AC396" s="56" t="s">
        <v>222</v>
      </c>
      <c r="AD396" s="82" t="s">
        <v>227</v>
      </c>
    </row>
    <row r="397" spans="1:30">
      <c r="A397" s="1">
        <v>2025</v>
      </c>
      <c r="B397" s="1">
        <v>202510</v>
      </c>
      <c r="C397" s="1">
        <v>202516448</v>
      </c>
      <c r="D397" s="1" t="s">
        <v>4195</v>
      </c>
      <c r="E397" s="1" t="s">
        <v>4196</v>
      </c>
      <c r="F397" s="1" t="s">
        <v>161</v>
      </c>
      <c r="G397" s="53" t="str">
        <f>_xlfn.XLOOKUP(Tabla2[[#This Row],[Universidad]],Conversiones!$B:$B,Conversiones!$C:$C)</f>
        <v>Université de Genève</v>
      </c>
      <c r="H397" s="53" t="str">
        <f>_xlfn.XLOOKUP(Tabla2[[#This Row],[Universidad KPIs]],Conversiones!$C:$C,Conversiones!$E:$E)</f>
        <v>General</v>
      </c>
      <c r="I397" s="1" t="s">
        <v>65</v>
      </c>
      <c r="J397" s="1" t="s">
        <v>250</v>
      </c>
      <c r="K397" s="1" t="s">
        <v>4197</v>
      </c>
      <c r="L397" s="1" t="s">
        <v>4198</v>
      </c>
      <c r="M397" s="1" t="s">
        <v>213</v>
      </c>
      <c r="N397" s="1"/>
      <c r="O397" s="54"/>
      <c r="P397" s="1">
        <v>7</v>
      </c>
      <c r="Q397" s="1" t="s">
        <v>2589</v>
      </c>
      <c r="R397" s="1" t="s">
        <v>2345</v>
      </c>
      <c r="S397" s="1" t="s">
        <v>3563</v>
      </c>
      <c r="T397" s="1" t="s">
        <v>2338</v>
      </c>
      <c r="U397" s="1" t="s">
        <v>4190</v>
      </c>
      <c r="V397" s="1" t="s">
        <v>3127</v>
      </c>
      <c r="W397" s="1" t="s">
        <v>2463</v>
      </c>
      <c r="X397" s="1"/>
      <c r="Y397" s="1"/>
      <c r="Z397" s="1"/>
      <c r="AA397" s="1"/>
      <c r="AB397" s="1"/>
      <c r="AC397" s="56" t="s">
        <v>222</v>
      </c>
      <c r="AD397" s="82" t="s">
        <v>227</v>
      </c>
    </row>
    <row r="398" spans="1:30">
      <c r="A398" s="1">
        <v>2025</v>
      </c>
      <c r="B398" s="1">
        <v>202510</v>
      </c>
      <c r="C398" s="1">
        <v>202516443</v>
      </c>
      <c r="D398" s="1" t="s">
        <v>4199</v>
      </c>
      <c r="E398" s="1" t="s">
        <v>4200</v>
      </c>
      <c r="F398" s="1" t="s">
        <v>424</v>
      </c>
      <c r="G398" s="53" t="str">
        <f>_xlfn.XLOOKUP(Tabla2[[#This Row],[Universidad]],Conversiones!$B:$B,Conversiones!$C:$C)</f>
        <v>Nova School of Business and Economics</v>
      </c>
      <c r="H398" s="53" t="str">
        <f>_xlfn.XLOOKUP(Tabla2[[#This Row],[Universidad KPIs]],Conversiones!$C:$C,Conversiones!$E:$E)</f>
        <v>Específico</v>
      </c>
      <c r="I398" s="1" t="s">
        <v>45</v>
      </c>
      <c r="J398" s="1" t="s">
        <v>250</v>
      </c>
      <c r="K398" s="1" t="s">
        <v>4201</v>
      </c>
      <c r="L398" s="1" t="s">
        <v>4202</v>
      </c>
      <c r="M398" s="1" t="s">
        <v>213</v>
      </c>
      <c r="N398" s="1"/>
      <c r="O398" s="54"/>
      <c r="P398" s="1">
        <v>4</v>
      </c>
      <c r="Q398" s="1" t="s">
        <v>2370</v>
      </c>
      <c r="R398" s="1" t="s">
        <v>3199</v>
      </c>
      <c r="S398" s="1" t="s">
        <v>3772</v>
      </c>
      <c r="T398" s="1" t="s">
        <v>3485</v>
      </c>
      <c r="U398" s="1"/>
      <c r="V398" s="1"/>
      <c r="W398" s="1"/>
      <c r="X398" s="1"/>
      <c r="Y398" s="1"/>
      <c r="Z398" s="1"/>
      <c r="AA398" s="1"/>
      <c r="AB398" s="1"/>
      <c r="AC398" s="56" t="s">
        <v>223</v>
      </c>
      <c r="AD398" s="82" t="s">
        <v>227</v>
      </c>
    </row>
    <row r="399" spans="1:30">
      <c r="A399" s="1">
        <v>2025</v>
      </c>
      <c r="B399" s="1">
        <v>202510</v>
      </c>
      <c r="C399" s="1">
        <v>202516444</v>
      </c>
      <c r="D399" s="1" t="s">
        <v>2269</v>
      </c>
      <c r="E399" s="1" t="s">
        <v>4203</v>
      </c>
      <c r="F399" s="1" t="s">
        <v>424</v>
      </c>
      <c r="G399" s="53" t="str">
        <f>_xlfn.XLOOKUP(Tabla2[[#This Row],[Universidad]],Conversiones!$B:$B,Conversiones!$C:$C)</f>
        <v>Nova School of Business and Economics</v>
      </c>
      <c r="H399" s="53" t="str">
        <f>_xlfn.XLOOKUP(Tabla2[[#This Row],[Universidad KPIs]],Conversiones!$C:$C,Conversiones!$E:$E)</f>
        <v>Específico</v>
      </c>
      <c r="I399" s="1" t="s">
        <v>45</v>
      </c>
      <c r="J399" s="1" t="s">
        <v>250</v>
      </c>
      <c r="K399" s="1" t="s">
        <v>4204</v>
      </c>
      <c r="L399" s="1" t="s">
        <v>4205</v>
      </c>
      <c r="M399" s="1" t="s">
        <v>213</v>
      </c>
      <c r="N399" s="1"/>
      <c r="O399" s="54"/>
      <c r="P399" s="1">
        <v>5</v>
      </c>
      <c r="Q399" s="1" t="s">
        <v>2338</v>
      </c>
      <c r="R399" s="1" t="s">
        <v>4206</v>
      </c>
      <c r="S399" s="1" t="s">
        <v>4207</v>
      </c>
      <c r="T399" s="1" t="s">
        <v>2363</v>
      </c>
      <c r="U399" s="1" t="s">
        <v>4208</v>
      </c>
      <c r="V399" s="1"/>
      <c r="W399" s="1"/>
      <c r="X399" s="1"/>
      <c r="Y399" s="1"/>
      <c r="Z399" s="1"/>
      <c r="AA399" s="1"/>
      <c r="AB399" s="1"/>
      <c r="AC399" s="56" t="s">
        <v>223</v>
      </c>
      <c r="AD399" s="82" t="s">
        <v>227</v>
      </c>
    </row>
    <row r="400" spans="1:30">
      <c r="A400" s="1">
        <v>2025</v>
      </c>
      <c r="B400" s="1">
        <v>202510</v>
      </c>
      <c r="C400" s="1">
        <v>202516434</v>
      </c>
      <c r="D400" s="1" t="s">
        <v>4209</v>
      </c>
      <c r="E400" s="1" t="s">
        <v>4210</v>
      </c>
      <c r="F400" s="1" t="s">
        <v>194</v>
      </c>
      <c r="G400" s="53" t="str">
        <f>_xlfn.XLOOKUP(Tabla2[[#This Row],[Universidad]],Conversiones!$B:$B,Conversiones!$C:$C)</f>
        <v>Universität Bayreuth</v>
      </c>
      <c r="H400" s="53" t="str">
        <f>_xlfn.XLOOKUP(Tabla2[[#This Row],[Universidad KPIs]],Conversiones!$C:$C,Conversiones!$E:$E)</f>
        <v>General</v>
      </c>
      <c r="I400" s="1" t="s">
        <v>60</v>
      </c>
      <c r="J400" s="1" t="s">
        <v>250</v>
      </c>
      <c r="K400" s="1" t="s">
        <v>4211</v>
      </c>
      <c r="L400" s="1" t="s">
        <v>4212</v>
      </c>
      <c r="M400" s="1" t="s">
        <v>213</v>
      </c>
      <c r="N400" s="1"/>
      <c r="O400" s="54"/>
      <c r="P400" s="1">
        <v>2</v>
      </c>
      <c r="Q400" s="1" t="s">
        <v>2860</v>
      </c>
      <c r="R400" s="1" t="s">
        <v>4213</v>
      </c>
      <c r="S400" s="1"/>
      <c r="T400" s="1"/>
      <c r="U400" s="1"/>
      <c r="V400" s="1"/>
      <c r="W400" s="1"/>
      <c r="X400" s="1"/>
      <c r="Y400" s="1"/>
      <c r="Z400" s="1"/>
      <c r="AA400" s="1"/>
      <c r="AB400" s="1"/>
      <c r="AC400" s="56" t="s">
        <v>223</v>
      </c>
      <c r="AD400" s="82" t="s">
        <v>227</v>
      </c>
    </row>
    <row r="401" spans="1:30">
      <c r="A401" s="1">
        <v>2025</v>
      </c>
      <c r="B401" s="1">
        <v>202510</v>
      </c>
      <c r="C401" s="1">
        <v>202516445</v>
      </c>
      <c r="D401" s="1" t="s">
        <v>4214</v>
      </c>
      <c r="E401" s="1" t="s">
        <v>4215</v>
      </c>
      <c r="F401" s="1" t="s">
        <v>325</v>
      </c>
      <c r="G401" s="53" t="str">
        <f>_xlfn.XLOOKUP(Tabla2[[#This Row],[Universidad]],Conversiones!$B:$B,Conversiones!$C:$C)</f>
        <v>Università Commerciale Luigi Bocconi</v>
      </c>
      <c r="H401" s="53" t="str">
        <f>_xlfn.XLOOKUP(Tabla2[[#This Row],[Universidad KPIs]],Conversiones!$C:$C,Conversiones!$E:$E)</f>
        <v>Específico</v>
      </c>
      <c r="I401" s="1" t="s">
        <v>87</v>
      </c>
      <c r="J401" s="1" t="s">
        <v>250</v>
      </c>
      <c r="K401" s="1" t="s">
        <v>4216</v>
      </c>
      <c r="L401" s="1" t="s">
        <v>4217</v>
      </c>
      <c r="M401" s="1" t="s">
        <v>213</v>
      </c>
      <c r="N401" s="1"/>
      <c r="O401" s="54"/>
      <c r="P401" s="1">
        <v>5</v>
      </c>
      <c r="Q401" s="1" t="s">
        <v>2328</v>
      </c>
      <c r="R401" s="1" t="s">
        <v>2307</v>
      </c>
      <c r="S401" s="1" t="s">
        <v>4218</v>
      </c>
      <c r="T401" s="1" t="s">
        <v>3485</v>
      </c>
      <c r="U401" s="1" t="s">
        <v>3661</v>
      </c>
      <c r="V401" s="1"/>
      <c r="W401" s="1"/>
      <c r="X401" s="1"/>
      <c r="Y401" s="1"/>
      <c r="Z401" s="1"/>
      <c r="AA401" s="1"/>
      <c r="AB401" s="1"/>
      <c r="AC401" s="56" t="s">
        <v>230</v>
      </c>
      <c r="AD401" s="83" t="s">
        <v>227</v>
      </c>
    </row>
    <row r="402" spans="1:30">
      <c r="A402" s="1">
        <v>2025</v>
      </c>
      <c r="B402" s="1">
        <v>202520</v>
      </c>
      <c r="C402" s="1">
        <v>202524805</v>
      </c>
      <c r="D402" s="1" t="s">
        <v>4506</v>
      </c>
      <c r="E402" s="1" t="s">
        <v>4507</v>
      </c>
      <c r="F402" s="1" t="s">
        <v>4238</v>
      </c>
      <c r="G402" s="53" t="str">
        <f>_xlfn.XLOOKUP(Tabla2[[#This Row],[Universidad]],Conversiones!$B:$B,Conversiones!$C:$C)</f>
        <v>Chung-Ang University</v>
      </c>
      <c r="H402" s="53" t="str">
        <f>_xlfn.XLOOKUP(Tabla2[[#This Row],[Universidad KPIs]],Conversiones!$C:$C,Conversiones!$E:$E)</f>
        <v>General</v>
      </c>
      <c r="I402" s="1" t="s">
        <v>4239</v>
      </c>
      <c r="J402" s="1" t="s">
        <v>537</v>
      </c>
      <c r="K402" s="1" t="s">
        <v>4508</v>
      </c>
      <c r="L402" s="1" t="s">
        <v>4509</v>
      </c>
      <c r="M402" s="1" t="s">
        <v>213</v>
      </c>
      <c r="N402" s="1"/>
      <c r="O402" s="54" t="s">
        <v>4510</v>
      </c>
      <c r="P402" s="1">
        <v>1</v>
      </c>
      <c r="Q402" s="1" t="s">
        <v>2997</v>
      </c>
      <c r="R402" s="1" t="s">
        <v>4135</v>
      </c>
      <c r="S402" s="1" t="s">
        <v>2725</v>
      </c>
      <c r="T402" s="1" t="s">
        <v>4511</v>
      </c>
      <c r="U402" s="1"/>
      <c r="V402" s="1"/>
      <c r="W402" s="1"/>
      <c r="X402" s="1"/>
      <c r="Y402" s="1"/>
      <c r="Z402" s="1"/>
      <c r="AA402" s="1"/>
      <c r="AB402" s="1"/>
      <c r="AC402" s="56" t="s">
        <v>216</v>
      </c>
      <c r="AD402" s="82" t="s">
        <v>234</v>
      </c>
    </row>
    <row r="403" spans="1:30">
      <c r="A403" s="1">
        <v>2025</v>
      </c>
      <c r="B403" s="1">
        <v>202520</v>
      </c>
      <c r="C403" s="1">
        <v>202524849</v>
      </c>
      <c r="D403" s="1" t="s">
        <v>4512</v>
      </c>
      <c r="E403" s="1" t="s">
        <v>4513</v>
      </c>
      <c r="F403" s="1" t="s">
        <v>176</v>
      </c>
      <c r="G403" s="53" t="str">
        <f>_xlfn.XLOOKUP(Tabla2[[#This Row],[Universidad]],Conversiones!$B:$B,Conversiones!$C:$C)</f>
        <v>Erasmus Universiteit Rotterdam</v>
      </c>
      <c r="H403" s="53" t="str">
        <f>_xlfn.XLOOKUP(Tabla2[[#This Row],[Universidad KPIs]],Conversiones!$C:$C,Conversiones!$E:$E)</f>
        <v>General</v>
      </c>
      <c r="I403" s="1" t="s">
        <v>79</v>
      </c>
      <c r="J403" s="1" t="s">
        <v>250</v>
      </c>
      <c r="K403" s="1" t="s">
        <v>4514</v>
      </c>
      <c r="L403" s="1" t="s">
        <v>4515</v>
      </c>
      <c r="M403" s="1" t="s">
        <v>213</v>
      </c>
      <c r="N403" s="1"/>
      <c r="O403" s="54" t="s">
        <v>4516</v>
      </c>
      <c r="P403" s="1">
        <v>1</v>
      </c>
      <c r="Q403" s="1" t="s">
        <v>2300</v>
      </c>
      <c r="R403" s="1" t="s">
        <v>2407</v>
      </c>
      <c r="S403" s="1" t="s">
        <v>2480</v>
      </c>
      <c r="T403" s="1"/>
      <c r="U403" s="1"/>
      <c r="V403" s="1"/>
      <c r="W403" s="1"/>
      <c r="X403" s="1"/>
      <c r="Y403" s="1"/>
      <c r="Z403" s="1"/>
      <c r="AA403" s="1"/>
      <c r="AB403" s="1"/>
      <c r="AC403" s="56" t="s">
        <v>216</v>
      </c>
      <c r="AD403" s="82" t="s">
        <v>234</v>
      </c>
    </row>
    <row r="404" spans="1:30">
      <c r="A404" s="1">
        <v>2025</v>
      </c>
      <c r="B404" s="1">
        <v>202520</v>
      </c>
      <c r="C404" s="1">
        <v>202524806</v>
      </c>
      <c r="D404" s="1" t="s">
        <v>4517</v>
      </c>
      <c r="E404" s="1" t="s">
        <v>4518</v>
      </c>
      <c r="F404" s="1" t="s">
        <v>410</v>
      </c>
      <c r="G404" s="53" t="str">
        <f>_xlfn.XLOOKUP(Tabla2[[#This Row],[Universidad]],Conversiones!$B:$B,Conversiones!$C:$C)</f>
        <v xml:space="preserve">CBS- Copenhagen Business School  </v>
      </c>
      <c r="H404" s="53" t="str">
        <f>_xlfn.XLOOKUP(Tabla2[[#This Row],[Universidad KPIs]],Conversiones!$C:$C,Conversiones!$E:$E)</f>
        <v>Específico</v>
      </c>
      <c r="I404" s="1" t="s">
        <v>47</v>
      </c>
      <c r="J404" s="1" t="s">
        <v>250</v>
      </c>
      <c r="K404" s="1" t="s">
        <v>4519</v>
      </c>
      <c r="L404" s="1" t="s">
        <v>4520</v>
      </c>
      <c r="M404" s="1" t="s">
        <v>213</v>
      </c>
      <c r="N404" s="1"/>
      <c r="O404" s="54" t="s">
        <v>4521</v>
      </c>
      <c r="P404" s="1">
        <v>1</v>
      </c>
      <c r="Q404" s="1" t="s">
        <v>2362</v>
      </c>
      <c r="R404" s="1" t="s">
        <v>2321</v>
      </c>
      <c r="S404" s="1" t="s">
        <v>2307</v>
      </c>
      <c r="T404" s="1" t="s">
        <v>3199</v>
      </c>
      <c r="U404" s="1" t="s">
        <v>4522</v>
      </c>
      <c r="V404" s="1" t="s">
        <v>4523</v>
      </c>
      <c r="W404" s="1"/>
      <c r="X404" s="1"/>
      <c r="Y404" s="1"/>
      <c r="Z404" s="1"/>
      <c r="AA404" s="1"/>
      <c r="AB404" s="1"/>
      <c r="AC404" s="56" t="s">
        <v>216</v>
      </c>
      <c r="AD404" s="82" t="s">
        <v>234</v>
      </c>
    </row>
    <row r="405" spans="1:30">
      <c r="A405" s="1">
        <v>2025</v>
      </c>
      <c r="B405" s="1">
        <v>202520</v>
      </c>
      <c r="C405" s="1">
        <v>202524807</v>
      </c>
      <c r="D405" s="1" t="s">
        <v>4524</v>
      </c>
      <c r="E405" s="1" t="s">
        <v>4525</v>
      </c>
      <c r="F405" s="1" t="s">
        <v>410</v>
      </c>
      <c r="G405" s="53" t="str">
        <f>_xlfn.XLOOKUP(Tabla2[[#This Row],[Universidad]],Conversiones!$B:$B,Conversiones!$C:$C)</f>
        <v xml:space="preserve">CBS- Copenhagen Business School  </v>
      </c>
      <c r="H405" s="53" t="str">
        <f>_xlfn.XLOOKUP(Tabla2[[#This Row],[Universidad KPIs]],Conversiones!$C:$C,Conversiones!$E:$E)</f>
        <v>Específico</v>
      </c>
      <c r="I405" s="1" t="s">
        <v>47</v>
      </c>
      <c r="J405" s="1" t="s">
        <v>250</v>
      </c>
      <c r="K405" s="1" t="s">
        <v>4526</v>
      </c>
      <c r="L405" s="1" t="s">
        <v>4527</v>
      </c>
      <c r="M405" s="1" t="s">
        <v>213</v>
      </c>
      <c r="N405" s="1"/>
      <c r="O405" s="54" t="s">
        <v>4528</v>
      </c>
      <c r="P405" s="1">
        <v>1</v>
      </c>
      <c r="Q405" s="1" t="s">
        <v>4529</v>
      </c>
      <c r="R405" s="1" t="s">
        <v>2412</v>
      </c>
      <c r="S405" s="1" t="s">
        <v>2321</v>
      </c>
      <c r="T405" s="1" t="s">
        <v>2407</v>
      </c>
      <c r="U405" s="1" t="s">
        <v>4135</v>
      </c>
      <c r="V405" s="1" t="s">
        <v>2525</v>
      </c>
      <c r="W405" s="1"/>
      <c r="X405" s="1"/>
      <c r="Y405" s="1"/>
      <c r="Z405" s="1"/>
      <c r="AA405" s="1"/>
      <c r="AB405" s="1"/>
      <c r="AC405" s="56" t="s">
        <v>216</v>
      </c>
      <c r="AD405" s="82" t="s">
        <v>234</v>
      </c>
    </row>
    <row r="406" spans="1:30">
      <c r="A406" s="1">
        <v>2025</v>
      </c>
      <c r="B406" s="1">
        <v>202520</v>
      </c>
      <c r="C406" s="1">
        <v>202524808</v>
      </c>
      <c r="D406" s="1" t="s">
        <v>4530</v>
      </c>
      <c r="E406" s="1" t="s">
        <v>4531</v>
      </c>
      <c r="F406" s="1" t="s">
        <v>410</v>
      </c>
      <c r="G406" s="53" t="str">
        <f>_xlfn.XLOOKUP(Tabla2[[#This Row],[Universidad]],Conversiones!$B:$B,Conversiones!$C:$C)</f>
        <v xml:space="preserve">CBS- Copenhagen Business School  </v>
      </c>
      <c r="H406" s="53" t="str">
        <f>_xlfn.XLOOKUP(Tabla2[[#This Row],[Universidad KPIs]],Conversiones!$C:$C,Conversiones!$E:$E)</f>
        <v>Específico</v>
      </c>
      <c r="I406" s="1" t="s">
        <v>47</v>
      </c>
      <c r="J406" s="1" t="s">
        <v>250</v>
      </c>
      <c r="K406" s="1" t="s">
        <v>4532</v>
      </c>
      <c r="L406" s="1" t="s">
        <v>4533</v>
      </c>
      <c r="M406" s="1" t="s">
        <v>213</v>
      </c>
      <c r="N406" s="1"/>
      <c r="O406" s="54" t="s">
        <v>4534</v>
      </c>
      <c r="P406" s="1">
        <v>1</v>
      </c>
      <c r="Q406" s="1" t="s">
        <v>2510</v>
      </c>
      <c r="R406" s="1" t="s">
        <v>2321</v>
      </c>
      <c r="S406" s="1" t="s">
        <v>2647</v>
      </c>
      <c r="T406" s="1" t="s">
        <v>2681</v>
      </c>
      <c r="U406" s="1" t="s">
        <v>3199</v>
      </c>
      <c r="V406" s="1" t="s">
        <v>2525</v>
      </c>
      <c r="W406" s="1"/>
      <c r="X406" s="1"/>
      <c r="Y406" s="1"/>
      <c r="Z406" s="1"/>
      <c r="AA406" s="1"/>
      <c r="AB406" s="1"/>
      <c r="AC406" s="56" t="s">
        <v>216</v>
      </c>
      <c r="AD406" s="82" t="s">
        <v>234</v>
      </c>
    </row>
    <row r="407" spans="1:30">
      <c r="A407" s="1">
        <v>2025</v>
      </c>
      <c r="B407" s="1">
        <v>202520</v>
      </c>
      <c r="C407" s="1">
        <v>202524850</v>
      </c>
      <c r="D407" s="1" t="s">
        <v>4535</v>
      </c>
      <c r="E407" s="1" t="s">
        <v>4536</v>
      </c>
      <c r="F407" s="1" t="s">
        <v>608</v>
      </c>
      <c r="G407" s="53" t="str">
        <f>_xlfn.XLOOKUP(Tabla2[[#This Row],[Universidad]],Conversiones!$B:$B,Conversiones!$C:$C)</f>
        <v>IE Instituto Empresa</v>
      </c>
      <c r="H407" s="53" t="str">
        <f>_xlfn.XLOOKUP(Tabla2[[#This Row],[Universidad KPIs]],Conversiones!$C:$C,Conversiones!$E:$E)</f>
        <v>General</v>
      </c>
      <c r="I407" s="1" t="s">
        <v>53</v>
      </c>
      <c r="J407" s="1" t="s">
        <v>250</v>
      </c>
      <c r="K407" s="1" t="s">
        <v>4537</v>
      </c>
      <c r="L407" s="1" t="s">
        <v>4538</v>
      </c>
      <c r="M407" s="1" t="s">
        <v>213</v>
      </c>
      <c r="N407" s="1"/>
      <c r="O407" s="54" t="s">
        <v>4539</v>
      </c>
      <c r="P407" s="1">
        <v>1</v>
      </c>
      <c r="Q407" s="1" t="s">
        <v>2600</v>
      </c>
      <c r="R407" s="1" t="s">
        <v>2510</v>
      </c>
      <c r="S407" s="1" t="s">
        <v>2412</v>
      </c>
      <c r="T407" s="1" t="s">
        <v>2307</v>
      </c>
      <c r="U407" s="1" t="s">
        <v>4540</v>
      </c>
      <c r="V407" s="1" t="s">
        <v>2407</v>
      </c>
      <c r="W407" s="1" t="s">
        <v>4541</v>
      </c>
      <c r="X407" s="1"/>
      <c r="Y407" s="1"/>
      <c r="Z407" s="1"/>
      <c r="AA407" s="1"/>
      <c r="AB407" s="1"/>
      <c r="AC407" s="56" t="s">
        <v>216</v>
      </c>
      <c r="AD407" s="82" t="s">
        <v>234</v>
      </c>
    </row>
    <row r="408" spans="1:30">
      <c r="A408" s="1">
        <v>2025</v>
      </c>
      <c r="B408" s="1">
        <v>202520</v>
      </c>
      <c r="C408" s="1">
        <v>202524809</v>
      </c>
      <c r="D408" s="1" t="s">
        <v>4542</v>
      </c>
      <c r="E408" s="1" t="s">
        <v>4543</v>
      </c>
      <c r="F408" s="1" t="s">
        <v>3024</v>
      </c>
      <c r="G408" s="53" t="str">
        <f>_xlfn.XLOOKUP(Tabla2[[#This Row],[Universidad]],Conversiones!$B:$B,Conversiones!$C:$C)</f>
        <v>JIBS Jönköping International Business School</v>
      </c>
      <c r="H408" s="53" t="str">
        <f>_xlfn.XLOOKUP(Tabla2[[#This Row],[Universidad KPIs]],Conversiones!$C:$C,Conversiones!$E:$E)</f>
        <v>Específico</v>
      </c>
      <c r="I408" s="1" t="s">
        <v>74</v>
      </c>
      <c r="J408" s="1" t="s">
        <v>250</v>
      </c>
      <c r="K408" s="1" t="s">
        <v>4544</v>
      </c>
      <c r="L408" s="1" t="s">
        <v>4545</v>
      </c>
      <c r="M408" s="1" t="s">
        <v>213</v>
      </c>
      <c r="N408" s="1"/>
      <c r="O408" s="54" t="s">
        <v>4546</v>
      </c>
      <c r="P408" s="1">
        <v>1</v>
      </c>
      <c r="Q408" s="1" t="s">
        <v>2647</v>
      </c>
      <c r="R408" s="1" t="s">
        <v>2997</v>
      </c>
      <c r="S408" s="1" t="s">
        <v>2300</v>
      </c>
      <c r="T408" s="1" t="s">
        <v>2407</v>
      </c>
      <c r="U408" s="1" t="s">
        <v>3670</v>
      </c>
      <c r="V408" s="1" t="s">
        <v>2609</v>
      </c>
      <c r="W408" s="1"/>
      <c r="X408" s="1"/>
      <c r="Y408" s="1"/>
      <c r="Z408" s="1"/>
      <c r="AA408" s="1"/>
      <c r="AB408" s="1"/>
      <c r="AC408" s="56" t="s">
        <v>216</v>
      </c>
      <c r="AD408" s="82" t="s">
        <v>234</v>
      </c>
    </row>
    <row r="409" spans="1:30">
      <c r="A409" s="1">
        <v>2025</v>
      </c>
      <c r="B409" s="1">
        <v>202520</v>
      </c>
      <c r="C409" s="1">
        <v>202524810</v>
      </c>
      <c r="D409" s="1" t="s">
        <v>4547</v>
      </c>
      <c r="E409" s="1" t="s">
        <v>4548</v>
      </c>
      <c r="F409" s="1" t="s">
        <v>147</v>
      </c>
      <c r="G409" s="53" t="str">
        <f>_xlfn.XLOOKUP(Tabla2[[#This Row],[Universidad]],Conversiones!$B:$B,Conversiones!$C:$C)</f>
        <v>Kanagawa University</v>
      </c>
      <c r="H409" s="53" t="str">
        <f>_xlfn.XLOOKUP(Tabla2[[#This Row],[Universidad KPIs]],Conversiones!$C:$C,Conversiones!$E:$E)</f>
        <v>General</v>
      </c>
      <c r="I409" s="1" t="s">
        <v>85</v>
      </c>
      <c r="J409" s="1" t="s">
        <v>537</v>
      </c>
      <c r="K409" s="1" t="s">
        <v>4549</v>
      </c>
      <c r="L409" s="1" t="s">
        <v>4550</v>
      </c>
      <c r="M409" s="1" t="s">
        <v>213</v>
      </c>
      <c r="N409" s="1"/>
      <c r="O409" s="54" t="s">
        <v>4551</v>
      </c>
      <c r="P409" s="1">
        <v>1</v>
      </c>
      <c r="Q409" s="1" t="s">
        <v>2307</v>
      </c>
      <c r="R409" s="1" t="s">
        <v>2997</v>
      </c>
      <c r="S409" s="1" t="s">
        <v>2369</v>
      </c>
      <c r="T409" s="1" t="s">
        <v>4511</v>
      </c>
      <c r="U409" s="1"/>
      <c r="V409" s="1"/>
      <c r="W409" s="1"/>
      <c r="X409" s="1"/>
      <c r="Y409" s="1"/>
      <c r="Z409" s="1"/>
      <c r="AA409" s="1"/>
      <c r="AB409" s="1"/>
      <c r="AC409" s="56" t="s">
        <v>216</v>
      </c>
      <c r="AD409" s="82" t="s">
        <v>234</v>
      </c>
    </row>
    <row r="410" spans="1:30">
      <c r="A410" s="1">
        <v>2025</v>
      </c>
      <c r="B410" s="1">
        <v>202520</v>
      </c>
      <c r="C410" s="1">
        <v>202524811</v>
      </c>
      <c r="D410" s="1" t="s">
        <v>4552</v>
      </c>
      <c r="E410" s="1" t="s">
        <v>4553</v>
      </c>
      <c r="F410" s="1" t="s">
        <v>147</v>
      </c>
      <c r="G410" s="53" t="str">
        <f>_xlfn.XLOOKUP(Tabla2[[#This Row],[Universidad]],Conversiones!$B:$B,Conversiones!$C:$C)</f>
        <v>Kanagawa University</v>
      </c>
      <c r="H410" s="53" t="str">
        <f>_xlfn.XLOOKUP(Tabla2[[#This Row],[Universidad KPIs]],Conversiones!$C:$C,Conversiones!$E:$E)</f>
        <v>General</v>
      </c>
      <c r="I410" s="1" t="s">
        <v>85</v>
      </c>
      <c r="J410" s="1" t="s">
        <v>537</v>
      </c>
      <c r="K410" s="1" t="s">
        <v>4554</v>
      </c>
      <c r="L410" s="1" t="s">
        <v>4555</v>
      </c>
      <c r="M410" s="1" t="s">
        <v>213</v>
      </c>
      <c r="N410" s="1"/>
      <c r="O410" s="54" t="s">
        <v>4551</v>
      </c>
      <c r="P410" s="1">
        <v>1</v>
      </c>
      <c r="Q410" s="1" t="s">
        <v>2567</v>
      </c>
      <c r="R410" s="1" t="s">
        <v>4556</v>
      </c>
      <c r="S410" s="1" t="s">
        <v>2997</v>
      </c>
      <c r="T410" s="1" t="s">
        <v>4557</v>
      </c>
      <c r="U410" s="1" t="s">
        <v>4511</v>
      </c>
      <c r="V410" s="1"/>
      <c r="W410" s="1"/>
      <c r="X410" s="1"/>
      <c r="Y410" s="1"/>
      <c r="Z410" s="1"/>
      <c r="AA410" s="1"/>
      <c r="AB410" s="1"/>
      <c r="AC410" s="56" t="s">
        <v>216</v>
      </c>
      <c r="AD410" s="82" t="s">
        <v>234</v>
      </c>
    </row>
    <row r="411" spans="1:30">
      <c r="A411" s="1">
        <v>2025</v>
      </c>
      <c r="B411" s="1">
        <v>202520</v>
      </c>
      <c r="C411" s="1">
        <v>202524823</v>
      </c>
      <c r="D411" s="1" t="s">
        <v>4558</v>
      </c>
      <c r="E411" s="1" t="s">
        <v>4559</v>
      </c>
      <c r="F411" s="1" t="s">
        <v>4560</v>
      </c>
      <c r="G411" s="53" t="str">
        <f>_xlfn.XLOOKUP(Tabla2[[#This Row],[Universidad]],Conversiones!$B:$B,Conversiones!$C:$C)</f>
        <v>Lunds universitet</v>
      </c>
      <c r="H411" s="53" t="str">
        <f>_xlfn.XLOOKUP(Tabla2[[#This Row],[Universidad KPIs]],Conversiones!$C:$C,Conversiones!$E:$E)</f>
        <v>Específico</v>
      </c>
      <c r="I411" s="1" t="s">
        <v>74</v>
      </c>
      <c r="J411" s="1" t="s">
        <v>250</v>
      </c>
      <c r="K411" s="1" t="s">
        <v>4561</v>
      </c>
      <c r="L411" s="1" t="s">
        <v>4562</v>
      </c>
      <c r="M411" s="1" t="s">
        <v>213</v>
      </c>
      <c r="N411" s="1"/>
      <c r="O411" s="54" t="s">
        <v>4563</v>
      </c>
      <c r="P411" s="1">
        <v>1</v>
      </c>
      <c r="Q411" s="1" t="s">
        <v>3868</v>
      </c>
      <c r="R411" s="1" t="s">
        <v>4564</v>
      </c>
      <c r="S411" s="1" t="s">
        <v>2920</v>
      </c>
      <c r="T411" s="1" t="s">
        <v>4565</v>
      </c>
      <c r="U411" s="1" t="s">
        <v>3422</v>
      </c>
      <c r="V411" s="1" t="s">
        <v>2370</v>
      </c>
      <c r="W411" s="1" t="s">
        <v>2463</v>
      </c>
      <c r="X411" s="1" t="s">
        <v>3670</v>
      </c>
      <c r="Y411" s="1"/>
      <c r="Z411" s="1"/>
      <c r="AA411" s="1"/>
      <c r="AB411" s="1"/>
      <c r="AC411" s="56" t="s">
        <v>216</v>
      </c>
      <c r="AD411" s="82" t="s">
        <v>234</v>
      </c>
    </row>
    <row r="412" spans="1:30">
      <c r="A412" s="1">
        <v>2025</v>
      </c>
      <c r="B412" s="1">
        <v>202520</v>
      </c>
      <c r="C412" s="1">
        <v>202524824</v>
      </c>
      <c r="D412" s="1" t="s">
        <v>4566</v>
      </c>
      <c r="E412" s="1" t="s">
        <v>4567</v>
      </c>
      <c r="F412" s="1" t="s">
        <v>78</v>
      </c>
      <c r="G412" s="53" t="str">
        <f>_xlfn.XLOOKUP(Tabla2[[#This Row],[Universidad]],Conversiones!$B:$B,Conversiones!$C:$C)</f>
        <v>Maastricht University</v>
      </c>
      <c r="H412" s="53" t="str">
        <f>_xlfn.XLOOKUP(Tabla2[[#This Row],[Universidad KPIs]],Conversiones!$C:$C,Conversiones!$E:$E)</f>
        <v>Específico</v>
      </c>
      <c r="I412" s="1" t="s">
        <v>79</v>
      </c>
      <c r="J412" s="1" t="s">
        <v>250</v>
      </c>
      <c r="K412" s="1" t="s">
        <v>4568</v>
      </c>
      <c r="L412" s="1" t="s">
        <v>4569</v>
      </c>
      <c r="M412" s="1" t="s">
        <v>213</v>
      </c>
      <c r="N412" s="1"/>
      <c r="O412" s="54" t="s">
        <v>4570</v>
      </c>
      <c r="P412" s="1">
        <v>1</v>
      </c>
      <c r="Q412" s="1" t="s">
        <v>4529</v>
      </c>
      <c r="R412" s="1" t="s">
        <v>4571</v>
      </c>
      <c r="S412" s="1" t="s">
        <v>2647</v>
      </c>
      <c r="T412" s="1" t="s">
        <v>2394</v>
      </c>
      <c r="U412" s="1" t="s">
        <v>4572</v>
      </c>
      <c r="V412" s="1" t="s">
        <v>3094</v>
      </c>
      <c r="W412" s="1" t="s">
        <v>3199</v>
      </c>
      <c r="X412" s="1" t="s">
        <v>2370</v>
      </c>
      <c r="Y412" s="1"/>
      <c r="Z412" s="1"/>
      <c r="AA412" s="1"/>
      <c r="AB412" s="1"/>
      <c r="AC412" s="56" t="s">
        <v>216</v>
      </c>
      <c r="AD412" s="82" t="s">
        <v>234</v>
      </c>
    </row>
    <row r="413" spans="1:30">
      <c r="A413" s="1">
        <v>2025</v>
      </c>
      <c r="B413" s="1">
        <v>202520</v>
      </c>
      <c r="C413" s="1">
        <v>202524825</v>
      </c>
      <c r="D413" s="1" t="s">
        <v>4573</v>
      </c>
      <c r="E413" s="1" t="s">
        <v>4574</v>
      </c>
      <c r="F413" s="1" t="s">
        <v>78</v>
      </c>
      <c r="G413" s="53" t="str">
        <f>_xlfn.XLOOKUP(Tabla2[[#This Row],[Universidad]],Conversiones!$B:$B,Conversiones!$C:$C)</f>
        <v>Maastricht University</v>
      </c>
      <c r="H413" s="53" t="str">
        <f>_xlfn.XLOOKUP(Tabla2[[#This Row],[Universidad KPIs]],Conversiones!$C:$C,Conversiones!$E:$E)</f>
        <v>Específico</v>
      </c>
      <c r="I413" s="1" t="s">
        <v>79</v>
      </c>
      <c r="J413" s="1" t="s">
        <v>250</v>
      </c>
      <c r="K413" s="1" t="s">
        <v>4575</v>
      </c>
      <c r="L413" s="1" t="s">
        <v>4576</v>
      </c>
      <c r="M413" s="1" t="s">
        <v>213</v>
      </c>
      <c r="N413" s="1"/>
      <c r="O413" s="54" t="s">
        <v>4577</v>
      </c>
      <c r="P413" s="1">
        <v>1</v>
      </c>
      <c r="Q413" s="1" t="s">
        <v>2321</v>
      </c>
      <c r="R413" s="1" t="s">
        <v>2647</v>
      </c>
      <c r="S413" s="1" t="s">
        <v>2300</v>
      </c>
      <c r="T413" s="1" t="s">
        <v>2681</v>
      </c>
      <c r="U413" s="1" t="s">
        <v>3199</v>
      </c>
      <c r="V413" s="1" t="s">
        <v>2889</v>
      </c>
      <c r="W413" s="1"/>
      <c r="X413" s="1"/>
      <c r="Y413" s="1"/>
      <c r="Z413" s="1"/>
      <c r="AA413" s="1"/>
      <c r="AB413" s="1"/>
      <c r="AC413" s="56" t="s">
        <v>216</v>
      </c>
      <c r="AD413" s="82" t="s">
        <v>234</v>
      </c>
    </row>
    <row r="414" spans="1:30">
      <c r="A414" s="1">
        <v>2025</v>
      </c>
      <c r="B414" s="1">
        <v>202520</v>
      </c>
      <c r="C414" s="1">
        <v>202524828</v>
      </c>
      <c r="D414" s="1" t="s">
        <v>4578</v>
      </c>
      <c r="E414" s="1" t="s">
        <v>4579</v>
      </c>
      <c r="F414" s="1" t="s">
        <v>78</v>
      </c>
      <c r="G414" s="53" t="str">
        <f>_xlfn.XLOOKUP(Tabla2[[#This Row],[Universidad]],Conversiones!$B:$B,Conversiones!$C:$C)</f>
        <v>Maastricht University</v>
      </c>
      <c r="H414" s="53" t="str">
        <f>_xlfn.XLOOKUP(Tabla2[[#This Row],[Universidad KPIs]],Conversiones!$C:$C,Conversiones!$E:$E)</f>
        <v>Específico</v>
      </c>
      <c r="I414" s="1" t="s">
        <v>79</v>
      </c>
      <c r="J414" s="1" t="s">
        <v>250</v>
      </c>
      <c r="K414" s="1" t="s">
        <v>4580</v>
      </c>
      <c r="L414" s="1" t="s">
        <v>4581</v>
      </c>
      <c r="M414" s="1" t="s">
        <v>213</v>
      </c>
      <c r="N414" s="1"/>
      <c r="O414" s="54" t="s">
        <v>4582</v>
      </c>
      <c r="P414" s="1">
        <v>1</v>
      </c>
      <c r="Q414" s="1" t="s">
        <v>2412</v>
      </c>
      <c r="R414" s="1" t="s">
        <v>2321</v>
      </c>
      <c r="S414" s="1" t="s">
        <v>2307</v>
      </c>
      <c r="T414" s="1" t="s">
        <v>3199</v>
      </c>
      <c r="U414" s="1" t="s">
        <v>2370</v>
      </c>
      <c r="V414" s="1" t="s">
        <v>2525</v>
      </c>
      <c r="W414" s="1"/>
      <c r="X414" s="1"/>
      <c r="Y414" s="1"/>
      <c r="Z414" s="1"/>
      <c r="AA414" s="1"/>
      <c r="AB414" s="1"/>
      <c r="AC414" s="56" t="s">
        <v>216</v>
      </c>
      <c r="AD414" s="82" t="s">
        <v>234</v>
      </c>
    </row>
    <row r="415" spans="1:30">
      <c r="A415" s="1">
        <v>2025</v>
      </c>
      <c r="B415" s="1">
        <v>202520</v>
      </c>
      <c r="C415" s="1">
        <v>202525278</v>
      </c>
      <c r="D415" s="1" t="s">
        <v>4583</v>
      </c>
      <c r="E415" s="1" t="s">
        <v>4584</v>
      </c>
      <c r="F415" s="1" t="s">
        <v>255</v>
      </c>
      <c r="G415" s="53" t="str">
        <f>_xlfn.XLOOKUP(Tabla2[[#This Row],[Universidad]],Conversiones!$B:$B,Conversiones!$C:$C)</f>
        <v>ESC Rouen (NEOMA)</v>
      </c>
      <c r="H415" s="53" t="str">
        <f>_xlfn.XLOOKUP(Tabla2[[#This Row],[Universidad KPIs]],Conversiones!$C:$C,Conversiones!$E:$E)</f>
        <v>Específico</v>
      </c>
      <c r="I415" s="1" t="s">
        <v>41</v>
      </c>
      <c r="J415" s="1" t="s">
        <v>250</v>
      </c>
      <c r="K415" s="1" t="s">
        <v>4585</v>
      </c>
      <c r="L415" s="1" t="s">
        <v>4586</v>
      </c>
      <c r="M415" s="1" t="s">
        <v>214</v>
      </c>
      <c r="N415" s="1"/>
      <c r="O415" s="54" t="s">
        <v>4587</v>
      </c>
      <c r="P415" s="1">
        <v>1</v>
      </c>
      <c r="Q415" s="1" t="s">
        <v>4529</v>
      </c>
      <c r="R415" s="1" t="s">
        <v>2370</v>
      </c>
      <c r="S415" s="1" t="s">
        <v>4588</v>
      </c>
      <c r="T415" s="1" t="s">
        <v>4589</v>
      </c>
      <c r="U415" s="1" t="s">
        <v>4590</v>
      </c>
      <c r="V415" s="1" t="s">
        <v>4591</v>
      </c>
      <c r="W415" s="1" t="s">
        <v>2388</v>
      </c>
      <c r="X415" s="1" t="s">
        <v>2889</v>
      </c>
      <c r="Y415" s="1" t="s">
        <v>4511</v>
      </c>
      <c r="Z415" s="1"/>
      <c r="AA415" s="1"/>
      <c r="AB415" s="1"/>
      <c r="AC415" s="56" t="s">
        <v>216</v>
      </c>
      <c r="AD415" s="82" t="s">
        <v>234</v>
      </c>
    </row>
    <row r="416" spans="1:30">
      <c r="A416" s="1">
        <v>2025</v>
      </c>
      <c r="B416" s="1">
        <v>202520</v>
      </c>
      <c r="C416" s="1">
        <v>202524829</v>
      </c>
      <c r="D416" s="1" t="s">
        <v>4592</v>
      </c>
      <c r="E416" s="1" t="s">
        <v>4593</v>
      </c>
      <c r="F416" s="1" t="s">
        <v>255</v>
      </c>
      <c r="G416" s="53" t="str">
        <f>_xlfn.XLOOKUP(Tabla2[[#This Row],[Universidad]],Conversiones!$B:$B,Conversiones!$C:$C)</f>
        <v>ESC Rouen (NEOMA)</v>
      </c>
      <c r="H416" s="53" t="str">
        <f>_xlfn.XLOOKUP(Tabla2[[#This Row],[Universidad KPIs]],Conversiones!$C:$C,Conversiones!$E:$E)</f>
        <v>Específico</v>
      </c>
      <c r="I416" s="1" t="s">
        <v>41</v>
      </c>
      <c r="J416" s="1" t="s">
        <v>250</v>
      </c>
      <c r="K416" s="1" t="s">
        <v>4594</v>
      </c>
      <c r="L416" s="1" t="s">
        <v>4595</v>
      </c>
      <c r="M416" s="1" t="s">
        <v>213</v>
      </c>
      <c r="N416" s="1"/>
      <c r="O416" s="54" t="s">
        <v>232</v>
      </c>
      <c r="P416" s="1">
        <v>1</v>
      </c>
      <c r="Q416" s="1" t="s">
        <v>2600</v>
      </c>
      <c r="R416" s="1" t="s">
        <v>2309</v>
      </c>
      <c r="S416" s="1" t="s">
        <v>2301</v>
      </c>
      <c r="T416" s="1" t="s">
        <v>2329</v>
      </c>
      <c r="U416" s="1" t="s">
        <v>2464</v>
      </c>
      <c r="V416" s="1"/>
      <c r="W416" s="1"/>
      <c r="X416" s="1"/>
      <c r="Y416" s="1"/>
      <c r="Z416" s="1"/>
      <c r="AA416" s="1"/>
      <c r="AB416" s="1"/>
      <c r="AC416" s="56" t="s">
        <v>216</v>
      </c>
      <c r="AD416" s="82" t="s">
        <v>234</v>
      </c>
    </row>
    <row r="417" spans="1:30">
      <c r="A417" s="1">
        <v>2025</v>
      </c>
      <c r="B417" s="1">
        <v>202520</v>
      </c>
      <c r="C417" s="1">
        <v>202524830</v>
      </c>
      <c r="D417" s="1" t="s">
        <v>4596</v>
      </c>
      <c r="E417" s="1" t="s">
        <v>4597</v>
      </c>
      <c r="F417" s="1" t="s">
        <v>86</v>
      </c>
      <c r="G417" s="53" t="str">
        <f>_xlfn.XLOOKUP(Tabla2[[#This Row],[Universidad]],Conversiones!$B:$B,Conversiones!$C:$C)</f>
        <v>Politecnico di Milano</v>
      </c>
      <c r="H417" s="53" t="str">
        <f>_xlfn.XLOOKUP(Tabla2[[#This Row],[Universidad KPIs]],Conversiones!$C:$C,Conversiones!$E:$E)</f>
        <v>Específico</v>
      </c>
      <c r="I417" s="1" t="s">
        <v>87</v>
      </c>
      <c r="J417" s="1" t="s">
        <v>250</v>
      </c>
      <c r="K417" s="1" t="s">
        <v>4598</v>
      </c>
      <c r="L417" s="1" t="s">
        <v>4599</v>
      </c>
      <c r="M417" s="1" t="s">
        <v>213</v>
      </c>
      <c r="N417" s="1"/>
      <c r="O417" s="54" t="s">
        <v>4600</v>
      </c>
      <c r="P417" s="1">
        <v>1</v>
      </c>
      <c r="Q417" s="1" t="s">
        <v>2321</v>
      </c>
      <c r="R417" s="1" t="s">
        <v>2647</v>
      </c>
      <c r="S417" s="1" t="s">
        <v>3199</v>
      </c>
      <c r="T417" s="1" t="s">
        <v>4135</v>
      </c>
      <c r="U417" s="1" t="s">
        <v>2370</v>
      </c>
      <c r="V417" s="1"/>
      <c r="W417" s="1"/>
      <c r="X417" s="1"/>
      <c r="Y417" s="1"/>
      <c r="Z417" s="1"/>
      <c r="AA417" s="1"/>
      <c r="AB417" s="1"/>
      <c r="AC417" s="56" t="s">
        <v>216</v>
      </c>
      <c r="AD417" s="82" t="s">
        <v>234</v>
      </c>
    </row>
    <row r="418" spans="1:30">
      <c r="A418" s="1">
        <v>2025</v>
      </c>
      <c r="B418" s="1">
        <v>202520</v>
      </c>
      <c r="C418" s="1">
        <v>202524852</v>
      </c>
      <c r="D418" s="1" t="s">
        <v>2269</v>
      </c>
      <c r="E418" s="1" t="s">
        <v>4601</v>
      </c>
      <c r="F418" s="1" t="s">
        <v>86</v>
      </c>
      <c r="G418" s="53" t="str">
        <f>_xlfn.XLOOKUP(Tabla2[[#This Row],[Universidad]],Conversiones!$B:$B,Conversiones!$C:$C)</f>
        <v>Politecnico di Milano</v>
      </c>
      <c r="H418" s="53" t="str">
        <f>_xlfn.XLOOKUP(Tabla2[[#This Row],[Universidad KPIs]],Conversiones!$C:$C,Conversiones!$E:$E)</f>
        <v>Específico</v>
      </c>
      <c r="I418" s="1" t="s">
        <v>87</v>
      </c>
      <c r="J418" s="1" t="s">
        <v>250</v>
      </c>
      <c r="K418" s="1" t="s">
        <v>4602</v>
      </c>
      <c r="L418" s="1" t="s">
        <v>4603</v>
      </c>
      <c r="M418" s="1" t="s">
        <v>213</v>
      </c>
      <c r="N418" s="1"/>
      <c r="O418" s="54" t="s">
        <v>4600</v>
      </c>
      <c r="P418" s="1">
        <v>1</v>
      </c>
      <c r="Q418" s="1" t="s">
        <v>2647</v>
      </c>
      <c r="R418" s="1" t="s">
        <v>4565</v>
      </c>
      <c r="S418" s="1" t="s">
        <v>3199</v>
      </c>
      <c r="T418" s="1" t="s">
        <v>4135</v>
      </c>
      <c r="U418" s="1" t="s">
        <v>2370</v>
      </c>
      <c r="V418" s="1"/>
      <c r="W418" s="1"/>
      <c r="X418" s="1"/>
      <c r="Y418" s="1"/>
      <c r="Z418" s="1"/>
      <c r="AA418" s="1"/>
      <c r="AB418" s="1"/>
      <c r="AC418" s="56" t="s">
        <v>216</v>
      </c>
      <c r="AD418" s="82" t="s">
        <v>234</v>
      </c>
    </row>
    <row r="419" spans="1:30">
      <c r="A419" s="1">
        <v>2025</v>
      </c>
      <c r="B419" s="1">
        <v>202520</v>
      </c>
      <c r="C419" s="1">
        <v>202524831</v>
      </c>
      <c r="D419" s="1" t="s">
        <v>4604</v>
      </c>
      <c r="E419" s="1" t="s">
        <v>4605</v>
      </c>
      <c r="F419" s="1" t="s">
        <v>134</v>
      </c>
      <c r="G419" s="53" t="str">
        <f>_xlfn.XLOOKUP(Tabla2[[#This Row],[Universidad]],Conversiones!$B:$B,Conversiones!$C:$C)</f>
        <v>Pontificia Universidad Católica del Perú</v>
      </c>
      <c r="H419" s="53" t="str">
        <f>_xlfn.XLOOKUP(Tabla2[[#This Row],[Universidad KPIs]],Conversiones!$C:$C,Conversiones!$E:$E)</f>
        <v>General</v>
      </c>
      <c r="I419" s="1" t="s">
        <v>96</v>
      </c>
      <c r="J419" s="1" t="s">
        <v>265</v>
      </c>
      <c r="K419" s="1" t="s">
        <v>4606</v>
      </c>
      <c r="L419" s="1" t="s">
        <v>4607</v>
      </c>
      <c r="M419" s="145" t="s">
        <v>213</v>
      </c>
      <c r="N419" s="1"/>
      <c r="O419" s="54" t="s">
        <v>4608</v>
      </c>
      <c r="P419" s="1">
        <v>1</v>
      </c>
      <c r="Q419" s="1" t="s">
        <v>4529</v>
      </c>
      <c r="R419" s="1" t="s">
        <v>2496</v>
      </c>
      <c r="S419" s="1" t="s">
        <v>2300</v>
      </c>
      <c r="T419" s="1" t="s">
        <v>3211</v>
      </c>
      <c r="U419" s="1" t="s">
        <v>2435</v>
      </c>
      <c r="V419" s="1"/>
      <c r="W419" s="1"/>
      <c r="X419" s="1"/>
      <c r="Y419" s="1"/>
      <c r="Z419" s="1"/>
      <c r="AA419" s="1"/>
      <c r="AB419" s="1"/>
      <c r="AC419" s="56" t="s">
        <v>216</v>
      </c>
      <c r="AD419" s="82" t="s">
        <v>234</v>
      </c>
    </row>
    <row r="420" spans="1:30">
      <c r="A420" s="1">
        <v>2025</v>
      </c>
      <c r="B420" s="1">
        <v>202520</v>
      </c>
      <c r="C420" s="1">
        <v>202524832</v>
      </c>
      <c r="D420" s="1" t="s">
        <v>4609</v>
      </c>
      <c r="E420" s="1" t="s">
        <v>4610</v>
      </c>
      <c r="F420" s="1" t="s">
        <v>139</v>
      </c>
      <c r="G420" s="53" t="str">
        <f>_xlfn.XLOOKUP(Tabla2[[#This Row],[Universidad]],Conversiones!$B:$B,Conversiones!$C:$C)</f>
        <v>Technische Universität München (TUM)</v>
      </c>
      <c r="H420" s="53" t="str">
        <f>_xlfn.XLOOKUP(Tabla2[[#This Row],[Universidad KPIs]],Conversiones!$C:$C,Conversiones!$E:$E)</f>
        <v>General</v>
      </c>
      <c r="I420" s="1" t="s">
        <v>60</v>
      </c>
      <c r="J420" s="1" t="s">
        <v>250</v>
      </c>
      <c r="K420" s="1" t="s">
        <v>4611</v>
      </c>
      <c r="L420" s="1" t="s">
        <v>4612</v>
      </c>
      <c r="M420" s="1" t="s">
        <v>213</v>
      </c>
      <c r="N420" s="1"/>
      <c r="O420" s="54" t="s">
        <v>4613</v>
      </c>
      <c r="P420" s="1">
        <v>1</v>
      </c>
      <c r="Q420" s="1" t="s">
        <v>2321</v>
      </c>
      <c r="R420" s="1" t="s">
        <v>2307</v>
      </c>
      <c r="S420" s="1" t="s">
        <v>2363</v>
      </c>
      <c r="T420" s="1" t="s">
        <v>2463</v>
      </c>
      <c r="U420" s="1"/>
      <c r="V420" s="1"/>
      <c r="W420" s="1"/>
      <c r="X420" s="1"/>
      <c r="Y420" s="1"/>
      <c r="Z420" s="1"/>
      <c r="AA420" s="1"/>
      <c r="AB420" s="1"/>
      <c r="AC420" s="56" t="s">
        <v>216</v>
      </c>
      <c r="AD420" s="82" t="s">
        <v>234</v>
      </c>
    </row>
    <row r="421" spans="1:30">
      <c r="A421" s="1">
        <v>2025</v>
      </c>
      <c r="B421" s="1">
        <v>202520</v>
      </c>
      <c r="C421" s="1">
        <v>202524833</v>
      </c>
      <c r="D421" s="1" t="s">
        <v>4614</v>
      </c>
      <c r="E421" s="1" t="s">
        <v>4615</v>
      </c>
      <c r="F421" s="1" t="s">
        <v>341</v>
      </c>
      <c r="G421" s="53" t="str">
        <f>_xlfn.XLOOKUP(Tabla2[[#This Row],[Universidad]],Conversiones!$B:$B,Conversiones!$C:$C)</f>
        <v>A.B. Freeman School of Business, Tulane University</v>
      </c>
      <c r="H421" s="53" t="str">
        <f>_xlfn.XLOOKUP(Tabla2[[#This Row],[Universidad KPIs]],Conversiones!$C:$C,Conversiones!$E:$E)</f>
        <v>Específico</v>
      </c>
      <c r="I421" s="1" t="s">
        <v>35</v>
      </c>
      <c r="J421" s="1" t="s">
        <v>260</v>
      </c>
      <c r="K421" s="1" t="s">
        <v>4616</v>
      </c>
      <c r="L421" s="1" t="s">
        <v>4617</v>
      </c>
      <c r="M421" s="1" t="s">
        <v>213</v>
      </c>
      <c r="N421" s="1"/>
      <c r="O421" s="54" t="s">
        <v>4618</v>
      </c>
      <c r="P421" s="1">
        <v>1</v>
      </c>
      <c r="Q421" s="1" t="s">
        <v>2412</v>
      </c>
      <c r="R421" s="1" t="s">
        <v>2321</v>
      </c>
      <c r="S421" s="1" t="s">
        <v>2407</v>
      </c>
      <c r="T421" s="1" t="s">
        <v>4619</v>
      </c>
      <c r="U421" s="1" t="s">
        <v>2370</v>
      </c>
      <c r="V421" s="1" t="s">
        <v>2464</v>
      </c>
      <c r="W421" s="1"/>
      <c r="X421" s="1"/>
      <c r="Y421" s="1"/>
      <c r="Z421" s="1"/>
      <c r="AA421" s="1"/>
      <c r="AB421" s="1"/>
      <c r="AC421" s="56" t="s">
        <v>216</v>
      </c>
      <c r="AD421" s="82" t="s">
        <v>234</v>
      </c>
    </row>
    <row r="422" spans="1:30">
      <c r="A422" s="1">
        <v>2025</v>
      </c>
      <c r="B422" s="1">
        <v>202520</v>
      </c>
      <c r="C422" s="1">
        <v>202524834</v>
      </c>
      <c r="D422" s="1" t="s">
        <v>4620</v>
      </c>
      <c r="E422" s="1" t="s">
        <v>4621</v>
      </c>
      <c r="F422" s="1" t="s">
        <v>341</v>
      </c>
      <c r="G422" s="53" t="str">
        <f>_xlfn.XLOOKUP(Tabla2[[#This Row],[Universidad]],Conversiones!$B:$B,Conversiones!$C:$C)</f>
        <v>A.B. Freeman School of Business, Tulane University</v>
      </c>
      <c r="H422" s="53" t="str">
        <f>_xlfn.XLOOKUP(Tabla2[[#This Row],[Universidad KPIs]],Conversiones!$C:$C,Conversiones!$E:$E)</f>
        <v>Específico</v>
      </c>
      <c r="I422" s="1" t="s">
        <v>35</v>
      </c>
      <c r="J422" s="1" t="s">
        <v>260</v>
      </c>
      <c r="K422" s="1" t="s">
        <v>4622</v>
      </c>
      <c r="L422" s="1" t="s">
        <v>4623</v>
      </c>
      <c r="M422" s="1" t="s">
        <v>213</v>
      </c>
      <c r="N422" s="1"/>
      <c r="O422" s="54" t="s">
        <v>4618</v>
      </c>
      <c r="P422" s="1">
        <v>1</v>
      </c>
      <c r="Q422" s="1" t="s">
        <v>2412</v>
      </c>
      <c r="R422" s="1" t="s">
        <v>3715</v>
      </c>
      <c r="S422" s="1" t="s">
        <v>2321</v>
      </c>
      <c r="T422" s="1" t="s">
        <v>2382</v>
      </c>
      <c r="U422" s="1" t="s">
        <v>2370</v>
      </c>
      <c r="V422" s="1"/>
      <c r="W422" s="1"/>
      <c r="X422" s="1"/>
      <c r="Y422" s="1"/>
      <c r="Z422" s="1"/>
      <c r="AA422" s="1"/>
      <c r="AB422" s="1"/>
      <c r="AC422" s="56" t="s">
        <v>216</v>
      </c>
      <c r="AD422" s="82" t="s">
        <v>234</v>
      </c>
    </row>
    <row r="423" spans="1:30">
      <c r="A423" s="1">
        <v>2025</v>
      </c>
      <c r="B423" s="1">
        <v>202520</v>
      </c>
      <c r="C423" s="1">
        <v>202524835</v>
      </c>
      <c r="D423" s="1" t="s">
        <v>4624</v>
      </c>
      <c r="E423" s="1" t="s">
        <v>3594</v>
      </c>
      <c r="F423" s="1" t="s">
        <v>341</v>
      </c>
      <c r="G423" s="53" t="str">
        <f>_xlfn.XLOOKUP(Tabla2[[#This Row],[Universidad]],Conversiones!$B:$B,Conversiones!$C:$C)</f>
        <v>A.B. Freeman School of Business, Tulane University</v>
      </c>
      <c r="H423" s="53" t="str">
        <f>_xlfn.XLOOKUP(Tabla2[[#This Row],[Universidad KPIs]],Conversiones!$C:$C,Conversiones!$E:$E)</f>
        <v>Específico</v>
      </c>
      <c r="I423" s="1" t="s">
        <v>35</v>
      </c>
      <c r="J423" s="1" t="s">
        <v>260</v>
      </c>
      <c r="K423" s="1" t="s">
        <v>4625</v>
      </c>
      <c r="L423" s="1" t="s">
        <v>4626</v>
      </c>
      <c r="M423" s="1" t="s">
        <v>213</v>
      </c>
      <c r="N423" s="1"/>
      <c r="O423" s="54" t="s">
        <v>4618</v>
      </c>
      <c r="P423" s="1">
        <v>1</v>
      </c>
      <c r="Q423" s="1" t="s">
        <v>2307</v>
      </c>
      <c r="R423" s="1" t="s">
        <v>2363</v>
      </c>
      <c r="S423" s="1" t="s">
        <v>3199</v>
      </c>
      <c r="T423" s="1" t="s">
        <v>2329</v>
      </c>
      <c r="U423" s="1" t="s">
        <v>2357</v>
      </c>
      <c r="V423" s="1"/>
      <c r="W423" s="1"/>
      <c r="X423" s="1"/>
      <c r="Y423" s="1"/>
      <c r="Z423" s="1"/>
      <c r="AA423" s="1"/>
      <c r="AB423" s="1"/>
      <c r="AC423" s="56" t="s">
        <v>216</v>
      </c>
      <c r="AD423" s="82" t="s">
        <v>234</v>
      </c>
    </row>
    <row r="424" spans="1:30">
      <c r="A424" s="1">
        <v>2025</v>
      </c>
      <c r="B424" s="1">
        <v>202520</v>
      </c>
      <c r="C424" s="1">
        <v>202524836</v>
      </c>
      <c r="D424" s="1" t="s">
        <v>853</v>
      </c>
      <c r="E424" s="1" t="s">
        <v>4627</v>
      </c>
      <c r="F424" s="1" t="s">
        <v>4628</v>
      </c>
      <c r="G424" s="53" t="str">
        <f>_xlfn.XLOOKUP(Tabla2[[#This Row],[Universidad]],Conversiones!$B:$B,Conversiones!$C:$C)</f>
        <v>Universidad de Granada</v>
      </c>
      <c r="H424" s="53" t="str">
        <f>_xlfn.XLOOKUP(Tabla2[[#This Row],[Universidad KPIs]],Conversiones!$C:$C,Conversiones!$E:$E)</f>
        <v>General</v>
      </c>
      <c r="I424" s="1" t="s">
        <v>53</v>
      </c>
      <c r="J424" s="1" t="s">
        <v>250</v>
      </c>
      <c r="K424" s="1" t="s">
        <v>4629</v>
      </c>
      <c r="L424" s="1" t="s">
        <v>4630</v>
      </c>
      <c r="M424" s="1" t="s">
        <v>213</v>
      </c>
      <c r="N424" s="1"/>
      <c r="O424" s="54" t="s">
        <v>4631</v>
      </c>
      <c r="P424" s="1">
        <v>1</v>
      </c>
      <c r="Q424" s="1" t="s">
        <v>2412</v>
      </c>
      <c r="R424" s="1" t="s">
        <v>2308</v>
      </c>
      <c r="S424" s="1" t="s">
        <v>2300</v>
      </c>
      <c r="T424" s="1" t="s">
        <v>2451</v>
      </c>
      <c r="U424" s="1" t="s">
        <v>2525</v>
      </c>
      <c r="V424" s="1" t="s">
        <v>2435</v>
      </c>
      <c r="W424" s="1" t="s">
        <v>2609</v>
      </c>
      <c r="X424" s="1"/>
      <c r="Y424" s="1"/>
      <c r="Z424" s="1"/>
      <c r="AA424" s="1"/>
      <c r="AB424" s="1"/>
      <c r="AC424" s="56" t="s">
        <v>216</v>
      </c>
      <c r="AD424" s="82" t="s">
        <v>234</v>
      </c>
    </row>
    <row r="425" spans="1:30">
      <c r="A425" s="1">
        <v>2025</v>
      </c>
      <c r="B425" s="1">
        <v>202520</v>
      </c>
      <c r="C425" s="1">
        <v>202524837</v>
      </c>
      <c r="D425" s="1" t="s">
        <v>4632</v>
      </c>
      <c r="E425" s="1" t="s">
        <v>4633</v>
      </c>
      <c r="F425" s="1" t="s">
        <v>4628</v>
      </c>
      <c r="G425" s="53" t="str">
        <f>_xlfn.XLOOKUP(Tabla2[[#This Row],[Universidad]],Conversiones!$B:$B,Conversiones!$C:$C)</f>
        <v>Universidad de Granada</v>
      </c>
      <c r="H425" s="53" t="str">
        <f>_xlfn.XLOOKUP(Tabla2[[#This Row],[Universidad KPIs]],Conversiones!$C:$C,Conversiones!$E:$E)</f>
        <v>General</v>
      </c>
      <c r="I425" s="1" t="s">
        <v>53</v>
      </c>
      <c r="J425" s="1" t="s">
        <v>250</v>
      </c>
      <c r="K425" s="1" t="s">
        <v>4634</v>
      </c>
      <c r="L425" s="1" t="s">
        <v>4635</v>
      </c>
      <c r="M425" s="1" t="s">
        <v>213</v>
      </c>
      <c r="N425" s="1"/>
      <c r="O425" s="54" t="s">
        <v>4631</v>
      </c>
      <c r="P425" s="1">
        <v>1</v>
      </c>
      <c r="Q425" s="1" t="s">
        <v>2412</v>
      </c>
      <c r="R425" s="1" t="s">
        <v>2920</v>
      </c>
      <c r="S425" s="1" t="s">
        <v>2300</v>
      </c>
      <c r="T425" s="1" t="s">
        <v>2451</v>
      </c>
      <c r="U425" s="1" t="s">
        <v>2525</v>
      </c>
      <c r="V425" s="1" t="s">
        <v>2609</v>
      </c>
      <c r="W425" s="1"/>
      <c r="X425" s="1"/>
      <c r="Y425" s="1"/>
      <c r="Z425" s="1"/>
      <c r="AA425" s="1"/>
      <c r="AB425" s="1"/>
      <c r="AC425" s="56" t="s">
        <v>216</v>
      </c>
      <c r="AD425" s="82" t="s">
        <v>234</v>
      </c>
    </row>
    <row r="426" spans="1:30">
      <c r="A426" s="1">
        <v>2025</v>
      </c>
      <c r="B426" s="1">
        <v>202520</v>
      </c>
      <c r="C426" s="1">
        <v>202524838</v>
      </c>
      <c r="D426" s="1" t="s">
        <v>4636</v>
      </c>
      <c r="E426" s="1" t="s">
        <v>4637</v>
      </c>
      <c r="F426" s="1" t="s">
        <v>4253</v>
      </c>
      <c r="G426" s="53" t="str">
        <f>_xlfn.XLOOKUP(Tabla2[[#This Row],[Universidad]],Conversiones!$B:$B,Conversiones!$C:$C)</f>
        <v>Universidad de Lima</v>
      </c>
      <c r="H426" s="53" t="str">
        <f>_xlfn.XLOOKUP(Tabla2[[#This Row],[Universidad KPIs]],Conversiones!$C:$C,Conversiones!$E:$E)</f>
        <v>General</v>
      </c>
      <c r="I426" s="1" t="s">
        <v>96</v>
      </c>
      <c r="J426" s="1" t="s">
        <v>265</v>
      </c>
      <c r="K426" s="1" t="s">
        <v>4638</v>
      </c>
      <c r="L426" s="1" t="s">
        <v>4639</v>
      </c>
      <c r="M426" s="145" t="s">
        <v>213</v>
      </c>
      <c r="N426" s="1"/>
      <c r="O426" s="54" t="s">
        <v>4640</v>
      </c>
      <c r="P426" s="1">
        <v>1</v>
      </c>
      <c r="Q426" s="1" t="s">
        <v>2578</v>
      </c>
      <c r="R426" s="1" t="s">
        <v>2456</v>
      </c>
      <c r="S426" s="1" t="s">
        <v>2984</v>
      </c>
      <c r="T426" s="1" t="s">
        <v>2463</v>
      </c>
      <c r="U426" s="1"/>
      <c r="V426" s="1"/>
      <c r="W426" s="1"/>
      <c r="X426" s="1"/>
      <c r="Y426" s="1"/>
      <c r="Z426" s="1"/>
      <c r="AA426" s="1"/>
      <c r="AB426" s="1"/>
      <c r="AC426" s="56" t="s">
        <v>216</v>
      </c>
      <c r="AD426" s="82" t="s">
        <v>234</v>
      </c>
    </row>
    <row r="427" spans="1:30">
      <c r="A427" s="1">
        <v>2025</v>
      </c>
      <c r="B427" s="1">
        <v>202520</v>
      </c>
      <c r="C427" s="1">
        <v>202525169</v>
      </c>
      <c r="D427" s="1" t="s">
        <v>4641</v>
      </c>
      <c r="E427" s="1" t="s">
        <v>4642</v>
      </c>
      <c r="F427" s="1" t="s">
        <v>152</v>
      </c>
      <c r="G427" s="53" t="str">
        <f>_xlfn.XLOOKUP(Tabla2[[#This Row],[Universidad]],Conversiones!$B:$B,Conversiones!$C:$C)</f>
        <v>Universidad Peruana de Ciencias Aplicadas</v>
      </c>
      <c r="H427" s="53" t="str">
        <f>_xlfn.XLOOKUP(Tabla2[[#This Row],[Universidad KPIs]],Conversiones!$C:$C,Conversiones!$E:$E)</f>
        <v>General</v>
      </c>
      <c r="I427" s="1" t="s">
        <v>96</v>
      </c>
      <c r="J427" s="1" t="s">
        <v>265</v>
      </c>
      <c r="K427" s="1" t="s">
        <v>4643</v>
      </c>
      <c r="L427" s="1" t="s">
        <v>4644</v>
      </c>
      <c r="M427" s="1" t="s">
        <v>213</v>
      </c>
      <c r="N427" s="1"/>
      <c r="O427" s="54" t="s">
        <v>4645</v>
      </c>
      <c r="P427" s="1">
        <v>1</v>
      </c>
      <c r="Q427" s="1" t="s">
        <v>2496</v>
      </c>
      <c r="R427" s="1" t="s">
        <v>2632</v>
      </c>
      <c r="S427" s="1" t="s">
        <v>2307</v>
      </c>
      <c r="T427" s="1" t="s">
        <v>4565</v>
      </c>
      <c r="U427" s="1" t="s">
        <v>3211</v>
      </c>
      <c r="V427" s="1" t="s">
        <v>2357</v>
      </c>
      <c r="W427" s="1"/>
      <c r="X427" s="1"/>
      <c r="Y427" s="1"/>
      <c r="Z427" s="1"/>
      <c r="AA427" s="1"/>
      <c r="AB427" s="1"/>
      <c r="AC427" s="56" t="s">
        <v>216</v>
      </c>
      <c r="AD427" s="82" t="s">
        <v>234</v>
      </c>
    </row>
    <row r="428" spans="1:30">
      <c r="A428" s="1">
        <v>2025</v>
      </c>
      <c r="B428" s="1">
        <v>202520</v>
      </c>
      <c r="C428" s="1">
        <v>202524839</v>
      </c>
      <c r="D428" s="1" t="s">
        <v>4646</v>
      </c>
      <c r="E428" s="1" t="s">
        <v>4647</v>
      </c>
      <c r="F428" s="1" t="s">
        <v>274</v>
      </c>
      <c r="G428" s="53" t="str">
        <f>_xlfn.XLOOKUP(Tabla2[[#This Row],[Universidad]],Conversiones!$B:$B,Conversiones!$C:$C)</f>
        <v>Catolica Lisbon Business &amp; Economics. Universidade Católica Portuguesa</v>
      </c>
      <c r="H428" s="53" t="str">
        <f>_xlfn.XLOOKUP(Tabla2[[#This Row],[Universidad KPIs]],Conversiones!$C:$C,Conversiones!$E:$E)</f>
        <v>Específico</v>
      </c>
      <c r="I428" s="1" t="s">
        <v>45</v>
      </c>
      <c r="J428" s="1" t="s">
        <v>250</v>
      </c>
      <c r="K428" s="1" t="s">
        <v>4648</v>
      </c>
      <c r="L428" s="1" t="s">
        <v>4649</v>
      </c>
      <c r="M428" s="1" t="s">
        <v>213</v>
      </c>
      <c r="N428" s="1"/>
      <c r="O428" s="54" t="s">
        <v>4650</v>
      </c>
      <c r="P428" s="1">
        <v>1</v>
      </c>
      <c r="Q428" s="1" t="s">
        <v>4082</v>
      </c>
      <c r="R428" s="1" t="s">
        <v>2307</v>
      </c>
      <c r="S428" s="1" t="s">
        <v>2308</v>
      </c>
      <c r="T428" s="1" t="s">
        <v>2369</v>
      </c>
      <c r="U428" s="1" t="s">
        <v>2370</v>
      </c>
      <c r="V428" s="1"/>
      <c r="W428" s="1"/>
      <c r="X428" s="1"/>
      <c r="Y428" s="1"/>
      <c r="Z428" s="1"/>
      <c r="AA428" s="1"/>
      <c r="AB428" s="1"/>
      <c r="AC428" s="56" t="s">
        <v>216</v>
      </c>
      <c r="AD428" s="82" t="s">
        <v>234</v>
      </c>
    </row>
    <row r="429" spans="1:30">
      <c r="A429" s="1">
        <v>2025</v>
      </c>
      <c r="B429" s="1">
        <v>202520</v>
      </c>
      <c r="C429" s="1">
        <v>202524840</v>
      </c>
      <c r="D429" s="1" t="s">
        <v>4651</v>
      </c>
      <c r="E429" s="1" t="s">
        <v>4652</v>
      </c>
      <c r="F429" s="1" t="s">
        <v>274</v>
      </c>
      <c r="G429" s="53" t="str">
        <f>_xlfn.XLOOKUP(Tabla2[[#This Row],[Universidad]],Conversiones!$B:$B,Conversiones!$C:$C)</f>
        <v>Catolica Lisbon Business &amp; Economics. Universidade Católica Portuguesa</v>
      </c>
      <c r="H429" s="53" t="str">
        <f>_xlfn.XLOOKUP(Tabla2[[#This Row],[Universidad KPIs]],Conversiones!$C:$C,Conversiones!$E:$E)</f>
        <v>Específico</v>
      </c>
      <c r="I429" s="1" t="s">
        <v>45</v>
      </c>
      <c r="J429" s="1" t="s">
        <v>250</v>
      </c>
      <c r="K429" s="1" t="s">
        <v>4653</v>
      </c>
      <c r="L429" s="1" t="s">
        <v>4654</v>
      </c>
      <c r="M429" s="1" t="s">
        <v>213</v>
      </c>
      <c r="N429" s="1"/>
      <c r="O429" s="54" t="s">
        <v>4650</v>
      </c>
      <c r="P429" s="1">
        <v>1</v>
      </c>
      <c r="Q429" s="1" t="s">
        <v>4082</v>
      </c>
      <c r="R429" s="1" t="s">
        <v>2307</v>
      </c>
      <c r="S429" s="1" t="s">
        <v>2308</v>
      </c>
      <c r="T429" s="1" t="s">
        <v>2369</v>
      </c>
      <c r="U429" s="1" t="s">
        <v>2370</v>
      </c>
      <c r="V429" s="1"/>
      <c r="W429" s="1"/>
      <c r="X429" s="1"/>
      <c r="Y429" s="1"/>
      <c r="Z429" s="1"/>
      <c r="AA429" s="1"/>
      <c r="AB429" s="1"/>
      <c r="AC429" s="56" t="s">
        <v>216</v>
      </c>
      <c r="AD429" s="82" t="s">
        <v>234</v>
      </c>
    </row>
    <row r="430" spans="1:30">
      <c r="A430" s="1">
        <v>2025</v>
      </c>
      <c r="B430" s="1">
        <v>202520</v>
      </c>
      <c r="C430" s="1">
        <v>202524841</v>
      </c>
      <c r="D430" s="1" t="s">
        <v>4655</v>
      </c>
      <c r="E430" s="1" t="s">
        <v>4656</v>
      </c>
      <c r="F430" s="1" t="s">
        <v>424</v>
      </c>
      <c r="G430" s="53" t="str">
        <f>_xlfn.XLOOKUP(Tabla2[[#This Row],[Universidad]],Conversiones!$B:$B,Conversiones!$C:$C)</f>
        <v>Nova School of Business and Economics</v>
      </c>
      <c r="H430" s="53" t="str">
        <f>_xlfn.XLOOKUP(Tabla2[[#This Row],[Universidad KPIs]],Conversiones!$C:$C,Conversiones!$E:$E)</f>
        <v>Específico</v>
      </c>
      <c r="I430" s="1" t="s">
        <v>45</v>
      </c>
      <c r="J430" s="1" t="s">
        <v>250</v>
      </c>
      <c r="K430" s="1" t="s">
        <v>4657</v>
      </c>
      <c r="L430" s="1" t="s">
        <v>4658</v>
      </c>
      <c r="M430" s="1" t="s">
        <v>213</v>
      </c>
      <c r="N430" s="1"/>
      <c r="O430" s="54" t="s">
        <v>4659</v>
      </c>
      <c r="P430" s="1">
        <v>1</v>
      </c>
      <c r="Q430" s="1" t="s">
        <v>4660</v>
      </c>
      <c r="R430" s="1" t="s">
        <v>2647</v>
      </c>
      <c r="S430" s="1" t="s">
        <v>2307</v>
      </c>
      <c r="T430" s="1" t="s">
        <v>2300</v>
      </c>
      <c r="U430" s="1" t="s">
        <v>2407</v>
      </c>
      <c r="V430" s="1" t="s">
        <v>4661</v>
      </c>
      <c r="W430" s="1"/>
      <c r="X430" s="1"/>
      <c r="Y430" s="1"/>
      <c r="Z430" s="1"/>
      <c r="AA430" s="1"/>
      <c r="AB430" s="1"/>
      <c r="AC430" s="56" t="s">
        <v>216</v>
      </c>
      <c r="AD430" s="82" t="s">
        <v>234</v>
      </c>
    </row>
    <row r="431" spans="1:30">
      <c r="A431" s="1">
        <v>2025</v>
      </c>
      <c r="B431" s="1">
        <v>202520</v>
      </c>
      <c r="C431" s="1">
        <v>202524842</v>
      </c>
      <c r="D431" s="1" t="s">
        <v>4662</v>
      </c>
      <c r="E431" s="1" t="s">
        <v>4663</v>
      </c>
      <c r="F431" s="1" t="s">
        <v>189</v>
      </c>
      <c r="G431" s="53" t="str">
        <f>_xlfn.XLOOKUP(Tabla2[[#This Row],[Universidad]],Conversiones!$B:$B,Conversiones!$C:$C)</f>
        <v>Università Ca' Foscari Venezia</v>
      </c>
      <c r="H431" s="53" t="str">
        <f>_xlfn.XLOOKUP(Tabla2[[#This Row],[Universidad KPIs]],Conversiones!$C:$C,Conversiones!$E:$E)</f>
        <v>General</v>
      </c>
      <c r="I431" s="1" t="s">
        <v>87</v>
      </c>
      <c r="J431" s="1" t="s">
        <v>250</v>
      </c>
      <c r="K431" s="1" t="s">
        <v>4664</v>
      </c>
      <c r="L431" s="1" t="s">
        <v>4665</v>
      </c>
      <c r="M431" s="1" t="s">
        <v>213</v>
      </c>
      <c r="N431" s="1"/>
      <c r="O431" s="54" t="s">
        <v>4666</v>
      </c>
      <c r="P431" s="1">
        <v>1</v>
      </c>
      <c r="Q431" s="1" t="s">
        <v>2394</v>
      </c>
      <c r="R431" s="1" t="s">
        <v>2860</v>
      </c>
      <c r="S431" s="1" t="s">
        <v>4667</v>
      </c>
      <c r="T431" s="1" t="s">
        <v>2300</v>
      </c>
      <c r="U431" s="1"/>
      <c r="V431" s="1"/>
      <c r="W431" s="1"/>
      <c r="X431" s="1"/>
      <c r="Y431" s="1"/>
      <c r="Z431" s="1"/>
      <c r="AA431" s="1"/>
      <c r="AB431" s="1"/>
      <c r="AC431" s="56" t="s">
        <v>216</v>
      </c>
      <c r="AD431" s="82" t="s">
        <v>234</v>
      </c>
    </row>
    <row r="432" spans="1:30">
      <c r="A432" s="1">
        <v>2025</v>
      </c>
      <c r="B432" s="1">
        <v>202520</v>
      </c>
      <c r="C432" s="1">
        <v>202524843</v>
      </c>
      <c r="D432" s="1" t="s">
        <v>4668</v>
      </c>
      <c r="E432" s="1" t="s">
        <v>4669</v>
      </c>
      <c r="F432" s="1" t="s">
        <v>289</v>
      </c>
      <c r="G432" s="53" t="str">
        <f>_xlfn.XLOOKUP(Tabla2[[#This Row],[Universidad]],Conversiones!$B:$B,Conversiones!$C:$C)</f>
        <v>ESADE</v>
      </c>
      <c r="H432" s="53" t="str">
        <f>_xlfn.XLOOKUP(Tabla2[[#This Row],[Universidad KPIs]],Conversiones!$C:$C,Conversiones!$E:$E)</f>
        <v>Específico</v>
      </c>
      <c r="I432" s="1" t="s">
        <v>53</v>
      </c>
      <c r="J432" s="1" t="s">
        <v>250</v>
      </c>
      <c r="K432" s="1" t="s">
        <v>4670</v>
      </c>
      <c r="L432" s="1" t="s">
        <v>4671</v>
      </c>
      <c r="M432" s="1" t="s">
        <v>213</v>
      </c>
      <c r="N432" s="1"/>
      <c r="O432" s="54" t="s">
        <v>4672</v>
      </c>
      <c r="P432" s="1">
        <v>1</v>
      </c>
      <c r="Q432" s="1" t="s">
        <v>2321</v>
      </c>
      <c r="R432" s="1" t="s">
        <v>2647</v>
      </c>
      <c r="S432" s="1" t="s">
        <v>2307</v>
      </c>
      <c r="T432" s="1" t="s">
        <v>2407</v>
      </c>
      <c r="U432" s="1" t="s">
        <v>2370</v>
      </c>
      <c r="V432" s="1"/>
      <c r="W432" s="1"/>
      <c r="X432" s="1"/>
      <c r="Y432" s="1"/>
      <c r="Z432" s="1"/>
      <c r="AA432" s="1"/>
      <c r="AB432" s="1"/>
      <c r="AC432" s="56" t="s">
        <v>216</v>
      </c>
      <c r="AD432" s="82" t="s">
        <v>234</v>
      </c>
    </row>
    <row r="433" spans="1:30">
      <c r="A433" s="1">
        <v>2025</v>
      </c>
      <c r="B433" s="1">
        <v>202520</v>
      </c>
      <c r="C433" s="1">
        <v>202524844</v>
      </c>
      <c r="D433" s="1" t="s">
        <v>2711</v>
      </c>
      <c r="E433" s="1" t="s">
        <v>4673</v>
      </c>
      <c r="F433" s="1" t="s">
        <v>289</v>
      </c>
      <c r="G433" s="53" t="str">
        <f>_xlfn.XLOOKUP(Tabla2[[#This Row],[Universidad]],Conversiones!$B:$B,Conversiones!$C:$C)</f>
        <v>ESADE</v>
      </c>
      <c r="H433" s="53" t="str">
        <f>_xlfn.XLOOKUP(Tabla2[[#This Row],[Universidad KPIs]],Conversiones!$C:$C,Conversiones!$E:$E)</f>
        <v>Específico</v>
      </c>
      <c r="I433" s="1" t="s">
        <v>53</v>
      </c>
      <c r="J433" s="1" t="s">
        <v>250</v>
      </c>
      <c r="K433" s="1" t="s">
        <v>4674</v>
      </c>
      <c r="L433" s="1" t="s">
        <v>4675</v>
      </c>
      <c r="M433" s="1" t="s">
        <v>213</v>
      </c>
      <c r="N433" s="1"/>
      <c r="O433" s="54" t="s">
        <v>4672</v>
      </c>
      <c r="P433" s="1">
        <v>1</v>
      </c>
      <c r="Q433" s="1" t="s">
        <v>2321</v>
      </c>
      <c r="R433" s="1" t="s">
        <v>2647</v>
      </c>
      <c r="S433" s="1" t="s">
        <v>2307</v>
      </c>
      <c r="T433" s="1" t="s">
        <v>2407</v>
      </c>
      <c r="U433" s="1" t="s">
        <v>2370</v>
      </c>
      <c r="V433" s="1"/>
      <c r="W433" s="1"/>
      <c r="X433" s="1"/>
      <c r="Y433" s="1"/>
      <c r="Z433" s="1"/>
      <c r="AA433" s="1"/>
      <c r="AB433" s="1"/>
      <c r="AC433" s="56" t="s">
        <v>216</v>
      </c>
      <c r="AD433" s="82" t="s">
        <v>234</v>
      </c>
    </row>
    <row r="434" spans="1:30">
      <c r="A434" s="1">
        <v>2025</v>
      </c>
      <c r="B434" s="1">
        <v>202520</v>
      </c>
      <c r="C434" s="1">
        <v>202524845</v>
      </c>
      <c r="D434" s="1" t="s">
        <v>4676</v>
      </c>
      <c r="E434" s="1" t="s">
        <v>4677</v>
      </c>
      <c r="F434" s="1" t="s">
        <v>289</v>
      </c>
      <c r="G434" s="53" t="str">
        <f>_xlfn.XLOOKUP(Tabla2[[#This Row],[Universidad]],Conversiones!$B:$B,Conversiones!$C:$C)</f>
        <v>ESADE</v>
      </c>
      <c r="H434" s="53" t="str">
        <f>_xlfn.XLOOKUP(Tabla2[[#This Row],[Universidad KPIs]],Conversiones!$C:$C,Conversiones!$E:$E)</f>
        <v>Específico</v>
      </c>
      <c r="I434" s="1" t="s">
        <v>53</v>
      </c>
      <c r="J434" s="1" t="s">
        <v>250</v>
      </c>
      <c r="K434" s="1" t="s">
        <v>4678</v>
      </c>
      <c r="L434" s="1" t="s">
        <v>4679</v>
      </c>
      <c r="M434" s="1" t="s">
        <v>213</v>
      </c>
      <c r="N434" s="1"/>
      <c r="O434" s="54" t="s">
        <v>4672</v>
      </c>
      <c r="P434" s="1">
        <v>1</v>
      </c>
      <c r="Q434" s="1" t="s">
        <v>2321</v>
      </c>
      <c r="R434" s="1" t="s">
        <v>2647</v>
      </c>
      <c r="S434" s="1" t="s">
        <v>2307</v>
      </c>
      <c r="T434" s="1" t="s">
        <v>2407</v>
      </c>
      <c r="U434" s="1" t="s">
        <v>2370</v>
      </c>
      <c r="V434" s="1"/>
      <c r="W434" s="1"/>
      <c r="X434" s="1"/>
      <c r="Y434" s="1"/>
      <c r="Z434" s="1"/>
      <c r="AA434" s="1"/>
      <c r="AB434" s="1"/>
      <c r="AC434" s="56" t="s">
        <v>216</v>
      </c>
      <c r="AD434" s="82" t="s">
        <v>234</v>
      </c>
    </row>
    <row r="435" spans="1:30">
      <c r="A435" s="1">
        <v>2025</v>
      </c>
      <c r="B435" s="1">
        <v>202520</v>
      </c>
      <c r="C435" s="1">
        <v>202524846</v>
      </c>
      <c r="D435" s="1" t="s">
        <v>4680</v>
      </c>
      <c r="E435" s="1" t="s">
        <v>4681</v>
      </c>
      <c r="F435" s="1" t="s">
        <v>289</v>
      </c>
      <c r="G435" s="53" t="str">
        <f>_xlfn.XLOOKUP(Tabla2[[#This Row],[Universidad]],Conversiones!$B:$B,Conversiones!$C:$C)</f>
        <v>ESADE</v>
      </c>
      <c r="H435" s="53" t="str">
        <f>_xlfn.XLOOKUP(Tabla2[[#This Row],[Universidad KPIs]],Conversiones!$C:$C,Conversiones!$E:$E)</f>
        <v>Específico</v>
      </c>
      <c r="I435" s="1" t="s">
        <v>53</v>
      </c>
      <c r="J435" s="1" t="s">
        <v>250</v>
      </c>
      <c r="K435" s="1" t="s">
        <v>4682</v>
      </c>
      <c r="L435" s="1" t="s">
        <v>4683</v>
      </c>
      <c r="M435" s="1" t="s">
        <v>213</v>
      </c>
      <c r="N435" s="1"/>
      <c r="O435" s="54" t="s">
        <v>4672</v>
      </c>
      <c r="P435" s="1">
        <v>1</v>
      </c>
      <c r="Q435" s="1" t="s">
        <v>2456</v>
      </c>
      <c r="R435" s="1" t="s">
        <v>2300</v>
      </c>
      <c r="S435" s="1" t="s">
        <v>4572</v>
      </c>
      <c r="T435" s="1" t="s">
        <v>2301</v>
      </c>
      <c r="U435" s="1" t="s">
        <v>3943</v>
      </c>
      <c r="V435" s="1" t="s">
        <v>2609</v>
      </c>
      <c r="W435" s="1"/>
      <c r="X435" s="1"/>
      <c r="Y435" s="1"/>
      <c r="Z435" s="1"/>
      <c r="AA435" s="1"/>
      <c r="AB435" s="1"/>
      <c r="AC435" s="56" t="s">
        <v>216</v>
      </c>
      <c r="AD435" s="82" t="s">
        <v>234</v>
      </c>
    </row>
    <row r="436" spans="1:30">
      <c r="A436" s="1">
        <v>2025</v>
      </c>
      <c r="B436" s="1">
        <v>202520</v>
      </c>
      <c r="C436" s="1">
        <v>202524847</v>
      </c>
      <c r="D436" s="1" t="s">
        <v>4684</v>
      </c>
      <c r="E436" s="1" t="s">
        <v>4685</v>
      </c>
      <c r="F436" s="1" t="s">
        <v>289</v>
      </c>
      <c r="G436" s="53" t="str">
        <f>_xlfn.XLOOKUP(Tabla2[[#This Row],[Universidad]],Conversiones!$B:$B,Conversiones!$C:$C)</f>
        <v>ESADE</v>
      </c>
      <c r="H436" s="53" t="str">
        <f>_xlfn.XLOOKUP(Tabla2[[#This Row],[Universidad KPIs]],Conversiones!$C:$C,Conversiones!$E:$E)</f>
        <v>Específico</v>
      </c>
      <c r="I436" s="1" t="s">
        <v>53</v>
      </c>
      <c r="J436" s="1" t="s">
        <v>250</v>
      </c>
      <c r="K436" s="1" t="s">
        <v>4686</v>
      </c>
      <c r="L436" s="1" t="s">
        <v>4687</v>
      </c>
      <c r="M436" s="1" t="s">
        <v>213</v>
      </c>
      <c r="N436" s="1"/>
      <c r="O436" s="54" t="s">
        <v>4672</v>
      </c>
      <c r="P436" s="1">
        <v>1</v>
      </c>
      <c r="Q436" s="1" t="s">
        <v>2456</v>
      </c>
      <c r="R436" s="1" t="s">
        <v>2300</v>
      </c>
      <c r="S436" s="1" t="s">
        <v>4572</v>
      </c>
      <c r="T436" s="1" t="s">
        <v>2301</v>
      </c>
      <c r="U436" s="1" t="s">
        <v>3943</v>
      </c>
      <c r="V436" s="1" t="s">
        <v>2609</v>
      </c>
      <c r="W436" s="1" t="s">
        <v>3075</v>
      </c>
      <c r="X436" s="1"/>
      <c r="Y436" s="1"/>
      <c r="Z436" s="1"/>
      <c r="AA436" s="1"/>
      <c r="AB436" s="1"/>
      <c r="AC436" s="56" t="s">
        <v>216</v>
      </c>
      <c r="AD436" s="82" t="s">
        <v>234</v>
      </c>
    </row>
    <row r="437" spans="1:30">
      <c r="A437" s="1">
        <v>2025</v>
      </c>
      <c r="B437" s="1">
        <v>202520</v>
      </c>
      <c r="C437" s="1">
        <v>202524851</v>
      </c>
      <c r="D437" s="1" t="s">
        <v>1065</v>
      </c>
      <c r="E437" s="1" t="s">
        <v>4688</v>
      </c>
      <c r="F437" s="1" t="s">
        <v>289</v>
      </c>
      <c r="G437" s="53" t="str">
        <f>_xlfn.XLOOKUP(Tabla2[[#This Row],[Universidad]],Conversiones!$B:$B,Conversiones!$C:$C)</f>
        <v>ESADE</v>
      </c>
      <c r="H437" s="53" t="str">
        <f>_xlfn.XLOOKUP(Tabla2[[#This Row],[Universidad KPIs]],Conversiones!$C:$C,Conversiones!$E:$E)</f>
        <v>Específico</v>
      </c>
      <c r="I437" s="1" t="s">
        <v>53</v>
      </c>
      <c r="J437" s="1" t="s">
        <v>250</v>
      </c>
      <c r="K437" s="1" t="s">
        <v>4689</v>
      </c>
      <c r="L437" s="1" t="s">
        <v>4690</v>
      </c>
      <c r="M437" s="1" t="s">
        <v>213</v>
      </c>
      <c r="N437" s="1"/>
      <c r="O437" s="54" t="s">
        <v>4672</v>
      </c>
      <c r="P437" s="1">
        <v>1</v>
      </c>
      <c r="Q437" s="1" t="s">
        <v>2456</v>
      </c>
      <c r="R437" s="1" t="s">
        <v>2300</v>
      </c>
      <c r="S437" s="1" t="s">
        <v>4572</v>
      </c>
      <c r="T437" s="1" t="s">
        <v>2301</v>
      </c>
      <c r="U437" s="1" t="s">
        <v>3943</v>
      </c>
      <c r="V437" s="1" t="s">
        <v>2609</v>
      </c>
      <c r="W437" s="1"/>
      <c r="X437" s="1"/>
      <c r="Y437" s="1"/>
      <c r="Z437" s="1"/>
      <c r="AA437" s="1"/>
      <c r="AB437" s="1"/>
      <c r="AC437" s="56" t="s">
        <v>216</v>
      </c>
      <c r="AD437" s="82" t="s">
        <v>234</v>
      </c>
    </row>
    <row r="438" spans="1:30">
      <c r="A438" s="1">
        <v>2025</v>
      </c>
      <c r="B438" s="1">
        <v>202520</v>
      </c>
      <c r="C438" s="1">
        <v>202524848</v>
      </c>
      <c r="D438" s="1" t="s">
        <v>4691</v>
      </c>
      <c r="E438" s="1" t="s">
        <v>4692</v>
      </c>
      <c r="F438" s="1" t="s">
        <v>166</v>
      </c>
      <c r="G438" s="53" t="str">
        <f>_xlfn.XLOOKUP(Tabla2[[#This Row],[Universidad]],Conversiones!$B:$B,Conversiones!$C:$C)</f>
        <v>University of Oklahoma</v>
      </c>
      <c r="H438" s="53" t="str">
        <f>_xlfn.XLOOKUP(Tabla2[[#This Row],[Universidad KPIs]],Conversiones!$C:$C,Conversiones!$E:$E)</f>
        <v>General</v>
      </c>
      <c r="I438" s="1" t="s">
        <v>35</v>
      </c>
      <c r="J438" s="1" t="s">
        <v>260</v>
      </c>
      <c r="K438" s="1" t="s">
        <v>4693</v>
      </c>
      <c r="L438" s="1" t="s">
        <v>4694</v>
      </c>
      <c r="M438" s="1" t="s">
        <v>213</v>
      </c>
      <c r="N438" s="1"/>
      <c r="O438" s="54" t="s">
        <v>4695</v>
      </c>
      <c r="P438" s="1">
        <v>1</v>
      </c>
      <c r="Q438" s="1" t="s">
        <v>2510</v>
      </c>
      <c r="R438" s="1" t="s">
        <v>2984</v>
      </c>
      <c r="S438" s="1" t="s">
        <v>2300</v>
      </c>
      <c r="T438" s="1" t="s">
        <v>2329</v>
      </c>
      <c r="U438" s="1" t="s">
        <v>4696</v>
      </c>
      <c r="V438" s="1"/>
      <c r="W438" s="1"/>
      <c r="X438" s="1"/>
      <c r="Y438" s="1"/>
      <c r="Z438" s="1"/>
      <c r="AA438" s="1"/>
      <c r="AB438" s="1"/>
      <c r="AC438" s="56" t="s">
        <v>216</v>
      </c>
      <c r="AD438" s="82" t="s">
        <v>234</v>
      </c>
    </row>
    <row r="439" spans="1:30">
      <c r="A439" s="1">
        <v>2025</v>
      </c>
      <c r="B439" s="1">
        <v>202520</v>
      </c>
      <c r="C439" s="1">
        <v>202525170</v>
      </c>
      <c r="D439" s="1" t="s">
        <v>4697</v>
      </c>
      <c r="E439" s="1" t="s">
        <v>4698</v>
      </c>
      <c r="F439" s="1" t="s">
        <v>493</v>
      </c>
      <c r="G439" s="53" t="str">
        <f>_xlfn.XLOOKUP(Tabla2[[#This Row],[Universidad]],Conversiones!$B:$B,Conversiones!$C:$C)</f>
        <v>University of Saint Gallen</v>
      </c>
      <c r="H439" s="53" t="str">
        <f>_xlfn.XLOOKUP(Tabla2[[#This Row],[Universidad KPIs]],Conversiones!$C:$C,Conversiones!$E:$E)</f>
        <v>Específico</v>
      </c>
      <c r="I439" s="1" t="s">
        <v>65</v>
      </c>
      <c r="J439" s="1" t="s">
        <v>250</v>
      </c>
      <c r="K439" s="1" t="s">
        <v>4699</v>
      </c>
      <c r="L439" s="1" t="s">
        <v>4700</v>
      </c>
      <c r="M439" s="1" t="s">
        <v>213</v>
      </c>
      <c r="N439" s="1"/>
      <c r="O439" s="54" t="s">
        <v>4701</v>
      </c>
      <c r="P439" s="1">
        <v>1</v>
      </c>
      <c r="Q439" s="1" t="s">
        <v>4026</v>
      </c>
      <c r="R439" s="1" t="s">
        <v>2764</v>
      </c>
      <c r="S439" s="1" t="s">
        <v>2309</v>
      </c>
      <c r="T439" s="1" t="s">
        <v>2307</v>
      </c>
      <c r="U439" s="1" t="s">
        <v>3629</v>
      </c>
      <c r="V439" s="1" t="s">
        <v>2355</v>
      </c>
      <c r="W439" s="1" t="s">
        <v>2464</v>
      </c>
      <c r="X439" s="1"/>
      <c r="Y439" s="1"/>
      <c r="Z439" s="1"/>
      <c r="AA439" s="1"/>
      <c r="AB439" s="1"/>
      <c r="AC439" s="56" t="s">
        <v>221</v>
      </c>
      <c r="AD439" s="82" t="s">
        <v>227</v>
      </c>
    </row>
    <row r="440" spans="1:30">
      <c r="A440" s="1">
        <v>2025</v>
      </c>
      <c r="B440" s="1">
        <v>202520</v>
      </c>
      <c r="C440" s="1">
        <v>202524854</v>
      </c>
      <c r="D440" s="1" t="s">
        <v>4702</v>
      </c>
      <c r="E440" s="1" t="s">
        <v>4703</v>
      </c>
      <c r="F440" s="1" t="s">
        <v>914</v>
      </c>
      <c r="G440" s="53" t="str">
        <f>_xlfn.XLOOKUP(Tabla2[[#This Row],[Universidad]],Conversiones!$B:$B,Conversiones!$C:$C)</f>
        <v>Universidad Jean Moulin Lyon 3</v>
      </c>
      <c r="H440" s="53" t="str">
        <f>_xlfn.XLOOKUP(Tabla2[[#This Row],[Universidad KPIs]],Conversiones!$C:$C,Conversiones!$E:$E)</f>
        <v>General</v>
      </c>
      <c r="I440" s="1" t="s">
        <v>41</v>
      </c>
      <c r="J440" s="1" t="s">
        <v>250</v>
      </c>
      <c r="K440" s="1" t="s">
        <v>4704</v>
      </c>
      <c r="L440" s="1" t="s">
        <v>4705</v>
      </c>
      <c r="M440" s="1" t="s">
        <v>213</v>
      </c>
      <c r="N440" s="1"/>
      <c r="O440" s="54" t="s">
        <v>4706</v>
      </c>
      <c r="P440" s="1">
        <v>1</v>
      </c>
      <c r="Q440" s="1" t="s">
        <v>4707</v>
      </c>
      <c r="R440" s="1" t="s">
        <v>4708</v>
      </c>
      <c r="S440" s="1" t="s">
        <v>2653</v>
      </c>
      <c r="T440" s="1" t="s">
        <v>2965</v>
      </c>
      <c r="U440" s="1"/>
      <c r="V440" s="1"/>
      <c r="W440" s="1"/>
      <c r="X440" s="1"/>
      <c r="Y440" s="1"/>
      <c r="Z440" s="1"/>
      <c r="AA440" s="1"/>
      <c r="AB440" s="1"/>
      <c r="AC440" s="56" t="s">
        <v>222</v>
      </c>
      <c r="AD440" s="82" t="s">
        <v>227</v>
      </c>
    </row>
    <row r="441" spans="1:30">
      <c r="A441" s="1">
        <v>2025</v>
      </c>
      <c r="B441" s="1">
        <v>202520</v>
      </c>
      <c r="C441" s="1">
        <v>202524856</v>
      </c>
      <c r="D441" s="1" t="s">
        <v>4709</v>
      </c>
      <c r="E441" s="1" t="s">
        <v>4710</v>
      </c>
      <c r="F441" s="1" t="s">
        <v>98</v>
      </c>
      <c r="G441" s="53" t="str">
        <f>_xlfn.XLOOKUP(Tabla2[[#This Row],[Universidad]],Conversiones!$B:$B,Conversiones!$C:$C)</f>
        <v>Universiteit Utrecht</v>
      </c>
      <c r="H441" s="53" t="str">
        <f>_xlfn.XLOOKUP(Tabla2[[#This Row],[Universidad KPIs]],Conversiones!$C:$C,Conversiones!$E:$E)</f>
        <v>Específico</v>
      </c>
      <c r="I441" s="1" t="s">
        <v>79</v>
      </c>
      <c r="J441" s="1" t="s">
        <v>250</v>
      </c>
      <c r="K441" s="1" t="s">
        <v>4711</v>
      </c>
      <c r="L441" s="1" t="s">
        <v>4712</v>
      </c>
      <c r="M441" s="1" t="s">
        <v>213</v>
      </c>
      <c r="N441" s="1"/>
      <c r="O441" s="54" t="s">
        <v>4713</v>
      </c>
      <c r="P441" s="1">
        <v>1</v>
      </c>
      <c r="Q441" s="1" t="s">
        <v>4707</v>
      </c>
      <c r="R441" s="1" t="s">
        <v>4708</v>
      </c>
      <c r="S441" s="1" t="s">
        <v>2652</v>
      </c>
      <c r="T441" s="1" t="s">
        <v>2965</v>
      </c>
      <c r="U441" s="1" t="s">
        <v>2464</v>
      </c>
      <c r="V441" s="1"/>
      <c r="W441" s="1"/>
      <c r="X441" s="1"/>
      <c r="Y441" s="1"/>
      <c r="Z441" s="1"/>
      <c r="AA441" s="1"/>
      <c r="AB441" s="1"/>
      <c r="AC441" s="56" t="s">
        <v>222</v>
      </c>
      <c r="AD441" s="82" t="s">
        <v>227</v>
      </c>
    </row>
    <row r="442" spans="1:30">
      <c r="A442" s="1">
        <v>2025</v>
      </c>
      <c r="B442" s="1">
        <v>202520</v>
      </c>
      <c r="C442" s="1">
        <v>202525171</v>
      </c>
      <c r="D442" s="1" t="s">
        <v>4714</v>
      </c>
      <c r="E442" s="1" t="s">
        <v>4715</v>
      </c>
      <c r="F442" s="1" t="s">
        <v>619</v>
      </c>
      <c r="G442" s="53" t="str">
        <f>_xlfn.XLOOKUP(Tabla2[[#This Row],[Universidad]],Conversiones!$B:$B,Conversiones!$C:$C)</f>
        <v>Grenoble. École de Management</v>
      </c>
      <c r="H442" s="53" t="str">
        <f>_xlfn.XLOOKUP(Tabla2[[#This Row],[Universidad KPIs]],Conversiones!$C:$C,Conversiones!$E:$E)</f>
        <v>Específico</v>
      </c>
      <c r="I442" s="1" t="s">
        <v>41</v>
      </c>
      <c r="J442" s="1" t="s">
        <v>250</v>
      </c>
      <c r="K442" s="1" t="s">
        <v>4716</v>
      </c>
      <c r="L442" s="1" t="s">
        <v>4717</v>
      </c>
      <c r="M442" s="1" t="s">
        <v>213</v>
      </c>
      <c r="N442" s="1"/>
      <c r="O442" s="54" t="s">
        <v>4718</v>
      </c>
      <c r="P442" s="1">
        <v>1</v>
      </c>
      <c r="Q442" s="1" t="s">
        <v>2516</v>
      </c>
      <c r="R442" s="1" t="s">
        <v>4719</v>
      </c>
      <c r="S442" s="1" t="s">
        <v>3022</v>
      </c>
      <c r="T442" s="1" t="s">
        <v>3051</v>
      </c>
      <c r="U442" s="1" t="s">
        <v>2308</v>
      </c>
      <c r="V442" s="1" t="s">
        <v>4720</v>
      </c>
      <c r="W442" s="1"/>
      <c r="X442" s="1"/>
      <c r="Y442" s="1"/>
      <c r="Z442" s="1"/>
      <c r="AA442" s="1"/>
      <c r="AB442" s="1"/>
      <c r="AC442" s="56" t="s">
        <v>223</v>
      </c>
      <c r="AD442" s="82" t="s">
        <v>227</v>
      </c>
    </row>
    <row r="443" spans="1:30">
      <c r="A443" s="1">
        <v>2025</v>
      </c>
      <c r="B443" s="1">
        <v>202520</v>
      </c>
      <c r="C443" s="1">
        <v>202524857</v>
      </c>
      <c r="D443" s="1" t="s">
        <v>4721</v>
      </c>
      <c r="E443" s="1" t="s">
        <v>4722</v>
      </c>
      <c r="F443" s="1" t="s">
        <v>298</v>
      </c>
      <c r="G443" s="53" t="str">
        <f>_xlfn.XLOOKUP(Tabla2[[#This Row],[Universidad]],Conversiones!$B:$B,Conversiones!$C:$C)</f>
        <v>ESSEC</v>
      </c>
      <c r="H443" s="53" t="str">
        <f>_xlfn.XLOOKUP(Tabla2[[#This Row],[Universidad KPIs]],Conversiones!$C:$C,Conversiones!$E:$E)</f>
        <v>Específico</v>
      </c>
      <c r="I443" s="1" t="s">
        <v>41</v>
      </c>
      <c r="J443" s="1" t="s">
        <v>250</v>
      </c>
      <c r="K443" s="1" t="s">
        <v>4723</v>
      </c>
      <c r="L443" s="1" t="s">
        <v>4724</v>
      </c>
      <c r="M443" s="1" t="s">
        <v>213</v>
      </c>
      <c r="N443" s="1"/>
      <c r="O443" s="54" t="s">
        <v>232</v>
      </c>
      <c r="P443" s="1">
        <v>1</v>
      </c>
      <c r="Q443" s="1" t="s">
        <v>4707</v>
      </c>
      <c r="R443" s="1" t="s">
        <v>2652</v>
      </c>
      <c r="S443" s="1" t="s">
        <v>3873</v>
      </c>
      <c r="T443" s="1"/>
      <c r="U443" s="1"/>
      <c r="V443" s="1"/>
      <c r="W443" s="1"/>
      <c r="X443" s="1"/>
      <c r="Y443" s="1"/>
      <c r="Z443" s="1"/>
      <c r="AA443" s="1"/>
      <c r="AB443" s="1"/>
      <c r="AC443" s="56" t="s">
        <v>218</v>
      </c>
      <c r="AD443" s="82" t="s">
        <v>227</v>
      </c>
    </row>
    <row r="444" spans="1:30">
      <c r="A444" s="1">
        <v>2025</v>
      </c>
      <c r="B444" s="1">
        <v>202520</v>
      </c>
      <c r="C444" s="1">
        <v>202525166</v>
      </c>
      <c r="D444" s="1" t="s">
        <v>4725</v>
      </c>
      <c r="E444" s="1" t="s">
        <v>4726</v>
      </c>
      <c r="F444" s="1" t="s">
        <v>388</v>
      </c>
      <c r="G444" s="53" t="str">
        <f>_xlfn.XLOOKUP(Tabla2[[#This Row],[Universidad]],Conversiones!$B:$B,Conversiones!$C:$C)</f>
        <v>ESCP</v>
      </c>
      <c r="H444" s="53" t="str">
        <f>_xlfn.XLOOKUP(Tabla2[[#This Row],[Universidad KPIs]],Conversiones!$C:$C,Conversiones!$E:$E)</f>
        <v>Específico</v>
      </c>
      <c r="I444" s="1" t="s">
        <v>41</v>
      </c>
      <c r="J444" s="1" t="s">
        <v>250</v>
      </c>
      <c r="K444" s="1" t="s">
        <v>4727</v>
      </c>
      <c r="L444" s="1" t="s">
        <v>4728</v>
      </c>
      <c r="M444" s="1" t="s">
        <v>213</v>
      </c>
      <c r="N444" s="1"/>
      <c r="O444" s="54" t="s">
        <v>4729</v>
      </c>
      <c r="P444" s="1">
        <v>1</v>
      </c>
      <c r="Q444" s="1" t="s">
        <v>2652</v>
      </c>
      <c r="R444" s="1" t="s">
        <v>4015</v>
      </c>
      <c r="S444" s="1" t="s">
        <v>3894</v>
      </c>
      <c r="T444" s="1"/>
      <c r="U444" s="1"/>
      <c r="V444" s="1"/>
      <c r="W444" s="1"/>
      <c r="X444" s="1"/>
      <c r="Y444" s="1"/>
      <c r="Z444" s="1"/>
      <c r="AA444" s="1"/>
      <c r="AB444" s="1"/>
      <c r="AC444" s="56" t="s">
        <v>220</v>
      </c>
      <c r="AD444" s="82" t="s">
        <v>227</v>
      </c>
    </row>
    <row r="445" spans="1:30">
      <c r="A445" s="1">
        <v>2025</v>
      </c>
      <c r="B445" s="1">
        <v>202520</v>
      </c>
      <c r="C445" s="1">
        <v>202525167</v>
      </c>
      <c r="D445" s="1" t="s">
        <v>4730</v>
      </c>
      <c r="E445" s="1" t="s">
        <v>4731</v>
      </c>
      <c r="F445" s="1" t="s">
        <v>388</v>
      </c>
      <c r="G445" s="53" t="str">
        <f>_xlfn.XLOOKUP(Tabla2[[#This Row],[Universidad]],Conversiones!$B:$B,Conversiones!$C:$C)</f>
        <v>ESCP</v>
      </c>
      <c r="H445" s="53" t="str">
        <f>_xlfn.XLOOKUP(Tabla2[[#This Row],[Universidad KPIs]],Conversiones!$C:$C,Conversiones!$E:$E)</f>
        <v>Específico</v>
      </c>
      <c r="I445" s="1" t="s">
        <v>41</v>
      </c>
      <c r="J445" s="1" t="s">
        <v>250</v>
      </c>
      <c r="K445" s="1" t="s">
        <v>4732</v>
      </c>
      <c r="L445" s="1" t="s">
        <v>4733</v>
      </c>
      <c r="M445" s="1" t="s">
        <v>213</v>
      </c>
      <c r="N445" s="1"/>
      <c r="O445" s="54" t="s">
        <v>4729</v>
      </c>
      <c r="P445" s="1">
        <v>1</v>
      </c>
      <c r="Q445" s="1" t="s">
        <v>2653</v>
      </c>
      <c r="R445" s="1" t="s">
        <v>4015</v>
      </c>
      <c r="S445" s="1" t="s">
        <v>4734</v>
      </c>
      <c r="T445" s="1" t="s">
        <v>2965</v>
      </c>
      <c r="U445" s="1"/>
      <c r="V445" s="1"/>
      <c r="W445" s="1"/>
      <c r="X445" s="1"/>
      <c r="Y445" s="1"/>
      <c r="Z445" s="1"/>
      <c r="AA445" s="1"/>
      <c r="AB445" s="1"/>
      <c r="AC445" s="56" t="s">
        <v>220</v>
      </c>
      <c r="AD445" s="82" t="s">
        <v>227</v>
      </c>
    </row>
    <row r="446" spans="1:30">
      <c r="A446" s="1">
        <v>2025</v>
      </c>
      <c r="B446" s="1">
        <v>202520</v>
      </c>
      <c r="C446" s="1">
        <v>202525168</v>
      </c>
      <c r="D446" s="1" t="s">
        <v>4735</v>
      </c>
      <c r="E446" s="1" t="s">
        <v>4736</v>
      </c>
      <c r="F446" s="1" t="s">
        <v>298</v>
      </c>
      <c r="G446" s="53" t="str">
        <f>_xlfn.XLOOKUP(Tabla2[[#This Row],[Universidad]],Conversiones!$B:$B,Conversiones!$C:$C)</f>
        <v>ESSEC</v>
      </c>
      <c r="H446" s="53" t="str">
        <f>_xlfn.XLOOKUP(Tabla2[[#This Row],[Universidad KPIs]],Conversiones!$C:$C,Conversiones!$E:$E)</f>
        <v>Específico</v>
      </c>
      <c r="I446" s="1" t="s">
        <v>41</v>
      </c>
      <c r="J446" s="1" t="s">
        <v>250</v>
      </c>
      <c r="K446" s="1" t="s">
        <v>4737</v>
      </c>
      <c r="L446" s="1" t="s">
        <v>4738</v>
      </c>
      <c r="M446" s="1" t="s">
        <v>213</v>
      </c>
      <c r="N446" s="1"/>
      <c r="O446" s="54" t="s">
        <v>232</v>
      </c>
      <c r="P446" s="1">
        <v>1</v>
      </c>
      <c r="Q446" s="1" t="s">
        <v>2652</v>
      </c>
      <c r="R446" s="1" t="s">
        <v>4015</v>
      </c>
      <c r="S446" s="1" t="s">
        <v>3894</v>
      </c>
      <c r="T446" s="1" t="s">
        <v>2944</v>
      </c>
      <c r="U446" s="1"/>
      <c r="V446" s="1"/>
      <c r="W446" s="1"/>
      <c r="X446" s="1"/>
      <c r="Y446" s="1"/>
      <c r="Z446" s="1"/>
      <c r="AA446" s="1"/>
      <c r="AB446" s="1"/>
      <c r="AC446" s="56" t="s">
        <v>220</v>
      </c>
      <c r="AD446" s="82" t="s">
        <v>227</v>
      </c>
    </row>
    <row r="447" spans="1:30">
      <c r="A447" s="1">
        <v>2025</v>
      </c>
      <c r="B447" s="1">
        <v>202520</v>
      </c>
      <c r="C447" s="1">
        <v>202525165</v>
      </c>
      <c r="D447" s="1" t="s">
        <v>327</v>
      </c>
      <c r="E447" s="1" t="s">
        <v>4739</v>
      </c>
      <c r="F447" s="1" t="s">
        <v>424</v>
      </c>
      <c r="G447" s="53" t="str">
        <f>_xlfn.XLOOKUP(Tabla2[[#This Row],[Universidad]],Conversiones!$B:$B,Conversiones!$C:$C)</f>
        <v>Nova School of Business and Economics</v>
      </c>
      <c r="H447" s="53" t="str">
        <f>_xlfn.XLOOKUP(Tabla2[[#This Row],[Universidad KPIs]],Conversiones!$C:$C,Conversiones!$E:$E)</f>
        <v>Específico</v>
      </c>
      <c r="I447" s="1" t="s">
        <v>45</v>
      </c>
      <c r="J447" s="1" t="s">
        <v>250</v>
      </c>
      <c r="K447" s="1" t="s">
        <v>4740</v>
      </c>
      <c r="L447" s="1" t="s">
        <v>4741</v>
      </c>
      <c r="M447" s="1" t="s">
        <v>213</v>
      </c>
      <c r="N447" s="1"/>
      <c r="O447" s="54" t="s">
        <v>4742</v>
      </c>
      <c r="P447" s="1">
        <v>1</v>
      </c>
      <c r="Q447" s="1" t="s">
        <v>3043</v>
      </c>
      <c r="R447" s="1" t="s">
        <v>4743</v>
      </c>
      <c r="S447" s="1" t="s">
        <v>2309</v>
      </c>
      <c r="T447" s="1" t="s">
        <v>4744</v>
      </c>
      <c r="U447" s="1" t="s">
        <v>2363</v>
      </c>
      <c r="V447" s="1" t="s">
        <v>4745</v>
      </c>
      <c r="W447" s="1" t="s">
        <v>4746</v>
      </c>
      <c r="X447" s="1" t="s">
        <v>2329</v>
      </c>
      <c r="Y447" s="1" t="s">
        <v>4747</v>
      </c>
      <c r="Z447" s="1"/>
      <c r="AA447" s="1"/>
      <c r="AB447" s="1"/>
      <c r="AC447" s="56" t="s">
        <v>220</v>
      </c>
      <c r="AD447" s="83" t="s">
        <v>227</v>
      </c>
    </row>
  </sheetData>
  <phoneticPr fontId="3" type="noConversion"/>
  <conditionalFormatting sqref="Q1:AB306 Q307:Z309 R363:AC364 Q449:AB1048576">
    <cfRule type="containsText" dxfId="25" priority="40" operator="containsText" text="RDSV">
      <formula>NOT(ISERROR(SEARCH("RDSV",Q1)))</formula>
    </cfRule>
    <cfRule type="containsText" dxfId="24" priority="41" operator="containsText" text="MGPD">
      <formula>NOT(ISERROR(SEARCH("MGPD",Q1)))</formula>
    </cfRule>
    <cfRule type="containsText" dxfId="23" priority="42" operator="containsText" text="MGAP">
      <formula>NOT(ISERROR(SEARCH("MGAP",Q1)))</formula>
    </cfRule>
    <cfRule type="containsText" dxfId="22" priority="43" operator="containsText" text="MMER">
      <formula>NOT(ISERROR(SEARCH("MMER",Q1)))</formula>
    </cfRule>
    <cfRule type="containsText" dxfId="21" priority="44" operator="containsText" text="MFIN">
      <formula>NOT(ISERROR(SEARCH("MFIN",Q1)))</formula>
    </cfRule>
    <cfRule type="containsText" dxfId="20" priority="45" operator="containsText" text="MIFI">
      <formula>NOT(ISERROR(SEARCH("MIFI",Q1)))</formula>
    </cfRule>
    <cfRule type="containsText" dxfId="19" priority="46" operator="containsText" text="MIMC">
      <formula>NOT(ISERROR(SEARCH("MIMC",Q1)))</formula>
    </cfRule>
    <cfRule type="containsText" dxfId="18" priority="47" operator="containsText" text="MIAD">
      <formula>NOT(ISERROR(SEARCH("MIAD",Q1)))</formula>
    </cfRule>
    <cfRule type="containsText" dxfId="17" priority="48" operator="containsText" text="MSCM">
      <formula>NOT(ISERROR(SEARCH("MSCM",Q1)))</formula>
    </cfRule>
    <cfRule type="containsText" dxfId="16" priority="49" operator="containsText" text="EMBA">
      <formula>NOT(ISERROR(SEARCH("EMBA",Q1)))</formula>
    </cfRule>
    <cfRule type="containsText" dxfId="15" priority="50" operator="containsText" text="MADM">
      <formula>NOT(ISERROR(SEARCH("MADM",Q1)))</formula>
    </cfRule>
    <cfRule type="containsText" dxfId="14" priority="51" operator="containsText" text="ADMI">
      <formula>NOT(ISERROR(SEARCH("ADMI",Q1)))</formula>
    </cfRule>
    <cfRule type="containsText" dxfId="13" priority="52" operator="containsText" text="MMBA">
      <formula>NOT(ISERROR(SEARCH("MMBA",Q1)))</formula>
    </cfRule>
  </conditionalFormatting>
  <conditionalFormatting sqref="Q310:AC362 Q365:AB401">
    <cfRule type="containsText" dxfId="12" priority="14" operator="containsText" text="MFIN">
      <formula>NOT(ISERROR(SEARCH("MFIN",Q310)))</formula>
    </cfRule>
    <cfRule type="containsText" dxfId="11" priority="15" operator="containsText" text="RDSV">
      <formula>NOT(ISERROR(SEARCH("RDSV",Q310)))</formula>
    </cfRule>
    <cfRule type="containsText" dxfId="10" priority="16" operator="containsText" text="MGPD">
      <formula>NOT(ISERROR(SEARCH("MGPD",Q310)))</formula>
    </cfRule>
    <cfRule type="containsText" dxfId="9" priority="17" operator="containsText" text="MGAP">
      <formula>NOT(ISERROR(SEARCH("MGAP",Q310)))</formula>
    </cfRule>
    <cfRule type="containsText" dxfId="8" priority="18" operator="containsText" text="MMER">
      <formula>NOT(ISERROR(SEARCH("MMER",Q310)))</formula>
    </cfRule>
    <cfRule type="containsText" dxfId="7" priority="19" operator="containsText" text="MIFI">
      <formula>NOT(ISERROR(SEARCH("MIFI",Q310)))</formula>
    </cfRule>
    <cfRule type="containsText" dxfId="6" priority="20" operator="containsText" text="MIMC">
      <formula>NOT(ISERROR(SEARCH("MIMC",Q310)))</formula>
    </cfRule>
    <cfRule type="containsText" dxfId="5" priority="21" operator="containsText" text="MIAD">
      <formula>NOT(ISERROR(SEARCH("MIAD",Q310)))</formula>
    </cfRule>
    <cfRule type="containsText" dxfId="4" priority="22" operator="containsText" text="MSCM">
      <formula>NOT(ISERROR(SEARCH("MSCM",Q310)))</formula>
    </cfRule>
    <cfRule type="containsText" dxfId="3" priority="23" operator="containsText" text="EMBA">
      <formula>NOT(ISERROR(SEARCH("EMBA",Q310)))</formula>
    </cfRule>
    <cfRule type="containsText" dxfId="2" priority="24" operator="containsText" text="MADM">
      <formula>NOT(ISERROR(SEARCH("MADM",Q310)))</formula>
    </cfRule>
    <cfRule type="containsText" dxfId="1" priority="25" operator="containsText" text="ADMI">
      <formula>NOT(ISERROR(SEARCH("ADMI",Q310)))</formula>
    </cfRule>
    <cfRule type="containsText" dxfId="0" priority="26" operator="containsText" text="MMBA">
      <formula>NOT(ISERROR(SEARCH("MMBA",Q310)))</formula>
    </cfRule>
  </conditionalFormatting>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9C0B-469C-4D43-91FA-C9709FEC4B93}">
  <dimension ref="B2:I162"/>
  <sheetViews>
    <sheetView zoomScale="85" zoomScaleNormal="85" workbookViewId="0">
      <selection activeCell="H31" sqref="H31"/>
    </sheetView>
  </sheetViews>
  <sheetFormatPr baseColWidth="10" defaultColWidth="11.5703125" defaultRowHeight="15"/>
  <cols>
    <col min="1" max="1" width="11.5703125" style="71"/>
    <col min="2" max="2" width="61.140625" style="71" bestFit="1" customWidth="1"/>
    <col min="3" max="3" width="67" style="71" bestFit="1" customWidth="1"/>
    <col min="4" max="4" width="17.140625" style="71" bestFit="1" customWidth="1"/>
    <col min="5" max="5" width="11.5703125" style="71"/>
    <col min="6" max="6" width="7" style="71" customWidth="1"/>
    <col min="7" max="7" width="11.5703125" style="71"/>
    <col min="8" max="8" width="43.7109375" style="71" bestFit="1" customWidth="1"/>
    <col min="9" max="9" width="33.42578125" style="71" bestFit="1" customWidth="1"/>
    <col min="10" max="16384" width="11.5703125" style="71"/>
  </cols>
  <sheetData>
    <row r="2" spans="2:9" ht="21.75" thickBot="1">
      <c r="B2" s="190" t="s">
        <v>4219</v>
      </c>
      <c r="C2" s="191"/>
      <c r="D2" s="191"/>
      <c r="E2" s="192"/>
      <c r="G2" s="193" t="s">
        <v>4220</v>
      </c>
      <c r="H2" s="193"/>
      <c r="I2" s="193"/>
    </row>
    <row r="3" spans="2:9">
      <c r="B3" s="18" t="s">
        <v>17</v>
      </c>
      <c r="C3" s="18" t="s">
        <v>30</v>
      </c>
      <c r="D3" s="18" t="s">
        <v>4221</v>
      </c>
      <c r="E3" s="18" t="s">
        <v>4222</v>
      </c>
      <c r="G3" s="79" t="s">
        <v>4224</v>
      </c>
      <c r="H3" s="72" t="s">
        <v>216</v>
      </c>
      <c r="I3" s="73"/>
    </row>
    <row r="4" spans="2:9">
      <c r="B4" s="23" t="s">
        <v>341</v>
      </c>
      <c r="C4" s="24" t="s">
        <v>34</v>
      </c>
      <c r="D4" s="23" t="s">
        <v>35</v>
      </c>
      <c r="E4" s="23" t="str">
        <f>_xlfn.XLOOKUP(C4,Tabla5[Universidad KPIs],Tabla5[Convenio],"General")</f>
        <v>Específico</v>
      </c>
      <c r="G4" s="10" t="s">
        <v>4226</v>
      </c>
      <c r="H4" s="9" t="s">
        <v>220</v>
      </c>
      <c r="I4" s="75"/>
    </row>
    <row r="5" spans="2:9">
      <c r="B5" s="23" t="s">
        <v>2792</v>
      </c>
      <c r="C5" s="24" t="s">
        <v>183</v>
      </c>
      <c r="D5" s="23" t="s">
        <v>47</v>
      </c>
      <c r="E5" s="23" t="str">
        <f>_xlfn.XLOOKUP(C5,Tabla5[Universidad KPIs],Tabla5[Convenio],"General")</f>
        <v>General</v>
      </c>
      <c r="G5" s="74" t="s">
        <v>4227</v>
      </c>
      <c r="H5" s="9" t="s">
        <v>222</v>
      </c>
      <c r="I5" s="75"/>
    </row>
    <row r="6" spans="2:9">
      <c r="B6" s="24" t="s">
        <v>455</v>
      </c>
      <c r="C6" s="24" t="s">
        <v>36</v>
      </c>
      <c r="D6" s="24" t="s">
        <v>37</v>
      </c>
      <c r="E6" s="23" t="str">
        <f>_xlfn.XLOOKUP(C6,Tabla5[Universidad KPIs],Tabla5[Convenio],"General")</f>
        <v>Específico</v>
      </c>
      <c r="G6" s="10" t="s">
        <v>4228</v>
      </c>
      <c r="H6" s="9" t="s">
        <v>219</v>
      </c>
      <c r="I6" s="75"/>
    </row>
    <row r="7" spans="2:9">
      <c r="B7" s="24" t="s">
        <v>646</v>
      </c>
      <c r="C7" s="24" t="s">
        <v>36</v>
      </c>
      <c r="D7" s="24" t="s">
        <v>37</v>
      </c>
      <c r="E7" s="23" t="str">
        <f>_xlfn.XLOOKUP(C7,Tabla5[Universidad KPIs],Tabla5[Convenio],"General")</f>
        <v>Específico</v>
      </c>
      <c r="G7" s="74" t="s">
        <v>4229</v>
      </c>
      <c r="H7" s="9" t="s">
        <v>230</v>
      </c>
      <c r="I7" s="75"/>
    </row>
    <row r="8" spans="2:9">
      <c r="B8" s="24" t="s">
        <v>36</v>
      </c>
      <c r="C8" s="24" t="s">
        <v>36</v>
      </c>
      <c r="D8" s="24" t="s">
        <v>37</v>
      </c>
      <c r="E8" s="23" t="str">
        <f>_xlfn.XLOOKUP(C8,Tabla5[Universidad KPIs],Tabla5[Convenio],"General")</f>
        <v>Específico</v>
      </c>
      <c r="G8" s="10" t="s">
        <v>4230</v>
      </c>
      <c r="H8" s="9" t="s">
        <v>221</v>
      </c>
      <c r="I8" s="75"/>
    </row>
    <row r="9" spans="2:9">
      <c r="B9" s="23" t="s">
        <v>173</v>
      </c>
      <c r="C9" s="24" t="s">
        <v>173</v>
      </c>
      <c r="D9" s="23" t="s">
        <v>41</v>
      </c>
      <c r="E9" s="23" t="str">
        <f>_xlfn.XLOOKUP(C9,Tabla5[Universidad KPIs],Tabla5[Convenio],"General")</f>
        <v>General</v>
      </c>
      <c r="G9" s="74" t="s">
        <v>4231</v>
      </c>
      <c r="H9" s="9" t="s">
        <v>4232</v>
      </c>
      <c r="I9" s="75"/>
    </row>
    <row r="10" spans="2:9">
      <c r="B10" s="23" t="s">
        <v>124</v>
      </c>
      <c r="C10" s="24" t="s">
        <v>124</v>
      </c>
      <c r="D10" s="23" t="s">
        <v>125</v>
      </c>
      <c r="E10" s="23" t="str">
        <f>_xlfn.XLOOKUP(C10,Tabla5[Universidad KPIs],Tabla5[Convenio],"General")</f>
        <v>General</v>
      </c>
      <c r="G10" s="10" t="s">
        <v>4233</v>
      </c>
      <c r="H10" s="9" t="s">
        <v>4234</v>
      </c>
      <c r="I10" s="75"/>
    </row>
    <row r="11" spans="2:9" ht="15.75" thickBot="1">
      <c r="B11" s="24" t="s">
        <v>126</v>
      </c>
      <c r="C11" s="24" t="s">
        <v>126</v>
      </c>
      <c r="D11" s="24" t="s">
        <v>35</v>
      </c>
      <c r="E11" s="23" t="str">
        <f>_xlfn.XLOOKUP(C11,Tabla5[Universidad KPIs],Tabla5[Convenio],"General")</f>
        <v>General</v>
      </c>
      <c r="G11" s="76" t="s">
        <v>4235</v>
      </c>
      <c r="H11" s="77" t="s">
        <v>218</v>
      </c>
      <c r="I11" s="78"/>
    </row>
    <row r="12" spans="2:9">
      <c r="B12" s="24" t="s">
        <v>38</v>
      </c>
      <c r="C12" s="24" t="s">
        <v>38</v>
      </c>
      <c r="D12" s="24" t="s">
        <v>39</v>
      </c>
      <c r="E12" s="23" t="str">
        <f>_xlfn.XLOOKUP(C12,Tabla5[Universidad KPIs],Tabla5[Convenio],"General")</f>
        <v>Específico</v>
      </c>
      <c r="G12" s="20" t="s">
        <v>4224</v>
      </c>
      <c r="H12" s="72" t="s">
        <v>216</v>
      </c>
      <c r="I12" s="73" t="s">
        <v>216</v>
      </c>
    </row>
    <row r="13" spans="2:9">
      <c r="B13" s="24" t="s">
        <v>350</v>
      </c>
      <c r="C13" s="24" t="s">
        <v>40</v>
      </c>
      <c r="D13" s="24" t="s">
        <v>41</v>
      </c>
      <c r="E13" s="23" t="str">
        <f>_xlfn.XLOOKUP(C13,Tabla5[Universidad KPIs],Tabla5[Convenio],"General")</f>
        <v>Específico</v>
      </c>
      <c r="G13" s="74" t="s">
        <v>4236</v>
      </c>
      <c r="H13" s="9" t="s">
        <v>228</v>
      </c>
      <c r="I13" s="75" t="s">
        <v>228</v>
      </c>
    </row>
    <row r="14" spans="2:9">
      <c r="B14" s="24" t="s">
        <v>613</v>
      </c>
      <c r="C14" s="24" t="s">
        <v>40</v>
      </c>
      <c r="D14" s="24" t="s">
        <v>41</v>
      </c>
      <c r="E14" s="23" t="str">
        <f>_xlfn.XLOOKUP(C14,Tabla5[Universidad KPIs],Tabla5[Convenio],"General")</f>
        <v>Específico</v>
      </c>
      <c r="G14" s="10" t="s">
        <v>4227</v>
      </c>
      <c r="H14" s="9" t="s">
        <v>222</v>
      </c>
      <c r="I14" s="75" t="s">
        <v>222</v>
      </c>
    </row>
    <row r="15" spans="2:9">
      <c r="B15" s="23" t="s">
        <v>1138</v>
      </c>
      <c r="C15" s="24" t="s">
        <v>42</v>
      </c>
      <c r="D15" s="23" t="s">
        <v>43</v>
      </c>
      <c r="E15" s="23" t="str">
        <f>_xlfn.XLOOKUP(C15,Tabla5[Universidad KPIs],Tabla5[Convenio],"General")</f>
        <v>Específico</v>
      </c>
      <c r="G15" s="74" t="s">
        <v>4229</v>
      </c>
      <c r="H15" s="9" t="s">
        <v>230</v>
      </c>
      <c r="I15" s="75" t="s">
        <v>230</v>
      </c>
    </row>
    <row r="16" spans="2:9">
      <c r="B16" s="24" t="s">
        <v>184</v>
      </c>
      <c r="C16" s="24" t="s">
        <v>184</v>
      </c>
      <c r="D16" s="24" t="s">
        <v>185</v>
      </c>
      <c r="E16" s="23" t="str">
        <f>_xlfn.XLOOKUP(C16,Tabla5[Universidad KPIs],Tabla5[Convenio],"General")</f>
        <v>General</v>
      </c>
      <c r="G16" s="10" t="s">
        <v>4230</v>
      </c>
      <c r="H16" s="9" t="s">
        <v>221</v>
      </c>
      <c r="I16" s="75" t="s">
        <v>221</v>
      </c>
    </row>
    <row r="17" spans="2:9">
      <c r="B17" s="24" t="s">
        <v>4237</v>
      </c>
      <c r="C17" s="24" t="s">
        <v>4237</v>
      </c>
      <c r="D17" s="24" t="s">
        <v>71</v>
      </c>
      <c r="E17" s="23" t="str">
        <f>_xlfn.XLOOKUP(C17,Tabla5[Universidad KPIs],Tabla5[Convenio],"General")</f>
        <v>General</v>
      </c>
      <c r="G17" s="74" t="s">
        <v>4226</v>
      </c>
      <c r="H17" s="9" t="s">
        <v>220</v>
      </c>
      <c r="I17" s="75" t="s">
        <v>220</v>
      </c>
    </row>
    <row r="18" spans="2:9">
      <c r="B18" s="23" t="s">
        <v>4238</v>
      </c>
      <c r="C18" s="24" t="s">
        <v>4238</v>
      </c>
      <c r="D18" s="23" t="s">
        <v>4239</v>
      </c>
      <c r="E18" s="23" t="str">
        <f>_xlfn.XLOOKUP(C18,Tabla5[Universidad KPIs],Tabla5[Convenio],"General")</f>
        <v>General</v>
      </c>
      <c r="G18" s="10" t="s">
        <v>4226</v>
      </c>
      <c r="H18" s="9" t="s">
        <v>4240</v>
      </c>
      <c r="I18" s="75" t="s">
        <v>220</v>
      </c>
    </row>
    <row r="19" spans="2:9">
      <c r="B19" s="24" t="s">
        <v>48</v>
      </c>
      <c r="C19" s="24" t="s">
        <v>48</v>
      </c>
      <c r="D19" s="24" t="s">
        <v>49</v>
      </c>
      <c r="E19" s="23" t="str">
        <f>_xlfn.XLOOKUP(C19,Tabla5[Universidad KPIs],Tabla5[Convenio],"General")</f>
        <v>Específico</v>
      </c>
      <c r="G19" s="74" t="s">
        <v>4229</v>
      </c>
      <c r="H19" s="9" t="s">
        <v>219</v>
      </c>
      <c r="I19" s="75" t="s">
        <v>219</v>
      </c>
    </row>
    <row r="20" spans="2:9">
      <c r="B20" s="23" t="s">
        <v>410</v>
      </c>
      <c r="C20" s="24" t="s">
        <v>46</v>
      </c>
      <c r="D20" s="23" t="s">
        <v>47</v>
      </c>
      <c r="E20" s="23" t="str">
        <f>_xlfn.XLOOKUP(C20,Tabla5[Universidad KPIs],Tabla5[Convenio],"General")</f>
        <v>Específico</v>
      </c>
      <c r="G20" s="10" t="s">
        <v>4233</v>
      </c>
      <c r="H20" s="9" t="s">
        <v>231</v>
      </c>
      <c r="I20" s="75" t="s">
        <v>231</v>
      </c>
    </row>
    <row r="21" spans="2:9">
      <c r="B21" s="24" t="s">
        <v>127</v>
      </c>
      <c r="C21" s="24" t="s">
        <v>127</v>
      </c>
      <c r="D21" s="24" t="s">
        <v>90</v>
      </c>
      <c r="E21" s="23" t="str">
        <f>_xlfn.XLOOKUP(C21,Tabla5[Universidad KPIs],Tabla5[Convenio],"General")</f>
        <v>General</v>
      </c>
      <c r="G21" s="74" t="s">
        <v>4226</v>
      </c>
      <c r="H21" s="9" t="s">
        <v>232</v>
      </c>
      <c r="I21" s="75" t="s">
        <v>232</v>
      </c>
    </row>
    <row r="22" spans="2:9">
      <c r="B22" s="24" t="s">
        <v>128</v>
      </c>
      <c r="C22" s="24" t="s">
        <v>128</v>
      </c>
      <c r="D22" s="24" t="s">
        <v>41</v>
      </c>
      <c r="E22" s="23" t="str">
        <f>_xlfn.XLOOKUP(C22,Tabla5[Universidad KPIs],Tabla5[Convenio],"General")</f>
        <v>General</v>
      </c>
      <c r="G22" s="10" t="s">
        <v>4242</v>
      </c>
      <c r="H22" s="9" t="s">
        <v>223</v>
      </c>
      <c r="I22" s="75" t="s">
        <v>223</v>
      </c>
    </row>
    <row r="23" spans="2:9" ht="15.75" thickBot="1">
      <c r="B23" s="24" t="s">
        <v>4243</v>
      </c>
      <c r="C23" s="24" t="s">
        <v>4243</v>
      </c>
      <c r="D23" s="24" t="s">
        <v>41</v>
      </c>
      <c r="E23" s="23" t="str">
        <f>_xlfn.XLOOKUP(C23,Tabla5[Universidad KPIs],Tabla5[Convenio],"General")</f>
        <v>General</v>
      </c>
      <c r="G23" s="76" t="s">
        <v>4244</v>
      </c>
      <c r="H23" s="77" t="s">
        <v>233</v>
      </c>
      <c r="I23" s="78" t="s">
        <v>233</v>
      </c>
    </row>
    <row r="24" spans="2:9">
      <c r="B24" s="24" t="s">
        <v>50</v>
      </c>
      <c r="C24" s="24" t="s">
        <v>50</v>
      </c>
      <c r="D24" s="24" t="s">
        <v>41</v>
      </c>
      <c r="E24" s="23" t="str">
        <f>_xlfn.XLOOKUP(C24,Tabla5[Universidad KPIs],Tabla5[Convenio],"General")</f>
        <v>Específico</v>
      </c>
    </row>
    <row r="25" spans="2:9">
      <c r="B25" s="23" t="s">
        <v>1369</v>
      </c>
      <c r="C25" s="24" t="s">
        <v>51</v>
      </c>
      <c r="D25" s="23" t="s">
        <v>41</v>
      </c>
      <c r="E25" s="23" t="str">
        <f>_xlfn.XLOOKUP(C25,Tabla5[Universidad KPIs],Tabla5[Convenio],"General")</f>
        <v>Específico</v>
      </c>
    </row>
    <row r="26" spans="2:9">
      <c r="B26" s="24" t="s">
        <v>176</v>
      </c>
      <c r="C26" s="24" t="s">
        <v>176</v>
      </c>
      <c r="D26" s="24" t="s">
        <v>79</v>
      </c>
      <c r="E26" s="23" t="str">
        <f>_xlfn.XLOOKUP(C26,Tabla5[Universidad KPIs],Tabla5[Convenio],"General")</f>
        <v>General</v>
      </c>
    </row>
    <row r="27" spans="2:9">
      <c r="B27" s="24" t="s">
        <v>289</v>
      </c>
      <c r="C27" s="24" t="s">
        <v>52</v>
      </c>
      <c r="D27" s="24" t="s">
        <v>53</v>
      </c>
      <c r="E27" s="23" t="str">
        <f>_xlfn.XLOOKUP(C27,Tabla5[Universidad KPIs],Tabla5[Convenio],"General")</f>
        <v>Específico</v>
      </c>
    </row>
    <row r="28" spans="2:9">
      <c r="B28" s="24" t="s">
        <v>388</v>
      </c>
      <c r="C28" s="24" t="s">
        <v>55</v>
      </c>
      <c r="D28" s="24" t="s">
        <v>41</v>
      </c>
      <c r="E28" s="23" t="str">
        <f>_xlfn.XLOOKUP(C28,Tabla5[Universidad KPIs],Tabla5[Convenio],"General")</f>
        <v>Específico</v>
      </c>
    </row>
    <row r="29" spans="2:9">
      <c r="B29" s="24" t="s">
        <v>298</v>
      </c>
      <c r="C29" s="24" t="s">
        <v>56</v>
      </c>
      <c r="D29" s="24" t="s">
        <v>41</v>
      </c>
      <c r="E29" s="23" t="str">
        <f>_xlfn.XLOOKUP(C29,Tabla5[Universidad KPIs],Tabla5[Convenio],"General")</f>
        <v>Específico</v>
      </c>
    </row>
    <row r="30" spans="2:9">
      <c r="B30" s="23" t="s">
        <v>383</v>
      </c>
      <c r="C30" s="24" t="s">
        <v>57</v>
      </c>
      <c r="D30" s="23" t="s">
        <v>58</v>
      </c>
      <c r="E30" s="23" t="str">
        <f>_xlfn.XLOOKUP(C30,Tabla5[Universidad KPIs],Tabla5[Convenio],"General")</f>
        <v>Específico</v>
      </c>
    </row>
    <row r="31" spans="2:9">
      <c r="B31" s="24" t="s">
        <v>129</v>
      </c>
      <c r="C31" s="24" t="s">
        <v>129</v>
      </c>
      <c r="D31" s="24" t="s">
        <v>65</v>
      </c>
      <c r="E31" s="23" t="str">
        <f>_xlfn.XLOOKUP(C31,Tabla5[Universidad KPIs],Tabla5[Convenio],"General")</f>
        <v>General</v>
      </c>
    </row>
    <row r="32" spans="2:9">
      <c r="B32" s="24" t="s">
        <v>362</v>
      </c>
      <c r="C32" s="24" t="s">
        <v>59</v>
      </c>
      <c r="D32" s="24" t="s">
        <v>60</v>
      </c>
      <c r="E32" s="23" t="str">
        <f>_xlfn.XLOOKUP(C32,Tabla5[Universidad KPIs],Tabla5[Convenio],"General")</f>
        <v>Específico</v>
      </c>
    </row>
    <row r="33" spans="2:5">
      <c r="B33" s="23" t="s">
        <v>4245</v>
      </c>
      <c r="C33" s="24" t="s">
        <v>4245</v>
      </c>
      <c r="D33" s="23" t="s">
        <v>60</v>
      </c>
      <c r="E33" s="23" t="str">
        <f>_xlfn.XLOOKUP(C33,Tabla5[Universidad KPIs],Tabla5[Convenio],"General")</f>
        <v>General</v>
      </c>
    </row>
    <row r="34" spans="2:5">
      <c r="B34" s="23" t="s">
        <v>61</v>
      </c>
      <c r="C34" s="24" t="s">
        <v>61</v>
      </c>
      <c r="D34" s="23" t="s">
        <v>62</v>
      </c>
      <c r="E34" s="23" t="str">
        <f>_xlfn.XLOOKUP(C34,Tabla5[Universidad KPIs],Tabla5[Convenio],"General")</f>
        <v>Específico</v>
      </c>
    </row>
    <row r="35" spans="2:5">
      <c r="B35" s="23" t="s">
        <v>619</v>
      </c>
      <c r="C35" s="24" t="s">
        <v>63</v>
      </c>
      <c r="D35" s="23" t="s">
        <v>41</v>
      </c>
      <c r="E35" s="23" t="str">
        <f>_xlfn.XLOOKUP(C35,Tabla5[Universidad KPIs],Tabla5[Convenio],"General")</f>
        <v>Específico</v>
      </c>
    </row>
    <row r="36" spans="2:5">
      <c r="B36" s="23" t="s">
        <v>1377</v>
      </c>
      <c r="C36" s="24" t="s">
        <v>63</v>
      </c>
      <c r="D36" s="23" t="s">
        <v>41</v>
      </c>
      <c r="E36" s="23" t="str">
        <f>_xlfn.XLOOKUP(C36,Tabla5[Universidad KPIs],Tabla5[Convenio],"General")</f>
        <v>Específico</v>
      </c>
    </row>
    <row r="37" spans="2:5">
      <c r="B37" s="23" t="s">
        <v>284</v>
      </c>
      <c r="C37" s="24" t="s">
        <v>64</v>
      </c>
      <c r="D37" s="23" t="s">
        <v>65</v>
      </c>
      <c r="E37" s="23" t="str">
        <f>_xlfn.XLOOKUP(C37,Tabla5[Universidad KPIs],Tabla5[Convenio],"General")</f>
        <v>Específico</v>
      </c>
    </row>
    <row r="38" spans="2:5">
      <c r="B38" s="24" t="s">
        <v>754</v>
      </c>
      <c r="C38" s="24" t="s">
        <v>64</v>
      </c>
      <c r="D38" s="24" t="s">
        <v>65</v>
      </c>
      <c r="E38" s="23" t="str">
        <f>_xlfn.XLOOKUP(C38,Tabla5[Universidad KPIs],Tabla5[Convenio],"General")</f>
        <v>Específico</v>
      </c>
    </row>
    <row r="39" spans="2:5">
      <c r="B39" s="24" t="s">
        <v>335</v>
      </c>
      <c r="C39" s="24" t="s">
        <v>66</v>
      </c>
      <c r="D39" s="24" t="s">
        <v>58</v>
      </c>
      <c r="E39" s="23" t="str">
        <f>_xlfn.XLOOKUP(C39,Tabla5[Universidad KPIs],Tabla5[Convenio],"General")</f>
        <v>Específico</v>
      </c>
    </row>
    <row r="40" spans="2:5">
      <c r="B40" s="24" t="s">
        <v>1454</v>
      </c>
      <c r="C40" s="24" t="s">
        <v>67</v>
      </c>
      <c r="D40" s="24" t="s">
        <v>41</v>
      </c>
      <c r="E40" s="23" t="str">
        <f>_xlfn.XLOOKUP(C40,Tabla5[Universidad KPIs],Tabla5[Convenio],"General")</f>
        <v>Específico</v>
      </c>
    </row>
    <row r="41" spans="2:5">
      <c r="B41" s="24" t="s">
        <v>528</v>
      </c>
      <c r="C41" s="24" t="s">
        <v>68</v>
      </c>
      <c r="D41" s="24" t="s">
        <v>41</v>
      </c>
      <c r="E41" s="23" t="str">
        <f>_xlfn.XLOOKUP(C41,Tabla5[Universidad KPIs],Tabla5[Convenio],"General")</f>
        <v>Específico</v>
      </c>
    </row>
    <row r="42" spans="2:5">
      <c r="B42" s="23" t="s">
        <v>608</v>
      </c>
      <c r="C42" s="24" t="s">
        <v>69</v>
      </c>
      <c r="D42" s="23" t="s">
        <v>53</v>
      </c>
      <c r="E42" s="23" t="str">
        <f>_xlfn.XLOOKUP(C42,Tabla5[Universidad KPIs],Tabla5[Convenio],"General")</f>
        <v>General</v>
      </c>
    </row>
    <row r="43" spans="2:5">
      <c r="B43" s="24" t="s">
        <v>4246</v>
      </c>
      <c r="C43" s="24" t="s">
        <v>4246</v>
      </c>
      <c r="D43" s="24" t="s">
        <v>41</v>
      </c>
      <c r="E43" s="23" t="str">
        <f>_xlfn.XLOOKUP(C43,Tabla5[Universidad KPIs],Tabla5[Convenio],"General")</f>
        <v>General</v>
      </c>
    </row>
    <row r="44" spans="2:5">
      <c r="B44" s="24" t="s">
        <v>130</v>
      </c>
      <c r="C44" s="24" t="s">
        <v>130</v>
      </c>
      <c r="D44" s="24" t="s">
        <v>41</v>
      </c>
      <c r="E44" s="23" t="str">
        <f>_xlfn.XLOOKUP(C44,Tabla5[Universidad KPIs],Tabla5[Convenio],"General")</f>
        <v>General</v>
      </c>
    </row>
    <row r="45" spans="2:5">
      <c r="B45" s="23" t="s">
        <v>4247</v>
      </c>
      <c r="C45" s="24" t="s">
        <v>4247</v>
      </c>
      <c r="D45" s="23" t="s">
        <v>41</v>
      </c>
      <c r="E45" s="23" t="str">
        <f>_xlfn.XLOOKUP(C45,Tabla5[Universidad KPIs],Tabla5[Convenio],"General")</f>
        <v>General</v>
      </c>
    </row>
    <row r="46" spans="2:5">
      <c r="B46" s="23" t="s">
        <v>330</v>
      </c>
      <c r="C46" s="24" t="s">
        <v>70</v>
      </c>
      <c r="D46" s="23" t="s">
        <v>71</v>
      </c>
      <c r="E46" s="23" t="str">
        <f>_xlfn.XLOOKUP(C46,Tabla5[Universidad KPIs],Tabla5[Convenio],"General")</f>
        <v>Específico</v>
      </c>
    </row>
    <row r="47" spans="2:5">
      <c r="B47" s="23" t="s">
        <v>781</v>
      </c>
      <c r="C47" s="24" t="s">
        <v>72</v>
      </c>
      <c r="D47" s="23" t="s">
        <v>71</v>
      </c>
      <c r="E47" s="23" t="str">
        <f>_xlfn.XLOOKUP(C47,Tabla5[Universidad KPIs],Tabla5[Convenio],"General")</f>
        <v>Específico</v>
      </c>
    </row>
    <row r="48" spans="2:5">
      <c r="B48" s="23" t="s">
        <v>892</v>
      </c>
      <c r="C48" s="24" t="s">
        <v>131</v>
      </c>
      <c r="D48" s="23" t="s">
        <v>60</v>
      </c>
      <c r="E48" s="23" t="str">
        <f>_xlfn.XLOOKUP(C48,Tabla5[Universidad KPIs],Tabla5[Convenio],"General")</f>
        <v>General</v>
      </c>
    </row>
    <row r="49" spans="2:5">
      <c r="B49" s="24" t="s">
        <v>589</v>
      </c>
      <c r="C49" s="24" t="s">
        <v>73</v>
      </c>
      <c r="D49" s="24" t="s">
        <v>74</v>
      </c>
      <c r="E49" s="23" t="str">
        <f>_xlfn.XLOOKUP(C49,Tabla5[Universidad KPIs],Tabla5[Convenio],"General")</f>
        <v>Específico</v>
      </c>
    </row>
    <row r="50" spans="2:5">
      <c r="B50" s="23" t="s">
        <v>3024</v>
      </c>
      <c r="C50" s="24" t="s">
        <v>73</v>
      </c>
      <c r="D50" s="23" t="s">
        <v>74</v>
      </c>
      <c r="E50" s="23" t="str">
        <f>_xlfn.XLOOKUP(C50,Tabla5[Universidad KPIs],Tabla5[Convenio],"General")</f>
        <v>Específico</v>
      </c>
    </row>
    <row r="51" spans="2:5">
      <c r="B51" s="23" t="s">
        <v>76</v>
      </c>
      <c r="C51" s="24" t="s">
        <v>76</v>
      </c>
      <c r="D51" s="23" t="s">
        <v>77</v>
      </c>
      <c r="E51" s="23" t="str">
        <f>_xlfn.XLOOKUP(C51,Tabla5[Universidad KPIs],Tabla5[Convenio],"General")</f>
        <v>Específico</v>
      </c>
    </row>
    <row r="52" spans="2:5">
      <c r="B52" s="23" t="s">
        <v>320</v>
      </c>
      <c r="C52" s="24" t="s">
        <v>75</v>
      </c>
      <c r="D52" s="23" t="s">
        <v>60</v>
      </c>
      <c r="E52" s="23" t="str">
        <f>_xlfn.XLOOKUP(C52,Tabla5[Universidad KPIs],Tabla5[Convenio],"General")</f>
        <v>Específico</v>
      </c>
    </row>
    <row r="53" spans="2:5">
      <c r="B53" s="24" t="s">
        <v>4249</v>
      </c>
      <c r="C53" s="24" t="s">
        <v>4249</v>
      </c>
      <c r="D53" s="24" t="s">
        <v>74</v>
      </c>
      <c r="E53" s="23" t="str">
        <f>_xlfn.XLOOKUP(C53,Tabla5[Universidad KPIs],Tabla5[Convenio],"General")</f>
        <v>General</v>
      </c>
    </row>
    <row r="54" spans="2:5">
      <c r="B54" s="23" t="s">
        <v>78</v>
      </c>
      <c r="C54" s="24" t="s">
        <v>78</v>
      </c>
      <c r="D54" s="23" t="s">
        <v>79</v>
      </c>
      <c r="E54" s="23" t="str">
        <f>_xlfn.XLOOKUP(C54,Tabla5[Universidad KPIs],Tabla5[Convenio],"General")</f>
        <v>Específico</v>
      </c>
    </row>
    <row r="55" spans="2:5">
      <c r="B55" s="24" t="s">
        <v>80</v>
      </c>
      <c r="C55" s="24" t="s">
        <v>80</v>
      </c>
      <c r="D55" s="24" t="s">
        <v>58</v>
      </c>
      <c r="E55" s="23" t="str">
        <f>_xlfn.XLOOKUP(C55,Tabla5[Universidad KPIs],Tabla5[Convenio],"General")</f>
        <v>Específico</v>
      </c>
    </row>
    <row r="56" spans="2:5">
      <c r="B56" s="23" t="s">
        <v>536</v>
      </c>
      <c r="C56" s="24" t="s">
        <v>84</v>
      </c>
      <c r="D56" s="23" t="s">
        <v>85</v>
      </c>
      <c r="E56" s="23" t="str">
        <f>_xlfn.XLOOKUP(C56,Tabla5[Universidad KPIs],Tabla5[Convenio],"General")</f>
        <v>Específico</v>
      </c>
    </row>
    <row r="57" spans="2:5">
      <c r="B57" s="24" t="s">
        <v>1513</v>
      </c>
      <c r="C57" s="24" t="s">
        <v>84</v>
      </c>
      <c r="D57" s="24" t="s">
        <v>85</v>
      </c>
      <c r="E57" s="23" t="str">
        <f>_xlfn.XLOOKUP(C57,Tabla5[Universidad KPIs],Tabla5[Convenio],"General")</f>
        <v>Específico</v>
      </c>
    </row>
    <row r="58" spans="2:5">
      <c r="B58" s="23" t="s">
        <v>1517</v>
      </c>
      <c r="C58" s="24" t="s">
        <v>81</v>
      </c>
      <c r="D58" s="23" t="s">
        <v>82</v>
      </c>
      <c r="E58" s="23" t="str">
        <f>_xlfn.XLOOKUP(C58,Tabla5[Universidad KPIs],Tabla5[Convenio],"General")</f>
        <v>Específico</v>
      </c>
    </row>
    <row r="59" spans="2:5">
      <c r="B59" s="23" t="s">
        <v>255</v>
      </c>
      <c r="C59" s="24" t="s">
        <v>54</v>
      </c>
      <c r="D59" s="23" t="s">
        <v>41</v>
      </c>
      <c r="E59" s="23" t="str">
        <f>_xlfn.XLOOKUP(C59,Tabla5[Universidad KPIs],Tabla5[Convenio],"General")</f>
        <v>Específico</v>
      </c>
    </row>
    <row r="60" spans="2:5">
      <c r="B60" s="23" t="s">
        <v>186</v>
      </c>
      <c r="C60" s="24" t="s">
        <v>186</v>
      </c>
      <c r="D60" s="23" t="s">
        <v>43</v>
      </c>
      <c r="E60" s="23" t="str">
        <f>_xlfn.XLOOKUP(C60,Tabla5[Universidad KPIs],Tabla5[Convenio],"General")</f>
        <v>General</v>
      </c>
    </row>
    <row r="61" spans="2:5">
      <c r="B61" s="23" t="s">
        <v>132</v>
      </c>
      <c r="C61" s="24" t="s">
        <v>132</v>
      </c>
      <c r="D61" s="23" t="s">
        <v>39</v>
      </c>
      <c r="E61" s="23" t="str">
        <f>_xlfn.XLOOKUP(C61,Tabla5[Universidad KPIs],Tabla5[Convenio],"General")</f>
        <v>General</v>
      </c>
    </row>
    <row r="62" spans="2:5">
      <c r="B62" s="23" t="s">
        <v>424</v>
      </c>
      <c r="C62" s="24" t="s">
        <v>83</v>
      </c>
      <c r="D62" s="23" t="s">
        <v>45</v>
      </c>
      <c r="E62" s="23" t="str">
        <f>_xlfn.XLOOKUP(C62,Tabla5[Universidad KPIs],Tabla5[Convenio],"General")</f>
        <v>Específico</v>
      </c>
    </row>
    <row r="63" spans="2:5">
      <c r="B63" s="23" t="s">
        <v>86</v>
      </c>
      <c r="C63" s="24" t="s">
        <v>86</v>
      </c>
      <c r="D63" s="23" t="s">
        <v>87</v>
      </c>
      <c r="E63" s="23" t="str">
        <f>_xlfn.XLOOKUP(C63,Tabla5[Universidad KPIs],Tabla5[Convenio],"General")</f>
        <v>Específico</v>
      </c>
    </row>
    <row r="64" spans="2:5">
      <c r="B64" s="24" t="s">
        <v>133</v>
      </c>
      <c r="C64" s="24" t="s">
        <v>133</v>
      </c>
      <c r="D64" s="24" t="s">
        <v>93</v>
      </c>
      <c r="E64" s="23" t="str">
        <f>_xlfn.XLOOKUP(C64,Tabla5[Universidad KPIs],Tabla5[Convenio],"General")</f>
        <v>General</v>
      </c>
    </row>
    <row r="65" spans="2:5">
      <c r="B65" s="24" t="s">
        <v>134</v>
      </c>
      <c r="C65" s="24" t="s">
        <v>134</v>
      </c>
      <c r="D65" s="24" t="s">
        <v>96</v>
      </c>
      <c r="E65" s="23" t="str">
        <f>_xlfn.XLOOKUP(C65,Tabla5[Universidad KPIs],Tabla5[Convenio],"General")</f>
        <v>General</v>
      </c>
    </row>
    <row r="66" spans="2:5">
      <c r="B66" s="24" t="s">
        <v>135</v>
      </c>
      <c r="C66" s="24" t="s">
        <v>135</v>
      </c>
      <c r="D66" s="24" t="s">
        <v>62</v>
      </c>
      <c r="E66" s="23" t="str">
        <f>_xlfn.XLOOKUP(C66,Tabla5[Universidad KPIs],Tabla5[Convenio],"General")</f>
        <v>General</v>
      </c>
    </row>
    <row r="67" spans="2:5">
      <c r="B67" s="24" t="s">
        <v>952</v>
      </c>
      <c r="C67" s="24" t="s">
        <v>88</v>
      </c>
      <c r="D67" s="24" t="s">
        <v>58</v>
      </c>
      <c r="E67" s="23" t="str">
        <f>_xlfn.XLOOKUP(C67,Tabla5[Universidad KPIs],Tabla5[Convenio],"General")</f>
        <v>Específico</v>
      </c>
    </row>
    <row r="68" spans="2:5">
      <c r="B68" s="24" t="s">
        <v>89</v>
      </c>
      <c r="C68" s="24" t="s">
        <v>89</v>
      </c>
      <c r="D68" s="24" t="s">
        <v>90</v>
      </c>
      <c r="E68" s="23" t="str">
        <f>_xlfn.XLOOKUP(C68,Tabla5[Universidad KPIs],Tabla5[Convenio],"General")</f>
        <v>Específico</v>
      </c>
    </row>
    <row r="69" spans="2:5">
      <c r="B69" s="24" t="s">
        <v>397</v>
      </c>
      <c r="C69" s="24" t="s">
        <v>136</v>
      </c>
      <c r="D69" s="24" t="s">
        <v>47</v>
      </c>
      <c r="E69" s="23" t="str">
        <f>_xlfn.XLOOKUP(C69,Tabla5[Universidad KPIs],Tabla5[Convenio],"General")</f>
        <v>General</v>
      </c>
    </row>
    <row r="70" spans="2:5">
      <c r="B70" s="24" t="s">
        <v>137</v>
      </c>
      <c r="C70" s="24" t="s">
        <v>137</v>
      </c>
      <c r="D70" s="24" t="s">
        <v>35</v>
      </c>
      <c r="E70" s="23" t="str">
        <f>_xlfn.XLOOKUP(C70,Tabla5[Universidad KPIs],Tabla5[Convenio],"General")</f>
        <v>General</v>
      </c>
    </row>
    <row r="71" spans="2:5">
      <c r="B71" s="23" t="s">
        <v>187</v>
      </c>
      <c r="C71" s="24" t="s">
        <v>187</v>
      </c>
      <c r="D71" s="23" t="s">
        <v>74</v>
      </c>
      <c r="E71" s="23" t="str">
        <f>_xlfn.XLOOKUP(C71,Tabla5[Universidad KPIs],Tabla5[Convenio],"General")</f>
        <v>General</v>
      </c>
    </row>
    <row r="72" spans="2:5">
      <c r="B72" s="23" t="s">
        <v>138</v>
      </c>
      <c r="C72" s="24" t="s">
        <v>138</v>
      </c>
      <c r="D72" s="23" t="s">
        <v>60</v>
      </c>
      <c r="E72" s="23" t="str">
        <f>_xlfn.XLOOKUP(C72,Tabla5[Universidad KPIs],Tabla5[Convenio],"General")</f>
        <v>General</v>
      </c>
    </row>
    <row r="73" spans="2:5">
      <c r="B73" s="24" t="s">
        <v>139</v>
      </c>
      <c r="C73" s="24" t="s">
        <v>139</v>
      </c>
      <c r="D73" s="24" t="s">
        <v>60</v>
      </c>
      <c r="E73" s="23" t="str">
        <f>_xlfn.XLOOKUP(C73,Tabla5[Universidad KPIs],Tabla5[Convenio],"General")</f>
        <v>General</v>
      </c>
    </row>
    <row r="74" spans="2:5">
      <c r="B74" s="24" t="s">
        <v>4252</v>
      </c>
      <c r="C74" s="24" t="s">
        <v>4252</v>
      </c>
      <c r="D74" s="24" t="s">
        <v>79</v>
      </c>
      <c r="E74" s="23" t="str">
        <f>_xlfn.XLOOKUP(C74,Tabla5[Universidad KPIs],Tabla5[Convenio],"General")</f>
        <v>General</v>
      </c>
    </row>
    <row r="75" spans="2:5">
      <c r="B75" s="24" t="s">
        <v>279</v>
      </c>
      <c r="C75" s="24" t="s">
        <v>91</v>
      </c>
      <c r="D75" s="24" t="s">
        <v>41</v>
      </c>
      <c r="E75" s="23" t="str">
        <f>_xlfn.XLOOKUP(C75,Tabla5[Universidad KPIs],Tabla5[Convenio],"General")</f>
        <v>Específico</v>
      </c>
    </row>
    <row r="76" spans="2:5">
      <c r="B76" s="23" t="s">
        <v>188</v>
      </c>
      <c r="C76" s="24" t="s">
        <v>188</v>
      </c>
      <c r="D76" s="23" t="s">
        <v>93</v>
      </c>
      <c r="E76" s="23" t="str">
        <f>_xlfn.XLOOKUP(C76,Tabla5[Universidad KPIs],Tabla5[Convenio],"General")</f>
        <v>General</v>
      </c>
    </row>
    <row r="77" spans="2:5">
      <c r="B77" s="23" t="s">
        <v>140</v>
      </c>
      <c r="C77" s="24" t="s">
        <v>140</v>
      </c>
      <c r="D77" s="23" t="s">
        <v>53</v>
      </c>
      <c r="E77" s="23" t="str">
        <f>_xlfn.XLOOKUP(C77,Tabla5[Universidad KPIs],Tabla5[Convenio],"General")</f>
        <v>General</v>
      </c>
    </row>
    <row r="78" spans="2:5">
      <c r="B78" s="24" t="s">
        <v>2916</v>
      </c>
      <c r="C78" s="24" t="s">
        <v>141</v>
      </c>
      <c r="D78" s="24" t="s">
        <v>142</v>
      </c>
      <c r="E78" s="23" t="str">
        <f>_xlfn.XLOOKUP(C78,Tabla5[Universidad KPIs],Tabla5[Convenio],"General")</f>
        <v>General</v>
      </c>
    </row>
    <row r="79" spans="2:5">
      <c r="B79" s="24" t="s">
        <v>143</v>
      </c>
      <c r="C79" s="24" t="s">
        <v>143</v>
      </c>
      <c r="D79" s="24" t="s">
        <v>53</v>
      </c>
      <c r="E79" s="23" t="str">
        <f>_xlfn.XLOOKUP(C79,Tabla5[Universidad KPIs],Tabla5[Convenio],"General")</f>
        <v>General</v>
      </c>
    </row>
    <row r="80" spans="2:5">
      <c r="B80" s="24" t="s">
        <v>144</v>
      </c>
      <c r="C80" s="24" t="s">
        <v>144</v>
      </c>
      <c r="D80" s="24" t="s">
        <v>53</v>
      </c>
      <c r="E80" s="23" t="str">
        <f>_xlfn.XLOOKUP(C80,Tabla5[Universidad KPIs],Tabla5[Convenio],"General")</f>
        <v>General</v>
      </c>
    </row>
    <row r="81" spans="2:5">
      <c r="B81" s="24" t="s">
        <v>92</v>
      </c>
      <c r="C81" s="24" t="s">
        <v>92</v>
      </c>
      <c r="D81" s="24" t="s">
        <v>93</v>
      </c>
      <c r="E81" s="23" t="str">
        <f>_xlfn.XLOOKUP(C81,Tabla5[Universidad KPIs],Tabla5[Convenio],"General")</f>
        <v>Específico</v>
      </c>
    </row>
    <row r="82" spans="2:5">
      <c r="B82" s="24" t="s">
        <v>4253</v>
      </c>
      <c r="C82" s="24" t="s">
        <v>4253</v>
      </c>
      <c r="D82" s="24" t="s">
        <v>96</v>
      </c>
      <c r="E82" s="23" t="str">
        <f>_xlfn.XLOOKUP(C82,Tabla5[Universidad KPIs],Tabla5[Convenio],"General")</f>
        <v>General</v>
      </c>
    </row>
    <row r="83" spans="2:5">
      <c r="B83" s="23" t="s">
        <v>145</v>
      </c>
      <c r="C83" s="24" t="s">
        <v>145</v>
      </c>
      <c r="D83" s="23" t="s">
        <v>53</v>
      </c>
      <c r="E83" s="23" t="str">
        <f>_xlfn.XLOOKUP(C83,Tabla5[Universidad KPIs],Tabla5[Convenio],"General")</f>
        <v>General</v>
      </c>
    </row>
    <row r="84" spans="2:5">
      <c r="B84" s="24" t="s">
        <v>4254</v>
      </c>
      <c r="C84" s="24" t="s">
        <v>4254</v>
      </c>
      <c r="D84" s="24" t="s">
        <v>71</v>
      </c>
      <c r="E84" s="23" t="str">
        <f>_xlfn.XLOOKUP(C84,Tabla5[Universidad KPIs],Tabla5[Convenio],"General")</f>
        <v>General</v>
      </c>
    </row>
    <row r="85" spans="2:5">
      <c r="B85" s="23" t="s">
        <v>106</v>
      </c>
      <c r="C85" s="24" t="s">
        <v>106</v>
      </c>
      <c r="D85" s="23" t="s">
        <v>107</v>
      </c>
      <c r="E85" s="23" t="str">
        <f>_xlfn.XLOOKUP(C85,Tabla5[Universidad KPIs],Tabla5[Convenio],"General")</f>
        <v>General</v>
      </c>
    </row>
    <row r="86" spans="2:5">
      <c r="B86" s="23" t="s">
        <v>146</v>
      </c>
      <c r="C86" s="24" t="s">
        <v>146</v>
      </c>
      <c r="D86" s="23" t="s">
        <v>93</v>
      </c>
      <c r="E86" s="23" t="str">
        <f>_xlfn.XLOOKUP(C86,Tabla5[Universidad KPIs],Tabla5[Convenio],"General")</f>
        <v>General</v>
      </c>
    </row>
    <row r="87" spans="2:5">
      <c r="B87" s="23" t="s">
        <v>738</v>
      </c>
      <c r="C87" s="24" t="s">
        <v>94</v>
      </c>
      <c r="D87" s="23" t="s">
        <v>79</v>
      </c>
      <c r="E87" s="23" t="str">
        <f>_xlfn.XLOOKUP(C87,Tabla5[Universidad KPIs],Tabla5[Convenio],"General")</f>
        <v>Específico</v>
      </c>
    </row>
    <row r="88" spans="2:5">
      <c r="B88" s="23" t="s">
        <v>1306</v>
      </c>
      <c r="C88" s="24" t="s">
        <v>95</v>
      </c>
      <c r="D88" s="23" t="s">
        <v>96</v>
      </c>
      <c r="E88" s="23" t="str">
        <f>_xlfn.XLOOKUP(C88,Tabla5[Universidad KPIs],Tabla5[Convenio],"General")</f>
        <v>Específico</v>
      </c>
    </row>
    <row r="89" spans="2:5">
      <c r="B89" s="23" t="s">
        <v>914</v>
      </c>
      <c r="C89" s="24" t="s">
        <v>150</v>
      </c>
      <c r="D89" s="23" t="s">
        <v>41</v>
      </c>
      <c r="E89" s="23" t="str">
        <f>_xlfn.XLOOKUP(C89,Tabla5[Universidad KPIs],Tabla5[Convenio],"General")</f>
        <v>General</v>
      </c>
    </row>
    <row r="90" spans="2:5">
      <c r="B90" s="23" t="s">
        <v>2203</v>
      </c>
      <c r="C90" s="24" t="s">
        <v>151</v>
      </c>
      <c r="D90" s="23" t="s">
        <v>71</v>
      </c>
      <c r="E90" s="23" t="str">
        <f>_xlfn.XLOOKUP(C90,Tabla5[Universidad KPIs],Tabla5[Convenio],"General")</f>
        <v>General</v>
      </c>
    </row>
    <row r="91" spans="2:5">
      <c r="B91" s="23" t="s">
        <v>152</v>
      </c>
      <c r="C91" s="24" t="s">
        <v>152</v>
      </c>
      <c r="D91" s="23" t="s">
        <v>96</v>
      </c>
      <c r="E91" s="23" t="str">
        <f>_xlfn.XLOOKUP(C91,Tabla5[Universidad KPIs],Tabla5[Convenio],"General")</f>
        <v>General</v>
      </c>
    </row>
    <row r="92" spans="2:5">
      <c r="B92" s="23" t="s">
        <v>274</v>
      </c>
      <c r="C92" s="24" t="s">
        <v>44</v>
      </c>
      <c r="D92" s="23" t="s">
        <v>45</v>
      </c>
      <c r="E92" s="23" t="str">
        <f>_xlfn.XLOOKUP(C92,Tabla5[Universidad KPIs],Tabla5[Convenio],"General")</f>
        <v>Específico</v>
      </c>
    </row>
    <row r="93" spans="2:5">
      <c r="B93" s="24" t="s">
        <v>4255</v>
      </c>
      <c r="C93" s="24" t="s">
        <v>4255</v>
      </c>
      <c r="D93" s="24" t="s">
        <v>45</v>
      </c>
      <c r="E93" s="23" t="str">
        <f>_xlfn.XLOOKUP(C93,Tabla5[Universidad KPIs],Tabla5[Convenio],"General")</f>
        <v>General</v>
      </c>
    </row>
    <row r="94" spans="2:5">
      <c r="B94" s="23" t="s">
        <v>153</v>
      </c>
      <c r="C94" s="24" t="s">
        <v>153</v>
      </c>
      <c r="D94" s="23" t="s">
        <v>45</v>
      </c>
      <c r="E94" s="23" t="str">
        <f>_xlfn.XLOOKUP(C94,Tabla5[Universidad KPIs],Tabla5[Convenio],"General")</f>
        <v>General</v>
      </c>
    </row>
    <row r="95" spans="2:5">
      <c r="B95" s="23" t="s">
        <v>189</v>
      </c>
      <c r="C95" s="24" t="s">
        <v>189</v>
      </c>
      <c r="D95" s="23" t="s">
        <v>87</v>
      </c>
      <c r="E95" s="23" t="str">
        <f>_xlfn.XLOOKUP(C95,Tabla5[Universidad KPIs],Tabla5[Convenio],"General")</f>
        <v>General</v>
      </c>
    </row>
    <row r="96" spans="2:5">
      <c r="B96" s="24" t="s">
        <v>325</v>
      </c>
      <c r="C96" s="24" t="s">
        <v>97</v>
      </c>
      <c r="D96" s="24" t="s">
        <v>87</v>
      </c>
      <c r="E96" s="23" t="str">
        <f>_xlfn.XLOOKUP(C96,Tabla5[Universidad KPIs],Tabla5[Convenio],"General")</f>
        <v>Específico</v>
      </c>
    </row>
    <row r="97" spans="2:5">
      <c r="B97" s="24" t="s">
        <v>154</v>
      </c>
      <c r="C97" s="24" t="s">
        <v>154</v>
      </c>
      <c r="D97" s="24" t="s">
        <v>87</v>
      </c>
      <c r="E97" s="23" t="str">
        <f>_xlfn.XLOOKUP(C97,Tabla5[Universidad KPIs],Tabla5[Convenio],"General")</f>
        <v>General</v>
      </c>
    </row>
    <row r="98" spans="2:5">
      <c r="B98" s="23" t="s">
        <v>155</v>
      </c>
      <c r="C98" s="24" t="s">
        <v>155</v>
      </c>
      <c r="D98" s="23" t="s">
        <v>87</v>
      </c>
      <c r="E98" s="23" t="str">
        <f>_xlfn.XLOOKUP(C98,Tabla5[Universidad KPIs],Tabla5[Convenio],"General")</f>
        <v>General</v>
      </c>
    </row>
    <row r="99" spans="2:5">
      <c r="B99" s="24" t="s">
        <v>156</v>
      </c>
      <c r="C99" s="24" t="s">
        <v>156</v>
      </c>
      <c r="D99" s="24" t="s">
        <v>87</v>
      </c>
      <c r="E99" s="23" t="str">
        <f>_xlfn.XLOOKUP(C99,Tabla5[Universidad KPIs],Tabla5[Convenio],"General")</f>
        <v>General</v>
      </c>
    </row>
    <row r="100" spans="2:5">
      <c r="B100" s="24" t="s">
        <v>157</v>
      </c>
      <c r="C100" s="24" t="s">
        <v>157</v>
      </c>
      <c r="D100" s="24" t="s">
        <v>87</v>
      </c>
      <c r="E100" s="23" t="str">
        <f>_xlfn.XLOOKUP(C100,Tabla5[Universidad KPIs],Tabla5[Convenio],"General")</f>
        <v>General</v>
      </c>
    </row>
    <row r="101" spans="2:5">
      <c r="B101" s="24" t="s">
        <v>307</v>
      </c>
      <c r="C101" s="24" t="s">
        <v>103</v>
      </c>
      <c r="D101" s="24" t="s">
        <v>60</v>
      </c>
      <c r="E101" s="23" t="str">
        <f>_xlfn.XLOOKUP(C101,Tabla5[Universidad KPIs],Tabla5[Convenio],"General")</f>
        <v>Específico</v>
      </c>
    </row>
    <row r="102" spans="2:5">
      <c r="B102" s="23" t="s">
        <v>158</v>
      </c>
      <c r="C102" s="24" t="s">
        <v>158</v>
      </c>
      <c r="D102" s="23" t="s">
        <v>53</v>
      </c>
      <c r="E102" s="23" t="str">
        <f>_xlfn.XLOOKUP(C102,Tabla5[Universidad KPIs],Tabla5[Convenio],"General")</f>
        <v>General</v>
      </c>
    </row>
    <row r="103" spans="2:5">
      <c r="B103" s="23" t="s">
        <v>2507</v>
      </c>
      <c r="C103" s="24" t="s">
        <v>159</v>
      </c>
      <c r="D103" s="23" t="s">
        <v>53</v>
      </c>
      <c r="E103" s="23" t="str">
        <f>_xlfn.XLOOKUP(C103,Tabla5[Universidad KPIs],Tabla5[Convenio],"General")</f>
        <v>General</v>
      </c>
    </row>
    <row r="104" spans="2:5">
      <c r="B104" s="23" t="s">
        <v>4256</v>
      </c>
      <c r="C104" s="24" t="s">
        <v>4256</v>
      </c>
      <c r="D104" s="23" t="s">
        <v>60</v>
      </c>
      <c r="E104" s="23" t="str">
        <f>_xlfn.XLOOKUP(C104,Tabla5[Universidad KPIs],Tabla5[Convenio],"General")</f>
        <v>General</v>
      </c>
    </row>
    <row r="105" spans="2:5">
      <c r="B105" s="23" t="s">
        <v>4257</v>
      </c>
      <c r="C105" s="24" t="s">
        <v>4257</v>
      </c>
      <c r="D105" s="23" t="s">
        <v>60</v>
      </c>
      <c r="E105" s="23" t="str">
        <f>_xlfn.XLOOKUP(C105,Tabla5[Universidad KPIs],Tabla5[Convenio],"General")</f>
        <v>General</v>
      </c>
    </row>
    <row r="106" spans="2:5">
      <c r="B106" s="24" t="s">
        <v>4258</v>
      </c>
      <c r="C106" s="24" t="s">
        <v>4258</v>
      </c>
      <c r="D106" s="24" t="s">
        <v>41</v>
      </c>
      <c r="E106" s="23" t="str">
        <f>_xlfn.XLOOKUP(C106,Tabla5[Universidad KPIs],Tabla5[Convenio],"General")</f>
        <v>General</v>
      </c>
    </row>
    <row r="107" spans="2:5">
      <c r="B107" s="24" t="s">
        <v>190</v>
      </c>
      <c r="C107" s="24" t="s">
        <v>190</v>
      </c>
      <c r="D107" s="24" t="s">
        <v>169</v>
      </c>
      <c r="E107" s="23" t="str">
        <f>_xlfn.XLOOKUP(C107,Tabla5[Universidad KPIs],Tabla5[Convenio],"General")</f>
        <v>General</v>
      </c>
    </row>
    <row r="108" spans="2:5">
      <c r="B108" s="24" t="s">
        <v>160</v>
      </c>
      <c r="C108" s="24" t="s">
        <v>160</v>
      </c>
      <c r="D108" s="24" t="s">
        <v>41</v>
      </c>
      <c r="E108" s="23" t="str">
        <f>_xlfn.XLOOKUP(C108,Tabla5[Universidad KPIs],Tabla5[Convenio],"General")</f>
        <v>General</v>
      </c>
    </row>
    <row r="109" spans="2:5">
      <c r="B109" s="23" t="s">
        <v>4259</v>
      </c>
      <c r="C109" s="24" t="s">
        <v>4259</v>
      </c>
      <c r="D109" s="23" t="s">
        <v>65</v>
      </c>
      <c r="E109" s="23" t="str">
        <f>_xlfn.XLOOKUP(C109,Tabla5[Universidad KPIs],Tabla5[Convenio],"General")</f>
        <v>General</v>
      </c>
    </row>
    <row r="110" spans="2:5">
      <c r="B110" s="23" t="s">
        <v>161</v>
      </c>
      <c r="C110" s="24" t="s">
        <v>161</v>
      </c>
      <c r="D110" s="23" t="s">
        <v>65</v>
      </c>
      <c r="E110" s="23" t="str">
        <f>_xlfn.XLOOKUP(C110,Tabla5[Universidad KPIs],Tabla5[Convenio],"General")</f>
        <v>General</v>
      </c>
    </row>
    <row r="111" spans="2:5">
      <c r="B111" s="24" t="s">
        <v>4260</v>
      </c>
      <c r="C111" s="24" t="s">
        <v>4260</v>
      </c>
      <c r="D111" s="24" t="s">
        <v>41</v>
      </c>
      <c r="E111" s="23" t="str">
        <f>_xlfn.XLOOKUP(C111,Tabla5[Universidad KPIs],Tabla5[Convenio],"General")</f>
        <v>General</v>
      </c>
    </row>
    <row r="112" spans="2:5">
      <c r="B112" s="24" t="s">
        <v>2264</v>
      </c>
      <c r="C112" s="24" t="s">
        <v>162</v>
      </c>
      <c r="D112" s="24" t="s">
        <v>41</v>
      </c>
      <c r="E112" s="23" t="str">
        <f>_xlfn.XLOOKUP(C112,Tabla5[Universidad KPIs],Tabla5[Convenio],"General")</f>
        <v>General</v>
      </c>
    </row>
    <row r="113" spans="2:5">
      <c r="B113" s="24" t="s">
        <v>162</v>
      </c>
      <c r="C113" s="24" t="s">
        <v>162</v>
      </c>
      <c r="D113" s="24" t="s">
        <v>41</v>
      </c>
      <c r="E113" s="23" t="str">
        <f>_xlfn.XLOOKUP(C113,Tabla5[Universidad KPIs],Tabla5[Convenio],"General")</f>
        <v>General</v>
      </c>
    </row>
    <row r="114" spans="2:5">
      <c r="B114" s="24" t="s">
        <v>98</v>
      </c>
      <c r="C114" s="24" t="s">
        <v>98</v>
      </c>
      <c r="D114" s="24" t="s">
        <v>79</v>
      </c>
      <c r="E114" s="23" t="str">
        <f>_xlfn.XLOOKUP(C114,Tabla5[Universidad KPIs],Tabla5[Convenio],"General")</f>
        <v>Específico</v>
      </c>
    </row>
    <row r="115" spans="2:5">
      <c r="B115" s="24" t="s">
        <v>163</v>
      </c>
      <c r="C115" s="24" t="s">
        <v>163</v>
      </c>
      <c r="D115" s="24" t="s">
        <v>39</v>
      </c>
      <c r="E115" s="23" t="str">
        <f>_xlfn.XLOOKUP(C115,Tabla5[Universidad KPIs],Tabla5[Convenio],"General")</f>
        <v>General</v>
      </c>
    </row>
    <row r="116" spans="2:5">
      <c r="B116" s="23" t="s">
        <v>164</v>
      </c>
      <c r="C116" s="24" t="s">
        <v>164</v>
      </c>
      <c r="D116" s="23" t="s">
        <v>39</v>
      </c>
      <c r="E116" s="23" t="str">
        <f>_xlfn.XLOOKUP(C116,Tabla5[Universidad KPIs],Tabla5[Convenio],"General")</f>
        <v>General</v>
      </c>
    </row>
    <row r="117" spans="2:5">
      <c r="B117" s="24" t="s">
        <v>4261</v>
      </c>
      <c r="C117" s="24" t="s">
        <v>4261</v>
      </c>
      <c r="D117" s="24" t="s">
        <v>35</v>
      </c>
      <c r="E117" s="23" t="str">
        <f>_xlfn.XLOOKUP(C117,Tabla5[Universidad KPIs],Tabla5[Convenio],"General")</f>
        <v>General</v>
      </c>
    </row>
    <row r="118" spans="2:5">
      <c r="B118" s="24" t="s">
        <v>99</v>
      </c>
      <c r="C118" s="24" t="s">
        <v>99</v>
      </c>
      <c r="D118" s="24" t="s">
        <v>39</v>
      </c>
      <c r="E118" s="23" t="str">
        <f>_xlfn.XLOOKUP(C118,Tabla5[Universidad KPIs],Tabla5[Convenio],"General")</f>
        <v>Específico</v>
      </c>
    </row>
    <row r="119" spans="2:5">
      <c r="B119" s="23" t="s">
        <v>100</v>
      </c>
      <c r="C119" s="24" t="s">
        <v>100</v>
      </c>
      <c r="D119" s="23" t="s">
        <v>39</v>
      </c>
      <c r="E119" s="23" t="str">
        <f>_xlfn.XLOOKUP(C119,Tabla5[Universidad KPIs],Tabla5[Convenio],"General")</f>
        <v>General</v>
      </c>
    </row>
    <row r="120" spans="2:5">
      <c r="B120" s="23" t="s">
        <v>374</v>
      </c>
      <c r="C120" s="24" t="s">
        <v>101</v>
      </c>
      <c r="D120" s="23" t="s">
        <v>102</v>
      </c>
      <c r="E120" s="23" t="str">
        <f>_xlfn.XLOOKUP(C120,Tabla5[Universidad KPIs],Tabla5[Convenio],"General")</f>
        <v>Específico</v>
      </c>
    </row>
    <row r="121" spans="2:5">
      <c r="B121" s="23" t="s">
        <v>839</v>
      </c>
      <c r="C121" s="24" t="s">
        <v>115</v>
      </c>
      <c r="D121" s="23" t="s">
        <v>39</v>
      </c>
      <c r="E121" s="23" t="str">
        <f>_xlfn.XLOOKUP(C121,Tabla5[Universidad KPIs],Tabla5[Convenio],"General")</f>
        <v>Específico</v>
      </c>
    </row>
    <row r="122" spans="2:5">
      <c r="B122" s="24" t="s">
        <v>104</v>
      </c>
      <c r="C122" s="24" t="s">
        <v>104</v>
      </c>
      <c r="D122" s="24" t="s">
        <v>90</v>
      </c>
      <c r="E122" s="23" t="str">
        <f>_xlfn.XLOOKUP(C122,Tabla5[Universidad KPIs],Tabla5[Convenio],"General")</f>
        <v>Específico</v>
      </c>
    </row>
    <row r="123" spans="2:5">
      <c r="B123" s="23" t="s">
        <v>165</v>
      </c>
      <c r="C123" s="24" t="s">
        <v>165</v>
      </c>
      <c r="D123" s="23" t="s">
        <v>90</v>
      </c>
      <c r="E123" s="23" t="str">
        <f>_xlfn.XLOOKUP(C123,Tabla5[Universidad KPIs],Tabla5[Convenio],"General")</f>
        <v>General</v>
      </c>
    </row>
    <row r="124" spans="2:5">
      <c r="B124" s="23" t="s">
        <v>166</v>
      </c>
      <c r="C124" s="24" t="s">
        <v>166</v>
      </c>
      <c r="D124" s="23" t="s">
        <v>35</v>
      </c>
      <c r="E124" s="23" t="str">
        <f>_xlfn.XLOOKUP(C124,Tabla5[Universidad KPIs],Tabla5[Convenio],"General")</f>
        <v>General</v>
      </c>
    </row>
    <row r="125" spans="2:5">
      <c r="B125" s="24" t="s">
        <v>493</v>
      </c>
      <c r="C125" s="24" t="s">
        <v>105</v>
      </c>
      <c r="D125" s="24" t="s">
        <v>65</v>
      </c>
      <c r="E125" s="23" t="str">
        <f>_xlfn.XLOOKUP(C125,Tabla5[Universidad KPIs],Tabla5[Convenio],"General")</f>
        <v>Específico</v>
      </c>
    </row>
    <row r="126" spans="2:5">
      <c r="B126" s="24" t="s">
        <v>108</v>
      </c>
      <c r="C126" s="24" t="s">
        <v>108</v>
      </c>
      <c r="D126" s="24" t="s">
        <v>35</v>
      </c>
      <c r="E126" s="23" t="str">
        <f>_xlfn.XLOOKUP(C126,Tabla5[Universidad KPIs],Tabla5[Convenio],"General")</f>
        <v>General</v>
      </c>
    </row>
    <row r="127" spans="2:5">
      <c r="B127" s="23" t="s">
        <v>167</v>
      </c>
      <c r="C127" s="24" t="s">
        <v>167</v>
      </c>
      <c r="D127" s="23" t="s">
        <v>39</v>
      </c>
      <c r="E127" s="23" t="str">
        <f>_xlfn.XLOOKUP(C127,Tabla5[Universidad KPIs],Tabla5[Convenio],"General")</f>
        <v>General</v>
      </c>
    </row>
    <row r="128" spans="2:5">
      <c r="B128" s="23" t="s">
        <v>191</v>
      </c>
      <c r="C128" s="24" t="s">
        <v>191</v>
      </c>
      <c r="D128" s="23" t="s">
        <v>192</v>
      </c>
      <c r="E128" s="23" t="str">
        <f>_xlfn.XLOOKUP(C128,Tabla5[Universidad KPIs],Tabla5[Convenio],"General")</f>
        <v>General</v>
      </c>
    </row>
    <row r="129" spans="2:5">
      <c r="B129" s="23" t="s">
        <v>193</v>
      </c>
      <c r="C129" s="24" t="s">
        <v>193</v>
      </c>
      <c r="D129" s="23" t="s">
        <v>185</v>
      </c>
      <c r="E129" s="23" t="str">
        <f>_xlfn.XLOOKUP(C129,Tabla5[Universidad KPIs],Tabla5[Convenio],"General")</f>
        <v>General</v>
      </c>
    </row>
    <row r="130" spans="2:5">
      <c r="B130" s="23" t="s">
        <v>4169</v>
      </c>
      <c r="C130" s="24" t="s">
        <v>4262</v>
      </c>
      <c r="D130" s="23" t="s">
        <v>60</v>
      </c>
      <c r="E130" s="23" t="str">
        <f>_xlfn.XLOOKUP(C130,Tabla5[Universidad KPIs],Tabla5[Convenio],"General")</f>
        <v>General</v>
      </c>
    </row>
    <row r="131" spans="2:5">
      <c r="B131" s="23" t="s">
        <v>181</v>
      </c>
      <c r="C131" s="24" t="s">
        <v>181</v>
      </c>
      <c r="D131" s="23" t="s">
        <v>35</v>
      </c>
      <c r="E131" s="23" t="str">
        <f>_xlfn.XLOOKUP(C131,Tabla5[Universidad KPIs],Tabla5[Convenio],"General")</f>
        <v>General</v>
      </c>
    </row>
    <row r="132" spans="2:5">
      <c r="B132" s="23" t="s">
        <v>168</v>
      </c>
      <c r="C132" s="23" t="s">
        <v>168</v>
      </c>
      <c r="D132" s="23" t="s">
        <v>169</v>
      </c>
      <c r="E132" s="23" t="str">
        <f>_xlfn.XLOOKUP(C132,Tabla5[Universidad KPIs],Tabla5[Convenio],"General")</f>
        <v>General</v>
      </c>
    </row>
    <row r="133" spans="2:5">
      <c r="B133" s="23" t="s">
        <v>170</v>
      </c>
      <c r="C133" s="23" t="s">
        <v>170</v>
      </c>
      <c r="D133" s="23" t="s">
        <v>60</v>
      </c>
      <c r="E133" s="23" t="str">
        <f>_xlfn.XLOOKUP(C133,Tabla5[Universidad KPIs],Tabla5[Convenio],"General")</f>
        <v>General</v>
      </c>
    </row>
    <row r="134" spans="2:5">
      <c r="B134" s="23" t="s">
        <v>171</v>
      </c>
      <c r="C134" s="23" t="s">
        <v>171</v>
      </c>
      <c r="D134" s="23" t="s">
        <v>62</v>
      </c>
      <c r="E134" s="23" t="str">
        <f>_xlfn.XLOOKUP(C134,Tabla5[Universidad KPIs],Tabla5[Convenio],"General")</f>
        <v>General</v>
      </c>
    </row>
    <row r="135" spans="2:5">
      <c r="B135" s="23" t="s">
        <v>172</v>
      </c>
      <c r="C135" s="23" t="s">
        <v>172</v>
      </c>
      <c r="D135" s="23" t="s">
        <v>53</v>
      </c>
      <c r="E135" s="23" t="str">
        <f>_xlfn.XLOOKUP(C135,Tabla5[Universidad KPIs],Tabla5[Convenio],"General")</f>
        <v>General</v>
      </c>
    </row>
    <row r="136" spans="2:5">
      <c r="B136" s="23" t="s">
        <v>210</v>
      </c>
      <c r="C136" s="23" t="s">
        <v>210</v>
      </c>
      <c r="D136" s="23" t="s">
        <v>107</v>
      </c>
      <c r="E136" s="23" t="str">
        <f>_xlfn.XLOOKUP(C136,Tabla5[Universidad KPIs],Tabla5[Convenio],"General")</f>
        <v>General</v>
      </c>
    </row>
    <row r="137" spans="2:5">
      <c r="B137" s="23" t="s">
        <v>196</v>
      </c>
      <c r="C137" s="23" t="s">
        <v>196</v>
      </c>
      <c r="D137" s="23" t="s">
        <v>47</v>
      </c>
      <c r="E137" s="23" t="str">
        <f>_xlfn.XLOOKUP(C137,Tabla5[Universidad KPIs],Tabla5[Convenio],"General")</f>
        <v>General</v>
      </c>
    </row>
    <row r="138" spans="2:5">
      <c r="B138" s="23" t="s">
        <v>197</v>
      </c>
      <c r="C138" s="23" t="s">
        <v>197</v>
      </c>
      <c r="D138" s="23" t="s">
        <v>185</v>
      </c>
      <c r="E138" s="23" t="str">
        <f>_xlfn.XLOOKUP(C138,Tabla5[Universidad KPIs],Tabla5[Convenio],"General")</f>
        <v>General</v>
      </c>
    </row>
    <row r="139" spans="2:5">
      <c r="B139" s="23" t="s">
        <v>201</v>
      </c>
      <c r="C139" s="23" t="s">
        <v>201</v>
      </c>
      <c r="D139" s="23" t="s">
        <v>71</v>
      </c>
      <c r="E139" s="23" t="str">
        <f>_xlfn.XLOOKUP(C139,Tabla5[Universidad KPIs],Tabla5[Convenio],"General")</f>
        <v>General</v>
      </c>
    </row>
    <row r="140" spans="2:5">
      <c r="B140" s="23" t="s">
        <v>198</v>
      </c>
      <c r="C140" s="23" t="s">
        <v>198</v>
      </c>
      <c r="D140" s="23" t="s">
        <v>199</v>
      </c>
      <c r="E140" s="23" t="str">
        <f>_xlfn.XLOOKUP(C140,Tabla5[Universidad KPIs],Tabla5[Convenio],"General")</f>
        <v>General</v>
      </c>
    </row>
    <row r="141" spans="2:5">
      <c r="B141" s="23" t="s">
        <v>2023</v>
      </c>
      <c r="C141" s="23" t="s">
        <v>209</v>
      </c>
      <c r="D141" s="23" t="s">
        <v>199</v>
      </c>
      <c r="E141" s="23" t="str">
        <f>_xlfn.XLOOKUP(C141,Tabla5[Universidad KPIs],Tabla5[Convenio],"General")</f>
        <v>General</v>
      </c>
    </row>
    <row r="142" spans="2:5">
      <c r="B142" s="23" t="s">
        <v>2028</v>
      </c>
      <c r="C142" s="9" t="s">
        <v>72</v>
      </c>
      <c r="D142" s="23" t="s">
        <v>202</v>
      </c>
      <c r="E142" s="23" t="str">
        <f>_xlfn.XLOOKUP(C142,Tabla5[Universidad KPIs],Tabla5[Convenio],"General")</f>
        <v>Específico</v>
      </c>
    </row>
    <row r="143" spans="2:5">
      <c r="B143" s="23" t="s">
        <v>2033</v>
      </c>
      <c r="C143" s="9" t="s">
        <v>72</v>
      </c>
      <c r="D143" s="23" t="s">
        <v>202</v>
      </c>
      <c r="E143" s="23" t="str">
        <f>_xlfn.XLOOKUP(C143,Tabla5[Universidad KPIs],Tabla5[Convenio],"General")</f>
        <v>Específico</v>
      </c>
    </row>
    <row r="144" spans="2:5">
      <c r="B144" s="23" t="s">
        <v>2038</v>
      </c>
      <c r="C144" s="9" t="s">
        <v>72</v>
      </c>
      <c r="D144" s="23" t="s">
        <v>202</v>
      </c>
      <c r="E144" s="23" t="str">
        <f>_xlfn.XLOOKUP(C144,Tabla5[Universidad KPIs],Tabla5[Convenio],"General")</f>
        <v>Específico</v>
      </c>
    </row>
    <row r="145" spans="2:5">
      <c r="B145" s="23" t="s">
        <v>211</v>
      </c>
      <c r="C145" s="23" t="s">
        <v>211</v>
      </c>
      <c r="D145" s="23" t="s">
        <v>212</v>
      </c>
      <c r="E145" s="23" t="str">
        <f>_xlfn.XLOOKUP(C145,Tabla5[Universidad KPIs],Tabla5[Convenio],"General")</f>
        <v>General</v>
      </c>
    </row>
    <row r="146" spans="2:5">
      <c r="B146" s="23" t="s">
        <v>2047</v>
      </c>
      <c r="C146" s="24" t="s">
        <v>151</v>
      </c>
      <c r="D146" s="23" t="s">
        <v>202</v>
      </c>
      <c r="E146" s="23" t="str">
        <f>_xlfn.XLOOKUP(C146,Tabla5[Universidad KPIs],Tabla5[Convenio],"General")</f>
        <v>General</v>
      </c>
    </row>
    <row r="147" spans="2:5">
      <c r="B147" s="23" t="s">
        <v>203</v>
      </c>
      <c r="C147" s="23" t="s">
        <v>203</v>
      </c>
      <c r="D147" s="23" t="s">
        <v>204</v>
      </c>
      <c r="E147" s="23" t="str">
        <f>_xlfn.XLOOKUP(C147,Tabla5[Universidad KPIs],Tabla5[Convenio],"General")</f>
        <v>General</v>
      </c>
    </row>
    <row r="148" spans="2:5">
      <c r="B148" s="23" t="s">
        <v>207</v>
      </c>
      <c r="C148" s="23" t="s">
        <v>207</v>
      </c>
      <c r="D148" s="23" t="s">
        <v>208</v>
      </c>
      <c r="E148" s="23" t="str">
        <f>_xlfn.XLOOKUP(C148,Tabla5[Universidad KPIs],Tabla5[Convenio],"General")</f>
        <v>General</v>
      </c>
    </row>
    <row r="149" spans="2:5">
      <c r="B149" s="23" t="s">
        <v>205</v>
      </c>
      <c r="C149" s="23" t="s">
        <v>205</v>
      </c>
      <c r="D149" s="23" t="s">
        <v>206</v>
      </c>
      <c r="E149" s="23" t="str">
        <f>_xlfn.XLOOKUP(C149,Tabla5[Universidad KPIs],Tabla5[Convenio],"General")</f>
        <v>General</v>
      </c>
    </row>
    <row r="150" spans="2:5">
      <c r="B150" s="23" t="s">
        <v>2068</v>
      </c>
      <c r="C150" s="24" t="s">
        <v>66</v>
      </c>
      <c r="D150" s="23" t="s">
        <v>200</v>
      </c>
      <c r="E150" s="23" t="str">
        <f>_xlfn.XLOOKUP(C150,Tabla5[Universidad KPIs],Tabla5[Convenio],"General")</f>
        <v>Específico</v>
      </c>
    </row>
    <row r="151" spans="2:5">
      <c r="B151" s="23" t="s">
        <v>147</v>
      </c>
      <c r="C151" s="24" t="s">
        <v>147</v>
      </c>
      <c r="D151" s="23" t="s">
        <v>85</v>
      </c>
      <c r="E151" s="23" t="str">
        <f>_xlfn.XLOOKUP(C151,Tabla5[Universidad KPIs],Tabla5[Convenio],"General")</f>
        <v>General</v>
      </c>
    </row>
    <row r="152" spans="2:5">
      <c r="B152" s="23" t="s">
        <v>148</v>
      </c>
      <c r="C152" s="24" t="s">
        <v>148</v>
      </c>
      <c r="D152" s="23" t="s">
        <v>39</v>
      </c>
      <c r="E152" s="23" t="str">
        <f>_xlfn.XLOOKUP(C152,Tabla5[Universidad KPIs],Tabla5[Convenio],"General")</f>
        <v>General</v>
      </c>
    </row>
    <row r="153" spans="2:5">
      <c r="B153" s="23" t="s">
        <v>149</v>
      </c>
      <c r="C153" s="24" t="s">
        <v>149</v>
      </c>
      <c r="D153" s="23" t="s">
        <v>90</v>
      </c>
      <c r="E153" s="23" t="str">
        <f>_xlfn.XLOOKUP(C153,Tabla5[Universidad KPIs],Tabla5[Convenio],"General")</f>
        <v>General</v>
      </c>
    </row>
    <row r="154" spans="2:5">
      <c r="B154" s="9" t="s">
        <v>174</v>
      </c>
      <c r="C154" s="24" t="s">
        <v>174</v>
      </c>
      <c r="D154" s="23" t="s">
        <v>175</v>
      </c>
      <c r="E154" s="23" t="str">
        <f>_xlfn.XLOOKUP(C154,Tabla5[Universidad KPIs],Tabla5[Convenio],"General")</f>
        <v>General</v>
      </c>
    </row>
    <row r="155" spans="2:5">
      <c r="B155" s="23" t="s">
        <v>194</v>
      </c>
      <c r="C155" s="24" t="s">
        <v>194</v>
      </c>
      <c r="D155" s="23" t="s">
        <v>60</v>
      </c>
      <c r="E155" s="23" t="str">
        <f>_xlfn.XLOOKUP(C155,Tabla5[Universidad KPIs],Tabla5[Convenio],"General")</f>
        <v>General</v>
      </c>
    </row>
    <row r="156" spans="2:5">
      <c r="B156" s="23" t="s">
        <v>4301</v>
      </c>
      <c r="C156" s="23" t="s">
        <v>4301</v>
      </c>
      <c r="D156" s="23" t="s">
        <v>49</v>
      </c>
      <c r="E156" s="23" t="str">
        <f>_xlfn.XLOOKUP(C156,Tabla5[Universidad KPIs],Tabla5[Convenio],"General")</f>
        <v>General</v>
      </c>
    </row>
    <row r="157" spans="2:5">
      <c r="B157" s="23" t="s">
        <v>4381</v>
      </c>
      <c r="C157" s="23" t="s">
        <v>4381</v>
      </c>
      <c r="D157" s="23" t="s">
        <v>4382</v>
      </c>
      <c r="E157" s="23" t="str">
        <f>_xlfn.XLOOKUP(C157,Tabla5[Universidad KPIs],Tabla5[Convenio],"General")</f>
        <v>General</v>
      </c>
    </row>
    <row r="158" spans="2:5">
      <c r="B158" s="23" t="s">
        <v>4415</v>
      </c>
      <c r="C158" s="23" t="s">
        <v>4415</v>
      </c>
      <c r="D158" s="23" t="s">
        <v>79</v>
      </c>
      <c r="E158" s="23" t="str">
        <f>_xlfn.XLOOKUP(C158,Tabla5[Universidad KPIs],Tabla5[Convenio],"General")</f>
        <v>General</v>
      </c>
    </row>
    <row r="159" spans="2:5">
      <c r="B159" s="23" t="s">
        <v>4454</v>
      </c>
      <c r="C159" s="23" t="s">
        <v>4454</v>
      </c>
      <c r="D159" s="23" t="s">
        <v>53</v>
      </c>
      <c r="E159" s="23" t="str">
        <f>_xlfn.XLOOKUP(C159,Tabla5[Universidad KPIs],Tabla5[Convenio],"General")</f>
        <v>General</v>
      </c>
    </row>
    <row r="160" spans="2:5">
      <c r="B160" s="23" t="s">
        <v>4502</v>
      </c>
      <c r="C160" s="23" t="s">
        <v>181</v>
      </c>
      <c r="D160" s="23" t="s">
        <v>35</v>
      </c>
      <c r="E160" s="23" t="str">
        <f>_xlfn.XLOOKUP(C160,Tabla5[Universidad KPIs],Tabla5[Convenio],"General")</f>
        <v>General</v>
      </c>
    </row>
    <row r="161" spans="2:5">
      <c r="B161" s="23" t="s">
        <v>4560</v>
      </c>
      <c r="C161" s="23" t="s">
        <v>4560</v>
      </c>
      <c r="D161" s="23" t="s">
        <v>74</v>
      </c>
      <c r="E161" s="23" t="str">
        <f>_xlfn.XLOOKUP(C161,Tabla5[Universidad KPIs],Tabla5[Convenio],"General")</f>
        <v>Específico</v>
      </c>
    </row>
    <row r="162" spans="2:5">
      <c r="B162" s="23" t="s">
        <v>4628</v>
      </c>
      <c r="C162" s="23" t="s">
        <v>4628</v>
      </c>
      <c r="D162" s="23" t="s">
        <v>53</v>
      </c>
      <c r="E162" s="23" t="str">
        <f>_xlfn.XLOOKUP(C162,Tabla5[Universidad KPIs],Tabla5[Convenio],"General")</f>
        <v>General</v>
      </c>
    </row>
  </sheetData>
  <autoFilter ref="B3:E162" xr:uid="{13439C0B-469C-4D43-91FA-C9709FEC4B93}"/>
  <sortState xmlns:xlrd2="http://schemas.microsoft.com/office/spreadsheetml/2017/richdata2" ref="B4:D130">
    <sortCondition ref="C4:C130"/>
  </sortState>
  <mergeCells count="2">
    <mergeCell ref="B2:E2"/>
    <mergeCell ref="G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5803-2523-4F52-BE4B-9A053609858E}">
  <dimension ref="A1:V3"/>
  <sheetViews>
    <sheetView showGridLines="0" workbookViewId="0">
      <selection activeCell="I26" sqref="I26"/>
    </sheetView>
  </sheetViews>
  <sheetFormatPr baseColWidth="10" defaultColWidth="11.42578125" defaultRowHeight="15"/>
  <cols>
    <col min="3" max="3" width="12.140625" customWidth="1"/>
    <col min="6" max="6" width="14.85546875" customWidth="1"/>
    <col min="7" max="7" width="18" customWidth="1"/>
    <col min="8" max="8" width="13.85546875" customWidth="1"/>
    <col min="10" max="10" width="16.42578125" customWidth="1"/>
    <col min="11" max="11" width="18.5703125" customWidth="1"/>
    <col min="12" max="12" width="12.42578125" customWidth="1"/>
    <col min="13" max="13" width="15.42578125" customWidth="1"/>
    <col min="16" max="16" width="11.5703125" customWidth="1"/>
    <col min="18" max="18" width="15" customWidth="1"/>
    <col min="19" max="19" width="11.85546875" customWidth="1"/>
    <col min="20" max="20" width="13.85546875" style="2" customWidth="1"/>
    <col min="21" max="21" width="11.5703125" style="2" customWidth="1"/>
    <col min="22" max="22" width="16" customWidth="1"/>
  </cols>
  <sheetData>
    <row r="1" spans="1:22">
      <c r="A1" t="s">
        <v>13</v>
      </c>
      <c r="B1" t="s">
        <v>1</v>
      </c>
      <c r="C1" t="s">
        <v>4264</v>
      </c>
      <c r="D1" t="s">
        <v>5</v>
      </c>
      <c r="E1" t="s">
        <v>3</v>
      </c>
      <c r="F1" t="s">
        <v>7</v>
      </c>
      <c r="G1" t="s">
        <v>4265</v>
      </c>
      <c r="H1" t="s">
        <v>17</v>
      </c>
      <c r="I1" t="s">
        <v>19</v>
      </c>
      <c r="J1" t="s">
        <v>4266</v>
      </c>
      <c r="K1" t="s">
        <v>11</v>
      </c>
      <c r="L1" t="s">
        <v>4267</v>
      </c>
      <c r="M1" t="s">
        <v>4268</v>
      </c>
      <c r="N1" t="s">
        <v>25</v>
      </c>
      <c r="O1" t="s">
        <v>4269</v>
      </c>
      <c r="P1" t="s">
        <v>4270</v>
      </c>
      <c r="Q1" t="s">
        <v>4271</v>
      </c>
      <c r="R1" t="s">
        <v>4272</v>
      </c>
      <c r="S1" t="s">
        <v>4222</v>
      </c>
      <c r="T1" s="2" t="s">
        <v>4273</v>
      </c>
      <c r="U1" s="2" t="s">
        <v>4274</v>
      </c>
      <c r="V1" t="s">
        <v>4275</v>
      </c>
    </row>
    <row r="2" spans="1:22">
      <c r="A2">
        <v>2023</v>
      </c>
      <c r="B2">
        <v>202317659</v>
      </c>
      <c r="C2">
        <v>97796108</v>
      </c>
      <c r="D2" t="s">
        <v>3611</v>
      </c>
      <c r="E2" t="s">
        <v>3610</v>
      </c>
      <c r="F2" t="s">
        <v>74</v>
      </c>
      <c r="G2" t="s">
        <v>74</v>
      </c>
      <c r="H2" t="s">
        <v>3024</v>
      </c>
      <c r="I2" t="s">
        <v>74</v>
      </c>
      <c r="J2" t="s">
        <v>3612</v>
      </c>
      <c r="K2" t="s">
        <v>3613</v>
      </c>
      <c r="L2" t="s">
        <v>226</v>
      </c>
      <c r="M2" t="s">
        <v>3626</v>
      </c>
      <c r="N2" t="s">
        <v>587</v>
      </c>
      <c r="O2" t="s">
        <v>4276</v>
      </c>
      <c r="P2" t="s">
        <v>3614</v>
      </c>
      <c r="Q2" t="s">
        <v>4277</v>
      </c>
      <c r="R2" t="s">
        <v>4278</v>
      </c>
      <c r="S2" t="s">
        <v>4279</v>
      </c>
      <c r="T2" s="2">
        <v>44949</v>
      </c>
      <c r="U2" s="2">
        <v>45004</v>
      </c>
      <c r="V2">
        <v>55</v>
      </c>
    </row>
    <row r="3" spans="1:22">
      <c r="A3">
        <v>2023</v>
      </c>
      <c r="B3">
        <v>202317660</v>
      </c>
      <c r="C3" t="s">
        <v>4280</v>
      </c>
      <c r="D3" t="s">
        <v>3616</v>
      </c>
      <c r="E3" t="s">
        <v>3615</v>
      </c>
      <c r="F3" t="s">
        <v>74</v>
      </c>
      <c r="G3" t="s">
        <v>74</v>
      </c>
      <c r="H3" t="s">
        <v>3024</v>
      </c>
      <c r="I3" t="s">
        <v>74</v>
      </c>
      <c r="J3" t="s">
        <v>3617</v>
      </c>
      <c r="K3" t="s">
        <v>3618</v>
      </c>
      <c r="L3" t="s">
        <v>226</v>
      </c>
      <c r="M3" t="s">
        <v>3626</v>
      </c>
      <c r="N3" t="s">
        <v>587</v>
      </c>
      <c r="O3" t="s">
        <v>4276</v>
      </c>
      <c r="P3" t="s">
        <v>3614</v>
      </c>
      <c r="Q3" t="s">
        <v>4277</v>
      </c>
      <c r="R3" t="s">
        <v>4278</v>
      </c>
      <c r="S3" t="s">
        <v>4279</v>
      </c>
      <c r="T3" s="2">
        <v>44949</v>
      </c>
      <c r="U3" s="2">
        <v>45004</v>
      </c>
      <c r="V3">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Utilización Convenios</vt:lpstr>
      <vt:lpstr>BD Convenios</vt:lpstr>
      <vt:lpstr>Convenios especificos</vt:lpstr>
      <vt:lpstr>Outgoing</vt:lpstr>
      <vt:lpstr>Incoming</vt:lpstr>
      <vt:lpstr>Conversiones</vt:lpstr>
      <vt:lpstr>Pasantes Incoming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Oiaanalytics</dc:creator>
  <cp:keywords/>
  <dc:description/>
  <cp:lastModifiedBy>Jose David Martinez Osorio</cp:lastModifiedBy>
  <cp:revision/>
  <dcterms:created xsi:type="dcterms:W3CDTF">2024-06-19T20:24:58Z</dcterms:created>
  <dcterms:modified xsi:type="dcterms:W3CDTF">2025-12-02T22:06:32Z</dcterms:modified>
  <cp:category/>
  <cp:contentStatus/>
</cp:coreProperties>
</file>