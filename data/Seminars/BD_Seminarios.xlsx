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jd_martinezo_uniandes_edu_co/Documents/GESTION OFICINA INTERNACIONAL/Estadisticas/Web KPIs/data/Seminars/"/>
    </mc:Choice>
  </mc:AlternateContent>
  <xr:revisionPtr revIDLastSave="12" documentId="8_{48EF0EC0-EB34-434D-B287-59C0E6249EB9}" xr6:coauthVersionLast="47" xr6:coauthVersionMax="47" xr10:uidLastSave="{67695563-A6AD-4B4F-B97A-CAD011CAD57F}"/>
  <bookViews>
    <workbookView xWindow="-120" yWindow="-120" windowWidth="29040" windowHeight="15840" activeTab="2" xr2:uid="{1860D706-D89E-42F2-A2DD-757F8F7AEBF5}"/>
  </bookViews>
  <sheets>
    <sheet name="BD Seminarios" sheetId="2" r:id="rId1"/>
    <sheet name="BD Conferencistas" sheetId="3" r:id="rId2"/>
    <sheet name="BD Participantes" sheetId="1" r:id="rId3"/>
  </sheets>
  <definedNames>
    <definedName name="_xlcn.WorksheetConnection_BDConferencistasC20D261" hidden="1">'BD Conferencistas'!$C$76:$D$79</definedName>
    <definedName name="_xlcn.WorksheetConnection_ReporteEstadísticasSeminarios.xlsxSeminarios1" hidden="1">Seminarios[]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BD Conferencistas!$C$20:$D$26"/>
          <x15:modelTable id="Seminarios" name="Seminarios" connection="WorksheetConnection_Reporte Estadísticas Seminarios.xlsx!Semin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01" i="1" l="1"/>
  <c r="C1301" i="1"/>
  <c r="B1301" i="1"/>
  <c r="D1300" i="1"/>
  <c r="C1300" i="1"/>
  <c r="B1300" i="1"/>
  <c r="D1299" i="1"/>
  <c r="C1299" i="1"/>
  <c r="B1299" i="1"/>
  <c r="D1298" i="1"/>
  <c r="C1298" i="1"/>
  <c r="B1298" i="1"/>
  <c r="D1297" i="1"/>
  <c r="C1297" i="1"/>
  <c r="B1297" i="1"/>
  <c r="D1296" i="1"/>
  <c r="C1296" i="1"/>
  <c r="B1296" i="1"/>
  <c r="D1295" i="1"/>
  <c r="C1295" i="1"/>
  <c r="B1295" i="1"/>
  <c r="D1294" i="1"/>
  <c r="C1294" i="1"/>
  <c r="B1294" i="1"/>
  <c r="D1293" i="1"/>
  <c r="C1293" i="1"/>
  <c r="B1293" i="1"/>
  <c r="D1292" i="1"/>
  <c r="C1292" i="1"/>
  <c r="B1292" i="1"/>
  <c r="D1291" i="1"/>
  <c r="C1291" i="1"/>
  <c r="B1291" i="1"/>
  <c r="D1290" i="1"/>
  <c r="C1290" i="1"/>
  <c r="B1290" i="1"/>
  <c r="D1289" i="1"/>
  <c r="C1289" i="1"/>
  <c r="B1289" i="1"/>
  <c r="D1288" i="1"/>
  <c r="C1288" i="1"/>
  <c r="B1288" i="1"/>
  <c r="D1287" i="1"/>
  <c r="C1287" i="1"/>
  <c r="B1287" i="1"/>
  <c r="D1286" i="1"/>
  <c r="C1286" i="1"/>
  <c r="B1286" i="1"/>
  <c r="D1285" i="1"/>
  <c r="C1285" i="1"/>
  <c r="B1285" i="1"/>
  <c r="D1284" i="1"/>
  <c r="C1284" i="1"/>
  <c r="B1284" i="1"/>
  <c r="D1283" i="1"/>
  <c r="C1283" i="1"/>
  <c r="B1283" i="1"/>
  <c r="D1282" i="1"/>
  <c r="C1282" i="1"/>
  <c r="B1282" i="1"/>
  <c r="D1281" i="1"/>
  <c r="C1281" i="1"/>
  <c r="B1281" i="1"/>
  <c r="G1295" i="1"/>
  <c r="G1294" i="1"/>
  <c r="G1293" i="1"/>
  <c r="G1290" i="1"/>
  <c r="G1286" i="1"/>
  <c r="G1285" i="1"/>
  <c r="G1282" i="1"/>
  <c r="G1281" i="1"/>
  <c r="C72" i="3"/>
  <c r="J72" i="3" s="1"/>
  <c r="K72" i="3" s="1"/>
  <c r="K65" i="2"/>
  <c r="G1296" i="1" s="1"/>
  <c r="C70" i="3"/>
  <c r="J70" i="3" s="1"/>
  <c r="K70" i="3" s="1"/>
  <c r="C71" i="3"/>
  <c r="J71" i="3" s="1"/>
  <c r="K71" i="3" s="1"/>
  <c r="C67" i="3"/>
  <c r="J67" i="3" s="1"/>
  <c r="K67" i="3" s="1"/>
  <c r="D1222" i="1"/>
  <c r="C1222" i="1"/>
  <c r="B1222" i="1"/>
  <c r="D1221" i="1"/>
  <c r="C1221" i="1"/>
  <c r="B1221" i="1"/>
  <c r="D1220" i="1"/>
  <c r="C1220" i="1"/>
  <c r="B1220" i="1"/>
  <c r="D1219" i="1"/>
  <c r="C1219" i="1"/>
  <c r="B1219" i="1"/>
  <c r="D1218" i="1"/>
  <c r="C1218" i="1"/>
  <c r="B1218" i="1"/>
  <c r="D1217" i="1"/>
  <c r="C1217" i="1"/>
  <c r="B1217" i="1"/>
  <c r="D1216" i="1"/>
  <c r="C1216" i="1"/>
  <c r="B1216" i="1"/>
  <c r="D1215" i="1"/>
  <c r="C1215" i="1"/>
  <c r="B1215" i="1"/>
  <c r="D1214" i="1"/>
  <c r="C1214" i="1"/>
  <c r="B1214" i="1"/>
  <c r="D1213" i="1"/>
  <c r="C1213" i="1"/>
  <c r="B1213" i="1"/>
  <c r="D1212" i="1"/>
  <c r="C1212" i="1"/>
  <c r="B1212" i="1"/>
  <c r="D1211" i="1"/>
  <c r="C1211" i="1"/>
  <c r="B1211" i="1"/>
  <c r="D1210" i="1"/>
  <c r="C1210" i="1"/>
  <c r="B1210" i="1"/>
  <c r="D1209" i="1"/>
  <c r="C1209" i="1"/>
  <c r="B1209" i="1"/>
  <c r="D1208" i="1"/>
  <c r="C1208" i="1"/>
  <c r="B1208" i="1"/>
  <c r="G1208" i="1"/>
  <c r="G1209" i="1"/>
  <c r="G1210" i="1"/>
  <c r="G1211" i="1"/>
  <c r="G1212" i="1"/>
  <c r="G1213" i="1"/>
  <c r="G1221" i="1"/>
  <c r="K60" i="2"/>
  <c r="G1214" i="1" s="1"/>
  <c r="D1280" i="1"/>
  <c r="C1280" i="1"/>
  <c r="B1280" i="1"/>
  <c r="D1279" i="1"/>
  <c r="C1279" i="1"/>
  <c r="B1279" i="1"/>
  <c r="D1278" i="1"/>
  <c r="C1278" i="1"/>
  <c r="B1278" i="1"/>
  <c r="D1277" i="1"/>
  <c r="C1277" i="1"/>
  <c r="B1277" i="1"/>
  <c r="D1276" i="1"/>
  <c r="C1276" i="1"/>
  <c r="B1276" i="1"/>
  <c r="D1275" i="1"/>
  <c r="C1275" i="1"/>
  <c r="B1275" i="1"/>
  <c r="D1274" i="1"/>
  <c r="C1274" i="1"/>
  <c r="B1274" i="1"/>
  <c r="D1272" i="1"/>
  <c r="C1272" i="1"/>
  <c r="B1272" i="1"/>
  <c r="D1271" i="1"/>
  <c r="C1271" i="1"/>
  <c r="B1271" i="1"/>
  <c r="D1270" i="1"/>
  <c r="C1270" i="1"/>
  <c r="B1270" i="1"/>
  <c r="D1269" i="1"/>
  <c r="C1269" i="1"/>
  <c r="B1269" i="1"/>
  <c r="G1274" i="1"/>
  <c r="K64" i="2"/>
  <c r="G1284" i="1" s="1"/>
  <c r="K63" i="2"/>
  <c r="G1271" i="1" s="1"/>
  <c r="D1242" i="1"/>
  <c r="D1229" i="1"/>
  <c r="D1227" i="1"/>
  <c r="D1225" i="1"/>
  <c r="D1207" i="1"/>
  <c r="C1207" i="1"/>
  <c r="B1207" i="1"/>
  <c r="D1206" i="1"/>
  <c r="C1206" i="1"/>
  <c r="B1206" i="1"/>
  <c r="D1205" i="1"/>
  <c r="C1205" i="1"/>
  <c r="B1205" i="1"/>
  <c r="D1204" i="1"/>
  <c r="C1204" i="1"/>
  <c r="B1204" i="1"/>
  <c r="D1202" i="1"/>
  <c r="C1202" i="1"/>
  <c r="B1202" i="1"/>
  <c r="D1201" i="1"/>
  <c r="C1201" i="1"/>
  <c r="B1201" i="1"/>
  <c r="D1200" i="1"/>
  <c r="C1200" i="1"/>
  <c r="B1200" i="1"/>
  <c r="D1199" i="1"/>
  <c r="C1199" i="1"/>
  <c r="B1199" i="1"/>
  <c r="D1198" i="1"/>
  <c r="C1198" i="1"/>
  <c r="B1198" i="1"/>
  <c r="D1197" i="1"/>
  <c r="C1197" i="1"/>
  <c r="B1197" i="1"/>
  <c r="D1196" i="1"/>
  <c r="C1196" i="1"/>
  <c r="B1196" i="1"/>
  <c r="G1287" i="1" l="1"/>
  <c r="G1288" i="1"/>
  <c r="G1289" i="1"/>
  <c r="G1291" i="1"/>
  <c r="G1292" i="1"/>
  <c r="G1301" i="1"/>
  <c r="G1300" i="1"/>
  <c r="G1299" i="1"/>
  <c r="G1298" i="1"/>
  <c r="G1297" i="1"/>
  <c r="G1283" i="1"/>
  <c r="G1275" i="1"/>
  <c r="G1276" i="1"/>
  <c r="G1273" i="1"/>
  <c r="G1272" i="1"/>
  <c r="G1269" i="1"/>
  <c r="G1277" i="1"/>
  <c r="G1270" i="1"/>
  <c r="G1220" i="1"/>
  <c r="G1280" i="1"/>
  <c r="G1219" i="1"/>
  <c r="G1279" i="1"/>
  <c r="G1218" i="1"/>
  <c r="G1278" i="1"/>
  <c r="G1217" i="1"/>
  <c r="G1222" i="1"/>
  <c r="G1216" i="1"/>
  <c r="G1215" i="1"/>
  <c r="D1195" i="1" l="1"/>
  <c r="C1195" i="1"/>
  <c r="B1195" i="1"/>
  <c r="D1194" i="1"/>
  <c r="C1194" i="1"/>
  <c r="B1194" i="1"/>
  <c r="D1193" i="1"/>
  <c r="C1193" i="1"/>
  <c r="B1193" i="1"/>
  <c r="D1192" i="1"/>
  <c r="C1192" i="1"/>
  <c r="B1192" i="1"/>
  <c r="D1191" i="1"/>
  <c r="C1191" i="1"/>
  <c r="B1191" i="1"/>
  <c r="D1190" i="1"/>
  <c r="C1190" i="1"/>
  <c r="B1190" i="1"/>
  <c r="D1188" i="1"/>
  <c r="C1188" i="1"/>
  <c r="B1188" i="1"/>
  <c r="D1187" i="1"/>
  <c r="C1187" i="1"/>
  <c r="B1187" i="1"/>
  <c r="D1186" i="1"/>
  <c r="C1186" i="1"/>
  <c r="B1186" i="1"/>
  <c r="D1185" i="1"/>
  <c r="C1185" i="1"/>
  <c r="B1185" i="1"/>
  <c r="D1184" i="1"/>
  <c r="C1184" i="1"/>
  <c r="B1184" i="1"/>
  <c r="D1183" i="1"/>
  <c r="C1183" i="1"/>
  <c r="B1183" i="1"/>
  <c r="D1182" i="1"/>
  <c r="C1182" i="1"/>
  <c r="B1182" i="1"/>
  <c r="D1181" i="1"/>
  <c r="C1181" i="1"/>
  <c r="B1181" i="1"/>
  <c r="D1180" i="1"/>
  <c r="C1180" i="1"/>
  <c r="B1180" i="1"/>
  <c r="D1179" i="1"/>
  <c r="C1179" i="1"/>
  <c r="B1179" i="1"/>
  <c r="D1178" i="1"/>
  <c r="C1178" i="1"/>
  <c r="B1178" i="1"/>
  <c r="D1177" i="1"/>
  <c r="C1177" i="1"/>
  <c r="B1177" i="1"/>
  <c r="D1176" i="1"/>
  <c r="C1176" i="1"/>
  <c r="B1176" i="1"/>
  <c r="D1175" i="1"/>
  <c r="C1175" i="1"/>
  <c r="B1175" i="1"/>
  <c r="D1174" i="1"/>
  <c r="C1174" i="1"/>
  <c r="B1174" i="1"/>
  <c r="D1173" i="1"/>
  <c r="C1173" i="1"/>
  <c r="B1173" i="1"/>
  <c r="D1172" i="1"/>
  <c r="C1172" i="1"/>
  <c r="B1172" i="1"/>
  <c r="D1171" i="1"/>
  <c r="C1171" i="1"/>
  <c r="B1171" i="1"/>
  <c r="D1170" i="1"/>
  <c r="C1170" i="1"/>
  <c r="B1170" i="1"/>
  <c r="D1169" i="1"/>
  <c r="C1169" i="1"/>
  <c r="B1169" i="1"/>
  <c r="D1168" i="1"/>
  <c r="C1168" i="1"/>
  <c r="B1168" i="1"/>
  <c r="D1167" i="1"/>
  <c r="C1167" i="1"/>
  <c r="B1167" i="1"/>
  <c r="D1166" i="1"/>
  <c r="C1166" i="1"/>
  <c r="B1166" i="1"/>
  <c r="D1165" i="1"/>
  <c r="C1165" i="1"/>
  <c r="B1165" i="1"/>
  <c r="D1164" i="1"/>
  <c r="C1164" i="1"/>
  <c r="B1164" i="1"/>
  <c r="D1163" i="1"/>
  <c r="C1163" i="1"/>
  <c r="B1163" i="1"/>
  <c r="C69" i="3"/>
  <c r="J69" i="3" s="1"/>
  <c r="K69" i="3" s="1"/>
  <c r="K61" i="2"/>
  <c r="C68" i="3"/>
  <c r="J68" i="3" s="1"/>
  <c r="K62" i="2"/>
  <c r="D1162" i="1"/>
  <c r="D1159" i="1"/>
  <c r="D1143" i="1"/>
  <c r="D1147" i="1"/>
  <c r="D1148" i="1"/>
  <c r="C64" i="3"/>
  <c r="J64" i="3" s="1"/>
  <c r="C65" i="3"/>
  <c r="J65" i="3" s="1"/>
  <c r="C66" i="3"/>
  <c r="J66" i="3" s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7" i="1"/>
  <c r="C1117" i="1"/>
  <c r="B1117" i="1"/>
  <c r="D1116" i="1"/>
  <c r="C1116" i="1"/>
  <c r="B1116" i="1"/>
  <c r="D1115" i="1"/>
  <c r="C1115" i="1"/>
  <c r="B1115" i="1"/>
  <c r="D1113" i="1"/>
  <c r="C1113" i="1"/>
  <c r="B1113" i="1"/>
  <c r="D1112" i="1"/>
  <c r="C1112" i="1"/>
  <c r="B1112" i="1"/>
  <c r="D1111" i="1"/>
  <c r="C1111" i="1"/>
  <c r="B1111" i="1"/>
  <c r="D1109" i="1"/>
  <c r="C1109" i="1"/>
  <c r="B1109" i="1"/>
  <c r="D1108" i="1"/>
  <c r="C1108" i="1"/>
  <c r="B1108" i="1"/>
  <c r="D1107" i="1"/>
  <c r="C1107" i="1"/>
  <c r="B1107" i="1"/>
  <c r="D1106" i="1"/>
  <c r="C1106" i="1"/>
  <c r="B1106" i="1"/>
  <c r="D1105" i="1"/>
  <c r="C1105" i="1"/>
  <c r="B1105" i="1"/>
  <c r="D1104" i="1"/>
  <c r="C1104" i="1"/>
  <c r="B1104" i="1"/>
  <c r="D1102" i="1"/>
  <c r="C1102" i="1"/>
  <c r="B1102" i="1"/>
  <c r="D1101" i="1"/>
  <c r="C1101" i="1"/>
  <c r="B1101" i="1"/>
  <c r="D1100" i="1"/>
  <c r="C1100" i="1"/>
  <c r="B1100" i="1"/>
  <c r="D1099" i="1"/>
  <c r="C1099" i="1"/>
  <c r="B1099" i="1"/>
  <c r="D1098" i="1"/>
  <c r="C1098" i="1"/>
  <c r="B1098" i="1"/>
  <c r="D1097" i="1"/>
  <c r="C1097" i="1"/>
  <c r="B1097" i="1"/>
  <c r="K57" i="2"/>
  <c r="G1176" i="1" s="1"/>
  <c r="K59" i="2"/>
  <c r="K58" i="2"/>
  <c r="G1191" i="1" s="1"/>
  <c r="C63" i="3"/>
  <c r="J63" i="3" s="1"/>
  <c r="K56" i="2"/>
  <c r="G1158" i="1" s="1"/>
  <c r="D1096" i="1"/>
  <c r="C1096" i="1"/>
  <c r="B1096" i="1"/>
  <c r="D1095" i="1"/>
  <c r="C1095" i="1"/>
  <c r="B1095" i="1"/>
  <c r="D1094" i="1"/>
  <c r="C1094" i="1"/>
  <c r="B1094" i="1"/>
  <c r="D1093" i="1"/>
  <c r="C1093" i="1"/>
  <c r="B1093" i="1"/>
  <c r="D1092" i="1"/>
  <c r="C1092" i="1"/>
  <c r="B1092" i="1"/>
  <c r="D1091" i="1"/>
  <c r="C1091" i="1"/>
  <c r="B1091" i="1"/>
  <c r="D1090" i="1"/>
  <c r="C1090" i="1"/>
  <c r="B1090" i="1"/>
  <c r="D1089" i="1"/>
  <c r="C1089" i="1"/>
  <c r="B1089" i="1"/>
  <c r="D1088" i="1"/>
  <c r="C1088" i="1"/>
  <c r="B1088" i="1"/>
  <c r="D1087" i="1"/>
  <c r="C1087" i="1"/>
  <c r="B1087" i="1"/>
  <c r="D1085" i="1"/>
  <c r="C1085" i="1"/>
  <c r="B1085" i="1"/>
  <c r="D1084" i="1"/>
  <c r="C1084" i="1"/>
  <c r="B1084" i="1"/>
  <c r="D1083" i="1"/>
  <c r="C1083" i="1"/>
  <c r="B1083" i="1"/>
  <c r="C62" i="3"/>
  <c r="J62" i="3" s="1"/>
  <c r="K55" i="2"/>
  <c r="G1131" i="1" s="1"/>
  <c r="D1081" i="1"/>
  <c r="C1081" i="1"/>
  <c r="B1081" i="1"/>
  <c r="D1077" i="1"/>
  <c r="C1077" i="1"/>
  <c r="B1077" i="1"/>
  <c r="D1076" i="1"/>
  <c r="C1076" i="1"/>
  <c r="B1076" i="1"/>
  <c r="D1074" i="1"/>
  <c r="C1074" i="1"/>
  <c r="B1074" i="1"/>
  <c r="D1073" i="1"/>
  <c r="C1073" i="1"/>
  <c r="B1073" i="1"/>
  <c r="D1072" i="1"/>
  <c r="C1072" i="1"/>
  <c r="B1072" i="1"/>
  <c r="D1071" i="1"/>
  <c r="C1071" i="1"/>
  <c r="B1071" i="1"/>
  <c r="D1070" i="1"/>
  <c r="C1070" i="1"/>
  <c r="B1070" i="1"/>
  <c r="D1068" i="1"/>
  <c r="C1068" i="1"/>
  <c r="B1068" i="1"/>
  <c r="D1067" i="1"/>
  <c r="C1067" i="1"/>
  <c r="B1067" i="1"/>
  <c r="D1066" i="1"/>
  <c r="C1066" i="1"/>
  <c r="B1066" i="1"/>
  <c r="D1065" i="1"/>
  <c r="C1065" i="1"/>
  <c r="B1065" i="1"/>
  <c r="D1064" i="1"/>
  <c r="C1064" i="1"/>
  <c r="B1064" i="1"/>
  <c r="D1063" i="1"/>
  <c r="C1063" i="1"/>
  <c r="B1063" i="1"/>
  <c r="D1062" i="1"/>
  <c r="C1062" i="1"/>
  <c r="B1062" i="1"/>
  <c r="D1060" i="1"/>
  <c r="C1060" i="1"/>
  <c r="B1060" i="1"/>
  <c r="D1059" i="1"/>
  <c r="C1059" i="1"/>
  <c r="B1059" i="1"/>
  <c r="D1058" i="1"/>
  <c r="C1058" i="1"/>
  <c r="B1058" i="1"/>
  <c r="D1057" i="1"/>
  <c r="C1057" i="1"/>
  <c r="B1057" i="1"/>
  <c r="D1056" i="1"/>
  <c r="C1056" i="1"/>
  <c r="B1056" i="1"/>
  <c r="D1055" i="1"/>
  <c r="C1055" i="1"/>
  <c r="B1055" i="1"/>
  <c r="D1053" i="1"/>
  <c r="C1053" i="1"/>
  <c r="B1053" i="1"/>
  <c r="D1052" i="1"/>
  <c r="C1052" i="1"/>
  <c r="B1052" i="1"/>
  <c r="D1051" i="1"/>
  <c r="C1051" i="1"/>
  <c r="B1051" i="1"/>
  <c r="D1049" i="1"/>
  <c r="D1231" i="1" s="1"/>
  <c r="C1049" i="1"/>
  <c r="D1048" i="1"/>
  <c r="C1048" i="1"/>
  <c r="B1048" i="1"/>
  <c r="D1047" i="1"/>
  <c r="B1047" i="1"/>
  <c r="D1044" i="1"/>
  <c r="C1044" i="1"/>
  <c r="D1041" i="1"/>
  <c r="C1041" i="1"/>
  <c r="D1037" i="1"/>
  <c r="C1037" i="1"/>
  <c r="B1037" i="1"/>
  <c r="D1035" i="1"/>
  <c r="C1035" i="1"/>
  <c r="B1035" i="1"/>
  <c r="D1034" i="1"/>
  <c r="C1034" i="1"/>
  <c r="B1034" i="1"/>
  <c r="D1033" i="1"/>
  <c r="C1033" i="1"/>
  <c r="D1032" i="1"/>
  <c r="C1032" i="1"/>
  <c r="D1031" i="1"/>
  <c r="C1031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B1033" i="1"/>
  <c r="B1032" i="1"/>
  <c r="B1031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C61" i="3"/>
  <c r="J61" i="3" s="1"/>
  <c r="K54" i="2"/>
  <c r="G1117" i="1" s="1"/>
  <c r="B1015" i="1"/>
  <c r="B1014" i="1"/>
  <c r="B1013" i="1"/>
  <c r="B1010" i="1"/>
  <c r="B1008" i="1"/>
  <c r="B1006" i="1"/>
  <c r="B1005" i="1"/>
  <c r="B1003" i="1"/>
  <c r="B1002" i="1"/>
  <c r="B1001" i="1"/>
  <c r="B1000" i="1"/>
  <c r="B999" i="1"/>
  <c r="C60" i="3"/>
  <c r="J60" i="3" s="1"/>
  <c r="C59" i="3"/>
  <c r="J59" i="3" s="1"/>
  <c r="C58" i="3"/>
  <c r="J58" i="3" s="1"/>
  <c r="C57" i="3"/>
  <c r="J57" i="3" s="1"/>
  <c r="C56" i="3"/>
  <c r="J56" i="3" s="1"/>
  <c r="C55" i="3"/>
  <c r="J55" i="3" s="1"/>
  <c r="C54" i="3"/>
  <c r="J54" i="3" s="1"/>
  <c r="K52" i="2"/>
  <c r="G1079" i="1" s="1"/>
  <c r="K48" i="2"/>
  <c r="G1011" i="1" s="1"/>
  <c r="K53" i="2"/>
  <c r="G1084" i="1" s="1"/>
  <c r="K49" i="2"/>
  <c r="G1023" i="1" s="1"/>
  <c r="K50" i="2"/>
  <c r="G1034" i="1" s="1"/>
  <c r="K51" i="2"/>
  <c r="G1060" i="1" s="1"/>
  <c r="K47" i="2"/>
  <c r="G1004" i="1" s="1"/>
  <c r="B994" i="1"/>
  <c r="B991" i="1"/>
  <c r="B977" i="1"/>
  <c r="B981" i="1"/>
  <c r="B984" i="1"/>
  <c r="B970" i="1"/>
  <c r="B1041" i="1" s="1"/>
  <c r="B986" i="1"/>
  <c r="B987" i="1"/>
  <c r="B969" i="1"/>
  <c r="B946" i="1"/>
  <c r="K2" i="2"/>
  <c r="K3" i="2"/>
  <c r="G27" i="1" s="1"/>
  <c r="K4" i="2"/>
  <c r="G51" i="1" s="1"/>
  <c r="K5" i="2"/>
  <c r="G63" i="1" s="1"/>
  <c r="K6" i="2"/>
  <c r="G75" i="1" s="1"/>
  <c r="K7" i="2"/>
  <c r="G236" i="1" s="1"/>
  <c r="K8" i="2"/>
  <c r="G87" i="1" s="1"/>
  <c r="K9" i="2"/>
  <c r="G116" i="1" s="1"/>
  <c r="K10" i="2"/>
  <c r="G171" i="1" s="1"/>
  <c r="K11" i="2"/>
  <c r="G183" i="1" s="1"/>
  <c r="K13" i="2"/>
  <c r="G272" i="1" s="1"/>
  <c r="K14" i="2"/>
  <c r="G411" i="1" s="1"/>
  <c r="K15" i="2"/>
  <c r="G308" i="1" s="1"/>
  <c r="K16" i="2"/>
  <c r="G327" i="1" s="1"/>
  <c r="K17" i="2"/>
  <c r="G315" i="1" s="1"/>
  <c r="K18" i="2"/>
  <c r="G447" i="1" s="1"/>
  <c r="K19" i="2"/>
  <c r="G507" i="1" s="1"/>
  <c r="K20" i="2"/>
  <c r="G452" i="1" s="1"/>
  <c r="K21" i="2"/>
  <c r="G519" i="1" s="1"/>
  <c r="K22" i="2"/>
  <c r="G536" i="1" s="1"/>
  <c r="K23" i="2"/>
  <c r="K24" i="2"/>
  <c r="G627" i="1" s="1"/>
  <c r="K25" i="2"/>
  <c r="G584" i="1" s="1"/>
  <c r="K26" i="2"/>
  <c r="G591" i="1" s="1"/>
  <c r="K27" i="2"/>
  <c r="G644" i="1" s="1"/>
  <c r="K28" i="2"/>
  <c r="G663" i="1" s="1"/>
  <c r="K29" i="2"/>
  <c r="K30" i="2"/>
  <c r="G711" i="1" s="1"/>
  <c r="K31" i="2"/>
  <c r="G735" i="1" s="1"/>
  <c r="K32" i="2"/>
  <c r="G680" i="1" s="1"/>
  <c r="K33" i="2"/>
  <c r="G747" i="1" s="1"/>
  <c r="K34" i="2"/>
  <c r="G788" i="1" s="1"/>
  <c r="K35" i="2"/>
  <c r="G771" i="1" s="1"/>
  <c r="K36" i="2"/>
  <c r="G807" i="1" s="1"/>
  <c r="K37" i="2"/>
  <c r="G824" i="1" s="1"/>
  <c r="K38" i="2"/>
  <c r="G843" i="1" s="1"/>
  <c r="K39" i="2"/>
  <c r="G896" i="1" s="1"/>
  <c r="K40" i="2"/>
  <c r="G867" i="1" s="1"/>
  <c r="K41" i="2"/>
  <c r="G924" i="1" s="1"/>
  <c r="K42" i="2"/>
  <c r="K43" i="2"/>
  <c r="G879" i="1" s="1"/>
  <c r="K44" i="2"/>
  <c r="G937" i="1" s="1"/>
  <c r="K45" i="2"/>
  <c r="G951" i="1" s="1"/>
  <c r="K46" i="2"/>
  <c r="G971" i="1" s="1"/>
  <c r="C53" i="3"/>
  <c r="J53" i="3" s="1"/>
  <c r="B944" i="1"/>
  <c r="B940" i="1"/>
  <c r="B939" i="1"/>
  <c r="B938" i="1"/>
  <c r="B937" i="1"/>
  <c r="B936" i="1"/>
  <c r="D935" i="1"/>
  <c r="C935" i="1"/>
  <c r="D934" i="1"/>
  <c r="C934" i="1"/>
  <c r="D933" i="1"/>
  <c r="C933" i="1"/>
  <c r="D932" i="1"/>
  <c r="C932" i="1"/>
  <c r="D931" i="1"/>
  <c r="C931" i="1"/>
  <c r="D929" i="1"/>
  <c r="C929" i="1"/>
  <c r="D928" i="1"/>
  <c r="C928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D930" i="1" s="1"/>
  <c r="C897" i="1"/>
  <c r="C930" i="1" s="1"/>
  <c r="D896" i="1"/>
  <c r="C896" i="1"/>
  <c r="D895" i="1"/>
  <c r="C895" i="1"/>
  <c r="C894" i="1"/>
  <c r="D894" i="1"/>
  <c r="B935" i="1"/>
  <c r="B933" i="1"/>
  <c r="B932" i="1"/>
  <c r="B928" i="1"/>
  <c r="B926" i="1"/>
  <c r="B925" i="1"/>
  <c r="B924" i="1"/>
  <c r="B923" i="1"/>
  <c r="B921" i="1"/>
  <c r="B919" i="1"/>
  <c r="B918" i="1"/>
  <c r="B917" i="1"/>
  <c r="B915" i="1"/>
  <c r="B931" i="1" s="1"/>
  <c r="B914" i="1"/>
  <c r="B913" i="1"/>
  <c r="B912" i="1"/>
  <c r="B911" i="1"/>
  <c r="B910" i="1"/>
  <c r="B934" i="1" s="1"/>
  <c r="B909" i="1"/>
  <c r="B929" i="1" s="1"/>
  <c r="B908" i="1"/>
  <c r="B907" i="1"/>
  <c r="B906" i="1"/>
  <c r="B905" i="1"/>
  <c r="B920" i="1" s="1"/>
  <c r="B904" i="1"/>
  <c r="B903" i="1"/>
  <c r="B902" i="1"/>
  <c r="B901" i="1"/>
  <c r="B900" i="1"/>
  <c r="B899" i="1"/>
  <c r="B898" i="1"/>
  <c r="B897" i="1"/>
  <c r="B930" i="1" s="1"/>
  <c r="B896" i="1"/>
  <c r="B895" i="1"/>
  <c r="B894" i="1"/>
  <c r="C52" i="3"/>
  <c r="J52" i="3" s="1"/>
  <c r="C51" i="3"/>
  <c r="J51" i="3" s="1"/>
  <c r="C50" i="3"/>
  <c r="J50" i="3" s="1"/>
  <c r="G1205" i="1" l="1"/>
  <c r="G1199" i="1"/>
  <c r="G1196" i="1"/>
  <c r="G1197" i="1"/>
  <c r="G1198" i="1"/>
  <c r="G1200" i="1"/>
  <c r="G1201" i="1"/>
  <c r="G1204" i="1"/>
  <c r="G1202" i="1"/>
  <c r="G1203" i="1"/>
  <c r="G1207" i="1"/>
  <c r="G1206" i="1"/>
  <c r="G1260" i="1"/>
  <c r="G1245" i="1"/>
  <c r="G1261" i="1"/>
  <c r="G1246" i="1"/>
  <c r="G1262" i="1"/>
  <c r="G1247" i="1"/>
  <c r="G1263" i="1"/>
  <c r="G1248" i="1"/>
  <c r="G1264" i="1"/>
  <c r="G1249" i="1"/>
  <c r="G1265" i="1"/>
  <c r="G1258" i="1"/>
  <c r="G1250" i="1"/>
  <c r="G1266" i="1"/>
  <c r="G1251" i="1"/>
  <c r="G1267" i="1"/>
  <c r="G1252" i="1"/>
  <c r="G1268" i="1"/>
  <c r="G1253" i="1"/>
  <c r="G1254" i="1"/>
  <c r="G1255" i="1"/>
  <c r="G1257" i="1"/>
  <c r="G1256" i="1"/>
  <c r="G1259" i="1"/>
  <c r="G1227" i="1"/>
  <c r="G1243" i="1"/>
  <c r="G1244" i="1"/>
  <c r="G1228" i="1"/>
  <c r="G1229" i="1"/>
  <c r="G1223" i="1"/>
  <c r="G1230" i="1"/>
  <c r="G1231" i="1"/>
  <c r="G1225" i="1"/>
  <c r="G1232" i="1"/>
  <c r="G1233" i="1"/>
  <c r="G1234" i="1"/>
  <c r="G1235" i="1"/>
  <c r="G1241" i="1"/>
  <c r="G1236" i="1"/>
  <c r="G1237" i="1"/>
  <c r="G1240" i="1"/>
  <c r="G1238" i="1"/>
  <c r="G1239" i="1"/>
  <c r="G1224" i="1"/>
  <c r="G1226" i="1"/>
  <c r="G1242" i="1"/>
  <c r="C1114" i="1"/>
  <c r="C1203" i="1"/>
  <c r="B922" i="1"/>
  <c r="B1203" i="1"/>
  <c r="D1114" i="1"/>
  <c r="D1203" i="1"/>
  <c r="K68" i="3"/>
  <c r="G1173" i="1"/>
  <c r="G1166" i="1"/>
  <c r="G1164" i="1"/>
  <c r="G1177" i="1"/>
  <c r="G1175" i="1"/>
  <c r="G1174" i="1"/>
  <c r="G1163" i="1"/>
  <c r="G1181" i="1"/>
  <c r="G1180" i="1"/>
  <c r="G1190" i="1"/>
  <c r="G1172" i="1"/>
  <c r="G1189" i="1"/>
  <c r="G1171" i="1"/>
  <c r="G1188" i="1"/>
  <c r="G1170" i="1"/>
  <c r="G1187" i="1"/>
  <c r="G1169" i="1"/>
  <c r="G1186" i="1"/>
  <c r="G1168" i="1"/>
  <c r="G1185" i="1"/>
  <c r="G1167" i="1"/>
  <c r="G1184" i="1"/>
  <c r="G1183" i="1"/>
  <c r="G1165" i="1"/>
  <c r="G1182" i="1"/>
  <c r="B1189" i="1"/>
  <c r="G1178" i="1"/>
  <c r="G1195" i="1"/>
  <c r="G1179" i="1"/>
  <c r="C1189" i="1"/>
  <c r="G1194" i="1"/>
  <c r="D1189" i="1"/>
  <c r="G1193" i="1"/>
  <c r="G1192" i="1"/>
  <c r="G1146" i="1"/>
  <c r="G1160" i="1"/>
  <c r="G1161" i="1"/>
  <c r="G1162" i="1"/>
  <c r="G1157" i="1"/>
  <c r="G1156" i="1"/>
  <c r="G1155" i="1"/>
  <c r="G1151" i="1"/>
  <c r="G1148" i="1"/>
  <c r="G1143" i="1"/>
  <c r="G1154" i="1"/>
  <c r="G1153" i="1"/>
  <c r="G1152" i="1"/>
  <c r="G1141" i="1"/>
  <c r="G1150" i="1"/>
  <c r="G1149" i="1"/>
  <c r="G1147" i="1"/>
  <c r="G1145" i="1"/>
  <c r="G1144" i="1"/>
  <c r="G1159" i="1"/>
  <c r="G1142" i="1"/>
  <c r="D1152" i="1"/>
  <c r="B1152" i="1"/>
  <c r="D1142" i="1"/>
  <c r="C1142" i="1"/>
  <c r="B1142" i="1"/>
  <c r="D1156" i="1"/>
  <c r="C1156" i="1"/>
  <c r="B1156" i="1"/>
  <c r="D1150" i="1"/>
  <c r="C1150" i="1"/>
  <c r="B1150" i="1"/>
  <c r="C1149" i="1"/>
  <c r="B1149" i="1"/>
  <c r="D1149" i="1"/>
  <c r="B1143" i="1"/>
  <c r="C1152" i="1"/>
  <c r="C1143" i="1"/>
  <c r="B1147" i="1"/>
  <c r="C1147" i="1"/>
  <c r="C1159" i="1"/>
  <c r="C1148" i="1"/>
  <c r="B1162" i="1"/>
  <c r="C1162" i="1"/>
  <c r="D1144" i="1"/>
  <c r="B1144" i="1"/>
  <c r="C1144" i="1"/>
  <c r="B1157" i="1"/>
  <c r="C1157" i="1"/>
  <c r="D1157" i="1"/>
  <c r="B1153" i="1"/>
  <c r="C1153" i="1"/>
  <c r="D1153" i="1"/>
  <c r="C1141" i="1"/>
  <c r="D1141" i="1"/>
  <c r="B1141" i="1"/>
  <c r="K63" i="3"/>
  <c r="K66" i="3"/>
  <c r="G1103" i="1"/>
  <c r="G1110" i="1"/>
  <c r="G1118" i="1"/>
  <c r="G1130" i="1"/>
  <c r="G1129" i="1"/>
  <c r="G1104" i="1"/>
  <c r="G1111" i="1"/>
  <c r="G1128" i="1"/>
  <c r="G1127" i="1"/>
  <c r="G1097" i="1"/>
  <c r="G1105" i="1"/>
  <c r="G1112" i="1"/>
  <c r="G1126" i="1"/>
  <c r="G1125" i="1"/>
  <c r="G1098" i="1"/>
  <c r="G1113" i="1"/>
  <c r="G1140" i="1"/>
  <c r="G1124" i="1"/>
  <c r="G1139" i="1"/>
  <c r="G1123" i="1"/>
  <c r="G1099" i="1"/>
  <c r="G1106" i="1"/>
  <c r="G1114" i="1"/>
  <c r="G1138" i="1"/>
  <c r="G1122" i="1"/>
  <c r="G1137" i="1"/>
  <c r="G1121" i="1"/>
  <c r="G1100" i="1"/>
  <c r="G1107" i="1"/>
  <c r="G1115" i="1"/>
  <c r="G1136" i="1"/>
  <c r="G1120" i="1"/>
  <c r="G1135" i="1"/>
  <c r="G1119" i="1"/>
  <c r="G1101" i="1"/>
  <c r="G1108" i="1"/>
  <c r="G1116" i="1"/>
  <c r="G1134" i="1"/>
  <c r="G1133" i="1"/>
  <c r="K65" i="3"/>
  <c r="G1102" i="1"/>
  <c r="G1109" i="1"/>
  <c r="G1132" i="1"/>
  <c r="K64" i="3"/>
  <c r="B1114" i="1"/>
  <c r="K51" i="3"/>
  <c r="G1089" i="1"/>
  <c r="K62" i="3"/>
  <c r="G1093" i="1"/>
  <c r="G1083" i="1"/>
  <c r="G1096" i="1"/>
  <c r="G1095" i="1"/>
  <c r="G1094" i="1"/>
  <c r="G1092" i="1"/>
  <c r="G1091" i="1"/>
  <c r="G1090" i="1"/>
  <c r="G1088" i="1"/>
  <c r="G1087" i="1"/>
  <c r="G1086" i="1"/>
  <c r="G1085" i="1"/>
  <c r="G1072" i="1"/>
  <c r="G1065" i="1"/>
  <c r="G1074" i="1"/>
  <c r="G1063" i="1"/>
  <c r="K61" i="3"/>
  <c r="G1059" i="1"/>
  <c r="G1078" i="1"/>
  <c r="G1058" i="1"/>
  <c r="G1080" i="1"/>
  <c r="G1057" i="1"/>
  <c r="G1081" i="1"/>
  <c r="K55" i="3"/>
  <c r="G1007" i="1"/>
  <c r="G1056" i="1"/>
  <c r="G1082" i="1"/>
  <c r="G1008" i="1"/>
  <c r="G1055" i="1"/>
  <c r="G1009" i="1"/>
  <c r="G1054" i="1"/>
  <c r="G1053" i="1"/>
  <c r="G1068" i="1"/>
  <c r="G1052" i="1"/>
  <c r="G1069" i="1"/>
  <c r="G1067" i="1"/>
  <c r="G1051" i="1"/>
  <c r="G1070" i="1"/>
  <c r="K60" i="3"/>
  <c r="G1066" i="1"/>
  <c r="G1071" i="1"/>
  <c r="G1064" i="1"/>
  <c r="G1073" i="1"/>
  <c r="G1062" i="1"/>
  <c r="G1075" i="1"/>
  <c r="G1061" i="1"/>
  <c r="G1076" i="1"/>
  <c r="G1042" i="1"/>
  <c r="G1077" i="1"/>
  <c r="K53" i="3"/>
  <c r="G1022" i="1"/>
  <c r="G1045" i="1"/>
  <c r="K59" i="3"/>
  <c r="G1033" i="1"/>
  <c r="G1021" i="1"/>
  <c r="G1044" i="1"/>
  <c r="G1032" i="1"/>
  <c r="G1020" i="1"/>
  <c r="G1043" i="1"/>
  <c r="G1031" i="1"/>
  <c r="G1019" i="1"/>
  <c r="G1030" i="1"/>
  <c r="G1018" i="1"/>
  <c r="G1041" i="1"/>
  <c r="G1029" i="1"/>
  <c r="G1017" i="1"/>
  <c r="G1040" i="1"/>
  <c r="G1028" i="1"/>
  <c r="G1050" i="1"/>
  <c r="G1039" i="1"/>
  <c r="G1027" i="1"/>
  <c r="G1049" i="1"/>
  <c r="G1038" i="1"/>
  <c r="G1026" i="1"/>
  <c r="G1048" i="1"/>
  <c r="G1037" i="1"/>
  <c r="G1025" i="1"/>
  <c r="G1047" i="1"/>
  <c r="G1036" i="1"/>
  <c r="G1024" i="1"/>
  <c r="G1035" i="1"/>
  <c r="G1046" i="1"/>
  <c r="K54" i="3"/>
  <c r="K58" i="3"/>
  <c r="G1014" i="1"/>
  <c r="G998" i="1"/>
  <c r="K57" i="3"/>
  <c r="G1005" i="1"/>
  <c r="G1012" i="1"/>
  <c r="G1013" i="1"/>
  <c r="G1015" i="1"/>
  <c r="G1016" i="1"/>
  <c r="G999" i="1"/>
  <c r="G1006" i="1"/>
  <c r="K56" i="3"/>
  <c r="G1000" i="1"/>
  <c r="K52" i="3"/>
  <c r="G1001" i="1"/>
  <c r="K50" i="3"/>
  <c r="G1002" i="1"/>
  <c r="G1003" i="1"/>
  <c r="G1010" i="1"/>
  <c r="G982" i="1"/>
  <c r="G915" i="1"/>
  <c r="G996" i="1"/>
  <c r="G945" i="1"/>
  <c r="G939" i="1"/>
  <c r="G687" i="1"/>
  <c r="G255" i="1"/>
  <c r="G291" i="1"/>
  <c r="G981" i="1"/>
  <c r="G944" i="1"/>
  <c r="G675" i="1"/>
  <c r="G279" i="1"/>
  <c r="G980" i="1"/>
  <c r="G943" i="1"/>
  <c r="G651" i="1"/>
  <c r="G267" i="1"/>
  <c r="G994" i="1"/>
  <c r="G977" i="1"/>
  <c r="G938" i="1"/>
  <c r="G555" i="1"/>
  <c r="G243" i="1"/>
  <c r="G579" i="1"/>
  <c r="G993" i="1"/>
  <c r="G975" i="1"/>
  <c r="G936" i="1"/>
  <c r="G543" i="1"/>
  <c r="G123" i="1"/>
  <c r="G974" i="1"/>
  <c r="G531" i="1"/>
  <c r="G111" i="1"/>
  <c r="G991" i="1"/>
  <c r="G972" i="1"/>
  <c r="G912" i="1"/>
  <c r="G495" i="1"/>
  <c r="G15" i="1"/>
  <c r="G979" i="1"/>
  <c r="G992" i="1"/>
  <c r="G989" i="1"/>
  <c r="G970" i="1"/>
  <c r="G903" i="1"/>
  <c r="G483" i="1"/>
  <c r="G3" i="1"/>
  <c r="G987" i="1"/>
  <c r="G969" i="1"/>
  <c r="G900" i="1"/>
  <c r="G471" i="1"/>
  <c r="G986" i="1"/>
  <c r="G968" i="1"/>
  <c r="G795" i="1"/>
  <c r="G459" i="1"/>
  <c r="G984" i="1"/>
  <c r="G967" i="1"/>
  <c r="G783" i="1"/>
  <c r="G303" i="1"/>
  <c r="G962" i="1"/>
  <c r="G375" i="1"/>
  <c r="G231" i="1"/>
  <c r="G960" i="1"/>
  <c r="G363" i="1"/>
  <c r="G219" i="1"/>
  <c r="G956" i="1"/>
  <c r="G639" i="1"/>
  <c r="G351" i="1"/>
  <c r="G207" i="1"/>
  <c r="G339" i="1"/>
  <c r="G195" i="1"/>
  <c r="G957" i="1"/>
  <c r="G946" i="1"/>
  <c r="G958" i="1"/>
  <c r="G947" i="1"/>
  <c r="G959" i="1"/>
  <c r="G949" i="1"/>
  <c r="G961" i="1"/>
  <c r="G950" i="1"/>
  <c r="G952" i="1"/>
  <c r="G964" i="1"/>
  <c r="G953" i="1"/>
  <c r="G965" i="1"/>
  <c r="G954" i="1"/>
  <c r="G966" i="1"/>
  <c r="G955" i="1"/>
  <c r="G948" i="1"/>
  <c r="G759" i="1"/>
  <c r="G615" i="1"/>
  <c r="G39" i="1"/>
  <c r="G891" i="1"/>
  <c r="G603" i="1"/>
  <c r="G812" i="1"/>
  <c r="G813" i="1"/>
  <c r="G814" i="1"/>
  <c r="G803" i="1"/>
  <c r="G815" i="1"/>
  <c r="G804" i="1"/>
  <c r="G816" i="1"/>
  <c r="G805" i="1"/>
  <c r="G817" i="1"/>
  <c r="G806" i="1"/>
  <c r="G818" i="1"/>
  <c r="G808" i="1"/>
  <c r="G809" i="1"/>
  <c r="G810" i="1"/>
  <c r="G811" i="1"/>
  <c r="G188" i="1"/>
  <c r="G200" i="1"/>
  <c r="G212" i="1"/>
  <c r="G224" i="1"/>
  <c r="G189" i="1"/>
  <c r="G201" i="1"/>
  <c r="G213" i="1"/>
  <c r="G225" i="1"/>
  <c r="G190" i="1"/>
  <c r="G202" i="1"/>
  <c r="G214" i="1"/>
  <c r="G226" i="1"/>
  <c r="G191" i="1"/>
  <c r="G203" i="1"/>
  <c r="G215" i="1"/>
  <c r="G227" i="1"/>
  <c r="G180" i="1"/>
  <c r="G192" i="1"/>
  <c r="G204" i="1"/>
  <c r="G216" i="1"/>
  <c r="G228" i="1"/>
  <c r="G181" i="1"/>
  <c r="G193" i="1"/>
  <c r="G205" i="1"/>
  <c r="G217" i="1"/>
  <c r="G229" i="1"/>
  <c r="G182" i="1"/>
  <c r="G194" i="1"/>
  <c r="G206" i="1"/>
  <c r="G218" i="1"/>
  <c r="G230" i="1"/>
  <c r="G184" i="1"/>
  <c r="G196" i="1"/>
  <c r="G208" i="1"/>
  <c r="G220" i="1"/>
  <c r="G232" i="1"/>
  <c r="G185" i="1"/>
  <c r="G197" i="1"/>
  <c r="G209" i="1"/>
  <c r="G221" i="1"/>
  <c r="G233" i="1"/>
  <c r="G186" i="1"/>
  <c r="G198" i="1"/>
  <c r="G210" i="1"/>
  <c r="G222" i="1"/>
  <c r="G234" i="1"/>
  <c r="G187" i="1"/>
  <c r="G199" i="1"/>
  <c r="G211" i="1"/>
  <c r="G223" i="1"/>
  <c r="G235" i="1"/>
  <c r="G764" i="1"/>
  <c r="G776" i="1"/>
  <c r="G765" i="1"/>
  <c r="G777" i="1"/>
  <c r="G766" i="1"/>
  <c r="G778" i="1"/>
  <c r="G767" i="1"/>
  <c r="G779" i="1"/>
  <c r="G768" i="1"/>
  <c r="G769" i="1"/>
  <c r="G770" i="1"/>
  <c r="G772" i="1"/>
  <c r="G761" i="1"/>
  <c r="G773" i="1"/>
  <c r="G762" i="1"/>
  <c r="G774" i="1"/>
  <c r="G763" i="1"/>
  <c r="G775" i="1"/>
  <c r="G572" i="1"/>
  <c r="G573" i="1"/>
  <c r="G574" i="1"/>
  <c r="G564" i="1"/>
  <c r="G565" i="1"/>
  <c r="G566" i="1"/>
  <c r="G568" i="1"/>
  <c r="G569" i="1"/>
  <c r="G570" i="1"/>
  <c r="G571" i="1"/>
  <c r="G140" i="1"/>
  <c r="G152" i="1"/>
  <c r="G164" i="1"/>
  <c r="G176" i="1"/>
  <c r="G141" i="1"/>
  <c r="G153" i="1"/>
  <c r="G165" i="1"/>
  <c r="G177" i="1"/>
  <c r="G142" i="1"/>
  <c r="G154" i="1"/>
  <c r="G166" i="1"/>
  <c r="G178" i="1"/>
  <c r="G143" i="1"/>
  <c r="G155" i="1"/>
  <c r="G167" i="1"/>
  <c r="G179" i="1"/>
  <c r="G144" i="1"/>
  <c r="G156" i="1"/>
  <c r="G168" i="1"/>
  <c r="G145" i="1"/>
  <c r="G157" i="1"/>
  <c r="G169" i="1"/>
  <c r="G146" i="1"/>
  <c r="G158" i="1"/>
  <c r="G170" i="1"/>
  <c r="G136" i="1"/>
  <c r="G148" i="1"/>
  <c r="G160" i="1"/>
  <c r="G172" i="1"/>
  <c r="G137" i="1"/>
  <c r="G149" i="1"/>
  <c r="G161" i="1"/>
  <c r="G173" i="1"/>
  <c r="G138" i="1"/>
  <c r="G150" i="1"/>
  <c r="G162" i="1"/>
  <c r="G174" i="1"/>
  <c r="G139" i="1"/>
  <c r="G151" i="1"/>
  <c r="G163" i="1"/>
  <c r="G175" i="1"/>
  <c r="G92" i="1"/>
  <c r="G104" i="1"/>
  <c r="G93" i="1"/>
  <c r="G105" i="1"/>
  <c r="G94" i="1"/>
  <c r="G106" i="1"/>
  <c r="G95" i="1"/>
  <c r="G107" i="1"/>
  <c r="G96" i="1"/>
  <c r="G97" i="1"/>
  <c r="G86" i="1"/>
  <c r="G98" i="1"/>
  <c r="G88" i="1"/>
  <c r="G100" i="1"/>
  <c r="G89" i="1"/>
  <c r="G101" i="1"/>
  <c r="G90" i="1"/>
  <c r="G102" i="1"/>
  <c r="G91" i="1"/>
  <c r="G103" i="1"/>
  <c r="G159" i="1"/>
  <c r="G752" i="1"/>
  <c r="G753" i="1"/>
  <c r="G754" i="1"/>
  <c r="G755" i="1"/>
  <c r="G756" i="1"/>
  <c r="G757" i="1"/>
  <c r="G758" i="1"/>
  <c r="G748" i="1"/>
  <c r="G760" i="1"/>
  <c r="G749" i="1"/>
  <c r="G750" i="1"/>
  <c r="G751" i="1"/>
  <c r="G512" i="1"/>
  <c r="G513" i="1"/>
  <c r="G514" i="1"/>
  <c r="G515" i="1"/>
  <c r="G516" i="1"/>
  <c r="G517" i="1"/>
  <c r="G508" i="1"/>
  <c r="G509" i="1"/>
  <c r="G510" i="1"/>
  <c r="G511" i="1"/>
  <c r="G874" i="1"/>
  <c r="G875" i="1"/>
  <c r="G876" i="1"/>
  <c r="G877" i="1"/>
  <c r="G428" i="1"/>
  <c r="G440" i="1"/>
  <c r="G429" i="1"/>
  <c r="G441" i="1"/>
  <c r="G430" i="1"/>
  <c r="G442" i="1"/>
  <c r="G431" i="1"/>
  <c r="G443" i="1"/>
  <c r="G432" i="1"/>
  <c r="G444" i="1"/>
  <c r="G433" i="1"/>
  <c r="G445" i="1"/>
  <c r="G434" i="1"/>
  <c r="G446" i="1"/>
  <c r="G436" i="1"/>
  <c r="G448" i="1"/>
  <c r="G437" i="1"/>
  <c r="G449" i="1"/>
  <c r="G426" i="1"/>
  <c r="G438" i="1"/>
  <c r="G450" i="1"/>
  <c r="G427" i="1"/>
  <c r="G439" i="1"/>
  <c r="G451" i="1"/>
  <c r="G68" i="1"/>
  <c r="G69" i="1"/>
  <c r="G70" i="1"/>
  <c r="G71" i="1"/>
  <c r="G60" i="1"/>
  <c r="G72" i="1"/>
  <c r="G61" i="1"/>
  <c r="G62" i="1"/>
  <c r="G64" i="1"/>
  <c r="G65" i="1"/>
  <c r="G66" i="1"/>
  <c r="G67" i="1"/>
  <c r="G920" i="1"/>
  <c r="G932" i="1"/>
  <c r="G921" i="1"/>
  <c r="G933" i="1"/>
  <c r="G922" i="1"/>
  <c r="G934" i="1"/>
  <c r="G923" i="1"/>
  <c r="G935" i="1"/>
  <c r="G925" i="1"/>
  <c r="G926" i="1"/>
  <c r="G916" i="1"/>
  <c r="G928" i="1"/>
  <c r="G917" i="1"/>
  <c r="G929" i="1"/>
  <c r="G918" i="1"/>
  <c r="G930" i="1"/>
  <c r="G919" i="1"/>
  <c r="G931" i="1"/>
  <c r="G692" i="1"/>
  <c r="G693" i="1"/>
  <c r="G694" i="1"/>
  <c r="G695" i="1"/>
  <c r="G696" i="1"/>
  <c r="G697" i="1"/>
  <c r="G698" i="1"/>
  <c r="G688" i="1"/>
  <c r="G700" i="1"/>
  <c r="G689" i="1"/>
  <c r="G701" i="1"/>
  <c r="G690" i="1"/>
  <c r="G691" i="1"/>
  <c r="G320" i="1"/>
  <c r="G321" i="1"/>
  <c r="G310" i="1"/>
  <c r="G311" i="1"/>
  <c r="G312" i="1"/>
  <c r="G313" i="1"/>
  <c r="G314" i="1"/>
  <c r="G316" i="1"/>
  <c r="G317" i="1"/>
  <c r="G318" i="1"/>
  <c r="G319" i="1"/>
  <c r="G44" i="1"/>
  <c r="G56" i="1"/>
  <c r="G45" i="1"/>
  <c r="G57" i="1"/>
  <c r="G46" i="1"/>
  <c r="G58" i="1"/>
  <c r="G47" i="1"/>
  <c r="G59" i="1"/>
  <c r="G48" i="1"/>
  <c r="G49" i="1"/>
  <c r="G50" i="1"/>
  <c r="G52" i="1"/>
  <c r="G41" i="1"/>
  <c r="G53" i="1"/>
  <c r="G42" i="1"/>
  <c r="G54" i="1"/>
  <c r="G43" i="1"/>
  <c r="G55" i="1"/>
  <c r="G723" i="1"/>
  <c r="G435" i="1"/>
  <c r="G147" i="1"/>
  <c r="G728" i="1"/>
  <c r="G740" i="1"/>
  <c r="G729" i="1"/>
  <c r="G741" i="1"/>
  <c r="G730" i="1"/>
  <c r="G742" i="1"/>
  <c r="G731" i="1"/>
  <c r="G743" i="1"/>
  <c r="G732" i="1"/>
  <c r="G744" i="1"/>
  <c r="G733" i="1"/>
  <c r="G745" i="1"/>
  <c r="G734" i="1"/>
  <c r="G746" i="1"/>
  <c r="G736" i="1"/>
  <c r="G725" i="1"/>
  <c r="G737" i="1"/>
  <c r="G726" i="1"/>
  <c r="G738" i="1"/>
  <c r="G727" i="1"/>
  <c r="G739" i="1"/>
  <c r="G855" i="1"/>
  <c r="G567" i="1"/>
  <c r="G423" i="1"/>
  <c r="G135" i="1"/>
  <c r="G620" i="1"/>
  <c r="G632" i="1"/>
  <c r="G621" i="1"/>
  <c r="G633" i="1"/>
  <c r="G622" i="1"/>
  <c r="G634" i="1"/>
  <c r="G623" i="1"/>
  <c r="G635" i="1"/>
  <c r="G624" i="1"/>
  <c r="G636" i="1"/>
  <c r="G625" i="1"/>
  <c r="G637" i="1"/>
  <c r="G626" i="1"/>
  <c r="G638" i="1"/>
  <c r="G628" i="1"/>
  <c r="G640" i="1"/>
  <c r="G629" i="1"/>
  <c r="G641" i="1"/>
  <c r="G630" i="1"/>
  <c r="G642" i="1"/>
  <c r="G631" i="1"/>
  <c r="G643" i="1"/>
  <c r="G524" i="1"/>
  <c r="G525" i="1"/>
  <c r="G526" i="1"/>
  <c r="G527" i="1"/>
  <c r="G528" i="1"/>
  <c r="G518" i="1"/>
  <c r="G520" i="1"/>
  <c r="G521" i="1"/>
  <c r="G522" i="1"/>
  <c r="G523" i="1"/>
  <c r="G704" i="1"/>
  <c r="G716" i="1"/>
  <c r="G705" i="1"/>
  <c r="G717" i="1"/>
  <c r="G706" i="1"/>
  <c r="G718" i="1"/>
  <c r="G707" i="1"/>
  <c r="G719" i="1"/>
  <c r="G708" i="1"/>
  <c r="G720" i="1"/>
  <c r="G709" i="1"/>
  <c r="G721" i="1"/>
  <c r="G710" i="1"/>
  <c r="G722" i="1"/>
  <c r="G712" i="1"/>
  <c r="G724" i="1"/>
  <c r="G713" i="1"/>
  <c r="G702" i="1"/>
  <c r="G714" i="1"/>
  <c r="G703" i="1"/>
  <c r="G715" i="1"/>
  <c r="G699" i="1"/>
  <c r="G884" i="1"/>
  <c r="G885" i="1"/>
  <c r="G886" i="1"/>
  <c r="G887" i="1"/>
  <c r="G888" i="1"/>
  <c r="G889" i="1"/>
  <c r="G878" i="1"/>
  <c r="G890" i="1"/>
  <c r="G880" i="1"/>
  <c r="G892" i="1"/>
  <c r="G881" i="1"/>
  <c r="G893" i="1"/>
  <c r="G882" i="1"/>
  <c r="G883" i="1"/>
  <c r="G80" i="1"/>
  <c r="G81" i="1"/>
  <c r="G82" i="1"/>
  <c r="G83" i="1"/>
  <c r="G84" i="1"/>
  <c r="G73" i="1"/>
  <c r="G85" i="1"/>
  <c r="G74" i="1"/>
  <c r="G76" i="1"/>
  <c r="G77" i="1"/>
  <c r="G78" i="1"/>
  <c r="G79" i="1"/>
  <c r="G860" i="1"/>
  <c r="G872" i="1"/>
  <c r="G861" i="1"/>
  <c r="G873" i="1"/>
  <c r="G862" i="1"/>
  <c r="G863" i="1"/>
  <c r="G864" i="1"/>
  <c r="G865" i="1"/>
  <c r="G866" i="1"/>
  <c r="G856" i="1"/>
  <c r="G868" i="1"/>
  <c r="G857" i="1"/>
  <c r="G869" i="1"/>
  <c r="G858" i="1"/>
  <c r="G870" i="1"/>
  <c r="G859" i="1"/>
  <c r="G871" i="1"/>
  <c r="G668" i="1"/>
  <c r="G669" i="1"/>
  <c r="G670" i="1"/>
  <c r="G659" i="1"/>
  <c r="G671" i="1"/>
  <c r="G660" i="1"/>
  <c r="G672" i="1"/>
  <c r="G661" i="1"/>
  <c r="G673" i="1"/>
  <c r="G662" i="1"/>
  <c r="G674" i="1"/>
  <c r="G664" i="1"/>
  <c r="G665" i="1"/>
  <c r="G666" i="1"/>
  <c r="G667" i="1"/>
  <c r="G332" i="1"/>
  <c r="G344" i="1"/>
  <c r="G356" i="1"/>
  <c r="G368" i="1"/>
  <c r="G333" i="1"/>
  <c r="G345" i="1"/>
  <c r="G357" i="1"/>
  <c r="G369" i="1"/>
  <c r="G322" i="1"/>
  <c r="G334" i="1"/>
  <c r="G346" i="1"/>
  <c r="G358" i="1"/>
  <c r="G370" i="1"/>
  <c r="G323" i="1"/>
  <c r="G335" i="1"/>
  <c r="G347" i="1"/>
  <c r="G359" i="1"/>
  <c r="G371" i="1"/>
  <c r="G324" i="1"/>
  <c r="G336" i="1"/>
  <c r="G348" i="1"/>
  <c r="G360" i="1"/>
  <c r="G372" i="1"/>
  <c r="G325" i="1"/>
  <c r="G337" i="1"/>
  <c r="G349" i="1"/>
  <c r="G361" i="1"/>
  <c r="G373" i="1"/>
  <c r="G326" i="1"/>
  <c r="G338" i="1"/>
  <c r="G350" i="1"/>
  <c r="G362" i="1"/>
  <c r="G374" i="1"/>
  <c r="G328" i="1"/>
  <c r="G340" i="1"/>
  <c r="G352" i="1"/>
  <c r="G364" i="1"/>
  <c r="G376" i="1"/>
  <c r="G329" i="1"/>
  <c r="G341" i="1"/>
  <c r="G353" i="1"/>
  <c r="G365" i="1"/>
  <c r="G330" i="1"/>
  <c r="G342" i="1"/>
  <c r="G354" i="1"/>
  <c r="G366" i="1"/>
  <c r="G331" i="1"/>
  <c r="G343" i="1"/>
  <c r="G355" i="1"/>
  <c r="G367" i="1"/>
  <c r="G20" i="1"/>
  <c r="G32" i="1"/>
  <c r="G21" i="1"/>
  <c r="G33" i="1"/>
  <c r="G22" i="1"/>
  <c r="G34" i="1"/>
  <c r="G23" i="1"/>
  <c r="G35" i="1"/>
  <c r="G24" i="1"/>
  <c r="G36" i="1"/>
  <c r="G25" i="1"/>
  <c r="G37" i="1"/>
  <c r="G26" i="1"/>
  <c r="G38" i="1"/>
  <c r="G28" i="1"/>
  <c r="G40" i="1"/>
  <c r="G29" i="1"/>
  <c r="G30" i="1"/>
  <c r="G19" i="1"/>
  <c r="G31" i="1"/>
  <c r="G836" i="1"/>
  <c r="G848" i="1"/>
  <c r="G837" i="1"/>
  <c r="G849" i="1"/>
  <c r="G838" i="1"/>
  <c r="G850" i="1"/>
  <c r="G839" i="1"/>
  <c r="G851" i="1"/>
  <c r="G840" i="1"/>
  <c r="G852" i="1"/>
  <c r="G841" i="1"/>
  <c r="G853" i="1"/>
  <c r="G842" i="1"/>
  <c r="G854" i="1"/>
  <c r="G832" i="1"/>
  <c r="G844" i="1"/>
  <c r="G833" i="1"/>
  <c r="G845" i="1"/>
  <c r="G834" i="1"/>
  <c r="G846" i="1"/>
  <c r="G835" i="1"/>
  <c r="G847" i="1"/>
  <c r="G596" i="1"/>
  <c r="G608" i="1"/>
  <c r="G597" i="1"/>
  <c r="G609" i="1"/>
  <c r="G586" i="1"/>
  <c r="G598" i="1"/>
  <c r="G610" i="1"/>
  <c r="G587" i="1"/>
  <c r="G599" i="1"/>
  <c r="G611" i="1"/>
  <c r="G588" i="1"/>
  <c r="G600" i="1"/>
  <c r="G612" i="1"/>
  <c r="G589" i="1"/>
  <c r="G601" i="1"/>
  <c r="G613" i="1"/>
  <c r="G590" i="1"/>
  <c r="G602" i="1"/>
  <c r="G614" i="1"/>
  <c r="G592" i="1"/>
  <c r="G604" i="1"/>
  <c r="G616" i="1"/>
  <c r="G593" i="1"/>
  <c r="G605" i="1"/>
  <c r="G617" i="1"/>
  <c r="G594" i="1"/>
  <c r="G606" i="1"/>
  <c r="G618" i="1"/>
  <c r="G595" i="1"/>
  <c r="G607" i="1"/>
  <c r="G619" i="1"/>
  <c r="G380" i="1"/>
  <c r="G392" i="1"/>
  <c r="G404" i="1"/>
  <c r="G416" i="1"/>
  <c r="G381" i="1"/>
  <c r="G393" i="1"/>
  <c r="G405" i="1"/>
  <c r="G417" i="1"/>
  <c r="G382" i="1"/>
  <c r="G394" i="1"/>
  <c r="G406" i="1"/>
  <c r="G418" i="1"/>
  <c r="G383" i="1"/>
  <c r="G395" i="1"/>
  <c r="G407" i="1"/>
  <c r="G419" i="1"/>
  <c r="G384" i="1"/>
  <c r="G396" i="1"/>
  <c r="G408" i="1"/>
  <c r="G420" i="1"/>
  <c r="G385" i="1"/>
  <c r="G397" i="1"/>
  <c r="G409" i="1"/>
  <c r="G421" i="1"/>
  <c r="G386" i="1"/>
  <c r="G398" i="1"/>
  <c r="G410" i="1"/>
  <c r="G422" i="1"/>
  <c r="G388" i="1"/>
  <c r="G400" i="1"/>
  <c r="G412" i="1"/>
  <c r="G424" i="1"/>
  <c r="G377" i="1"/>
  <c r="G389" i="1"/>
  <c r="G401" i="1"/>
  <c r="G413" i="1"/>
  <c r="G425" i="1"/>
  <c r="G378" i="1"/>
  <c r="G390" i="1"/>
  <c r="G402" i="1"/>
  <c r="G414" i="1"/>
  <c r="G379" i="1"/>
  <c r="G391" i="1"/>
  <c r="G403" i="1"/>
  <c r="G415" i="1"/>
  <c r="G831" i="1"/>
  <c r="G399" i="1"/>
  <c r="G963" i="1"/>
  <c r="G927" i="1"/>
  <c r="G819" i="1"/>
  <c r="G387" i="1"/>
  <c r="G99" i="1"/>
  <c r="G907" i="1"/>
  <c r="G895" i="1"/>
  <c r="G823" i="1"/>
  <c r="G799" i="1"/>
  <c r="G787" i="1"/>
  <c r="G679" i="1"/>
  <c r="G655" i="1"/>
  <c r="G583" i="1"/>
  <c r="G559" i="1"/>
  <c r="G547" i="1"/>
  <c r="G535" i="1"/>
  <c r="G499" i="1"/>
  <c r="G487" i="1"/>
  <c r="G475" i="1"/>
  <c r="G463" i="1"/>
  <c r="G307" i="1"/>
  <c r="G295" i="1"/>
  <c r="G283" i="1"/>
  <c r="G271" i="1"/>
  <c r="G259" i="1"/>
  <c r="G247" i="1"/>
  <c r="G127" i="1"/>
  <c r="G115" i="1"/>
  <c r="G7" i="1"/>
  <c r="G990" i="1"/>
  <c r="G978" i="1"/>
  <c r="G942" i="1"/>
  <c r="G906" i="1"/>
  <c r="G894" i="1"/>
  <c r="G822" i="1"/>
  <c r="G798" i="1"/>
  <c r="G786" i="1"/>
  <c r="G678" i="1"/>
  <c r="G654" i="1"/>
  <c r="G582" i="1"/>
  <c r="G558" i="1"/>
  <c r="G546" i="1"/>
  <c r="G534" i="1"/>
  <c r="G498" i="1"/>
  <c r="G486" i="1"/>
  <c r="G474" i="1"/>
  <c r="G462" i="1"/>
  <c r="G306" i="1"/>
  <c r="G294" i="1"/>
  <c r="G282" i="1"/>
  <c r="G270" i="1"/>
  <c r="G258" i="1"/>
  <c r="G246" i="1"/>
  <c r="G126" i="1"/>
  <c r="G114" i="1"/>
  <c r="G18" i="1"/>
  <c r="G6" i="1"/>
  <c r="G941" i="1"/>
  <c r="G905" i="1"/>
  <c r="G821" i="1"/>
  <c r="G797" i="1"/>
  <c r="G785" i="1"/>
  <c r="G677" i="1"/>
  <c r="G653" i="1"/>
  <c r="G581" i="1"/>
  <c r="G557" i="1"/>
  <c r="G545" i="1"/>
  <c r="G533" i="1"/>
  <c r="G497" i="1"/>
  <c r="G485" i="1"/>
  <c r="G473" i="1"/>
  <c r="G461" i="1"/>
  <c r="G305" i="1"/>
  <c r="G293" i="1"/>
  <c r="G281" i="1"/>
  <c r="G269" i="1"/>
  <c r="G257" i="1"/>
  <c r="G245" i="1"/>
  <c r="G125" i="1"/>
  <c r="G113" i="1"/>
  <c r="G17" i="1"/>
  <c r="G5" i="1"/>
  <c r="G988" i="1"/>
  <c r="G976" i="1"/>
  <c r="G940" i="1"/>
  <c r="G904" i="1"/>
  <c r="G820" i="1"/>
  <c r="G796" i="1"/>
  <c r="G784" i="1"/>
  <c r="G676" i="1"/>
  <c r="G652" i="1"/>
  <c r="G580" i="1"/>
  <c r="G556" i="1"/>
  <c r="G544" i="1"/>
  <c r="G532" i="1"/>
  <c r="G496" i="1"/>
  <c r="G484" i="1"/>
  <c r="G472" i="1"/>
  <c r="G460" i="1"/>
  <c r="G304" i="1"/>
  <c r="G292" i="1"/>
  <c r="G280" i="1"/>
  <c r="G268" i="1"/>
  <c r="G256" i="1"/>
  <c r="G244" i="1"/>
  <c r="G124" i="1"/>
  <c r="G112" i="1"/>
  <c r="G16" i="1"/>
  <c r="G4" i="1"/>
  <c r="G914" i="1"/>
  <c r="G902" i="1"/>
  <c r="G830" i="1"/>
  <c r="G794" i="1"/>
  <c r="G782" i="1"/>
  <c r="G686" i="1"/>
  <c r="G650" i="1"/>
  <c r="G578" i="1"/>
  <c r="G554" i="1"/>
  <c r="G542" i="1"/>
  <c r="G530" i="1"/>
  <c r="G506" i="1"/>
  <c r="G494" i="1"/>
  <c r="G482" i="1"/>
  <c r="G470" i="1"/>
  <c r="G458" i="1"/>
  <c r="G302" i="1"/>
  <c r="G290" i="1"/>
  <c r="G278" i="1"/>
  <c r="G266" i="1"/>
  <c r="G254" i="1"/>
  <c r="G242" i="1"/>
  <c r="G134" i="1"/>
  <c r="G122" i="1"/>
  <c r="G110" i="1"/>
  <c r="G14" i="1"/>
  <c r="G2" i="1"/>
  <c r="G997" i="1"/>
  <c r="G985" i="1"/>
  <c r="G973" i="1"/>
  <c r="G913" i="1"/>
  <c r="G901" i="1"/>
  <c r="G829" i="1"/>
  <c r="G793" i="1"/>
  <c r="G781" i="1"/>
  <c r="G685" i="1"/>
  <c r="G649" i="1"/>
  <c r="G577" i="1"/>
  <c r="G553" i="1"/>
  <c r="G541" i="1"/>
  <c r="G529" i="1"/>
  <c r="G505" i="1"/>
  <c r="G493" i="1"/>
  <c r="G481" i="1"/>
  <c r="G469" i="1"/>
  <c r="G457" i="1"/>
  <c r="G301" i="1"/>
  <c r="G289" i="1"/>
  <c r="G277" i="1"/>
  <c r="G265" i="1"/>
  <c r="G253" i="1"/>
  <c r="G241" i="1"/>
  <c r="G133" i="1"/>
  <c r="G121" i="1"/>
  <c r="G109" i="1"/>
  <c r="G13" i="1"/>
  <c r="G828" i="1"/>
  <c r="G792" i="1"/>
  <c r="G780" i="1"/>
  <c r="G684" i="1"/>
  <c r="G648" i="1"/>
  <c r="G576" i="1"/>
  <c r="G552" i="1"/>
  <c r="G540" i="1"/>
  <c r="G504" i="1"/>
  <c r="G492" i="1"/>
  <c r="G480" i="1"/>
  <c r="G468" i="1"/>
  <c r="G456" i="1"/>
  <c r="G300" i="1"/>
  <c r="G288" i="1"/>
  <c r="G276" i="1"/>
  <c r="G264" i="1"/>
  <c r="G252" i="1"/>
  <c r="G240" i="1"/>
  <c r="G132" i="1"/>
  <c r="G120" i="1"/>
  <c r="G108" i="1"/>
  <c r="G12" i="1"/>
  <c r="G995" i="1"/>
  <c r="G983" i="1"/>
  <c r="G911" i="1"/>
  <c r="G899" i="1"/>
  <c r="G827" i="1"/>
  <c r="G791" i="1"/>
  <c r="G683" i="1"/>
  <c r="G647" i="1"/>
  <c r="G575" i="1"/>
  <c r="G563" i="1"/>
  <c r="G551" i="1"/>
  <c r="G539" i="1"/>
  <c r="G503" i="1"/>
  <c r="G491" i="1"/>
  <c r="G479" i="1"/>
  <c r="G467" i="1"/>
  <c r="G455" i="1"/>
  <c r="G299" i="1"/>
  <c r="G287" i="1"/>
  <c r="G275" i="1"/>
  <c r="G263" i="1"/>
  <c r="G251" i="1"/>
  <c r="G239" i="1"/>
  <c r="G131" i="1"/>
  <c r="G119" i="1"/>
  <c r="G11" i="1"/>
  <c r="G910" i="1"/>
  <c r="G898" i="1"/>
  <c r="G826" i="1"/>
  <c r="G802" i="1"/>
  <c r="G790" i="1"/>
  <c r="G682" i="1"/>
  <c r="G658" i="1"/>
  <c r="G646" i="1"/>
  <c r="G562" i="1"/>
  <c r="G550" i="1"/>
  <c r="G538" i="1"/>
  <c r="G502" i="1"/>
  <c r="G490" i="1"/>
  <c r="G478" i="1"/>
  <c r="G466" i="1"/>
  <c r="G454" i="1"/>
  <c r="G298" i="1"/>
  <c r="G286" i="1"/>
  <c r="G274" i="1"/>
  <c r="G262" i="1"/>
  <c r="G250" i="1"/>
  <c r="G238" i="1"/>
  <c r="G130" i="1"/>
  <c r="G118" i="1"/>
  <c r="G10" i="1"/>
  <c r="G909" i="1"/>
  <c r="G897" i="1"/>
  <c r="G825" i="1"/>
  <c r="G801" i="1"/>
  <c r="G789" i="1"/>
  <c r="G681" i="1"/>
  <c r="G657" i="1"/>
  <c r="G645" i="1"/>
  <c r="G585" i="1"/>
  <c r="G561" i="1"/>
  <c r="G549" i="1"/>
  <c r="G537" i="1"/>
  <c r="G501" i="1"/>
  <c r="G489" i="1"/>
  <c r="G477" i="1"/>
  <c r="G465" i="1"/>
  <c r="G453" i="1"/>
  <c r="G309" i="1"/>
  <c r="G297" i="1"/>
  <c r="G285" i="1"/>
  <c r="G273" i="1"/>
  <c r="G261" i="1"/>
  <c r="G249" i="1"/>
  <c r="G237" i="1"/>
  <c r="G129" i="1"/>
  <c r="G117" i="1"/>
  <c r="G9" i="1"/>
  <c r="G908" i="1"/>
  <c r="G800" i="1"/>
  <c r="G656" i="1"/>
  <c r="G560" i="1"/>
  <c r="G548" i="1"/>
  <c r="G500" i="1"/>
  <c r="G488" i="1"/>
  <c r="G476" i="1"/>
  <c r="G464" i="1"/>
  <c r="G296" i="1"/>
  <c r="G284" i="1"/>
  <c r="G260" i="1"/>
  <c r="G248" i="1"/>
  <c r="G128" i="1"/>
  <c r="G8" i="1"/>
  <c r="B947" i="1"/>
  <c r="C49" i="3"/>
  <c r="J49" i="3" s="1"/>
  <c r="K49" i="3" s="1"/>
  <c r="C48" i="3"/>
  <c r="J48" i="3" s="1"/>
  <c r="K48" i="3" s="1"/>
  <c r="C47" i="3"/>
  <c r="J47" i="3" s="1"/>
  <c r="K47" i="3" s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1273" i="1" s="1"/>
  <c r="D848" i="1"/>
  <c r="D849" i="1"/>
  <c r="D850" i="1"/>
  <c r="D851" i="1"/>
  <c r="D852" i="1"/>
  <c r="D854" i="1"/>
  <c r="D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1273" i="1" s="1"/>
  <c r="C848" i="1"/>
  <c r="C849" i="1"/>
  <c r="C850" i="1"/>
  <c r="C851" i="1"/>
  <c r="C852" i="1"/>
  <c r="C854" i="1"/>
  <c r="C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8" i="1"/>
  <c r="B854" i="1"/>
  <c r="B831" i="1"/>
  <c r="D821" i="1"/>
  <c r="D822" i="1"/>
  <c r="D823" i="1"/>
  <c r="D824" i="1"/>
  <c r="D826" i="1"/>
  <c r="D827" i="1"/>
  <c r="D828" i="1"/>
  <c r="D829" i="1"/>
  <c r="D830" i="1"/>
  <c r="D820" i="1"/>
  <c r="C821" i="1"/>
  <c r="C822" i="1"/>
  <c r="C823" i="1"/>
  <c r="C824" i="1"/>
  <c r="C826" i="1"/>
  <c r="C827" i="1"/>
  <c r="C828" i="1"/>
  <c r="C829" i="1"/>
  <c r="C830" i="1"/>
  <c r="C820" i="1"/>
  <c r="B820" i="1"/>
  <c r="B821" i="1"/>
  <c r="B822" i="1"/>
  <c r="B823" i="1"/>
  <c r="B824" i="1"/>
  <c r="B826" i="1"/>
  <c r="B827" i="1"/>
  <c r="B828" i="1"/>
  <c r="B829" i="1"/>
  <c r="B830" i="1"/>
  <c r="C46" i="3"/>
  <c r="J46" i="3" s="1"/>
  <c r="K46" i="3" s="1"/>
  <c r="C45" i="3"/>
  <c r="J45" i="3" s="1"/>
  <c r="K45" i="3" s="1"/>
  <c r="D819" i="1"/>
  <c r="C819" i="1"/>
  <c r="B819" i="1"/>
  <c r="D817" i="1"/>
  <c r="C817" i="1"/>
  <c r="B817" i="1"/>
  <c r="C816" i="1"/>
  <c r="D815" i="1"/>
  <c r="C815" i="1"/>
  <c r="B815" i="1"/>
  <c r="D813" i="1"/>
  <c r="C813" i="1"/>
  <c r="B813" i="1"/>
  <c r="D812" i="1"/>
  <c r="D825" i="1" s="1"/>
  <c r="C812" i="1"/>
  <c r="C825" i="1" s="1"/>
  <c r="D811" i="1"/>
  <c r="C811" i="1"/>
  <c r="B811" i="1"/>
  <c r="D810" i="1"/>
  <c r="C810" i="1"/>
  <c r="B810" i="1"/>
  <c r="D809" i="1"/>
  <c r="C809" i="1"/>
  <c r="B809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784" i="1"/>
  <c r="D785" i="1"/>
  <c r="D816" i="1" s="1"/>
  <c r="D786" i="1"/>
  <c r="D787" i="1"/>
  <c r="D789" i="1"/>
  <c r="D790" i="1"/>
  <c r="D791" i="1"/>
  <c r="D792" i="1"/>
  <c r="D793" i="1"/>
  <c r="D794" i="1"/>
  <c r="D796" i="1"/>
  <c r="D797" i="1"/>
  <c r="D798" i="1"/>
  <c r="D799" i="1"/>
  <c r="D800" i="1"/>
  <c r="D801" i="1"/>
  <c r="D802" i="1"/>
  <c r="C784" i="1"/>
  <c r="C785" i="1"/>
  <c r="C786" i="1"/>
  <c r="C787" i="1"/>
  <c r="C789" i="1"/>
  <c r="C790" i="1"/>
  <c r="C791" i="1"/>
  <c r="C792" i="1"/>
  <c r="C793" i="1"/>
  <c r="C794" i="1"/>
  <c r="C796" i="1"/>
  <c r="C797" i="1"/>
  <c r="C798" i="1"/>
  <c r="C799" i="1"/>
  <c r="C800" i="1"/>
  <c r="C801" i="1"/>
  <c r="C802" i="1"/>
  <c r="B797" i="1"/>
  <c r="B798" i="1"/>
  <c r="B799" i="1"/>
  <c r="B800" i="1"/>
  <c r="B801" i="1"/>
  <c r="B802" i="1"/>
  <c r="B784" i="1"/>
  <c r="B785" i="1"/>
  <c r="B816" i="1" s="1"/>
  <c r="B786" i="1"/>
  <c r="B787" i="1"/>
  <c r="B789" i="1"/>
  <c r="B790" i="1"/>
  <c r="B791" i="1"/>
  <c r="B792" i="1"/>
  <c r="B793" i="1"/>
  <c r="B796" i="1"/>
  <c r="C44" i="3"/>
  <c r="J44" i="3" s="1"/>
  <c r="K44" i="3" s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61" i="1"/>
  <c r="B761" i="1"/>
  <c r="B762" i="1"/>
  <c r="B763" i="1"/>
  <c r="B764" i="1"/>
  <c r="B765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C43" i="3"/>
  <c r="J43" i="3" s="1"/>
  <c r="K43" i="3" s="1"/>
  <c r="C42" i="3"/>
  <c r="J42" i="3" s="1"/>
  <c r="K42" i="3" s="1"/>
  <c r="C37" i="3"/>
  <c r="J37" i="3" s="1"/>
  <c r="K37" i="3" s="1"/>
  <c r="C38" i="3"/>
  <c r="J38" i="3" s="1"/>
  <c r="K38" i="3" s="1"/>
  <c r="C39" i="3"/>
  <c r="J39" i="3" s="1"/>
  <c r="K39" i="3" s="1"/>
  <c r="C40" i="3"/>
  <c r="J40" i="3" s="1"/>
  <c r="K40" i="3" s="1"/>
  <c r="C41" i="3"/>
  <c r="J41" i="3" s="1"/>
  <c r="K41" i="3" s="1"/>
  <c r="C35" i="3"/>
  <c r="J35" i="3" s="1"/>
  <c r="K35" i="3" s="1"/>
  <c r="C36" i="3"/>
  <c r="J36" i="3" s="1"/>
  <c r="K36" i="3" s="1"/>
  <c r="C34" i="3"/>
  <c r="J34" i="3" s="1"/>
  <c r="K34" i="3" s="1"/>
  <c r="C33" i="3"/>
  <c r="J33" i="3" s="1"/>
  <c r="K33" i="3" s="1"/>
  <c r="C11" i="3"/>
  <c r="J11" i="3" s="1"/>
  <c r="K11" i="3" s="1"/>
  <c r="C31" i="3"/>
  <c r="J31" i="3" s="1"/>
  <c r="K31" i="3" s="1"/>
  <c r="C32" i="3"/>
  <c r="J32" i="3" s="1"/>
  <c r="K32" i="3" s="1"/>
  <c r="C30" i="3"/>
  <c r="J30" i="3" s="1"/>
  <c r="K30" i="3" s="1"/>
  <c r="C29" i="3"/>
  <c r="J29" i="3" s="1"/>
  <c r="K29" i="3" s="1"/>
  <c r="B1054" i="1" l="1"/>
  <c r="C916" i="1"/>
  <c r="C1054" i="1" s="1"/>
  <c r="D916" i="1"/>
  <c r="D1054" i="1" s="1"/>
  <c r="B850" i="1"/>
  <c r="B849" i="1"/>
  <c r="B852" i="1"/>
  <c r="B851" i="1"/>
  <c r="B847" i="1"/>
  <c r="B1273" i="1" s="1"/>
  <c r="C28" i="3"/>
  <c r="J28" i="3" s="1"/>
  <c r="K28" i="3" s="1"/>
  <c r="C24" i="3"/>
  <c r="J24" i="3" s="1"/>
  <c r="K24" i="3" s="1"/>
  <c r="C25" i="3"/>
  <c r="J25" i="3" s="1"/>
  <c r="K25" i="3" s="1"/>
  <c r="C26" i="3"/>
  <c r="J26" i="3" s="1"/>
  <c r="K26" i="3" s="1"/>
  <c r="C27" i="3"/>
  <c r="J27" i="3" s="1"/>
  <c r="K27" i="3" s="1"/>
  <c r="C3" i="3"/>
  <c r="J3" i="3" s="1"/>
  <c r="K3" i="3" s="1"/>
  <c r="C4" i="3"/>
  <c r="J4" i="3" s="1"/>
  <c r="K4" i="3" s="1"/>
  <c r="C5" i="3"/>
  <c r="J5" i="3" s="1"/>
  <c r="K5" i="3" s="1"/>
  <c r="C6" i="3"/>
  <c r="J6" i="3" s="1"/>
  <c r="K6" i="3" s="1"/>
  <c r="C7" i="3"/>
  <c r="J7" i="3" s="1"/>
  <c r="K7" i="3" s="1"/>
  <c r="C8" i="3"/>
  <c r="J8" i="3" s="1"/>
  <c r="K8" i="3" s="1"/>
  <c r="C9" i="3"/>
  <c r="J9" i="3" s="1"/>
  <c r="K9" i="3" s="1"/>
  <c r="C10" i="3"/>
  <c r="J10" i="3" s="1"/>
  <c r="K10" i="3" s="1"/>
  <c r="C12" i="3"/>
  <c r="J12" i="3" s="1"/>
  <c r="K12" i="3" s="1"/>
  <c r="C13" i="3"/>
  <c r="J13" i="3" s="1"/>
  <c r="K13" i="3" s="1"/>
  <c r="C14" i="3"/>
  <c r="J14" i="3" s="1"/>
  <c r="K14" i="3" s="1"/>
  <c r="C15" i="3"/>
  <c r="J15" i="3" s="1"/>
  <c r="K15" i="3" s="1"/>
  <c r="C16" i="3"/>
  <c r="J16" i="3" s="1"/>
  <c r="K16" i="3" s="1"/>
  <c r="C17" i="3"/>
  <c r="J17" i="3" s="1"/>
  <c r="K17" i="3" s="1"/>
  <c r="C18" i="3"/>
  <c r="J18" i="3" s="1"/>
  <c r="K18" i="3" s="1"/>
  <c r="C19" i="3"/>
  <c r="J19" i="3" s="1"/>
  <c r="K19" i="3" s="1"/>
  <c r="C20" i="3"/>
  <c r="J20" i="3" s="1"/>
  <c r="K20" i="3" s="1"/>
  <c r="C21" i="3"/>
  <c r="J21" i="3" s="1"/>
  <c r="K21" i="3" s="1"/>
  <c r="C22" i="3"/>
  <c r="J22" i="3" s="1"/>
  <c r="K22" i="3" s="1"/>
  <c r="C23" i="3"/>
  <c r="J23" i="3" s="1"/>
  <c r="K23" i="3" s="1"/>
  <c r="C2" i="3"/>
  <c r="J2" i="3" l="1"/>
  <c r="K2" i="3" s="1"/>
  <c r="B951" i="1"/>
  <c r="B950" i="1"/>
  <c r="B953" i="1" l="1"/>
  <c r="B954" i="1" l="1"/>
  <c r="B955" i="1"/>
  <c r="B956" i="1" l="1"/>
  <c r="B961" i="1" l="1"/>
  <c r="B960" i="1"/>
  <c r="B963" i="1" l="1"/>
  <c r="B967" i="1" l="1"/>
  <c r="B99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82D2E7-77F8-45E7-9618-86C4F0AE881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4B02148-D034-4887-8943-E95362BB597B}" name="WorksheetConnection_BD Conferencistas!$C$20:$D$26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BDConferencistasC20D261"/>
        </x15:connection>
      </ext>
    </extLst>
  </connection>
  <connection id="3" xr16:uid="{EC5D8D41-85E4-49B0-9626-E160CD68A970}" name="WorksheetConnection_Reporte Estadísticas Seminarios.xlsx!Seminarios" type="102" refreshedVersion="8" minRefreshableVersion="5">
    <extLst>
      <ext xmlns:x15="http://schemas.microsoft.com/office/spreadsheetml/2010/11/main" uri="{DE250136-89BD-433C-8126-D09CA5730AF9}">
        <x15:connection id="Seminarios">
          <x15:rangePr sourceName="_xlcn.WorksheetConnection_ReporteEstadísticasSeminarios.xlsxSeminarios1"/>
        </x15:connection>
      </ext>
    </extLst>
  </connection>
</connections>
</file>

<file path=xl/sharedStrings.xml><?xml version="1.0" encoding="utf-8"?>
<sst xmlns="http://schemas.openxmlformats.org/spreadsheetml/2006/main" count="7977" uniqueCount="1376">
  <si>
    <t>Visiting Scholars Seminar Series</t>
  </si>
  <si>
    <t>On-Campus</t>
  </si>
  <si>
    <t>Europe</t>
  </si>
  <si>
    <t>Visiting Scholars 1</t>
  </si>
  <si>
    <t>Niels Van Quaquebeke</t>
  </si>
  <si>
    <t>Online</t>
  </si>
  <si>
    <t>North America</t>
  </si>
  <si>
    <t>Visiting Scholars 2</t>
  </si>
  <si>
    <t>Bryan Boots</t>
  </si>
  <si>
    <t>Hybrid</t>
  </si>
  <si>
    <t>South America</t>
  </si>
  <si>
    <t>Visiting Scholars 3</t>
  </si>
  <si>
    <t>Spencer Ross</t>
  </si>
  <si>
    <t>Oceania</t>
  </si>
  <si>
    <t>Visiting Scholars 4</t>
  </si>
  <si>
    <t>Christiane Schwieren</t>
  </si>
  <si>
    <t>Visiting Scholars 5</t>
  </si>
  <si>
    <t>Barbara Culiberg</t>
  </si>
  <si>
    <t>Visiting Scholars 6</t>
  </si>
  <si>
    <t>Female</t>
  </si>
  <si>
    <t>Visiting Scholars 7</t>
  </si>
  <si>
    <t>Lourdes Casanova</t>
  </si>
  <si>
    <t>Ágora</t>
  </si>
  <si>
    <t>Male</t>
  </si>
  <si>
    <t>Visiting Scholars 8</t>
  </si>
  <si>
    <t>Steven Kilroy</t>
  </si>
  <si>
    <t>GHE</t>
  </si>
  <si>
    <t>NA</t>
  </si>
  <si>
    <t>Visiting Scholars 9</t>
  </si>
  <si>
    <t>Yimin Cheng</t>
  </si>
  <si>
    <t>Recruitment research seminars</t>
  </si>
  <si>
    <t>Visiting Scholars 10</t>
  </si>
  <si>
    <t>Suresh Sethi</t>
  </si>
  <si>
    <t>Other</t>
  </si>
  <si>
    <t>Visiting Scholars 11</t>
  </si>
  <si>
    <t>Constantin Blome</t>
  </si>
  <si>
    <t>Professor</t>
  </si>
  <si>
    <t>Ágora 1</t>
  </si>
  <si>
    <t>Claudia Rebolledo</t>
  </si>
  <si>
    <t>Ágora 2</t>
  </si>
  <si>
    <t>John Thogersen</t>
  </si>
  <si>
    <t>Sustainability</t>
  </si>
  <si>
    <t>Estados Unidos</t>
  </si>
  <si>
    <t>Administrative</t>
  </si>
  <si>
    <t>Ágora 3</t>
  </si>
  <si>
    <t>Marco Palacios</t>
  </si>
  <si>
    <t>Marketing</t>
  </si>
  <si>
    <t>Alemania</t>
  </si>
  <si>
    <t>External</t>
  </si>
  <si>
    <t>Ágora 4</t>
  </si>
  <si>
    <t>Mirko Antino</t>
  </si>
  <si>
    <t>Finance</t>
  </si>
  <si>
    <t>Colombia</t>
  </si>
  <si>
    <t>Visiting professor</t>
  </si>
  <si>
    <t>Ágora 5</t>
  </si>
  <si>
    <t>Felix Iturriaga</t>
  </si>
  <si>
    <t>Dinamarca</t>
  </si>
  <si>
    <t>Ágora 6</t>
  </si>
  <si>
    <t>Management</t>
  </si>
  <si>
    <t>Eslovenia</t>
  </si>
  <si>
    <t>Ágora 7</t>
  </si>
  <si>
    <t>Andrew Parker</t>
  </si>
  <si>
    <t>Strategy and Entrepreneurship</t>
  </si>
  <si>
    <t>Portugal</t>
  </si>
  <si>
    <t>Ágora 8</t>
  </si>
  <si>
    <t>Wolf Wagner</t>
  </si>
  <si>
    <t>Organizations</t>
  </si>
  <si>
    <t>UK</t>
  </si>
  <si>
    <t>Ágora 9</t>
  </si>
  <si>
    <t>Neal Roese</t>
  </si>
  <si>
    <t>Brazil</t>
  </si>
  <si>
    <t>Italia</t>
  </si>
  <si>
    <t>GHE 1</t>
  </si>
  <si>
    <t>Luis Fernando Molina</t>
  </si>
  <si>
    <t>Egipto</t>
  </si>
  <si>
    <t>GHE 2</t>
  </si>
  <si>
    <t>Orlando Grisales</t>
  </si>
  <si>
    <t>España</t>
  </si>
  <si>
    <t>GHE 3</t>
  </si>
  <si>
    <t>Alan Knight</t>
  </si>
  <si>
    <t>Argentina</t>
  </si>
  <si>
    <t>GHE 4</t>
  </si>
  <si>
    <t>Iran</t>
  </si>
  <si>
    <t>GHE 5</t>
  </si>
  <si>
    <t>Irlanda</t>
  </si>
  <si>
    <t>China</t>
  </si>
  <si>
    <t>Recruitment research 1</t>
  </si>
  <si>
    <t>Juliana Moreira Batista</t>
  </si>
  <si>
    <t>Recruitment research 2</t>
  </si>
  <si>
    <t>Camilo Rojas</t>
  </si>
  <si>
    <t>Recruitment research 3</t>
  </si>
  <si>
    <t>Basel Hammoda</t>
  </si>
  <si>
    <t>Recruitment research 4</t>
  </si>
  <si>
    <t>Eduardo Boada</t>
  </si>
  <si>
    <t>Recruitment research 5</t>
  </si>
  <si>
    <t>Nicolás Parra</t>
  </si>
  <si>
    <t>Recruitment research 6</t>
  </si>
  <si>
    <t>Sasmira Matta</t>
  </si>
  <si>
    <t>Recruitment research 7</t>
  </si>
  <si>
    <t>Lina Lozano</t>
  </si>
  <si>
    <t>Recruitment research 8</t>
  </si>
  <si>
    <t>Andres Espitia</t>
  </si>
  <si>
    <t>Recruitment research 9</t>
  </si>
  <si>
    <t>Carmen Villa</t>
  </si>
  <si>
    <t>Recruitment research 10</t>
  </si>
  <si>
    <t>Socorro Martínez</t>
  </si>
  <si>
    <t>Recruitment research 11</t>
  </si>
  <si>
    <t>Maria Alejandra Erazo</t>
  </si>
  <si>
    <t>Recruitment research 12</t>
  </si>
  <si>
    <t>Felipe Parra</t>
  </si>
  <si>
    <t>Recruitment research 13</t>
  </si>
  <si>
    <t>Bruno Souza</t>
  </si>
  <si>
    <t>Recruitment research 14</t>
  </si>
  <si>
    <t>Behnoosh Lahooti</t>
  </si>
  <si>
    <t>Recruitment research 15</t>
  </si>
  <si>
    <t>Carlos Velasco</t>
  </si>
  <si>
    <t>Recruitment research 16</t>
  </si>
  <si>
    <t>Luis Alfredo Arango</t>
  </si>
  <si>
    <t>Oligarchs - David L.</t>
  </si>
  <si>
    <t>Visiting Scholars 13</t>
  </si>
  <si>
    <t>Nombre</t>
  </si>
  <si>
    <t>Correo</t>
  </si>
  <si>
    <t>Género</t>
  </si>
  <si>
    <t>Tipo Asistente</t>
  </si>
  <si>
    <t>Modalidad</t>
  </si>
  <si>
    <t>Seminario al que asistió</t>
  </si>
  <si>
    <t>Seminario</t>
  </si>
  <si>
    <t>Categoría</t>
  </si>
  <si>
    <t>Nombre del seminario</t>
  </si>
  <si>
    <t>Conferencista 1</t>
  </si>
  <si>
    <t>Conferencista 2</t>
  </si>
  <si>
    <t>Conferencista 3</t>
  </si>
  <si>
    <t>Conferencista 4</t>
  </si>
  <si>
    <t>Conferencista 5</t>
  </si>
  <si>
    <t>Fecha</t>
  </si>
  <si>
    <t>Hora</t>
  </si>
  <si>
    <t>Año</t>
  </si>
  <si>
    <t>Lugar</t>
  </si>
  <si>
    <t>Área</t>
  </si>
  <si>
    <t>Two Wrongs Don’t Make a Right, or Do They? Third Parties’ Ethical Leadership Perceptions Depend on Preceding Follower Behavior</t>
  </si>
  <si>
    <t>SD 704</t>
  </si>
  <si>
    <t>Exploring the impact of diverse perspectives in Echo Chambers: An empirical evaluation of the random Dynamical Nudge Model</t>
  </si>
  <si>
    <t>Bryan Charles Boots</t>
  </si>
  <si>
    <t>SD 805</t>
  </si>
  <si>
    <t>Specialty Coffee: Emergent Themes on Inequity in the Value System</t>
  </si>
  <si>
    <t>SD 701</t>
  </si>
  <si>
    <t>Do women overprepare? An experimental analysis</t>
  </si>
  <si>
    <t>Virtual</t>
  </si>
  <si>
    <t>How can sustainable marketers build their brands? A closer look into greenwashing and CSR reputation</t>
  </si>
  <si>
    <t>Hibrido</t>
  </si>
  <si>
    <t>Coffee, the EU Deforestation Regulation and social enterprise resilience: insights into ongoing research</t>
  </si>
  <si>
    <t>Janina Grabs</t>
  </si>
  <si>
    <t>Rita Motta</t>
  </si>
  <si>
    <t>Exploring Indigenous Procurement in Canada</t>
  </si>
  <si>
    <t>The role of norm dynamics in the formation of sustainable behaviours</t>
  </si>
  <si>
    <t>John Thøgersen</t>
  </si>
  <si>
    <t>SD 801</t>
  </si>
  <si>
    <t>Libro Leo S. Kopp 1858-1927. Historia de un visionario</t>
  </si>
  <si>
    <t>Bavaria 1889-1950. Del paternalismo a la tecnocracia</t>
  </si>
  <si>
    <t>Oligarchs and Entrepreneurship</t>
  </si>
  <si>
    <t>David Lingelbach</t>
  </si>
  <si>
    <t>El rol de los empresarios en el desarrollo de Bogotá y su ocupación</t>
  </si>
  <si>
    <t>Sarcastic or Assertive: How Should Brands Reply to Consumers’ Uncivil Comments on Social Media in the Context of Brand Activism?</t>
  </si>
  <si>
    <t>Los Empresarios y sus Comunicaciones en Colombia: Una Perspectiva Histórica</t>
  </si>
  <si>
    <t>Eduardo Posada Carbó</t>
  </si>
  <si>
    <t>Luis Gabriel Galán</t>
  </si>
  <si>
    <t>James V. Torres Moreno</t>
  </si>
  <si>
    <t>Carlos Dávila</t>
  </si>
  <si>
    <t>SD 809 y Zoom</t>
  </si>
  <si>
    <t>Engaging Emotion and Reason: Multidimensional and Multigroup Analysis of Value Co-Creation Behavior in E-commerce</t>
  </si>
  <si>
    <t>SD 1003</t>
  </si>
  <si>
    <t>Capturing dynamic organizational phenomena: methodological challenges and opportunities</t>
  </si>
  <si>
    <t>Extracurricular activities for entrepreneurial learning: A typology based on learning theories</t>
  </si>
  <si>
    <t>Conversatorio - Presente y Futuro del Medio Ambiente en Colombia</t>
  </si>
  <si>
    <t>Manuel Rodriguez Becerra</t>
  </si>
  <si>
    <t>José Félix Lafaurie</t>
  </si>
  <si>
    <t>Ximena Rueda</t>
  </si>
  <si>
    <t>Lina Moros</t>
  </si>
  <si>
    <t>SD y Zoom</t>
  </si>
  <si>
    <t>Damned if you do, damned if you don’t: How counterfactual emotions shape early-stage investment decision-making</t>
  </si>
  <si>
    <t>La investigación internacional en gobierno corporativo: Una revisión</t>
  </si>
  <si>
    <t>W102</t>
  </si>
  <si>
    <t>A road not taken in alternative dispute resolution</t>
  </si>
  <si>
    <t>Transformative Service Research: Interdiciplinary Research for Advanced Well-being and Social Impact</t>
  </si>
  <si>
    <t>Linda Alkire</t>
  </si>
  <si>
    <t>Sertan Kabadayi</t>
  </si>
  <si>
    <t>¡We Need an Expert! How Expertise on Boards Changes in Crisis</t>
  </si>
  <si>
    <t>Mercados Emergentes retos y oportunidades para América Latina y Colombia</t>
  </si>
  <si>
    <t>Gender Differences in Attribution Across Strategic and Non-Strategic Settings</t>
  </si>
  <si>
    <t>When to request evidence?</t>
  </si>
  <si>
    <t>The Effects of Youth Clubs on Education and Crime</t>
  </si>
  <si>
    <t>How Do Business Owners Run Governments? Evidence from Brazilian Municipalities</t>
  </si>
  <si>
    <t>Low-carbon transition expectations and policy uncertainty: an experimental approach</t>
  </si>
  <si>
    <t>Watch Your Step: The Economic and Behavioral Responses of Rural Households to Landmines During Conflict</t>
  </si>
  <si>
    <t>The Effects of Co-worker Absence on Labour Market Outcomes: Evidence from Brazil</t>
  </si>
  <si>
    <t>The coevolution of social networks and leader effectiveness</t>
  </si>
  <si>
    <t>SD 702</t>
  </si>
  <si>
    <t>Between coping and resistance: Exploring how Iranian immigrant women respond to experiences of workplace oppression</t>
  </si>
  <si>
    <t>Supervisory Cooperation</t>
  </si>
  <si>
    <t>How daily experienced high performance work systems shape front-line employees' commitment to customer service? The role of regulatory resources and burnout</t>
  </si>
  <si>
    <t>Politically offensive products: The motivational dynamics of consumption in the context of U.S. political polarization</t>
  </si>
  <si>
    <t>The Role of Taste–Shape Correspondences and Semantic Congruence in Product Preference and Taste Expectations</t>
  </si>
  <si>
    <t>An Aversion to Intervention: How the Protestant Work Ethic Influences Preferences for Natural Healthcare</t>
  </si>
  <si>
    <t>SD 807</t>
  </si>
  <si>
    <t>An examination of consumer mindsets in the context of cultured meat</t>
  </si>
  <si>
    <t>Hierarchical and Mixed Leadership Games for Dynamic Supply Chains: Applications to Cost Learning and Co-op Advertising</t>
  </si>
  <si>
    <t>SD 1013</t>
  </si>
  <si>
    <t>The Role of Digital Transformation in Enhancing Social Sustainability in Supply Chains</t>
  </si>
  <si>
    <t>Visiting Scholars 12</t>
  </si>
  <si>
    <t>Advancing Education for Sustainability &amp; Global Citizenship in business schools</t>
  </si>
  <si>
    <t>Christian Schott</t>
  </si>
  <si>
    <t>SD 809</t>
  </si>
  <si>
    <t>Climate Change and Business: Historical Perspectives on the Andes Wine Industry and the Rise of Greenwashing</t>
  </si>
  <si>
    <t>Teresa da Silva Lopes</t>
  </si>
  <si>
    <t>GHE 6</t>
  </si>
  <si>
    <t>International Business, Strategy and Entrepreneurship: How History Matters</t>
  </si>
  <si>
    <t xml:space="preserve">Roberto Gutiérrez </t>
  </si>
  <si>
    <t>robgutie</t>
  </si>
  <si>
    <t>M</t>
  </si>
  <si>
    <t>Pilar Sánchez</t>
  </si>
  <si>
    <t>p.sanchez1@uniandes.edu.co</t>
  </si>
  <si>
    <t>F</t>
  </si>
  <si>
    <t>x.rueda@uniandes.edu.co</t>
  </si>
  <si>
    <t>María Consuelo Cárdenas</t>
  </si>
  <si>
    <t>marcarde@uniandes.edu.co</t>
  </si>
  <si>
    <t>Simon Turner</t>
  </si>
  <si>
    <t>s.turner@uniandes.edu.co</t>
  </si>
  <si>
    <t>Sebastian Schorch</t>
  </si>
  <si>
    <t>sl.schorch@uniandes.edu.co</t>
  </si>
  <si>
    <t>Iván Darío Sánchez Manchola</t>
  </si>
  <si>
    <t>id.sanchez41@uniandes.edu.co</t>
  </si>
  <si>
    <t xml:space="preserve">Nathalie Mendez Mendez </t>
  </si>
  <si>
    <t>n.mendez52@uniandes.edu.co</t>
  </si>
  <si>
    <t>PhD Student</t>
  </si>
  <si>
    <t>Minoru Higa</t>
  </si>
  <si>
    <t>d.higa@uniandes.edu.co</t>
  </si>
  <si>
    <t>Marco Antonio Azuero Isaza</t>
  </si>
  <si>
    <t>mazuero@uniandes.edu.co</t>
  </si>
  <si>
    <t>Tatiana Rodriguez</t>
  </si>
  <si>
    <t>t.rodriguez79@uniandes.edu.co</t>
  </si>
  <si>
    <t>Margarita Canal</t>
  </si>
  <si>
    <t>mca-l@uniandes.edu.co</t>
  </si>
  <si>
    <t>Emilio Cardona</t>
  </si>
  <si>
    <t>e-cardon@uniandes.edu.co</t>
  </si>
  <si>
    <t>Iván Lobo</t>
  </si>
  <si>
    <t>ilobo@uniandes.edu.co</t>
  </si>
  <si>
    <t>Felipe Samper</t>
  </si>
  <si>
    <t>lsamper@uniandes.edu.co</t>
  </si>
  <si>
    <t>n.van@uniandes.edu.co</t>
  </si>
  <si>
    <t>Oscar Naranjo</t>
  </si>
  <si>
    <t>o.-ranjodelgiudice@uniandes.edu.co</t>
  </si>
  <si>
    <t>Carolina Davila</t>
  </si>
  <si>
    <t>cadavila@uniandes.edu.co</t>
  </si>
  <si>
    <t>Giorgio Triulzi</t>
  </si>
  <si>
    <t>g.triulzi@uniandes.edu.co</t>
  </si>
  <si>
    <t>Maximiliano Gonzalez Ferrero</t>
  </si>
  <si>
    <t>maxgonza@uniandes.edu.co</t>
  </si>
  <si>
    <t>Sebastian Leon Schorch</t>
  </si>
  <si>
    <t>Hector Erlendi Godoy Hernandez</t>
  </si>
  <si>
    <t>he.godoy@uniandes.edu.co</t>
  </si>
  <si>
    <t>Oscar Enrique Naranjo Del Giudice</t>
  </si>
  <si>
    <t>Jonathan Andres Perez Lopez</t>
  </si>
  <si>
    <t>ja.perezl@uniandes.edu.co</t>
  </si>
  <si>
    <t>Sandra Lorena Tovar Gasca</t>
  </si>
  <si>
    <t>sl.tovar@uniandes.edu.co</t>
  </si>
  <si>
    <t>Estefania Hernandez Pineda</t>
  </si>
  <si>
    <t>e.her-ndez12@uniandes.edu.co</t>
  </si>
  <si>
    <t>Andrés Guerrero</t>
  </si>
  <si>
    <t>aguerrer@uniandes.edu.co</t>
  </si>
  <si>
    <t>Bart Van Hoof</t>
  </si>
  <si>
    <t>bvan@uniandes.edu.co</t>
  </si>
  <si>
    <t>Juliana Malagon</t>
  </si>
  <si>
    <t>j.malagon@uniandes.edu.co</t>
  </si>
  <si>
    <t>Marco Azuero</t>
  </si>
  <si>
    <t>Rodrigo Londoño</t>
  </si>
  <si>
    <t>r.londonovanrutten@uniandes.edu.co</t>
  </si>
  <si>
    <t>Xavier Durán</t>
  </si>
  <si>
    <t>xh.duran21@uniandes.edu.co</t>
  </si>
  <si>
    <t>Rafael Augusto Vesga Fajardo</t>
  </si>
  <si>
    <t>rvesga@uniandes.edu.co</t>
  </si>
  <si>
    <t>Nubia Velasco</t>
  </si>
  <si>
    <t>nvelasco@uniandes.edu.co</t>
  </si>
  <si>
    <t>-</t>
  </si>
  <si>
    <t>Carlos Davila</t>
  </si>
  <si>
    <t>cdavila@uniandes.edu.co</t>
  </si>
  <si>
    <t>Rodrigo Britto</t>
  </si>
  <si>
    <t>ro-britt@uniandes.edu.co</t>
  </si>
  <si>
    <t>Felipe reinoso</t>
  </si>
  <si>
    <t>f.reinosoc@uniandes.edu.co</t>
  </si>
  <si>
    <t>Caterine Ariza Quiroga</t>
  </si>
  <si>
    <t>c.arizaq@uniandes.edu.co</t>
  </si>
  <si>
    <t>Sonia Camacho</t>
  </si>
  <si>
    <t>so-camac@uniandes.edu.co</t>
  </si>
  <si>
    <t>Andrés Barrios</t>
  </si>
  <si>
    <t>andr-bar@uniandes.edu.co</t>
  </si>
  <si>
    <t>Héctor Godoy</t>
  </si>
  <si>
    <t>Liliana Rivera Virguez</t>
  </si>
  <si>
    <t>ml.rivera@uniandes.edu.co</t>
  </si>
  <si>
    <t>Andres Raul Cruz Hernandez</t>
  </si>
  <si>
    <t>ar.cruz@uniandes.edu.co</t>
  </si>
  <si>
    <t>Daniela Torres</t>
  </si>
  <si>
    <t>d.torres15@uniandes.edu.co</t>
  </si>
  <si>
    <t>Miguel Martínez</t>
  </si>
  <si>
    <t>ma.martinezc1@uniandes.edu.co</t>
  </si>
  <si>
    <t>mx.hincapie24@uniandes.edu.co</t>
  </si>
  <si>
    <t>Ximena Rueds</t>
  </si>
  <si>
    <t>lina moros</t>
  </si>
  <si>
    <t>l-moros@uniandes.edu.co</t>
  </si>
  <si>
    <t>DIANA CAROLINA VESGA FAJARDO</t>
  </si>
  <si>
    <t>dcv@uniandes.edu.co</t>
  </si>
  <si>
    <t>Maximiliano González</t>
  </si>
  <si>
    <t>Rosa González</t>
  </si>
  <si>
    <t>rgonzale@uniandes.edu.co</t>
  </si>
  <si>
    <t>Juana García Duque</t>
  </si>
  <si>
    <t>jua-garcia@uniandes.edu.co</t>
  </si>
  <si>
    <t>Juan Carlos Montes</t>
  </si>
  <si>
    <t>jmontes@uniandes.edu.co</t>
  </si>
  <si>
    <t>Roberto Gutiérrez</t>
  </si>
  <si>
    <t>robgutie@uniandes.edu.co</t>
  </si>
  <si>
    <t>Juliana Malagón</t>
  </si>
  <si>
    <t>Jorge Garcia</t>
  </si>
  <si>
    <t>jh.garcia27@uniandes.edu.co</t>
  </si>
  <si>
    <t>lina ceballos</t>
  </si>
  <si>
    <t>lceball4@eafit.edu.co</t>
  </si>
  <si>
    <t xml:space="preserve">Laura Rojas </t>
  </si>
  <si>
    <t>Lrojas3@eafit.edu.co</t>
  </si>
  <si>
    <t>juan vallejo</t>
  </si>
  <si>
    <t>jvallej3@eafit.edu.co</t>
  </si>
  <si>
    <t>Carlos Trujillo</t>
  </si>
  <si>
    <t>ctrujill@uniandes.edu.co</t>
  </si>
  <si>
    <t>Eliana de Souza Marques dos Santos</t>
  </si>
  <si>
    <t>elia-.santos@ifrj.edu.br</t>
  </si>
  <si>
    <t>Carolina Dávila</t>
  </si>
  <si>
    <t>Fabián Ruiz</t>
  </si>
  <si>
    <t>fa.ruiz58@uniandes.edu.co</t>
  </si>
  <si>
    <t>Silvana Dakduk</t>
  </si>
  <si>
    <t>sm.dakduk@uniandes.edu.co</t>
  </si>
  <si>
    <t>María Consuelo Cárdenas de Santamaría</t>
  </si>
  <si>
    <t>Luis Gabriel Galan Guerrero</t>
  </si>
  <si>
    <t>lg.galan92@uniandes.edu.co</t>
  </si>
  <si>
    <t>Juanita Hernandez</t>
  </si>
  <si>
    <t>Jua-her-ndezg7@gmail.com</t>
  </si>
  <si>
    <t xml:space="preserve"> o.-ranjodelgiudice@uniandes.edu.co</t>
  </si>
  <si>
    <t>Estefania Hernandez</t>
  </si>
  <si>
    <t>rabritto@gmail.com</t>
  </si>
  <si>
    <t>FelipeTorres</t>
  </si>
  <si>
    <t>af.torresr@uniandes.edu.co</t>
  </si>
  <si>
    <t>limoros@gmail.com</t>
  </si>
  <si>
    <t>Jhonatan Méndez Céspedes</t>
  </si>
  <si>
    <t>jo.mendez@uniandes.edu.co</t>
  </si>
  <si>
    <t xml:space="preserve">Juan Esteban Torres Ramos </t>
  </si>
  <si>
    <t>estebany.9602@gmail.com</t>
  </si>
  <si>
    <t>Juana Garcia Duque</t>
  </si>
  <si>
    <t>Cristian Fuquen</t>
  </si>
  <si>
    <t>cristianfuquen42@gmail.com</t>
  </si>
  <si>
    <t>Jh.garcia27@uniandes.edu.co</t>
  </si>
  <si>
    <t>Adriana Alvarez</t>
  </si>
  <si>
    <t>a.alvarezgomez.col@gmail.com</t>
  </si>
  <si>
    <t>Arismedy Galvis</t>
  </si>
  <si>
    <t>Agalvis@agrosavia.co</t>
  </si>
  <si>
    <t>ANDRES CASAS CASAS</t>
  </si>
  <si>
    <t>andrescasascasas@gmail.com</t>
  </si>
  <si>
    <t>ADRIANA ARROYO MARLÉS</t>
  </si>
  <si>
    <t xml:space="preserve">arroyoadria-@unbosque.edu.co </t>
  </si>
  <si>
    <t>Björn Vollan</t>
  </si>
  <si>
    <t xml:space="preserve">Bjoern.vollan@wiwi.uni-marburg.de </t>
  </si>
  <si>
    <t>Max Burger</t>
  </si>
  <si>
    <t>Burgerma@uni-marburg.de</t>
  </si>
  <si>
    <t>Nicolas Homez</t>
  </si>
  <si>
    <t>contactonickhomez@gmail.com</t>
  </si>
  <si>
    <t xml:space="preserve">Cristián Fuquen </t>
  </si>
  <si>
    <t>Deisy Torres</t>
  </si>
  <si>
    <t>deisyt999@gmail.com</t>
  </si>
  <si>
    <t>Ingrid Consuelo Aljure Garzón</t>
  </si>
  <si>
    <t>ialjure@agrosavia.co</t>
  </si>
  <si>
    <t xml:space="preserve">Javier Fernando Mora Andrade </t>
  </si>
  <si>
    <t>javier.mora@anh.gov.co</t>
  </si>
  <si>
    <t>Javie rGuillot</t>
  </si>
  <si>
    <t>javier_guillot@destino-turaleza.org</t>
  </si>
  <si>
    <t>Jenny Alexandra Molina Monroy</t>
  </si>
  <si>
    <t>Jmoli-@agrosavia.co</t>
  </si>
  <si>
    <t>Jonatan Rodriguez</t>
  </si>
  <si>
    <t>jrodriguez@pulitzercenter.org</t>
  </si>
  <si>
    <t>Laura Gómez</t>
  </si>
  <si>
    <t>lgomez@humboldt.org.co</t>
  </si>
  <si>
    <t>Mariana Santos Milachay</t>
  </si>
  <si>
    <t>Maria-.santos@undp.org</t>
  </si>
  <si>
    <t>Maria Juliana Cote Salas</t>
  </si>
  <si>
    <t>mjulia-_c@yahoo.es</t>
  </si>
  <si>
    <t>Natalia Escalante</t>
  </si>
  <si>
    <t>-taescalante@yahoo.com</t>
  </si>
  <si>
    <t xml:space="preserve">Mariana Osses Montoya </t>
  </si>
  <si>
    <t>ossesmontoyam@gmail.com</t>
  </si>
  <si>
    <t>Sandra Reyes</t>
  </si>
  <si>
    <t>Sanreyesco@gmail.com</t>
  </si>
  <si>
    <t>Sindy Fuentes</t>
  </si>
  <si>
    <t>Sfuentes@agrosavia.co</t>
  </si>
  <si>
    <t xml:space="preserve">Wanda Haneiry Molina Hincapie </t>
  </si>
  <si>
    <t>wandahaneiry@gmail.com</t>
  </si>
  <si>
    <t>Yuly Franco</t>
  </si>
  <si>
    <t>y.francog1@uexter-do.edu.co</t>
  </si>
  <si>
    <t>Yenny Lorena Valbuena Guzmán</t>
  </si>
  <si>
    <t>yvalbue-@agrosavia.co</t>
  </si>
  <si>
    <t>gegarcia@uniandes.edu.co</t>
  </si>
  <si>
    <t>Bernardo Batiz-Lazo</t>
  </si>
  <si>
    <t>Bbatiz64@gmail.com</t>
  </si>
  <si>
    <t>Julio Zuluaga</t>
  </si>
  <si>
    <t>jczuluaga@icesi.edu.co</t>
  </si>
  <si>
    <t>Gabriel Arancibia</t>
  </si>
  <si>
    <t>gsarancibia2020@gmail.com</t>
  </si>
  <si>
    <t>Héctor José Lara Romero</t>
  </si>
  <si>
    <t>hlar53@gmail.com</t>
  </si>
  <si>
    <t>Jose Alberto Bedoya Ramos</t>
  </si>
  <si>
    <t>jbedoya@fundacionsantodomingo.org</t>
  </si>
  <si>
    <t>Rolando Nuñez Pichardo</t>
  </si>
  <si>
    <t>rolypichardo@gmail.com</t>
  </si>
  <si>
    <t>Omar David Ramos Vásquez</t>
  </si>
  <si>
    <t>odramosv@u-l.edu.co</t>
  </si>
  <si>
    <t>Edwin Herrera Avellaneda</t>
  </si>
  <si>
    <t>eha1070@gmail.com</t>
  </si>
  <si>
    <t>Cesar Duque</t>
  </si>
  <si>
    <t>cesar.a.duque.sanchez@gmail.com</t>
  </si>
  <si>
    <t>Beatriz Rodríguez Satizábal</t>
  </si>
  <si>
    <t>bh.rodriguezs@up.edu.pe</t>
  </si>
  <si>
    <t>Jhon Florián Guzmán</t>
  </si>
  <si>
    <t>jhfloriang@gmail.com</t>
  </si>
  <si>
    <t>Eudes Duarte</t>
  </si>
  <si>
    <t>eudes.duarte.ufv@gmail.com</t>
  </si>
  <si>
    <t>María Fernanda Erazo Obando</t>
  </si>
  <si>
    <t>mariafererazo@gmail.com</t>
  </si>
  <si>
    <t>Luis Conejo Barboza</t>
  </si>
  <si>
    <t>elconejoluis@gmail.com</t>
  </si>
  <si>
    <t>Ricardo Perilla</t>
  </si>
  <si>
    <t>rbperillam@ut.edu.co</t>
  </si>
  <si>
    <t>Irina España</t>
  </si>
  <si>
    <t>iespa-e@u-l.edu.co</t>
  </si>
  <si>
    <t>Yeimy Lizeth Alvarado</t>
  </si>
  <si>
    <t>yeimy.alvarado.1993@gmail.com</t>
  </si>
  <si>
    <t>Ricardo Caicedo</t>
  </si>
  <si>
    <t>ricardo.caicedo@correounivalle.edu.co</t>
  </si>
  <si>
    <t>Juan David Vargas-Gutiérrez</t>
  </si>
  <si>
    <t>dvjuan@uninorte.edu.co</t>
  </si>
  <si>
    <t>Claudio Alonso Creamer Guillen</t>
  </si>
  <si>
    <t>creamerc663@gmail.com</t>
  </si>
  <si>
    <t>Luis Antonio Orozco</t>
  </si>
  <si>
    <t>luis.orozco@uexter-do.edu.co</t>
  </si>
  <si>
    <t>Carlos Huertaa</t>
  </si>
  <si>
    <t>Charlie.huertas@gmail.com</t>
  </si>
  <si>
    <t>Julieth Batero</t>
  </si>
  <si>
    <t>jjbaterop@unicauca.edu.co</t>
  </si>
  <si>
    <t>Sofia Roizarena</t>
  </si>
  <si>
    <t>roizare-sofia@gmail.com</t>
  </si>
  <si>
    <t>Luis Conejo</t>
  </si>
  <si>
    <t>elconejoluis@gail.com</t>
  </si>
  <si>
    <t>luis.conejo@ucr.ac.cr</t>
  </si>
  <si>
    <t>Wigberto Castañeda Hernández</t>
  </si>
  <si>
    <t>her-ndezwch@gmail.com</t>
  </si>
  <si>
    <t>Jorge Arturo Grisales Salazar</t>
  </si>
  <si>
    <t>jorgeagrisales@gmail.com</t>
  </si>
  <si>
    <t>Edgar Valero Julio</t>
  </si>
  <si>
    <t>eavaleroj@u-l.edu.co</t>
  </si>
  <si>
    <t>Pedro Luis Sánchez Galvis</t>
  </si>
  <si>
    <t>pedrohistoriador1996@gmail.com</t>
  </si>
  <si>
    <t>Gerónimo Robledo</t>
  </si>
  <si>
    <t>grobledo@u-l.edu.co</t>
  </si>
  <si>
    <t>arancibiag2020@gmail.com</t>
  </si>
  <si>
    <t>ROLANDO CENTENO TAPIERO</t>
  </si>
  <si>
    <t>rolando.centeno@usco.edu.co</t>
  </si>
  <si>
    <t>Pilar Sanchez</t>
  </si>
  <si>
    <t>José Román González Rodriguez</t>
  </si>
  <si>
    <t>jose.gonzalez@profesores.uamerica.edu.co</t>
  </si>
  <si>
    <t>Luis Gabriel Galán Guerrero</t>
  </si>
  <si>
    <t>Luis Fernando Parra Paris</t>
  </si>
  <si>
    <t>parraparis@uniandes.edu.co</t>
  </si>
  <si>
    <t>Ángel Enrique Martínez Ruiz</t>
  </si>
  <si>
    <t>ekiker@gmail.com</t>
  </si>
  <si>
    <t>Miller Almario</t>
  </si>
  <si>
    <t>milleralmario@gmail.com</t>
  </si>
  <si>
    <t>Paula Manuela Medina Gutiérrez</t>
  </si>
  <si>
    <t>medi-gpaula05@gmail.com</t>
  </si>
  <si>
    <t>JORGE ARTURO GRISALES SALAZAR</t>
  </si>
  <si>
    <t>Carlos Eduardo Hernandez</t>
  </si>
  <si>
    <t>ceher-ndez.econ@gmail.com</t>
  </si>
  <si>
    <t>Jose Roman Gonzalez Rodriguez</t>
  </si>
  <si>
    <t>Edwin Lopez Rivera</t>
  </si>
  <si>
    <t>edwin.lopez@utadeo.edu.co</t>
  </si>
  <si>
    <t>Valentina Diaz Pinzon</t>
  </si>
  <si>
    <t>Lv.diaz10@uniandes.edu.co</t>
  </si>
  <si>
    <t>Isabel Arroyo</t>
  </si>
  <si>
    <t>isarroyo@gmail.com</t>
  </si>
  <si>
    <t>Maryelis Judith</t>
  </si>
  <si>
    <t>judith_116@hotmail.com</t>
  </si>
  <si>
    <t>Esteban Ramirez</t>
  </si>
  <si>
    <t>e.ramirezt@uniandes.edu.co</t>
  </si>
  <si>
    <t>Héctor Erlendi Godoy Hernández</t>
  </si>
  <si>
    <t>Ivan Dario Sanchez Manchola</t>
  </si>
  <si>
    <t>Jorge Mario Caceres Rincon</t>
  </si>
  <si>
    <t>jm.caceres@uniandes.edu.co</t>
  </si>
  <si>
    <t>Juan Riano</t>
  </si>
  <si>
    <t>jf.riano556@uniandes.Edu.co</t>
  </si>
  <si>
    <t xml:space="preserve">Juana García </t>
  </si>
  <si>
    <t>Liliana Rivera</t>
  </si>
  <si>
    <t>Luis Guillermo Castro</t>
  </si>
  <si>
    <t>lg.castro@uniandes.edu.co</t>
  </si>
  <si>
    <t xml:space="preserve">Mary Guevara </t>
  </si>
  <si>
    <t>mr.guevara249@uniandes.edu.co</t>
  </si>
  <si>
    <t>Rodrigo Londoño van Rutten</t>
  </si>
  <si>
    <t xml:space="preserve">Santiago Aristizabal Agudelo </t>
  </si>
  <si>
    <t>s.aristizabala@uniandes.edu.co</t>
  </si>
  <si>
    <t>Sofia Garzón Rojas</t>
  </si>
  <si>
    <t>s.garzonr@uniandes.edu.co</t>
  </si>
  <si>
    <t xml:space="preserve">Spencer Ross </t>
  </si>
  <si>
    <t>Spencer_Ross@uml.edu</t>
  </si>
  <si>
    <t>VINCIANE SERVANTIE</t>
  </si>
  <si>
    <t>svincian@uniandes.edu.co</t>
  </si>
  <si>
    <t>Xavier Duran</t>
  </si>
  <si>
    <t>Janinna Grabs</t>
  </si>
  <si>
    <t>cdaila@uniandes.edu.co</t>
  </si>
  <si>
    <t>Ximena Rueda Fajardo</t>
  </si>
  <si>
    <t>Juana García</t>
  </si>
  <si>
    <t>Cristian Camilo Fuquen</t>
  </si>
  <si>
    <t>cfuquen@u-l.edu.co</t>
  </si>
  <si>
    <t>Julio zuluaga</t>
  </si>
  <si>
    <t>julio.zuluaga@javeria-cali.edu.co</t>
  </si>
  <si>
    <t>Luis Rubén Pérez Pinzón</t>
  </si>
  <si>
    <t>lperez14@u-b.edu.co</t>
  </si>
  <si>
    <t>Camilo Alarcon Nieto</t>
  </si>
  <si>
    <t>c.alarconn@uniandes.edu.co</t>
  </si>
  <si>
    <t>Aída Patricia Calvo Villada</t>
  </si>
  <si>
    <t>aidacalvov@gmail.com</t>
  </si>
  <si>
    <t>Enrique Martínez Ruiz</t>
  </si>
  <si>
    <t>Araceli Almaraz</t>
  </si>
  <si>
    <t>almaraz@colef.mx</t>
  </si>
  <si>
    <t>Valentina Salazar</t>
  </si>
  <si>
    <t>Gabriela  Recio (México)</t>
  </si>
  <si>
    <t>María Inés Barbero (Argentina)</t>
  </si>
  <si>
    <t>John Sudarsky (Bogotá)</t>
  </si>
  <si>
    <t>Adolfo Meisel (Rector Uninorte, Barranquilla)</t>
  </si>
  <si>
    <t>Araceli Almaraz (México)</t>
  </si>
  <si>
    <t>José Ernesto Ramírez (Bogotá, UPN)</t>
  </si>
  <si>
    <t>Enrique Martínez  (Bogotá, PUJ/U Nal)</t>
  </si>
  <si>
    <t>Fernando Cruz Kronfly (Cali, Univalle)</t>
  </si>
  <si>
    <t>Sonia Jaimes Peñalosa (Cali, Icesi)</t>
  </si>
  <si>
    <t>William Rojas (Cali, Univalle)</t>
  </si>
  <si>
    <t>Rubén Darío Echeverry (Cali, Univalle)</t>
  </si>
  <si>
    <t>Luis Aurelio Ordóñez (Cali, Univalle)</t>
  </si>
  <si>
    <t>Alfredo Lewin (Consejo Superior, Uniandes)</t>
  </si>
  <si>
    <t>Elisabeth Ungar(Consejo Superior, Uniandes)</t>
  </si>
  <si>
    <t xml:space="preserve">Aniket Sengupta </t>
  </si>
  <si>
    <t>a.sengupta@uniandes.edu.co</t>
  </si>
  <si>
    <t>Burcu Sezen</t>
  </si>
  <si>
    <t>b.sezen@uniandes.edu.co</t>
  </si>
  <si>
    <t>José Miguel Ospina</t>
  </si>
  <si>
    <t>joospina@uniandes.edu.co</t>
  </si>
  <si>
    <t>Jovelyn García</t>
  </si>
  <si>
    <t>j.garciaf@uniandes.edu.co</t>
  </si>
  <si>
    <t>Óscar Naranjo</t>
  </si>
  <si>
    <t>o.naranjodelgiudice@uniandes.edu.co</t>
  </si>
  <si>
    <t>Felipe Reinoso</t>
  </si>
  <si>
    <t>Aniket Sengupta</t>
  </si>
  <si>
    <t>Roberto Guitérrez</t>
  </si>
  <si>
    <t>jv.torres10@uniandes.edu.co</t>
  </si>
  <si>
    <t>Elber Verdugo</t>
  </si>
  <si>
    <t>eberdugoc@gmail.com</t>
  </si>
  <si>
    <t>Roberto Gutierrez</t>
  </si>
  <si>
    <t>Angel Enrique Martinez</t>
  </si>
  <si>
    <t>Carlos Eduardo Hernandez Castillo</t>
  </si>
  <si>
    <t>carlosehernandez@uniandes.edu.co</t>
  </si>
  <si>
    <t>Martha Garavito</t>
  </si>
  <si>
    <t>mart-gar@uniandes.edu.co</t>
  </si>
  <si>
    <t>Manuel Rodríguez Becerra</t>
  </si>
  <si>
    <t>mrb@uniandes.edu.co</t>
  </si>
  <si>
    <t>Juan David Rojas</t>
  </si>
  <si>
    <t>dav-roj1@uniandes.edu.co</t>
  </si>
  <si>
    <t>Muriel Laurent</t>
  </si>
  <si>
    <t>mlaurent@uniandes.edu.co</t>
  </si>
  <si>
    <t>Ingrid Bolivar</t>
  </si>
  <si>
    <t>ibolivar@uniandes.edu.co</t>
  </si>
  <si>
    <t>Ramiro</t>
  </si>
  <si>
    <t>José Alberto Pérez Toro</t>
  </si>
  <si>
    <t>joseaperez20216@gmail.com</t>
  </si>
  <si>
    <t>Fernando Ospina</t>
  </si>
  <si>
    <t>Jaime Ruíz</t>
  </si>
  <si>
    <t>jruiz@uniandes.edu.co</t>
  </si>
  <si>
    <t>Felipe Klopstock Triana</t>
  </si>
  <si>
    <t>f.klopstock@uniandes.edu.co</t>
  </si>
  <si>
    <t>Daniela Lopez Palacio</t>
  </si>
  <si>
    <t>dalopezpa@unal.edu.co</t>
  </si>
  <si>
    <t>Amparo Jimenez</t>
  </si>
  <si>
    <t>jimenez.amparo@uqam.ca</t>
  </si>
  <si>
    <t>Jorge Varela-Yepes</t>
  </si>
  <si>
    <t>jorge.yepes.14@ucl.ac.uk</t>
  </si>
  <si>
    <t>José Alberto Bedoya Ramos</t>
  </si>
  <si>
    <t>Sonia M. Jaimes</t>
  </si>
  <si>
    <t>sonmil@gmail.com</t>
  </si>
  <si>
    <t>Ana Sofia Beltran Guerrero</t>
  </si>
  <si>
    <t>As.beltrang1@uniandes.edu.co</t>
  </si>
  <si>
    <t>Juan Ignacio Neves-Sarriegui</t>
  </si>
  <si>
    <t>juan.nevessarriegui@history.ox.ac.uk</t>
  </si>
  <si>
    <t>Mateo Ramos</t>
  </si>
  <si>
    <t>Paola Ruiz</t>
  </si>
  <si>
    <t>ruiz.paola@gmail.com</t>
  </si>
  <si>
    <t>Isa Martínez</t>
  </si>
  <si>
    <t>Amanda Gabriela Contreras Cárdenas</t>
  </si>
  <si>
    <t>ag.contreras@uniandes.edu.co</t>
  </si>
  <si>
    <t>Lucia Buitrago Echeverri</t>
  </si>
  <si>
    <t>l.buitragoe@uniandes.edu.co</t>
  </si>
  <si>
    <t>Alejandra Watanable Farro</t>
  </si>
  <si>
    <t>alwatana@ucsc.edu</t>
  </si>
  <si>
    <t>Edisantiago Gutierrez Gil</t>
  </si>
  <si>
    <t>e.gutierrez12@uniandes.edu.co</t>
  </si>
  <si>
    <t>Gustavo Bell Lemus</t>
  </si>
  <si>
    <t xml:space="preserve">acuariusbell57@hotmail.com </t>
  </si>
  <si>
    <t>Mariana Naranjo</t>
  </si>
  <si>
    <t>Catalina Gomez Peña</t>
  </si>
  <si>
    <t>Martha H. Saravia</t>
  </si>
  <si>
    <t>Andrea Lluch</t>
  </si>
  <si>
    <t xml:space="preserve">am.lluch@uniandes.edu.co </t>
  </si>
  <si>
    <t>Felipe Duarte Garcia</t>
  </si>
  <si>
    <t>f.duarteg@uniandes.edu.co</t>
  </si>
  <si>
    <t>Joan Safford</t>
  </si>
  <si>
    <t>joanbsafford@yahoo.com</t>
  </si>
  <si>
    <t>Selia</t>
  </si>
  <si>
    <t>Martín Cardenas</t>
  </si>
  <si>
    <t>mcardenas9918@gmail.com</t>
  </si>
  <si>
    <t>Ima Esther Poveda Núñez</t>
  </si>
  <si>
    <t>ima.poveda@javeriana.edu.co</t>
  </si>
  <si>
    <t>Isabela Tovar Estévez-Bretón</t>
  </si>
  <si>
    <t xml:space="preserve">I.Tovare@uniandes.edu.co </t>
  </si>
  <si>
    <t>Isabella Latorre Munar</t>
  </si>
  <si>
    <t>Andrea Camila Cañas</t>
  </si>
  <si>
    <t>David Florez</t>
  </si>
  <si>
    <t>Sebastian Salazar Sánchez</t>
  </si>
  <si>
    <t>s.salazars2@uniandes.edu.co</t>
  </si>
  <si>
    <t>Carlos Molano</t>
  </si>
  <si>
    <t>Angela</t>
  </si>
  <si>
    <t>Margarita Garrido</t>
  </si>
  <si>
    <t>Mgarridootoya@gmail</t>
  </si>
  <si>
    <t>Zhanna Angeline</t>
  </si>
  <si>
    <t>Sandra Caballero</t>
  </si>
  <si>
    <t>Aida Calvo</t>
  </si>
  <si>
    <t>Alexis De Greif</t>
  </si>
  <si>
    <t>Alexis Acero</t>
  </si>
  <si>
    <t>alexisacerorangel@gmail.com</t>
  </si>
  <si>
    <t>Andrés Guhl Corpas</t>
  </si>
  <si>
    <t>aguhl@uniandes.edu.co</t>
  </si>
  <si>
    <t>Carlos Caballero</t>
  </si>
  <si>
    <t>ccaballero@uniandes.edu.co</t>
  </si>
  <si>
    <t>Carlos Eduardo Hernández Castillo</t>
  </si>
  <si>
    <t>Carlos Guillermo Tapias Cote</t>
  </si>
  <si>
    <t>carlos.tapias@uexternado.edu.co</t>
  </si>
  <si>
    <t>Claudia Leal</t>
  </si>
  <si>
    <t>claleal@uniandes.edu.co</t>
  </si>
  <si>
    <t>Clemente Forero</t>
  </si>
  <si>
    <t>clforero@uniandes.edu.co</t>
  </si>
  <si>
    <t>Elber Berdugo Cotera</t>
  </si>
  <si>
    <t xml:space="preserve">eberdugoc@gmail.com </t>
  </si>
  <si>
    <t>Erika Rojas Villaraga</t>
  </si>
  <si>
    <t>Ingrid Johanna Bolívar Ramírez</t>
  </si>
  <si>
    <t>Ibolivar@uniandes.edu.co</t>
  </si>
  <si>
    <t>Ivan Dario Sánchez Manchola</t>
  </si>
  <si>
    <t>Jaime Ruiz</t>
  </si>
  <si>
    <t>James Torres</t>
  </si>
  <si>
    <t>Javier Serrano</t>
  </si>
  <si>
    <t>jaserran@uniandes.edu.co</t>
  </si>
  <si>
    <t>Juana Catalina Garcia</t>
  </si>
  <si>
    <t>juanagarcia@uniandes.edu.co</t>
  </si>
  <si>
    <t>Laura Wills</t>
  </si>
  <si>
    <t>l.wills21@uniandes.edu.co</t>
  </si>
  <si>
    <t>Luis Díaz Matajira</t>
  </si>
  <si>
    <t>luidiaz@uniandes.edu.co</t>
  </si>
  <si>
    <t>Manuel Rodríguez</t>
  </si>
  <si>
    <t>Marcela Castro Ruiz</t>
  </si>
  <si>
    <t>macastro@uniandes.edu.co</t>
  </si>
  <si>
    <t>María Fernanda E.</t>
  </si>
  <si>
    <t>Maximiliano Gonzalez</t>
  </si>
  <si>
    <t>Miguel Ángel Martínez</t>
  </si>
  <si>
    <t>d.higa@uniande.edu.co</t>
  </si>
  <si>
    <t>Ramiro Sanchez</t>
  </si>
  <si>
    <t>ra.sanchez12@uniandes.edu.co</t>
  </si>
  <si>
    <t>Ricardo Arias</t>
  </si>
  <si>
    <t>jarias@uniandes.edu.co</t>
  </si>
  <si>
    <t>Ricardo Guillermo Rivadeneira Velasquez</t>
  </si>
  <si>
    <t>rcrivadeneira@alcaldiabogota.gov.co</t>
  </si>
  <si>
    <t>Rocio Londoño</t>
  </si>
  <si>
    <t>Samfir Gonzalez G</t>
  </si>
  <si>
    <t>s.gonzalezg2345@uniandes.edu.co</t>
  </si>
  <si>
    <t>Sara Caicedo</t>
  </si>
  <si>
    <t>s.caicedos2@uniandes.edu.co</t>
  </si>
  <si>
    <t>Valentina Diaz</t>
  </si>
  <si>
    <t>lv.diaz10@uniandes.edu.co</t>
  </si>
  <si>
    <t>alison valentina  fernandez gutierrez</t>
  </si>
  <si>
    <t>a.fernandezg@uniandes.edu.co</t>
  </si>
  <si>
    <t xml:space="preserve">Andrés Fernando Durán Cortés </t>
  </si>
  <si>
    <t>dc.andres10@uniandes.edu.co</t>
  </si>
  <si>
    <t>César Andres Vargas Nieto</t>
  </si>
  <si>
    <t>c.vargasn@uniandes.edu.co</t>
  </si>
  <si>
    <t>cfuquen@unal.edu.co</t>
  </si>
  <si>
    <t>e.hernandez12@uniandes.edu.co</t>
  </si>
  <si>
    <t>Iván Darío  Sánchez Manchola</t>
  </si>
  <si>
    <t xml:space="preserve">Jessica  Diaz Castañeda </t>
  </si>
  <si>
    <t>Jessicadiazcastaneda@gmail.com</t>
  </si>
  <si>
    <t>Jonathan Perez</t>
  </si>
  <si>
    <t xml:space="preserve">Laura Estefanía  Rodríguez Bejarano </t>
  </si>
  <si>
    <t>lrodriguez351@areandina.edu.co</t>
  </si>
  <si>
    <t>Lucas  Bravo Rosin</t>
  </si>
  <si>
    <t>l.bravor2@uniandes.edu.co</t>
  </si>
  <si>
    <t>Manuel Arturo Jiménez Ramírez</t>
  </si>
  <si>
    <t>ma.jimenez57@uniandes.edu.co</t>
  </si>
  <si>
    <t>mcanal@uniandes.edu.co</t>
  </si>
  <si>
    <t xml:space="preserve">Pilar  Sánchez </t>
  </si>
  <si>
    <t>Sandra Lorena  Tovar Gasca</t>
  </si>
  <si>
    <t>Sergio Vargas Salazar</t>
  </si>
  <si>
    <t>sergio.r.vargass37@gmail.com</t>
  </si>
  <si>
    <t>Simon  Turner</t>
  </si>
  <si>
    <t xml:space="preserve">William Fernando  Durán León </t>
  </si>
  <si>
    <t>duran.w@javeriana.edu.co</t>
  </si>
  <si>
    <t>Adriana Lucia Rueda Aponte</t>
  </si>
  <si>
    <t xml:space="preserve">Alfredo Lewin </t>
  </si>
  <si>
    <t>Alvaro Davila</t>
  </si>
  <si>
    <t>Alvaro Javier Arroyo</t>
  </si>
  <si>
    <t>alvaro.arroyo@ant.gov.co</t>
  </si>
  <si>
    <t>Ana Maria Trujillo Montealegre</t>
  </si>
  <si>
    <t xml:space="preserve">atrujill@uniandes.edu.co </t>
  </si>
  <si>
    <t>am.lluch@uniandes.edu.co</t>
  </si>
  <si>
    <t>Arturo infante</t>
  </si>
  <si>
    <t>Beatri Canon</t>
  </si>
  <si>
    <t>bcanon1812@hotmail.com</t>
  </si>
  <si>
    <t>Claudia Avendaño</t>
  </si>
  <si>
    <t>cavendanocalderon@gmail.com</t>
  </si>
  <si>
    <t xml:space="preserve">David Esteban Roa Peña </t>
  </si>
  <si>
    <t>Diana Montaño</t>
  </si>
  <si>
    <t>dc.montano10@uniandes.edu.co</t>
  </si>
  <si>
    <t>Enrique Martínez</t>
  </si>
  <si>
    <t xml:space="preserve">Estefania Hernandez Pineda </t>
  </si>
  <si>
    <t>lsamer@uniandes.edu.co</t>
  </si>
  <si>
    <t>Fernando Cepeda</t>
  </si>
  <si>
    <t>Guillermo Bermudez</t>
  </si>
  <si>
    <t xml:space="preserve">Héctor Godoy </t>
  </si>
  <si>
    <t>Jaime Eduardo Marin Galvez</t>
  </si>
  <si>
    <t>je.maring@uniandes.edu.co</t>
  </si>
  <si>
    <t>Javier Pineda</t>
  </si>
  <si>
    <t xml:space="preserve">Jesus Enrique Molina Munoz </t>
  </si>
  <si>
    <t>je.molina35@uniandes.edu.co</t>
  </si>
  <si>
    <t>Johana Carolina Bernal Galvis</t>
  </si>
  <si>
    <t>Jorge A. Noguera,,55,Sí</t>
  </si>
  <si>
    <t>Jorge Cardenas</t>
  </si>
  <si>
    <t>JOSE FELIX LAFAURIE RIVERA</t>
  </si>
  <si>
    <t>Juan Carlos Flechas</t>
  </si>
  <si>
    <t>jc.flechas20@uniandes.edu.co</t>
  </si>
  <si>
    <t xml:space="preserve">Juanita </t>
  </si>
  <si>
    <t>Julia Díaz</t>
  </si>
  <si>
    <t>Juliana Ramos</t>
  </si>
  <si>
    <t>ja.ramosc1@uniandes.edu.co</t>
  </si>
  <si>
    <t>Julio Manuel Ayerbe</t>
  </si>
  <si>
    <t>Karen brown</t>
  </si>
  <si>
    <t>Ka1784@yahoo.es</t>
  </si>
  <si>
    <t>Luis Aurelio Ordoñez</t>
  </si>
  <si>
    <t>Manuel Antonio Gomez</t>
  </si>
  <si>
    <t>Maria Consuelo Cardenas de Sanz de Santamaria</t>
  </si>
  <si>
    <t>Mariana Barrios Lozada</t>
  </si>
  <si>
    <t>mc.barrios@uniandes.edu.co</t>
  </si>
  <si>
    <t>Marlin Arroyo</t>
  </si>
  <si>
    <t>marlingarcia23@hotmail.com</t>
  </si>
  <si>
    <t>MarthaGaravito</t>
  </si>
  <si>
    <t>mauriciooliveragonzalez</t>
  </si>
  <si>
    <t>mauricio.olivera@uniandes.edu.co</t>
  </si>
  <si>
    <t>Ricardo Guillermo Rivadeneira Velásquez</t>
  </si>
  <si>
    <t>Roberto Gutierrez Poveda</t>
  </si>
  <si>
    <t>Sandra Vilardy</t>
  </si>
  <si>
    <t>s.vilardy@uniandes.edu.co</t>
  </si>
  <si>
    <t>Sonia Giraldo</t>
  </si>
  <si>
    <t>Sonia Marcela Camacho Ahumada</t>
  </si>
  <si>
    <t>Xavier Hernando Duran Amorocho</t>
  </si>
  <si>
    <t>ximenaruedafajardo</t>
  </si>
  <si>
    <t>Zoilo Pallares</t>
  </si>
  <si>
    <t>Rafael Vesga</t>
  </si>
  <si>
    <t xml:space="preserve">Giorgio Triulzi </t>
  </si>
  <si>
    <t>Luz Elena Orozco</t>
  </si>
  <si>
    <t>luorozco@uniandes.edu.co</t>
  </si>
  <si>
    <t>María Angélica Peña</t>
  </si>
  <si>
    <t>km.pena@uniandes.edu.co</t>
  </si>
  <si>
    <t xml:space="preserve">Juan Pablo Soto </t>
  </si>
  <si>
    <t>sz.juan20@uniandes.edu.co</t>
  </si>
  <si>
    <t>Luis Fernando Cruz Araujo</t>
  </si>
  <si>
    <t>lf.cruz20@uniandes.edu.co</t>
  </si>
  <si>
    <t>Emilia Pérez</t>
  </si>
  <si>
    <t>emipec04@gmail.com</t>
  </si>
  <si>
    <t>Norma Ortiz</t>
  </si>
  <si>
    <t>nc.ortiz@uniandes.edu.co</t>
  </si>
  <si>
    <t>Luís Ricardo Granados Sarmiento</t>
  </si>
  <si>
    <t>ricardo.granados@gransconsulting.com</t>
  </si>
  <si>
    <t>Julián Andrés Peraza López</t>
  </si>
  <si>
    <t>Julianandresperaza@gmail.com</t>
  </si>
  <si>
    <t>Oscar Naranjo Del Giudice</t>
  </si>
  <si>
    <t>Juan Fernando Ribero Trujillo</t>
  </si>
  <si>
    <t>jfriberot@gmail.com</t>
  </si>
  <si>
    <t>Guillermo Topa</t>
  </si>
  <si>
    <t>gtopa@tya.com.co</t>
  </si>
  <si>
    <t>Mariana Rodriguez</t>
  </si>
  <si>
    <t>mariana.rodriguez@hlips.com.co</t>
  </si>
  <si>
    <t>Martha Ramirez</t>
  </si>
  <si>
    <t>Martha.ramirez@skald-ag.com</t>
  </si>
  <si>
    <t>Nelson Castillo López</t>
  </si>
  <si>
    <t>nelsoncastillolopez@gmail.com</t>
  </si>
  <si>
    <t>jehison carreño uribe</t>
  </si>
  <si>
    <t>jcuribe72@gmail.com</t>
  </si>
  <si>
    <t>Rigoberto Ovalle</t>
  </si>
  <si>
    <t>r.ovalle@uniandes.edu.co</t>
  </si>
  <si>
    <t>Carolina Abusaid Graña</t>
  </si>
  <si>
    <t>carolinaabusaid@gmail.com</t>
  </si>
  <si>
    <t>Jovelyn Ferrer</t>
  </si>
  <si>
    <t>j.garciaf@uniandes.educo</t>
  </si>
  <si>
    <t>Alberto Rozo Torres</t>
  </si>
  <si>
    <t>alrozoto@gmail.com</t>
  </si>
  <si>
    <t>LUIS DIAZ MATAJIRA</t>
  </si>
  <si>
    <t>Nicolás Romero Rave</t>
  </si>
  <si>
    <t>N.romero11@uniandes.edu.co</t>
  </si>
  <si>
    <t>Enrique ter Horst</t>
  </si>
  <si>
    <t>ea.terhorst@uniandes.edu.co</t>
  </si>
  <si>
    <t>Miguel Angel Martinez Carrasco</t>
  </si>
  <si>
    <t>xh.duran@uniandes.edu.co</t>
  </si>
  <si>
    <t>Sandra Tovar Gasca</t>
  </si>
  <si>
    <t>Carlos Pombo</t>
  </si>
  <si>
    <t>cpombo@uniandes.edu.co</t>
  </si>
  <si>
    <t>Félix López Iturriaga</t>
  </si>
  <si>
    <t>Lucas Bravo Rosin</t>
  </si>
  <si>
    <t>Nicolas Felipe Suarez Ariza</t>
  </si>
  <si>
    <t>n.suareza@uniandes.edu.co</t>
  </si>
  <si>
    <t>Iván Sánchez</t>
  </si>
  <si>
    <t>Tatiana Rodríguez</t>
  </si>
  <si>
    <t>María Ximena Hincapié</t>
  </si>
  <si>
    <t>ANDRES GUERRERO</t>
  </si>
  <si>
    <t>Chetna Chauhan</t>
  </si>
  <si>
    <t>c.chauhan@uniandes.edu.co</t>
  </si>
  <si>
    <t>E-cardon@uniandes.edu.co</t>
  </si>
  <si>
    <t>Luis Herrera</t>
  </si>
  <si>
    <t>le.herrera531@uniandes.edu.co</t>
  </si>
  <si>
    <t>Juan Carlos Sabogal</t>
  </si>
  <si>
    <t>j.sabogal@uniandes.edu.co</t>
  </si>
  <si>
    <t>María José Bonivento</t>
  </si>
  <si>
    <t>m.bonivento@uniandes.edu.co</t>
  </si>
  <si>
    <t>Manuela Botero</t>
  </si>
  <si>
    <t>m.boterot@uniandes.edu.co</t>
  </si>
  <si>
    <t>María Paula Carvajal</t>
  </si>
  <si>
    <t>mpaula072002@gmail.com</t>
  </si>
  <si>
    <t>Andrés Orozco</t>
  </si>
  <si>
    <t>orozco.andres35@gmail.com</t>
  </si>
  <si>
    <t>David Garcia</t>
  </si>
  <si>
    <t>d.garcia62@uniandes.edu.co</t>
  </si>
  <si>
    <t>Camila Sánchez</t>
  </si>
  <si>
    <t>c.sanchezc2@uniandes.edu.co</t>
  </si>
  <si>
    <t>Marco Antonio Azuero</t>
  </si>
  <si>
    <t>María Paz Jiménez</t>
  </si>
  <si>
    <t>mp.jimenez2@uniandes.edu.co</t>
  </si>
  <si>
    <t>Miguel Martinez</t>
  </si>
  <si>
    <t>Nathalia Franco</t>
  </si>
  <si>
    <t>nath-fra@uniandes.edu.co</t>
  </si>
  <si>
    <t>Rosa Milena Muñoz Villanueva</t>
  </si>
  <si>
    <t>r.munozv@uniandes.edu.co</t>
  </si>
  <si>
    <t>Sofia Espinosa David</t>
  </si>
  <si>
    <t>s.espinosad@uniandes.edu.co</t>
  </si>
  <si>
    <t xml:space="preserve">Andrea Lluch </t>
  </si>
  <si>
    <t>Carlos Andrés Trujillo</t>
  </si>
  <si>
    <t>Andrés Durán</t>
  </si>
  <si>
    <t>Derly Cibelly Lara Figueroa</t>
  </si>
  <si>
    <t>Daniela Algarra</t>
  </si>
  <si>
    <t>d.algarra@uniandes.edu.co</t>
  </si>
  <si>
    <t>Julian Parra</t>
  </si>
  <si>
    <t>Ricardo Andrés Mancipe Muñoz</t>
  </si>
  <si>
    <t>r.mancipe@uniandes.edu.co</t>
  </si>
  <si>
    <t>German Contreras</t>
  </si>
  <si>
    <t>Brayan Mauricio Rodríguez Rivera</t>
  </si>
  <si>
    <t>bm.rodriguez@uniandes.edu.co</t>
  </si>
  <si>
    <t>Camilo Alarcón Nieto</t>
  </si>
  <si>
    <t>David van der Woude VanDerWoude DeVries</t>
  </si>
  <si>
    <t>Estefanía Hernández</t>
  </si>
  <si>
    <t>Camilo Andrés Contreras</t>
  </si>
  <si>
    <t>Jorge Hernán García</t>
  </si>
  <si>
    <t>Rodrigo Taborda</t>
  </si>
  <si>
    <t>r.taborda@uniandes.edu.co</t>
  </si>
  <si>
    <t>Óscar Pardo</t>
  </si>
  <si>
    <t>opardo@uniandes.edu.co</t>
  </si>
  <si>
    <t>Daniel Mantilla</t>
  </si>
  <si>
    <t>d.mantillag@uniandes.edu.co</t>
  </si>
  <si>
    <t>c.rojasl@uniandes.edu.co</t>
  </si>
  <si>
    <t>Jorge García</t>
  </si>
  <si>
    <t>Nubia Velazco</t>
  </si>
  <si>
    <t xml:space="preserve">Miguel Martínez </t>
  </si>
  <si>
    <t>Enrique Ter Horst</t>
  </si>
  <si>
    <t>Antonio Rivas</t>
  </si>
  <si>
    <t>a.rivas1393@uniandes.edu.co</t>
  </si>
  <si>
    <t>Andres Felipe Ulloa Alfonso</t>
  </si>
  <si>
    <t>af.ulloa10@uniandes.edu.co</t>
  </si>
  <si>
    <t>Camilo Andrés Rojas Contreras</t>
  </si>
  <si>
    <t>caa.rojasc@uniandes.edu.co</t>
  </si>
  <si>
    <t>Cesar Enrique Garcia Diaz</t>
  </si>
  <si>
    <t>ce.garcia392@uniandes.edu.co</t>
  </si>
  <si>
    <t>Guillermo Ruiz Pava</t>
  </si>
  <si>
    <t>ga.ruiz10@uniandes.edu.co</t>
  </si>
  <si>
    <t>Nicolás Sierra Melo</t>
  </si>
  <si>
    <t>n.sierram2@uniandes.edu.co</t>
  </si>
  <si>
    <t>Juan Camilo Bermudez Claros</t>
  </si>
  <si>
    <t>j.bermudezc@uniandes.edu.co</t>
  </si>
  <si>
    <t>Miguel Sarmiento</t>
  </si>
  <si>
    <t>Adriana Abrego Perez</t>
  </si>
  <si>
    <t>al.abrego@uniandes.edu.co</t>
  </si>
  <si>
    <t>oscar naranjo</t>
  </si>
  <si>
    <t>felipe reinoso</t>
  </si>
  <si>
    <t>Rodrigo Atehortua</t>
  </si>
  <si>
    <t>r.atehortua@uniandes.edu.co</t>
  </si>
  <si>
    <t>Mauricio Ruíz</t>
  </si>
  <si>
    <t>mauruiz@uniandes.edu.co</t>
  </si>
  <si>
    <t>Andrés Felipe Torres Ramos</t>
  </si>
  <si>
    <t>Camilo Alarcón</t>
  </si>
  <si>
    <t>Fernanda Freire Franklin</t>
  </si>
  <si>
    <t>fff2@cin.ufpe.br</t>
  </si>
  <si>
    <t>JosÉ Miguel Ospina</t>
  </si>
  <si>
    <t>Katherine A.</t>
  </si>
  <si>
    <t>Lina Carvajal</t>
  </si>
  <si>
    <t>Marcus Thiell</t>
  </si>
  <si>
    <t>mthiell@uniandes.edu.co</t>
  </si>
  <si>
    <t>constantin.blome@uclouvain.be</t>
  </si>
  <si>
    <t>Catalina Ramirez</t>
  </si>
  <si>
    <t>mariaram@uniandes.edu.co</t>
  </si>
  <si>
    <t>Camilo Gomez</t>
  </si>
  <si>
    <t>ch.gomez171@uniandes.edu.co</t>
  </si>
  <si>
    <t>Alejandra Tabares Pozos</t>
  </si>
  <si>
    <t>a.tabaresp@uniandes.edu.co</t>
  </si>
  <si>
    <t>Andres Medaglia</t>
  </si>
  <si>
    <t>amedagli@uniandes.edu.co</t>
  </si>
  <si>
    <t>Karla Tatiana Parra Parias</t>
  </si>
  <si>
    <t>kt.parra10@uniandes.edu.co</t>
  </si>
  <si>
    <t>Natalia Pacheco</t>
  </si>
  <si>
    <t>n.pacheco10@uniandes.edu.co</t>
  </si>
  <si>
    <t>Isabela Borda</t>
  </si>
  <si>
    <t>i.bordar@uniandes.edu.co</t>
  </si>
  <si>
    <t>Mauricio ruiz</t>
  </si>
  <si>
    <t>Luz Marina Ferro</t>
  </si>
  <si>
    <t>luferro@uniandes.edu.co</t>
  </si>
  <si>
    <t>Freddy Zapata</t>
  </si>
  <si>
    <t>fzapata@uniandes.edu.co</t>
  </si>
  <si>
    <t>Atenea Camacho</t>
  </si>
  <si>
    <t>ha.camacho54@uniandes.edu.co</t>
  </si>
  <si>
    <t>Jose David Martinez</t>
  </si>
  <si>
    <t>jd.martinezo@uniandes.edu.co</t>
  </si>
  <si>
    <t>bryan.c.boots@gmail.com</t>
  </si>
  <si>
    <t>Julia Rosa Romero</t>
  </si>
  <si>
    <t>jr.romero109@uniandes.edu.co</t>
  </si>
  <si>
    <t>Juan Esteban Nieto Campos</t>
  </si>
  <si>
    <t>je.nieto@uniandes.edu.co</t>
  </si>
  <si>
    <t>Juan Camilo Ángel Aguirre</t>
  </si>
  <si>
    <t>jc.angela1@uniandes.edu.co</t>
  </si>
  <si>
    <t>Mumbi Wachira</t>
  </si>
  <si>
    <t>mwachira@strathmore.edu</t>
  </si>
  <si>
    <t>Fiorenza Zlatar</t>
  </si>
  <si>
    <t>f.zlatar@uniandes.edu.co</t>
  </si>
  <si>
    <t>Yuly Andrea Franco Gómez</t>
  </si>
  <si>
    <t>y.francog@uniandes.edu.co</t>
  </si>
  <si>
    <t>Sandro Jiménez</t>
  </si>
  <si>
    <t>sa.jimenez2556@uniandes.edu.co</t>
  </si>
  <si>
    <t>Manuel Rodriguez</t>
  </si>
  <si>
    <t>Juliana Angulo</t>
  </si>
  <si>
    <t>German Andrade</t>
  </si>
  <si>
    <t>gandrade@uniandes.edu.co</t>
  </si>
  <si>
    <t>Caterine Ariza</t>
  </si>
  <si>
    <t>Gloria Valencia</t>
  </si>
  <si>
    <t>Hector Godoy</t>
  </si>
  <si>
    <t>Jaime E. Londoño Motta</t>
  </si>
  <si>
    <t>jelondono@icesi.edu.co</t>
  </si>
  <si>
    <t>José F. Calderón</t>
  </si>
  <si>
    <t>José Camilo</t>
  </si>
  <si>
    <t>Julia Helena Díaz</t>
  </si>
  <si>
    <t>jh.diaz84@uniandes.edu.co</t>
  </si>
  <si>
    <t>Julio Cesar Zuluaga</t>
  </si>
  <si>
    <t>Leonardo Santana</t>
  </si>
  <si>
    <t>María Ines Barbero</t>
  </si>
  <si>
    <t>barbero.mariaines@gmail.com</t>
  </si>
  <si>
    <t>Martha Elizabeth Garavito</t>
  </si>
  <si>
    <t>Rory Miller</t>
  </si>
  <si>
    <t>Apellido</t>
  </si>
  <si>
    <t>Nombre Completo</t>
  </si>
  <si>
    <t>Genero</t>
  </si>
  <si>
    <t>Nacionalidad</t>
  </si>
  <si>
    <t>Fecha nacimiento</t>
  </si>
  <si>
    <t>Nombre Universidad origen</t>
  </si>
  <si>
    <t>País Universidad origen</t>
  </si>
  <si>
    <t>Ubicación</t>
  </si>
  <si>
    <t>Seminario que dirigió</t>
  </si>
  <si>
    <t>Bryan Charles</t>
  </si>
  <si>
    <t>Boots</t>
  </si>
  <si>
    <t>University of Missouri</t>
  </si>
  <si>
    <t>Christiane</t>
  </si>
  <si>
    <t>Schwieren</t>
  </si>
  <si>
    <t>University of Heidelberg</t>
  </si>
  <si>
    <t>Spencer</t>
  </si>
  <si>
    <t>Ross</t>
  </si>
  <si>
    <t>University of Massachusetts</t>
  </si>
  <si>
    <t>Niels</t>
  </si>
  <si>
    <t>Van Quaquebeke</t>
  </si>
  <si>
    <t>Kuhne Logistics University - KLU</t>
  </si>
  <si>
    <t>Claudia</t>
  </si>
  <si>
    <t>Rebolledo</t>
  </si>
  <si>
    <t>HEC Montreal</t>
  </si>
  <si>
    <t>Canada</t>
  </si>
  <si>
    <t>John</t>
  </si>
  <si>
    <t>Thøgersen</t>
  </si>
  <si>
    <t>Aahus University, Denmark</t>
  </si>
  <si>
    <t>Barbara</t>
  </si>
  <si>
    <t>Culiberg</t>
  </si>
  <si>
    <t>University of Ljubljana, School of Economics and Business</t>
  </si>
  <si>
    <t>Janina</t>
  </si>
  <si>
    <t>Grabs</t>
  </si>
  <si>
    <t>ESADE Business School</t>
  </si>
  <si>
    <t>Rita</t>
  </si>
  <si>
    <t>Motta</t>
  </si>
  <si>
    <t>Marco</t>
  </si>
  <si>
    <t>Palacios</t>
  </si>
  <si>
    <t>University of Oxford</t>
  </si>
  <si>
    <t>Luis Fernando</t>
  </si>
  <si>
    <t>Molina</t>
  </si>
  <si>
    <t>Universidad de los Andes</t>
  </si>
  <si>
    <t>Orlando</t>
  </si>
  <si>
    <t>Grisales</t>
  </si>
  <si>
    <t>Investigador Independiente Ottawa</t>
  </si>
  <si>
    <t>Alan</t>
  </si>
  <si>
    <t>Knight</t>
  </si>
  <si>
    <t>Inglaterra</t>
  </si>
  <si>
    <t>David</t>
  </si>
  <si>
    <t>Lingelbach</t>
  </si>
  <si>
    <t>University of Baltimore</t>
  </si>
  <si>
    <t>Juliana</t>
  </si>
  <si>
    <t>Moreira Batista</t>
  </si>
  <si>
    <t>FGV - Fundação Getulio Vargas</t>
  </si>
  <si>
    <t>Brasil</t>
  </si>
  <si>
    <t>Eduardo</t>
  </si>
  <si>
    <t>Posada Carbó</t>
  </si>
  <si>
    <t>Luis Gabriel</t>
  </si>
  <si>
    <t>Galán</t>
  </si>
  <si>
    <t>James V.</t>
  </si>
  <si>
    <t>Torres Moreno</t>
  </si>
  <si>
    <t>Carlos</t>
  </si>
  <si>
    <t>Dávila</t>
  </si>
  <si>
    <t>Camilo</t>
  </si>
  <si>
    <t>Rojas</t>
  </si>
  <si>
    <t>Université de Grenoble Alpes</t>
  </si>
  <si>
    <t>Francia</t>
  </si>
  <si>
    <t>Mirko</t>
  </si>
  <si>
    <t>Antino</t>
  </si>
  <si>
    <t>Universidad Complutense de Madrid</t>
  </si>
  <si>
    <t>Basel</t>
  </si>
  <si>
    <t>Hammoda</t>
  </si>
  <si>
    <t>Tallinn University of Technology TalTech</t>
  </si>
  <si>
    <t>Estonia</t>
  </si>
  <si>
    <t>Manuel</t>
  </si>
  <si>
    <t>Rodriguez Becerra</t>
  </si>
  <si>
    <t>José Félix</t>
  </si>
  <si>
    <t>Lafaurie</t>
  </si>
  <si>
    <t>Universidad Javeriana</t>
  </si>
  <si>
    <t>Ximena</t>
  </si>
  <si>
    <t>Rueda</t>
  </si>
  <si>
    <t>Lina</t>
  </si>
  <si>
    <t>Moros</t>
  </si>
  <si>
    <t>Boada</t>
  </si>
  <si>
    <t>IE University</t>
  </si>
  <si>
    <t>Felix</t>
  </si>
  <si>
    <t>Iturriaga</t>
  </si>
  <si>
    <t>Universidad de Valladolid</t>
  </si>
  <si>
    <t>Nicolás</t>
  </si>
  <si>
    <t>Parra</t>
  </si>
  <si>
    <t>Harvard Law School</t>
  </si>
  <si>
    <t>Linda</t>
  </si>
  <si>
    <t>Alkire</t>
  </si>
  <si>
    <t>Fordham University</t>
  </si>
  <si>
    <t>Sertan</t>
  </si>
  <si>
    <t>Kabadayi</t>
  </si>
  <si>
    <t>Texas State University</t>
  </si>
  <si>
    <t>Sasmira</t>
  </si>
  <si>
    <t>Matta</t>
  </si>
  <si>
    <t>The Wharton School at the University of Pennsylvania</t>
  </si>
  <si>
    <t>Lourdes</t>
  </si>
  <si>
    <t>Casanova</t>
  </si>
  <si>
    <t>Universidad de Cornell</t>
  </si>
  <si>
    <t>Lozano</t>
  </si>
  <si>
    <t>Maastricht University</t>
  </si>
  <si>
    <t>Holanda</t>
  </si>
  <si>
    <t>Andres</t>
  </si>
  <si>
    <t>Espitia</t>
  </si>
  <si>
    <t>Northwetsern University</t>
  </si>
  <si>
    <t>Carmen</t>
  </si>
  <si>
    <t>Villa</t>
  </si>
  <si>
    <t>University of Warwick</t>
  </si>
  <si>
    <t>Socorro</t>
  </si>
  <si>
    <t>Martínez</t>
  </si>
  <si>
    <t>UC-Davis</t>
  </si>
  <si>
    <t>Maria Alejandra</t>
  </si>
  <si>
    <t>Erazo</t>
  </si>
  <si>
    <t>Université Lumière Lyon 2</t>
  </si>
  <si>
    <t>Felipe</t>
  </si>
  <si>
    <t>University of Wisconsin</t>
  </si>
  <si>
    <t>Bruno</t>
  </si>
  <si>
    <t>Souza</t>
  </si>
  <si>
    <t>Andrew</t>
  </si>
  <si>
    <t>Parker</t>
  </si>
  <si>
    <t>Durham University Business School</t>
  </si>
  <si>
    <t>Behnoosh</t>
  </si>
  <si>
    <t>Lahooti</t>
  </si>
  <si>
    <t>NEOMA Business School</t>
  </si>
  <si>
    <t>Wolf</t>
  </si>
  <si>
    <t>Wagner</t>
  </si>
  <si>
    <t>Rotterdam School of Management</t>
  </si>
  <si>
    <t>Steven</t>
  </si>
  <si>
    <t>Kilroy</t>
  </si>
  <si>
    <t>Trinity College Dublin</t>
  </si>
  <si>
    <t>Neal</t>
  </si>
  <si>
    <t>Roese</t>
  </si>
  <si>
    <t>Kellogg School of Management at Northwestern Univrsity</t>
  </si>
  <si>
    <t>Velasco</t>
  </si>
  <si>
    <t>BI Norwegian Business School</t>
  </si>
  <si>
    <t>Noruega</t>
  </si>
  <si>
    <t>Yimin</t>
  </si>
  <si>
    <t>Cheng</t>
  </si>
  <si>
    <t>Monash University</t>
  </si>
  <si>
    <t>Australia</t>
  </si>
  <si>
    <t>Luis Alfredo</t>
  </si>
  <si>
    <t>Arango</t>
  </si>
  <si>
    <t>University of Queensland</t>
  </si>
  <si>
    <t>Suresh</t>
  </si>
  <si>
    <t>Sethi</t>
  </si>
  <si>
    <t xml:space="preserve">UT Dallas </t>
  </si>
  <si>
    <t>Constantin</t>
  </si>
  <si>
    <t>Blome</t>
  </si>
  <si>
    <t>Lancaster University</t>
  </si>
  <si>
    <t>Christian</t>
  </si>
  <si>
    <t>Schott</t>
  </si>
  <si>
    <t>Victoria University of Wellington</t>
  </si>
  <si>
    <t>Nueva Zelanda</t>
  </si>
  <si>
    <t>Teresa</t>
  </si>
  <si>
    <t>da Silva Lopes</t>
  </si>
  <si>
    <t>University of York</t>
  </si>
  <si>
    <t>Valentina Díaz</t>
  </si>
  <si>
    <t>James</t>
  </si>
  <si>
    <t>Profesora Anónima</t>
  </si>
  <si>
    <t>Joaquín Romero</t>
  </si>
  <si>
    <t>Amparo Jiménez</t>
  </si>
  <si>
    <t>Faridy Jiménez</t>
  </si>
  <si>
    <t>njimenez@uniandes.edu.co</t>
  </si>
  <si>
    <t>David Echeverry</t>
  </si>
  <si>
    <t>Pick Your Greens: Market Share and the Green Mortgage Boom</t>
  </si>
  <si>
    <t>Visiting Scholars 14</t>
  </si>
  <si>
    <t>The Real Effects of Offshore Data Leaks:Evidence from Private Firms</t>
  </si>
  <si>
    <t>Juan Felipe Imbet</t>
  </si>
  <si>
    <t>Recruitment research 17</t>
  </si>
  <si>
    <t>Recruitment research 18</t>
  </si>
  <si>
    <t>GHE 7</t>
  </si>
  <si>
    <t>¿Por qué y cómo pasar del periodismo económico a escribir libros de economía e historia empresarial?</t>
  </si>
  <si>
    <t>Gloria E. Valencia C.</t>
  </si>
  <si>
    <t>Ramnath K. Chellappa</t>
  </si>
  <si>
    <t>Regulation by Platforms: The Impact of Apple’s Intelligent Tracking Prevention (ITP) on the Advertising Ecosystem</t>
  </si>
  <si>
    <t>Ágora 10</t>
  </si>
  <si>
    <t>María Angélica Farfán</t>
  </si>
  <si>
    <t>Bioaccounting measurement of environmental assets: beyond environmental accounting</t>
  </si>
  <si>
    <t>Elvira Kaneberg</t>
  </si>
  <si>
    <t>Supply chain resilience and critical dynamic capabilities: a balanced scorecard approach</t>
  </si>
  <si>
    <t>Visiting Scholars 15</t>
  </si>
  <si>
    <t>LL 01</t>
  </si>
  <si>
    <t>C 701</t>
  </si>
  <si>
    <t>Monika Sońta</t>
  </si>
  <si>
    <t>Futures of Education: exploring change with the future thinking canvas</t>
  </si>
  <si>
    <t>Visiting Scholars 16</t>
  </si>
  <si>
    <t>Echeverry</t>
  </si>
  <si>
    <t>Elvira</t>
  </si>
  <si>
    <t>Gloria E.</t>
  </si>
  <si>
    <t>Valencia C.</t>
  </si>
  <si>
    <t>Juan Felipe</t>
  </si>
  <si>
    <t>Imbet</t>
  </si>
  <si>
    <t>Monika</t>
  </si>
  <si>
    <t>Sońta</t>
  </si>
  <si>
    <t>María Angélica</t>
  </si>
  <si>
    <t>Farfán</t>
  </si>
  <si>
    <t>Kaneberg</t>
  </si>
  <si>
    <t>Chellappa</t>
  </si>
  <si>
    <t>Ramnath K.</t>
  </si>
  <si>
    <t>Universidad de Navarra</t>
  </si>
  <si>
    <t>Jönköping International Business School</t>
  </si>
  <si>
    <t>Suecia</t>
  </si>
  <si>
    <t>Emory University - Goizueta Business School</t>
  </si>
  <si>
    <t>India</t>
  </si>
  <si>
    <t>Universidad de Antioquia</t>
  </si>
  <si>
    <t>Université Paris Dauphine - PSL</t>
  </si>
  <si>
    <t>Polonia</t>
  </si>
  <si>
    <t>Universidad Kozminski</t>
  </si>
  <si>
    <t>Alejandra García</t>
  </si>
  <si>
    <t>Astrid Milena Martínez Cruz</t>
  </si>
  <si>
    <t>Juan Sebastián Salamanca López</t>
  </si>
  <si>
    <t>Laura Corredor Muñoz</t>
  </si>
  <si>
    <t>Yeily Daniela Chávez Pabuence</t>
  </si>
  <si>
    <t>ma.erazo1325@uniandes.edu.co</t>
  </si>
  <si>
    <t>pa.garcia@uniandes.edu.co</t>
  </si>
  <si>
    <t>am.martinezc12@uniandes.edu.co</t>
  </si>
  <si>
    <t>j.salamancal@uniandes.edu.co</t>
  </si>
  <si>
    <t>l.corredorm@uniandes.edu.co</t>
  </si>
  <si>
    <t>y.chavezp@uniandes.edu.co</t>
  </si>
  <si>
    <t>g.wilmsmeier@uniandes.edu.co</t>
  </si>
  <si>
    <t>Gordon Wilmsmeier</t>
  </si>
  <si>
    <t>Cristóbal Miralles</t>
  </si>
  <si>
    <t>Social Impact of Global Supply Chains: Critical View and Operational Proposals</t>
  </si>
  <si>
    <t>Visiting Scholars 17</t>
  </si>
  <si>
    <t>Cristóbal</t>
  </si>
  <si>
    <t>Miralles</t>
  </si>
  <si>
    <t>Universitat Politècnica de València (UPV)</t>
  </si>
  <si>
    <t>Maria Alejandra Erazo Diaz</t>
  </si>
  <si>
    <t>Claudio Peña</t>
  </si>
  <si>
    <t>clpena@uniandes.edu.co</t>
  </si>
  <si>
    <t>Alfredo Lewin</t>
  </si>
  <si>
    <t>Diego Pizano</t>
  </si>
  <si>
    <t xml:space="preserve">Jairo </t>
  </si>
  <si>
    <t>Edwin Lopez</t>
  </si>
  <si>
    <t>Sonia Jaimes</t>
  </si>
  <si>
    <t>Luz Stella Valencia</t>
  </si>
  <si>
    <t>lsvalencia@outlook.com</t>
  </si>
  <si>
    <t>Jaime Eduardo Londoño Motta</t>
  </si>
  <si>
    <t>ane.martinezr@uniandes.edu.co</t>
  </si>
  <si>
    <t>Jorge Hernan Cardenas</t>
  </si>
  <si>
    <t>Santiago Rodríguez Raga</t>
  </si>
  <si>
    <t>srr@uniandes.edu.co</t>
  </si>
  <si>
    <t>Mariano Lopez</t>
  </si>
  <si>
    <t>Nelson Esteban Rinón Sosa</t>
  </si>
  <si>
    <t>Mauricio González Jaramillo</t>
  </si>
  <si>
    <t>Tomás Villamil Forero</t>
  </si>
  <si>
    <t>David Felipe Arguello Cruz</t>
  </si>
  <si>
    <t>Sergio Antonio Saltarín Leyton</t>
  </si>
  <si>
    <t>m-lopez@uniandes.edu.co</t>
  </si>
  <si>
    <t>ne.rincons1@uniandes.edu.co</t>
  </si>
  <si>
    <t>df.arguello@uniandes.edu.co</t>
  </si>
  <si>
    <t>s.saltarin@uniandes.edu.co</t>
  </si>
  <si>
    <t>t.villamil1@uniandes.edu.co</t>
  </si>
  <si>
    <t>m.gonzalez66@uniandes.edu.co</t>
  </si>
  <si>
    <t>UASM Student</t>
  </si>
  <si>
    <t>Ágora 11</t>
  </si>
  <si>
    <t>Collaboration, Workplace Practice Adoption and Performance: Evidence from a Field Experiment</t>
  </si>
  <si>
    <t>Francisco Brahm</t>
  </si>
  <si>
    <t>Francisco</t>
  </si>
  <si>
    <t>Brahm</t>
  </si>
  <si>
    <t>London Business School</t>
  </si>
  <si>
    <t>Andrés Mora</t>
  </si>
  <si>
    <t>a.mora262@uniandes.edu.co</t>
  </si>
  <si>
    <t>Chile</t>
  </si>
  <si>
    <t>GHE 8</t>
  </si>
  <si>
    <t>Empresariado y cambio urbano en Bogotá a finales del siglo XIX: el caso del Bazar Veracruz, Leo Siegfried Kopp, 1899-1951</t>
  </si>
  <si>
    <t>Enrique</t>
  </si>
  <si>
    <t>Martínez Ruiz</t>
  </si>
  <si>
    <t>Recruitment research 19</t>
  </si>
  <si>
    <t>Recruitment research 20</t>
  </si>
  <si>
    <t>Recruitment research 21</t>
  </si>
  <si>
    <t>From Stability to Viability in Supply Chains via Reinforcement Learning</t>
  </si>
  <si>
    <t>Marzieh Khakifirooz</t>
  </si>
  <si>
    <t>SD 714</t>
  </si>
  <si>
    <t>SCM &amp; IT</t>
  </si>
  <si>
    <t>Decision Support Systems: How are user experiences shaped by task-technology congruence? Insights from Generative Artificial Intelligence platforms</t>
  </si>
  <si>
    <t>Bisbawan Basu</t>
  </si>
  <si>
    <t>Affordable Loss Meets Staging Logic: How Complementary Heuristics Drive Small Firms’ Internationalization</t>
  </si>
  <si>
    <t>Jamshid Alinasab</t>
  </si>
  <si>
    <t>Damián Montes</t>
  </si>
  <si>
    <t>Juan Pablo Soto</t>
  </si>
  <si>
    <t>d.montesp@uniandes.edu.co</t>
  </si>
  <si>
    <t>ea.boada63@uniandes.edu.co</t>
  </si>
  <si>
    <t>de.hernandezo12@uniandes.edu.co</t>
  </si>
  <si>
    <t>mmartinezcarrasco@gmail.com</t>
  </si>
  <si>
    <t xml:space="preserve">so-camac@uniandes.edu.co </t>
  </si>
  <si>
    <t>Daniel Hernandez</t>
  </si>
  <si>
    <t>Jamshid</t>
  </si>
  <si>
    <t>Alinasab</t>
  </si>
  <si>
    <t>Marzieh</t>
  </si>
  <si>
    <t>Khakifirooz</t>
  </si>
  <si>
    <t>Bisbawan</t>
  </si>
  <si>
    <t>Basu</t>
  </si>
  <si>
    <t>University of Otago</t>
  </si>
  <si>
    <t>lprietop@unal.edu.co</t>
  </si>
  <si>
    <t>roberto.alvarez@udea.edu.co</t>
  </si>
  <si>
    <t>Germán García</t>
  </si>
  <si>
    <t>N/A</t>
  </si>
  <si>
    <t>Leopoldo Prieto</t>
  </si>
  <si>
    <t>David Sanchez Bejarano</t>
  </si>
  <si>
    <t>Luis Aurelio O.</t>
  </si>
  <si>
    <t>Cristina Sánchez Parra</t>
  </si>
  <si>
    <t>José Roberto Álvarez Múnera</t>
  </si>
  <si>
    <t>Ágora 12</t>
  </si>
  <si>
    <t>Triple bottom line or trilemma? Global tradeoffs between prosperity, inequality and the environment</t>
  </si>
  <si>
    <t>Juan Carlos Rocha</t>
  </si>
  <si>
    <t>Recruitment research 22</t>
  </si>
  <si>
    <t>Juan Carlos</t>
  </si>
  <si>
    <t>Rocha</t>
  </si>
  <si>
    <t>Stockholm University</t>
  </si>
  <si>
    <t>GHE 9</t>
  </si>
  <si>
    <t>Portafolios monetarios, redes comerciales y patrones crediticios en el Imperio Español. Las cuentas de un empresario vasco en las tierras de El Dorado, 1770-1823</t>
  </si>
  <si>
    <t>James V. Torres</t>
  </si>
  <si>
    <t>Torres</t>
  </si>
  <si>
    <t>Universidad de Georgetown</t>
  </si>
  <si>
    <t>Aureliano Camacho</t>
  </si>
  <si>
    <t>Camilo Isak</t>
  </si>
  <si>
    <t>Tecnológico de Monterrey</t>
  </si>
  <si>
    <t>Mexico</t>
  </si>
  <si>
    <t>Joseaperez2016@gmail.com</t>
  </si>
  <si>
    <t xml:space="preserve">cf.bejarano@uniandes.edu.co </t>
  </si>
  <si>
    <t>jbermudezro@unal.edu.co</t>
  </si>
  <si>
    <t>e.kiker@gmail.com</t>
  </si>
  <si>
    <t>aalcazar@uniandes.edu.co</t>
  </si>
  <si>
    <t>ameiselroca@gmail.com</t>
  </si>
  <si>
    <t>José Alberto  Pérez Toro</t>
  </si>
  <si>
    <t>Felipe  Samper</t>
  </si>
  <si>
    <t>Cristhian Fabián Bejarano Rodríguez</t>
  </si>
  <si>
    <t>James Vladimir Torres</t>
  </si>
  <si>
    <t>Juan David Bermudez</t>
  </si>
  <si>
    <t>María Isabel Jiménez</t>
  </si>
  <si>
    <t>Andrés Alcazar Gómez</t>
  </si>
  <si>
    <t xml:space="preserve">Julian Andrés </t>
  </si>
  <si>
    <t>Adolfo Meisel Roca</t>
  </si>
  <si>
    <t>José Leonardo Henao</t>
  </si>
  <si>
    <t>Sebastian David Huerfano</t>
  </si>
  <si>
    <t>Andrea Lluch (Argentina)</t>
  </si>
  <si>
    <t>Alvaro  Dávila</t>
  </si>
  <si>
    <t>Lucia Buitrago</t>
  </si>
  <si>
    <t>Abraham Ortiz Miranda</t>
  </si>
  <si>
    <t>David Sánchez</t>
  </si>
  <si>
    <t>Elber Berdugo (Barcelona)</t>
  </si>
  <si>
    <t>mariaemilia@sistemab.org</t>
  </si>
  <si>
    <t>C.chauhan@uniandes.edu.co</t>
  </si>
  <si>
    <t>C.panyella@uniandes.edu.co</t>
  </si>
  <si>
    <t>jh.garcia27@hotmail.com</t>
  </si>
  <si>
    <t>Hannavalram@gmail.com</t>
  </si>
  <si>
    <t>fzapatah@uniandes.edu.co</t>
  </si>
  <si>
    <t>maria.camelo@javeriana.edu.co</t>
  </si>
  <si>
    <t>j.becerram23@uniandes.edu.co</t>
  </si>
  <si>
    <t>juan.rocha@su.se</t>
  </si>
  <si>
    <t>ad.mantilla@uniandes.edu.co</t>
  </si>
  <si>
    <t>rmutis@unal.edu.co</t>
  </si>
  <si>
    <t>sgacostam@unal.edu.co</t>
  </si>
  <si>
    <t>María Emilia Correa</t>
  </si>
  <si>
    <t>Carla Panyella medrano</t>
  </si>
  <si>
    <t>Hanna Ramirez</t>
  </si>
  <si>
    <t>Andres Guhl</t>
  </si>
  <si>
    <t>Camilla González</t>
  </si>
  <si>
    <t>Felipe Zapata Hoyos</t>
  </si>
  <si>
    <t>María Paula Camelo Botero</t>
  </si>
  <si>
    <t>Juan Pablo Becerra Medina</t>
  </si>
  <si>
    <t>Juan Carlos Rocha Gordo</t>
  </si>
  <si>
    <t>Andrés David Mantilla Orozco</t>
  </si>
  <si>
    <t>Rodrigo Mutis Rangel</t>
  </si>
  <si>
    <t>Sara Gabriela Acosta Morales</t>
  </si>
  <si>
    <t>c.gonzalez2592@uniandes.edu.co</t>
  </si>
  <si>
    <t>Voices that click: How and when speech articulation rate drives online engagement</t>
  </si>
  <si>
    <t>Christian Arroyo</t>
  </si>
  <si>
    <t>Marco Tonellato</t>
  </si>
  <si>
    <t>Visiting Scholars 18</t>
  </si>
  <si>
    <t>Assembling the Team: An Empirical Analysis of Partner Selection and Performance in Robot-assisted Surgery</t>
  </si>
  <si>
    <t>SD_802</t>
  </si>
  <si>
    <t>W_403</t>
  </si>
  <si>
    <t>Recruitment research 23</t>
  </si>
  <si>
    <t>The Impact of Deposit Dollarization on Credit Dollarization: Evidence of Natural Hedging and Excessive Risk-Taking Channels</t>
  </si>
  <si>
    <t>Jorge Pozo</t>
  </si>
  <si>
    <t>Jorge</t>
  </si>
  <si>
    <t>Pozo</t>
  </si>
  <si>
    <t>Arroyo</t>
  </si>
  <si>
    <t>Tonellato</t>
  </si>
  <si>
    <t>Peru</t>
  </si>
  <si>
    <t>University of South Florida</t>
  </si>
  <si>
    <t>Universitat Pompeu Fabra</t>
  </si>
  <si>
    <t>University of Trento</t>
  </si>
  <si>
    <t>Recruitment research 24</t>
  </si>
  <si>
    <t>Seeing Through the Fog: The Ability to Resolve Ambiguity Reduces Dishonesty</t>
  </si>
  <si>
    <t>Michael Puntiroli</t>
  </si>
  <si>
    <t>Michael</t>
  </si>
  <si>
    <t>Puntiroli</t>
  </si>
  <si>
    <t>University of Neuchâtel</t>
  </si>
  <si>
    <t>Suiza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</si>
</sst>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2"/>
      <color rgb="FF000000"/>
      <name val="Aptos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  <font>
      <sz val="10"/>
      <color rgb="FF212121"/>
      <name val="Tahoma"/>
      <family val="2"/>
    </font>
    <font>
      <sz val="11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CC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0" fillId="0" borderId="21" xfId="0" applyBorder="1"/>
    <xf numFmtId="0" fontId="0" fillId="0" borderId="25" xfId="0" applyBorder="1"/>
    <xf numFmtId="0" fontId="3" fillId="4" borderId="1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4" fontId="0" fillId="5" borderId="0" xfId="0" applyNumberFormat="1" applyFill="1"/>
    <xf numFmtId="0" fontId="0" fillId="5" borderId="8" xfId="0" applyFill="1" applyBorder="1"/>
    <xf numFmtId="0" fontId="0" fillId="5" borderId="6" xfId="0" applyFill="1" applyBorder="1"/>
    <xf numFmtId="0" fontId="0" fillId="5" borderId="16" xfId="0" applyFill="1" applyBorder="1"/>
    <xf numFmtId="0" fontId="7" fillId="0" borderId="6" xfId="0" applyFont="1" applyBorder="1"/>
    <xf numFmtId="0" fontId="3" fillId="2" borderId="27" xfId="0" applyFont="1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4" fillId="0" borderId="8" xfId="0" applyFont="1" applyBorder="1"/>
    <xf numFmtId="0" fontId="4" fillId="0" borderId="6" xfId="0" applyFont="1" applyBorder="1"/>
    <xf numFmtId="0" fontId="4" fillId="0" borderId="16" xfId="0" applyFont="1" applyBorder="1"/>
    <xf numFmtId="0" fontId="8" fillId="0" borderId="6" xfId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28" xfId="0" applyBorder="1"/>
    <xf numFmtId="0" fontId="0" fillId="0" borderId="29" xfId="0" applyBorder="1"/>
    <xf numFmtId="0" fontId="0" fillId="0" borderId="13" xfId="0" applyBorder="1"/>
    <xf numFmtId="0" fontId="0" fillId="0" borderId="16" xfId="0" applyBorder="1" applyAlignment="1">
      <alignment vertical="center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9" fillId="0" borderId="15" xfId="0" applyFont="1" applyBorder="1"/>
    <xf numFmtId="0" fontId="9" fillId="0" borderId="6" xfId="0" applyFont="1" applyBorder="1"/>
    <xf numFmtId="0" fontId="7" fillId="6" borderId="15" xfId="1" applyFont="1" applyFill="1" applyBorder="1" applyAlignment="1">
      <alignment horizontal="left" vertical="center" wrapText="1"/>
    </xf>
    <xf numFmtId="0" fontId="7" fillId="6" borderId="6" xfId="1" applyFont="1" applyFill="1" applyBorder="1" applyAlignment="1">
      <alignment horizontal="left" vertical="center" wrapText="1"/>
    </xf>
    <xf numFmtId="0" fontId="0" fillId="0" borderId="36" xfId="0" applyBorder="1"/>
    <xf numFmtId="0" fontId="6" fillId="0" borderId="7" xfId="0" applyFont="1" applyBorder="1"/>
    <xf numFmtId="0" fontId="6" fillId="0" borderId="1" xfId="0" applyFont="1" applyBorder="1"/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8" fillId="0" borderId="0" xfId="1" applyAlignment="1">
      <alignment vertical="center" wrapText="1"/>
    </xf>
    <xf numFmtId="0" fontId="6" fillId="0" borderId="37" xfId="0" applyFont="1" applyBorder="1"/>
    <xf numFmtId="0" fontId="0" fillId="0" borderId="38" xfId="0" applyBorder="1" applyAlignment="1">
      <alignment vertical="center" wrapText="1"/>
    </xf>
    <xf numFmtId="0" fontId="0" fillId="0" borderId="39" xfId="0" applyBorder="1"/>
    <xf numFmtId="0" fontId="0" fillId="0" borderId="39" xfId="0" applyBorder="1" applyAlignment="1">
      <alignment vertical="center" wrapText="1"/>
    </xf>
    <xf numFmtId="0" fontId="0" fillId="0" borderId="40" xfId="0" applyBorder="1"/>
    <xf numFmtId="0" fontId="0" fillId="0" borderId="41" xfId="0" applyBorder="1"/>
    <xf numFmtId="0" fontId="0" fillId="0" borderId="40" xfId="0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7" fillId="0" borderId="8" xfId="0" applyFont="1" applyBorder="1"/>
    <xf numFmtId="0" fontId="7" fillId="0" borderId="10" xfId="0" applyFont="1" applyBorder="1"/>
    <xf numFmtId="0" fontId="0" fillId="0" borderId="37" xfId="0" applyBorder="1"/>
    <xf numFmtId="0" fontId="0" fillId="0" borderId="38" xfId="0" applyBorder="1"/>
    <xf numFmtId="14" fontId="0" fillId="0" borderId="0" xfId="0" applyNumberFormat="1" applyAlignment="1">
      <alignment wrapText="1"/>
    </xf>
    <xf numFmtId="49" fontId="0" fillId="0" borderId="1" xfId="0" applyNumberFormat="1" applyBorder="1"/>
    <xf numFmtId="0" fontId="10" fillId="0" borderId="1" xfId="0" applyFont="1" applyBorder="1"/>
    <xf numFmtId="49" fontId="0" fillId="0" borderId="3" xfId="0" applyNumberFormat="1" applyBorder="1"/>
    <xf numFmtId="0" fontId="0" fillId="0" borderId="0" xfId="2" applyNumberFormat="1" applyFont="1"/>
    <xf numFmtId="0" fontId="14" fillId="0" borderId="1" xfId="0" applyFont="1" applyBorder="1"/>
    <xf numFmtId="0" fontId="14" fillId="0" borderId="3" xfId="0" applyFont="1" applyBorder="1"/>
    <xf numFmtId="0" fontId="14" fillId="0" borderId="42" xfId="0" applyFont="1" applyBorder="1"/>
    <xf numFmtId="0" fontId="0" fillId="0" borderId="43" xfId="0" applyBorder="1"/>
    <xf numFmtId="0" fontId="0" fillId="0" borderId="44" xfId="0" applyBorder="1"/>
    <xf numFmtId="0" fontId="14" fillId="0" borderId="37" xfId="0" applyFont="1" applyBorder="1"/>
    <xf numFmtId="0" fontId="15" fillId="8" borderId="6" xfId="0" applyFont="1" applyFill="1" applyBorder="1"/>
    <xf numFmtId="0" fontId="6" fillId="8" borderId="6" xfId="0" applyFont="1" applyFill="1" applyBorder="1"/>
    <xf numFmtId="0" fontId="6" fillId="0" borderId="6" xfId="0" applyFont="1" applyBorder="1"/>
    <xf numFmtId="0" fontId="15" fillId="0" borderId="6" xfId="0" applyFont="1" applyBorder="1"/>
    <xf numFmtId="0" fontId="15" fillId="8" borderId="8" xfId="0" applyFont="1" applyFill="1" applyBorder="1"/>
    <xf numFmtId="0" fontId="15" fillId="0" borderId="2" xfId="0" applyFont="1" applyBorder="1"/>
    <xf numFmtId="0" fontId="15" fillId="8" borderId="10" xfId="0" applyFont="1" applyFill="1" applyBorder="1"/>
    <xf numFmtId="0" fontId="15" fillId="0" borderId="4" xfId="0" applyFont="1" applyBorder="1"/>
    <xf numFmtId="0" fontId="15" fillId="0" borderId="9" xfId="0" applyFont="1" applyBorder="1"/>
    <xf numFmtId="0" fontId="15" fillId="8" borderId="15" xfId="0" applyFont="1" applyFill="1" applyBorder="1"/>
    <xf numFmtId="0" fontId="15" fillId="0" borderId="29" xfId="0" applyFont="1" applyBorder="1"/>
    <xf numFmtId="0" fontId="15" fillId="8" borderId="7" xfId="0" applyFont="1" applyFill="1" applyBorder="1"/>
    <xf numFmtId="0" fontId="6" fillId="0" borderId="8" xfId="0" applyFont="1" applyBorder="1"/>
    <xf numFmtId="0" fontId="6" fillId="8" borderId="1" xfId="0" applyFont="1" applyFill="1" applyBorder="1"/>
    <xf numFmtId="0" fontId="6" fillId="8" borderId="3" xfId="0" applyFont="1" applyFill="1" applyBorder="1"/>
    <xf numFmtId="0" fontId="15" fillId="0" borderId="10" xfId="0" applyFont="1" applyBorder="1"/>
    <xf numFmtId="0" fontId="6" fillId="8" borderId="10" xfId="0" applyFont="1" applyFill="1" applyBorder="1"/>
    <xf numFmtId="0" fontId="18" fillId="0" borderId="7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8" fillId="0" borderId="3" xfId="0" applyFont="1" applyBorder="1" applyAlignment="1">
      <alignment wrapText="1"/>
    </xf>
    <xf numFmtId="0" fontId="15" fillId="0" borderId="7" xfId="0" applyFont="1" applyBorder="1"/>
    <xf numFmtId="0" fontId="15" fillId="0" borderId="1" xfId="0" applyFont="1" applyBorder="1"/>
    <xf numFmtId="0" fontId="15" fillId="0" borderId="3" xfId="0" applyFont="1" applyBorder="1"/>
    <xf numFmtId="0" fontId="16" fillId="7" borderId="7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 wrapText="1"/>
    </xf>
    <xf numFmtId="0" fontId="16" fillId="7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5" borderId="7" xfId="0" applyFill="1" applyBorder="1"/>
    <xf numFmtId="0" fontId="0" fillId="5" borderId="1" xfId="0" applyFill="1" applyBorder="1"/>
    <xf numFmtId="0" fontId="0" fillId="5" borderId="37" xfId="0" applyFill="1" applyBorder="1"/>
    <xf numFmtId="0" fontId="4" fillId="0" borderId="7" xfId="0" applyFont="1" applyBorder="1"/>
    <xf numFmtId="0" fontId="4" fillId="0" borderId="1" xfId="0" applyFont="1" applyBorder="1"/>
    <xf numFmtId="0" fontId="4" fillId="0" borderId="37" xfId="0" applyFont="1" applyBorder="1"/>
    <xf numFmtId="0" fontId="9" fillId="0" borderId="28" xfId="0" applyFont="1" applyBorder="1"/>
    <xf numFmtId="0" fontId="9" fillId="0" borderId="1" xfId="0" applyFont="1" applyBorder="1"/>
    <xf numFmtId="0" fontId="7" fillId="0" borderId="0" xfId="0" applyFont="1"/>
    <xf numFmtId="0" fontId="9" fillId="0" borderId="37" xfId="0" applyFont="1" applyBorder="1"/>
    <xf numFmtId="0" fontId="6" fillId="0" borderId="45" xfId="0" applyFont="1" applyBorder="1"/>
    <xf numFmtId="0" fontId="0" fillId="0" borderId="46" xfId="0" applyBorder="1" applyAlignment="1">
      <alignment vertical="center" wrapText="1"/>
    </xf>
    <xf numFmtId="0" fontId="6" fillId="0" borderId="47" xfId="0" applyFont="1" applyBorder="1"/>
    <xf numFmtId="0" fontId="0" fillId="0" borderId="48" xfId="0" applyBorder="1" applyAlignment="1">
      <alignment vertical="center" wrapText="1"/>
    </xf>
    <xf numFmtId="0" fontId="6" fillId="0" borderId="49" xfId="0" applyFont="1" applyBorder="1"/>
    <xf numFmtId="0" fontId="0" fillId="0" borderId="50" xfId="0" applyBorder="1" applyAlignment="1">
      <alignment vertical="center" wrapText="1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13" fillId="7" borderId="1" xfId="0" applyFont="1" applyFill="1" applyBorder="1" applyAlignment="1">
      <alignment vertical="center"/>
    </xf>
    <xf numFmtId="0" fontId="13" fillId="7" borderId="37" xfId="0" applyFont="1" applyFill="1" applyBorder="1" applyAlignment="1">
      <alignment vertical="center"/>
    </xf>
    <xf numFmtId="0" fontId="0" fillId="0" borderId="42" xfId="0" applyBorder="1"/>
    <xf numFmtId="0" fontId="3" fillId="3" borderId="5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 wrapText="1"/>
    </xf>
    <xf numFmtId="0" fontId="3" fillId="3" borderId="11" xfId="2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8" fontId="0" fillId="0" borderId="0" xfId="0" applyNumberFormat="1"/>
    <xf numFmtId="0" fontId="0" fillId="0" borderId="0" xfId="2" applyNumberFormat="1" applyFont="1" applyBorder="1"/>
    <xf numFmtId="0" fontId="0" fillId="0" borderId="0" xfId="2" applyNumberFormat="1" applyFont="1" applyFill="1" applyBorder="1"/>
  </cellXfs>
  <cellStyles count="3">
    <cellStyle name="Hipervínculo" xfId="1" builtinId="8"/>
    <cellStyle name="Millares" xfId="2" builtinId="3"/>
    <cellStyle name="Normal" xfId="0" builtinId="0"/>
  </cellStyles>
  <dxfs count="34">
    <dxf>
      <fill>
        <patternFill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numFmt numFmtId="0" formatCode="General"/>
    </dxf>
    <dxf>
      <numFmt numFmtId="19" formatCode="d/mm/yyyy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C7E2E7"/>
      <color rgb="FF166284"/>
      <color rgb="FF515151"/>
      <color rgb="FFCAE6EC"/>
      <color rgb="FFFF4343"/>
      <color rgb="FF12506C"/>
      <color rgb="FF0A2D3C"/>
      <color rgb="FFE96A2B"/>
      <color rgb="FFD45516"/>
      <color rgb="FFBC4C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221B34-E2F7-4069-92D7-02C84F2D27CD}" name="Seminarios" displayName="Seminarios" ref="A1:N65" totalsRowShown="0" headerRowDxfId="33" headerRowBorderDxfId="32" tableBorderDxfId="31">
  <autoFilter ref="A1:N65" xr:uid="{5C221B34-E2F7-4069-92D7-02C84F2D27CD}"/>
  <tableColumns count="14">
    <tableColumn id="1" xr3:uid="{FBC57915-ED45-47F8-85EE-580E10101B69}" name="Seminario" dataDxfId="30"/>
    <tableColumn id="10" xr3:uid="{FACBE9FB-C5D7-4428-A600-9AD607156B18}" name="Categoría" dataDxfId="29"/>
    <tableColumn id="2" xr3:uid="{D736DC26-6EA5-4FCC-96FF-6D51E9171173}" name="Nombre del seminario" dataDxfId="28"/>
    <tableColumn id="3" xr3:uid="{7A9ECF05-30DE-4F6E-9813-238926F37375}" name="Conferencista 1"/>
    <tableColumn id="4" xr3:uid="{70297B0C-3ED5-49BA-B4F9-6F86F45A233A}" name="Conferencista 2"/>
    <tableColumn id="11" xr3:uid="{B10F7D03-7402-4A65-AD67-0F7803BBA6D9}" name="Conferencista 3"/>
    <tableColumn id="12" xr3:uid="{B0196F3A-BD6B-45B5-9943-CC2A5644CC4B}" name="Conferencista 4"/>
    <tableColumn id="13" xr3:uid="{6D9BEEEB-1051-4CA0-B626-84C5FAEC502D}" name="Conferencista 5"/>
    <tableColumn id="5" xr3:uid="{88093183-E52F-45B8-B646-36B3D0D8E4F1}" name="Fecha" dataDxfId="27"/>
    <tableColumn id="6" xr3:uid="{CC04A9A9-B18B-4366-B0C6-7449C058F731}" name="Hora"/>
    <tableColumn id="16" xr3:uid="{8732051A-3F12-4C59-A642-F2808DA83A8A}" name="Año" dataDxfId="26" dataCellStyle="Millares">
      <calculatedColumnFormula>YEAR(Seminarios[[#This Row],[Fecha]])</calculatedColumnFormula>
    </tableColumn>
    <tableColumn id="8" xr3:uid="{D575B66C-3155-40C7-90DE-C07882EA33D2}" name="Modalidad"/>
    <tableColumn id="7" xr3:uid="{911EEACD-422B-4DAD-A1ED-C96B169A23DC}" name="Lugar"/>
    <tableColumn id="9" xr3:uid="{BF2E40FF-1735-4054-A9A4-5532ACA1974C}" name="Á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71FFD5-3437-43BE-A69E-A6278812FCB2}" name="Conferencistas" displayName="Conferencistas" ref="A1:K72" totalsRowShown="0" headerRowDxfId="25" headerRowBorderDxfId="24" tableBorderDxfId="23">
  <autoFilter ref="A1:K72" xr:uid="{B271FFD5-3437-43BE-A69E-A6278812FCB2}"/>
  <tableColumns count="11">
    <tableColumn id="1" xr3:uid="{3FCA2426-69E1-4729-B59E-C37CD119BB1F}" name="Nombre" dataDxfId="22"/>
    <tableColumn id="2" xr3:uid="{C0557BD2-AA07-4876-9308-6AA849683278}" name="Apellido" dataDxfId="21"/>
    <tableColumn id="3" xr3:uid="{6529FA5E-2706-48EC-A2DD-735038D49C59}" name="Nombre Completo" dataDxfId="20">
      <calculatedColumnFormula>_xlfn.CONCAT(Conferencistas[[#This Row],[Nombre]]," ",Conferencistas[[#This Row],[Apellido]])</calculatedColumnFormula>
    </tableColumn>
    <tableColumn id="4" xr3:uid="{746DA504-B083-4AB0-B92B-ADCAC9904421}" name="Genero"/>
    <tableColumn id="5" xr3:uid="{E66E0A7B-074E-4713-BBF6-E374EDC0631E}" name="Nacionalidad"/>
    <tableColumn id="6" xr3:uid="{6BF925C0-8111-4C6B-B828-3C6A7F0E1228}" name="Fecha nacimiento" dataDxfId="19"/>
    <tableColumn id="7" xr3:uid="{902BC7D3-7C96-4ADE-BB0B-BE3938B454C9}" name="Nombre Universidad origen"/>
    <tableColumn id="8" xr3:uid="{A522535C-D221-4CA5-BB94-3A4D405240E3}" name="País Universidad origen"/>
    <tableColumn id="9" xr3:uid="{393185C3-AC42-4236-8327-0853F169FC6A}" name="Ubicación" dataDxfId="18"/>
    <tableColumn id="10" xr3:uid="{FAAE56DA-08B3-4330-97AF-5F44EAE40BB4}" name="Seminario que dirigió" dataDxfId="17">
      <calculatedColumnFormula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calculatedColumnFormula>
    </tableColumn>
    <tableColumn id="11" xr3:uid="{BF77A2F8-9E3F-41E6-8E64-A9822CA8E51E}" name="Año" dataDxfId="16">
      <calculatedColumnFormula>_xlfn.XLOOKUP(Conferencistas[[#This Row],[Seminario que dirigió]],Seminarios[Seminario],Seminarios[Año])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430E6-F968-4F25-AF59-BC16979AB275}" name="Participantes" displayName="Participantes" ref="A1:G1301" totalsRowShown="0" headerRowDxfId="15" tableBorderDxfId="14">
  <autoFilter ref="A1:G1301" xr:uid="{332430E6-F968-4F25-AF59-BC16979AB275}"/>
  <tableColumns count="7">
    <tableColumn id="1" xr3:uid="{7941237C-1A2E-4A60-AE79-51E4D93E8B10}" name="Nombre" dataDxfId="13"/>
    <tableColumn id="2" xr3:uid="{B3EDEA96-760B-423B-B108-00B0668AE02E}" name="Correo" dataDxfId="12" totalsRowDxfId="11"/>
    <tableColumn id="3" xr3:uid="{B39FF4ED-B2F1-4E61-B0AF-05A4880290A3}" name="Género" dataDxfId="10" totalsRowDxfId="9"/>
    <tableColumn id="4" xr3:uid="{D8EEE4EB-833D-4C21-A5BE-88486E0D45E6}" name="Tipo Asistente" dataDxfId="8" totalsRowDxfId="7"/>
    <tableColumn id="5" xr3:uid="{4A954020-671B-4CF5-98A7-E5C9A188DCB3}" name="Modalidad" dataDxfId="6" totalsRowDxfId="5"/>
    <tableColumn id="6" xr3:uid="{677FE6C6-08AB-42E0-836E-F6D0EE3FDA83}" name="Seminario al que asistió" dataDxfId="4" totalsRowDxfId="3"/>
    <tableColumn id="7" xr3:uid="{8A1CE233-C3E8-4880-B84D-97F1935AA49E}" name="Año" dataDxfId="2" totalsRowDxfId="1">
      <calculatedColumnFormula>_xlfn.XLOOKUP(Participantes[[#This Row],[Seminario al que asistió]],Seminarios[Seminario],Seminarios[Año])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kiker@gmail.com" TargetMode="External"/><Relationship Id="rId2" Type="http://schemas.openxmlformats.org/officeDocument/2006/relationships/hyperlink" Target="mailto:jose.gonzalez@profesores.uamerica.edu.co" TargetMode="External"/><Relationship Id="rId1" Type="http://schemas.openxmlformats.org/officeDocument/2006/relationships/hyperlink" Target="mailto:cfuquen@unal.edu.co" TargetMode="External"/><Relationship Id="rId6" Type="http://schemas.openxmlformats.org/officeDocument/2006/relationships/table" Target="../tables/table3.xml"/><Relationship Id="rId5" Type="http://schemas.openxmlformats.org/officeDocument/2006/relationships/hyperlink" Target="mailto:jd.martinezo@uniandes.edu.co" TargetMode="External"/><Relationship Id="rId4" Type="http://schemas.openxmlformats.org/officeDocument/2006/relationships/hyperlink" Target="mailto:almaraz@colef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9080-CADC-464B-86CB-8EDC99498EB3}">
  <dimension ref="A1:N65"/>
  <sheetViews>
    <sheetView topLeftCell="A52" zoomScale="80" zoomScaleNormal="80" workbookViewId="0">
      <selection activeCell="P1" sqref="P1:P1048576"/>
    </sheetView>
  </sheetViews>
  <sheetFormatPr baseColWidth="10" defaultColWidth="11.42578125" defaultRowHeight="15" x14ac:dyDescent="0.25"/>
  <cols>
    <col min="1" max="1" width="13.42578125" customWidth="1"/>
    <col min="2" max="2" width="22" customWidth="1"/>
    <col min="3" max="3" width="53.28515625" style="1" customWidth="1"/>
    <col min="4" max="4" width="21.28515625" bestFit="1" customWidth="1"/>
    <col min="5" max="8" width="17.7109375" customWidth="1"/>
    <col min="11" max="11" width="11.42578125" style="83"/>
    <col min="13" max="13" width="11.42578125" customWidth="1"/>
    <col min="14" max="14" width="17.5703125" customWidth="1"/>
    <col min="17" max="17" width="11.7109375" bestFit="1" customWidth="1"/>
  </cols>
  <sheetData>
    <row r="1" spans="1:14" x14ac:dyDescent="0.25">
      <c r="A1" s="143" t="s">
        <v>126</v>
      </c>
      <c r="B1" s="144" t="s">
        <v>127</v>
      </c>
      <c r="C1" s="145" t="s">
        <v>128</v>
      </c>
      <c r="D1" s="143" t="s">
        <v>129</v>
      </c>
      <c r="E1" s="143" t="s">
        <v>130</v>
      </c>
      <c r="F1" s="143" t="s">
        <v>131</v>
      </c>
      <c r="G1" s="143" t="s">
        <v>132</v>
      </c>
      <c r="H1" s="143" t="s">
        <v>133</v>
      </c>
      <c r="I1" s="143" t="s">
        <v>134</v>
      </c>
      <c r="J1" s="143" t="s">
        <v>135</v>
      </c>
      <c r="K1" s="146" t="s">
        <v>136</v>
      </c>
      <c r="L1" s="147" t="s">
        <v>124</v>
      </c>
      <c r="M1" s="143" t="s">
        <v>137</v>
      </c>
      <c r="N1" s="148" t="s">
        <v>138</v>
      </c>
    </row>
    <row r="2" spans="1:14" ht="45" x14ac:dyDescent="0.25">
      <c r="A2" s="28" t="s">
        <v>3</v>
      </c>
      <c r="B2" s="28" t="s">
        <v>0</v>
      </c>
      <c r="C2" s="1" t="s">
        <v>139</v>
      </c>
      <c r="D2" t="s">
        <v>4</v>
      </c>
      <c r="E2" t="s">
        <v>27</v>
      </c>
      <c r="F2" t="s">
        <v>27</v>
      </c>
      <c r="G2" t="s">
        <v>27</v>
      </c>
      <c r="H2" t="s">
        <v>27</v>
      </c>
      <c r="I2" s="2">
        <v>45370</v>
      </c>
      <c r="J2" s="149">
        <v>0.375</v>
      </c>
      <c r="K2" s="150">
        <f>YEAR(Seminarios[[#This Row],[Fecha]])</f>
        <v>2024</v>
      </c>
      <c r="L2" t="s">
        <v>1</v>
      </c>
      <c r="M2" t="s">
        <v>140</v>
      </c>
      <c r="N2" t="s">
        <v>66</v>
      </c>
    </row>
    <row r="3" spans="1:14" ht="45" x14ac:dyDescent="0.25">
      <c r="A3" s="28" t="s">
        <v>7</v>
      </c>
      <c r="B3" s="28" t="s">
        <v>0</v>
      </c>
      <c r="C3" s="1" t="s">
        <v>141</v>
      </c>
      <c r="D3" t="s">
        <v>142</v>
      </c>
      <c r="E3" t="s">
        <v>27</v>
      </c>
      <c r="F3" t="s">
        <v>27</v>
      </c>
      <c r="G3" t="s">
        <v>27</v>
      </c>
      <c r="H3" t="s">
        <v>27</v>
      </c>
      <c r="I3" s="2">
        <v>45407</v>
      </c>
      <c r="J3" s="149">
        <v>0.52083333333333337</v>
      </c>
      <c r="K3" s="150">
        <f>YEAR(Seminarios[[#This Row],[Fecha]])</f>
        <v>2024</v>
      </c>
      <c r="L3" t="s">
        <v>1</v>
      </c>
      <c r="M3" t="s">
        <v>143</v>
      </c>
      <c r="N3" s="1" t="s">
        <v>1258</v>
      </c>
    </row>
    <row r="4" spans="1:14" ht="30" x14ac:dyDescent="0.25">
      <c r="A4" s="28" t="s">
        <v>11</v>
      </c>
      <c r="B4" s="28" t="s">
        <v>0</v>
      </c>
      <c r="C4" s="1" t="s">
        <v>144</v>
      </c>
      <c r="D4" t="s">
        <v>12</v>
      </c>
      <c r="E4" t="s">
        <v>27</v>
      </c>
      <c r="F4" t="s">
        <v>27</v>
      </c>
      <c r="G4" t="s">
        <v>27</v>
      </c>
      <c r="H4" t="s">
        <v>27</v>
      </c>
      <c r="I4" s="2">
        <v>45411</v>
      </c>
      <c r="J4" s="149">
        <v>0.52083333333333337</v>
      </c>
      <c r="K4" s="150">
        <f>YEAR(Seminarios[[#This Row],[Fecha]])</f>
        <v>2024</v>
      </c>
      <c r="L4" t="s">
        <v>1</v>
      </c>
      <c r="M4" t="s">
        <v>145</v>
      </c>
      <c r="N4" t="s">
        <v>46</v>
      </c>
    </row>
    <row r="5" spans="1:14" ht="30" x14ac:dyDescent="0.25">
      <c r="A5" s="28" t="s">
        <v>14</v>
      </c>
      <c r="B5" s="28" t="s">
        <v>0</v>
      </c>
      <c r="C5" s="1" t="s">
        <v>146</v>
      </c>
      <c r="D5" t="s">
        <v>15</v>
      </c>
      <c r="E5" t="s">
        <v>27</v>
      </c>
      <c r="F5" t="s">
        <v>27</v>
      </c>
      <c r="G5" t="s">
        <v>27</v>
      </c>
      <c r="H5" t="s">
        <v>27</v>
      </c>
      <c r="I5" s="2">
        <v>45460</v>
      </c>
      <c r="J5" s="149">
        <v>0.45833333333333331</v>
      </c>
      <c r="K5" s="150">
        <f>YEAR(Seminarios[[#This Row],[Fecha]])</f>
        <v>2024</v>
      </c>
      <c r="L5" t="s">
        <v>5</v>
      </c>
      <c r="M5" t="s">
        <v>147</v>
      </c>
      <c r="N5" t="s">
        <v>41</v>
      </c>
    </row>
    <row r="6" spans="1:14" ht="30" x14ac:dyDescent="0.25">
      <c r="A6" s="28" t="s">
        <v>16</v>
      </c>
      <c r="B6" s="28" t="s">
        <v>0</v>
      </c>
      <c r="C6" s="1" t="s">
        <v>148</v>
      </c>
      <c r="D6" t="s">
        <v>17</v>
      </c>
      <c r="E6" t="s">
        <v>27</v>
      </c>
      <c r="F6" t="s">
        <v>27</v>
      </c>
      <c r="G6" t="s">
        <v>27</v>
      </c>
      <c r="H6" t="s">
        <v>27</v>
      </c>
      <c r="I6" s="2">
        <v>45460</v>
      </c>
      <c r="J6" s="149">
        <v>0.45833333333333331</v>
      </c>
      <c r="K6" s="150">
        <f>YEAR(Seminarios[[#This Row],[Fecha]])</f>
        <v>2024</v>
      </c>
      <c r="L6" t="s">
        <v>9</v>
      </c>
      <c r="M6" t="s">
        <v>149</v>
      </c>
      <c r="N6" t="s">
        <v>46</v>
      </c>
    </row>
    <row r="7" spans="1:14" ht="30" x14ac:dyDescent="0.25">
      <c r="A7" s="28" t="s">
        <v>18</v>
      </c>
      <c r="B7" s="28" t="s">
        <v>0</v>
      </c>
      <c r="C7" s="1" t="s">
        <v>150</v>
      </c>
      <c r="D7" t="s">
        <v>151</v>
      </c>
      <c r="E7" t="s">
        <v>152</v>
      </c>
      <c r="F7" t="s">
        <v>27</v>
      </c>
      <c r="G7" t="s">
        <v>27</v>
      </c>
      <c r="H7" t="s">
        <v>27</v>
      </c>
      <c r="I7" s="2">
        <v>45364</v>
      </c>
      <c r="J7" s="149">
        <v>0.5</v>
      </c>
      <c r="K7" s="150">
        <f>YEAR(Seminarios[[#This Row],[Fecha]])</f>
        <v>2024</v>
      </c>
      <c r="L7" t="s">
        <v>1</v>
      </c>
      <c r="M7" t="s">
        <v>140</v>
      </c>
      <c r="N7" t="s">
        <v>41</v>
      </c>
    </row>
    <row r="8" spans="1:14" x14ac:dyDescent="0.25">
      <c r="A8" s="28" t="s">
        <v>37</v>
      </c>
      <c r="B8" s="28" t="s">
        <v>22</v>
      </c>
      <c r="C8" s="1" t="s">
        <v>153</v>
      </c>
      <c r="D8" t="s">
        <v>38</v>
      </c>
      <c r="E8" t="s">
        <v>27</v>
      </c>
      <c r="F8" t="s">
        <v>27</v>
      </c>
      <c r="G8" t="s">
        <v>27</v>
      </c>
      <c r="H8" t="s">
        <v>27</v>
      </c>
      <c r="I8" s="2">
        <v>45386</v>
      </c>
      <c r="J8" s="149">
        <v>0.54166666666666663</v>
      </c>
      <c r="K8" s="150">
        <f>YEAR(Seminarios[[#This Row],[Fecha]])</f>
        <v>2024</v>
      </c>
      <c r="L8" t="s">
        <v>5</v>
      </c>
      <c r="M8" t="s">
        <v>147</v>
      </c>
      <c r="N8" s="1" t="s">
        <v>1258</v>
      </c>
    </row>
    <row r="9" spans="1:14" ht="30" x14ac:dyDescent="0.25">
      <c r="A9" s="28" t="s">
        <v>39</v>
      </c>
      <c r="B9" s="28" t="s">
        <v>22</v>
      </c>
      <c r="C9" s="1" t="s">
        <v>154</v>
      </c>
      <c r="D9" t="s">
        <v>155</v>
      </c>
      <c r="E9" t="s">
        <v>27</v>
      </c>
      <c r="F9" t="s">
        <v>27</v>
      </c>
      <c r="G9" t="s">
        <v>27</v>
      </c>
      <c r="H9" t="s">
        <v>27</v>
      </c>
      <c r="I9" s="2">
        <v>45428</v>
      </c>
      <c r="J9" t="s">
        <v>27</v>
      </c>
      <c r="K9" s="151">
        <f>YEAR(Seminarios[[#This Row],[Fecha]])</f>
        <v>2024</v>
      </c>
      <c r="L9" t="s">
        <v>1</v>
      </c>
      <c r="M9" t="s">
        <v>156</v>
      </c>
      <c r="N9" t="s">
        <v>41</v>
      </c>
    </row>
    <row r="10" spans="1:14" x14ac:dyDescent="0.25">
      <c r="A10" s="28" t="s">
        <v>72</v>
      </c>
      <c r="B10" s="28" t="s">
        <v>26</v>
      </c>
      <c r="C10" s="1" t="s">
        <v>157</v>
      </c>
      <c r="D10" t="s">
        <v>73</v>
      </c>
      <c r="E10" t="s">
        <v>27</v>
      </c>
      <c r="F10" t="s">
        <v>27</v>
      </c>
      <c r="G10" t="s">
        <v>27</v>
      </c>
      <c r="H10" t="s">
        <v>27</v>
      </c>
      <c r="I10" s="2">
        <v>45335</v>
      </c>
      <c r="J10" t="s">
        <v>27</v>
      </c>
      <c r="K10" s="151">
        <f>YEAR(Seminarios[[#This Row],[Fecha]])</f>
        <v>2024</v>
      </c>
      <c r="L10" t="s">
        <v>9</v>
      </c>
      <c r="M10" t="s">
        <v>149</v>
      </c>
      <c r="N10" t="s">
        <v>58</v>
      </c>
    </row>
    <row r="11" spans="1:14" x14ac:dyDescent="0.25">
      <c r="A11" s="28" t="s">
        <v>75</v>
      </c>
      <c r="B11" s="28" t="s">
        <v>26</v>
      </c>
      <c r="C11" s="1" t="s">
        <v>158</v>
      </c>
      <c r="D11" t="s">
        <v>76</v>
      </c>
      <c r="E11" t="s">
        <v>27</v>
      </c>
      <c r="F11" t="s">
        <v>27</v>
      </c>
      <c r="G11" t="s">
        <v>27</v>
      </c>
      <c r="H11" t="s">
        <v>27</v>
      </c>
      <c r="I11" s="2">
        <v>45398</v>
      </c>
      <c r="J11" t="s">
        <v>27</v>
      </c>
      <c r="K11" s="151">
        <f>YEAR(Seminarios[[#This Row],[Fecha]])</f>
        <v>2024</v>
      </c>
      <c r="L11" t="s">
        <v>9</v>
      </c>
      <c r="M11" t="s">
        <v>149</v>
      </c>
      <c r="N11" t="s">
        <v>58</v>
      </c>
    </row>
    <row r="12" spans="1:14" x14ac:dyDescent="0.25">
      <c r="A12" s="28" t="s">
        <v>78</v>
      </c>
      <c r="B12" s="28" t="s">
        <v>26</v>
      </c>
      <c r="D12" t="s">
        <v>79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s="151">
        <v>2024</v>
      </c>
      <c r="L12" t="s">
        <v>9</v>
      </c>
      <c r="M12" t="s">
        <v>27</v>
      </c>
      <c r="N12" t="s">
        <v>58</v>
      </c>
    </row>
    <row r="13" spans="1:14" ht="30" x14ac:dyDescent="0.25">
      <c r="A13" s="28" t="s">
        <v>118</v>
      </c>
      <c r="B13" s="28" t="s">
        <v>33</v>
      </c>
      <c r="C13" s="1" t="s">
        <v>159</v>
      </c>
      <c r="D13" s="28" t="s">
        <v>160</v>
      </c>
      <c r="E13" t="s">
        <v>27</v>
      </c>
      <c r="F13" t="s">
        <v>27</v>
      </c>
      <c r="G13" t="s">
        <v>27</v>
      </c>
      <c r="H13" t="s">
        <v>27</v>
      </c>
      <c r="I13" s="2">
        <v>45500</v>
      </c>
      <c r="J13" s="149">
        <v>0.52083333333333337</v>
      </c>
      <c r="K13" s="151">
        <f>YEAR(Seminarios[[#This Row],[Fecha]])</f>
        <v>2024</v>
      </c>
      <c r="L13" t="s">
        <v>9</v>
      </c>
      <c r="M13" t="s">
        <v>149</v>
      </c>
      <c r="N13" s="1" t="s">
        <v>62</v>
      </c>
    </row>
    <row r="14" spans="1:14" ht="30" x14ac:dyDescent="0.25">
      <c r="A14" s="28" t="s">
        <v>44</v>
      </c>
      <c r="B14" s="28" t="s">
        <v>22</v>
      </c>
      <c r="C14" s="1" t="s">
        <v>161</v>
      </c>
      <c r="D14" s="28" t="s">
        <v>45</v>
      </c>
      <c r="E14" t="s">
        <v>27</v>
      </c>
      <c r="F14" t="s">
        <v>27</v>
      </c>
      <c r="G14" t="s">
        <v>27</v>
      </c>
      <c r="H14" t="s">
        <v>27</v>
      </c>
      <c r="I14" s="2">
        <v>45512</v>
      </c>
      <c r="J14" s="149">
        <v>0.52083333333333337</v>
      </c>
      <c r="K14" s="150">
        <f>YEAR(Seminarios[[#This Row],[Fecha]])</f>
        <v>2024</v>
      </c>
      <c r="L14" t="s">
        <v>9</v>
      </c>
      <c r="M14" t="s">
        <v>149</v>
      </c>
      <c r="N14" s="1" t="s">
        <v>66</v>
      </c>
    </row>
    <row r="15" spans="1:14" ht="45" x14ac:dyDescent="0.25">
      <c r="A15" s="28" t="s">
        <v>86</v>
      </c>
      <c r="B15" s="28" t="s">
        <v>30</v>
      </c>
      <c r="C15" s="1" t="s">
        <v>162</v>
      </c>
      <c r="D15" t="s">
        <v>87</v>
      </c>
      <c r="E15" t="s">
        <v>27</v>
      </c>
      <c r="F15" t="s">
        <v>27</v>
      </c>
      <c r="G15" t="s">
        <v>27</v>
      </c>
      <c r="H15" t="s">
        <v>27</v>
      </c>
      <c r="I15" s="2">
        <v>45527</v>
      </c>
      <c r="J15" s="149">
        <v>0.45833333333333331</v>
      </c>
      <c r="K15" s="150">
        <f>YEAR(Seminarios[[#This Row],[Fecha]])</f>
        <v>2024</v>
      </c>
      <c r="L15" t="s">
        <v>5</v>
      </c>
      <c r="M15" t="s">
        <v>147</v>
      </c>
      <c r="N15" t="s">
        <v>46</v>
      </c>
    </row>
    <row r="16" spans="1:14" ht="30" x14ac:dyDescent="0.25">
      <c r="A16" s="28" t="s">
        <v>81</v>
      </c>
      <c r="B16" s="28" t="s">
        <v>26</v>
      </c>
      <c r="C16" s="1" t="s">
        <v>163</v>
      </c>
      <c r="D16" t="s">
        <v>164</v>
      </c>
      <c r="E16" t="s">
        <v>165</v>
      </c>
      <c r="F16" t="s">
        <v>166</v>
      </c>
      <c r="G16" t="s">
        <v>167</v>
      </c>
      <c r="H16" t="s">
        <v>27</v>
      </c>
      <c r="I16" s="2">
        <v>45531</v>
      </c>
      <c r="J16" s="149">
        <v>0.52083333333333337</v>
      </c>
      <c r="K16" s="150">
        <f>YEAR(Seminarios[[#This Row],[Fecha]])</f>
        <v>2024</v>
      </c>
      <c r="L16" t="s">
        <v>9</v>
      </c>
      <c r="M16" s="1" t="s">
        <v>168</v>
      </c>
      <c r="N16" t="s">
        <v>58</v>
      </c>
    </row>
    <row r="17" spans="1:14" ht="45" x14ac:dyDescent="0.25">
      <c r="A17" s="28" t="s">
        <v>88</v>
      </c>
      <c r="B17" s="28" t="s">
        <v>30</v>
      </c>
      <c r="C17" s="1" t="s">
        <v>169</v>
      </c>
      <c r="D17" t="s">
        <v>89</v>
      </c>
      <c r="E17" t="s">
        <v>27</v>
      </c>
      <c r="F17" t="s">
        <v>27</v>
      </c>
      <c r="G17" t="s">
        <v>27</v>
      </c>
      <c r="H17" t="s">
        <v>27</v>
      </c>
      <c r="I17" s="2">
        <v>45531</v>
      </c>
      <c r="J17" s="149">
        <v>0.4375</v>
      </c>
      <c r="K17" s="150">
        <f>YEAR(Seminarios[[#This Row],[Fecha]])</f>
        <v>2024</v>
      </c>
      <c r="L17" t="s">
        <v>1</v>
      </c>
      <c r="M17" t="s">
        <v>170</v>
      </c>
      <c r="N17" t="s">
        <v>46</v>
      </c>
    </row>
    <row r="18" spans="1:14" ht="30" x14ac:dyDescent="0.25">
      <c r="A18" s="28" t="s">
        <v>49</v>
      </c>
      <c r="B18" s="28" t="s">
        <v>22</v>
      </c>
      <c r="C18" s="1" t="s">
        <v>171</v>
      </c>
      <c r="D18" t="s">
        <v>50</v>
      </c>
      <c r="E18" t="s">
        <v>27</v>
      </c>
      <c r="F18" t="s">
        <v>27</v>
      </c>
      <c r="G18" t="s">
        <v>27</v>
      </c>
      <c r="H18" t="s">
        <v>27</v>
      </c>
      <c r="I18" s="2">
        <v>45554</v>
      </c>
      <c r="J18" s="149">
        <v>0.52083333333333337</v>
      </c>
      <c r="K18" s="150">
        <f>YEAR(Seminarios[[#This Row],[Fecha]])</f>
        <v>2024</v>
      </c>
      <c r="L18" t="s">
        <v>1</v>
      </c>
      <c r="M18" t="s">
        <v>145</v>
      </c>
      <c r="N18" t="s">
        <v>66</v>
      </c>
    </row>
    <row r="19" spans="1:14" ht="30" x14ac:dyDescent="0.25">
      <c r="A19" s="28" t="s">
        <v>90</v>
      </c>
      <c r="B19" s="28" t="s">
        <v>30</v>
      </c>
      <c r="C19" s="1" t="s">
        <v>172</v>
      </c>
      <c r="D19" t="s">
        <v>91</v>
      </c>
      <c r="E19" t="s">
        <v>27</v>
      </c>
      <c r="F19" t="s">
        <v>27</v>
      </c>
      <c r="G19" t="s">
        <v>27</v>
      </c>
      <c r="H19" t="s">
        <v>27</v>
      </c>
      <c r="I19" s="2">
        <v>45560</v>
      </c>
      <c r="J19" s="149">
        <v>0.41666666666666669</v>
      </c>
      <c r="K19" s="150">
        <f>YEAR(Seminarios[[#This Row],[Fecha]])</f>
        <v>2024</v>
      </c>
      <c r="L19" t="s">
        <v>5</v>
      </c>
      <c r="M19" t="s">
        <v>147</v>
      </c>
      <c r="N19" s="1" t="s">
        <v>62</v>
      </c>
    </row>
    <row r="20" spans="1:14" ht="30" x14ac:dyDescent="0.25">
      <c r="A20" s="28" t="s">
        <v>83</v>
      </c>
      <c r="B20" s="28" t="s">
        <v>26</v>
      </c>
      <c r="C20" s="1" t="s">
        <v>173</v>
      </c>
      <c r="D20" t="s">
        <v>174</v>
      </c>
      <c r="E20" t="s">
        <v>167</v>
      </c>
      <c r="F20" t="s">
        <v>175</v>
      </c>
      <c r="G20" t="s">
        <v>176</v>
      </c>
      <c r="H20" t="s">
        <v>177</v>
      </c>
      <c r="I20" s="2">
        <v>45559</v>
      </c>
      <c r="J20" s="149">
        <v>0.52083333333333337</v>
      </c>
      <c r="K20" s="150">
        <f>YEAR(Seminarios[[#This Row],[Fecha]])</f>
        <v>2024</v>
      </c>
      <c r="L20" t="s">
        <v>9</v>
      </c>
      <c r="M20" t="s">
        <v>178</v>
      </c>
      <c r="N20" t="s">
        <v>58</v>
      </c>
    </row>
    <row r="21" spans="1:14" ht="45" x14ac:dyDescent="0.25">
      <c r="A21" s="28" t="s">
        <v>92</v>
      </c>
      <c r="B21" s="28" t="s">
        <v>30</v>
      </c>
      <c r="C21" s="1" t="s">
        <v>179</v>
      </c>
      <c r="D21" t="s">
        <v>93</v>
      </c>
      <c r="E21" t="s">
        <v>27</v>
      </c>
      <c r="F21" t="s">
        <v>27</v>
      </c>
      <c r="G21" t="s">
        <v>27</v>
      </c>
      <c r="H21" t="s">
        <v>27</v>
      </c>
      <c r="I21" s="2">
        <v>45561</v>
      </c>
      <c r="J21" s="149">
        <v>0.58333333333333337</v>
      </c>
      <c r="K21" s="150">
        <f>YEAR(Seminarios[[#This Row],[Fecha]])</f>
        <v>2024</v>
      </c>
      <c r="L21" t="s">
        <v>5</v>
      </c>
      <c r="M21" t="s">
        <v>147</v>
      </c>
      <c r="N21" s="1" t="s">
        <v>62</v>
      </c>
    </row>
    <row r="22" spans="1:14" ht="30" x14ac:dyDescent="0.25">
      <c r="A22" s="28" t="s">
        <v>54</v>
      </c>
      <c r="B22" s="28" t="s">
        <v>22</v>
      </c>
      <c r="C22" s="1" t="s">
        <v>180</v>
      </c>
      <c r="D22" t="s">
        <v>55</v>
      </c>
      <c r="E22" t="s">
        <v>27</v>
      </c>
      <c r="F22" t="s">
        <v>27</v>
      </c>
      <c r="G22" t="s">
        <v>27</v>
      </c>
      <c r="H22" t="s">
        <v>27</v>
      </c>
      <c r="I22" s="2">
        <v>45582</v>
      </c>
      <c r="J22" s="149">
        <v>0.52083333333333337</v>
      </c>
      <c r="K22" s="150">
        <f>YEAR(Seminarios[[#This Row],[Fecha]])</f>
        <v>2024</v>
      </c>
      <c r="L22" t="s">
        <v>1</v>
      </c>
      <c r="M22" t="s">
        <v>181</v>
      </c>
      <c r="N22" t="s">
        <v>66</v>
      </c>
    </row>
    <row r="23" spans="1:14" ht="30" x14ac:dyDescent="0.25">
      <c r="A23" s="28" t="s">
        <v>94</v>
      </c>
      <c r="B23" s="28" t="s">
        <v>30</v>
      </c>
      <c r="C23" s="1" t="s">
        <v>182</v>
      </c>
      <c r="D23" t="s">
        <v>95</v>
      </c>
      <c r="E23" t="s">
        <v>27</v>
      </c>
      <c r="F23" t="s">
        <v>27</v>
      </c>
      <c r="G23" t="s">
        <v>27</v>
      </c>
      <c r="H23" t="s">
        <v>27</v>
      </c>
      <c r="I23" s="2">
        <v>45586</v>
      </c>
      <c r="J23" s="149">
        <v>0.52083333333333337</v>
      </c>
      <c r="K23" s="150">
        <f>YEAR(Seminarios[[#This Row],[Fecha]])</f>
        <v>2024</v>
      </c>
      <c r="L23" t="s">
        <v>5</v>
      </c>
      <c r="M23" t="s">
        <v>147</v>
      </c>
      <c r="N23" t="s">
        <v>66</v>
      </c>
    </row>
    <row r="24" spans="1:14" ht="30" x14ac:dyDescent="0.25">
      <c r="A24" s="28" t="s">
        <v>57</v>
      </c>
      <c r="B24" s="28" t="s">
        <v>22</v>
      </c>
      <c r="C24" s="1" t="s">
        <v>183</v>
      </c>
      <c r="D24" t="s">
        <v>184</v>
      </c>
      <c r="E24" t="s">
        <v>185</v>
      </c>
      <c r="F24" t="s">
        <v>27</v>
      </c>
      <c r="G24" t="s">
        <v>27</v>
      </c>
      <c r="H24" t="s">
        <v>27</v>
      </c>
      <c r="I24" s="2">
        <v>45609</v>
      </c>
      <c r="J24" s="149">
        <v>0.52083333333333337</v>
      </c>
      <c r="K24" s="150">
        <f>YEAR(Seminarios[[#This Row],[Fecha]])</f>
        <v>2024</v>
      </c>
      <c r="L24" t="s">
        <v>1</v>
      </c>
      <c r="M24" t="s">
        <v>156</v>
      </c>
      <c r="N24" t="s">
        <v>46</v>
      </c>
    </row>
    <row r="25" spans="1:14" ht="30" x14ac:dyDescent="0.25">
      <c r="A25" s="28" t="s">
        <v>96</v>
      </c>
      <c r="B25" s="28" t="s">
        <v>30</v>
      </c>
      <c r="C25" s="1" t="s">
        <v>186</v>
      </c>
      <c r="D25" s="1" t="s">
        <v>97</v>
      </c>
      <c r="E25" t="s">
        <v>27</v>
      </c>
      <c r="F25" t="s">
        <v>27</v>
      </c>
      <c r="G25" t="s">
        <v>27</v>
      </c>
      <c r="H25" t="s">
        <v>27</v>
      </c>
      <c r="I25" s="2">
        <v>45593</v>
      </c>
      <c r="J25" s="149">
        <v>0.52083333333333337</v>
      </c>
      <c r="K25" s="150">
        <f>YEAR(Seminarios[[#This Row],[Fecha]])</f>
        <v>2024</v>
      </c>
      <c r="L25" t="s">
        <v>5</v>
      </c>
      <c r="M25" t="s">
        <v>147</v>
      </c>
      <c r="N25" t="s">
        <v>66</v>
      </c>
    </row>
    <row r="26" spans="1:14" ht="30" x14ac:dyDescent="0.25">
      <c r="A26" s="28" t="s">
        <v>20</v>
      </c>
      <c r="B26" s="28" t="s">
        <v>0</v>
      </c>
      <c r="C26" s="1" t="s">
        <v>187</v>
      </c>
      <c r="D26" t="s">
        <v>21</v>
      </c>
      <c r="E26" t="s">
        <v>27</v>
      </c>
      <c r="F26" t="s">
        <v>27</v>
      </c>
      <c r="G26" t="s">
        <v>27</v>
      </c>
      <c r="H26" t="s">
        <v>27</v>
      </c>
      <c r="I26" s="2">
        <v>45616</v>
      </c>
      <c r="J26" s="149">
        <v>0.52083333333333337</v>
      </c>
      <c r="K26" s="150">
        <f>YEAR(Seminarios[[#This Row],[Fecha]])</f>
        <v>2024</v>
      </c>
      <c r="L26" t="s">
        <v>1</v>
      </c>
      <c r="M26" t="s">
        <v>170</v>
      </c>
      <c r="N26" s="1" t="s">
        <v>62</v>
      </c>
    </row>
    <row r="27" spans="1:14" ht="30" x14ac:dyDescent="0.25">
      <c r="A27" s="28" t="s">
        <v>98</v>
      </c>
      <c r="B27" s="28" t="s">
        <v>30</v>
      </c>
      <c r="C27" s="1" t="s">
        <v>188</v>
      </c>
      <c r="D27" t="s">
        <v>99</v>
      </c>
      <c r="E27" t="s">
        <v>27</v>
      </c>
      <c r="F27" t="s">
        <v>27</v>
      </c>
      <c r="G27" t="s">
        <v>27</v>
      </c>
      <c r="H27" t="s">
        <v>27</v>
      </c>
      <c r="I27" s="2">
        <v>45679</v>
      </c>
      <c r="J27" s="149">
        <v>0.52083333333333337</v>
      </c>
      <c r="K27" s="150">
        <f>YEAR(Seminarios[[#This Row],[Fecha]])</f>
        <v>2025</v>
      </c>
      <c r="L27" t="s">
        <v>5</v>
      </c>
      <c r="M27" t="s">
        <v>147</v>
      </c>
      <c r="N27" t="s">
        <v>58</v>
      </c>
    </row>
    <row r="28" spans="1:14" ht="30" x14ac:dyDescent="0.25">
      <c r="A28" s="28" t="s">
        <v>100</v>
      </c>
      <c r="B28" s="28" t="s">
        <v>30</v>
      </c>
      <c r="C28" s="1" t="s">
        <v>189</v>
      </c>
      <c r="D28" t="s">
        <v>101</v>
      </c>
      <c r="E28" t="s">
        <v>27</v>
      </c>
      <c r="F28" t="s">
        <v>27</v>
      </c>
      <c r="G28" t="s">
        <v>27</v>
      </c>
      <c r="H28" t="s">
        <v>27</v>
      </c>
      <c r="I28" s="2">
        <v>45680</v>
      </c>
      <c r="J28" s="149">
        <v>0.52083333333333337</v>
      </c>
      <c r="K28" s="150">
        <f>YEAR(Seminarios[[#This Row],[Fecha]])</f>
        <v>2025</v>
      </c>
      <c r="L28" t="s">
        <v>5</v>
      </c>
      <c r="M28" t="s">
        <v>147</v>
      </c>
      <c r="N28" t="s">
        <v>58</v>
      </c>
    </row>
    <row r="29" spans="1:14" ht="30" x14ac:dyDescent="0.25">
      <c r="A29" s="28" t="s">
        <v>102</v>
      </c>
      <c r="B29" s="28" t="s">
        <v>30</v>
      </c>
      <c r="C29" s="1" t="s">
        <v>190</v>
      </c>
      <c r="D29" t="s">
        <v>103</v>
      </c>
      <c r="E29" t="s">
        <v>27</v>
      </c>
      <c r="F29" t="s">
        <v>27</v>
      </c>
      <c r="G29" t="s">
        <v>27</v>
      </c>
      <c r="H29" t="s">
        <v>27</v>
      </c>
      <c r="I29" s="2">
        <v>45684</v>
      </c>
      <c r="J29" s="149">
        <v>0.52083333333333337</v>
      </c>
      <c r="K29" s="150">
        <f>YEAR(Seminarios[[#This Row],[Fecha]])</f>
        <v>2025</v>
      </c>
      <c r="L29" t="s">
        <v>5</v>
      </c>
      <c r="M29" t="s">
        <v>147</v>
      </c>
      <c r="N29" t="s">
        <v>58</v>
      </c>
    </row>
    <row r="30" spans="1:14" ht="30" x14ac:dyDescent="0.25">
      <c r="A30" s="28" t="s">
        <v>104</v>
      </c>
      <c r="B30" s="28" t="s">
        <v>30</v>
      </c>
      <c r="C30" s="1" t="s">
        <v>191</v>
      </c>
      <c r="D30" t="s">
        <v>105</v>
      </c>
      <c r="E30" t="s">
        <v>27</v>
      </c>
      <c r="F30" t="s">
        <v>27</v>
      </c>
      <c r="G30" t="s">
        <v>27</v>
      </c>
      <c r="H30" t="s">
        <v>27</v>
      </c>
      <c r="I30" s="2">
        <v>45685</v>
      </c>
      <c r="J30" s="149">
        <v>0.52083333333333337</v>
      </c>
      <c r="K30" s="150">
        <f>YEAR(Seminarios[[#This Row],[Fecha]])</f>
        <v>2025</v>
      </c>
      <c r="L30" t="s">
        <v>5</v>
      </c>
      <c r="M30" t="s">
        <v>147</v>
      </c>
      <c r="N30" t="s">
        <v>58</v>
      </c>
    </row>
    <row r="31" spans="1:14" ht="30" x14ac:dyDescent="0.25">
      <c r="A31" s="28" t="s">
        <v>106</v>
      </c>
      <c r="B31" s="28" t="s">
        <v>30</v>
      </c>
      <c r="C31" s="1" t="s">
        <v>192</v>
      </c>
      <c r="D31" t="s">
        <v>107</v>
      </c>
      <c r="E31" t="s">
        <v>27</v>
      </c>
      <c r="F31" t="s">
        <v>27</v>
      </c>
      <c r="G31" t="s">
        <v>27</v>
      </c>
      <c r="H31" t="s">
        <v>27</v>
      </c>
      <c r="I31" s="2">
        <v>45686</v>
      </c>
      <c r="J31" s="149">
        <v>0.52083333333333337</v>
      </c>
      <c r="K31" s="150">
        <f>YEAR(Seminarios[[#This Row],[Fecha]])</f>
        <v>2025</v>
      </c>
      <c r="L31" t="s">
        <v>5</v>
      </c>
      <c r="M31" t="s">
        <v>147</v>
      </c>
      <c r="N31" t="s">
        <v>58</v>
      </c>
    </row>
    <row r="32" spans="1:14" ht="30" x14ac:dyDescent="0.25">
      <c r="A32" s="28" t="s">
        <v>108</v>
      </c>
      <c r="B32" s="28" t="s">
        <v>30</v>
      </c>
      <c r="C32" s="1" t="s">
        <v>193</v>
      </c>
      <c r="D32" t="s">
        <v>109</v>
      </c>
      <c r="E32" t="s">
        <v>27</v>
      </c>
      <c r="F32" t="s">
        <v>27</v>
      </c>
      <c r="G32" t="s">
        <v>27</v>
      </c>
      <c r="H32" t="s">
        <v>27</v>
      </c>
      <c r="I32" s="2">
        <v>45681</v>
      </c>
      <c r="J32" s="149">
        <v>0.52083333333333337</v>
      </c>
      <c r="K32" s="150">
        <f>YEAR(Seminarios[[#This Row],[Fecha]])</f>
        <v>2025</v>
      </c>
      <c r="L32" t="s">
        <v>5</v>
      </c>
      <c r="M32" t="s">
        <v>147</v>
      </c>
      <c r="N32" t="s">
        <v>58</v>
      </c>
    </row>
    <row r="33" spans="1:14" ht="30" x14ac:dyDescent="0.25">
      <c r="A33" s="28" t="s">
        <v>110</v>
      </c>
      <c r="B33" s="28" t="s">
        <v>30</v>
      </c>
      <c r="C33" s="1" t="s">
        <v>194</v>
      </c>
      <c r="D33" t="s">
        <v>111</v>
      </c>
      <c r="E33" t="s">
        <v>27</v>
      </c>
      <c r="F33" t="s">
        <v>27</v>
      </c>
      <c r="G33" t="s">
        <v>27</v>
      </c>
      <c r="H33" t="s">
        <v>27</v>
      </c>
      <c r="I33" s="2">
        <v>45687</v>
      </c>
      <c r="J33" s="149">
        <v>0.52083333333333337</v>
      </c>
      <c r="K33" s="150">
        <f>YEAR(Seminarios[[#This Row],[Fecha]])</f>
        <v>2025</v>
      </c>
      <c r="L33" t="s">
        <v>5</v>
      </c>
      <c r="M33" t="s">
        <v>147</v>
      </c>
      <c r="N33" t="s">
        <v>58</v>
      </c>
    </row>
    <row r="34" spans="1:14" ht="30" x14ac:dyDescent="0.25">
      <c r="A34" s="28" t="s">
        <v>60</v>
      </c>
      <c r="B34" s="28" t="s">
        <v>22</v>
      </c>
      <c r="C34" s="1" t="s">
        <v>195</v>
      </c>
      <c r="D34" t="s">
        <v>61</v>
      </c>
      <c r="E34" t="s">
        <v>27</v>
      </c>
      <c r="F34" t="s">
        <v>27</v>
      </c>
      <c r="G34" t="s">
        <v>27</v>
      </c>
      <c r="H34" t="s">
        <v>27</v>
      </c>
      <c r="I34" s="2">
        <v>45708</v>
      </c>
      <c r="J34" s="149">
        <v>0.52083333333333337</v>
      </c>
      <c r="K34" s="150">
        <f>YEAR(Seminarios[[#This Row],[Fecha]])</f>
        <v>2025</v>
      </c>
      <c r="L34" t="s">
        <v>1</v>
      </c>
      <c r="M34" t="s">
        <v>196</v>
      </c>
      <c r="N34" t="s">
        <v>66</v>
      </c>
    </row>
    <row r="35" spans="1:14" ht="45" x14ac:dyDescent="0.25">
      <c r="A35" s="28" t="s">
        <v>112</v>
      </c>
      <c r="B35" s="28" t="s">
        <v>30</v>
      </c>
      <c r="C35" s="1" t="s">
        <v>197</v>
      </c>
      <c r="D35" t="s">
        <v>113</v>
      </c>
      <c r="E35" t="s">
        <v>27</v>
      </c>
      <c r="F35" t="s">
        <v>27</v>
      </c>
      <c r="G35" t="s">
        <v>27</v>
      </c>
      <c r="H35" t="s">
        <v>27</v>
      </c>
      <c r="I35" s="2">
        <v>45705</v>
      </c>
      <c r="J35" s="149">
        <v>0.52083333333333337</v>
      </c>
      <c r="K35" s="150">
        <f>YEAR(Seminarios[[#This Row],[Fecha]])</f>
        <v>2025</v>
      </c>
      <c r="L35" t="s">
        <v>5</v>
      </c>
      <c r="M35" t="s">
        <v>147</v>
      </c>
      <c r="N35" t="s">
        <v>66</v>
      </c>
    </row>
    <row r="36" spans="1:14" x14ac:dyDescent="0.25">
      <c r="A36" s="28" t="s">
        <v>64</v>
      </c>
      <c r="B36" s="28" t="s">
        <v>22</v>
      </c>
      <c r="C36" s="1" t="s">
        <v>198</v>
      </c>
      <c r="D36" t="s">
        <v>65</v>
      </c>
      <c r="E36" t="s">
        <v>27</v>
      </c>
      <c r="F36" t="s">
        <v>27</v>
      </c>
      <c r="G36" t="s">
        <v>27</v>
      </c>
      <c r="H36" t="s">
        <v>27</v>
      </c>
      <c r="I36" s="2">
        <v>45722</v>
      </c>
      <c r="J36" s="149">
        <v>0.52083333333333337</v>
      </c>
      <c r="K36" s="150">
        <f>YEAR(Seminarios[[#This Row],[Fecha]])</f>
        <v>2025</v>
      </c>
      <c r="L36" t="s">
        <v>1</v>
      </c>
      <c r="M36" t="s">
        <v>140</v>
      </c>
      <c r="N36" t="s">
        <v>51</v>
      </c>
    </row>
    <row r="37" spans="1:14" ht="45" x14ac:dyDescent="0.25">
      <c r="A37" s="28" t="s">
        <v>24</v>
      </c>
      <c r="B37" s="28" t="s">
        <v>0</v>
      </c>
      <c r="C37" s="1" t="s">
        <v>199</v>
      </c>
      <c r="D37" t="s">
        <v>25</v>
      </c>
      <c r="E37" t="s">
        <v>27</v>
      </c>
      <c r="F37" t="s">
        <v>27</v>
      </c>
      <c r="G37" t="s">
        <v>27</v>
      </c>
      <c r="H37" t="s">
        <v>27</v>
      </c>
      <c r="I37" s="2">
        <v>45723</v>
      </c>
      <c r="J37" s="149">
        <v>0.45833333333333331</v>
      </c>
      <c r="K37" s="150">
        <f>YEAR(Seminarios[[#This Row],[Fecha]])</f>
        <v>2025</v>
      </c>
      <c r="L37" t="s">
        <v>1</v>
      </c>
      <c r="M37" t="s">
        <v>140</v>
      </c>
      <c r="N37" t="s">
        <v>66</v>
      </c>
    </row>
    <row r="38" spans="1:14" ht="30" x14ac:dyDescent="0.25">
      <c r="A38" s="28" t="s">
        <v>68</v>
      </c>
      <c r="B38" s="28" t="s">
        <v>22</v>
      </c>
      <c r="C38" s="1" t="s">
        <v>200</v>
      </c>
      <c r="D38" t="s">
        <v>69</v>
      </c>
      <c r="E38" t="s">
        <v>27</v>
      </c>
      <c r="F38" t="s">
        <v>27</v>
      </c>
      <c r="G38" t="s">
        <v>27</v>
      </c>
      <c r="H38" t="s">
        <v>27</v>
      </c>
      <c r="I38" s="2">
        <v>45748</v>
      </c>
      <c r="J38" s="149">
        <v>0.52083333333333337</v>
      </c>
      <c r="K38" s="150">
        <f>YEAR(Seminarios[[#This Row],[Fecha]])</f>
        <v>2025</v>
      </c>
      <c r="L38" t="s">
        <v>1</v>
      </c>
      <c r="M38" t="s">
        <v>140</v>
      </c>
      <c r="N38" t="s">
        <v>46</v>
      </c>
    </row>
    <row r="39" spans="1:14" ht="30" x14ac:dyDescent="0.25">
      <c r="A39" s="28" t="s">
        <v>114</v>
      </c>
      <c r="B39" s="28" t="s">
        <v>30</v>
      </c>
      <c r="C39" s="1" t="s">
        <v>201</v>
      </c>
      <c r="D39" t="s">
        <v>115</v>
      </c>
      <c r="E39" t="s">
        <v>27</v>
      </c>
      <c r="F39" t="s">
        <v>27</v>
      </c>
      <c r="G39" t="s">
        <v>27</v>
      </c>
      <c r="H39" t="s">
        <v>27</v>
      </c>
      <c r="I39" s="2">
        <v>45782</v>
      </c>
      <c r="J39" s="149">
        <v>0.52083333333333337</v>
      </c>
      <c r="K39" s="150">
        <f>YEAR(Seminarios[[#This Row],[Fecha]])</f>
        <v>2025</v>
      </c>
      <c r="L39" t="s">
        <v>1</v>
      </c>
      <c r="M39" t="s">
        <v>170</v>
      </c>
      <c r="N39" t="s">
        <v>46</v>
      </c>
    </row>
    <row r="40" spans="1:14" ht="30" x14ac:dyDescent="0.25">
      <c r="A40" s="28" t="s">
        <v>28</v>
      </c>
      <c r="B40" s="28" t="s">
        <v>0</v>
      </c>
      <c r="C40" s="1" t="s">
        <v>202</v>
      </c>
      <c r="D40" t="s">
        <v>29</v>
      </c>
      <c r="E40" t="s">
        <v>27</v>
      </c>
      <c r="F40" t="s">
        <v>27</v>
      </c>
      <c r="G40" t="s">
        <v>27</v>
      </c>
      <c r="H40" t="s">
        <v>27</v>
      </c>
      <c r="I40" s="2">
        <v>45771</v>
      </c>
      <c r="J40" s="149">
        <v>0.52083333333333337</v>
      </c>
      <c r="K40" s="150">
        <f>YEAR(Seminarios[[#This Row],[Fecha]])</f>
        <v>2025</v>
      </c>
      <c r="L40" t="s">
        <v>1</v>
      </c>
      <c r="M40" t="s">
        <v>203</v>
      </c>
      <c r="N40" t="s">
        <v>46</v>
      </c>
    </row>
    <row r="41" spans="1:14" ht="30" x14ac:dyDescent="0.25">
      <c r="A41" s="28" t="s">
        <v>116</v>
      </c>
      <c r="B41" s="28" t="s">
        <v>30</v>
      </c>
      <c r="C41" s="1" t="s">
        <v>204</v>
      </c>
      <c r="D41" t="s">
        <v>117</v>
      </c>
      <c r="E41" t="s">
        <v>27</v>
      </c>
      <c r="F41" t="s">
        <v>27</v>
      </c>
      <c r="G41" t="s">
        <v>27</v>
      </c>
      <c r="H41" t="s">
        <v>27</v>
      </c>
      <c r="I41" s="2">
        <v>45790</v>
      </c>
      <c r="J41" s="149">
        <v>0.52083333333333337</v>
      </c>
      <c r="K41" s="150">
        <f>YEAR(Seminarios[[#This Row],[Fecha]])</f>
        <v>2025</v>
      </c>
      <c r="L41" t="s">
        <v>5</v>
      </c>
      <c r="M41" t="s">
        <v>147</v>
      </c>
      <c r="N41" t="s">
        <v>46</v>
      </c>
    </row>
    <row r="42" spans="1:14" ht="45" x14ac:dyDescent="0.25">
      <c r="A42" s="28" t="s">
        <v>31</v>
      </c>
      <c r="B42" s="28" t="s">
        <v>0</v>
      </c>
      <c r="C42" s="1" t="s">
        <v>205</v>
      </c>
      <c r="D42" t="s">
        <v>32</v>
      </c>
      <c r="E42" t="s">
        <v>27</v>
      </c>
      <c r="F42" t="s">
        <v>27</v>
      </c>
      <c r="G42" t="s">
        <v>27</v>
      </c>
      <c r="H42" t="s">
        <v>27</v>
      </c>
      <c r="I42" s="2">
        <v>45799</v>
      </c>
      <c r="J42" s="149">
        <v>0.41666666666666669</v>
      </c>
      <c r="K42" s="150">
        <f>YEAR(Seminarios[[#This Row],[Fecha]])</f>
        <v>2025</v>
      </c>
      <c r="L42" t="s">
        <v>1</v>
      </c>
      <c r="M42" t="s">
        <v>206</v>
      </c>
      <c r="N42" s="1" t="s">
        <v>1258</v>
      </c>
    </row>
    <row r="43" spans="1:14" ht="30" x14ac:dyDescent="0.25">
      <c r="A43" s="28" t="s">
        <v>34</v>
      </c>
      <c r="B43" s="28" t="s">
        <v>0</v>
      </c>
      <c r="C43" s="1" t="s">
        <v>207</v>
      </c>
      <c r="D43" t="s">
        <v>35</v>
      </c>
      <c r="E43" t="s">
        <v>27</v>
      </c>
      <c r="F43" t="s">
        <v>27</v>
      </c>
      <c r="G43" t="s">
        <v>27</v>
      </c>
      <c r="H43" t="s">
        <v>27</v>
      </c>
      <c r="I43" s="2">
        <v>45799</v>
      </c>
      <c r="J43" s="149">
        <v>0.52083333333333337</v>
      </c>
      <c r="K43" s="150">
        <f>YEAR(Seminarios[[#This Row],[Fecha]])</f>
        <v>2025</v>
      </c>
      <c r="L43" t="s">
        <v>1</v>
      </c>
      <c r="M43" t="s">
        <v>203</v>
      </c>
      <c r="N43" s="1" t="s">
        <v>1258</v>
      </c>
    </row>
    <row r="44" spans="1:14" ht="30" x14ac:dyDescent="0.25">
      <c r="A44" s="28" t="s">
        <v>208</v>
      </c>
      <c r="B44" s="28" t="s">
        <v>0</v>
      </c>
      <c r="C44" s="1" t="s">
        <v>209</v>
      </c>
      <c r="D44" t="s">
        <v>210</v>
      </c>
      <c r="E44" t="s">
        <v>27</v>
      </c>
      <c r="F44" t="s">
        <v>27</v>
      </c>
      <c r="G44" t="s">
        <v>27</v>
      </c>
      <c r="H44" t="s">
        <v>27</v>
      </c>
      <c r="I44" s="2">
        <v>45817</v>
      </c>
      <c r="J44" s="149">
        <v>0.52083333333333337</v>
      </c>
      <c r="K44" s="150">
        <f>YEAR(Seminarios[[#This Row],[Fecha]])</f>
        <v>2025</v>
      </c>
      <c r="L44" t="s">
        <v>1</v>
      </c>
      <c r="M44" t="s">
        <v>211</v>
      </c>
      <c r="N44" t="s">
        <v>41</v>
      </c>
    </row>
    <row r="45" spans="1:14" ht="30" x14ac:dyDescent="0.25">
      <c r="A45" s="28" t="s">
        <v>119</v>
      </c>
      <c r="B45" s="28" t="s">
        <v>0</v>
      </c>
      <c r="C45" s="1" t="s">
        <v>212</v>
      </c>
      <c r="D45" t="s">
        <v>213</v>
      </c>
      <c r="E45" t="s">
        <v>27</v>
      </c>
      <c r="F45" t="s">
        <v>27</v>
      </c>
      <c r="G45" t="s">
        <v>27</v>
      </c>
      <c r="H45" t="s">
        <v>27</v>
      </c>
      <c r="I45" s="2">
        <v>45845</v>
      </c>
      <c r="J45" s="149">
        <v>0.52083333333333337</v>
      </c>
      <c r="K45" s="150">
        <f>YEAR(Seminarios[[#This Row],[Fecha]])</f>
        <v>2025</v>
      </c>
      <c r="L45" t="s">
        <v>1</v>
      </c>
      <c r="M45" t="s">
        <v>196</v>
      </c>
      <c r="N45" t="s">
        <v>41</v>
      </c>
    </row>
    <row r="46" spans="1:14" ht="30" x14ac:dyDescent="0.25">
      <c r="A46" s="28" t="s">
        <v>214</v>
      </c>
      <c r="B46" s="28" t="s">
        <v>26</v>
      </c>
      <c r="C46" s="1" t="s">
        <v>215</v>
      </c>
      <c r="D46" t="s">
        <v>213</v>
      </c>
      <c r="E46" t="s">
        <v>27</v>
      </c>
      <c r="F46" t="s">
        <v>27</v>
      </c>
      <c r="G46" t="s">
        <v>27</v>
      </c>
      <c r="H46" t="s">
        <v>27</v>
      </c>
      <c r="I46" s="2">
        <v>45848</v>
      </c>
      <c r="J46" s="149">
        <v>0.52083333333333337</v>
      </c>
      <c r="K46" s="150">
        <f>YEAR(Seminarios[[#This Row],[Fecha]])</f>
        <v>2025</v>
      </c>
      <c r="L46" t="s">
        <v>9</v>
      </c>
      <c r="M46" t="s">
        <v>211</v>
      </c>
      <c r="N46" t="s">
        <v>58</v>
      </c>
    </row>
    <row r="47" spans="1:14" ht="30" x14ac:dyDescent="0.25">
      <c r="A47" s="28" t="s">
        <v>1149</v>
      </c>
      <c r="B47" s="28" t="s">
        <v>0</v>
      </c>
      <c r="C47" s="1" t="s">
        <v>1148</v>
      </c>
      <c r="D47" t="s">
        <v>1147</v>
      </c>
      <c r="E47" t="s">
        <v>27</v>
      </c>
      <c r="F47" t="s">
        <v>27</v>
      </c>
      <c r="G47" t="s">
        <v>27</v>
      </c>
      <c r="H47" t="s">
        <v>27</v>
      </c>
      <c r="I47" s="2">
        <v>45880</v>
      </c>
      <c r="J47" s="149">
        <v>0.52083333333333337</v>
      </c>
      <c r="K47" s="150">
        <f>YEAR(Seminarios[[#This Row],[Fecha]])</f>
        <v>2025</v>
      </c>
      <c r="L47" t="s">
        <v>1</v>
      </c>
      <c r="M47" t="s">
        <v>211</v>
      </c>
      <c r="N47" t="s">
        <v>51</v>
      </c>
    </row>
    <row r="48" spans="1:14" ht="30" x14ac:dyDescent="0.25">
      <c r="A48" s="28" t="s">
        <v>1164</v>
      </c>
      <c r="B48" s="28" t="s">
        <v>0</v>
      </c>
      <c r="C48" s="1" t="s">
        <v>1163</v>
      </c>
      <c r="D48" t="s">
        <v>1162</v>
      </c>
      <c r="E48" t="s">
        <v>27</v>
      </c>
      <c r="F48" t="s">
        <v>27</v>
      </c>
      <c r="G48" t="s">
        <v>27</v>
      </c>
      <c r="H48" t="s">
        <v>27</v>
      </c>
      <c r="I48" s="2">
        <v>45884</v>
      </c>
      <c r="J48" s="149">
        <v>0.52083333333333337</v>
      </c>
      <c r="K48" s="150">
        <f>YEAR(Seminarios[[#This Row],[Fecha]])</f>
        <v>2025</v>
      </c>
      <c r="L48" t="s">
        <v>1</v>
      </c>
      <c r="M48" t="s">
        <v>1165</v>
      </c>
      <c r="N48" s="1" t="s">
        <v>1258</v>
      </c>
    </row>
    <row r="49" spans="1:14" ht="30" x14ac:dyDescent="0.25">
      <c r="A49" s="28" t="s">
        <v>1159</v>
      </c>
      <c r="B49" s="28" t="s">
        <v>22</v>
      </c>
      <c r="C49" s="1" t="s">
        <v>1158</v>
      </c>
      <c r="D49" t="s">
        <v>1157</v>
      </c>
      <c r="E49" t="s">
        <v>27</v>
      </c>
      <c r="F49" t="s">
        <v>27</v>
      </c>
      <c r="G49" t="s">
        <v>27</v>
      </c>
      <c r="H49" t="s">
        <v>27</v>
      </c>
      <c r="I49" s="2">
        <v>45890</v>
      </c>
      <c r="J49" s="149">
        <v>0.52083333333333337</v>
      </c>
      <c r="K49" s="150">
        <f>YEAR(Seminarios[[#This Row],[Fecha]])</f>
        <v>2025</v>
      </c>
      <c r="L49" t="s">
        <v>1</v>
      </c>
      <c r="M49" t="s">
        <v>145</v>
      </c>
      <c r="N49" t="s">
        <v>46</v>
      </c>
    </row>
    <row r="50" spans="1:14" ht="30" x14ac:dyDescent="0.25">
      <c r="A50" s="28" t="s">
        <v>1154</v>
      </c>
      <c r="B50" s="28" t="s">
        <v>26</v>
      </c>
      <c r="C50" s="1" t="s">
        <v>1155</v>
      </c>
      <c r="D50" t="s">
        <v>1156</v>
      </c>
      <c r="E50" t="s">
        <v>27</v>
      </c>
      <c r="F50" t="s">
        <v>27</v>
      </c>
      <c r="G50" t="s">
        <v>27</v>
      </c>
      <c r="H50" t="s">
        <v>27</v>
      </c>
      <c r="I50" s="2">
        <v>45895</v>
      </c>
      <c r="J50" s="149">
        <v>0.52083333333333337</v>
      </c>
      <c r="K50" s="150">
        <f>YEAR(Seminarios[[#This Row],[Fecha]])</f>
        <v>2025</v>
      </c>
      <c r="L50" t="s">
        <v>9</v>
      </c>
      <c r="M50" t="s">
        <v>211</v>
      </c>
      <c r="N50" t="s">
        <v>58</v>
      </c>
    </row>
    <row r="51" spans="1:14" ht="30" x14ac:dyDescent="0.25">
      <c r="A51" s="28" t="s">
        <v>1152</v>
      </c>
      <c r="B51" s="28" t="s">
        <v>30</v>
      </c>
      <c r="C51" s="1" t="s">
        <v>1150</v>
      </c>
      <c r="D51" t="s">
        <v>1151</v>
      </c>
      <c r="E51" t="s">
        <v>27</v>
      </c>
      <c r="F51" t="s">
        <v>27</v>
      </c>
      <c r="G51" t="s">
        <v>27</v>
      </c>
      <c r="H51" t="s">
        <v>27</v>
      </c>
      <c r="I51" s="2">
        <v>45896</v>
      </c>
      <c r="J51" s="149">
        <v>0.5</v>
      </c>
      <c r="K51" s="150">
        <f>YEAR(Seminarios[[#This Row],[Fecha]])</f>
        <v>2025</v>
      </c>
      <c r="L51" t="s">
        <v>5</v>
      </c>
      <c r="M51" t="s">
        <v>147</v>
      </c>
      <c r="N51" t="s">
        <v>51</v>
      </c>
    </row>
    <row r="52" spans="1:14" ht="30" x14ac:dyDescent="0.25">
      <c r="A52" s="28" t="s">
        <v>1169</v>
      </c>
      <c r="B52" s="28" t="s">
        <v>0</v>
      </c>
      <c r="C52" s="1" t="s">
        <v>1168</v>
      </c>
      <c r="D52" t="s">
        <v>1167</v>
      </c>
      <c r="E52" t="s">
        <v>27</v>
      </c>
      <c r="F52" t="s">
        <v>27</v>
      </c>
      <c r="G52" t="s">
        <v>27</v>
      </c>
      <c r="H52" t="s">
        <v>27</v>
      </c>
      <c r="I52" s="2">
        <v>45897</v>
      </c>
      <c r="J52" s="149">
        <v>0.58333333333333337</v>
      </c>
      <c r="K52" s="150">
        <f>YEAR(Seminarios[[#This Row],[Fecha]])</f>
        <v>2025</v>
      </c>
      <c r="L52" t="s">
        <v>1</v>
      </c>
      <c r="M52" t="s">
        <v>1166</v>
      </c>
      <c r="N52" s="1" t="s">
        <v>62</v>
      </c>
    </row>
    <row r="53" spans="1:14" ht="30" x14ac:dyDescent="0.25">
      <c r="A53" s="28" t="s">
        <v>1153</v>
      </c>
      <c r="B53" s="28" t="s">
        <v>30</v>
      </c>
      <c r="C53" s="1" t="s">
        <v>1161</v>
      </c>
      <c r="D53" t="s">
        <v>1160</v>
      </c>
      <c r="E53" t="s">
        <v>27</v>
      </c>
      <c r="F53" t="s">
        <v>27</v>
      </c>
      <c r="G53" t="s">
        <v>27</v>
      </c>
      <c r="H53" t="s">
        <v>27</v>
      </c>
      <c r="I53" s="2">
        <v>45910</v>
      </c>
      <c r="J53" s="149">
        <v>0.5</v>
      </c>
      <c r="K53" s="150">
        <f>YEAR(Seminarios[[#This Row],[Fecha]])</f>
        <v>2025</v>
      </c>
      <c r="L53" t="s">
        <v>5</v>
      </c>
      <c r="M53" t="s">
        <v>147</v>
      </c>
      <c r="N53" t="s">
        <v>51</v>
      </c>
    </row>
    <row r="54" spans="1:14" ht="30" x14ac:dyDescent="0.25">
      <c r="A54" s="28" t="s">
        <v>1207</v>
      </c>
      <c r="B54" s="28" t="s">
        <v>0</v>
      </c>
      <c r="C54" s="1" t="s">
        <v>1206</v>
      </c>
      <c r="D54" t="s">
        <v>1205</v>
      </c>
      <c r="E54" t="s">
        <v>27</v>
      </c>
      <c r="F54" t="s">
        <v>27</v>
      </c>
      <c r="G54" t="s">
        <v>27</v>
      </c>
      <c r="H54" t="s">
        <v>27</v>
      </c>
      <c r="I54" s="2">
        <v>45916</v>
      </c>
      <c r="J54" s="149">
        <v>0.52083333333333337</v>
      </c>
      <c r="K54" s="150">
        <f>YEAR(Seminarios[[#This Row],[Fecha]])</f>
        <v>2025</v>
      </c>
      <c r="L54" t="s">
        <v>1</v>
      </c>
      <c r="M54" t="s">
        <v>1257</v>
      </c>
      <c r="N54" s="1" t="s">
        <v>1258</v>
      </c>
    </row>
    <row r="55" spans="1:14" ht="30" x14ac:dyDescent="0.25">
      <c r="A55" s="28" t="s">
        <v>1239</v>
      </c>
      <c r="B55" s="28" t="s">
        <v>22</v>
      </c>
      <c r="C55" s="1" t="s">
        <v>1240</v>
      </c>
      <c r="D55" t="s">
        <v>1241</v>
      </c>
      <c r="E55" t="s">
        <v>27</v>
      </c>
      <c r="F55" t="s">
        <v>27</v>
      </c>
      <c r="G55" t="s">
        <v>27</v>
      </c>
      <c r="H55" t="s">
        <v>27</v>
      </c>
      <c r="I55" s="2">
        <v>45923</v>
      </c>
      <c r="J55" s="149">
        <v>0.52083333333333337</v>
      </c>
      <c r="K55" s="150">
        <f>YEAR(Seminarios[[#This Row],[Fecha]])</f>
        <v>2025</v>
      </c>
      <c r="L55" t="s">
        <v>1</v>
      </c>
      <c r="M55" t="s">
        <v>140</v>
      </c>
      <c r="N55" t="s">
        <v>66</v>
      </c>
    </row>
    <row r="56" spans="1:14" ht="45" x14ac:dyDescent="0.25">
      <c r="A56" s="28" t="s">
        <v>1248</v>
      </c>
      <c r="B56" s="28" t="s">
        <v>26</v>
      </c>
      <c r="C56" s="1" t="s">
        <v>1249</v>
      </c>
      <c r="D56" t="s">
        <v>530</v>
      </c>
      <c r="E56" t="s">
        <v>27</v>
      </c>
      <c r="F56" t="s">
        <v>27</v>
      </c>
      <c r="G56" t="s">
        <v>27</v>
      </c>
      <c r="H56" t="s">
        <v>27</v>
      </c>
      <c r="I56" s="2">
        <v>45937</v>
      </c>
      <c r="J56" s="149">
        <v>0.52083333333333337</v>
      </c>
      <c r="K56" s="150">
        <f>YEAR(Seminarios[[#This Row],[Fecha]])</f>
        <v>2025</v>
      </c>
      <c r="L56" t="s">
        <v>9</v>
      </c>
      <c r="M56" t="s">
        <v>211</v>
      </c>
      <c r="N56" t="s">
        <v>58</v>
      </c>
    </row>
    <row r="57" spans="1:14" ht="30" x14ac:dyDescent="0.25">
      <c r="A57" s="28" t="s">
        <v>1252</v>
      </c>
      <c r="B57" s="28" t="s">
        <v>30</v>
      </c>
      <c r="C57" s="1" t="s">
        <v>1261</v>
      </c>
      <c r="D57" t="s">
        <v>1262</v>
      </c>
      <c r="E57" t="s">
        <v>27</v>
      </c>
      <c r="F57" t="s">
        <v>27</v>
      </c>
      <c r="G57" t="s">
        <v>27</v>
      </c>
      <c r="H57" t="s">
        <v>27</v>
      </c>
      <c r="I57" s="2">
        <v>45939</v>
      </c>
      <c r="J57" s="149">
        <v>0.52083333333333337</v>
      </c>
      <c r="K57" s="150">
        <f>YEAR(Seminarios[[#This Row],[Fecha]])</f>
        <v>2025</v>
      </c>
      <c r="L57" t="s">
        <v>5</v>
      </c>
      <c r="M57" t="s">
        <v>147</v>
      </c>
      <c r="N57" t="s">
        <v>46</v>
      </c>
    </row>
    <row r="58" spans="1:14" ht="30" x14ac:dyDescent="0.25">
      <c r="A58" s="28" t="s">
        <v>1253</v>
      </c>
      <c r="B58" s="28" t="s">
        <v>30</v>
      </c>
      <c r="C58" s="1" t="s">
        <v>1255</v>
      </c>
      <c r="D58" t="s">
        <v>1256</v>
      </c>
      <c r="E58" t="s">
        <v>27</v>
      </c>
      <c r="F58" t="s">
        <v>27</v>
      </c>
      <c r="G58" t="s">
        <v>27</v>
      </c>
      <c r="H58" t="s">
        <v>27</v>
      </c>
      <c r="I58" s="2">
        <v>45945</v>
      </c>
      <c r="J58" s="149">
        <v>0.52083333333333337</v>
      </c>
      <c r="K58" s="150">
        <f>YEAR(Seminarios[[#This Row],[Fecha]])</f>
        <v>2025</v>
      </c>
      <c r="L58" t="s">
        <v>5</v>
      </c>
      <c r="M58" t="s">
        <v>147</v>
      </c>
      <c r="N58" t="s">
        <v>1258</v>
      </c>
    </row>
    <row r="59" spans="1:14" ht="45" x14ac:dyDescent="0.25">
      <c r="A59" s="28" t="s">
        <v>1254</v>
      </c>
      <c r="B59" s="28" t="s">
        <v>30</v>
      </c>
      <c r="C59" s="1" t="s">
        <v>1259</v>
      </c>
      <c r="D59" t="s">
        <v>1260</v>
      </c>
      <c r="E59" t="s">
        <v>27</v>
      </c>
      <c r="F59" t="s">
        <v>27</v>
      </c>
      <c r="G59" t="s">
        <v>27</v>
      </c>
      <c r="H59" t="s">
        <v>27</v>
      </c>
      <c r="I59" s="2">
        <v>45952</v>
      </c>
      <c r="J59" s="149">
        <v>0.52083333333333337</v>
      </c>
      <c r="K59" s="150">
        <f>YEAR(Seminarios[[#This Row],[Fecha]])</f>
        <v>2025</v>
      </c>
      <c r="L59" t="s">
        <v>5</v>
      </c>
      <c r="M59" t="s">
        <v>147</v>
      </c>
      <c r="N59" t="s">
        <v>1258</v>
      </c>
    </row>
    <row r="60" spans="1:14" ht="45" x14ac:dyDescent="0.25">
      <c r="A60" s="28" t="s">
        <v>1290</v>
      </c>
      <c r="B60" s="28" t="s">
        <v>30</v>
      </c>
      <c r="C60" s="1" t="s">
        <v>1359</v>
      </c>
      <c r="D60" t="s">
        <v>1360</v>
      </c>
      <c r="E60" t="s">
        <v>27</v>
      </c>
      <c r="F60" t="s">
        <v>27</v>
      </c>
      <c r="G60" t="s">
        <v>27</v>
      </c>
      <c r="H60" t="s">
        <v>27</v>
      </c>
      <c r="I60" s="2">
        <v>45957</v>
      </c>
      <c r="J60" s="149">
        <v>0.52083333333333337</v>
      </c>
      <c r="K60" s="150">
        <f>YEAR(Seminarios[[#This Row],[Fecha]])</f>
        <v>2025</v>
      </c>
      <c r="L60" t="s">
        <v>5</v>
      </c>
      <c r="M60" t="s">
        <v>147</v>
      </c>
      <c r="N60" t="s">
        <v>51</v>
      </c>
    </row>
    <row r="61" spans="1:14" ht="45" x14ac:dyDescent="0.25">
      <c r="A61" s="28" t="s">
        <v>1294</v>
      </c>
      <c r="B61" s="28" t="s">
        <v>26</v>
      </c>
      <c r="C61" s="1" t="s">
        <v>1295</v>
      </c>
      <c r="D61" t="s">
        <v>1296</v>
      </c>
      <c r="E61" t="s">
        <v>167</v>
      </c>
      <c r="F61" t="s">
        <v>27</v>
      </c>
      <c r="G61" t="s">
        <v>27</v>
      </c>
      <c r="H61" t="s">
        <v>27</v>
      </c>
      <c r="I61" s="2">
        <v>45958</v>
      </c>
      <c r="J61" s="149">
        <v>0.52083333333333337</v>
      </c>
      <c r="K61" s="150">
        <f>YEAR(Seminarios[[#This Row],[Fecha]])</f>
        <v>2025</v>
      </c>
      <c r="L61" t="s">
        <v>9</v>
      </c>
      <c r="M61" t="s">
        <v>211</v>
      </c>
      <c r="N61" t="s">
        <v>58</v>
      </c>
    </row>
    <row r="62" spans="1:14" ht="30" x14ac:dyDescent="0.25">
      <c r="A62" s="28" t="s">
        <v>1287</v>
      </c>
      <c r="B62" s="28" t="s">
        <v>22</v>
      </c>
      <c r="C62" s="1" t="s">
        <v>1288</v>
      </c>
      <c r="D62" t="s">
        <v>1289</v>
      </c>
      <c r="E62" t="s">
        <v>27</v>
      </c>
      <c r="F62" t="s">
        <v>27</v>
      </c>
      <c r="G62" t="s">
        <v>27</v>
      </c>
      <c r="H62" t="s">
        <v>27</v>
      </c>
      <c r="I62" s="2">
        <v>45960</v>
      </c>
      <c r="J62" s="149">
        <v>0.52083333333333337</v>
      </c>
      <c r="K62" s="150">
        <f>YEAR(Seminarios[[#This Row],[Fecha]])</f>
        <v>2025</v>
      </c>
      <c r="L62" t="s">
        <v>1</v>
      </c>
      <c r="M62" t="s">
        <v>1357</v>
      </c>
      <c r="N62" t="s">
        <v>41</v>
      </c>
    </row>
    <row r="63" spans="1:14" ht="30" x14ac:dyDescent="0.25">
      <c r="A63" s="28" t="s">
        <v>1358</v>
      </c>
      <c r="B63" s="28" t="s">
        <v>30</v>
      </c>
      <c r="C63" s="1" t="s">
        <v>1351</v>
      </c>
      <c r="D63" t="s">
        <v>1352</v>
      </c>
      <c r="E63" t="s">
        <v>27</v>
      </c>
      <c r="F63" t="s">
        <v>27</v>
      </c>
      <c r="G63" t="s">
        <v>27</v>
      </c>
      <c r="H63" t="s">
        <v>27</v>
      </c>
      <c r="I63" s="2">
        <v>45967</v>
      </c>
      <c r="J63" s="149">
        <v>0.52083333333333337</v>
      </c>
      <c r="K63" s="150">
        <f>YEAR(Seminarios[[#This Row],[Fecha]])</f>
        <v>2025</v>
      </c>
      <c r="L63" t="s">
        <v>5</v>
      </c>
      <c r="M63" t="s">
        <v>147</v>
      </c>
      <c r="N63" t="s">
        <v>46</v>
      </c>
    </row>
    <row r="64" spans="1:14" ht="30" x14ac:dyDescent="0.25">
      <c r="A64" s="28" t="s">
        <v>1354</v>
      </c>
      <c r="B64" s="28" t="s">
        <v>0</v>
      </c>
      <c r="C64" s="1" t="s">
        <v>1355</v>
      </c>
      <c r="D64" t="s">
        <v>1353</v>
      </c>
      <c r="E64" t="s">
        <v>27</v>
      </c>
      <c r="F64" t="s">
        <v>27</v>
      </c>
      <c r="G64" t="s">
        <v>27</v>
      </c>
      <c r="H64" t="s">
        <v>27</v>
      </c>
      <c r="I64" s="2">
        <v>45981</v>
      </c>
      <c r="J64" s="149">
        <v>0.52083333333333337</v>
      </c>
      <c r="K64" s="150">
        <f>YEAR(Seminarios[[#This Row],[Fecha]])</f>
        <v>2025</v>
      </c>
      <c r="L64" t="s">
        <v>1</v>
      </c>
      <c r="M64" t="s">
        <v>1356</v>
      </c>
      <c r="N64" t="s">
        <v>66</v>
      </c>
    </row>
    <row r="65" spans="1:14" ht="30" x14ac:dyDescent="0.25">
      <c r="A65" s="28" t="s">
        <v>1369</v>
      </c>
      <c r="B65" s="28" t="s">
        <v>30</v>
      </c>
      <c r="C65" s="1" t="s">
        <v>1370</v>
      </c>
      <c r="D65" t="s">
        <v>1371</v>
      </c>
      <c r="E65" t="s">
        <v>27</v>
      </c>
      <c r="F65" t="s">
        <v>27</v>
      </c>
      <c r="G65" t="s">
        <v>27</v>
      </c>
      <c r="H65" t="s">
        <v>27</v>
      </c>
      <c r="I65" s="2">
        <v>45982</v>
      </c>
      <c r="J65" s="149">
        <v>0.52083333333333337</v>
      </c>
      <c r="K65" s="83">
        <f>YEAR(Seminarios[[#This Row],[Fecha]])</f>
        <v>2025</v>
      </c>
      <c r="L65" t="s">
        <v>5</v>
      </c>
      <c r="M65" t="s">
        <v>147</v>
      </c>
      <c r="N65" t="s">
        <v>46</v>
      </c>
    </row>
  </sheetData>
  <phoneticPr fontId="5" type="noConversion"/>
  <pageMargins left="0.7" right="0.7" top="0.75" bottom="0.75" header="0.3" footer="0.3"/>
  <ignoredErrors>
    <ignoredError sqref="K1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F055-B450-4B1B-9E3F-024B6128F084}">
  <dimension ref="A1:K72"/>
  <sheetViews>
    <sheetView topLeftCell="A56" zoomScale="85" zoomScaleNormal="85" workbookViewId="0">
      <selection activeCell="M13" sqref="M13"/>
    </sheetView>
  </sheetViews>
  <sheetFormatPr baseColWidth="10" defaultColWidth="11.42578125" defaultRowHeight="15" x14ac:dyDescent="0.25"/>
  <cols>
    <col min="1" max="1" width="22.5703125" bestFit="1" customWidth="1"/>
    <col min="2" max="2" width="16.140625" bestFit="1" customWidth="1"/>
    <col min="3" max="3" width="22.85546875" customWidth="1"/>
    <col min="4" max="4" width="10.28515625" bestFit="1" customWidth="1"/>
    <col min="5" max="5" width="14.7109375" bestFit="1" customWidth="1"/>
    <col min="6" max="6" width="19" hidden="1" customWidth="1"/>
    <col min="7" max="7" width="32" style="2" customWidth="1"/>
    <col min="8" max="8" width="25.85546875" customWidth="1"/>
    <col min="9" max="9" width="27.5703125" customWidth="1"/>
    <col min="10" max="10" width="26.5703125" customWidth="1"/>
    <col min="11" max="11" width="11.42578125" customWidth="1"/>
    <col min="12" max="12" width="8.140625" customWidth="1"/>
  </cols>
  <sheetData>
    <row r="1" spans="1:11" ht="15.75" thickBot="1" x14ac:dyDescent="0.3">
      <c r="A1" s="26" t="s">
        <v>120</v>
      </c>
      <c r="B1" s="26" t="s">
        <v>980</v>
      </c>
      <c r="C1" s="26" t="s">
        <v>981</v>
      </c>
      <c r="D1" s="26" t="s">
        <v>982</v>
      </c>
      <c r="E1" s="26" t="s">
        <v>983</v>
      </c>
      <c r="F1" s="27" t="s">
        <v>984</v>
      </c>
      <c r="G1" s="26" t="s">
        <v>985</v>
      </c>
      <c r="H1" s="26" t="s">
        <v>986</v>
      </c>
      <c r="I1" s="26" t="s">
        <v>987</v>
      </c>
      <c r="J1" s="34" t="s">
        <v>988</v>
      </c>
      <c r="K1" s="34" t="s">
        <v>136</v>
      </c>
    </row>
    <row r="2" spans="1:11" x14ac:dyDescent="0.25">
      <c r="A2" t="s">
        <v>989</v>
      </c>
      <c r="B2" t="s">
        <v>990</v>
      </c>
      <c r="C2" t="str">
        <f>_xlfn.CONCAT(Conferencistas[[#This Row],[Nombre]]," ",Conferencistas[[#This Row],[Apellido]])</f>
        <v>Bryan Charles Boots</v>
      </c>
      <c r="D2" t="s">
        <v>23</v>
      </c>
      <c r="E2" t="s">
        <v>42</v>
      </c>
      <c r="F2" s="2">
        <v>31942</v>
      </c>
      <c r="G2" t="s">
        <v>991</v>
      </c>
      <c r="H2" t="s">
        <v>42</v>
      </c>
      <c r="I2" t="s">
        <v>6</v>
      </c>
      <c r="J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2</v>
      </c>
      <c r="K2">
        <f>_xlfn.XLOOKUP(Conferencistas[[#This Row],[Seminario que dirigió]],Seminarios[Seminario],Seminarios[Año])</f>
        <v>2024</v>
      </c>
    </row>
    <row r="3" spans="1:11" x14ac:dyDescent="0.25">
      <c r="A3" t="s">
        <v>992</v>
      </c>
      <c r="B3" t="s">
        <v>993</v>
      </c>
      <c r="C3" t="str">
        <f>_xlfn.CONCAT(Conferencistas[[#This Row],[Nombre]]," ",Conferencistas[[#This Row],[Apellido]])</f>
        <v>Christiane Schwieren</v>
      </c>
      <c r="D3" t="s">
        <v>19</v>
      </c>
      <c r="E3" t="s">
        <v>47</v>
      </c>
      <c r="F3" s="2">
        <v>26326</v>
      </c>
      <c r="G3" t="s">
        <v>994</v>
      </c>
      <c r="H3" t="s">
        <v>47</v>
      </c>
      <c r="I3" t="s">
        <v>2</v>
      </c>
      <c r="J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4</v>
      </c>
      <c r="K3">
        <f>_xlfn.XLOOKUP(Conferencistas[[#This Row],[Seminario que dirigió]],Seminarios[Seminario],Seminarios[Año])</f>
        <v>2024</v>
      </c>
    </row>
    <row r="4" spans="1:11" x14ac:dyDescent="0.25">
      <c r="A4" t="s">
        <v>995</v>
      </c>
      <c r="B4" t="s">
        <v>996</v>
      </c>
      <c r="C4" t="str">
        <f>_xlfn.CONCAT(Conferencistas[[#This Row],[Nombre]]," ",Conferencistas[[#This Row],[Apellido]])</f>
        <v>Spencer Ross</v>
      </c>
      <c r="D4" t="s">
        <v>23</v>
      </c>
      <c r="E4" t="s">
        <v>42</v>
      </c>
      <c r="F4" s="2">
        <v>30184</v>
      </c>
      <c r="G4" t="s">
        <v>997</v>
      </c>
      <c r="H4" t="s">
        <v>42</v>
      </c>
      <c r="I4" t="s">
        <v>6</v>
      </c>
      <c r="J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3</v>
      </c>
      <c r="K4">
        <f>_xlfn.XLOOKUP(Conferencistas[[#This Row],[Seminario que dirigió]],Seminarios[Seminario],Seminarios[Año])</f>
        <v>2024</v>
      </c>
    </row>
    <row r="5" spans="1:11" x14ac:dyDescent="0.25">
      <c r="A5" t="s">
        <v>998</v>
      </c>
      <c r="B5" t="s">
        <v>999</v>
      </c>
      <c r="C5" t="str">
        <f>_xlfn.CONCAT(Conferencistas[[#This Row],[Nombre]]," ",Conferencistas[[#This Row],[Apellido]])</f>
        <v>Niels Van Quaquebeke</v>
      </c>
      <c r="D5" t="s">
        <v>23</v>
      </c>
      <c r="E5" t="s">
        <v>47</v>
      </c>
      <c r="F5">
        <v>1977</v>
      </c>
      <c r="G5" t="s">
        <v>1000</v>
      </c>
      <c r="H5" t="s">
        <v>47</v>
      </c>
      <c r="I5" t="s">
        <v>2</v>
      </c>
      <c r="J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</v>
      </c>
      <c r="K5">
        <f>_xlfn.XLOOKUP(Conferencistas[[#This Row],[Seminario que dirigió]],Seminarios[Seminario],Seminarios[Año])</f>
        <v>2024</v>
      </c>
    </row>
    <row r="6" spans="1:11" x14ac:dyDescent="0.25">
      <c r="A6" t="s">
        <v>1001</v>
      </c>
      <c r="B6" t="s">
        <v>1002</v>
      </c>
      <c r="C6" t="str">
        <f>_xlfn.CONCAT(Conferencistas[[#This Row],[Nombre]]," ",Conferencistas[[#This Row],[Apellido]])</f>
        <v>Claudia Rebolledo</v>
      </c>
      <c r="D6" t="s">
        <v>19</v>
      </c>
      <c r="E6" t="s">
        <v>52</v>
      </c>
      <c r="F6" s="29" t="s">
        <v>27</v>
      </c>
      <c r="G6" t="s">
        <v>1003</v>
      </c>
      <c r="H6" t="s">
        <v>1004</v>
      </c>
      <c r="I6" t="s">
        <v>6</v>
      </c>
      <c r="J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1</v>
      </c>
      <c r="K6">
        <f>_xlfn.XLOOKUP(Conferencistas[[#This Row],[Seminario que dirigió]],Seminarios[Seminario],Seminarios[Año])</f>
        <v>2024</v>
      </c>
    </row>
    <row r="7" spans="1:11" x14ac:dyDescent="0.25">
      <c r="A7" t="s">
        <v>1005</v>
      </c>
      <c r="B7" t="s">
        <v>1006</v>
      </c>
      <c r="C7" t="str">
        <f>_xlfn.CONCAT(Conferencistas[[#This Row],[Nombre]]," ",Conferencistas[[#This Row],[Apellido]])</f>
        <v>John Thøgersen</v>
      </c>
      <c r="D7" t="s">
        <v>23</v>
      </c>
      <c r="E7" t="s">
        <v>56</v>
      </c>
      <c r="F7" s="2">
        <v>20263</v>
      </c>
      <c r="G7" t="s">
        <v>1007</v>
      </c>
      <c r="H7" t="s">
        <v>56</v>
      </c>
      <c r="I7" t="s">
        <v>2</v>
      </c>
      <c r="J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2</v>
      </c>
      <c r="K7">
        <f>_xlfn.XLOOKUP(Conferencistas[[#This Row],[Seminario que dirigió]],Seminarios[Seminario],Seminarios[Año])</f>
        <v>2024</v>
      </c>
    </row>
    <row r="8" spans="1:11" ht="30" x14ac:dyDescent="0.25">
      <c r="A8" t="s">
        <v>1008</v>
      </c>
      <c r="B8" t="s">
        <v>1009</v>
      </c>
      <c r="C8" t="str">
        <f>_xlfn.CONCAT(Conferencistas[[#This Row],[Nombre]]," ",Conferencistas[[#This Row],[Apellido]])</f>
        <v>Barbara Culiberg</v>
      </c>
      <c r="D8" t="s">
        <v>19</v>
      </c>
      <c r="E8" t="s">
        <v>59</v>
      </c>
      <c r="F8" s="2">
        <v>29565</v>
      </c>
      <c r="G8" s="1" t="s">
        <v>1010</v>
      </c>
      <c r="H8" t="s">
        <v>59</v>
      </c>
      <c r="I8" t="s">
        <v>2</v>
      </c>
      <c r="J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5</v>
      </c>
      <c r="K8">
        <f>_xlfn.XLOOKUP(Conferencistas[[#This Row],[Seminario que dirigió]],Seminarios[Seminario],Seminarios[Año])</f>
        <v>2024</v>
      </c>
    </row>
    <row r="9" spans="1:11" x14ac:dyDescent="0.25">
      <c r="A9" t="s">
        <v>1011</v>
      </c>
      <c r="B9" t="s">
        <v>1012</v>
      </c>
      <c r="C9" t="str">
        <f>_xlfn.CONCAT(Conferencistas[[#This Row],[Nombre]]," ",Conferencistas[[#This Row],[Apellido]])</f>
        <v>Janina Grabs</v>
      </c>
      <c r="D9" t="s">
        <v>19</v>
      </c>
      <c r="E9" t="s">
        <v>47</v>
      </c>
      <c r="F9" s="2">
        <v>32726</v>
      </c>
      <c r="G9" t="s">
        <v>1013</v>
      </c>
      <c r="H9" t="s">
        <v>77</v>
      </c>
      <c r="I9" t="s">
        <v>2</v>
      </c>
      <c r="J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6</v>
      </c>
      <c r="K9">
        <f>_xlfn.XLOOKUP(Conferencistas[[#This Row],[Seminario que dirigió]],Seminarios[Seminario],Seminarios[Año])</f>
        <v>2024</v>
      </c>
    </row>
    <row r="10" spans="1:11" x14ac:dyDescent="0.25">
      <c r="A10" t="s">
        <v>1014</v>
      </c>
      <c r="B10" t="s">
        <v>1015</v>
      </c>
      <c r="C10" t="str">
        <f>_xlfn.CONCAT(Conferencistas[[#This Row],[Nombre]]," ",Conferencistas[[#This Row],[Apellido]])</f>
        <v>Rita Motta</v>
      </c>
      <c r="D10" t="s">
        <v>19</v>
      </c>
      <c r="E10" t="s">
        <v>63</v>
      </c>
      <c r="F10" s="2">
        <v>31395</v>
      </c>
      <c r="G10" t="s">
        <v>1013</v>
      </c>
      <c r="H10" t="s">
        <v>77</v>
      </c>
      <c r="I10" t="s">
        <v>2</v>
      </c>
      <c r="J1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6</v>
      </c>
      <c r="K10">
        <f>_xlfn.XLOOKUP(Conferencistas[[#This Row],[Seminario que dirigió]],Seminarios[Seminario],Seminarios[Año])</f>
        <v>2024</v>
      </c>
    </row>
    <row r="11" spans="1:11" x14ac:dyDescent="0.25">
      <c r="A11" t="s">
        <v>1016</v>
      </c>
      <c r="B11" t="s">
        <v>1017</v>
      </c>
      <c r="C11" t="str">
        <f>_xlfn.CONCAT(Conferencistas[[#This Row],[Nombre]]," ",Conferencistas[[#This Row],[Apellido]])</f>
        <v>Marco Palacios</v>
      </c>
      <c r="D11" t="s">
        <v>23</v>
      </c>
      <c r="E11" t="s">
        <v>52</v>
      </c>
      <c r="F11" s="2">
        <v>16236</v>
      </c>
      <c r="G11" t="s">
        <v>1018</v>
      </c>
      <c r="H11" t="s">
        <v>42</v>
      </c>
      <c r="I11" t="s">
        <v>6</v>
      </c>
      <c r="J1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3</v>
      </c>
      <c r="K11">
        <f>_xlfn.XLOOKUP(Conferencistas[[#This Row],[Seminario que dirigió]],Seminarios[Seminario],Seminarios[Año])</f>
        <v>2024</v>
      </c>
    </row>
    <row r="12" spans="1:11" x14ac:dyDescent="0.25">
      <c r="A12" t="s">
        <v>1019</v>
      </c>
      <c r="B12" t="s">
        <v>1020</v>
      </c>
      <c r="C12" t="str">
        <f>_xlfn.CONCAT(Conferencistas[[#This Row],[Nombre]]," ",Conferencistas[[#This Row],[Apellido]])</f>
        <v>Luis Fernando Molina</v>
      </c>
      <c r="D12" t="s">
        <v>23</v>
      </c>
      <c r="E12" t="s">
        <v>52</v>
      </c>
      <c r="F12" s="29" t="s">
        <v>27</v>
      </c>
      <c r="G12" t="s">
        <v>1021</v>
      </c>
      <c r="H12" t="s">
        <v>52</v>
      </c>
      <c r="I12" t="s">
        <v>10</v>
      </c>
      <c r="J1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1</v>
      </c>
      <c r="K12">
        <f>_xlfn.XLOOKUP(Conferencistas[[#This Row],[Seminario que dirigió]],Seminarios[Seminario],Seminarios[Año])</f>
        <v>2024</v>
      </c>
    </row>
    <row r="13" spans="1:11" x14ac:dyDescent="0.25">
      <c r="A13" t="s">
        <v>1022</v>
      </c>
      <c r="B13" t="s">
        <v>1023</v>
      </c>
      <c r="C13" t="str">
        <f>_xlfn.CONCAT(Conferencistas[[#This Row],[Nombre]]," ",Conferencistas[[#This Row],[Apellido]])</f>
        <v>Orlando Grisales</v>
      </c>
      <c r="D13" t="s">
        <v>23</v>
      </c>
      <c r="E13" t="s">
        <v>52</v>
      </c>
      <c r="F13" s="29" t="s">
        <v>27</v>
      </c>
      <c r="G13" t="s">
        <v>1024</v>
      </c>
      <c r="H13" t="s">
        <v>1004</v>
      </c>
      <c r="I13" t="s">
        <v>6</v>
      </c>
      <c r="J1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2</v>
      </c>
      <c r="K13">
        <f>_xlfn.XLOOKUP(Conferencistas[[#This Row],[Seminario que dirigió]],Seminarios[Seminario],Seminarios[Año])</f>
        <v>2024</v>
      </c>
    </row>
    <row r="14" spans="1:11" x14ac:dyDescent="0.25">
      <c r="A14" t="s">
        <v>1025</v>
      </c>
      <c r="B14" t="s">
        <v>1026</v>
      </c>
      <c r="C14" t="str">
        <f>_xlfn.CONCAT(Conferencistas[[#This Row],[Nombre]]," ",Conferencistas[[#This Row],[Apellido]])</f>
        <v>Alan Knight</v>
      </c>
      <c r="D14" t="s">
        <v>23</v>
      </c>
      <c r="E14" t="s">
        <v>67</v>
      </c>
      <c r="F14" s="29" t="s">
        <v>27</v>
      </c>
      <c r="G14" t="s">
        <v>1018</v>
      </c>
      <c r="H14" t="s">
        <v>1027</v>
      </c>
      <c r="I14" t="s">
        <v>2</v>
      </c>
      <c r="J1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3</v>
      </c>
      <c r="K14">
        <f>_xlfn.XLOOKUP(Conferencistas[[#This Row],[Seminario que dirigió]],Seminarios[Seminario],Seminarios[Año])</f>
        <v>2024</v>
      </c>
    </row>
    <row r="15" spans="1:11" x14ac:dyDescent="0.25">
      <c r="A15" t="s">
        <v>1028</v>
      </c>
      <c r="B15" t="s">
        <v>1029</v>
      </c>
      <c r="C15" t="str">
        <f>_xlfn.CONCAT(Conferencistas[[#This Row],[Nombre]]," ",Conferencistas[[#This Row],[Apellido]])</f>
        <v>David Lingelbach</v>
      </c>
      <c r="D15" t="s">
        <v>23</v>
      </c>
      <c r="E15" t="s">
        <v>42</v>
      </c>
      <c r="F15" s="29" t="s">
        <v>27</v>
      </c>
      <c r="G15" s="2" t="s">
        <v>1030</v>
      </c>
      <c r="H15" t="s">
        <v>42</v>
      </c>
      <c r="I15" t="s">
        <v>6</v>
      </c>
      <c r="J1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Oligarchs - David L.</v>
      </c>
      <c r="K15">
        <f>_xlfn.XLOOKUP(Conferencistas[[#This Row],[Seminario que dirigió]],Seminarios[Seminario],Seminarios[Año])</f>
        <v>2024</v>
      </c>
    </row>
    <row r="16" spans="1:11" x14ac:dyDescent="0.25">
      <c r="A16" s="48" t="s">
        <v>1031</v>
      </c>
      <c r="B16" t="s">
        <v>1032</v>
      </c>
      <c r="C16" t="str">
        <f>_xlfn.CONCAT(Conferencistas[[#This Row],[Nombre]]," ",Conferencistas[[#This Row],[Apellido]])</f>
        <v>Juliana Moreira Batista</v>
      </c>
      <c r="D16" t="s">
        <v>19</v>
      </c>
      <c r="E16" t="s">
        <v>70</v>
      </c>
      <c r="F16" s="29" t="s">
        <v>27</v>
      </c>
      <c r="G16" s="2" t="s">
        <v>1033</v>
      </c>
      <c r="H16" t="s">
        <v>1034</v>
      </c>
      <c r="I16" t="s">
        <v>10</v>
      </c>
      <c r="J1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</v>
      </c>
      <c r="K16">
        <f>_xlfn.XLOOKUP(Conferencistas[[#This Row],[Seminario que dirigió]],Seminarios[Seminario],Seminarios[Año])</f>
        <v>2024</v>
      </c>
    </row>
    <row r="17" spans="1:11" x14ac:dyDescent="0.25">
      <c r="A17" s="48" t="s">
        <v>1035</v>
      </c>
      <c r="B17" t="s">
        <v>1036</v>
      </c>
      <c r="C17" t="str">
        <f>_xlfn.CONCAT(Conferencistas[[#This Row],[Nombre]]," ",Conferencistas[[#This Row],[Apellido]])</f>
        <v>Eduardo Posada Carbó</v>
      </c>
      <c r="D17" t="s">
        <v>23</v>
      </c>
      <c r="E17" t="s">
        <v>52</v>
      </c>
      <c r="F17">
        <v>1956</v>
      </c>
      <c r="G17" t="s">
        <v>1018</v>
      </c>
      <c r="H17" t="s">
        <v>1027</v>
      </c>
      <c r="I17" t="s">
        <v>2</v>
      </c>
      <c r="J1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7">
        <f>_xlfn.XLOOKUP(Conferencistas[[#This Row],[Seminario que dirigió]],Seminarios[Seminario],Seminarios[Año])</f>
        <v>2024</v>
      </c>
    </row>
    <row r="18" spans="1:11" x14ac:dyDescent="0.25">
      <c r="A18" t="s">
        <v>1037</v>
      </c>
      <c r="B18" t="s">
        <v>1038</v>
      </c>
      <c r="C18" t="str">
        <f>_xlfn.CONCAT(Conferencistas[[#This Row],[Nombre]]," ",Conferencistas[[#This Row],[Apellido]])</f>
        <v>Luis Gabriel Galán</v>
      </c>
      <c r="D18" t="s">
        <v>23</v>
      </c>
      <c r="E18" t="s">
        <v>52</v>
      </c>
      <c r="F18" s="29" t="s">
        <v>27</v>
      </c>
      <c r="G18" t="s">
        <v>1021</v>
      </c>
      <c r="H18" t="s">
        <v>52</v>
      </c>
      <c r="I18" t="s">
        <v>10</v>
      </c>
      <c r="J1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8">
        <f>_xlfn.XLOOKUP(Conferencistas[[#This Row],[Seminario que dirigió]],Seminarios[Seminario],Seminarios[Año])</f>
        <v>2024</v>
      </c>
    </row>
    <row r="19" spans="1:11" x14ac:dyDescent="0.25">
      <c r="A19" t="s">
        <v>1039</v>
      </c>
      <c r="B19" t="s">
        <v>1040</v>
      </c>
      <c r="C19" t="str">
        <f>_xlfn.CONCAT(Conferencistas[[#This Row],[Nombre]]," ",Conferencistas[[#This Row],[Apellido]])</f>
        <v>James V. Torres Moreno</v>
      </c>
      <c r="D19" t="s">
        <v>23</v>
      </c>
      <c r="E19" t="s">
        <v>52</v>
      </c>
      <c r="F19" s="29" t="s">
        <v>27</v>
      </c>
      <c r="G19" t="s">
        <v>1021</v>
      </c>
      <c r="H19" t="s">
        <v>52</v>
      </c>
      <c r="I19" t="s">
        <v>10</v>
      </c>
      <c r="J1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9">
        <f>_xlfn.XLOOKUP(Conferencistas[[#This Row],[Seminario que dirigió]],Seminarios[Seminario],Seminarios[Año])</f>
        <v>2024</v>
      </c>
    </row>
    <row r="20" spans="1:11" x14ac:dyDescent="0.25">
      <c r="A20" t="s">
        <v>1041</v>
      </c>
      <c r="B20" t="s">
        <v>1042</v>
      </c>
      <c r="C20" t="str">
        <f>_xlfn.CONCAT(Conferencistas[[#This Row],[Nombre]]," ",Conferencistas[[#This Row],[Apellido]])</f>
        <v>Carlos Dávila</v>
      </c>
      <c r="D20" t="s">
        <v>23</v>
      </c>
      <c r="E20" t="s">
        <v>52</v>
      </c>
      <c r="F20" s="29" t="s">
        <v>27</v>
      </c>
      <c r="G20" t="s">
        <v>1021</v>
      </c>
      <c r="H20" t="s">
        <v>52</v>
      </c>
      <c r="I20" t="s">
        <v>10</v>
      </c>
      <c r="J2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0">
        <f>_xlfn.XLOOKUP(Conferencistas[[#This Row],[Seminario que dirigió]],Seminarios[Seminario],Seminarios[Año])</f>
        <v>2024</v>
      </c>
    </row>
    <row r="21" spans="1:11" x14ac:dyDescent="0.25">
      <c r="A21" t="s">
        <v>1043</v>
      </c>
      <c r="B21" t="s">
        <v>1044</v>
      </c>
      <c r="C21" t="str">
        <f>_xlfn.CONCAT(Conferencistas[[#This Row],[Nombre]]," ",Conferencistas[[#This Row],[Apellido]])</f>
        <v>Camilo Rojas</v>
      </c>
      <c r="D21" t="s">
        <v>23</v>
      </c>
      <c r="E21" t="s">
        <v>52</v>
      </c>
      <c r="F21" s="29" t="s">
        <v>27</v>
      </c>
      <c r="G21" s="2" t="s">
        <v>1045</v>
      </c>
      <c r="H21" t="s">
        <v>1046</v>
      </c>
      <c r="I21" t="s">
        <v>2</v>
      </c>
      <c r="J2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2</v>
      </c>
      <c r="K21">
        <f>_xlfn.XLOOKUP(Conferencistas[[#This Row],[Seminario que dirigió]],Seminarios[Seminario],Seminarios[Año])</f>
        <v>2024</v>
      </c>
    </row>
    <row r="22" spans="1:11" x14ac:dyDescent="0.25">
      <c r="A22" t="s">
        <v>1047</v>
      </c>
      <c r="B22" t="s">
        <v>1048</v>
      </c>
      <c r="C22" t="str">
        <f>_xlfn.CONCAT(Conferencistas[[#This Row],[Nombre]]," ",Conferencistas[[#This Row],[Apellido]])</f>
        <v>Mirko Antino</v>
      </c>
      <c r="D22" t="s">
        <v>23</v>
      </c>
      <c r="E22" t="s">
        <v>71</v>
      </c>
      <c r="F22" s="29" t="s">
        <v>27</v>
      </c>
      <c r="G22" s="2" t="s">
        <v>1049</v>
      </c>
      <c r="H22" t="s">
        <v>77</v>
      </c>
      <c r="I22" t="s">
        <v>2</v>
      </c>
      <c r="J2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4</v>
      </c>
      <c r="K22">
        <f>_xlfn.XLOOKUP(Conferencistas[[#This Row],[Seminario que dirigió]],Seminarios[Seminario],Seminarios[Año])</f>
        <v>2024</v>
      </c>
    </row>
    <row r="23" spans="1:11" x14ac:dyDescent="0.25">
      <c r="A23" t="s">
        <v>1050</v>
      </c>
      <c r="B23" t="s">
        <v>1051</v>
      </c>
      <c r="C23" t="str">
        <f>_xlfn.CONCAT(Conferencistas[[#This Row],[Nombre]]," ",Conferencistas[[#This Row],[Apellido]])</f>
        <v>Basel Hammoda</v>
      </c>
      <c r="D23" t="s">
        <v>23</v>
      </c>
      <c r="E23" t="s">
        <v>74</v>
      </c>
      <c r="F23" s="29" t="s">
        <v>27</v>
      </c>
      <c r="G23" s="2" t="s">
        <v>1052</v>
      </c>
      <c r="H23" t="s">
        <v>1053</v>
      </c>
      <c r="I23" t="s">
        <v>2</v>
      </c>
      <c r="J2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3</v>
      </c>
      <c r="K23">
        <f>_xlfn.XLOOKUP(Conferencistas[[#This Row],[Seminario que dirigió]],Seminarios[Seminario],Seminarios[Año])</f>
        <v>2024</v>
      </c>
    </row>
    <row r="24" spans="1:11" x14ac:dyDescent="0.25">
      <c r="A24" t="s">
        <v>1054</v>
      </c>
      <c r="B24" t="s">
        <v>1055</v>
      </c>
      <c r="C24" t="str">
        <f>_xlfn.CONCAT(Conferencistas[[#This Row],[Nombre]]," ",Conferencistas[[#This Row],[Apellido]])</f>
        <v>Manuel Rodriguez Becerra</v>
      </c>
      <c r="D24" t="s">
        <v>23</v>
      </c>
      <c r="E24" t="s">
        <v>52</v>
      </c>
      <c r="F24" s="29" t="s">
        <v>27</v>
      </c>
      <c r="G24" t="s">
        <v>1021</v>
      </c>
      <c r="H24" t="s">
        <v>52</v>
      </c>
      <c r="I24" t="s">
        <v>10</v>
      </c>
      <c r="J2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4">
        <f>_xlfn.XLOOKUP(Conferencistas[[#This Row],[Seminario que dirigió]],Seminarios[Seminario],Seminarios[Año])</f>
        <v>2024</v>
      </c>
    </row>
    <row r="25" spans="1:11" x14ac:dyDescent="0.25">
      <c r="A25" t="s">
        <v>1056</v>
      </c>
      <c r="B25" t="s">
        <v>1057</v>
      </c>
      <c r="C25" t="str">
        <f>_xlfn.CONCAT(Conferencistas[[#This Row],[Nombre]]," ",Conferencistas[[#This Row],[Apellido]])</f>
        <v>José Félix Lafaurie</v>
      </c>
      <c r="D25" t="s">
        <v>23</v>
      </c>
      <c r="E25" t="s">
        <v>52</v>
      </c>
      <c r="F25" s="29" t="s">
        <v>27</v>
      </c>
      <c r="G25" t="s">
        <v>1058</v>
      </c>
      <c r="H25" t="s">
        <v>52</v>
      </c>
      <c r="I25" t="s">
        <v>10</v>
      </c>
      <c r="J2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5">
        <f>_xlfn.XLOOKUP(Conferencistas[[#This Row],[Seminario que dirigió]],Seminarios[Seminario],Seminarios[Año])</f>
        <v>2024</v>
      </c>
    </row>
    <row r="26" spans="1:11" x14ac:dyDescent="0.25">
      <c r="A26" t="s">
        <v>1059</v>
      </c>
      <c r="B26" t="s">
        <v>1060</v>
      </c>
      <c r="C26" t="str">
        <f>_xlfn.CONCAT(Conferencistas[[#This Row],[Nombre]]," ",Conferencistas[[#This Row],[Apellido]])</f>
        <v>Ximena Rueda</v>
      </c>
      <c r="D26" t="s">
        <v>19</v>
      </c>
      <c r="E26" t="s">
        <v>52</v>
      </c>
      <c r="F26" s="29" t="s">
        <v>27</v>
      </c>
      <c r="G26" t="s">
        <v>1021</v>
      </c>
      <c r="H26" t="s">
        <v>52</v>
      </c>
      <c r="I26" t="s">
        <v>10</v>
      </c>
      <c r="J2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6">
        <f>_xlfn.XLOOKUP(Conferencistas[[#This Row],[Seminario que dirigió]],Seminarios[Seminario],Seminarios[Año])</f>
        <v>2024</v>
      </c>
    </row>
    <row r="27" spans="1:11" x14ac:dyDescent="0.25">
      <c r="A27" t="s">
        <v>1061</v>
      </c>
      <c r="B27" t="s">
        <v>1062</v>
      </c>
      <c r="C27" t="str">
        <f>_xlfn.CONCAT(Conferencistas[[#This Row],[Nombre]]," ",Conferencistas[[#This Row],[Apellido]])</f>
        <v>Lina Moros</v>
      </c>
      <c r="D27" t="s">
        <v>19</v>
      </c>
      <c r="E27" t="s">
        <v>52</v>
      </c>
      <c r="F27" s="29" t="s">
        <v>27</v>
      </c>
      <c r="G27" t="s">
        <v>1021</v>
      </c>
      <c r="H27" t="s">
        <v>52</v>
      </c>
      <c r="I27" t="s">
        <v>10</v>
      </c>
      <c r="J2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7">
        <f>_xlfn.XLOOKUP(Conferencistas[[#This Row],[Seminario que dirigió]],Seminarios[Seminario],Seminarios[Año])</f>
        <v>2024</v>
      </c>
    </row>
    <row r="28" spans="1:11" x14ac:dyDescent="0.25">
      <c r="A28" t="s">
        <v>1035</v>
      </c>
      <c r="B28" t="s">
        <v>1063</v>
      </c>
      <c r="C28" t="str">
        <f>_xlfn.CONCAT(Conferencistas[[#This Row],[Nombre]]," ",Conferencistas[[#This Row],[Apellido]])</f>
        <v>Eduardo Boada</v>
      </c>
      <c r="D28" t="s">
        <v>23</v>
      </c>
      <c r="E28" t="s">
        <v>77</v>
      </c>
      <c r="F28" s="29" t="s">
        <v>27</v>
      </c>
      <c r="G28" s="2" t="s">
        <v>1064</v>
      </c>
      <c r="H28" t="s">
        <v>77</v>
      </c>
      <c r="I28" t="s">
        <v>2</v>
      </c>
      <c r="J2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4</v>
      </c>
      <c r="K28">
        <f>_xlfn.XLOOKUP(Conferencistas[[#This Row],[Seminario que dirigió]],Seminarios[Seminario],Seminarios[Año])</f>
        <v>2024</v>
      </c>
    </row>
    <row r="29" spans="1:11" x14ac:dyDescent="0.25">
      <c r="A29" t="s">
        <v>1065</v>
      </c>
      <c r="B29" t="s">
        <v>1066</v>
      </c>
      <c r="C29" t="str">
        <f>_xlfn.CONCAT(Conferencistas[[#This Row],[Nombre]]," ",Conferencistas[[#This Row],[Apellido]])</f>
        <v>Felix Iturriaga</v>
      </c>
      <c r="D29" t="s">
        <v>23</v>
      </c>
      <c r="E29" t="s">
        <v>77</v>
      </c>
      <c r="F29" s="29" t="s">
        <v>27</v>
      </c>
      <c r="G29" s="2" t="s">
        <v>1067</v>
      </c>
      <c r="H29" t="s">
        <v>77</v>
      </c>
      <c r="I29" t="s">
        <v>2</v>
      </c>
      <c r="J2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5</v>
      </c>
      <c r="K29">
        <f>_xlfn.XLOOKUP(Conferencistas[[#This Row],[Seminario que dirigió]],Seminarios[Seminario],Seminarios[Año])</f>
        <v>2024</v>
      </c>
    </row>
    <row r="30" spans="1:11" x14ac:dyDescent="0.25">
      <c r="A30" t="s">
        <v>1068</v>
      </c>
      <c r="B30" t="s">
        <v>1069</v>
      </c>
      <c r="C30" t="str">
        <f>_xlfn.CONCAT(Conferencistas[[#This Row],[Nombre]]," ",Conferencistas[[#This Row],[Apellido]])</f>
        <v>Nicolás Parra</v>
      </c>
      <c r="D30" t="s">
        <v>23</v>
      </c>
      <c r="E30" t="s">
        <v>52</v>
      </c>
      <c r="F30" s="29" t="s">
        <v>27</v>
      </c>
      <c r="G30" s="2" t="s">
        <v>1070</v>
      </c>
      <c r="H30" t="s">
        <v>42</v>
      </c>
      <c r="I30" t="s">
        <v>6</v>
      </c>
      <c r="J3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5</v>
      </c>
      <c r="K30">
        <f>_xlfn.XLOOKUP(Conferencistas[[#This Row],[Seminario que dirigió]],Seminarios[Seminario],Seminarios[Año])</f>
        <v>2024</v>
      </c>
    </row>
    <row r="31" spans="1:11" x14ac:dyDescent="0.25">
      <c r="A31" t="s">
        <v>1071</v>
      </c>
      <c r="B31" s="73" t="s">
        <v>1072</v>
      </c>
      <c r="C31" t="str">
        <f>_xlfn.CONCAT(Conferencistas[[#This Row],[Nombre]]," ",Conferencistas[[#This Row],[Apellido]])</f>
        <v>Linda Alkire</v>
      </c>
      <c r="D31" t="s">
        <v>19</v>
      </c>
      <c r="E31" t="s">
        <v>42</v>
      </c>
      <c r="F31" s="29" t="s">
        <v>27</v>
      </c>
      <c r="G31" s="2" t="s">
        <v>1073</v>
      </c>
      <c r="H31" t="s">
        <v>42</v>
      </c>
      <c r="I31" t="s">
        <v>6</v>
      </c>
      <c r="J3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6</v>
      </c>
      <c r="K31">
        <f>_xlfn.XLOOKUP(Conferencistas[[#This Row],[Seminario que dirigió]],Seminarios[Seminario],Seminarios[Año])</f>
        <v>2024</v>
      </c>
    </row>
    <row r="32" spans="1:11" x14ac:dyDescent="0.25">
      <c r="A32" t="s">
        <v>1074</v>
      </c>
      <c r="B32" s="73" t="s">
        <v>1075</v>
      </c>
      <c r="C32" t="str">
        <f>_xlfn.CONCAT(Conferencistas[[#This Row],[Nombre]]," ",Conferencistas[[#This Row],[Apellido]])</f>
        <v>Sertan Kabadayi</v>
      </c>
      <c r="D32" t="s">
        <v>23</v>
      </c>
      <c r="E32" s="74" t="s">
        <v>42</v>
      </c>
      <c r="F32" s="29" t="s">
        <v>27</v>
      </c>
      <c r="G32" s="2" t="s">
        <v>1076</v>
      </c>
      <c r="H32" t="s">
        <v>42</v>
      </c>
      <c r="I32" t="s">
        <v>6</v>
      </c>
      <c r="J3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6</v>
      </c>
      <c r="K32">
        <f>_xlfn.XLOOKUP(Conferencistas[[#This Row],[Seminario que dirigió]],Seminarios[Seminario],Seminarios[Año])</f>
        <v>2024</v>
      </c>
    </row>
    <row r="33" spans="1:11" x14ac:dyDescent="0.25">
      <c r="A33" t="s">
        <v>1077</v>
      </c>
      <c r="B33" t="s">
        <v>1078</v>
      </c>
      <c r="C33" t="str">
        <f>_xlfn.CONCAT(Conferencistas[[#This Row],[Nombre]]," ",Conferencistas[[#This Row],[Apellido]])</f>
        <v>Sasmira Matta</v>
      </c>
      <c r="D33" t="s">
        <v>19</v>
      </c>
      <c r="E33" s="74" t="s">
        <v>42</v>
      </c>
      <c r="F33" s="29" t="s">
        <v>27</v>
      </c>
      <c r="G33" s="2" t="s">
        <v>1079</v>
      </c>
      <c r="H33" t="s">
        <v>42</v>
      </c>
      <c r="I33" t="s">
        <v>6</v>
      </c>
      <c r="J3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6</v>
      </c>
      <c r="K33">
        <f>_xlfn.XLOOKUP(Conferencistas[[#This Row],[Seminario que dirigió]],Seminarios[Seminario],Seminarios[Año])</f>
        <v>2024</v>
      </c>
    </row>
    <row r="34" spans="1:11" x14ac:dyDescent="0.25">
      <c r="A34" t="s">
        <v>1080</v>
      </c>
      <c r="B34" s="73" t="s">
        <v>1081</v>
      </c>
      <c r="C34" t="str">
        <f>_xlfn.CONCAT(Conferencistas[[#This Row],[Nombre]]," ",Conferencistas[[#This Row],[Apellido]])</f>
        <v>Lourdes Casanova</v>
      </c>
      <c r="D34" t="s">
        <v>19</v>
      </c>
      <c r="E34" t="s">
        <v>77</v>
      </c>
      <c r="F34" s="29" t="s">
        <v>27</v>
      </c>
      <c r="G34" s="2" t="s">
        <v>1082</v>
      </c>
      <c r="H34" t="s">
        <v>42</v>
      </c>
      <c r="I34" t="s">
        <v>6</v>
      </c>
      <c r="J3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7</v>
      </c>
      <c r="K34">
        <f>_xlfn.XLOOKUP(Conferencistas[[#This Row],[Seminario que dirigió]],Seminarios[Seminario],Seminarios[Año])</f>
        <v>2024</v>
      </c>
    </row>
    <row r="35" spans="1:11" x14ac:dyDescent="0.25">
      <c r="A35" t="s">
        <v>1061</v>
      </c>
      <c r="B35" t="s">
        <v>1083</v>
      </c>
      <c r="C35" t="str">
        <f>_xlfn.CONCAT(Conferencistas[[#This Row],[Nombre]]," ",Conferencistas[[#This Row],[Apellido]])</f>
        <v>Lina Lozano</v>
      </c>
      <c r="D35" t="s">
        <v>19</v>
      </c>
      <c r="E35" t="s">
        <v>52</v>
      </c>
      <c r="F35" s="29" t="s">
        <v>27</v>
      </c>
      <c r="G35" s="2" t="s">
        <v>1084</v>
      </c>
      <c r="H35" t="s">
        <v>1085</v>
      </c>
      <c r="I35" t="s">
        <v>2</v>
      </c>
      <c r="J3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7</v>
      </c>
      <c r="K35">
        <f>_xlfn.XLOOKUP(Conferencistas[[#This Row],[Seminario que dirigió]],Seminarios[Seminario],Seminarios[Año])</f>
        <v>2025</v>
      </c>
    </row>
    <row r="36" spans="1:11" x14ac:dyDescent="0.25">
      <c r="A36" t="s">
        <v>1086</v>
      </c>
      <c r="B36" t="s">
        <v>1087</v>
      </c>
      <c r="C36" t="str">
        <f>_xlfn.CONCAT(Conferencistas[[#This Row],[Nombre]]," ",Conferencistas[[#This Row],[Apellido]])</f>
        <v>Andres Espitia</v>
      </c>
      <c r="D36" t="s">
        <v>23</v>
      </c>
      <c r="E36" t="s">
        <v>52</v>
      </c>
      <c r="F36" s="29" t="s">
        <v>27</v>
      </c>
      <c r="G36" s="2" t="s">
        <v>1088</v>
      </c>
      <c r="H36" t="s">
        <v>42</v>
      </c>
      <c r="I36" t="s">
        <v>6</v>
      </c>
      <c r="J3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8</v>
      </c>
      <c r="K36">
        <f>_xlfn.XLOOKUP(Conferencistas[[#This Row],[Seminario que dirigió]],Seminarios[Seminario],Seminarios[Año])</f>
        <v>2025</v>
      </c>
    </row>
    <row r="37" spans="1:11" x14ac:dyDescent="0.25">
      <c r="A37" t="s">
        <v>1089</v>
      </c>
      <c r="B37" t="s">
        <v>1090</v>
      </c>
      <c r="C37" t="str">
        <f>_xlfn.CONCAT(Conferencistas[[#This Row],[Nombre]]," ",Conferencistas[[#This Row],[Apellido]])</f>
        <v>Carmen Villa</v>
      </c>
      <c r="D37" t="s">
        <v>19</v>
      </c>
      <c r="E37" t="s">
        <v>77</v>
      </c>
      <c r="F37" s="29" t="s">
        <v>27</v>
      </c>
      <c r="G37" s="2" t="s">
        <v>1091</v>
      </c>
      <c r="H37" t="s">
        <v>1027</v>
      </c>
      <c r="I37" t="s">
        <v>2</v>
      </c>
      <c r="J3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9</v>
      </c>
      <c r="K37">
        <f>_xlfn.XLOOKUP(Conferencistas[[#This Row],[Seminario que dirigió]],Seminarios[Seminario],Seminarios[Año])</f>
        <v>2025</v>
      </c>
    </row>
    <row r="38" spans="1:11" x14ac:dyDescent="0.25">
      <c r="A38" t="s">
        <v>1092</v>
      </c>
      <c r="B38" t="s">
        <v>1093</v>
      </c>
      <c r="C38" t="str">
        <f>_xlfn.CONCAT(Conferencistas[[#This Row],[Nombre]]," ",Conferencistas[[#This Row],[Apellido]])</f>
        <v>Socorro Martínez</v>
      </c>
      <c r="D38" t="s">
        <v>19</v>
      </c>
      <c r="E38" t="s">
        <v>80</v>
      </c>
      <c r="F38" s="29" t="s">
        <v>27</v>
      </c>
      <c r="G38" s="79" t="s">
        <v>1094</v>
      </c>
      <c r="H38" t="s">
        <v>42</v>
      </c>
      <c r="I38" t="s">
        <v>6</v>
      </c>
      <c r="J3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10</v>
      </c>
      <c r="K38">
        <f>_xlfn.XLOOKUP(Conferencistas[[#This Row],[Seminario que dirigió]],Seminarios[Seminario],Seminarios[Año])</f>
        <v>2025</v>
      </c>
    </row>
    <row r="39" spans="1:11" x14ac:dyDescent="0.25">
      <c r="A39" t="s">
        <v>1095</v>
      </c>
      <c r="B39" t="s">
        <v>1096</v>
      </c>
      <c r="C39" t="str">
        <f>_xlfn.CONCAT(Conferencistas[[#This Row],[Nombre]]," ",Conferencistas[[#This Row],[Apellido]])</f>
        <v>Maria Alejandra Erazo</v>
      </c>
      <c r="D39" t="s">
        <v>19</v>
      </c>
      <c r="E39" t="s">
        <v>52</v>
      </c>
      <c r="F39" s="29" t="s">
        <v>27</v>
      </c>
      <c r="G39" s="2" t="s">
        <v>1097</v>
      </c>
      <c r="H39" t="s">
        <v>1046</v>
      </c>
      <c r="I39" t="s">
        <v>2</v>
      </c>
      <c r="J3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11</v>
      </c>
      <c r="K39">
        <f>_xlfn.XLOOKUP(Conferencistas[[#This Row],[Seminario que dirigió]],Seminarios[Seminario],Seminarios[Año])</f>
        <v>2025</v>
      </c>
    </row>
    <row r="40" spans="1:11" x14ac:dyDescent="0.25">
      <c r="A40" t="s">
        <v>1098</v>
      </c>
      <c r="B40" t="s">
        <v>1069</v>
      </c>
      <c r="C40" t="str">
        <f>_xlfn.CONCAT(Conferencistas[[#This Row],[Nombre]]," ",Conferencistas[[#This Row],[Apellido]])</f>
        <v>Felipe Parra</v>
      </c>
      <c r="D40" t="s">
        <v>23</v>
      </c>
      <c r="E40" t="s">
        <v>52</v>
      </c>
      <c r="F40" s="29" t="s">
        <v>27</v>
      </c>
      <c r="G40" s="2" t="s">
        <v>1099</v>
      </c>
      <c r="H40" t="s">
        <v>42</v>
      </c>
      <c r="I40" t="s">
        <v>6</v>
      </c>
      <c r="J4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12</v>
      </c>
      <c r="K40">
        <f>_xlfn.XLOOKUP(Conferencistas[[#This Row],[Seminario que dirigió]],Seminarios[Seminario],Seminarios[Año])</f>
        <v>2025</v>
      </c>
    </row>
    <row r="41" spans="1:11" x14ac:dyDescent="0.25">
      <c r="A41" t="s">
        <v>1100</v>
      </c>
      <c r="B41" t="s">
        <v>1101</v>
      </c>
      <c r="C41" t="str">
        <f>_xlfn.CONCAT(Conferencistas[[#This Row],[Nombre]]," ",Conferencistas[[#This Row],[Apellido]])</f>
        <v>Bruno Souza</v>
      </c>
      <c r="D41" t="s">
        <v>23</v>
      </c>
      <c r="E41" t="s">
        <v>70</v>
      </c>
      <c r="F41" s="29" t="s">
        <v>27</v>
      </c>
      <c r="G41" s="2" t="s">
        <v>1091</v>
      </c>
      <c r="H41" t="s">
        <v>1027</v>
      </c>
      <c r="I41" t="s">
        <v>2</v>
      </c>
      <c r="J4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13</v>
      </c>
      <c r="K41">
        <f>_xlfn.XLOOKUP(Conferencistas[[#This Row],[Seminario que dirigió]],Seminarios[Seminario],Seminarios[Año])</f>
        <v>2025</v>
      </c>
    </row>
    <row r="42" spans="1:11" x14ac:dyDescent="0.25">
      <c r="A42" t="s">
        <v>1102</v>
      </c>
      <c r="B42" t="s">
        <v>1103</v>
      </c>
      <c r="C42" t="str">
        <f>_xlfn.CONCAT(Conferencistas[[#This Row],[Nombre]]," ",Conferencistas[[#This Row],[Apellido]])</f>
        <v>Andrew Parker</v>
      </c>
      <c r="D42" t="s">
        <v>23</v>
      </c>
      <c r="E42" t="s">
        <v>67</v>
      </c>
      <c r="F42" s="29" t="s">
        <v>27</v>
      </c>
      <c r="G42" s="2" t="s">
        <v>1104</v>
      </c>
      <c r="H42" t="s">
        <v>1027</v>
      </c>
      <c r="I42" t="s">
        <v>2</v>
      </c>
      <c r="J4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7</v>
      </c>
      <c r="K42">
        <f>_xlfn.XLOOKUP(Conferencistas[[#This Row],[Seminario que dirigió]],Seminarios[Seminario],Seminarios[Año])</f>
        <v>2025</v>
      </c>
    </row>
    <row r="43" spans="1:11" x14ac:dyDescent="0.25">
      <c r="A43" t="s">
        <v>1105</v>
      </c>
      <c r="B43" s="73" t="s">
        <v>1106</v>
      </c>
      <c r="C43" t="str">
        <f>_xlfn.CONCAT(Conferencistas[[#This Row],[Nombre]]," ",Conferencistas[[#This Row],[Apellido]])</f>
        <v>Behnoosh Lahooti</v>
      </c>
      <c r="D43" t="s">
        <v>19</v>
      </c>
      <c r="E43" t="s">
        <v>82</v>
      </c>
      <c r="F43" s="29" t="s">
        <v>27</v>
      </c>
      <c r="G43" s="2" t="s">
        <v>1107</v>
      </c>
      <c r="H43" t="s">
        <v>1046</v>
      </c>
      <c r="I43" t="s">
        <v>2</v>
      </c>
      <c r="J4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14</v>
      </c>
      <c r="K43">
        <f>_xlfn.XLOOKUP(Conferencistas[[#This Row],[Seminario que dirigió]],Seminarios[Seminario],Seminarios[Año])</f>
        <v>2025</v>
      </c>
    </row>
    <row r="44" spans="1:11" x14ac:dyDescent="0.25">
      <c r="A44" t="s">
        <v>1108</v>
      </c>
      <c r="B44" t="s">
        <v>1109</v>
      </c>
      <c r="C44" t="str">
        <f>_xlfn.CONCAT(Conferencistas[[#This Row],[Nombre]]," ",Conferencistas[[#This Row],[Apellido]])</f>
        <v>Wolf Wagner</v>
      </c>
      <c r="D44" t="s">
        <v>23</v>
      </c>
      <c r="E44" t="s">
        <v>47</v>
      </c>
      <c r="F44" s="29" t="s">
        <v>27</v>
      </c>
      <c r="G44" s="2" t="s">
        <v>1110</v>
      </c>
      <c r="H44" t="s">
        <v>1085</v>
      </c>
      <c r="I44" t="s">
        <v>2</v>
      </c>
      <c r="J4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8</v>
      </c>
      <c r="K44">
        <f>_xlfn.XLOOKUP(Conferencistas[[#This Row],[Seminario que dirigió]],Seminarios[Seminario],Seminarios[Año])</f>
        <v>2025</v>
      </c>
    </row>
    <row r="45" spans="1:11" x14ac:dyDescent="0.25">
      <c r="A45" t="s">
        <v>1111</v>
      </c>
      <c r="B45" t="s">
        <v>1112</v>
      </c>
      <c r="C45" t="str">
        <f>_xlfn.CONCAT(Conferencistas[[#This Row],[Nombre]]," ",Conferencistas[[#This Row],[Apellido]])</f>
        <v>Steven Kilroy</v>
      </c>
      <c r="D45" t="s">
        <v>23</v>
      </c>
      <c r="E45" t="s">
        <v>84</v>
      </c>
      <c r="F45" s="29" t="s">
        <v>27</v>
      </c>
      <c r="G45" s="2" t="s">
        <v>1113</v>
      </c>
      <c r="H45" t="s">
        <v>84</v>
      </c>
      <c r="I45" t="s">
        <v>2</v>
      </c>
      <c r="J4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8</v>
      </c>
      <c r="K45">
        <f>_xlfn.XLOOKUP(Conferencistas[[#This Row],[Seminario que dirigió]],Seminarios[Seminario],Seminarios[Año])</f>
        <v>2025</v>
      </c>
    </row>
    <row r="46" spans="1:11" x14ac:dyDescent="0.25">
      <c r="A46" t="s">
        <v>1114</v>
      </c>
      <c r="B46" t="s">
        <v>1115</v>
      </c>
      <c r="C46" t="str">
        <f>_xlfn.CONCAT(Conferencistas[[#This Row],[Nombre]]," ",Conferencistas[[#This Row],[Apellido]])</f>
        <v>Neal Roese</v>
      </c>
      <c r="D46" t="s">
        <v>23</v>
      </c>
      <c r="E46" t="s">
        <v>42</v>
      </c>
      <c r="F46" s="29" t="s">
        <v>27</v>
      </c>
      <c r="G46" s="2" t="s">
        <v>1116</v>
      </c>
      <c r="H46" t="s">
        <v>42</v>
      </c>
      <c r="I46" t="s">
        <v>6</v>
      </c>
      <c r="J4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9</v>
      </c>
      <c r="K46">
        <f>_xlfn.XLOOKUP(Conferencistas[[#This Row],[Seminario que dirigió]],Seminarios[Seminario],Seminarios[Año])</f>
        <v>2025</v>
      </c>
    </row>
    <row r="47" spans="1:11" x14ac:dyDescent="0.25">
      <c r="A47" t="s">
        <v>1041</v>
      </c>
      <c r="B47" t="s">
        <v>1117</v>
      </c>
      <c r="C47" t="str">
        <f>_xlfn.CONCAT(Conferencistas[[#This Row],[Nombre]]," ",Conferencistas[[#This Row],[Apellido]])</f>
        <v>Carlos Velasco</v>
      </c>
      <c r="D47" t="s">
        <v>23</v>
      </c>
      <c r="E47" t="s">
        <v>52</v>
      </c>
      <c r="F47" s="29" t="s">
        <v>27</v>
      </c>
      <c r="G47" s="2" t="s">
        <v>1118</v>
      </c>
      <c r="H47" t="s">
        <v>1119</v>
      </c>
      <c r="I47" t="s">
        <v>2</v>
      </c>
      <c r="J4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15</v>
      </c>
      <c r="K47">
        <f>_xlfn.XLOOKUP(Conferencistas[[#This Row],[Seminario que dirigió]],Seminarios[Seminario],Seminarios[Año])</f>
        <v>2025</v>
      </c>
    </row>
    <row r="48" spans="1:11" x14ac:dyDescent="0.25">
      <c r="A48" t="s">
        <v>1120</v>
      </c>
      <c r="B48" t="s">
        <v>1121</v>
      </c>
      <c r="C48" t="str">
        <f>_xlfn.CONCAT(Conferencistas[[#This Row],[Nombre]]," ",Conferencistas[[#This Row],[Apellido]])</f>
        <v>Yimin Cheng</v>
      </c>
      <c r="D48" t="s">
        <v>23</v>
      </c>
      <c r="E48" t="s">
        <v>85</v>
      </c>
      <c r="F48" s="29" t="s">
        <v>27</v>
      </c>
      <c r="G48" s="2" t="s">
        <v>1122</v>
      </c>
      <c r="H48" t="s">
        <v>1123</v>
      </c>
      <c r="I48" t="s">
        <v>13</v>
      </c>
      <c r="J4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9</v>
      </c>
      <c r="K48">
        <f>_xlfn.XLOOKUP(Conferencistas[[#This Row],[Seminario que dirigió]],Seminarios[Seminario],Seminarios[Año])</f>
        <v>2025</v>
      </c>
    </row>
    <row r="49" spans="1:11" x14ac:dyDescent="0.25">
      <c r="A49" t="s">
        <v>1124</v>
      </c>
      <c r="B49" t="s">
        <v>1125</v>
      </c>
      <c r="C49" t="str">
        <f>_xlfn.CONCAT(Conferencistas[[#This Row],[Nombre]]," ",Conferencistas[[#This Row],[Apellido]])</f>
        <v>Luis Alfredo Arango</v>
      </c>
      <c r="D49" t="s">
        <v>23</v>
      </c>
      <c r="E49" t="s">
        <v>52</v>
      </c>
      <c r="F49" s="29"/>
      <c r="G49" s="2" t="s">
        <v>1126</v>
      </c>
      <c r="H49" t="s">
        <v>1123</v>
      </c>
      <c r="I49" t="s">
        <v>13</v>
      </c>
      <c r="J4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16</v>
      </c>
      <c r="K49">
        <f>_xlfn.XLOOKUP(Conferencistas[[#This Row],[Seminario que dirigió]],Seminarios[Seminario],Seminarios[Año])</f>
        <v>2025</v>
      </c>
    </row>
    <row r="50" spans="1:11" x14ac:dyDescent="0.25">
      <c r="A50" t="s">
        <v>1127</v>
      </c>
      <c r="B50" t="s">
        <v>1128</v>
      </c>
      <c r="C50" t="str">
        <f>_xlfn.CONCAT(Conferencistas[[#This Row],[Nombre]]," ",Conferencistas[[#This Row],[Apellido]])</f>
        <v>Suresh Sethi</v>
      </c>
      <c r="D50" t="s">
        <v>23</v>
      </c>
      <c r="E50" t="s">
        <v>42</v>
      </c>
      <c r="F50" s="2"/>
      <c r="G50" s="2" t="s">
        <v>1129</v>
      </c>
      <c r="H50" t="s">
        <v>42</v>
      </c>
      <c r="I50" t="s">
        <v>6</v>
      </c>
      <c r="J5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10</v>
      </c>
      <c r="K50">
        <f>_xlfn.XLOOKUP(Conferencistas[[#This Row],[Seminario que dirigió]],Seminarios[Seminario],Seminarios[Año])</f>
        <v>2025</v>
      </c>
    </row>
    <row r="51" spans="1:11" x14ac:dyDescent="0.25">
      <c r="A51" t="s">
        <v>1130</v>
      </c>
      <c r="B51" t="s">
        <v>1131</v>
      </c>
      <c r="C51" t="str">
        <f>_xlfn.CONCAT(Conferencistas[[#This Row],[Nombre]]," ",Conferencistas[[#This Row],[Apellido]])</f>
        <v>Constantin Blome</v>
      </c>
      <c r="D51" t="s">
        <v>23</v>
      </c>
      <c r="E51" t="s">
        <v>47</v>
      </c>
      <c r="F51" s="2"/>
      <c r="G51" s="2" t="s">
        <v>1132</v>
      </c>
      <c r="H51" t="s">
        <v>47</v>
      </c>
      <c r="I51" t="s">
        <v>2</v>
      </c>
      <c r="J5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11</v>
      </c>
      <c r="K51">
        <f>_xlfn.XLOOKUP(Conferencistas[[#This Row],[Seminario que dirigió]],Seminarios[Seminario],Seminarios[Año])</f>
        <v>2025</v>
      </c>
    </row>
    <row r="52" spans="1:11" x14ac:dyDescent="0.25">
      <c r="A52" t="s">
        <v>1133</v>
      </c>
      <c r="B52" t="s">
        <v>1134</v>
      </c>
      <c r="C52" t="str">
        <f>_xlfn.CONCAT(Conferencistas[[#This Row],[Nombre]]," ",Conferencistas[[#This Row],[Apellido]])</f>
        <v>Christian Schott</v>
      </c>
      <c r="D52" t="s">
        <v>23</v>
      </c>
      <c r="E52" t="s">
        <v>47</v>
      </c>
      <c r="F52" s="2"/>
      <c r="G52" s="2" t="s">
        <v>1135</v>
      </c>
      <c r="H52" t="s">
        <v>1136</v>
      </c>
      <c r="I52" t="s">
        <v>13</v>
      </c>
      <c r="J5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12</v>
      </c>
      <c r="K52">
        <f>_xlfn.XLOOKUP(Conferencistas[[#This Row],[Seminario que dirigió]],Seminarios[Seminario],Seminarios[Año])</f>
        <v>2025</v>
      </c>
    </row>
    <row r="53" spans="1:11" x14ac:dyDescent="0.25">
      <c r="A53" t="s">
        <v>1137</v>
      </c>
      <c r="B53" t="s">
        <v>1138</v>
      </c>
      <c r="C53" t="str">
        <f>_xlfn.CONCAT(Conferencistas[[#This Row],[Nombre]]," ",Conferencistas[[#This Row],[Apellido]])</f>
        <v>Teresa da Silva Lopes</v>
      </c>
      <c r="D53" t="s">
        <v>19</v>
      </c>
      <c r="E53" t="s">
        <v>63</v>
      </c>
      <c r="F53" s="2"/>
      <c r="G53" s="2" t="s">
        <v>1139</v>
      </c>
      <c r="H53" t="s">
        <v>1027</v>
      </c>
      <c r="I53" t="s">
        <v>2</v>
      </c>
      <c r="J5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13</v>
      </c>
      <c r="K53">
        <f>_xlfn.XLOOKUP(Conferencistas[[#This Row],[Seminario que dirigió]],Seminarios[Seminario],Seminarios[Año])</f>
        <v>2025</v>
      </c>
    </row>
    <row r="54" spans="1:11" x14ac:dyDescent="0.25">
      <c r="A54" t="s">
        <v>1028</v>
      </c>
      <c r="B54" t="s">
        <v>1170</v>
      </c>
      <c r="C54" t="str">
        <f>_xlfn.CONCAT(Conferencistas[[#This Row],[Nombre]]," ",Conferencistas[[#This Row],[Apellido]])</f>
        <v>David Echeverry</v>
      </c>
      <c r="D54" t="s">
        <v>23</v>
      </c>
      <c r="E54" t="s">
        <v>52</v>
      </c>
      <c r="F54" s="2"/>
      <c r="G54" s="2" t="s">
        <v>1183</v>
      </c>
      <c r="H54" t="s">
        <v>77</v>
      </c>
      <c r="I54" t="s">
        <v>2</v>
      </c>
      <c r="J5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14</v>
      </c>
      <c r="K54">
        <f>_xlfn.XLOOKUP(Conferencistas[[#This Row],[Seminario que dirigió]],Seminarios[Seminario],Seminarios[Año])</f>
        <v>2025</v>
      </c>
    </row>
    <row r="55" spans="1:11" x14ac:dyDescent="0.25">
      <c r="A55" t="s">
        <v>1171</v>
      </c>
      <c r="B55" t="s">
        <v>1180</v>
      </c>
      <c r="C55" t="str">
        <f>_xlfn.CONCAT(Conferencistas[[#This Row],[Nombre]]," ",Conferencistas[[#This Row],[Apellido]])</f>
        <v>Elvira Kaneberg</v>
      </c>
      <c r="D55" t="s">
        <v>19</v>
      </c>
      <c r="E55" t="s">
        <v>52</v>
      </c>
      <c r="F55" s="2"/>
      <c r="G55" s="2" t="s">
        <v>1184</v>
      </c>
      <c r="H55" t="s">
        <v>1185</v>
      </c>
      <c r="I55" t="s">
        <v>2</v>
      </c>
      <c r="J5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15</v>
      </c>
      <c r="K55">
        <f>_xlfn.XLOOKUP(Conferencistas[[#This Row],[Seminario que dirigió]],Seminarios[Seminario],Seminarios[Año])</f>
        <v>2025</v>
      </c>
    </row>
    <row r="56" spans="1:11" x14ac:dyDescent="0.25">
      <c r="A56" t="s">
        <v>1182</v>
      </c>
      <c r="B56" t="s">
        <v>1181</v>
      </c>
      <c r="C56" t="str">
        <f>_xlfn.CONCAT(Conferencistas[[#This Row],[Nombre]]," ",Conferencistas[[#This Row],[Apellido]])</f>
        <v>Ramnath K. Chellappa</v>
      </c>
      <c r="D56" t="s">
        <v>23</v>
      </c>
      <c r="E56" t="s">
        <v>1187</v>
      </c>
      <c r="F56" s="2"/>
      <c r="G56" s="2" t="s">
        <v>1186</v>
      </c>
      <c r="H56" t="s">
        <v>42</v>
      </c>
      <c r="I56" t="s">
        <v>6</v>
      </c>
      <c r="J5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10</v>
      </c>
      <c r="K56">
        <f>_xlfn.XLOOKUP(Conferencistas[[#This Row],[Seminario que dirigió]],Seminarios[Seminario],Seminarios[Año])</f>
        <v>2025</v>
      </c>
    </row>
    <row r="57" spans="1:11" x14ac:dyDescent="0.25">
      <c r="A57" t="s">
        <v>1172</v>
      </c>
      <c r="B57" t="s">
        <v>1173</v>
      </c>
      <c r="C57" t="str">
        <f>_xlfn.CONCAT(Conferencistas[[#This Row],[Nombre]]," ",Conferencistas[[#This Row],[Apellido]])</f>
        <v>Gloria E. Valencia C.</v>
      </c>
      <c r="D57" t="s">
        <v>19</v>
      </c>
      <c r="E57" t="s">
        <v>52</v>
      </c>
      <c r="F57" s="2"/>
      <c r="G57" s="2" t="s">
        <v>1188</v>
      </c>
      <c r="H57" t="s">
        <v>52</v>
      </c>
      <c r="I57" t="s">
        <v>10</v>
      </c>
      <c r="J5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7</v>
      </c>
      <c r="K57">
        <f>_xlfn.XLOOKUP(Conferencistas[[#This Row],[Seminario que dirigió]],Seminarios[Seminario],Seminarios[Año])</f>
        <v>2025</v>
      </c>
    </row>
    <row r="58" spans="1:11" x14ac:dyDescent="0.25">
      <c r="A58" t="s">
        <v>1174</v>
      </c>
      <c r="B58" t="s">
        <v>1175</v>
      </c>
      <c r="C58" t="str">
        <f>_xlfn.CONCAT(Conferencistas[[#This Row],[Nombre]]," ",Conferencistas[[#This Row],[Apellido]])</f>
        <v>Juan Felipe Imbet</v>
      </c>
      <c r="D58" t="s">
        <v>23</v>
      </c>
      <c r="E58" t="s">
        <v>52</v>
      </c>
      <c r="F58" s="2"/>
      <c r="G58" s="2" t="s">
        <v>1189</v>
      </c>
      <c r="H58" t="s">
        <v>1046</v>
      </c>
      <c r="I58" t="s">
        <v>2</v>
      </c>
      <c r="J5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17</v>
      </c>
      <c r="K58">
        <f>_xlfn.XLOOKUP(Conferencistas[[#This Row],[Seminario que dirigió]],Seminarios[Seminario],Seminarios[Año])</f>
        <v>2025</v>
      </c>
    </row>
    <row r="59" spans="1:11" x14ac:dyDescent="0.25">
      <c r="A59" t="s">
        <v>1176</v>
      </c>
      <c r="B59" t="s">
        <v>1177</v>
      </c>
      <c r="C59" t="str">
        <f>_xlfn.CONCAT(Conferencistas[[#This Row],[Nombre]]," ",Conferencistas[[#This Row],[Apellido]])</f>
        <v>Monika Sońta</v>
      </c>
      <c r="D59" t="s">
        <v>19</v>
      </c>
      <c r="E59" t="s">
        <v>1190</v>
      </c>
      <c r="F59" s="2"/>
      <c r="G59" s="2" t="s">
        <v>1191</v>
      </c>
      <c r="H59" t="s">
        <v>1190</v>
      </c>
      <c r="I59" t="s">
        <v>2</v>
      </c>
      <c r="J5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16</v>
      </c>
      <c r="K59">
        <f>_xlfn.XLOOKUP(Conferencistas[[#This Row],[Seminario que dirigió]],Seminarios[Seminario],Seminarios[Año])</f>
        <v>2025</v>
      </c>
    </row>
    <row r="60" spans="1:11" x14ac:dyDescent="0.25">
      <c r="A60" t="s">
        <v>1178</v>
      </c>
      <c r="B60" t="s">
        <v>1179</v>
      </c>
      <c r="C60" t="str">
        <f>_xlfn.CONCAT(Conferencistas[[#This Row],[Nombre]]," ",Conferencistas[[#This Row],[Apellido]])</f>
        <v>María Angélica Farfán</v>
      </c>
      <c r="D60" t="s">
        <v>19</v>
      </c>
      <c r="E60" t="s">
        <v>52</v>
      </c>
      <c r="F60" s="2"/>
      <c r="G60" s="2" t="s">
        <v>1058</v>
      </c>
      <c r="H60" t="s">
        <v>52</v>
      </c>
      <c r="I60" t="s">
        <v>10</v>
      </c>
      <c r="J6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18</v>
      </c>
      <c r="K60">
        <f>_xlfn.XLOOKUP(Conferencistas[[#This Row],[Seminario que dirigió]],Seminarios[Seminario],Seminarios[Año])</f>
        <v>2025</v>
      </c>
    </row>
    <row r="61" spans="1:11" x14ac:dyDescent="0.25">
      <c r="A61" t="s">
        <v>1208</v>
      </c>
      <c r="B61" t="s">
        <v>1209</v>
      </c>
      <c r="C61" t="str">
        <f>_xlfn.CONCAT(Conferencistas[[#This Row],[Nombre]]," ",Conferencistas[[#This Row],[Apellido]])</f>
        <v>Cristóbal Miralles</v>
      </c>
      <c r="D61" t="s">
        <v>23</v>
      </c>
      <c r="E61" t="s">
        <v>77</v>
      </c>
      <c r="F61" s="2"/>
      <c r="G61" s="2" t="s">
        <v>1210</v>
      </c>
      <c r="H61" t="s">
        <v>77</v>
      </c>
      <c r="I61" t="s">
        <v>2</v>
      </c>
      <c r="J6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17</v>
      </c>
      <c r="K61">
        <f>_xlfn.XLOOKUP(Conferencistas[[#This Row],[Seminario que dirigió]],Seminarios[Seminario],Seminarios[Año])</f>
        <v>2025</v>
      </c>
    </row>
    <row r="62" spans="1:11" x14ac:dyDescent="0.25">
      <c r="A62" t="s">
        <v>1242</v>
      </c>
      <c r="B62" t="s">
        <v>1243</v>
      </c>
      <c r="C62" t="str">
        <f>_xlfn.CONCAT(Conferencistas[[#This Row],[Nombre]]," ",Conferencistas[[#This Row],[Apellido]])</f>
        <v>Francisco Brahm</v>
      </c>
      <c r="D62" t="s">
        <v>23</v>
      </c>
      <c r="E62" t="s">
        <v>1247</v>
      </c>
      <c r="F62" s="2"/>
      <c r="G62" s="2" t="s">
        <v>1244</v>
      </c>
      <c r="H62" t="s">
        <v>1027</v>
      </c>
      <c r="I62" t="s">
        <v>2</v>
      </c>
      <c r="J6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11</v>
      </c>
      <c r="K62">
        <f>_xlfn.XLOOKUP(Conferencistas[[#This Row],[Seminario que dirigió]],Seminarios[Seminario],Seminarios[Año])</f>
        <v>2025</v>
      </c>
    </row>
    <row r="63" spans="1:11" x14ac:dyDescent="0.25">
      <c r="A63" t="s">
        <v>1250</v>
      </c>
      <c r="B63" t="s">
        <v>1251</v>
      </c>
      <c r="C63" t="str">
        <f>_xlfn.CONCAT(Conferencistas[[#This Row],[Nombre]]," ",Conferencistas[[#This Row],[Apellido]])</f>
        <v>Enrique Martínez Ruiz</v>
      </c>
      <c r="D63" t="s">
        <v>23</v>
      </c>
      <c r="E63" t="s">
        <v>52</v>
      </c>
      <c r="F63" s="2"/>
      <c r="G63" s="2" t="s">
        <v>1021</v>
      </c>
      <c r="H63" t="s">
        <v>52</v>
      </c>
      <c r="I63" t="s">
        <v>10</v>
      </c>
      <c r="J6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8</v>
      </c>
      <c r="K63">
        <f>_xlfn.XLOOKUP(Conferencistas[[#This Row],[Seminario que dirigió]],Seminarios[Seminario],Seminarios[Año])</f>
        <v>2025</v>
      </c>
    </row>
    <row r="64" spans="1:11" x14ac:dyDescent="0.25">
      <c r="A64" t="s">
        <v>1271</v>
      </c>
      <c r="B64" t="s">
        <v>1272</v>
      </c>
      <c r="C64" t="str">
        <f>_xlfn.CONCAT(Conferencistas[[#This Row],[Nombre]]," ",Conferencistas[[#This Row],[Apellido]])</f>
        <v>Jamshid Alinasab</v>
      </c>
      <c r="D64" t="s">
        <v>23</v>
      </c>
      <c r="E64" t="s">
        <v>82</v>
      </c>
      <c r="F64" s="2"/>
      <c r="G64" s="2" t="s">
        <v>1277</v>
      </c>
      <c r="H64" t="s">
        <v>1136</v>
      </c>
      <c r="I64" t="s">
        <v>13</v>
      </c>
      <c r="J6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19</v>
      </c>
      <c r="K64">
        <f>_xlfn.XLOOKUP(Conferencistas[[#This Row],[Seminario que dirigió]],Seminarios[Seminario],Seminarios[Año])</f>
        <v>2025</v>
      </c>
    </row>
    <row r="65" spans="1:11" x14ac:dyDescent="0.25">
      <c r="A65" t="s">
        <v>1273</v>
      </c>
      <c r="B65" t="s">
        <v>1274</v>
      </c>
      <c r="C65" t="str">
        <f>_xlfn.CONCAT(Conferencistas[[#This Row],[Nombre]]," ",Conferencistas[[#This Row],[Apellido]])</f>
        <v>Marzieh Khakifirooz</v>
      </c>
      <c r="D65" t="s">
        <v>23</v>
      </c>
      <c r="E65" t="s">
        <v>82</v>
      </c>
      <c r="F65" s="2"/>
      <c r="G65" s="2" t="s">
        <v>1301</v>
      </c>
      <c r="H65" t="s">
        <v>1302</v>
      </c>
      <c r="I65" t="s">
        <v>6</v>
      </c>
      <c r="J6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20</v>
      </c>
      <c r="K65">
        <f>_xlfn.XLOOKUP(Conferencistas[[#This Row],[Seminario que dirigió]],Seminarios[Seminario],Seminarios[Año])</f>
        <v>2025</v>
      </c>
    </row>
    <row r="66" spans="1:11" x14ac:dyDescent="0.25">
      <c r="A66" t="s">
        <v>1275</v>
      </c>
      <c r="B66" t="s">
        <v>1276</v>
      </c>
      <c r="C66" t="str">
        <f>_xlfn.CONCAT(Conferencistas[[#This Row],[Nombre]]," ",Conferencistas[[#This Row],[Apellido]])</f>
        <v>Bisbawan Basu</v>
      </c>
      <c r="D66" t="s">
        <v>23</v>
      </c>
      <c r="E66" t="s">
        <v>1187</v>
      </c>
      <c r="F66" s="2"/>
      <c r="G66" s="2" t="s">
        <v>1277</v>
      </c>
      <c r="H66" t="s">
        <v>1136</v>
      </c>
      <c r="I66" t="s">
        <v>13</v>
      </c>
      <c r="J6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21</v>
      </c>
      <c r="K66">
        <f>_xlfn.XLOOKUP(Conferencistas[[#This Row],[Seminario que dirigió]],Seminarios[Seminario],Seminarios[Año])</f>
        <v>2025</v>
      </c>
    </row>
    <row r="67" spans="1:11" x14ac:dyDescent="0.25">
      <c r="A67" t="s">
        <v>1361</v>
      </c>
      <c r="B67" t="s">
        <v>1362</v>
      </c>
      <c r="C67" t="str">
        <f>_xlfn.CONCAT(Conferencistas[[#This Row],[Nombre]]," ",Conferencistas[[#This Row],[Apellido]])</f>
        <v>Jorge Pozo</v>
      </c>
      <c r="D67" t="s">
        <v>23</v>
      </c>
      <c r="E67" t="s">
        <v>1365</v>
      </c>
      <c r="F67" s="2"/>
      <c r="G67" s="2" t="s">
        <v>1367</v>
      </c>
      <c r="H67" t="s">
        <v>1046</v>
      </c>
      <c r="I67" t="s">
        <v>2</v>
      </c>
      <c r="J6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22</v>
      </c>
      <c r="K67">
        <f>_xlfn.XLOOKUP(Conferencistas[[#This Row],[Seminario que dirigió]],Seminarios[Seminario],Seminarios[Año])</f>
        <v>2025</v>
      </c>
    </row>
    <row r="68" spans="1:11" x14ac:dyDescent="0.25">
      <c r="A68" t="s">
        <v>1291</v>
      </c>
      <c r="B68" t="s">
        <v>1292</v>
      </c>
      <c r="C68" t="str">
        <f>_xlfn.CONCAT(Conferencistas[[#This Row],[Nombre]]," ",Conferencistas[[#This Row],[Apellido]])</f>
        <v>Juan Carlos Rocha</v>
      </c>
      <c r="D68" t="s">
        <v>23</v>
      </c>
      <c r="E68" t="s">
        <v>52</v>
      </c>
      <c r="F68" s="2"/>
      <c r="G68" s="2" t="s">
        <v>1293</v>
      </c>
      <c r="H68" t="s">
        <v>1185</v>
      </c>
      <c r="I68" t="s">
        <v>2</v>
      </c>
      <c r="J6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12</v>
      </c>
      <c r="K68">
        <f>_xlfn.XLOOKUP(Conferencistas[[#This Row],[Seminario que dirigió]],Seminarios[Seminario],Seminarios[Año])</f>
        <v>2025</v>
      </c>
    </row>
    <row r="69" spans="1:11" x14ac:dyDescent="0.25">
      <c r="A69" t="s">
        <v>1039</v>
      </c>
      <c r="B69" t="s">
        <v>1297</v>
      </c>
      <c r="C69" t="str">
        <f>_xlfn.CONCAT(Conferencistas[[#This Row],[Nombre]]," ",Conferencistas[[#This Row],[Apellido]])</f>
        <v>James V. Torres</v>
      </c>
      <c r="D69" t="s">
        <v>23</v>
      </c>
      <c r="E69" t="s">
        <v>52</v>
      </c>
      <c r="F69" s="2"/>
      <c r="G69" s="2" t="s">
        <v>1298</v>
      </c>
      <c r="H69" t="s">
        <v>42</v>
      </c>
      <c r="I69" t="s">
        <v>6</v>
      </c>
      <c r="J6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9</v>
      </c>
      <c r="K69">
        <f>_xlfn.XLOOKUP(Conferencistas[[#This Row],[Seminario que dirigió]],Seminarios[Seminario],Seminarios[Año])</f>
        <v>2025</v>
      </c>
    </row>
    <row r="70" spans="1:11" x14ac:dyDescent="0.25">
      <c r="A70" t="s">
        <v>1133</v>
      </c>
      <c r="B70" t="s">
        <v>1363</v>
      </c>
      <c r="C70" t="str">
        <f>_xlfn.CONCAT(Conferencistas[[#This Row],[Nombre]]," ",Conferencistas[[#This Row],[Apellido]])</f>
        <v>Christian Arroyo</v>
      </c>
      <c r="D70" t="s">
        <v>23</v>
      </c>
      <c r="E70" t="s">
        <v>42</v>
      </c>
      <c r="F70" s="2"/>
      <c r="G70" s="2" t="s">
        <v>1366</v>
      </c>
      <c r="H70" t="s">
        <v>42</v>
      </c>
      <c r="I70" t="s">
        <v>6</v>
      </c>
      <c r="J7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23</v>
      </c>
      <c r="K70">
        <f>_xlfn.XLOOKUP(Conferencistas[[#This Row],[Seminario que dirigió]],Seminarios[Seminario],Seminarios[Año])</f>
        <v>2025</v>
      </c>
    </row>
    <row r="71" spans="1:11" x14ac:dyDescent="0.25">
      <c r="A71" t="s">
        <v>1016</v>
      </c>
      <c r="B71" t="s">
        <v>1364</v>
      </c>
      <c r="C71" t="str">
        <f>_xlfn.CONCAT(Conferencistas[[#This Row],[Nombre]]," ",Conferencistas[[#This Row],[Apellido]])</f>
        <v>Marco Tonellato</v>
      </c>
      <c r="D71" t="s">
        <v>23</v>
      </c>
      <c r="E71" t="s">
        <v>71</v>
      </c>
      <c r="F71" s="2"/>
      <c r="G71" s="2" t="s">
        <v>1368</v>
      </c>
      <c r="H71" t="s">
        <v>71</v>
      </c>
      <c r="I71" t="s">
        <v>2</v>
      </c>
      <c r="J7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18</v>
      </c>
      <c r="K71">
        <f>_xlfn.XLOOKUP(Conferencistas[[#This Row],[Seminario que dirigió]],Seminarios[Seminario],Seminarios[Año])</f>
        <v>2025</v>
      </c>
    </row>
    <row r="72" spans="1:11" x14ac:dyDescent="0.25">
      <c r="A72" t="s">
        <v>1372</v>
      </c>
      <c r="B72" t="s">
        <v>1373</v>
      </c>
      <c r="C72" t="str">
        <f>_xlfn.CONCAT(Conferencistas[[#This Row],[Nombre]]," ",Conferencistas[[#This Row],[Apellido]])</f>
        <v>Michael Puntiroli</v>
      </c>
      <c r="D72" t="s">
        <v>23</v>
      </c>
      <c r="E72" t="s">
        <v>67</v>
      </c>
      <c r="F72" s="2"/>
      <c r="G72" s="2" t="s">
        <v>1374</v>
      </c>
      <c r="H72" t="s">
        <v>1375</v>
      </c>
      <c r="I72" t="s">
        <v>2</v>
      </c>
      <c r="J7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24</v>
      </c>
      <c r="K72">
        <f>_xlfn.XLOOKUP(Conferencistas[[#This Row],[Seminario que dirigió]],Seminarios[Seminario],Seminarios[Año])</f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1136-A32E-4925-9FC0-0ECB852F701A}">
  <dimension ref="A1:M1301"/>
  <sheetViews>
    <sheetView tabSelected="1" topLeftCell="A1283" workbookViewId="0">
      <selection activeCell="E1313" sqref="E1313"/>
    </sheetView>
  </sheetViews>
  <sheetFormatPr baseColWidth="10" defaultColWidth="11.42578125" defaultRowHeight="15" x14ac:dyDescent="0.25"/>
  <cols>
    <col min="1" max="1" width="45" bestFit="1" customWidth="1"/>
    <col min="2" max="2" width="37.42578125" bestFit="1" customWidth="1"/>
    <col min="3" max="3" width="12" bestFit="1" customWidth="1"/>
    <col min="4" max="4" width="16.42578125" customWidth="1"/>
    <col min="5" max="5" width="12.42578125" customWidth="1"/>
    <col min="6" max="6" width="24.85546875" customWidth="1"/>
    <col min="7" max="7" width="11.42578125" customWidth="1"/>
    <col min="9" max="9" width="23.85546875" bestFit="1" customWidth="1"/>
    <col min="13" max="13" width="27.5703125" bestFit="1" customWidth="1"/>
    <col min="14" max="14" width="28.5703125" bestFit="1" customWidth="1"/>
  </cols>
  <sheetData>
    <row r="1" spans="1:7" ht="15.75" thickBot="1" x14ac:dyDescent="0.3">
      <c r="A1" s="23" t="s">
        <v>120</v>
      </c>
      <c r="B1" s="24" t="s">
        <v>121</v>
      </c>
      <c r="C1" s="24" t="s">
        <v>122</v>
      </c>
      <c r="D1" s="24" t="s">
        <v>123</v>
      </c>
      <c r="E1" s="24" t="s">
        <v>124</v>
      </c>
      <c r="F1" s="25" t="s">
        <v>125</v>
      </c>
      <c r="G1" s="24" t="s">
        <v>136</v>
      </c>
    </row>
    <row r="2" spans="1:7" x14ac:dyDescent="0.25">
      <c r="A2" s="4" t="s">
        <v>216</v>
      </c>
      <c r="B2" s="5" t="s">
        <v>217</v>
      </c>
      <c r="C2" s="5" t="s">
        <v>218</v>
      </c>
      <c r="D2" s="5" t="s">
        <v>36</v>
      </c>
      <c r="E2" s="14" t="s">
        <v>1</v>
      </c>
      <c r="F2" s="6" t="s">
        <v>3</v>
      </c>
      <c r="G2" s="22">
        <f>_xlfn.XLOOKUP(Participantes[[#This Row],[Seminario al que asistió]],Seminarios[Seminario],Seminarios[Año])</f>
        <v>2024</v>
      </c>
    </row>
    <row r="3" spans="1:7" x14ac:dyDescent="0.25">
      <c r="A3" s="7" t="s">
        <v>219</v>
      </c>
      <c r="B3" s="3" t="s">
        <v>220</v>
      </c>
      <c r="C3" s="3" t="s">
        <v>221</v>
      </c>
      <c r="D3" s="3" t="s">
        <v>36</v>
      </c>
      <c r="E3" s="15" t="s">
        <v>1</v>
      </c>
      <c r="F3" s="8" t="s">
        <v>3</v>
      </c>
      <c r="G3" s="19">
        <f>_xlfn.XLOOKUP(Participantes[[#This Row],[Seminario al que asistió]],Seminarios[Seminario],Seminarios[Año])</f>
        <v>2024</v>
      </c>
    </row>
    <row r="4" spans="1:7" x14ac:dyDescent="0.25">
      <c r="A4" s="7" t="s">
        <v>176</v>
      </c>
      <c r="B4" s="3" t="s">
        <v>222</v>
      </c>
      <c r="C4" s="3" t="s">
        <v>221</v>
      </c>
      <c r="D4" s="3" t="s">
        <v>36</v>
      </c>
      <c r="E4" s="15" t="s">
        <v>1</v>
      </c>
      <c r="F4" s="8" t="s">
        <v>3</v>
      </c>
      <c r="G4" s="19">
        <f>_xlfn.XLOOKUP(Participantes[[#This Row],[Seminario al que asistió]],Seminarios[Seminario],Seminarios[Año])</f>
        <v>2024</v>
      </c>
    </row>
    <row r="5" spans="1:7" x14ac:dyDescent="0.25">
      <c r="A5" s="7" t="s">
        <v>223</v>
      </c>
      <c r="B5" s="3" t="s">
        <v>224</v>
      </c>
      <c r="C5" s="3" t="s">
        <v>221</v>
      </c>
      <c r="D5" s="3" t="s">
        <v>36</v>
      </c>
      <c r="E5" s="15" t="s">
        <v>1</v>
      </c>
      <c r="F5" s="8" t="s">
        <v>3</v>
      </c>
      <c r="G5" s="19">
        <f>_xlfn.XLOOKUP(Participantes[[#This Row],[Seminario al que asistió]],Seminarios[Seminario],Seminarios[Año])</f>
        <v>2024</v>
      </c>
    </row>
    <row r="6" spans="1:7" x14ac:dyDescent="0.25">
      <c r="A6" s="7" t="s">
        <v>225</v>
      </c>
      <c r="B6" s="3" t="s">
        <v>226</v>
      </c>
      <c r="C6" s="3" t="s">
        <v>218</v>
      </c>
      <c r="D6" s="3" t="s">
        <v>36</v>
      </c>
      <c r="E6" s="15" t="s">
        <v>1</v>
      </c>
      <c r="F6" s="8" t="s">
        <v>3</v>
      </c>
      <c r="G6" s="19">
        <f>_xlfn.XLOOKUP(Participantes[[#This Row],[Seminario al que asistió]],Seminarios[Seminario],Seminarios[Año])</f>
        <v>2024</v>
      </c>
    </row>
    <row r="7" spans="1:7" x14ac:dyDescent="0.25">
      <c r="A7" s="7" t="s">
        <v>227</v>
      </c>
      <c r="B7" s="3" t="s">
        <v>228</v>
      </c>
      <c r="C7" s="3" t="s">
        <v>218</v>
      </c>
      <c r="D7" s="3" t="s">
        <v>36</v>
      </c>
      <c r="E7" s="15" t="s">
        <v>1</v>
      </c>
      <c r="F7" s="8" t="s">
        <v>3</v>
      </c>
      <c r="G7" s="19">
        <f>_xlfn.XLOOKUP(Participantes[[#This Row],[Seminario al que asistió]],Seminarios[Seminario],Seminarios[Año])</f>
        <v>2024</v>
      </c>
    </row>
    <row r="8" spans="1:7" x14ac:dyDescent="0.25">
      <c r="A8" s="7" t="s">
        <v>229</v>
      </c>
      <c r="B8" s="3" t="s">
        <v>230</v>
      </c>
      <c r="C8" s="3" t="s">
        <v>218</v>
      </c>
      <c r="D8" s="3" t="s">
        <v>36</v>
      </c>
      <c r="E8" s="15" t="s">
        <v>1</v>
      </c>
      <c r="F8" s="8" t="s">
        <v>3</v>
      </c>
      <c r="G8" s="19">
        <f>_xlfn.XLOOKUP(Participantes[[#This Row],[Seminario al que asistió]],Seminarios[Seminario],Seminarios[Año])</f>
        <v>2024</v>
      </c>
    </row>
    <row r="9" spans="1:7" x14ac:dyDescent="0.25">
      <c r="A9" s="7" t="s">
        <v>231</v>
      </c>
      <c r="B9" s="3" t="s">
        <v>232</v>
      </c>
      <c r="C9" s="3" t="s">
        <v>221</v>
      </c>
      <c r="D9" s="3" t="s">
        <v>233</v>
      </c>
      <c r="E9" s="15" t="s">
        <v>1</v>
      </c>
      <c r="F9" s="8" t="s">
        <v>3</v>
      </c>
      <c r="G9" s="19">
        <f>_xlfn.XLOOKUP(Participantes[[#This Row],[Seminario al que asistió]],Seminarios[Seminario],Seminarios[Año])</f>
        <v>2024</v>
      </c>
    </row>
    <row r="10" spans="1:7" x14ac:dyDescent="0.25">
      <c r="A10" s="7" t="s">
        <v>234</v>
      </c>
      <c r="B10" s="3" t="s">
        <v>235</v>
      </c>
      <c r="C10" s="3" t="s">
        <v>218</v>
      </c>
      <c r="D10" s="3" t="s">
        <v>36</v>
      </c>
      <c r="E10" s="15" t="s">
        <v>1</v>
      </c>
      <c r="F10" s="8" t="s">
        <v>3</v>
      </c>
      <c r="G10" s="19">
        <f>_xlfn.XLOOKUP(Participantes[[#This Row],[Seminario al que asistió]],Seminarios[Seminario],Seminarios[Año])</f>
        <v>2024</v>
      </c>
    </row>
    <row r="11" spans="1:7" x14ac:dyDescent="0.25">
      <c r="A11" s="7" t="s">
        <v>236</v>
      </c>
      <c r="B11" s="3" t="s">
        <v>237</v>
      </c>
      <c r="C11" s="3" t="s">
        <v>218</v>
      </c>
      <c r="D11" s="3" t="s">
        <v>36</v>
      </c>
      <c r="E11" s="15" t="s">
        <v>1</v>
      </c>
      <c r="F11" s="8" t="s">
        <v>3</v>
      </c>
      <c r="G11" s="19">
        <f>_xlfn.XLOOKUP(Participantes[[#This Row],[Seminario al que asistió]],Seminarios[Seminario],Seminarios[Año])</f>
        <v>2024</v>
      </c>
    </row>
    <row r="12" spans="1:7" x14ac:dyDescent="0.25">
      <c r="A12" s="7" t="s">
        <v>238</v>
      </c>
      <c r="B12" s="3" t="s">
        <v>239</v>
      </c>
      <c r="C12" s="3" t="s">
        <v>221</v>
      </c>
      <c r="D12" s="3" t="s">
        <v>36</v>
      </c>
      <c r="E12" s="15" t="s">
        <v>1</v>
      </c>
      <c r="F12" s="8" t="s">
        <v>3</v>
      </c>
      <c r="G12" s="19">
        <f>_xlfn.XLOOKUP(Participantes[[#This Row],[Seminario al que asistió]],Seminarios[Seminario],Seminarios[Año])</f>
        <v>2024</v>
      </c>
    </row>
    <row r="13" spans="1:7" x14ac:dyDescent="0.25">
      <c r="A13" s="7" t="s">
        <v>240</v>
      </c>
      <c r="B13" s="3" t="s">
        <v>241</v>
      </c>
      <c r="C13" s="3" t="s">
        <v>221</v>
      </c>
      <c r="D13" s="3" t="s">
        <v>36</v>
      </c>
      <c r="E13" s="15" t="s">
        <v>1</v>
      </c>
      <c r="F13" s="8" t="s">
        <v>3</v>
      </c>
      <c r="G13" s="19">
        <f>_xlfn.XLOOKUP(Participantes[[#This Row],[Seminario al que asistió]],Seminarios[Seminario],Seminarios[Año])</f>
        <v>2024</v>
      </c>
    </row>
    <row r="14" spans="1:7" x14ac:dyDescent="0.25">
      <c r="A14" s="7" t="s">
        <v>242</v>
      </c>
      <c r="B14" s="3" t="s">
        <v>243</v>
      </c>
      <c r="C14" s="3" t="s">
        <v>218</v>
      </c>
      <c r="D14" s="3" t="s">
        <v>36</v>
      </c>
      <c r="E14" s="15" t="s">
        <v>1</v>
      </c>
      <c r="F14" s="8" t="s">
        <v>3</v>
      </c>
      <c r="G14" s="19">
        <f>_xlfn.XLOOKUP(Participantes[[#This Row],[Seminario al que asistió]],Seminarios[Seminario],Seminarios[Año])</f>
        <v>2024</v>
      </c>
    </row>
    <row r="15" spans="1:7" x14ac:dyDescent="0.25">
      <c r="A15" s="7" t="s">
        <v>244</v>
      </c>
      <c r="B15" s="3" t="s">
        <v>245</v>
      </c>
      <c r="C15" s="3" t="s">
        <v>218</v>
      </c>
      <c r="D15" s="3" t="s">
        <v>36</v>
      </c>
      <c r="E15" s="15" t="s">
        <v>1</v>
      </c>
      <c r="F15" s="8" t="s">
        <v>3</v>
      </c>
      <c r="G15" s="19">
        <f>_xlfn.XLOOKUP(Participantes[[#This Row],[Seminario al que asistió]],Seminarios[Seminario],Seminarios[Año])</f>
        <v>2024</v>
      </c>
    </row>
    <row r="16" spans="1:7" x14ac:dyDescent="0.25">
      <c r="A16" s="7" t="s">
        <v>246</v>
      </c>
      <c r="B16" s="3" t="s">
        <v>247</v>
      </c>
      <c r="C16" s="3" t="s">
        <v>218</v>
      </c>
      <c r="D16" s="3" t="s">
        <v>43</v>
      </c>
      <c r="E16" s="15" t="s">
        <v>1</v>
      </c>
      <c r="F16" s="8" t="s">
        <v>3</v>
      </c>
      <c r="G16" s="19">
        <f>_xlfn.XLOOKUP(Participantes[[#This Row],[Seminario al que asistió]],Seminarios[Seminario],Seminarios[Año])</f>
        <v>2024</v>
      </c>
    </row>
    <row r="17" spans="1:7" x14ac:dyDescent="0.25">
      <c r="A17" s="7" t="s">
        <v>4</v>
      </c>
      <c r="B17" t="s">
        <v>248</v>
      </c>
      <c r="C17" s="3" t="s">
        <v>218</v>
      </c>
      <c r="D17" s="3" t="s">
        <v>53</v>
      </c>
      <c r="E17" s="15" t="s">
        <v>1</v>
      </c>
      <c r="F17" s="8" t="s">
        <v>3</v>
      </c>
      <c r="G17" s="19">
        <f>_xlfn.XLOOKUP(Participantes[[#This Row],[Seminario al que asistió]],Seminarios[Seminario],Seminarios[Año])</f>
        <v>2024</v>
      </c>
    </row>
    <row r="18" spans="1:7" ht="15.75" thickBot="1" x14ac:dyDescent="0.3">
      <c r="A18" s="9" t="s">
        <v>249</v>
      </c>
      <c r="B18" s="10" t="s">
        <v>250</v>
      </c>
      <c r="C18" s="10" t="s">
        <v>218</v>
      </c>
      <c r="D18" s="10" t="s">
        <v>36</v>
      </c>
      <c r="E18" s="16" t="s">
        <v>1</v>
      </c>
      <c r="F18" s="11" t="s">
        <v>3</v>
      </c>
      <c r="G18" s="19">
        <f>_xlfn.XLOOKUP(Participantes[[#This Row],[Seminario al que asistió]],Seminarios[Seminario],Seminarios[Año])</f>
        <v>2024</v>
      </c>
    </row>
    <row r="19" spans="1:7" x14ac:dyDescent="0.25">
      <c r="A19" s="4" t="s">
        <v>251</v>
      </c>
      <c r="B19" s="5" t="s">
        <v>252</v>
      </c>
      <c r="C19" s="5" t="s">
        <v>221</v>
      </c>
      <c r="D19" s="5" t="s">
        <v>43</v>
      </c>
      <c r="E19" s="14" t="s">
        <v>1</v>
      </c>
      <c r="F19" s="6" t="s">
        <v>7</v>
      </c>
      <c r="G19" s="19">
        <f>_xlfn.XLOOKUP(Participantes[[#This Row],[Seminario al que asistió]],Seminarios[Seminario],Seminarios[Año])</f>
        <v>2024</v>
      </c>
    </row>
    <row r="20" spans="1:7" x14ac:dyDescent="0.25">
      <c r="A20" s="7" t="s">
        <v>253</v>
      </c>
      <c r="B20" s="3" t="s">
        <v>254</v>
      </c>
      <c r="C20" s="3" t="s">
        <v>218</v>
      </c>
      <c r="D20" s="3" t="s">
        <v>36</v>
      </c>
      <c r="E20" s="15" t="s">
        <v>1</v>
      </c>
      <c r="F20" s="8" t="s">
        <v>7</v>
      </c>
      <c r="G20" s="19">
        <f>_xlfn.XLOOKUP(Participantes[[#This Row],[Seminario al que asistió]],Seminarios[Seminario],Seminarios[Año])</f>
        <v>2024</v>
      </c>
    </row>
    <row r="21" spans="1:7" x14ac:dyDescent="0.25">
      <c r="A21" s="7" t="s">
        <v>255</v>
      </c>
      <c r="B21" s="3" t="s">
        <v>256</v>
      </c>
      <c r="C21" s="3" t="s">
        <v>218</v>
      </c>
      <c r="D21" s="3" t="s">
        <v>36</v>
      </c>
      <c r="E21" s="15" t="s">
        <v>1</v>
      </c>
      <c r="F21" s="8" t="s">
        <v>7</v>
      </c>
      <c r="G21" s="19">
        <f>_xlfn.XLOOKUP(Participantes[[#This Row],[Seminario al que asistió]],Seminarios[Seminario],Seminarios[Año])</f>
        <v>2024</v>
      </c>
    </row>
    <row r="22" spans="1:7" x14ac:dyDescent="0.25">
      <c r="A22" s="7" t="s">
        <v>257</v>
      </c>
      <c r="B22" s="3" t="s">
        <v>228</v>
      </c>
      <c r="C22" s="3" t="s">
        <v>218</v>
      </c>
      <c r="D22" s="3" t="s">
        <v>36</v>
      </c>
      <c r="E22" s="15" t="s">
        <v>1</v>
      </c>
      <c r="F22" s="8" t="s">
        <v>7</v>
      </c>
      <c r="G22" s="19">
        <f>_xlfn.XLOOKUP(Participantes[[#This Row],[Seminario al que asistió]],Seminarios[Seminario],Seminarios[Año])</f>
        <v>2024</v>
      </c>
    </row>
    <row r="23" spans="1:7" x14ac:dyDescent="0.25">
      <c r="A23" s="7" t="s">
        <v>258</v>
      </c>
      <c r="B23" s="3" t="s">
        <v>259</v>
      </c>
      <c r="C23" s="3" t="s">
        <v>218</v>
      </c>
      <c r="D23" s="3" t="s">
        <v>233</v>
      </c>
      <c r="E23" s="15" t="s">
        <v>1</v>
      </c>
      <c r="F23" s="8" t="s">
        <v>7</v>
      </c>
      <c r="G23" s="19">
        <f>_xlfn.XLOOKUP(Participantes[[#This Row],[Seminario al que asistió]],Seminarios[Seminario],Seminarios[Año])</f>
        <v>2024</v>
      </c>
    </row>
    <row r="24" spans="1:7" x14ac:dyDescent="0.25">
      <c r="A24" s="7" t="s">
        <v>244</v>
      </c>
      <c r="B24" s="3" t="s">
        <v>245</v>
      </c>
      <c r="C24" s="3" t="s">
        <v>218</v>
      </c>
      <c r="D24" s="3" t="s">
        <v>36</v>
      </c>
      <c r="E24" s="15" t="s">
        <v>1</v>
      </c>
      <c r="F24" s="8" t="s">
        <v>7</v>
      </c>
      <c r="G24" s="19">
        <f>_xlfn.XLOOKUP(Participantes[[#This Row],[Seminario al que asistió]],Seminarios[Seminario],Seminarios[Año])</f>
        <v>2024</v>
      </c>
    </row>
    <row r="25" spans="1:7" x14ac:dyDescent="0.25">
      <c r="A25" s="7" t="s">
        <v>260</v>
      </c>
      <c r="B25" s="3" t="s">
        <v>250</v>
      </c>
      <c r="C25" s="3" t="s">
        <v>218</v>
      </c>
      <c r="D25" s="3" t="s">
        <v>36</v>
      </c>
      <c r="E25" s="15" t="s">
        <v>1</v>
      </c>
      <c r="F25" s="8" t="s">
        <v>7</v>
      </c>
      <c r="G25" s="19">
        <f>_xlfn.XLOOKUP(Participantes[[#This Row],[Seminario al que asistió]],Seminarios[Seminario],Seminarios[Año])</f>
        <v>2024</v>
      </c>
    </row>
    <row r="26" spans="1:7" x14ac:dyDescent="0.25">
      <c r="A26" s="7" t="s">
        <v>261</v>
      </c>
      <c r="B26" s="3" t="s">
        <v>262</v>
      </c>
      <c r="C26" s="3" t="s">
        <v>218</v>
      </c>
      <c r="D26" s="3" t="s">
        <v>233</v>
      </c>
      <c r="E26" s="15" t="s">
        <v>1</v>
      </c>
      <c r="F26" s="8" t="s">
        <v>7</v>
      </c>
      <c r="G26" s="19">
        <f>_xlfn.XLOOKUP(Participantes[[#This Row],[Seminario al que asistió]],Seminarios[Seminario],Seminarios[Año])</f>
        <v>2024</v>
      </c>
    </row>
    <row r="27" spans="1:7" x14ac:dyDescent="0.25">
      <c r="A27" s="7" t="s">
        <v>263</v>
      </c>
      <c r="B27" s="3" t="s">
        <v>264</v>
      </c>
      <c r="C27" s="3" t="s">
        <v>221</v>
      </c>
      <c r="D27" s="3" t="s">
        <v>233</v>
      </c>
      <c r="E27" s="15" t="s">
        <v>1</v>
      </c>
      <c r="F27" s="8" t="s">
        <v>7</v>
      </c>
      <c r="G27" s="19">
        <f>_xlfn.XLOOKUP(Participantes[[#This Row],[Seminario al que asistió]],Seminarios[Seminario],Seminarios[Año])</f>
        <v>2024</v>
      </c>
    </row>
    <row r="28" spans="1:7" x14ac:dyDescent="0.25">
      <c r="A28" s="7" t="s">
        <v>265</v>
      </c>
      <c r="B28" s="3" t="s">
        <v>266</v>
      </c>
      <c r="C28" s="3" t="s">
        <v>221</v>
      </c>
      <c r="D28" s="3" t="s">
        <v>233</v>
      </c>
      <c r="E28" s="15" t="s">
        <v>1</v>
      </c>
      <c r="F28" s="8" t="s">
        <v>7</v>
      </c>
      <c r="G28" s="19">
        <f>_xlfn.XLOOKUP(Participantes[[#This Row],[Seminario al que asistió]],Seminarios[Seminario],Seminarios[Año])</f>
        <v>2024</v>
      </c>
    </row>
    <row r="29" spans="1:7" x14ac:dyDescent="0.25">
      <c r="A29" s="7" t="s">
        <v>267</v>
      </c>
      <c r="B29" s="3" t="s">
        <v>268</v>
      </c>
      <c r="C29" s="3" t="s">
        <v>218</v>
      </c>
      <c r="D29" s="3" t="s">
        <v>36</v>
      </c>
      <c r="E29" s="15" t="s">
        <v>1</v>
      </c>
      <c r="F29" s="8" t="s">
        <v>7</v>
      </c>
      <c r="G29" s="19">
        <f>_xlfn.XLOOKUP(Participantes[[#This Row],[Seminario al que asistió]],Seminarios[Seminario],Seminarios[Año])</f>
        <v>2024</v>
      </c>
    </row>
    <row r="30" spans="1:7" x14ac:dyDescent="0.25">
      <c r="A30" s="7" t="s">
        <v>269</v>
      </c>
      <c r="B30" s="3" t="s">
        <v>270</v>
      </c>
      <c r="C30" s="3" t="s">
        <v>218</v>
      </c>
      <c r="D30" s="3" t="s">
        <v>36</v>
      </c>
      <c r="E30" s="15" t="s">
        <v>1</v>
      </c>
      <c r="F30" s="8" t="s">
        <v>7</v>
      </c>
      <c r="G30" s="19">
        <f>_xlfn.XLOOKUP(Participantes[[#This Row],[Seminario al que asistió]],Seminarios[Seminario],Seminarios[Año])</f>
        <v>2024</v>
      </c>
    </row>
    <row r="31" spans="1:7" x14ac:dyDescent="0.25">
      <c r="A31" s="7" t="s">
        <v>246</v>
      </c>
      <c r="B31" s="3" t="s">
        <v>247</v>
      </c>
      <c r="C31" s="3" t="s">
        <v>218</v>
      </c>
      <c r="D31" s="3" t="s">
        <v>43</v>
      </c>
      <c r="E31" s="15" t="s">
        <v>1</v>
      </c>
      <c r="F31" s="8" t="s">
        <v>7</v>
      </c>
      <c r="G31" s="19">
        <f>_xlfn.XLOOKUP(Participantes[[#This Row],[Seminario al que asistió]],Seminarios[Seminario],Seminarios[Año])</f>
        <v>2024</v>
      </c>
    </row>
    <row r="32" spans="1:7" x14ac:dyDescent="0.25">
      <c r="A32" s="7" t="s">
        <v>271</v>
      </c>
      <c r="B32" s="3" t="s">
        <v>272</v>
      </c>
      <c r="C32" s="3" t="s">
        <v>221</v>
      </c>
      <c r="D32" s="3" t="s">
        <v>36</v>
      </c>
      <c r="E32" s="15" t="s">
        <v>1</v>
      </c>
      <c r="F32" s="8" t="s">
        <v>7</v>
      </c>
      <c r="G32" s="19">
        <f>_xlfn.XLOOKUP(Participantes[[#This Row],[Seminario al que asistió]],Seminarios[Seminario],Seminarios[Año])</f>
        <v>2024</v>
      </c>
    </row>
    <row r="33" spans="1:7" x14ac:dyDescent="0.25">
      <c r="A33" s="7" t="s">
        <v>273</v>
      </c>
      <c r="B33" s="3" t="s">
        <v>237</v>
      </c>
      <c r="C33" s="3" t="s">
        <v>218</v>
      </c>
      <c r="D33" s="3" t="s">
        <v>36</v>
      </c>
      <c r="E33" s="15" t="s">
        <v>1</v>
      </c>
      <c r="F33" s="8" t="s">
        <v>7</v>
      </c>
      <c r="G33" s="19">
        <f>_xlfn.XLOOKUP(Participantes[[#This Row],[Seminario al que asistió]],Seminarios[Seminario],Seminarios[Año])</f>
        <v>2024</v>
      </c>
    </row>
    <row r="34" spans="1:7" x14ac:dyDescent="0.25">
      <c r="A34" s="7" t="s">
        <v>274</v>
      </c>
      <c r="B34" s="3" t="s">
        <v>275</v>
      </c>
      <c r="C34" s="3" t="s">
        <v>218</v>
      </c>
      <c r="D34" s="3" t="s">
        <v>36</v>
      </c>
      <c r="E34" s="15" t="s">
        <v>1</v>
      </c>
      <c r="F34" s="8" t="s">
        <v>7</v>
      </c>
      <c r="G34" s="19">
        <f>_xlfn.XLOOKUP(Participantes[[#This Row],[Seminario al que asistió]],Seminarios[Seminario],Seminarios[Año])</f>
        <v>2024</v>
      </c>
    </row>
    <row r="35" spans="1:7" x14ac:dyDescent="0.25">
      <c r="A35" s="7" t="s">
        <v>276</v>
      </c>
      <c r="B35" s="3" t="s">
        <v>277</v>
      </c>
      <c r="C35" s="3" t="s">
        <v>218</v>
      </c>
      <c r="D35" s="3" t="s">
        <v>36</v>
      </c>
      <c r="E35" s="15" t="s">
        <v>1</v>
      </c>
      <c r="F35" s="8" t="s">
        <v>7</v>
      </c>
      <c r="G35" s="19">
        <f>_xlfn.XLOOKUP(Participantes[[#This Row],[Seminario al que asistió]],Seminarios[Seminario],Seminarios[Año])</f>
        <v>2024</v>
      </c>
    </row>
    <row r="36" spans="1:7" x14ac:dyDescent="0.25">
      <c r="A36" s="7" t="s">
        <v>278</v>
      </c>
      <c r="B36" s="3" t="s">
        <v>279</v>
      </c>
      <c r="C36" s="3" t="s">
        <v>218</v>
      </c>
      <c r="D36" s="3" t="s">
        <v>36</v>
      </c>
      <c r="E36" s="15" t="s">
        <v>1</v>
      </c>
      <c r="F36" s="8" t="s">
        <v>7</v>
      </c>
      <c r="G36" s="19">
        <f>_xlfn.XLOOKUP(Participantes[[#This Row],[Seminario al que asistió]],Seminarios[Seminario],Seminarios[Año])</f>
        <v>2024</v>
      </c>
    </row>
    <row r="37" spans="1:7" x14ac:dyDescent="0.25">
      <c r="A37" s="7" t="s">
        <v>280</v>
      </c>
      <c r="B37" s="3" t="s">
        <v>281</v>
      </c>
      <c r="C37" s="3" t="s">
        <v>221</v>
      </c>
      <c r="D37" s="3" t="s">
        <v>36</v>
      </c>
      <c r="E37" s="15" t="s">
        <v>1</v>
      </c>
      <c r="F37" s="8" t="s">
        <v>7</v>
      </c>
      <c r="G37" s="19">
        <f>_xlfn.XLOOKUP(Participantes[[#This Row],[Seminario al que asistió]],Seminarios[Seminario],Seminarios[Año])</f>
        <v>2024</v>
      </c>
    </row>
    <row r="38" spans="1:7" x14ac:dyDescent="0.25">
      <c r="A38" s="7" t="s">
        <v>8</v>
      </c>
      <c r="B38" s="3" t="s">
        <v>282</v>
      </c>
      <c r="C38" s="3" t="s">
        <v>218</v>
      </c>
      <c r="D38" s="3" t="s">
        <v>53</v>
      </c>
      <c r="E38" s="15" t="s">
        <v>1</v>
      </c>
      <c r="F38" s="8" t="s">
        <v>7</v>
      </c>
      <c r="G38" s="19">
        <f>_xlfn.XLOOKUP(Participantes[[#This Row],[Seminario al que asistió]],Seminarios[Seminario],Seminarios[Año])</f>
        <v>2024</v>
      </c>
    </row>
    <row r="39" spans="1:7" x14ac:dyDescent="0.25">
      <c r="A39" s="7" t="s">
        <v>283</v>
      </c>
      <c r="B39" s="3" t="s">
        <v>284</v>
      </c>
      <c r="C39" s="3" t="s">
        <v>218</v>
      </c>
      <c r="D39" s="3" t="s">
        <v>36</v>
      </c>
      <c r="E39" s="15" t="s">
        <v>1</v>
      </c>
      <c r="F39" s="8" t="s">
        <v>7</v>
      </c>
      <c r="G39" s="19">
        <f>_xlfn.XLOOKUP(Participantes[[#This Row],[Seminario al que asistió]],Seminarios[Seminario],Seminarios[Año])</f>
        <v>2024</v>
      </c>
    </row>
    <row r="40" spans="1:7" ht="15.75" thickBot="1" x14ac:dyDescent="0.3">
      <c r="A40" s="9" t="s">
        <v>285</v>
      </c>
      <c r="B40" s="10" t="s">
        <v>286</v>
      </c>
      <c r="C40" s="10" t="s">
        <v>218</v>
      </c>
      <c r="D40" s="10" t="s">
        <v>36</v>
      </c>
      <c r="E40" s="16" t="s">
        <v>1</v>
      </c>
      <c r="F40" s="11" t="s">
        <v>7</v>
      </c>
      <c r="G40" s="19">
        <f>_xlfn.XLOOKUP(Participantes[[#This Row],[Seminario al que asistió]],Seminarios[Seminario],Seminarios[Año])</f>
        <v>2024</v>
      </c>
    </row>
    <row r="41" spans="1:7" x14ac:dyDescent="0.25">
      <c r="A41" s="4" t="s">
        <v>287</v>
      </c>
      <c r="B41" s="5" t="s">
        <v>288</v>
      </c>
      <c r="C41" s="5" t="s">
        <v>218</v>
      </c>
      <c r="D41" s="5" t="s">
        <v>36</v>
      </c>
      <c r="E41" s="14" t="s">
        <v>1</v>
      </c>
      <c r="F41" s="6" t="s">
        <v>11</v>
      </c>
      <c r="G41" s="19">
        <f>_xlfn.XLOOKUP(Participantes[[#This Row],[Seminario al que asistió]],Seminarios[Seminario],Seminarios[Año])</f>
        <v>2024</v>
      </c>
    </row>
    <row r="42" spans="1:7" x14ac:dyDescent="0.25">
      <c r="A42" s="7" t="s">
        <v>276</v>
      </c>
      <c r="B42" s="3" t="s">
        <v>277</v>
      </c>
      <c r="C42" s="3" t="s">
        <v>218</v>
      </c>
      <c r="D42" s="3" t="s">
        <v>36</v>
      </c>
      <c r="E42" s="15" t="s">
        <v>1</v>
      </c>
      <c r="F42" s="8" t="s">
        <v>11</v>
      </c>
      <c r="G42" s="19">
        <f>_xlfn.XLOOKUP(Participantes[[#This Row],[Seminario al que asistió]],Seminarios[Seminario],Seminarios[Año])</f>
        <v>2024</v>
      </c>
    </row>
    <row r="43" spans="1:7" x14ac:dyDescent="0.25">
      <c r="A43" s="7" t="s">
        <v>274</v>
      </c>
      <c r="B43" s="3" t="s">
        <v>275</v>
      </c>
      <c r="C43" s="3" t="s">
        <v>218</v>
      </c>
      <c r="D43" s="3" t="s">
        <v>36</v>
      </c>
      <c r="E43" s="15" t="s">
        <v>1</v>
      </c>
      <c r="F43" s="8" t="s">
        <v>11</v>
      </c>
      <c r="G43" s="19">
        <f>_xlfn.XLOOKUP(Participantes[[#This Row],[Seminario al que asistió]],Seminarios[Seminario],Seminarios[Año])</f>
        <v>2024</v>
      </c>
    </row>
    <row r="44" spans="1:7" x14ac:dyDescent="0.25">
      <c r="A44" s="7" t="s">
        <v>229</v>
      </c>
      <c r="B44" s="3" t="s">
        <v>230</v>
      </c>
      <c r="C44" s="3" t="s">
        <v>218</v>
      </c>
      <c r="D44" s="3" t="s">
        <v>36</v>
      </c>
      <c r="E44" s="15" t="s">
        <v>1</v>
      </c>
      <c r="F44" s="8" t="s">
        <v>11</v>
      </c>
      <c r="G44" s="19">
        <f>_xlfn.XLOOKUP(Participantes[[#This Row],[Seminario al que asistió]],Seminarios[Seminario],Seminarios[Año])</f>
        <v>2024</v>
      </c>
    </row>
    <row r="45" spans="1:7" x14ac:dyDescent="0.25">
      <c r="A45" s="7" t="s">
        <v>253</v>
      </c>
      <c r="B45" s="3" t="s">
        <v>254</v>
      </c>
      <c r="C45" s="3" t="s">
        <v>218</v>
      </c>
      <c r="D45" s="3" t="s">
        <v>36</v>
      </c>
      <c r="E45" s="15" t="s">
        <v>1</v>
      </c>
      <c r="F45" s="8" t="s">
        <v>11</v>
      </c>
      <c r="G45" s="19">
        <f>_xlfn.XLOOKUP(Participantes[[#This Row],[Seminario al que asistió]],Seminarios[Seminario],Seminarios[Año])</f>
        <v>2024</v>
      </c>
    </row>
    <row r="46" spans="1:7" x14ac:dyDescent="0.25">
      <c r="A46" s="7" t="s">
        <v>289</v>
      </c>
      <c r="B46" s="3" t="s">
        <v>290</v>
      </c>
      <c r="C46" s="3" t="s">
        <v>221</v>
      </c>
      <c r="D46" s="3" t="s">
        <v>233</v>
      </c>
      <c r="E46" s="15" t="s">
        <v>1</v>
      </c>
      <c r="F46" s="8" t="s">
        <v>11</v>
      </c>
      <c r="G46" s="19">
        <f>_xlfn.XLOOKUP(Participantes[[#This Row],[Seminario al que asistió]],Seminarios[Seminario],Seminarios[Año])</f>
        <v>2024</v>
      </c>
    </row>
    <row r="47" spans="1:7" x14ac:dyDescent="0.25">
      <c r="A47" s="7" t="s">
        <v>263</v>
      </c>
      <c r="B47" s="3" t="s">
        <v>264</v>
      </c>
      <c r="C47" s="3" t="s">
        <v>221</v>
      </c>
      <c r="D47" s="3" t="s">
        <v>233</v>
      </c>
      <c r="E47" s="15" t="s">
        <v>1</v>
      </c>
      <c r="F47" s="8" t="s">
        <v>11</v>
      </c>
      <c r="G47" s="19">
        <f>_xlfn.XLOOKUP(Participantes[[#This Row],[Seminario al que asistió]],Seminarios[Seminario],Seminarios[Año])</f>
        <v>2024</v>
      </c>
    </row>
    <row r="48" spans="1:7" x14ac:dyDescent="0.25">
      <c r="A48" s="7" t="s">
        <v>249</v>
      </c>
      <c r="B48" s="3" t="s">
        <v>250</v>
      </c>
      <c r="C48" s="3" t="s">
        <v>218</v>
      </c>
      <c r="D48" s="3" t="s">
        <v>36</v>
      </c>
      <c r="E48" s="15" t="s">
        <v>1</v>
      </c>
      <c r="F48" s="8" t="s">
        <v>11</v>
      </c>
      <c r="G48" s="19">
        <f>_xlfn.XLOOKUP(Participantes[[#This Row],[Seminario al que asistió]],Seminarios[Seminario],Seminarios[Año])</f>
        <v>2024</v>
      </c>
    </row>
    <row r="49" spans="1:7" x14ac:dyDescent="0.25">
      <c r="A49" s="7" t="s">
        <v>291</v>
      </c>
      <c r="B49" s="3" t="s">
        <v>292</v>
      </c>
      <c r="C49" s="3" t="s">
        <v>221</v>
      </c>
      <c r="D49" s="3" t="s">
        <v>36</v>
      </c>
      <c r="E49" s="15" t="s">
        <v>1</v>
      </c>
      <c r="F49" s="8" t="s">
        <v>11</v>
      </c>
      <c r="G49" s="19">
        <f>_xlfn.XLOOKUP(Participantes[[#This Row],[Seminario al que asistió]],Seminarios[Seminario],Seminarios[Año])</f>
        <v>2024</v>
      </c>
    </row>
    <row r="50" spans="1:7" x14ac:dyDescent="0.25">
      <c r="A50" s="7" t="s">
        <v>234</v>
      </c>
      <c r="B50" s="3" t="s">
        <v>235</v>
      </c>
      <c r="C50" s="3" t="s">
        <v>218</v>
      </c>
      <c r="D50" s="3" t="s">
        <v>36</v>
      </c>
      <c r="E50" s="15" t="s">
        <v>1</v>
      </c>
      <c r="F50" s="8" t="s">
        <v>11</v>
      </c>
      <c r="G50" s="19">
        <f>_xlfn.XLOOKUP(Participantes[[#This Row],[Seminario al que asistió]],Seminarios[Seminario],Seminarios[Año])</f>
        <v>2024</v>
      </c>
    </row>
    <row r="51" spans="1:7" x14ac:dyDescent="0.25">
      <c r="A51" s="7" t="s">
        <v>293</v>
      </c>
      <c r="B51" s="3" t="s">
        <v>294</v>
      </c>
      <c r="C51" s="3" t="s">
        <v>218</v>
      </c>
      <c r="D51" s="3" t="s">
        <v>36</v>
      </c>
      <c r="E51" s="15" t="s">
        <v>1</v>
      </c>
      <c r="F51" s="8" t="s">
        <v>11</v>
      </c>
      <c r="G51" s="19">
        <f>_xlfn.XLOOKUP(Participantes[[#This Row],[Seminario al que asistió]],Seminarios[Seminario],Seminarios[Año])</f>
        <v>2024</v>
      </c>
    </row>
    <row r="52" spans="1:7" x14ac:dyDescent="0.25">
      <c r="A52" s="7" t="s">
        <v>295</v>
      </c>
      <c r="B52" s="3" t="s">
        <v>259</v>
      </c>
      <c r="C52" s="3" t="s">
        <v>218</v>
      </c>
      <c r="D52" s="3" t="s">
        <v>233</v>
      </c>
      <c r="E52" s="15" t="s">
        <v>1</v>
      </c>
      <c r="F52" s="8" t="s">
        <v>11</v>
      </c>
      <c r="G52" s="19">
        <f>_xlfn.XLOOKUP(Participantes[[#This Row],[Seminario al que asistió]],Seminarios[Seminario],Seminarios[Año])</f>
        <v>2024</v>
      </c>
    </row>
    <row r="53" spans="1:7" x14ac:dyDescent="0.25">
      <c r="A53" s="7" t="s">
        <v>296</v>
      </c>
      <c r="B53" s="3" t="s">
        <v>297</v>
      </c>
      <c r="C53" s="3" t="s">
        <v>221</v>
      </c>
      <c r="D53" s="3" t="s">
        <v>36</v>
      </c>
      <c r="E53" s="15" t="s">
        <v>1</v>
      </c>
      <c r="F53" s="8" t="s">
        <v>11</v>
      </c>
      <c r="G53" s="19">
        <f>_xlfn.XLOOKUP(Participantes[[#This Row],[Seminario al que asistió]],Seminarios[Seminario],Seminarios[Año])</f>
        <v>2024</v>
      </c>
    </row>
    <row r="54" spans="1:7" x14ac:dyDescent="0.25">
      <c r="A54" s="7" t="s">
        <v>298</v>
      </c>
      <c r="B54" s="3" t="s">
        <v>299</v>
      </c>
      <c r="C54" s="3" t="s">
        <v>218</v>
      </c>
      <c r="D54" s="3" t="s">
        <v>233</v>
      </c>
      <c r="E54" s="15" t="s">
        <v>1</v>
      </c>
      <c r="F54" s="8" t="s">
        <v>11</v>
      </c>
      <c r="G54" s="19">
        <f>_xlfn.XLOOKUP(Participantes[[#This Row],[Seminario al que asistió]],Seminarios[Seminario],Seminarios[Año])</f>
        <v>2024</v>
      </c>
    </row>
    <row r="55" spans="1:7" x14ac:dyDescent="0.25">
      <c r="A55" s="7" t="s">
        <v>300</v>
      </c>
      <c r="B55" s="3" t="s">
        <v>301</v>
      </c>
      <c r="C55" s="3" t="s">
        <v>221</v>
      </c>
      <c r="D55" s="3" t="s">
        <v>43</v>
      </c>
      <c r="E55" s="15" t="s">
        <v>1</v>
      </c>
      <c r="F55" s="8" t="s">
        <v>11</v>
      </c>
      <c r="G55" s="19">
        <f>_xlfn.XLOOKUP(Participantes[[#This Row],[Seminario al que asistió]],Seminarios[Seminario],Seminarios[Año])</f>
        <v>2024</v>
      </c>
    </row>
    <row r="56" spans="1:7" x14ac:dyDescent="0.25">
      <c r="A56" s="7" t="s">
        <v>12</v>
      </c>
      <c r="B56" s="3" t="s">
        <v>282</v>
      </c>
      <c r="C56" s="3" t="s">
        <v>218</v>
      </c>
      <c r="D56" s="3" t="s">
        <v>36</v>
      </c>
      <c r="E56" s="15" t="s">
        <v>1</v>
      </c>
      <c r="F56" s="8" t="s">
        <v>11</v>
      </c>
      <c r="G56" s="19">
        <f>_xlfn.XLOOKUP(Participantes[[#This Row],[Seminario al que asistió]],Seminarios[Seminario],Seminarios[Año])</f>
        <v>2024</v>
      </c>
    </row>
    <row r="57" spans="1:7" x14ac:dyDescent="0.25">
      <c r="A57" s="7" t="s">
        <v>302</v>
      </c>
      <c r="B57" s="3" t="s">
        <v>303</v>
      </c>
      <c r="C57" s="3" t="s">
        <v>218</v>
      </c>
      <c r="D57" s="3" t="s">
        <v>36</v>
      </c>
      <c r="E57" s="15" t="s">
        <v>1</v>
      </c>
      <c r="F57" s="8" t="s">
        <v>11</v>
      </c>
      <c r="G57" s="19">
        <f>_xlfn.XLOOKUP(Participantes[[#This Row],[Seminario al que asistió]],Seminarios[Seminario],Seminarios[Año])</f>
        <v>2024</v>
      </c>
    </row>
    <row r="58" spans="1:7" x14ac:dyDescent="0.25">
      <c r="A58" s="7" t="s">
        <v>273</v>
      </c>
      <c r="B58" s="3" t="s">
        <v>237</v>
      </c>
      <c r="C58" s="3" t="s">
        <v>218</v>
      </c>
      <c r="D58" s="3" t="s">
        <v>36</v>
      </c>
      <c r="E58" s="15" t="s">
        <v>1</v>
      </c>
      <c r="F58" s="8" t="s">
        <v>11</v>
      </c>
      <c r="G58" s="19">
        <f>_xlfn.XLOOKUP(Participantes[[#This Row],[Seminario al que asistió]],Seminarios[Seminario],Seminarios[Año])</f>
        <v>2024</v>
      </c>
    </row>
    <row r="59" spans="1:7" ht="15.75" thickBot="1" x14ac:dyDescent="0.3">
      <c r="A59" s="9" t="s">
        <v>227</v>
      </c>
      <c r="B59" s="10" t="s">
        <v>228</v>
      </c>
      <c r="C59" s="10" t="s">
        <v>218</v>
      </c>
      <c r="D59" s="10" t="s">
        <v>36</v>
      </c>
      <c r="E59" s="16" t="s">
        <v>1</v>
      </c>
      <c r="F59" s="11" t="s">
        <v>11</v>
      </c>
      <c r="G59" s="19">
        <f>_xlfn.XLOOKUP(Participantes[[#This Row],[Seminario al que asistió]],Seminarios[Seminario],Seminarios[Año])</f>
        <v>2024</v>
      </c>
    </row>
    <row r="60" spans="1:7" x14ac:dyDescent="0.25">
      <c r="A60" s="7" t="s">
        <v>831</v>
      </c>
      <c r="B60" s="3" t="s">
        <v>304</v>
      </c>
      <c r="C60" s="5" t="s">
        <v>221</v>
      </c>
      <c r="D60" s="5" t="s">
        <v>36</v>
      </c>
      <c r="E60" s="14" t="s">
        <v>5</v>
      </c>
      <c r="F60" s="6" t="s">
        <v>14</v>
      </c>
      <c r="G60" s="19">
        <f>_xlfn.XLOOKUP(Participantes[[#This Row],[Seminario al que asistió]],Seminarios[Seminario],Seminarios[Año])</f>
        <v>2024</v>
      </c>
    </row>
    <row r="61" spans="1:7" x14ac:dyDescent="0.25">
      <c r="A61" s="7" t="s">
        <v>305</v>
      </c>
      <c r="B61" s="3" t="s">
        <v>222</v>
      </c>
      <c r="C61" s="3" t="s">
        <v>221</v>
      </c>
      <c r="D61" s="3" t="s">
        <v>36</v>
      </c>
      <c r="E61" s="15" t="s">
        <v>5</v>
      </c>
      <c r="F61" s="8" t="s">
        <v>14</v>
      </c>
      <c r="G61" s="19">
        <f>_xlfn.XLOOKUP(Participantes[[#This Row],[Seminario al que asistió]],Seminarios[Seminario],Seminarios[Año])</f>
        <v>2024</v>
      </c>
    </row>
    <row r="62" spans="1:7" x14ac:dyDescent="0.25">
      <c r="A62" s="7" t="s">
        <v>306</v>
      </c>
      <c r="B62" s="3" t="s">
        <v>307</v>
      </c>
      <c r="C62" s="3" t="s">
        <v>221</v>
      </c>
      <c r="D62" s="3" t="s">
        <v>36</v>
      </c>
      <c r="E62" s="15" t="s">
        <v>5</v>
      </c>
      <c r="F62" s="8" t="s">
        <v>14</v>
      </c>
      <c r="G62" s="19">
        <f>_xlfn.XLOOKUP(Participantes[[#This Row],[Seminario al que asistió]],Seminarios[Seminario],Seminarios[Año])</f>
        <v>2024</v>
      </c>
    </row>
    <row r="63" spans="1:7" x14ac:dyDescent="0.25">
      <c r="A63" s="7" t="s">
        <v>308</v>
      </c>
      <c r="B63" s="3" t="s">
        <v>309</v>
      </c>
      <c r="C63" s="3" t="s">
        <v>221</v>
      </c>
      <c r="D63" s="3" t="s">
        <v>43</v>
      </c>
      <c r="E63" s="15" t="s">
        <v>5</v>
      </c>
      <c r="F63" s="8" t="s">
        <v>14</v>
      </c>
      <c r="G63" s="19">
        <f>_xlfn.XLOOKUP(Participantes[[#This Row],[Seminario al que asistió]],Seminarios[Seminario],Seminarios[Año])</f>
        <v>2024</v>
      </c>
    </row>
    <row r="64" spans="1:7" x14ac:dyDescent="0.25">
      <c r="A64" s="7" t="s">
        <v>310</v>
      </c>
      <c r="B64" s="3" t="s">
        <v>256</v>
      </c>
      <c r="C64" s="3" t="s">
        <v>218</v>
      </c>
      <c r="D64" s="3" t="s">
        <v>36</v>
      </c>
      <c r="E64" s="15" t="s">
        <v>5</v>
      </c>
      <c r="F64" s="8" t="s">
        <v>14</v>
      </c>
      <c r="G64" s="19">
        <f>_xlfn.XLOOKUP(Participantes[[#This Row],[Seminario al que asistió]],Seminarios[Seminario],Seminarios[Año])</f>
        <v>2024</v>
      </c>
    </row>
    <row r="65" spans="1:13" x14ac:dyDescent="0.25">
      <c r="A65" s="7" t="s">
        <v>311</v>
      </c>
      <c r="B65" s="3" t="s">
        <v>312</v>
      </c>
      <c r="C65" s="3" t="s">
        <v>221</v>
      </c>
      <c r="D65" s="3" t="s">
        <v>36</v>
      </c>
      <c r="E65" s="15" t="s">
        <v>5</v>
      </c>
      <c r="F65" s="8" t="s">
        <v>14</v>
      </c>
      <c r="G65" s="19">
        <f>_xlfn.XLOOKUP(Participantes[[#This Row],[Seminario al que asistió]],Seminarios[Seminario],Seminarios[Año])</f>
        <v>2024</v>
      </c>
    </row>
    <row r="66" spans="1:13" x14ac:dyDescent="0.25">
      <c r="A66" s="7" t="s">
        <v>313</v>
      </c>
      <c r="B66" s="3" t="s">
        <v>314</v>
      </c>
      <c r="C66" s="3" t="s">
        <v>221</v>
      </c>
      <c r="D66" s="3" t="s">
        <v>36</v>
      </c>
      <c r="E66" s="15" t="s">
        <v>5</v>
      </c>
      <c r="F66" s="8" t="s">
        <v>14</v>
      </c>
      <c r="G66" s="19">
        <f>_xlfn.XLOOKUP(Participantes[[#This Row],[Seminario al que asistió]],Seminarios[Seminario],Seminarios[Año])</f>
        <v>2024</v>
      </c>
    </row>
    <row r="67" spans="1:13" x14ac:dyDescent="0.25">
      <c r="A67" s="7" t="s">
        <v>315</v>
      </c>
      <c r="B67" s="3" t="s">
        <v>316</v>
      </c>
      <c r="C67" s="3" t="s">
        <v>218</v>
      </c>
      <c r="D67" s="3" t="s">
        <v>36</v>
      </c>
      <c r="E67" s="15" t="s">
        <v>5</v>
      </c>
      <c r="F67" s="8" t="s">
        <v>14</v>
      </c>
      <c r="G67" s="19">
        <f>_xlfn.XLOOKUP(Participantes[[#This Row],[Seminario al que asistió]],Seminarios[Seminario],Seminarios[Año])</f>
        <v>2024</v>
      </c>
    </row>
    <row r="68" spans="1:13" x14ac:dyDescent="0.25">
      <c r="A68" s="7" t="s">
        <v>317</v>
      </c>
      <c r="B68" s="3" t="s">
        <v>318</v>
      </c>
      <c r="C68" s="3" t="s">
        <v>218</v>
      </c>
      <c r="D68" s="3" t="s">
        <v>36</v>
      </c>
      <c r="E68" s="15" t="s">
        <v>5</v>
      </c>
      <c r="F68" s="8" t="s">
        <v>14</v>
      </c>
      <c r="G68" s="19">
        <f>_xlfn.XLOOKUP(Participantes[[#This Row],[Seminario al que asistió]],Seminarios[Seminario],Seminarios[Año])</f>
        <v>2024</v>
      </c>
    </row>
    <row r="69" spans="1:13" x14ac:dyDescent="0.25">
      <c r="A69" s="7" t="s">
        <v>244</v>
      </c>
      <c r="B69" s="3" t="s">
        <v>245</v>
      </c>
      <c r="C69" s="3" t="s">
        <v>218</v>
      </c>
      <c r="D69" s="3" t="s">
        <v>36</v>
      </c>
      <c r="E69" s="15" t="s">
        <v>5</v>
      </c>
      <c r="F69" s="8" t="s">
        <v>14</v>
      </c>
      <c r="G69" s="19">
        <f>_xlfn.XLOOKUP(Participantes[[#This Row],[Seminario al que asistió]],Seminarios[Seminario],Seminarios[Año])</f>
        <v>2024</v>
      </c>
    </row>
    <row r="70" spans="1:13" x14ac:dyDescent="0.25">
      <c r="A70" s="7" t="s">
        <v>319</v>
      </c>
      <c r="B70" s="3" t="s">
        <v>272</v>
      </c>
      <c r="C70" s="3" t="s">
        <v>221</v>
      </c>
      <c r="D70" s="3" t="s">
        <v>36</v>
      </c>
      <c r="E70" s="15" t="s">
        <v>5</v>
      </c>
      <c r="F70" s="8" t="s">
        <v>14</v>
      </c>
      <c r="G70" s="19">
        <f>_xlfn.XLOOKUP(Participantes[[#This Row],[Seminario al que asistió]],Seminarios[Seminario],Seminarios[Año])</f>
        <v>2024</v>
      </c>
    </row>
    <row r="71" spans="1:13" x14ac:dyDescent="0.25">
      <c r="A71" s="7" t="s">
        <v>320</v>
      </c>
      <c r="B71" s="3" t="s">
        <v>321</v>
      </c>
      <c r="C71" s="3" t="s">
        <v>218</v>
      </c>
      <c r="D71" s="3" t="s">
        <v>36</v>
      </c>
      <c r="E71" s="15" t="s">
        <v>5</v>
      </c>
      <c r="F71" s="8" t="s">
        <v>14</v>
      </c>
      <c r="G71" s="19">
        <f>_xlfn.XLOOKUP(Participantes[[#This Row],[Seminario al que asistió]],Seminarios[Seminario],Seminarios[Año])</f>
        <v>2024</v>
      </c>
    </row>
    <row r="72" spans="1:13" ht="15.75" thickBot="1" x14ac:dyDescent="0.3">
      <c r="A72" s="9" t="s">
        <v>260</v>
      </c>
      <c r="B72" s="10" t="s">
        <v>250</v>
      </c>
      <c r="C72" s="10" t="s">
        <v>218</v>
      </c>
      <c r="D72" s="10" t="s">
        <v>36</v>
      </c>
      <c r="E72" s="16" t="s">
        <v>5</v>
      </c>
      <c r="F72" s="11" t="s">
        <v>14</v>
      </c>
      <c r="G72" s="19">
        <f>_xlfn.XLOOKUP(Participantes[[#This Row],[Seminario al que asistió]],Seminarios[Seminario],Seminarios[Año])</f>
        <v>2024</v>
      </c>
    </row>
    <row r="73" spans="1:13" x14ac:dyDescent="0.25">
      <c r="A73" s="4" t="s">
        <v>246</v>
      </c>
      <c r="B73" s="5" t="s">
        <v>247</v>
      </c>
      <c r="C73" s="5" t="s">
        <v>218</v>
      </c>
      <c r="D73" s="5" t="s">
        <v>43</v>
      </c>
      <c r="E73" s="5" t="s">
        <v>1</v>
      </c>
      <c r="F73" s="6" t="s">
        <v>16</v>
      </c>
      <c r="G73" s="3">
        <f>_xlfn.XLOOKUP(Participantes[[#This Row],[Seminario al que asistió]],Seminarios[Seminario],Seminarios[Año])</f>
        <v>2024</v>
      </c>
      <c r="J73" s="45"/>
      <c r="K73" s="45"/>
      <c r="L73" s="45"/>
      <c r="M73" s="45"/>
    </row>
    <row r="74" spans="1:13" x14ac:dyDescent="0.25">
      <c r="A74" s="7" t="s">
        <v>317</v>
      </c>
      <c r="B74" s="3" t="s">
        <v>318</v>
      </c>
      <c r="C74" s="3" t="s">
        <v>218</v>
      </c>
      <c r="D74" s="3" t="s">
        <v>36</v>
      </c>
      <c r="E74" s="3" t="s">
        <v>5</v>
      </c>
      <c r="F74" s="8" t="s">
        <v>16</v>
      </c>
      <c r="G74" s="3">
        <f>_xlfn.XLOOKUP(Participantes[[#This Row],[Seminario al que asistió]],Seminarios[Seminario],Seminarios[Año])</f>
        <v>2024</v>
      </c>
      <c r="J74" s="28"/>
      <c r="K74" s="28"/>
      <c r="L74" s="28"/>
      <c r="M74" s="28"/>
    </row>
    <row r="75" spans="1:13" x14ac:dyDescent="0.25">
      <c r="A75" s="7" t="s">
        <v>322</v>
      </c>
      <c r="B75" s="3" t="s">
        <v>323</v>
      </c>
      <c r="C75" s="3" t="s">
        <v>221</v>
      </c>
      <c r="D75" s="3" t="s">
        <v>48</v>
      </c>
      <c r="E75" s="3" t="s">
        <v>5</v>
      </c>
      <c r="F75" s="8" t="s">
        <v>16</v>
      </c>
      <c r="G75" s="3">
        <f>_xlfn.XLOOKUP(Participantes[[#This Row],[Seminario al que asistió]],Seminarios[Seminario],Seminarios[Año])</f>
        <v>2024</v>
      </c>
      <c r="J75" s="28"/>
      <c r="K75" s="28"/>
      <c r="L75" s="28"/>
      <c r="M75" s="28"/>
    </row>
    <row r="76" spans="1:13" x14ac:dyDescent="0.25">
      <c r="A76" s="7" t="s">
        <v>324</v>
      </c>
      <c r="B76" s="3" t="s">
        <v>325</v>
      </c>
      <c r="C76" s="3" t="s">
        <v>221</v>
      </c>
      <c r="D76" s="3" t="s">
        <v>48</v>
      </c>
      <c r="E76" s="3" t="s">
        <v>5</v>
      </c>
      <c r="F76" s="8" t="s">
        <v>16</v>
      </c>
      <c r="G76" s="3">
        <f>_xlfn.XLOOKUP(Participantes[[#This Row],[Seminario al que asistió]],Seminarios[Seminario],Seminarios[Año])</f>
        <v>2024</v>
      </c>
      <c r="J76" s="28"/>
      <c r="K76" s="28"/>
      <c r="L76" s="28"/>
      <c r="M76" s="28"/>
    </row>
    <row r="77" spans="1:13" x14ac:dyDescent="0.25">
      <c r="A77" s="7" t="s">
        <v>326</v>
      </c>
      <c r="B77" s="3" t="s">
        <v>327</v>
      </c>
      <c r="C77" s="3" t="s">
        <v>218</v>
      </c>
      <c r="D77" s="3" t="s">
        <v>48</v>
      </c>
      <c r="E77" s="3" t="s">
        <v>5</v>
      </c>
      <c r="F77" s="8" t="s">
        <v>16</v>
      </c>
      <c r="G77" s="3">
        <f>_xlfn.XLOOKUP(Participantes[[#This Row],[Seminario al que asistió]],Seminarios[Seminario],Seminarios[Año])</f>
        <v>2024</v>
      </c>
      <c r="J77" s="28"/>
      <c r="K77" s="28"/>
      <c r="L77" s="28"/>
      <c r="M77" s="28"/>
    </row>
    <row r="78" spans="1:13" x14ac:dyDescent="0.25">
      <c r="A78" s="7" t="s">
        <v>328</v>
      </c>
      <c r="B78" s="3" t="s">
        <v>329</v>
      </c>
      <c r="C78" s="3" t="s">
        <v>218</v>
      </c>
      <c r="D78" s="3" t="s">
        <v>36</v>
      </c>
      <c r="E78" s="3" t="s">
        <v>1</v>
      </c>
      <c r="F78" s="8" t="s">
        <v>16</v>
      </c>
      <c r="G78" s="3">
        <f>_xlfn.XLOOKUP(Participantes[[#This Row],[Seminario al que asistió]],Seminarios[Seminario],Seminarios[Año])</f>
        <v>2024</v>
      </c>
      <c r="J78" s="28"/>
      <c r="K78" s="28"/>
      <c r="L78" s="28"/>
      <c r="M78" s="28"/>
    </row>
    <row r="79" spans="1:13" x14ac:dyDescent="0.25">
      <c r="A79" s="7" t="s">
        <v>176</v>
      </c>
      <c r="B79" s="3" t="s">
        <v>222</v>
      </c>
      <c r="C79" s="3" t="s">
        <v>221</v>
      </c>
      <c r="D79" s="3" t="s">
        <v>36</v>
      </c>
      <c r="E79" s="3" t="s">
        <v>5</v>
      </c>
      <c r="F79" s="8" t="s">
        <v>16</v>
      </c>
      <c r="G79" s="3">
        <f>_xlfn.XLOOKUP(Participantes[[#This Row],[Seminario al que asistió]],Seminarios[Seminario],Seminarios[Año])</f>
        <v>2024</v>
      </c>
      <c r="J79" s="28"/>
      <c r="K79" s="28"/>
      <c r="L79" s="28"/>
      <c r="M79" s="28"/>
    </row>
    <row r="80" spans="1:13" x14ac:dyDescent="0.25">
      <c r="A80" s="7" t="s">
        <v>330</v>
      </c>
      <c r="B80" s="3" t="s">
        <v>331</v>
      </c>
      <c r="C80" s="3" t="s">
        <v>221</v>
      </c>
      <c r="D80" s="3" t="s">
        <v>48</v>
      </c>
      <c r="E80" s="3" t="s">
        <v>5</v>
      </c>
      <c r="F80" s="8" t="s">
        <v>16</v>
      </c>
      <c r="G80" s="3">
        <f>_xlfn.XLOOKUP(Participantes[[#This Row],[Seminario al que asistió]],Seminarios[Seminario],Seminarios[Año])</f>
        <v>2024</v>
      </c>
      <c r="J80" s="28"/>
      <c r="K80" s="28"/>
      <c r="L80" s="28"/>
      <c r="M80" s="28"/>
    </row>
    <row r="81" spans="1:13" x14ac:dyDescent="0.25">
      <c r="A81" s="7" t="s">
        <v>332</v>
      </c>
      <c r="B81" s="3" t="s">
        <v>252</v>
      </c>
      <c r="C81" s="3" t="s">
        <v>221</v>
      </c>
      <c r="D81" s="3" t="s">
        <v>43</v>
      </c>
      <c r="E81" s="3" t="s">
        <v>1</v>
      </c>
      <c r="F81" s="8" t="s">
        <v>16</v>
      </c>
      <c r="G81" s="3">
        <f>_xlfn.XLOOKUP(Participantes[[#This Row],[Seminario al que asistió]],Seminarios[Seminario],Seminarios[Año])</f>
        <v>2024</v>
      </c>
      <c r="J81" s="28"/>
      <c r="K81" s="28"/>
      <c r="L81" s="28"/>
      <c r="M81" s="28"/>
    </row>
    <row r="82" spans="1:13" x14ac:dyDescent="0.25">
      <c r="A82" s="7" t="s">
        <v>287</v>
      </c>
      <c r="B82" s="3" t="s">
        <v>288</v>
      </c>
      <c r="C82" s="3" t="s">
        <v>218</v>
      </c>
      <c r="D82" s="3" t="s">
        <v>36</v>
      </c>
      <c r="E82" s="3" t="s">
        <v>1</v>
      </c>
      <c r="F82" s="8" t="s">
        <v>16</v>
      </c>
      <c r="G82" s="3">
        <f>_xlfn.XLOOKUP(Participantes[[#This Row],[Seminario al que asistió]],Seminarios[Seminario],Seminarios[Año])</f>
        <v>2024</v>
      </c>
      <c r="J82" s="28"/>
      <c r="K82" s="28"/>
      <c r="L82" s="28"/>
      <c r="M82" s="28"/>
    </row>
    <row r="83" spans="1:13" x14ac:dyDescent="0.25">
      <c r="A83" s="7" t="s">
        <v>333</v>
      </c>
      <c r="B83" s="3" t="s">
        <v>334</v>
      </c>
      <c r="C83" s="3" t="s">
        <v>218</v>
      </c>
      <c r="D83" s="3" t="s">
        <v>36</v>
      </c>
      <c r="E83" s="3" t="s">
        <v>1</v>
      </c>
      <c r="F83" s="8" t="s">
        <v>16</v>
      </c>
      <c r="G83" s="3">
        <f>_xlfn.XLOOKUP(Participantes[[#This Row],[Seminario al que asistió]],Seminarios[Seminario],Seminarios[Año])</f>
        <v>2024</v>
      </c>
    </row>
    <row r="84" spans="1:13" x14ac:dyDescent="0.25">
      <c r="A84" s="7" t="s">
        <v>335</v>
      </c>
      <c r="B84" s="3" t="s">
        <v>336</v>
      </c>
      <c r="C84" s="3" t="s">
        <v>221</v>
      </c>
      <c r="D84" s="3" t="s">
        <v>36</v>
      </c>
      <c r="E84" s="3" t="s">
        <v>1</v>
      </c>
      <c r="F84" s="8" t="s">
        <v>16</v>
      </c>
      <c r="G84" s="3">
        <f>_xlfn.XLOOKUP(Participantes[[#This Row],[Seminario al que asistió]],Seminarios[Seminario],Seminarios[Año])</f>
        <v>2024</v>
      </c>
    </row>
    <row r="85" spans="1:13" ht="15.75" thickBot="1" x14ac:dyDescent="0.3">
      <c r="A85" s="9" t="s">
        <v>249</v>
      </c>
      <c r="B85" s="10" t="s">
        <v>250</v>
      </c>
      <c r="C85" s="10" t="s">
        <v>218</v>
      </c>
      <c r="D85" s="10" t="s">
        <v>36</v>
      </c>
      <c r="E85" s="10" t="s">
        <v>1</v>
      </c>
      <c r="F85" s="11" t="s">
        <v>16</v>
      </c>
      <c r="G85" s="3">
        <f>_xlfn.XLOOKUP(Participantes[[#This Row],[Seminario al que asistió]],Seminarios[Seminario],Seminarios[Año])</f>
        <v>2024</v>
      </c>
    </row>
    <row r="86" spans="1:13" x14ac:dyDescent="0.25">
      <c r="A86" s="46" t="s">
        <v>274</v>
      </c>
      <c r="B86" s="12" t="s">
        <v>275</v>
      </c>
      <c r="C86" s="12" t="s">
        <v>218</v>
      </c>
      <c r="D86" s="12" t="s">
        <v>36</v>
      </c>
      <c r="E86" s="17" t="s">
        <v>5</v>
      </c>
      <c r="F86" s="47" t="s">
        <v>37</v>
      </c>
      <c r="G86" s="3">
        <f>_xlfn.XLOOKUP(Participantes[[#This Row],[Seminario al que asistió]],Seminarios[Seminario],Seminarios[Año])</f>
        <v>2024</v>
      </c>
    </row>
    <row r="87" spans="1:13" x14ac:dyDescent="0.25">
      <c r="A87" s="7" t="s">
        <v>337</v>
      </c>
      <c r="B87" s="3" t="s">
        <v>224</v>
      </c>
      <c r="C87" s="3" t="s">
        <v>221</v>
      </c>
      <c r="D87" s="3" t="s">
        <v>36</v>
      </c>
      <c r="E87" s="15" t="s">
        <v>5</v>
      </c>
      <c r="F87" s="8" t="s">
        <v>37</v>
      </c>
      <c r="G87" s="3">
        <f>_xlfn.XLOOKUP(Participantes[[#This Row],[Seminario al que asistió]],Seminarios[Seminario],Seminarios[Año])</f>
        <v>2024</v>
      </c>
    </row>
    <row r="88" spans="1:13" x14ac:dyDescent="0.25">
      <c r="A88" s="7" t="s">
        <v>338</v>
      </c>
      <c r="B88" s="3" t="s">
        <v>339</v>
      </c>
      <c r="C88" s="3" t="s">
        <v>218</v>
      </c>
      <c r="D88" s="3" t="s">
        <v>36</v>
      </c>
      <c r="E88" s="15" t="s">
        <v>5</v>
      </c>
      <c r="F88" s="8" t="s">
        <v>37</v>
      </c>
      <c r="G88" s="3">
        <f>_xlfn.XLOOKUP(Participantes[[#This Row],[Seminario al que asistió]],Seminarios[Seminario],Seminarios[Año])</f>
        <v>2024</v>
      </c>
    </row>
    <row r="89" spans="1:13" x14ac:dyDescent="0.25">
      <c r="A89" s="7" t="s">
        <v>234</v>
      </c>
      <c r="B89" s="3" t="s">
        <v>235</v>
      </c>
      <c r="C89" s="3" t="s">
        <v>218</v>
      </c>
      <c r="D89" s="3" t="s">
        <v>36</v>
      </c>
      <c r="E89" s="15" t="s">
        <v>5</v>
      </c>
      <c r="F89" s="8" t="s">
        <v>37</v>
      </c>
      <c r="G89" s="3">
        <f>_xlfn.XLOOKUP(Participantes[[#This Row],[Seminario al que asistió]],Seminarios[Seminario],Seminarios[Año])</f>
        <v>2024</v>
      </c>
    </row>
    <row r="90" spans="1:13" x14ac:dyDescent="0.25">
      <c r="A90" s="7" t="s">
        <v>340</v>
      </c>
      <c r="B90" s="3" t="s">
        <v>341</v>
      </c>
      <c r="C90" s="3" t="s">
        <v>221</v>
      </c>
      <c r="D90" s="3" t="s">
        <v>48</v>
      </c>
      <c r="E90" s="15" t="s">
        <v>5</v>
      </c>
      <c r="F90" s="8" t="s">
        <v>37</v>
      </c>
      <c r="G90" s="3">
        <f>_xlfn.XLOOKUP(Participantes[[#This Row],[Seminario al que asistió]],Seminarios[Seminario],Seminarios[Año])</f>
        <v>2024</v>
      </c>
    </row>
    <row r="91" spans="1:13" x14ac:dyDescent="0.25">
      <c r="A91" s="7" t="s">
        <v>260</v>
      </c>
      <c r="B91" s="3" t="s">
        <v>342</v>
      </c>
      <c r="C91" s="3" t="s">
        <v>218</v>
      </c>
      <c r="D91" s="3" t="s">
        <v>36</v>
      </c>
      <c r="E91" s="15" t="s">
        <v>5</v>
      </c>
      <c r="F91" s="8" t="s">
        <v>37</v>
      </c>
      <c r="G91" s="3">
        <f>_xlfn.XLOOKUP(Participantes[[#This Row],[Seminario al que asistió]],Seminarios[Seminario],Seminarios[Año])</f>
        <v>2024</v>
      </c>
    </row>
    <row r="92" spans="1:13" x14ac:dyDescent="0.25">
      <c r="A92" s="7" t="s">
        <v>831</v>
      </c>
      <c r="B92" s="3" t="s">
        <v>304</v>
      </c>
      <c r="C92" s="3" t="s">
        <v>221</v>
      </c>
      <c r="D92" s="3" t="s">
        <v>36</v>
      </c>
      <c r="E92" s="15" t="s">
        <v>5</v>
      </c>
      <c r="F92" s="8" t="s">
        <v>37</v>
      </c>
      <c r="G92" s="3">
        <f>_xlfn.XLOOKUP(Participantes[[#This Row],[Seminario al que asistió]],Seminarios[Seminario],Seminarios[Año])</f>
        <v>2024</v>
      </c>
    </row>
    <row r="93" spans="1:13" x14ac:dyDescent="0.25">
      <c r="A93" s="7" t="s">
        <v>280</v>
      </c>
      <c r="B93" s="3" t="s">
        <v>281</v>
      </c>
      <c r="C93" s="3" t="s">
        <v>221</v>
      </c>
      <c r="D93" s="3" t="s">
        <v>36</v>
      </c>
      <c r="E93" s="15" t="s">
        <v>5</v>
      </c>
      <c r="F93" s="8" t="s">
        <v>37</v>
      </c>
      <c r="G93" s="3">
        <f>_xlfn.XLOOKUP(Participantes[[#This Row],[Seminario al que asistió]],Seminarios[Seminario],Seminarios[Año])</f>
        <v>2024</v>
      </c>
    </row>
    <row r="94" spans="1:13" x14ac:dyDescent="0.25">
      <c r="A94" s="7" t="s">
        <v>176</v>
      </c>
      <c r="B94" s="3" t="s">
        <v>222</v>
      </c>
      <c r="C94" s="3" t="s">
        <v>221</v>
      </c>
      <c r="D94" s="3" t="s">
        <v>36</v>
      </c>
      <c r="E94" s="15" t="s">
        <v>5</v>
      </c>
      <c r="F94" s="8" t="s">
        <v>37</v>
      </c>
      <c r="G94" s="3">
        <f>_xlfn.XLOOKUP(Participantes[[#This Row],[Seminario al que asistió]],Seminarios[Seminario],Seminarios[Año])</f>
        <v>2024</v>
      </c>
    </row>
    <row r="95" spans="1:13" x14ac:dyDescent="0.25">
      <c r="A95" s="7" t="s">
        <v>289</v>
      </c>
      <c r="B95" s="3" t="s">
        <v>290</v>
      </c>
      <c r="C95" s="3" t="s">
        <v>221</v>
      </c>
      <c r="D95" s="3" t="s">
        <v>233</v>
      </c>
      <c r="E95" s="15" t="s">
        <v>5</v>
      </c>
      <c r="F95" s="8" t="s">
        <v>37</v>
      </c>
      <c r="G95" s="3">
        <f>_xlfn.XLOOKUP(Participantes[[#This Row],[Seminario al que asistió]],Seminarios[Seminario],Seminarios[Año])</f>
        <v>2024</v>
      </c>
    </row>
    <row r="96" spans="1:13" x14ac:dyDescent="0.25">
      <c r="A96" s="7" t="s">
        <v>343</v>
      </c>
      <c r="B96" s="3" t="s">
        <v>266</v>
      </c>
      <c r="C96" s="3" t="s">
        <v>221</v>
      </c>
      <c r="D96" s="3" t="s">
        <v>233</v>
      </c>
      <c r="E96" s="15" t="s">
        <v>5</v>
      </c>
      <c r="F96" s="8" t="s">
        <v>37</v>
      </c>
      <c r="G96" s="3">
        <f>_xlfn.XLOOKUP(Participantes[[#This Row],[Seminario al que asistió]],Seminarios[Seminario],Seminarios[Año])</f>
        <v>2024</v>
      </c>
    </row>
    <row r="97" spans="1:7" x14ac:dyDescent="0.25">
      <c r="A97" s="7" t="s">
        <v>285</v>
      </c>
      <c r="B97" s="3" t="s">
        <v>344</v>
      </c>
      <c r="C97" s="3" t="s">
        <v>218</v>
      </c>
      <c r="D97" s="3" t="s">
        <v>36</v>
      </c>
      <c r="E97" s="15" t="s">
        <v>5</v>
      </c>
      <c r="F97" s="8" t="s">
        <v>37</v>
      </c>
      <c r="G97" s="3">
        <f>_xlfn.XLOOKUP(Participantes[[#This Row],[Seminario al que asistió]],Seminarios[Seminario],Seminarios[Año])</f>
        <v>2024</v>
      </c>
    </row>
    <row r="98" spans="1:7" x14ac:dyDescent="0.25">
      <c r="A98" s="7" t="s">
        <v>345</v>
      </c>
      <c r="B98" s="3" t="s">
        <v>346</v>
      </c>
      <c r="C98" s="3" t="s">
        <v>218</v>
      </c>
      <c r="D98" s="3" t="s">
        <v>233</v>
      </c>
      <c r="E98" s="15" t="s">
        <v>5</v>
      </c>
      <c r="F98" s="8" t="s">
        <v>37</v>
      </c>
      <c r="G98" s="3">
        <f>_xlfn.XLOOKUP(Participantes[[#This Row],[Seminario al que asistió]],Seminarios[Seminario],Seminarios[Año])</f>
        <v>2024</v>
      </c>
    </row>
    <row r="99" spans="1:7" x14ac:dyDescent="0.25">
      <c r="A99" s="7" t="s">
        <v>177</v>
      </c>
      <c r="B99" s="3" t="s">
        <v>347</v>
      </c>
      <c r="C99" s="3" t="s">
        <v>221</v>
      </c>
      <c r="D99" s="3" t="s">
        <v>36</v>
      </c>
      <c r="E99" s="15" t="s">
        <v>5</v>
      </c>
      <c r="F99" s="8" t="s">
        <v>37</v>
      </c>
      <c r="G99" s="3">
        <f>_xlfn.XLOOKUP(Participantes[[#This Row],[Seminario al que asistió]],Seminarios[Seminario],Seminarios[Año])</f>
        <v>2024</v>
      </c>
    </row>
    <row r="100" spans="1:7" x14ac:dyDescent="0.25">
      <c r="A100" s="7" t="s">
        <v>348</v>
      </c>
      <c r="B100" s="3" t="s">
        <v>349</v>
      </c>
      <c r="C100" s="3" t="s">
        <v>218</v>
      </c>
      <c r="D100" s="3" t="s">
        <v>233</v>
      </c>
      <c r="E100" s="15" t="s">
        <v>5</v>
      </c>
      <c r="F100" s="8" t="s">
        <v>37</v>
      </c>
      <c r="G100" s="3">
        <f>_xlfn.XLOOKUP(Participantes[[#This Row],[Seminario al que asistió]],Seminarios[Seminario],Seminarios[Año])</f>
        <v>2024</v>
      </c>
    </row>
    <row r="101" spans="1:7" x14ac:dyDescent="0.25">
      <c r="A101" s="19" t="s">
        <v>244</v>
      </c>
      <c r="B101" s="3" t="s">
        <v>245</v>
      </c>
      <c r="C101" s="3" t="s">
        <v>218</v>
      </c>
      <c r="D101" s="3" t="s">
        <v>36</v>
      </c>
      <c r="E101" s="15" t="s">
        <v>5</v>
      </c>
      <c r="F101" s="8" t="s">
        <v>37</v>
      </c>
      <c r="G101" s="3">
        <f>_xlfn.XLOOKUP(Participantes[[#This Row],[Seminario al que asistió]],Seminarios[Seminario],Seminarios[Año])</f>
        <v>2024</v>
      </c>
    </row>
    <row r="102" spans="1:7" x14ac:dyDescent="0.25">
      <c r="A102" s="7" t="s">
        <v>350</v>
      </c>
      <c r="B102" s="3" t="s">
        <v>351</v>
      </c>
      <c r="C102" s="3" t="s">
        <v>218</v>
      </c>
      <c r="D102" s="3" t="s">
        <v>48</v>
      </c>
      <c r="E102" s="15" t="s">
        <v>5</v>
      </c>
      <c r="F102" s="8" t="s">
        <v>37</v>
      </c>
      <c r="G102" s="3">
        <f>_xlfn.XLOOKUP(Participantes[[#This Row],[Seminario al que asistió]],Seminarios[Seminario],Seminarios[Año])</f>
        <v>2024</v>
      </c>
    </row>
    <row r="103" spans="1:7" x14ac:dyDescent="0.25">
      <c r="A103" s="7" t="s">
        <v>352</v>
      </c>
      <c r="B103" s="3" t="s">
        <v>314</v>
      </c>
      <c r="C103" s="3" t="s">
        <v>221</v>
      </c>
      <c r="D103" s="3" t="s">
        <v>36</v>
      </c>
      <c r="E103" s="15" t="s">
        <v>5</v>
      </c>
      <c r="F103" s="8" t="s">
        <v>37</v>
      </c>
      <c r="G103" s="3">
        <f>_xlfn.XLOOKUP(Participantes[[#This Row],[Seminario al que asistió]],Seminarios[Seminario],Seminarios[Año])</f>
        <v>2024</v>
      </c>
    </row>
    <row r="104" spans="1:7" x14ac:dyDescent="0.25">
      <c r="A104" s="7" t="s">
        <v>353</v>
      </c>
      <c r="B104" s="3" t="s">
        <v>354</v>
      </c>
      <c r="C104" s="3" t="s">
        <v>218</v>
      </c>
      <c r="D104" s="3" t="s">
        <v>48</v>
      </c>
      <c r="E104" s="15" t="s">
        <v>5</v>
      </c>
      <c r="F104" s="8" t="s">
        <v>37</v>
      </c>
      <c r="G104" s="3">
        <f>_xlfn.XLOOKUP(Participantes[[#This Row],[Seminario al que asistió]],Seminarios[Seminario],Seminarios[Año])</f>
        <v>2024</v>
      </c>
    </row>
    <row r="105" spans="1:7" x14ac:dyDescent="0.25">
      <c r="A105" s="7" t="s">
        <v>320</v>
      </c>
      <c r="B105" s="3" t="s">
        <v>355</v>
      </c>
      <c r="C105" s="3" t="s">
        <v>218</v>
      </c>
      <c r="D105" s="3" t="s">
        <v>36</v>
      </c>
      <c r="E105" s="15" t="s">
        <v>5</v>
      </c>
      <c r="F105" s="8" t="s">
        <v>37</v>
      </c>
      <c r="G105" s="3">
        <f>_xlfn.XLOOKUP(Participantes[[#This Row],[Seminario al que asistió]],Seminarios[Seminario],Seminarios[Año])</f>
        <v>2024</v>
      </c>
    </row>
    <row r="106" spans="1:7" x14ac:dyDescent="0.25">
      <c r="A106" s="7" t="s">
        <v>38</v>
      </c>
      <c r="B106" s="3" t="s">
        <v>282</v>
      </c>
      <c r="C106" s="3" t="s">
        <v>221</v>
      </c>
      <c r="D106" s="3" t="s">
        <v>53</v>
      </c>
      <c r="E106" s="15" t="s">
        <v>5</v>
      </c>
      <c r="F106" s="8" t="s">
        <v>37</v>
      </c>
      <c r="G106" s="3">
        <f>_xlfn.XLOOKUP(Participantes[[#This Row],[Seminario al que asistió]],Seminarios[Seminario],Seminarios[Año])</f>
        <v>2024</v>
      </c>
    </row>
    <row r="107" spans="1:7" ht="15.75" thickBot="1" x14ac:dyDescent="0.3">
      <c r="A107" s="9" t="s">
        <v>315</v>
      </c>
      <c r="B107" s="10" t="s">
        <v>316</v>
      </c>
      <c r="C107" s="10" t="s">
        <v>218</v>
      </c>
      <c r="D107" s="10" t="s">
        <v>36</v>
      </c>
      <c r="E107" s="16" t="s">
        <v>5</v>
      </c>
      <c r="F107" s="11" t="s">
        <v>37</v>
      </c>
      <c r="G107" s="3">
        <f>_xlfn.XLOOKUP(Participantes[[#This Row],[Seminario al que asistió]],Seminarios[Seminario],Seminarios[Año])</f>
        <v>2024</v>
      </c>
    </row>
    <row r="108" spans="1:7" x14ac:dyDescent="0.25">
      <c r="A108" s="4" t="s">
        <v>356</v>
      </c>
      <c r="B108" s="5" t="s">
        <v>357</v>
      </c>
      <c r="C108" s="5" t="s">
        <v>221</v>
      </c>
      <c r="D108" s="5" t="s">
        <v>48</v>
      </c>
      <c r="E108" s="14" t="s">
        <v>1</v>
      </c>
      <c r="F108" s="6" t="s">
        <v>39</v>
      </c>
      <c r="G108" s="19">
        <f>_xlfn.XLOOKUP(Participantes[[#This Row],[Seminario al que asistió]],Seminarios[Seminario],Seminarios[Año])</f>
        <v>2024</v>
      </c>
    </row>
    <row r="109" spans="1:7" x14ac:dyDescent="0.25">
      <c r="A109" s="7" t="s">
        <v>358</v>
      </c>
      <c r="B109" s="3" t="s">
        <v>359</v>
      </c>
      <c r="C109" s="3" t="s">
        <v>218</v>
      </c>
      <c r="D109" s="3" t="s">
        <v>48</v>
      </c>
      <c r="E109" s="15" t="s">
        <v>1</v>
      </c>
      <c r="F109" s="8" t="s">
        <v>39</v>
      </c>
      <c r="G109" s="19">
        <f>_xlfn.XLOOKUP(Participantes[[#This Row],[Seminario al que asistió]],Seminarios[Seminario],Seminarios[Año])</f>
        <v>2024</v>
      </c>
    </row>
    <row r="110" spans="1:7" x14ac:dyDescent="0.25">
      <c r="A110" s="7" t="s">
        <v>360</v>
      </c>
      <c r="B110" s="3" t="s">
        <v>361</v>
      </c>
      <c r="C110" s="3" t="s">
        <v>218</v>
      </c>
      <c r="D110" s="3" t="s">
        <v>48</v>
      </c>
      <c r="E110" s="15" t="s">
        <v>1</v>
      </c>
      <c r="F110" s="8" t="s">
        <v>39</v>
      </c>
      <c r="G110" s="19">
        <f>_xlfn.XLOOKUP(Participantes[[#This Row],[Seminario al que asistió]],Seminarios[Seminario],Seminarios[Año])</f>
        <v>2024</v>
      </c>
    </row>
    <row r="111" spans="1:7" x14ac:dyDescent="0.25">
      <c r="A111" s="7" t="s">
        <v>362</v>
      </c>
      <c r="B111" s="3" t="s">
        <v>363</v>
      </c>
      <c r="C111" s="3" t="s">
        <v>221</v>
      </c>
      <c r="D111" s="3" t="s">
        <v>48</v>
      </c>
      <c r="E111" s="15" t="s">
        <v>1</v>
      </c>
      <c r="F111" s="8" t="s">
        <v>39</v>
      </c>
      <c r="G111" s="19">
        <f>_xlfn.XLOOKUP(Participantes[[#This Row],[Seminario al que asistió]],Seminarios[Seminario],Seminarios[Año])</f>
        <v>2024</v>
      </c>
    </row>
    <row r="112" spans="1:7" x14ac:dyDescent="0.25">
      <c r="A112" s="7" t="s">
        <v>364</v>
      </c>
      <c r="B112" s="3" t="s">
        <v>365</v>
      </c>
      <c r="C112" s="3" t="s">
        <v>218</v>
      </c>
      <c r="D112" s="3" t="s">
        <v>48</v>
      </c>
      <c r="E112" s="15" t="s">
        <v>1</v>
      </c>
      <c r="F112" s="8" t="s">
        <v>39</v>
      </c>
      <c r="G112" s="19">
        <f>_xlfn.XLOOKUP(Participantes[[#This Row],[Seminario al que asistió]],Seminarios[Seminario],Seminarios[Año])</f>
        <v>2024</v>
      </c>
    </row>
    <row r="113" spans="1:7" x14ac:dyDescent="0.25">
      <c r="A113" s="7" t="s">
        <v>366</v>
      </c>
      <c r="B113" s="3" t="s">
        <v>367</v>
      </c>
      <c r="C113" s="3" t="s">
        <v>218</v>
      </c>
      <c r="D113" s="3" t="s">
        <v>48</v>
      </c>
      <c r="E113" s="15" t="s">
        <v>1</v>
      </c>
      <c r="F113" s="8" t="s">
        <v>39</v>
      </c>
      <c r="G113" s="19">
        <f>_xlfn.XLOOKUP(Participantes[[#This Row],[Seminario al que asistió]],Seminarios[Seminario],Seminarios[Año])</f>
        <v>2024</v>
      </c>
    </row>
    <row r="114" spans="1:7" x14ac:dyDescent="0.25">
      <c r="A114" s="7" t="s">
        <v>368</v>
      </c>
      <c r="B114" s="3" t="s">
        <v>369</v>
      </c>
      <c r="C114" s="3" t="s">
        <v>218</v>
      </c>
      <c r="D114" s="3" t="s">
        <v>48</v>
      </c>
      <c r="E114" s="15" t="s">
        <v>1</v>
      </c>
      <c r="F114" s="8" t="s">
        <v>39</v>
      </c>
      <c r="G114" s="19">
        <f>_xlfn.XLOOKUP(Participantes[[#This Row],[Seminario al que asistió]],Seminarios[Seminario],Seminarios[Año])</f>
        <v>2024</v>
      </c>
    </row>
    <row r="115" spans="1:7" x14ac:dyDescent="0.25">
      <c r="A115" s="7" t="s">
        <v>370</v>
      </c>
      <c r="B115" s="3" t="s">
        <v>354</v>
      </c>
      <c r="C115" s="3" t="s">
        <v>218</v>
      </c>
      <c r="D115" s="3" t="s">
        <v>48</v>
      </c>
      <c r="E115" s="15" t="s">
        <v>1</v>
      </c>
      <c r="F115" s="8" t="s">
        <v>39</v>
      </c>
      <c r="G115" s="19">
        <f>_xlfn.XLOOKUP(Participantes[[#This Row],[Seminario al que asistió]],Seminarios[Seminario],Seminarios[Año])</f>
        <v>2024</v>
      </c>
    </row>
    <row r="116" spans="1:7" x14ac:dyDescent="0.25">
      <c r="A116" s="7" t="s">
        <v>371</v>
      </c>
      <c r="B116" s="3" t="s">
        <v>372</v>
      </c>
      <c r="C116" s="3" t="s">
        <v>221</v>
      </c>
      <c r="D116" s="3" t="s">
        <v>48</v>
      </c>
      <c r="E116" s="15" t="s">
        <v>1</v>
      </c>
      <c r="F116" s="8" t="s">
        <v>39</v>
      </c>
      <c r="G116" s="19">
        <f>_xlfn.XLOOKUP(Participantes[[#This Row],[Seminario al que asistió]],Seminarios[Seminario],Seminarios[Año])</f>
        <v>2024</v>
      </c>
    </row>
    <row r="117" spans="1:7" x14ac:dyDescent="0.25">
      <c r="A117" s="7" t="s">
        <v>373</v>
      </c>
      <c r="B117" s="3" t="s">
        <v>374</v>
      </c>
      <c r="C117" s="3" t="s">
        <v>221</v>
      </c>
      <c r="D117" s="3" t="s">
        <v>48</v>
      </c>
      <c r="E117" s="15" t="s">
        <v>1</v>
      </c>
      <c r="F117" s="8" t="s">
        <v>39</v>
      </c>
      <c r="G117" s="19">
        <f>_xlfn.XLOOKUP(Participantes[[#This Row],[Seminario al que asistió]],Seminarios[Seminario],Seminarios[Año])</f>
        <v>2024</v>
      </c>
    </row>
    <row r="118" spans="1:7" x14ac:dyDescent="0.25">
      <c r="A118" s="7" t="s">
        <v>375</v>
      </c>
      <c r="B118" s="3" t="s">
        <v>376</v>
      </c>
      <c r="C118" s="3" t="s">
        <v>218</v>
      </c>
      <c r="D118" s="3" t="s">
        <v>48</v>
      </c>
      <c r="E118" s="15" t="s">
        <v>1</v>
      </c>
      <c r="F118" s="8" t="s">
        <v>39</v>
      </c>
      <c r="G118" s="19">
        <f>_xlfn.XLOOKUP(Participantes[[#This Row],[Seminario al que asistió]],Seminarios[Seminario],Seminarios[Año])</f>
        <v>2024</v>
      </c>
    </row>
    <row r="119" spans="1:7" x14ac:dyDescent="0.25">
      <c r="A119" s="7" t="s">
        <v>377</v>
      </c>
      <c r="B119" s="3" t="s">
        <v>378</v>
      </c>
      <c r="C119" s="3" t="s">
        <v>218</v>
      </c>
      <c r="D119" s="3" t="s">
        <v>48</v>
      </c>
      <c r="E119" s="15" t="s">
        <v>1</v>
      </c>
      <c r="F119" s="8" t="s">
        <v>39</v>
      </c>
      <c r="G119" s="19">
        <f>_xlfn.XLOOKUP(Participantes[[#This Row],[Seminario al que asistió]],Seminarios[Seminario],Seminarios[Año])</f>
        <v>2024</v>
      </c>
    </row>
    <row r="120" spans="1:7" x14ac:dyDescent="0.25">
      <c r="A120" s="7" t="s">
        <v>379</v>
      </c>
      <c r="B120" s="3" t="s">
        <v>380</v>
      </c>
      <c r="C120" s="3" t="s">
        <v>221</v>
      </c>
      <c r="D120" s="3" t="s">
        <v>48</v>
      </c>
      <c r="E120" s="15" t="s">
        <v>1</v>
      </c>
      <c r="F120" s="8" t="s">
        <v>39</v>
      </c>
      <c r="G120" s="19">
        <f>_xlfn.XLOOKUP(Participantes[[#This Row],[Seminario al que asistió]],Seminarios[Seminario],Seminarios[Año])</f>
        <v>2024</v>
      </c>
    </row>
    <row r="121" spans="1:7" x14ac:dyDescent="0.25">
      <c r="A121" s="7" t="s">
        <v>381</v>
      </c>
      <c r="B121" s="3" t="s">
        <v>382</v>
      </c>
      <c r="C121" s="3" t="s">
        <v>218</v>
      </c>
      <c r="D121" s="3" t="s">
        <v>48</v>
      </c>
      <c r="E121" s="15" t="s">
        <v>1</v>
      </c>
      <c r="F121" s="8" t="s">
        <v>39</v>
      </c>
      <c r="G121" s="19">
        <f>_xlfn.XLOOKUP(Participantes[[#This Row],[Seminario al que asistió]],Seminarios[Seminario],Seminarios[Año])</f>
        <v>2024</v>
      </c>
    </row>
    <row r="122" spans="1:7" x14ac:dyDescent="0.25">
      <c r="A122" s="7" t="s">
        <v>383</v>
      </c>
      <c r="B122" s="3" t="s">
        <v>384</v>
      </c>
      <c r="C122" s="3" t="s">
        <v>221</v>
      </c>
      <c r="D122" s="3" t="s">
        <v>48</v>
      </c>
      <c r="E122" s="15" t="s">
        <v>1</v>
      </c>
      <c r="F122" s="8" t="s">
        <v>39</v>
      </c>
      <c r="G122" s="19">
        <f>_xlfn.XLOOKUP(Participantes[[#This Row],[Seminario al que asistió]],Seminarios[Seminario],Seminarios[Año])</f>
        <v>2024</v>
      </c>
    </row>
    <row r="123" spans="1:7" x14ac:dyDescent="0.25">
      <c r="A123" s="7" t="s">
        <v>385</v>
      </c>
      <c r="B123" s="3" t="s">
        <v>386</v>
      </c>
      <c r="C123" s="3" t="s">
        <v>221</v>
      </c>
      <c r="D123" s="3" t="s">
        <v>48</v>
      </c>
      <c r="E123" s="15" t="s">
        <v>1</v>
      </c>
      <c r="F123" s="8" t="s">
        <v>39</v>
      </c>
      <c r="G123" s="19">
        <f>_xlfn.XLOOKUP(Participantes[[#This Row],[Seminario al que asistió]],Seminarios[Seminario],Seminarios[Año])</f>
        <v>2024</v>
      </c>
    </row>
    <row r="124" spans="1:7" x14ac:dyDescent="0.25">
      <c r="A124" s="7" t="s">
        <v>387</v>
      </c>
      <c r="B124" s="3" t="s">
        <v>388</v>
      </c>
      <c r="C124" s="3" t="s">
        <v>221</v>
      </c>
      <c r="D124" s="3" t="s">
        <v>48</v>
      </c>
      <c r="E124" s="15" t="s">
        <v>1</v>
      </c>
      <c r="F124" s="8" t="s">
        <v>39</v>
      </c>
      <c r="G124" s="19">
        <f>_xlfn.XLOOKUP(Participantes[[#This Row],[Seminario al que asistió]],Seminarios[Seminario],Seminarios[Año])</f>
        <v>2024</v>
      </c>
    </row>
    <row r="125" spans="1:7" x14ac:dyDescent="0.25">
      <c r="A125" s="7" t="s">
        <v>389</v>
      </c>
      <c r="B125" s="3" t="s">
        <v>390</v>
      </c>
      <c r="C125" s="3" t="s">
        <v>221</v>
      </c>
      <c r="D125" s="3" t="s">
        <v>48</v>
      </c>
      <c r="E125" s="15" t="s">
        <v>1</v>
      </c>
      <c r="F125" s="8" t="s">
        <v>39</v>
      </c>
      <c r="G125" s="19">
        <f>_xlfn.XLOOKUP(Participantes[[#This Row],[Seminario al que asistió]],Seminarios[Seminario],Seminarios[Año])</f>
        <v>2024</v>
      </c>
    </row>
    <row r="126" spans="1:7" x14ac:dyDescent="0.25">
      <c r="A126" s="7" t="s">
        <v>391</v>
      </c>
      <c r="B126" s="3" t="s">
        <v>392</v>
      </c>
      <c r="C126" s="3" t="s">
        <v>221</v>
      </c>
      <c r="D126" s="3" t="s">
        <v>48</v>
      </c>
      <c r="E126" s="15" t="s">
        <v>1</v>
      </c>
      <c r="F126" s="8" t="s">
        <v>39</v>
      </c>
      <c r="G126" s="19">
        <f>_xlfn.XLOOKUP(Participantes[[#This Row],[Seminario al que asistió]],Seminarios[Seminario],Seminarios[Año])</f>
        <v>2024</v>
      </c>
    </row>
    <row r="127" spans="1:7" x14ac:dyDescent="0.25">
      <c r="A127" s="7" t="s">
        <v>393</v>
      </c>
      <c r="B127" s="3" t="s">
        <v>394</v>
      </c>
      <c r="C127" s="3" t="s">
        <v>221</v>
      </c>
      <c r="D127" s="3" t="s">
        <v>48</v>
      </c>
      <c r="E127" s="15" t="s">
        <v>1</v>
      </c>
      <c r="F127" s="8" t="s">
        <v>39</v>
      </c>
      <c r="G127" s="19">
        <f>_xlfn.XLOOKUP(Participantes[[#This Row],[Seminario al que asistió]],Seminarios[Seminario],Seminarios[Año])</f>
        <v>2024</v>
      </c>
    </row>
    <row r="128" spans="1:7" x14ac:dyDescent="0.25">
      <c r="A128" s="7" t="s">
        <v>395</v>
      </c>
      <c r="B128" s="3" t="s">
        <v>396</v>
      </c>
      <c r="C128" s="3" t="s">
        <v>221</v>
      </c>
      <c r="D128" s="3" t="s">
        <v>48</v>
      </c>
      <c r="E128" s="15" t="s">
        <v>1</v>
      </c>
      <c r="F128" s="8" t="s">
        <v>39</v>
      </c>
      <c r="G128" s="19">
        <f>_xlfn.XLOOKUP(Participantes[[#This Row],[Seminario al que asistió]],Seminarios[Seminario],Seminarios[Año])</f>
        <v>2024</v>
      </c>
    </row>
    <row r="129" spans="1:7" x14ac:dyDescent="0.25">
      <c r="A129" s="7" t="s">
        <v>397</v>
      </c>
      <c r="B129" s="3" t="s">
        <v>398</v>
      </c>
      <c r="C129" s="3" t="s">
        <v>221</v>
      </c>
      <c r="D129" s="3" t="s">
        <v>48</v>
      </c>
      <c r="E129" s="15" t="s">
        <v>1</v>
      </c>
      <c r="F129" s="8" t="s">
        <v>39</v>
      </c>
      <c r="G129" s="19">
        <f>_xlfn.XLOOKUP(Participantes[[#This Row],[Seminario al que asistió]],Seminarios[Seminario],Seminarios[Año])</f>
        <v>2024</v>
      </c>
    </row>
    <row r="130" spans="1:7" x14ac:dyDescent="0.25">
      <c r="A130" s="7" t="s">
        <v>399</v>
      </c>
      <c r="B130" s="3" t="s">
        <v>400</v>
      </c>
      <c r="C130" s="3" t="s">
        <v>221</v>
      </c>
      <c r="D130" s="3" t="s">
        <v>48</v>
      </c>
      <c r="E130" s="15" t="s">
        <v>1</v>
      </c>
      <c r="F130" s="8" t="s">
        <v>39</v>
      </c>
      <c r="G130" s="19">
        <f>_xlfn.XLOOKUP(Participantes[[#This Row],[Seminario al que asistió]],Seminarios[Seminario],Seminarios[Año])</f>
        <v>2024</v>
      </c>
    </row>
    <row r="131" spans="1:7" x14ac:dyDescent="0.25">
      <c r="A131" s="7" t="s">
        <v>401</v>
      </c>
      <c r="B131" s="3" t="s">
        <v>402</v>
      </c>
      <c r="C131" s="3" t="s">
        <v>221</v>
      </c>
      <c r="D131" s="3" t="s">
        <v>48</v>
      </c>
      <c r="E131" s="15" t="s">
        <v>1</v>
      </c>
      <c r="F131" s="8" t="s">
        <v>39</v>
      </c>
      <c r="G131" s="19">
        <f>_xlfn.XLOOKUP(Participantes[[#This Row],[Seminario al que asistió]],Seminarios[Seminario],Seminarios[Año])</f>
        <v>2024</v>
      </c>
    </row>
    <row r="132" spans="1:7" x14ac:dyDescent="0.25">
      <c r="A132" s="7" t="s">
        <v>40</v>
      </c>
      <c r="B132" s="3" t="s">
        <v>282</v>
      </c>
      <c r="C132" s="3" t="s">
        <v>218</v>
      </c>
      <c r="D132" s="3" t="s">
        <v>48</v>
      </c>
      <c r="E132" s="15" t="s">
        <v>1</v>
      </c>
      <c r="F132" s="8" t="s">
        <v>39</v>
      </c>
      <c r="G132" s="19">
        <f>_xlfn.XLOOKUP(Participantes[[#This Row],[Seminario al que asistió]],Seminarios[Seminario],Seminarios[Año])</f>
        <v>2024</v>
      </c>
    </row>
    <row r="133" spans="1:7" x14ac:dyDescent="0.25">
      <c r="A133" s="7" t="s">
        <v>249</v>
      </c>
      <c r="B133" s="3" t="s">
        <v>250</v>
      </c>
      <c r="C133" s="3" t="s">
        <v>218</v>
      </c>
      <c r="D133" s="3" t="s">
        <v>36</v>
      </c>
      <c r="E133" s="15" t="s">
        <v>1</v>
      </c>
      <c r="F133" s="8" t="s">
        <v>39</v>
      </c>
      <c r="G133" s="19">
        <f>_xlfn.XLOOKUP(Participantes[[#This Row],[Seminario al que asistió]],Seminarios[Seminario],Seminarios[Año])</f>
        <v>2024</v>
      </c>
    </row>
    <row r="134" spans="1:7" ht="15.75" thickBot="1" x14ac:dyDescent="0.3">
      <c r="A134" s="7" t="s">
        <v>831</v>
      </c>
      <c r="B134" s="3" t="s">
        <v>304</v>
      </c>
      <c r="C134" s="13" t="s">
        <v>221</v>
      </c>
      <c r="D134" s="13" t="s">
        <v>36</v>
      </c>
      <c r="E134" s="15" t="s">
        <v>1</v>
      </c>
      <c r="F134" s="78" t="s">
        <v>39</v>
      </c>
      <c r="G134" s="19">
        <f>_xlfn.XLOOKUP(Participantes[[#This Row],[Seminario al que asistió]],Seminarios[Seminario],Seminarios[Año])</f>
        <v>2024</v>
      </c>
    </row>
    <row r="135" spans="1:7" x14ac:dyDescent="0.25">
      <c r="A135" s="118" t="s">
        <v>27</v>
      </c>
      <c r="B135" s="5" t="s">
        <v>282</v>
      </c>
      <c r="C135" s="30" t="s">
        <v>27</v>
      </c>
      <c r="D135" s="30" t="s">
        <v>27</v>
      </c>
      <c r="E135" s="5" t="s">
        <v>1</v>
      </c>
      <c r="F135" s="6" t="s">
        <v>72</v>
      </c>
      <c r="G135" s="19">
        <f>_xlfn.XLOOKUP(Participantes[[#This Row],[Seminario al que asistió]],Seminarios[Seminario],Seminarios[Año])</f>
        <v>2024</v>
      </c>
    </row>
    <row r="136" spans="1:7" x14ac:dyDescent="0.25">
      <c r="A136" s="119" t="s">
        <v>27</v>
      </c>
      <c r="B136" s="3" t="s">
        <v>282</v>
      </c>
      <c r="C136" s="31" t="s">
        <v>27</v>
      </c>
      <c r="D136" s="31" t="s">
        <v>27</v>
      </c>
      <c r="E136" s="3" t="s">
        <v>1</v>
      </c>
      <c r="F136" s="8" t="s">
        <v>72</v>
      </c>
      <c r="G136" s="19">
        <f>_xlfn.XLOOKUP(Participantes[[#This Row],[Seminario al que asistió]],Seminarios[Seminario],Seminarios[Año])</f>
        <v>2024</v>
      </c>
    </row>
    <row r="137" spans="1:7" x14ac:dyDescent="0.25">
      <c r="A137" s="119" t="s">
        <v>27</v>
      </c>
      <c r="B137" s="3" t="s">
        <v>282</v>
      </c>
      <c r="C137" s="31" t="s">
        <v>27</v>
      </c>
      <c r="D137" s="31" t="s">
        <v>27</v>
      </c>
      <c r="E137" s="3" t="s">
        <v>1</v>
      </c>
      <c r="F137" s="8" t="s">
        <v>72</v>
      </c>
      <c r="G137" s="19">
        <f>_xlfn.XLOOKUP(Participantes[[#This Row],[Seminario al que asistió]],Seminarios[Seminario],Seminarios[Año])</f>
        <v>2024</v>
      </c>
    </row>
    <row r="138" spans="1:7" x14ac:dyDescent="0.25">
      <c r="A138" s="119" t="s">
        <v>27</v>
      </c>
      <c r="B138" s="3" t="s">
        <v>282</v>
      </c>
      <c r="C138" s="31" t="s">
        <v>27</v>
      </c>
      <c r="D138" s="31" t="s">
        <v>27</v>
      </c>
      <c r="E138" s="3" t="s">
        <v>1</v>
      </c>
      <c r="F138" s="8" t="s">
        <v>72</v>
      </c>
      <c r="G138" s="19">
        <f>_xlfn.XLOOKUP(Participantes[[#This Row],[Seminario al que asistió]],Seminarios[Seminario],Seminarios[Año])</f>
        <v>2024</v>
      </c>
    </row>
    <row r="139" spans="1:7" x14ac:dyDescent="0.25">
      <c r="A139" s="119" t="s">
        <v>27</v>
      </c>
      <c r="B139" s="3" t="s">
        <v>282</v>
      </c>
      <c r="C139" s="31" t="s">
        <v>27</v>
      </c>
      <c r="D139" s="31" t="s">
        <v>27</v>
      </c>
      <c r="E139" s="3" t="s">
        <v>1</v>
      </c>
      <c r="F139" s="8" t="s">
        <v>72</v>
      </c>
      <c r="G139" s="19">
        <f>_xlfn.XLOOKUP(Participantes[[#This Row],[Seminario al que asistió]],Seminarios[Seminario],Seminarios[Año])</f>
        <v>2024</v>
      </c>
    </row>
    <row r="140" spans="1:7" x14ac:dyDescent="0.25">
      <c r="A140" s="119" t="s">
        <v>27</v>
      </c>
      <c r="B140" s="3" t="s">
        <v>282</v>
      </c>
      <c r="C140" s="31" t="s">
        <v>27</v>
      </c>
      <c r="D140" s="31" t="s">
        <v>27</v>
      </c>
      <c r="E140" s="3" t="s">
        <v>1</v>
      </c>
      <c r="F140" s="8" t="s">
        <v>72</v>
      </c>
      <c r="G140" s="19">
        <f>_xlfn.XLOOKUP(Participantes[[#This Row],[Seminario al que asistió]],Seminarios[Seminario],Seminarios[Año])</f>
        <v>2024</v>
      </c>
    </row>
    <row r="141" spans="1:7" x14ac:dyDescent="0.25">
      <c r="A141" s="119" t="s">
        <v>27</v>
      </c>
      <c r="B141" s="3" t="s">
        <v>282</v>
      </c>
      <c r="C141" s="31" t="s">
        <v>27</v>
      </c>
      <c r="D141" s="31" t="s">
        <v>27</v>
      </c>
      <c r="E141" s="3" t="s">
        <v>1</v>
      </c>
      <c r="F141" s="8" t="s">
        <v>72</v>
      </c>
      <c r="G141" s="19">
        <f>_xlfn.XLOOKUP(Participantes[[#This Row],[Seminario al que asistió]],Seminarios[Seminario],Seminarios[Año])</f>
        <v>2024</v>
      </c>
    </row>
    <row r="142" spans="1:7" x14ac:dyDescent="0.25">
      <c r="A142" s="119" t="s">
        <v>27</v>
      </c>
      <c r="B142" s="3" t="s">
        <v>282</v>
      </c>
      <c r="C142" s="31" t="s">
        <v>27</v>
      </c>
      <c r="D142" s="31" t="s">
        <v>27</v>
      </c>
      <c r="E142" s="3" t="s">
        <v>1</v>
      </c>
      <c r="F142" s="8" t="s">
        <v>72</v>
      </c>
      <c r="G142" s="19">
        <f>_xlfn.XLOOKUP(Participantes[[#This Row],[Seminario al que asistió]],Seminarios[Seminario],Seminarios[Año])</f>
        <v>2024</v>
      </c>
    </row>
    <row r="143" spans="1:7" x14ac:dyDescent="0.25">
      <c r="A143" s="119" t="s">
        <v>27</v>
      </c>
      <c r="B143" s="3" t="s">
        <v>282</v>
      </c>
      <c r="C143" s="31" t="s">
        <v>27</v>
      </c>
      <c r="D143" s="31" t="s">
        <v>27</v>
      </c>
      <c r="E143" s="3" t="s">
        <v>1</v>
      </c>
      <c r="F143" s="8" t="s">
        <v>72</v>
      </c>
      <c r="G143" s="19">
        <f>_xlfn.XLOOKUP(Participantes[[#This Row],[Seminario al que asistió]],Seminarios[Seminario],Seminarios[Año])</f>
        <v>2024</v>
      </c>
    </row>
    <row r="144" spans="1:7" x14ac:dyDescent="0.25">
      <c r="A144" s="119" t="s">
        <v>27</v>
      </c>
      <c r="B144" s="3" t="s">
        <v>282</v>
      </c>
      <c r="C144" s="31" t="s">
        <v>27</v>
      </c>
      <c r="D144" s="31" t="s">
        <v>27</v>
      </c>
      <c r="E144" s="3" t="s">
        <v>1</v>
      </c>
      <c r="F144" s="8" t="s">
        <v>72</v>
      </c>
      <c r="G144" s="19">
        <f>_xlfn.XLOOKUP(Participantes[[#This Row],[Seminario al que asistió]],Seminarios[Seminario],Seminarios[Año])</f>
        <v>2024</v>
      </c>
    </row>
    <row r="145" spans="1:7" x14ac:dyDescent="0.25">
      <c r="A145" s="119" t="s">
        <v>27</v>
      </c>
      <c r="B145" s="3" t="s">
        <v>282</v>
      </c>
      <c r="C145" s="31" t="s">
        <v>27</v>
      </c>
      <c r="D145" s="31" t="s">
        <v>27</v>
      </c>
      <c r="E145" s="3" t="s">
        <v>1</v>
      </c>
      <c r="F145" s="8" t="s">
        <v>72</v>
      </c>
      <c r="G145" s="19">
        <f>_xlfn.XLOOKUP(Participantes[[#This Row],[Seminario al que asistió]],Seminarios[Seminario],Seminarios[Año])</f>
        <v>2024</v>
      </c>
    </row>
    <row r="146" spans="1:7" x14ac:dyDescent="0.25">
      <c r="A146" s="119" t="s">
        <v>27</v>
      </c>
      <c r="B146" s="3" t="s">
        <v>282</v>
      </c>
      <c r="C146" s="31" t="s">
        <v>27</v>
      </c>
      <c r="D146" s="31" t="s">
        <v>27</v>
      </c>
      <c r="E146" s="3" t="s">
        <v>5</v>
      </c>
      <c r="F146" s="8" t="s">
        <v>72</v>
      </c>
      <c r="G146" s="19">
        <f>_xlfn.XLOOKUP(Participantes[[#This Row],[Seminario al que asistió]],Seminarios[Seminario],Seminarios[Año])</f>
        <v>2024</v>
      </c>
    </row>
    <row r="147" spans="1:7" x14ac:dyDescent="0.25">
      <c r="A147" s="119" t="s">
        <v>27</v>
      </c>
      <c r="B147" s="3" t="s">
        <v>282</v>
      </c>
      <c r="C147" s="31" t="s">
        <v>27</v>
      </c>
      <c r="D147" s="31" t="s">
        <v>27</v>
      </c>
      <c r="E147" s="3" t="s">
        <v>5</v>
      </c>
      <c r="F147" s="8" t="s">
        <v>72</v>
      </c>
      <c r="G147" s="19">
        <f>_xlfn.XLOOKUP(Participantes[[#This Row],[Seminario al que asistió]],Seminarios[Seminario],Seminarios[Año])</f>
        <v>2024</v>
      </c>
    </row>
    <row r="148" spans="1:7" x14ac:dyDescent="0.25">
      <c r="A148" s="119" t="s">
        <v>27</v>
      </c>
      <c r="B148" s="3" t="s">
        <v>282</v>
      </c>
      <c r="C148" s="31" t="s">
        <v>27</v>
      </c>
      <c r="D148" s="31" t="s">
        <v>27</v>
      </c>
      <c r="E148" s="3" t="s">
        <v>5</v>
      </c>
      <c r="F148" s="8" t="s">
        <v>72</v>
      </c>
      <c r="G148" s="19">
        <f>_xlfn.XLOOKUP(Participantes[[#This Row],[Seminario al que asistió]],Seminarios[Seminario],Seminarios[Año])</f>
        <v>2024</v>
      </c>
    </row>
    <row r="149" spans="1:7" x14ac:dyDescent="0.25">
      <c r="A149" s="119" t="s">
        <v>27</v>
      </c>
      <c r="B149" s="3" t="s">
        <v>282</v>
      </c>
      <c r="C149" s="31" t="s">
        <v>27</v>
      </c>
      <c r="D149" s="31" t="s">
        <v>27</v>
      </c>
      <c r="E149" s="3" t="s">
        <v>5</v>
      </c>
      <c r="F149" s="8" t="s">
        <v>72</v>
      </c>
      <c r="G149" s="19">
        <f>_xlfn.XLOOKUP(Participantes[[#This Row],[Seminario al que asistió]],Seminarios[Seminario],Seminarios[Año])</f>
        <v>2024</v>
      </c>
    </row>
    <row r="150" spans="1:7" x14ac:dyDescent="0.25">
      <c r="A150" s="119" t="s">
        <v>27</v>
      </c>
      <c r="B150" s="3" t="s">
        <v>282</v>
      </c>
      <c r="C150" s="31" t="s">
        <v>27</v>
      </c>
      <c r="D150" s="31" t="s">
        <v>27</v>
      </c>
      <c r="E150" s="3" t="s">
        <v>5</v>
      </c>
      <c r="F150" s="8" t="s">
        <v>72</v>
      </c>
      <c r="G150" s="19">
        <f>_xlfn.XLOOKUP(Participantes[[#This Row],[Seminario al que asistió]],Seminarios[Seminario],Seminarios[Año])</f>
        <v>2024</v>
      </c>
    </row>
    <row r="151" spans="1:7" x14ac:dyDescent="0.25">
      <c r="A151" s="119" t="s">
        <v>27</v>
      </c>
      <c r="B151" s="3" t="s">
        <v>282</v>
      </c>
      <c r="C151" s="31" t="s">
        <v>27</v>
      </c>
      <c r="D151" s="31" t="s">
        <v>27</v>
      </c>
      <c r="E151" s="3" t="s">
        <v>5</v>
      </c>
      <c r="F151" s="8" t="s">
        <v>72</v>
      </c>
      <c r="G151" s="19">
        <f>_xlfn.XLOOKUP(Participantes[[#This Row],[Seminario al que asistió]],Seminarios[Seminario],Seminarios[Año])</f>
        <v>2024</v>
      </c>
    </row>
    <row r="152" spans="1:7" x14ac:dyDescent="0.25">
      <c r="A152" s="119" t="s">
        <v>27</v>
      </c>
      <c r="B152" s="3" t="s">
        <v>282</v>
      </c>
      <c r="C152" s="31" t="s">
        <v>27</v>
      </c>
      <c r="D152" s="31" t="s">
        <v>27</v>
      </c>
      <c r="E152" s="3" t="s">
        <v>5</v>
      </c>
      <c r="F152" s="8" t="s">
        <v>72</v>
      </c>
      <c r="G152" s="19">
        <f>_xlfn.XLOOKUP(Participantes[[#This Row],[Seminario al que asistió]],Seminarios[Seminario],Seminarios[Año])</f>
        <v>2024</v>
      </c>
    </row>
    <row r="153" spans="1:7" x14ac:dyDescent="0.25">
      <c r="A153" s="119" t="s">
        <v>27</v>
      </c>
      <c r="B153" s="3" t="s">
        <v>282</v>
      </c>
      <c r="C153" s="31" t="s">
        <v>27</v>
      </c>
      <c r="D153" s="31" t="s">
        <v>27</v>
      </c>
      <c r="E153" s="3" t="s">
        <v>5</v>
      </c>
      <c r="F153" s="8" t="s">
        <v>72</v>
      </c>
      <c r="G153" s="19">
        <f>_xlfn.XLOOKUP(Participantes[[#This Row],[Seminario al que asistió]],Seminarios[Seminario],Seminarios[Año])</f>
        <v>2024</v>
      </c>
    </row>
    <row r="154" spans="1:7" x14ac:dyDescent="0.25">
      <c r="A154" s="119" t="s">
        <v>27</v>
      </c>
      <c r="B154" s="3" t="s">
        <v>282</v>
      </c>
      <c r="C154" s="31" t="s">
        <v>27</v>
      </c>
      <c r="D154" s="31" t="s">
        <v>27</v>
      </c>
      <c r="E154" s="3" t="s">
        <v>5</v>
      </c>
      <c r="F154" s="8" t="s">
        <v>72</v>
      </c>
      <c r="G154" s="19">
        <f>_xlfn.XLOOKUP(Participantes[[#This Row],[Seminario al que asistió]],Seminarios[Seminario],Seminarios[Año])</f>
        <v>2024</v>
      </c>
    </row>
    <row r="155" spans="1:7" x14ac:dyDescent="0.25">
      <c r="A155" s="119" t="s">
        <v>27</v>
      </c>
      <c r="B155" s="3" t="s">
        <v>282</v>
      </c>
      <c r="C155" s="31" t="s">
        <v>27</v>
      </c>
      <c r="D155" s="31" t="s">
        <v>27</v>
      </c>
      <c r="E155" s="3" t="s">
        <v>5</v>
      </c>
      <c r="F155" s="8" t="s">
        <v>72</v>
      </c>
      <c r="G155" s="19">
        <f>_xlfn.XLOOKUP(Participantes[[#This Row],[Seminario al que asistió]],Seminarios[Seminario],Seminarios[Año])</f>
        <v>2024</v>
      </c>
    </row>
    <row r="156" spans="1:7" x14ac:dyDescent="0.25">
      <c r="A156" s="119" t="s">
        <v>27</v>
      </c>
      <c r="B156" s="3" t="s">
        <v>282</v>
      </c>
      <c r="C156" s="31" t="s">
        <v>27</v>
      </c>
      <c r="D156" s="31" t="s">
        <v>27</v>
      </c>
      <c r="E156" s="3" t="s">
        <v>5</v>
      </c>
      <c r="F156" s="8" t="s">
        <v>72</v>
      </c>
      <c r="G156" s="19">
        <f>_xlfn.XLOOKUP(Participantes[[#This Row],[Seminario al que asistió]],Seminarios[Seminario],Seminarios[Año])</f>
        <v>2024</v>
      </c>
    </row>
    <row r="157" spans="1:7" x14ac:dyDescent="0.25">
      <c r="A157" s="119" t="s">
        <v>27</v>
      </c>
      <c r="B157" s="3" t="s">
        <v>282</v>
      </c>
      <c r="C157" s="31" t="s">
        <v>27</v>
      </c>
      <c r="D157" s="31" t="s">
        <v>27</v>
      </c>
      <c r="E157" s="3" t="s">
        <v>5</v>
      </c>
      <c r="F157" s="8" t="s">
        <v>72</v>
      </c>
      <c r="G157" s="19">
        <f>_xlfn.XLOOKUP(Participantes[[#This Row],[Seminario al que asistió]],Seminarios[Seminario],Seminarios[Año])</f>
        <v>2024</v>
      </c>
    </row>
    <row r="158" spans="1:7" x14ac:dyDescent="0.25">
      <c r="A158" s="119" t="s">
        <v>27</v>
      </c>
      <c r="B158" s="3" t="s">
        <v>282</v>
      </c>
      <c r="C158" s="31" t="s">
        <v>27</v>
      </c>
      <c r="D158" s="31" t="s">
        <v>27</v>
      </c>
      <c r="E158" s="3" t="s">
        <v>5</v>
      </c>
      <c r="F158" s="8" t="s">
        <v>72</v>
      </c>
      <c r="G158" s="19">
        <f>_xlfn.XLOOKUP(Participantes[[#This Row],[Seminario al que asistió]],Seminarios[Seminario],Seminarios[Año])</f>
        <v>2024</v>
      </c>
    </row>
    <row r="159" spans="1:7" x14ac:dyDescent="0.25">
      <c r="A159" s="119" t="s">
        <v>27</v>
      </c>
      <c r="B159" s="3" t="s">
        <v>282</v>
      </c>
      <c r="C159" s="31" t="s">
        <v>27</v>
      </c>
      <c r="D159" s="31" t="s">
        <v>27</v>
      </c>
      <c r="E159" s="3" t="s">
        <v>5</v>
      </c>
      <c r="F159" s="8" t="s">
        <v>72</v>
      </c>
      <c r="G159" s="19">
        <f>_xlfn.XLOOKUP(Participantes[[#This Row],[Seminario al que asistió]],Seminarios[Seminario],Seminarios[Año])</f>
        <v>2024</v>
      </c>
    </row>
    <row r="160" spans="1:7" x14ac:dyDescent="0.25">
      <c r="A160" s="119" t="s">
        <v>27</v>
      </c>
      <c r="B160" s="3" t="s">
        <v>282</v>
      </c>
      <c r="C160" s="31" t="s">
        <v>27</v>
      </c>
      <c r="D160" s="31" t="s">
        <v>27</v>
      </c>
      <c r="E160" s="3" t="s">
        <v>5</v>
      </c>
      <c r="F160" s="8" t="s">
        <v>72</v>
      </c>
      <c r="G160" s="19">
        <f>_xlfn.XLOOKUP(Participantes[[#This Row],[Seminario al que asistió]],Seminarios[Seminario],Seminarios[Año])</f>
        <v>2024</v>
      </c>
    </row>
    <row r="161" spans="1:7" x14ac:dyDescent="0.25">
      <c r="A161" s="119" t="s">
        <v>27</v>
      </c>
      <c r="B161" s="3" t="s">
        <v>282</v>
      </c>
      <c r="C161" s="31" t="s">
        <v>27</v>
      </c>
      <c r="D161" s="31" t="s">
        <v>27</v>
      </c>
      <c r="E161" s="3" t="s">
        <v>5</v>
      </c>
      <c r="F161" s="8" t="s">
        <v>72</v>
      </c>
      <c r="G161" s="19">
        <f>_xlfn.XLOOKUP(Participantes[[#This Row],[Seminario al que asistió]],Seminarios[Seminario],Seminarios[Año])</f>
        <v>2024</v>
      </c>
    </row>
    <row r="162" spans="1:7" x14ac:dyDescent="0.25">
      <c r="A162" s="119" t="s">
        <v>27</v>
      </c>
      <c r="B162" s="3" t="s">
        <v>282</v>
      </c>
      <c r="C162" s="31" t="s">
        <v>27</v>
      </c>
      <c r="D162" s="31" t="s">
        <v>27</v>
      </c>
      <c r="E162" s="3" t="s">
        <v>5</v>
      </c>
      <c r="F162" s="8" t="s">
        <v>72</v>
      </c>
      <c r="G162" s="19">
        <f>_xlfn.XLOOKUP(Participantes[[#This Row],[Seminario al que asistió]],Seminarios[Seminario],Seminarios[Año])</f>
        <v>2024</v>
      </c>
    </row>
    <row r="163" spans="1:7" x14ac:dyDescent="0.25">
      <c r="A163" s="119" t="s">
        <v>27</v>
      </c>
      <c r="B163" s="3" t="s">
        <v>282</v>
      </c>
      <c r="C163" s="31" t="s">
        <v>27</v>
      </c>
      <c r="D163" s="31" t="s">
        <v>27</v>
      </c>
      <c r="E163" s="3" t="s">
        <v>5</v>
      </c>
      <c r="F163" s="8" t="s">
        <v>72</v>
      </c>
      <c r="G163" s="19">
        <f>_xlfn.XLOOKUP(Participantes[[#This Row],[Seminario al que asistió]],Seminarios[Seminario],Seminarios[Año])</f>
        <v>2024</v>
      </c>
    </row>
    <row r="164" spans="1:7" x14ac:dyDescent="0.25">
      <c r="A164" s="119" t="s">
        <v>27</v>
      </c>
      <c r="B164" s="3" t="s">
        <v>282</v>
      </c>
      <c r="C164" s="31" t="s">
        <v>27</v>
      </c>
      <c r="D164" s="31" t="s">
        <v>27</v>
      </c>
      <c r="E164" s="3" t="s">
        <v>5</v>
      </c>
      <c r="F164" s="8" t="s">
        <v>72</v>
      </c>
      <c r="G164" s="19">
        <f>_xlfn.XLOOKUP(Participantes[[#This Row],[Seminario al que asistió]],Seminarios[Seminario],Seminarios[Año])</f>
        <v>2024</v>
      </c>
    </row>
    <row r="165" spans="1:7" x14ac:dyDescent="0.25">
      <c r="A165" s="119" t="s">
        <v>27</v>
      </c>
      <c r="B165" s="3" t="s">
        <v>282</v>
      </c>
      <c r="C165" s="31" t="s">
        <v>27</v>
      </c>
      <c r="D165" s="31" t="s">
        <v>27</v>
      </c>
      <c r="E165" s="3" t="s">
        <v>5</v>
      </c>
      <c r="F165" s="8" t="s">
        <v>72</v>
      </c>
      <c r="G165" s="19">
        <f>_xlfn.XLOOKUP(Participantes[[#This Row],[Seminario al que asistió]],Seminarios[Seminario],Seminarios[Año])</f>
        <v>2024</v>
      </c>
    </row>
    <row r="166" spans="1:7" x14ac:dyDescent="0.25">
      <c r="A166" s="119" t="s">
        <v>27</v>
      </c>
      <c r="B166" s="3" t="s">
        <v>282</v>
      </c>
      <c r="C166" s="31" t="s">
        <v>27</v>
      </c>
      <c r="D166" s="31" t="s">
        <v>27</v>
      </c>
      <c r="E166" s="3" t="s">
        <v>5</v>
      </c>
      <c r="F166" s="8" t="s">
        <v>72</v>
      </c>
      <c r="G166" s="19">
        <f>_xlfn.XLOOKUP(Participantes[[#This Row],[Seminario al que asistió]],Seminarios[Seminario],Seminarios[Año])</f>
        <v>2024</v>
      </c>
    </row>
    <row r="167" spans="1:7" x14ac:dyDescent="0.25">
      <c r="A167" s="119" t="s">
        <v>27</v>
      </c>
      <c r="B167" s="3" t="s">
        <v>282</v>
      </c>
      <c r="C167" s="31" t="s">
        <v>27</v>
      </c>
      <c r="D167" s="31" t="s">
        <v>27</v>
      </c>
      <c r="E167" s="3" t="s">
        <v>5</v>
      </c>
      <c r="F167" s="8" t="s">
        <v>72</v>
      </c>
      <c r="G167" s="19">
        <f>_xlfn.XLOOKUP(Participantes[[#This Row],[Seminario al que asistió]],Seminarios[Seminario],Seminarios[Año])</f>
        <v>2024</v>
      </c>
    </row>
    <row r="168" spans="1:7" x14ac:dyDescent="0.25">
      <c r="A168" s="119" t="s">
        <v>27</v>
      </c>
      <c r="B168" s="3" t="s">
        <v>282</v>
      </c>
      <c r="C168" s="31" t="s">
        <v>27</v>
      </c>
      <c r="D168" s="31" t="s">
        <v>27</v>
      </c>
      <c r="E168" s="3" t="s">
        <v>5</v>
      </c>
      <c r="F168" s="8" t="s">
        <v>72</v>
      </c>
      <c r="G168" s="19">
        <f>_xlfn.XLOOKUP(Participantes[[#This Row],[Seminario al que asistió]],Seminarios[Seminario],Seminarios[Año])</f>
        <v>2024</v>
      </c>
    </row>
    <row r="169" spans="1:7" x14ac:dyDescent="0.25">
      <c r="A169" s="119" t="s">
        <v>27</v>
      </c>
      <c r="B169" s="3" t="s">
        <v>282</v>
      </c>
      <c r="C169" s="31" t="s">
        <v>27</v>
      </c>
      <c r="D169" s="31" t="s">
        <v>27</v>
      </c>
      <c r="E169" s="3" t="s">
        <v>5</v>
      </c>
      <c r="F169" s="8" t="s">
        <v>72</v>
      </c>
      <c r="G169" s="19">
        <f>_xlfn.XLOOKUP(Participantes[[#This Row],[Seminario al que asistió]],Seminarios[Seminario],Seminarios[Año])</f>
        <v>2024</v>
      </c>
    </row>
    <row r="170" spans="1:7" x14ac:dyDescent="0.25">
      <c r="A170" s="119" t="s">
        <v>27</v>
      </c>
      <c r="B170" s="3" t="s">
        <v>282</v>
      </c>
      <c r="C170" s="31" t="s">
        <v>27</v>
      </c>
      <c r="D170" s="31" t="s">
        <v>27</v>
      </c>
      <c r="E170" s="3" t="s">
        <v>5</v>
      </c>
      <c r="F170" s="8" t="s">
        <v>72</v>
      </c>
      <c r="G170" s="19">
        <f>_xlfn.XLOOKUP(Participantes[[#This Row],[Seminario al que asistió]],Seminarios[Seminario],Seminarios[Año])</f>
        <v>2024</v>
      </c>
    </row>
    <row r="171" spans="1:7" x14ac:dyDescent="0.25">
      <c r="A171" s="119" t="s">
        <v>27</v>
      </c>
      <c r="B171" s="3" t="s">
        <v>282</v>
      </c>
      <c r="C171" s="31" t="s">
        <v>27</v>
      </c>
      <c r="D171" s="31" t="s">
        <v>27</v>
      </c>
      <c r="E171" s="3" t="s">
        <v>5</v>
      </c>
      <c r="F171" s="8" t="s">
        <v>72</v>
      </c>
      <c r="G171" s="19">
        <f>_xlfn.XLOOKUP(Participantes[[#This Row],[Seminario al que asistió]],Seminarios[Seminario],Seminarios[Año])</f>
        <v>2024</v>
      </c>
    </row>
    <row r="172" spans="1:7" x14ac:dyDescent="0.25">
      <c r="A172" s="119" t="s">
        <v>27</v>
      </c>
      <c r="B172" s="3" t="s">
        <v>282</v>
      </c>
      <c r="C172" s="31" t="s">
        <v>27</v>
      </c>
      <c r="D172" s="31" t="s">
        <v>27</v>
      </c>
      <c r="E172" s="3" t="s">
        <v>5</v>
      </c>
      <c r="F172" s="8" t="s">
        <v>72</v>
      </c>
      <c r="G172" s="19">
        <f>_xlfn.XLOOKUP(Participantes[[#This Row],[Seminario al que asistió]],Seminarios[Seminario],Seminarios[Año])</f>
        <v>2024</v>
      </c>
    </row>
    <row r="173" spans="1:7" x14ac:dyDescent="0.25">
      <c r="A173" s="119" t="s">
        <v>27</v>
      </c>
      <c r="B173" s="3" t="s">
        <v>282</v>
      </c>
      <c r="C173" s="31" t="s">
        <v>27</v>
      </c>
      <c r="D173" s="31" t="s">
        <v>27</v>
      </c>
      <c r="E173" s="3" t="s">
        <v>5</v>
      </c>
      <c r="F173" s="8" t="s">
        <v>72</v>
      </c>
      <c r="G173" s="19">
        <f>_xlfn.XLOOKUP(Participantes[[#This Row],[Seminario al que asistió]],Seminarios[Seminario],Seminarios[Año])</f>
        <v>2024</v>
      </c>
    </row>
    <row r="174" spans="1:7" x14ac:dyDescent="0.25">
      <c r="A174" s="119" t="s">
        <v>27</v>
      </c>
      <c r="B174" s="3" t="s">
        <v>282</v>
      </c>
      <c r="C174" s="31" t="s">
        <v>27</v>
      </c>
      <c r="D174" s="31" t="s">
        <v>27</v>
      </c>
      <c r="E174" s="3" t="s">
        <v>5</v>
      </c>
      <c r="F174" s="8" t="s">
        <v>72</v>
      </c>
      <c r="G174" s="19">
        <f>_xlfn.XLOOKUP(Participantes[[#This Row],[Seminario al que asistió]],Seminarios[Seminario],Seminarios[Año])</f>
        <v>2024</v>
      </c>
    </row>
    <row r="175" spans="1:7" x14ac:dyDescent="0.25">
      <c r="A175" s="119" t="s">
        <v>27</v>
      </c>
      <c r="B175" s="3" t="s">
        <v>282</v>
      </c>
      <c r="C175" s="31" t="s">
        <v>27</v>
      </c>
      <c r="D175" s="31" t="s">
        <v>27</v>
      </c>
      <c r="E175" s="3" t="s">
        <v>5</v>
      </c>
      <c r="F175" s="8" t="s">
        <v>72</v>
      </c>
      <c r="G175" s="19">
        <f>_xlfn.XLOOKUP(Participantes[[#This Row],[Seminario al que asistió]],Seminarios[Seminario],Seminarios[Año])</f>
        <v>2024</v>
      </c>
    </row>
    <row r="176" spans="1:7" x14ac:dyDescent="0.25">
      <c r="A176" s="119" t="s">
        <v>27</v>
      </c>
      <c r="B176" s="3" t="s">
        <v>282</v>
      </c>
      <c r="C176" s="31" t="s">
        <v>27</v>
      </c>
      <c r="D176" s="31" t="s">
        <v>27</v>
      </c>
      <c r="E176" s="3" t="s">
        <v>5</v>
      </c>
      <c r="F176" s="8" t="s">
        <v>72</v>
      </c>
      <c r="G176" s="19">
        <f>_xlfn.XLOOKUP(Participantes[[#This Row],[Seminario al que asistió]],Seminarios[Seminario],Seminarios[Año])</f>
        <v>2024</v>
      </c>
    </row>
    <row r="177" spans="1:7" x14ac:dyDescent="0.25">
      <c r="A177" s="119" t="s">
        <v>27</v>
      </c>
      <c r="B177" s="3" t="s">
        <v>282</v>
      </c>
      <c r="C177" s="31" t="s">
        <v>27</v>
      </c>
      <c r="D177" s="31" t="s">
        <v>27</v>
      </c>
      <c r="E177" s="3" t="s">
        <v>5</v>
      </c>
      <c r="F177" s="8" t="s">
        <v>72</v>
      </c>
      <c r="G177" s="19">
        <f>_xlfn.XLOOKUP(Participantes[[#This Row],[Seminario al que asistió]],Seminarios[Seminario],Seminarios[Año])</f>
        <v>2024</v>
      </c>
    </row>
    <row r="178" spans="1:7" x14ac:dyDescent="0.25">
      <c r="A178" s="119" t="s">
        <v>27</v>
      </c>
      <c r="B178" s="3" t="s">
        <v>282</v>
      </c>
      <c r="C178" s="31" t="s">
        <v>27</v>
      </c>
      <c r="D178" s="31" t="s">
        <v>27</v>
      </c>
      <c r="E178" s="3" t="s">
        <v>5</v>
      </c>
      <c r="F178" s="8" t="s">
        <v>72</v>
      </c>
      <c r="G178" s="19">
        <f>_xlfn.XLOOKUP(Participantes[[#This Row],[Seminario al que asistió]],Seminarios[Seminario],Seminarios[Año])</f>
        <v>2024</v>
      </c>
    </row>
    <row r="179" spans="1:7" ht="15.75" thickBot="1" x14ac:dyDescent="0.3">
      <c r="A179" s="120" t="s">
        <v>27</v>
      </c>
      <c r="B179" s="13" t="s">
        <v>282</v>
      </c>
      <c r="C179" s="32" t="s">
        <v>27</v>
      </c>
      <c r="D179" s="32" t="s">
        <v>27</v>
      </c>
      <c r="E179" s="13" t="s">
        <v>5</v>
      </c>
      <c r="F179" s="78" t="s">
        <v>72</v>
      </c>
      <c r="G179" s="19">
        <f>_xlfn.XLOOKUP(Participantes[[#This Row],[Seminario al que asistió]],Seminarios[Seminario],Seminarios[Año])</f>
        <v>2024</v>
      </c>
    </row>
    <row r="180" spans="1:7" x14ac:dyDescent="0.25">
      <c r="A180" s="121" t="s">
        <v>1280</v>
      </c>
      <c r="B180" s="41" t="s">
        <v>403</v>
      </c>
      <c r="C180" s="5" t="s">
        <v>218</v>
      </c>
      <c r="D180" s="5" t="s">
        <v>36</v>
      </c>
      <c r="E180" s="5" t="s">
        <v>5</v>
      </c>
      <c r="F180" s="6" t="s">
        <v>75</v>
      </c>
      <c r="G180" s="19">
        <f>_xlfn.XLOOKUP(Participantes[[#This Row],[Seminario al que asistió]],Seminarios[Seminario],Seminarios[Año])</f>
        <v>2024</v>
      </c>
    </row>
    <row r="181" spans="1:7" x14ac:dyDescent="0.25">
      <c r="A181" s="122" t="s">
        <v>404</v>
      </c>
      <c r="B181" s="42" t="s">
        <v>405</v>
      </c>
      <c r="C181" s="3" t="s">
        <v>218</v>
      </c>
      <c r="D181" s="3" t="s">
        <v>48</v>
      </c>
      <c r="E181" s="3" t="s">
        <v>5</v>
      </c>
      <c r="F181" s="8" t="s">
        <v>75</v>
      </c>
      <c r="G181" s="19">
        <f>_xlfn.XLOOKUP(Participantes[[#This Row],[Seminario al que asistió]],Seminarios[Seminario],Seminarios[Año])</f>
        <v>2024</v>
      </c>
    </row>
    <row r="182" spans="1:7" x14ac:dyDescent="0.25">
      <c r="A182" s="122" t="s">
        <v>406</v>
      </c>
      <c r="B182" s="42" t="s">
        <v>407</v>
      </c>
      <c r="C182" s="3" t="s">
        <v>218</v>
      </c>
      <c r="D182" s="3" t="s">
        <v>48</v>
      </c>
      <c r="E182" s="3" t="s">
        <v>5</v>
      </c>
      <c r="F182" s="8" t="s">
        <v>75</v>
      </c>
      <c r="G182" s="19">
        <f>_xlfn.XLOOKUP(Participantes[[#This Row],[Seminario al que asistió]],Seminarios[Seminario],Seminarios[Año])</f>
        <v>2024</v>
      </c>
    </row>
    <row r="183" spans="1:7" x14ac:dyDescent="0.25">
      <c r="A183" s="122" t="s">
        <v>408</v>
      </c>
      <c r="B183" s="42" t="s">
        <v>409</v>
      </c>
      <c r="C183" s="3" t="s">
        <v>218</v>
      </c>
      <c r="D183" s="3" t="s">
        <v>48</v>
      </c>
      <c r="E183" s="3" t="s">
        <v>5</v>
      </c>
      <c r="F183" s="8" t="s">
        <v>75</v>
      </c>
      <c r="G183" s="19">
        <f>_xlfn.XLOOKUP(Participantes[[#This Row],[Seminario al que asistió]],Seminarios[Seminario],Seminarios[Año])</f>
        <v>2024</v>
      </c>
    </row>
    <row r="184" spans="1:7" x14ac:dyDescent="0.25">
      <c r="A184" s="122" t="s">
        <v>410</v>
      </c>
      <c r="B184" s="42" t="s">
        <v>411</v>
      </c>
      <c r="C184" s="3" t="s">
        <v>218</v>
      </c>
      <c r="D184" s="3" t="s">
        <v>48</v>
      </c>
      <c r="E184" s="3" t="s">
        <v>5</v>
      </c>
      <c r="F184" s="8" t="s">
        <v>75</v>
      </c>
      <c r="G184" s="19">
        <f>_xlfn.XLOOKUP(Participantes[[#This Row],[Seminario al que asistió]],Seminarios[Seminario],Seminarios[Año])</f>
        <v>2024</v>
      </c>
    </row>
    <row r="185" spans="1:7" x14ac:dyDescent="0.25">
      <c r="A185" s="122" t="s">
        <v>412</v>
      </c>
      <c r="B185" s="42" t="s">
        <v>413</v>
      </c>
      <c r="C185" s="3" t="s">
        <v>218</v>
      </c>
      <c r="D185" s="3" t="s">
        <v>48</v>
      </c>
      <c r="E185" s="3" t="s">
        <v>5</v>
      </c>
      <c r="F185" s="8" t="s">
        <v>75</v>
      </c>
      <c r="G185" s="19">
        <f>_xlfn.XLOOKUP(Participantes[[#This Row],[Seminario al que asistió]],Seminarios[Seminario],Seminarios[Año])</f>
        <v>2024</v>
      </c>
    </row>
    <row r="186" spans="1:7" x14ac:dyDescent="0.25">
      <c r="A186" s="122" t="s">
        <v>414</v>
      </c>
      <c r="B186" s="42" t="s">
        <v>415</v>
      </c>
      <c r="C186" s="3" t="s">
        <v>218</v>
      </c>
      <c r="D186" s="3" t="s">
        <v>48</v>
      </c>
      <c r="E186" s="3" t="s">
        <v>5</v>
      </c>
      <c r="F186" s="8" t="s">
        <v>75</v>
      </c>
      <c r="G186" s="19">
        <f>_xlfn.XLOOKUP(Participantes[[#This Row],[Seminario al que asistió]],Seminarios[Seminario],Seminarios[Año])</f>
        <v>2024</v>
      </c>
    </row>
    <row r="187" spans="1:7" x14ac:dyDescent="0.25">
      <c r="A187" s="122" t="s">
        <v>416</v>
      </c>
      <c r="B187" s="42" t="s">
        <v>417</v>
      </c>
      <c r="C187" s="3" t="s">
        <v>218</v>
      </c>
      <c r="D187" s="3" t="s">
        <v>48</v>
      </c>
      <c r="E187" s="3" t="s">
        <v>5</v>
      </c>
      <c r="F187" s="8" t="s">
        <v>75</v>
      </c>
      <c r="G187" s="19">
        <f>_xlfn.XLOOKUP(Participantes[[#This Row],[Seminario al que asistió]],Seminarios[Seminario],Seminarios[Año])</f>
        <v>2024</v>
      </c>
    </row>
    <row r="188" spans="1:7" x14ac:dyDescent="0.25">
      <c r="A188" s="122" t="s">
        <v>418</v>
      </c>
      <c r="B188" s="42" t="s">
        <v>419</v>
      </c>
      <c r="C188" s="3" t="s">
        <v>218</v>
      </c>
      <c r="D188" s="3" t="s">
        <v>48</v>
      </c>
      <c r="E188" s="3" t="s">
        <v>5</v>
      </c>
      <c r="F188" s="8" t="s">
        <v>75</v>
      </c>
      <c r="G188" s="19">
        <f>_xlfn.XLOOKUP(Participantes[[#This Row],[Seminario al que asistió]],Seminarios[Seminario],Seminarios[Año])</f>
        <v>2024</v>
      </c>
    </row>
    <row r="189" spans="1:7" x14ac:dyDescent="0.25">
      <c r="A189" s="122" t="s">
        <v>420</v>
      </c>
      <c r="B189" s="42" t="s">
        <v>421</v>
      </c>
      <c r="C189" s="3" t="s">
        <v>218</v>
      </c>
      <c r="D189" s="3" t="s">
        <v>48</v>
      </c>
      <c r="E189" s="3" t="s">
        <v>5</v>
      </c>
      <c r="F189" s="8" t="s">
        <v>75</v>
      </c>
      <c r="G189" s="19">
        <f>_xlfn.XLOOKUP(Participantes[[#This Row],[Seminario al que asistió]],Seminarios[Seminario],Seminarios[Año])</f>
        <v>2024</v>
      </c>
    </row>
    <row r="190" spans="1:7" x14ac:dyDescent="0.25">
      <c r="A190" s="122" t="s">
        <v>422</v>
      </c>
      <c r="B190" s="42" t="s">
        <v>423</v>
      </c>
      <c r="C190" s="3" t="s">
        <v>221</v>
      </c>
      <c r="D190" s="3" t="s">
        <v>48</v>
      </c>
      <c r="E190" s="3" t="s">
        <v>5</v>
      </c>
      <c r="F190" s="8" t="s">
        <v>75</v>
      </c>
      <c r="G190" s="19">
        <f>_xlfn.XLOOKUP(Participantes[[#This Row],[Seminario al que asistió]],Seminarios[Seminario],Seminarios[Año])</f>
        <v>2024</v>
      </c>
    </row>
    <row r="191" spans="1:7" x14ac:dyDescent="0.25">
      <c r="A191" s="122" t="s">
        <v>424</v>
      </c>
      <c r="B191" s="42" t="s">
        <v>425</v>
      </c>
      <c r="C191" s="3" t="s">
        <v>218</v>
      </c>
      <c r="D191" s="3" t="s">
        <v>48</v>
      </c>
      <c r="E191" s="3" t="s">
        <v>5</v>
      </c>
      <c r="F191" s="8" t="s">
        <v>75</v>
      </c>
      <c r="G191" s="19">
        <f>_xlfn.XLOOKUP(Participantes[[#This Row],[Seminario al que asistió]],Seminarios[Seminario],Seminarios[Año])</f>
        <v>2024</v>
      </c>
    </row>
    <row r="192" spans="1:7" x14ac:dyDescent="0.25">
      <c r="A192" s="122" t="s">
        <v>426</v>
      </c>
      <c r="B192" s="42" t="s">
        <v>427</v>
      </c>
      <c r="C192" s="3" t="s">
        <v>218</v>
      </c>
      <c r="D192" s="3" t="s">
        <v>48</v>
      </c>
      <c r="E192" s="3" t="s">
        <v>5</v>
      </c>
      <c r="F192" s="8" t="s">
        <v>75</v>
      </c>
      <c r="G192" s="19">
        <f>_xlfn.XLOOKUP(Participantes[[#This Row],[Seminario al que asistió]],Seminarios[Seminario],Seminarios[Año])</f>
        <v>2024</v>
      </c>
    </row>
    <row r="193" spans="1:7" x14ac:dyDescent="0.25">
      <c r="A193" s="122" t="s">
        <v>428</v>
      </c>
      <c r="B193" s="42" t="s">
        <v>429</v>
      </c>
      <c r="C193" s="3" t="s">
        <v>221</v>
      </c>
      <c r="D193" s="3" t="s">
        <v>48</v>
      </c>
      <c r="E193" s="3" t="s">
        <v>5</v>
      </c>
      <c r="F193" s="8" t="s">
        <v>75</v>
      </c>
      <c r="G193" s="19">
        <f>_xlfn.XLOOKUP(Participantes[[#This Row],[Seminario al que asistió]],Seminarios[Seminario],Seminarios[Año])</f>
        <v>2024</v>
      </c>
    </row>
    <row r="194" spans="1:7" x14ac:dyDescent="0.25">
      <c r="A194" s="122" t="s">
        <v>430</v>
      </c>
      <c r="B194" s="42" t="s">
        <v>431</v>
      </c>
      <c r="C194" s="3" t="s">
        <v>218</v>
      </c>
      <c r="D194" s="3" t="s">
        <v>48</v>
      </c>
      <c r="E194" s="3" t="s">
        <v>5</v>
      </c>
      <c r="F194" s="8" t="s">
        <v>75</v>
      </c>
      <c r="G194" s="19">
        <f>_xlfn.XLOOKUP(Participantes[[#This Row],[Seminario al que asistió]],Seminarios[Seminario],Seminarios[Año])</f>
        <v>2024</v>
      </c>
    </row>
    <row r="195" spans="1:7" x14ac:dyDescent="0.25">
      <c r="A195" s="122" t="s">
        <v>432</v>
      </c>
      <c r="B195" s="42" t="s">
        <v>433</v>
      </c>
      <c r="C195" s="3" t="s">
        <v>218</v>
      </c>
      <c r="D195" s="3" t="s">
        <v>48</v>
      </c>
      <c r="E195" s="3" t="s">
        <v>5</v>
      </c>
      <c r="F195" s="8" t="s">
        <v>75</v>
      </c>
      <c r="G195" s="19">
        <f>_xlfn.XLOOKUP(Participantes[[#This Row],[Seminario al que asistió]],Seminarios[Seminario],Seminarios[Año])</f>
        <v>2024</v>
      </c>
    </row>
    <row r="196" spans="1:7" x14ac:dyDescent="0.25">
      <c r="A196" s="122" t="s">
        <v>434</v>
      </c>
      <c r="B196" s="42" t="s">
        <v>435</v>
      </c>
      <c r="C196" s="3" t="s">
        <v>221</v>
      </c>
      <c r="D196" s="3" t="s">
        <v>48</v>
      </c>
      <c r="E196" s="3" t="s">
        <v>5</v>
      </c>
      <c r="F196" s="8" t="s">
        <v>75</v>
      </c>
      <c r="G196" s="19">
        <f>_xlfn.XLOOKUP(Participantes[[#This Row],[Seminario al que asistió]],Seminarios[Seminario],Seminarios[Año])</f>
        <v>2024</v>
      </c>
    </row>
    <row r="197" spans="1:7" x14ac:dyDescent="0.25">
      <c r="A197" s="122" t="s">
        <v>436</v>
      </c>
      <c r="B197" s="42" t="s">
        <v>437</v>
      </c>
      <c r="C197" s="3" t="s">
        <v>221</v>
      </c>
      <c r="D197" s="3" t="s">
        <v>48</v>
      </c>
      <c r="E197" s="3" t="s">
        <v>5</v>
      </c>
      <c r="F197" s="8" t="s">
        <v>75</v>
      </c>
      <c r="G197" s="19">
        <f>_xlfn.XLOOKUP(Participantes[[#This Row],[Seminario al que asistió]],Seminarios[Seminario],Seminarios[Año])</f>
        <v>2024</v>
      </c>
    </row>
    <row r="198" spans="1:7" x14ac:dyDescent="0.25">
      <c r="A198" s="122" t="s">
        <v>438</v>
      </c>
      <c r="B198" s="42" t="s">
        <v>439</v>
      </c>
      <c r="C198" s="3" t="s">
        <v>218</v>
      </c>
      <c r="D198" s="3" t="s">
        <v>48</v>
      </c>
      <c r="E198" s="3" t="s">
        <v>5</v>
      </c>
      <c r="F198" s="8" t="s">
        <v>75</v>
      </c>
      <c r="G198" s="19">
        <f>_xlfn.XLOOKUP(Participantes[[#This Row],[Seminario al que asistió]],Seminarios[Seminario],Seminarios[Año])</f>
        <v>2024</v>
      </c>
    </row>
    <row r="199" spans="1:7" x14ac:dyDescent="0.25">
      <c r="A199" s="122" t="s">
        <v>440</v>
      </c>
      <c r="B199" s="42" t="s">
        <v>441</v>
      </c>
      <c r="C199" s="3" t="s">
        <v>218</v>
      </c>
      <c r="D199" s="3" t="s">
        <v>48</v>
      </c>
      <c r="E199" s="3" t="s">
        <v>5</v>
      </c>
      <c r="F199" s="8" t="s">
        <v>75</v>
      </c>
      <c r="G199" s="19">
        <f>_xlfn.XLOOKUP(Participantes[[#This Row],[Seminario al que asistió]],Seminarios[Seminario],Seminarios[Año])</f>
        <v>2024</v>
      </c>
    </row>
    <row r="200" spans="1:7" x14ac:dyDescent="0.25">
      <c r="A200" s="122" t="s">
        <v>442</v>
      </c>
      <c r="B200" s="42" t="s">
        <v>443</v>
      </c>
      <c r="C200" s="3" t="s">
        <v>218</v>
      </c>
      <c r="D200" s="3" t="s">
        <v>48</v>
      </c>
      <c r="E200" s="3" t="s">
        <v>5</v>
      </c>
      <c r="F200" s="8" t="s">
        <v>75</v>
      </c>
      <c r="G200" s="19">
        <f>_xlfn.XLOOKUP(Participantes[[#This Row],[Seminario al que asistió]],Seminarios[Seminario],Seminarios[Año])</f>
        <v>2024</v>
      </c>
    </row>
    <row r="201" spans="1:7" x14ac:dyDescent="0.25">
      <c r="A201" s="122" t="s">
        <v>444</v>
      </c>
      <c r="B201" s="42" t="s">
        <v>445</v>
      </c>
      <c r="C201" s="3" t="s">
        <v>218</v>
      </c>
      <c r="D201" s="3" t="s">
        <v>48</v>
      </c>
      <c r="E201" s="3" t="s">
        <v>5</v>
      </c>
      <c r="F201" s="8" t="s">
        <v>75</v>
      </c>
      <c r="G201" s="19">
        <f>_xlfn.XLOOKUP(Participantes[[#This Row],[Seminario al que asistió]],Seminarios[Seminario],Seminarios[Año])</f>
        <v>2024</v>
      </c>
    </row>
    <row r="202" spans="1:7" x14ac:dyDescent="0.25">
      <c r="A202" s="122" t="s">
        <v>446</v>
      </c>
      <c r="B202" s="42" t="s">
        <v>447</v>
      </c>
      <c r="C202" s="3" t="s">
        <v>218</v>
      </c>
      <c r="D202" s="3" t="s">
        <v>48</v>
      </c>
      <c r="E202" s="3" t="s">
        <v>5</v>
      </c>
      <c r="F202" s="8" t="s">
        <v>75</v>
      </c>
      <c r="G202" s="19">
        <f>_xlfn.XLOOKUP(Participantes[[#This Row],[Seminario al que asistió]],Seminarios[Seminario],Seminarios[Año])</f>
        <v>2024</v>
      </c>
    </row>
    <row r="203" spans="1:7" x14ac:dyDescent="0.25">
      <c r="A203" s="122" t="s">
        <v>448</v>
      </c>
      <c r="B203" s="42" t="s">
        <v>449</v>
      </c>
      <c r="C203" s="3" t="s">
        <v>221</v>
      </c>
      <c r="D203" s="3" t="s">
        <v>48</v>
      </c>
      <c r="E203" s="3" t="s">
        <v>5</v>
      </c>
      <c r="F203" s="8" t="s">
        <v>75</v>
      </c>
      <c r="G203" s="19">
        <f>_xlfn.XLOOKUP(Participantes[[#This Row],[Seminario al que asistió]],Seminarios[Seminario],Seminarios[Año])</f>
        <v>2024</v>
      </c>
    </row>
    <row r="204" spans="1:7" x14ac:dyDescent="0.25">
      <c r="A204" s="122" t="s">
        <v>450</v>
      </c>
      <c r="B204" s="42" t="s">
        <v>451</v>
      </c>
      <c r="C204" s="3" t="s">
        <v>221</v>
      </c>
      <c r="D204" s="3" t="s">
        <v>48</v>
      </c>
      <c r="E204" s="3" t="s">
        <v>5</v>
      </c>
      <c r="F204" s="8" t="s">
        <v>75</v>
      </c>
      <c r="G204" s="19">
        <f>_xlfn.XLOOKUP(Participantes[[#This Row],[Seminario al que asistió]],Seminarios[Seminario],Seminarios[Año])</f>
        <v>2024</v>
      </c>
    </row>
    <row r="205" spans="1:7" x14ac:dyDescent="0.25">
      <c r="A205" s="122" t="s">
        <v>298</v>
      </c>
      <c r="B205" s="42" t="s">
        <v>299</v>
      </c>
      <c r="C205" s="3" t="s">
        <v>218</v>
      </c>
      <c r="D205" s="3" t="s">
        <v>233</v>
      </c>
      <c r="E205" s="3" t="s">
        <v>5</v>
      </c>
      <c r="F205" s="8" t="s">
        <v>75</v>
      </c>
      <c r="G205" s="19">
        <f>_xlfn.XLOOKUP(Participantes[[#This Row],[Seminario al que asistió]],Seminarios[Seminario],Seminarios[Año])</f>
        <v>2024</v>
      </c>
    </row>
    <row r="206" spans="1:7" x14ac:dyDescent="0.25">
      <c r="A206" s="122" t="s">
        <v>452</v>
      </c>
      <c r="B206" s="42" t="s">
        <v>453</v>
      </c>
      <c r="C206" s="3" t="s">
        <v>218</v>
      </c>
      <c r="D206" s="3" t="s">
        <v>48</v>
      </c>
      <c r="E206" s="3" t="s">
        <v>5</v>
      </c>
      <c r="F206" s="8" t="s">
        <v>75</v>
      </c>
      <c r="G206" s="19">
        <f>_xlfn.XLOOKUP(Participantes[[#This Row],[Seminario al que asistió]],Seminarios[Seminario],Seminarios[Año])</f>
        <v>2024</v>
      </c>
    </row>
    <row r="207" spans="1:7" x14ac:dyDescent="0.25">
      <c r="A207" s="122" t="s">
        <v>452</v>
      </c>
      <c r="B207" s="42" t="s">
        <v>431</v>
      </c>
      <c r="C207" s="3" t="s">
        <v>218</v>
      </c>
      <c r="D207" s="3" t="s">
        <v>48</v>
      </c>
      <c r="E207" s="3" t="s">
        <v>5</v>
      </c>
      <c r="F207" s="8" t="s">
        <v>75</v>
      </c>
      <c r="G207" s="19">
        <f>_xlfn.XLOOKUP(Participantes[[#This Row],[Seminario al que asistió]],Seminarios[Seminario],Seminarios[Año])</f>
        <v>2024</v>
      </c>
    </row>
    <row r="208" spans="1:7" x14ac:dyDescent="0.25">
      <c r="A208" s="122" t="s">
        <v>430</v>
      </c>
      <c r="B208" s="42" t="s">
        <v>454</v>
      </c>
      <c r="C208" s="3" t="s">
        <v>218</v>
      </c>
      <c r="D208" s="3" t="s">
        <v>48</v>
      </c>
      <c r="E208" s="3" t="s">
        <v>5</v>
      </c>
      <c r="F208" s="8" t="s">
        <v>75</v>
      </c>
      <c r="G208" s="19">
        <f>_xlfn.XLOOKUP(Participantes[[#This Row],[Seminario al que asistió]],Seminarios[Seminario],Seminarios[Año])</f>
        <v>2024</v>
      </c>
    </row>
    <row r="209" spans="1:7" x14ac:dyDescent="0.25">
      <c r="A209" s="122" t="s">
        <v>455</v>
      </c>
      <c r="B209" s="42" t="s">
        <v>456</v>
      </c>
      <c r="C209" s="3" t="s">
        <v>218</v>
      </c>
      <c r="D209" s="3" t="s">
        <v>48</v>
      </c>
      <c r="E209" s="3" t="s">
        <v>5</v>
      </c>
      <c r="F209" s="8" t="s">
        <v>75</v>
      </c>
      <c r="G209" s="19">
        <f>_xlfn.XLOOKUP(Participantes[[#This Row],[Seminario al que asistió]],Seminarios[Seminario],Seminarios[Año])</f>
        <v>2024</v>
      </c>
    </row>
    <row r="210" spans="1:7" x14ac:dyDescent="0.25">
      <c r="A210" s="122" t="s">
        <v>457</v>
      </c>
      <c r="B210" s="42" t="s">
        <v>458</v>
      </c>
      <c r="C210" s="3" t="s">
        <v>218</v>
      </c>
      <c r="D210" s="3" t="s">
        <v>48</v>
      </c>
      <c r="E210" s="3" t="s">
        <v>5</v>
      </c>
      <c r="F210" s="8" t="s">
        <v>75</v>
      </c>
      <c r="G210" s="19">
        <f>_xlfn.XLOOKUP(Participantes[[#This Row],[Seminario al que asistió]],Seminarios[Seminario],Seminarios[Año])</f>
        <v>2024</v>
      </c>
    </row>
    <row r="211" spans="1:7" x14ac:dyDescent="0.25">
      <c r="A211" s="122" t="s">
        <v>459</v>
      </c>
      <c r="B211" s="42" t="s">
        <v>460</v>
      </c>
      <c r="C211" s="3" t="s">
        <v>218</v>
      </c>
      <c r="D211" s="3" t="s">
        <v>48</v>
      </c>
      <c r="E211" s="3" t="s">
        <v>5</v>
      </c>
      <c r="F211" s="8" t="s">
        <v>75</v>
      </c>
      <c r="G211" s="19">
        <f>_xlfn.XLOOKUP(Participantes[[#This Row],[Seminario al que asistió]],Seminarios[Seminario],Seminarios[Año])</f>
        <v>2024</v>
      </c>
    </row>
    <row r="212" spans="1:7" x14ac:dyDescent="0.25">
      <c r="A212" s="122" t="s">
        <v>461</v>
      </c>
      <c r="B212" s="42" t="s">
        <v>462</v>
      </c>
      <c r="C212" s="3" t="s">
        <v>218</v>
      </c>
      <c r="D212" s="3" t="s">
        <v>48</v>
      </c>
      <c r="E212" s="3" t="s">
        <v>5</v>
      </c>
      <c r="F212" s="8" t="s">
        <v>75</v>
      </c>
      <c r="G212" s="19">
        <f>_xlfn.XLOOKUP(Participantes[[#This Row],[Seminario al que asistió]],Seminarios[Seminario],Seminarios[Año])</f>
        <v>2024</v>
      </c>
    </row>
    <row r="213" spans="1:7" x14ac:dyDescent="0.25">
      <c r="A213" s="122" t="s">
        <v>463</v>
      </c>
      <c r="B213" s="42" t="s">
        <v>464</v>
      </c>
      <c r="C213" s="3" t="s">
        <v>218</v>
      </c>
      <c r="D213" s="3" t="s">
        <v>48</v>
      </c>
      <c r="E213" s="3" t="s">
        <v>5</v>
      </c>
      <c r="F213" s="8" t="s">
        <v>75</v>
      </c>
      <c r="G213" s="19">
        <f>_xlfn.XLOOKUP(Participantes[[#This Row],[Seminario al que asistió]],Seminarios[Seminario],Seminarios[Año])</f>
        <v>2024</v>
      </c>
    </row>
    <row r="214" spans="1:7" x14ac:dyDescent="0.25">
      <c r="A214" s="122" t="s">
        <v>408</v>
      </c>
      <c r="B214" s="42" t="s">
        <v>465</v>
      </c>
      <c r="C214" s="3" t="s">
        <v>218</v>
      </c>
      <c r="D214" s="3" t="s">
        <v>48</v>
      </c>
      <c r="E214" s="3" t="s">
        <v>5</v>
      </c>
      <c r="F214" s="8" t="s">
        <v>75</v>
      </c>
      <c r="G214" s="19">
        <f>_xlfn.XLOOKUP(Participantes[[#This Row],[Seminario al que asistió]],Seminarios[Seminario],Seminarios[Año])</f>
        <v>2024</v>
      </c>
    </row>
    <row r="215" spans="1:7" x14ac:dyDescent="0.25">
      <c r="A215" s="122" t="s">
        <v>466</v>
      </c>
      <c r="B215" s="42" t="s">
        <v>467</v>
      </c>
      <c r="C215" s="3" t="s">
        <v>218</v>
      </c>
      <c r="D215" s="3" t="s">
        <v>48</v>
      </c>
      <c r="E215" s="3" t="s">
        <v>5</v>
      </c>
      <c r="F215" s="8" t="s">
        <v>75</v>
      </c>
      <c r="G215" s="19">
        <f>_xlfn.XLOOKUP(Participantes[[#This Row],[Seminario al que asistió]],Seminarios[Seminario],Seminarios[Año])</f>
        <v>2024</v>
      </c>
    </row>
    <row r="216" spans="1:7" x14ac:dyDescent="0.25">
      <c r="A216" s="122" t="s">
        <v>468</v>
      </c>
      <c r="B216" s="42" t="s">
        <v>220</v>
      </c>
      <c r="C216" s="3" t="s">
        <v>221</v>
      </c>
      <c r="D216" s="3" t="s">
        <v>36</v>
      </c>
      <c r="E216" s="3" t="s">
        <v>5</v>
      </c>
      <c r="F216" s="8" t="s">
        <v>75</v>
      </c>
      <c r="G216" s="19">
        <f>_xlfn.XLOOKUP(Participantes[[#This Row],[Seminario al que asistió]],Seminarios[Seminario],Seminarios[Año])</f>
        <v>2024</v>
      </c>
    </row>
    <row r="217" spans="1:7" x14ac:dyDescent="0.25">
      <c r="A217" s="122" t="s">
        <v>469</v>
      </c>
      <c r="B217" s="42" t="s">
        <v>470</v>
      </c>
      <c r="C217" s="3" t="s">
        <v>218</v>
      </c>
      <c r="D217" s="3" t="s">
        <v>48</v>
      </c>
      <c r="E217" s="3" t="s">
        <v>1</v>
      </c>
      <c r="F217" s="8" t="s">
        <v>75</v>
      </c>
      <c r="G217" s="19">
        <f>_xlfn.XLOOKUP(Participantes[[#This Row],[Seminario al que asistió]],Seminarios[Seminario],Seminarios[Año])</f>
        <v>2024</v>
      </c>
    </row>
    <row r="218" spans="1:7" x14ac:dyDescent="0.25">
      <c r="A218" s="122" t="s">
        <v>471</v>
      </c>
      <c r="B218" s="42" t="s">
        <v>339</v>
      </c>
      <c r="C218" s="3" t="s">
        <v>218</v>
      </c>
      <c r="D218" s="3" t="s">
        <v>36</v>
      </c>
      <c r="E218" s="3" t="s">
        <v>1</v>
      </c>
      <c r="F218" s="8" t="s">
        <v>75</v>
      </c>
      <c r="G218" s="19">
        <f>_xlfn.XLOOKUP(Participantes[[#This Row],[Seminario al que asistió]],Seminarios[Seminario],Seminarios[Año])</f>
        <v>2024</v>
      </c>
    </row>
    <row r="219" spans="1:7" x14ac:dyDescent="0.25">
      <c r="A219" s="122" t="s">
        <v>472</v>
      </c>
      <c r="B219" s="42" t="s">
        <v>473</v>
      </c>
      <c r="C219" s="3" t="s">
        <v>218</v>
      </c>
      <c r="D219" s="3" t="s">
        <v>233</v>
      </c>
      <c r="E219" s="3" t="s">
        <v>1</v>
      </c>
      <c r="F219" s="8" t="s">
        <v>75</v>
      </c>
      <c r="G219" s="19">
        <f>_xlfn.XLOOKUP(Participantes[[#This Row],[Seminario al que asistió]],Seminarios[Seminario],Seminarios[Año])</f>
        <v>2024</v>
      </c>
    </row>
    <row r="220" spans="1:7" x14ac:dyDescent="0.25">
      <c r="A220" s="122" t="s">
        <v>474</v>
      </c>
      <c r="B220" s="42" t="s">
        <v>475</v>
      </c>
      <c r="C220" s="3" t="s">
        <v>218</v>
      </c>
      <c r="D220" s="3" t="s">
        <v>48</v>
      </c>
      <c r="E220" s="3" t="s">
        <v>1</v>
      </c>
      <c r="F220" s="8" t="s">
        <v>75</v>
      </c>
      <c r="G220" s="19">
        <f>_xlfn.XLOOKUP(Participantes[[#This Row],[Seminario al que asistió]],Seminarios[Seminario],Seminarios[Año])</f>
        <v>2024</v>
      </c>
    </row>
    <row r="221" spans="1:7" x14ac:dyDescent="0.25">
      <c r="A221" s="122" t="s">
        <v>476</v>
      </c>
      <c r="B221" s="42" t="s">
        <v>477</v>
      </c>
      <c r="C221" s="3" t="s">
        <v>218</v>
      </c>
      <c r="D221" s="3" t="s">
        <v>48</v>
      </c>
      <c r="E221" s="3" t="s">
        <v>1</v>
      </c>
      <c r="F221" s="8" t="s">
        <v>75</v>
      </c>
      <c r="G221" s="19">
        <f>_xlfn.XLOOKUP(Participantes[[#This Row],[Seminario al que asistió]],Seminarios[Seminario],Seminarios[Año])</f>
        <v>2024</v>
      </c>
    </row>
    <row r="222" spans="1:7" x14ac:dyDescent="0.25">
      <c r="A222" s="122" t="s">
        <v>478</v>
      </c>
      <c r="B222" s="42" t="s">
        <v>479</v>
      </c>
      <c r="C222" s="3" t="s">
        <v>221</v>
      </c>
      <c r="D222" s="3" t="s">
        <v>48</v>
      </c>
      <c r="E222" s="3" t="s">
        <v>1</v>
      </c>
      <c r="F222" s="8" t="s">
        <v>75</v>
      </c>
      <c r="G222" s="19">
        <f>_xlfn.XLOOKUP(Participantes[[#This Row],[Seminario al que asistió]],Seminarios[Seminario],Seminarios[Año])</f>
        <v>2024</v>
      </c>
    </row>
    <row r="223" spans="1:7" x14ac:dyDescent="0.25">
      <c r="A223" s="122" t="s">
        <v>480</v>
      </c>
      <c r="B223" s="42" t="s">
        <v>458</v>
      </c>
      <c r="C223" s="3" t="s">
        <v>218</v>
      </c>
      <c r="D223" s="3" t="s">
        <v>48</v>
      </c>
      <c r="E223" s="3" t="s">
        <v>1</v>
      </c>
      <c r="F223" s="8" t="s">
        <v>75</v>
      </c>
      <c r="G223" s="19">
        <f>_xlfn.XLOOKUP(Participantes[[#This Row],[Seminario al que asistió]],Seminarios[Seminario],Seminarios[Año])</f>
        <v>2024</v>
      </c>
    </row>
    <row r="224" spans="1:7" x14ac:dyDescent="0.25">
      <c r="A224" s="122" t="s">
        <v>481</v>
      </c>
      <c r="B224" s="42" t="s">
        <v>482</v>
      </c>
      <c r="C224" s="3" t="s">
        <v>218</v>
      </c>
      <c r="D224" s="3" t="s">
        <v>48</v>
      </c>
      <c r="E224" s="3" t="s">
        <v>1</v>
      </c>
      <c r="F224" s="8" t="s">
        <v>75</v>
      </c>
      <c r="G224" s="19">
        <f>_xlfn.XLOOKUP(Participantes[[#This Row],[Seminario al que asistió]],Seminarios[Seminario],Seminarios[Año])</f>
        <v>2024</v>
      </c>
    </row>
    <row r="225" spans="1:7" x14ac:dyDescent="0.25">
      <c r="A225" s="122" t="s">
        <v>483</v>
      </c>
      <c r="B225" s="42" t="s">
        <v>470</v>
      </c>
      <c r="C225" s="3" t="s">
        <v>218</v>
      </c>
      <c r="D225" s="3" t="s">
        <v>48</v>
      </c>
      <c r="E225" s="3" t="s">
        <v>1</v>
      </c>
      <c r="F225" s="8" t="s">
        <v>75</v>
      </c>
      <c r="G225" s="19">
        <f>_xlfn.XLOOKUP(Participantes[[#This Row],[Seminario al que asistió]],Seminarios[Seminario],Seminarios[Año])</f>
        <v>2024</v>
      </c>
    </row>
    <row r="226" spans="1:7" x14ac:dyDescent="0.25">
      <c r="A226" s="122" t="s">
        <v>484</v>
      </c>
      <c r="B226" s="42" t="s">
        <v>485</v>
      </c>
      <c r="C226" s="3" t="s">
        <v>218</v>
      </c>
      <c r="D226" s="3" t="s">
        <v>48</v>
      </c>
      <c r="E226" s="3" t="s">
        <v>1</v>
      </c>
      <c r="F226" s="8" t="s">
        <v>75</v>
      </c>
      <c r="G226" s="19">
        <f>_xlfn.XLOOKUP(Participantes[[#This Row],[Seminario al que asistió]],Seminarios[Seminario],Seminarios[Año])</f>
        <v>2024</v>
      </c>
    </row>
    <row r="227" spans="1:7" x14ac:dyDescent="0.25">
      <c r="A227" s="122" t="s">
        <v>253</v>
      </c>
      <c r="B227" s="42" t="s">
        <v>254</v>
      </c>
      <c r="C227" s="3" t="s">
        <v>218</v>
      </c>
      <c r="D227" s="3" t="s">
        <v>36</v>
      </c>
      <c r="E227" s="3" t="s">
        <v>1</v>
      </c>
      <c r="F227" s="8" t="s">
        <v>75</v>
      </c>
      <c r="G227" s="19">
        <f>_xlfn.XLOOKUP(Participantes[[#This Row],[Seminario al que asistió]],Seminarios[Seminario],Seminarios[Año])</f>
        <v>2024</v>
      </c>
    </row>
    <row r="228" spans="1:7" x14ac:dyDescent="0.25">
      <c r="A228" s="122" t="s">
        <v>263</v>
      </c>
      <c r="B228" s="42" t="s">
        <v>264</v>
      </c>
      <c r="C228" s="3" t="s">
        <v>221</v>
      </c>
      <c r="D228" s="3" t="s">
        <v>43</v>
      </c>
      <c r="E228" s="3" t="s">
        <v>1</v>
      </c>
      <c r="F228" s="8" t="s">
        <v>75</v>
      </c>
      <c r="G228" s="19">
        <f>_xlfn.XLOOKUP(Participantes[[#This Row],[Seminario al que asistió]],Seminarios[Seminario],Seminarios[Año])</f>
        <v>2024</v>
      </c>
    </row>
    <row r="229" spans="1:7" x14ac:dyDescent="0.25">
      <c r="A229" s="122" t="s">
        <v>486</v>
      </c>
      <c r="B229" s="42" t="s">
        <v>487</v>
      </c>
      <c r="C229" s="3" t="s">
        <v>221</v>
      </c>
      <c r="D229" s="3" t="s">
        <v>233</v>
      </c>
      <c r="E229" s="3" t="s">
        <v>1</v>
      </c>
      <c r="F229" s="8" t="s">
        <v>75</v>
      </c>
      <c r="G229" s="19">
        <f>_xlfn.XLOOKUP(Participantes[[#This Row],[Seminario al que asistió]],Seminarios[Seminario],Seminarios[Año])</f>
        <v>2024</v>
      </c>
    </row>
    <row r="230" spans="1:7" x14ac:dyDescent="0.25">
      <c r="A230" s="122" t="s">
        <v>343</v>
      </c>
      <c r="B230" s="42" t="s">
        <v>266</v>
      </c>
      <c r="C230" s="3" t="s">
        <v>221</v>
      </c>
      <c r="D230" s="3" t="s">
        <v>43</v>
      </c>
      <c r="E230" s="3" t="s">
        <v>1</v>
      </c>
      <c r="F230" s="8" t="s">
        <v>75</v>
      </c>
      <c r="G230" s="19">
        <f>_xlfn.XLOOKUP(Participantes[[#This Row],[Seminario al que asistió]],Seminarios[Seminario],Seminarios[Año])</f>
        <v>2024</v>
      </c>
    </row>
    <row r="231" spans="1:7" x14ac:dyDescent="0.25">
      <c r="A231" s="122" t="s">
        <v>295</v>
      </c>
      <c r="B231" s="42" t="s">
        <v>259</v>
      </c>
      <c r="C231" s="3" t="s">
        <v>218</v>
      </c>
      <c r="D231" s="3" t="s">
        <v>233</v>
      </c>
      <c r="E231" s="3" t="s">
        <v>1</v>
      </c>
      <c r="F231" s="8" t="s">
        <v>75</v>
      </c>
      <c r="G231" s="19">
        <f>_xlfn.XLOOKUP(Participantes[[#This Row],[Seminario al que asistió]],Seminarios[Seminario],Seminarios[Año])</f>
        <v>2024</v>
      </c>
    </row>
    <row r="232" spans="1:7" x14ac:dyDescent="0.25">
      <c r="A232" s="122" t="s">
        <v>459</v>
      </c>
      <c r="B232" s="42" t="s">
        <v>460</v>
      </c>
      <c r="C232" s="3" t="s">
        <v>218</v>
      </c>
      <c r="D232" s="3" t="s">
        <v>48</v>
      </c>
      <c r="E232" s="3" t="s">
        <v>1</v>
      </c>
      <c r="F232" s="8" t="s">
        <v>75</v>
      </c>
      <c r="G232" s="19">
        <f>_xlfn.XLOOKUP(Participantes[[#This Row],[Seminario al que asistió]],Seminarios[Seminario],Seminarios[Año])</f>
        <v>2024</v>
      </c>
    </row>
    <row r="233" spans="1:7" x14ac:dyDescent="0.25">
      <c r="A233" s="122" t="s">
        <v>488</v>
      </c>
      <c r="B233" s="42" t="s">
        <v>489</v>
      </c>
      <c r="C233" s="3" t="s">
        <v>221</v>
      </c>
      <c r="D233" s="3" t="s">
        <v>48</v>
      </c>
      <c r="E233" s="3" t="s">
        <v>1</v>
      </c>
      <c r="F233" s="8" t="s">
        <v>75</v>
      </c>
      <c r="G233" s="19">
        <f>_xlfn.XLOOKUP(Participantes[[#This Row],[Seminario al que asistió]],Seminarios[Seminario],Seminarios[Año])</f>
        <v>2024</v>
      </c>
    </row>
    <row r="234" spans="1:7" x14ac:dyDescent="0.25">
      <c r="A234" s="122" t="s">
        <v>76</v>
      </c>
      <c r="B234" s="13" t="s">
        <v>282</v>
      </c>
      <c r="C234" s="3" t="s">
        <v>218</v>
      </c>
      <c r="D234" s="3" t="s">
        <v>48</v>
      </c>
      <c r="E234" s="3" t="s">
        <v>1</v>
      </c>
      <c r="F234" s="8" t="s">
        <v>75</v>
      </c>
      <c r="G234" s="19">
        <f>_xlfn.XLOOKUP(Participantes[[#This Row],[Seminario al que asistió]],Seminarios[Seminario],Seminarios[Año])</f>
        <v>2024</v>
      </c>
    </row>
    <row r="235" spans="1:7" ht="15.75" thickBot="1" x14ac:dyDescent="0.3">
      <c r="A235" s="123" t="s">
        <v>490</v>
      </c>
      <c r="B235" s="43" t="s">
        <v>491</v>
      </c>
      <c r="C235" s="13" t="s">
        <v>221</v>
      </c>
      <c r="D235" s="3" t="s">
        <v>48</v>
      </c>
      <c r="E235" s="13" t="s">
        <v>1</v>
      </c>
      <c r="F235" s="78" t="s">
        <v>75</v>
      </c>
      <c r="G235" s="19">
        <f>_xlfn.XLOOKUP(Participantes[[#This Row],[Seminario al que asistió]],Seminarios[Seminario],Seminarios[Año])</f>
        <v>2024</v>
      </c>
    </row>
    <row r="236" spans="1:7" x14ac:dyDescent="0.25">
      <c r="A236" s="4" t="s">
        <v>481</v>
      </c>
      <c r="B236" s="5" t="s">
        <v>482</v>
      </c>
      <c r="C236" s="5" t="s">
        <v>218</v>
      </c>
      <c r="D236" s="5" t="s">
        <v>36</v>
      </c>
      <c r="E236" s="5" t="s">
        <v>1</v>
      </c>
      <c r="F236" s="6" t="s">
        <v>18</v>
      </c>
      <c r="G236" s="19">
        <f>_xlfn.XLOOKUP(Participantes[[#This Row],[Seminario al que asistió]],Seminarios[Seminario],Seminarios[Año])</f>
        <v>2024</v>
      </c>
    </row>
    <row r="237" spans="1:7" x14ac:dyDescent="0.25">
      <c r="A237" s="7" t="s">
        <v>492</v>
      </c>
      <c r="B237" s="3" t="s">
        <v>493</v>
      </c>
      <c r="C237" s="3" t="s">
        <v>218</v>
      </c>
      <c r="D237" s="3" t="s">
        <v>233</v>
      </c>
      <c r="E237" s="3" t="s">
        <v>1</v>
      </c>
      <c r="F237" s="8" t="s">
        <v>18</v>
      </c>
      <c r="G237" s="19">
        <f>_xlfn.XLOOKUP(Participantes[[#This Row],[Seminario al que asistió]],Seminarios[Seminario],Seminarios[Año])</f>
        <v>2024</v>
      </c>
    </row>
    <row r="238" spans="1:7" x14ac:dyDescent="0.25">
      <c r="A238" s="7" t="s">
        <v>343</v>
      </c>
      <c r="B238" s="3" t="s">
        <v>266</v>
      </c>
      <c r="C238" s="3" t="s">
        <v>221</v>
      </c>
      <c r="D238" s="3" t="s">
        <v>233</v>
      </c>
      <c r="E238" s="3" t="s">
        <v>1</v>
      </c>
      <c r="F238" s="8" t="s">
        <v>18</v>
      </c>
      <c r="G238" s="19">
        <f>_xlfn.XLOOKUP(Participantes[[#This Row],[Seminario al que asistió]],Seminarios[Seminario],Seminarios[Año])</f>
        <v>2024</v>
      </c>
    </row>
    <row r="239" spans="1:7" x14ac:dyDescent="0.25">
      <c r="A239" s="7" t="s">
        <v>253</v>
      </c>
      <c r="B239" s="3" t="s">
        <v>254</v>
      </c>
      <c r="C239" s="3" t="s">
        <v>218</v>
      </c>
      <c r="D239" s="3" t="s">
        <v>36</v>
      </c>
      <c r="E239" s="3" t="s">
        <v>1</v>
      </c>
      <c r="F239" s="8" t="s">
        <v>18</v>
      </c>
      <c r="G239" s="19">
        <f>_xlfn.XLOOKUP(Participantes[[#This Row],[Seminario al que asistió]],Seminarios[Seminario],Seminarios[Año])</f>
        <v>2024</v>
      </c>
    </row>
    <row r="240" spans="1:7" x14ac:dyDescent="0.25">
      <c r="A240" s="7" t="s">
        <v>494</v>
      </c>
      <c r="B240" s="3" t="s">
        <v>259</v>
      </c>
      <c r="C240" s="3" t="s">
        <v>218</v>
      </c>
      <c r="D240" s="3" t="s">
        <v>233</v>
      </c>
      <c r="E240" s="3" t="s">
        <v>1</v>
      </c>
      <c r="F240" s="8" t="s">
        <v>18</v>
      </c>
      <c r="G240" s="19">
        <f>_xlfn.XLOOKUP(Participantes[[#This Row],[Seminario al que asistió]],Seminarios[Seminario],Seminarios[Año])</f>
        <v>2024</v>
      </c>
    </row>
    <row r="241" spans="1:7" x14ac:dyDescent="0.25">
      <c r="A241" s="7" t="s">
        <v>495</v>
      </c>
      <c r="B241" s="3" t="s">
        <v>230</v>
      </c>
      <c r="C241" s="3" t="s">
        <v>218</v>
      </c>
      <c r="D241" s="3" t="s">
        <v>36</v>
      </c>
      <c r="E241" s="3" t="s">
        <v>1</v>
      </c>
      <c r="F241" s="8" t="s">
        <v>18</v>
      </c>
      <c r="G241" s="19">
        <f>_xlfn.XLOOKUP(Participantes[[#This Row],[Seminario al que asistió]],Seminarios[Seminario],Seminarios[Año])</f>
        <v>2024</v>
      </c>
    </row>
    <row r="242" spans="1:7" x14ac:dyDescent="0.25">
      <c r="A242" s="7" t="s">
        <v>244</v>
      </c>
      <c r="B242" s="3" t="s">
        <v>245</v>
      </c>
      <c r="C242" s="3" t="s">
        <v>218</v>
      </c>
      <c r="D242" s="3" t="s">
        <v>36</v>
      </c>
      <c r="E242" s="3" t="s">
        <v>1</v>
      </c>
      <c r="F242" s="8" t="s">
        <v>18</v>
      </c>
      <c r="G242" s="19">
        <f>_xlfn.XLOOKUP(Participantes[[#This Row],[Seminario al que asistió]],Seminarios[Seminario],Seminarios[Año])</f>
        <v>2024</v>
      </c>
    </row>
    <row r="243" spans="1:7" x14ac:dyDescent="0.25">
      <c r="A243" s="7" t="s">
        <v>320</v>
      </c>
      <c r="B243" s="3" t="s">
        <v>321</v>
      </c>
      <c r="C243" s="3" t="s">
        <v>218</v>
      </c>
      <c r="D243" s="3" t="s">
        <v>36</v>
      </c>
      <c r="E243" s="3" t="s">
        <v>1</v>
      </c>
      <c r="F243" s="8" t="s">
        <v>18</v>
      </c>
      <c r="G243" s="19">
        <f>_xlfn.XLOOKUP(Participantes[[#This Row],[Seminario al que asistió]],Seminarios[Seminario],Seminarios[Año])</f>
        <v>2024</v>
      </c>
    </row>
    <row r="244" spans="1:7" x14ac:dyDescent="0.25">
      <c r="A244" s="7" t="s">
        <v>496</v>
      </c>
      <c r="B244" s="3" t="s">
        <v>497</v>
      </c>
      <c r="C244" s="3" t="s">
        <v>218</v>
      </c>
      <c r="D244" s="3" t="s">
        <v>233</v>
      </c>
      <c r="E244" s="3" t="s">
        <v>1</v>
      </c>
      <c r="F244" s="8" t="s">
        <v>18</v>
      </c>
      <c r="G244" s="19">
        <f>_xlfn.XLOOKUP(Participantes[[#This Row],[Seminario al que asistió]],Seminarios[Seminario],Seminarios[Año])</f>
        <v>2024</v>
      </c>
    </row>
    <row r="245" spans="1:7" x14ac:dyDescent="0.25">
      <c r="A245" s="7" t="s">
        <v>498</v>
      </c>
      <c r="B245" s="3" t="s">
        <v>499</v>
      </c>
      <c r="C245" s="3" t="s">
        <v>218</v>
      </c>
      <c r="D245" s="3" t="s">
        <v>233</v>
      </c>
      <c r="E245" s="3" t="s">
        <v>1</v>
      </c>
      <c r="F245" s="8" t="s">
        <v>18</v>
      </c>
      <c r="G245" s="19">
        <f>_xlfn.XLOOKUP(Participantes[[#This Row],[Seminario al que asistió]],Seminarios[Seminario],Seminarios[Año])</f>
        <v>2024</v>
      </c>
    </row>
    <row r="246" spans="1:7" x14ac:dyDescent="0.25">
      <c r="A246" s="7" t="s">
        <v>500</v>
      </c>
      <c r="B246" s="3" t="s">
        <v>314</v>
      </c>
      <c r="C246" s="3" t="s">
        <v>221</v>
      </c>
      <c r="D246" s="3" t="s">
        <v>36</v>
      </c>
      <c r="E246" s="3" t="s">
        <v>1</v>
      </c>
      <c r="F246" s="8" t="s">
        <v>18</v>
      </c>
      <c r="G246" s="19">
        <f>_xlfn.XLOOKUP(Participantes[[#This Row],[Seminario al que asistió]],Seminarios[Seminario],Seminarios[Año])</f>
        <v>2024</v>
      </c>
    </row>
    <row r="247" spans="1:7" x14ac:dyDescent="0.25">
      <c r="A247" s="7" t="s">
        <v>501</v>
      </c>
      <c r="B247" s="3" t="s">
        <v>297</v>
      </c>
      <c r="C247" s="3" t="s">
        <v>221</v>
      </c>
      <c r="D247" s="3" t="s">
        <v>36</v>
      </c>
      <c r="E247" s="3" t="s">
        <v>1</v>
      </c>
      <c r="F247" s="8" t="s">
        <v>18</v>
      </c>
      <c r="G247" s="19">
        <f>_xlfn.XLOOKUP(Participantes[[#This Row],[Seminario al que asistió]],Seminarios[Seminario],Seminarios[Año])</f>
        <v>2024</v>
      </c>
    </row>
    <row r="248" spans="1:7" x14ac:dyDescent="0.25">
      <c r="A248" s="7" t="s">
        <v>338</v>
      </c>
      <c r="B248" s="3" t="s">
        <v>339</v>
      </c>
      <c r="C248" s="3" t="s">
        <v>218</v>
      </c>
      <c r="D248" s="3" t="s">
        <v>36</v>
      </c>
      <c r="E248" s="3" t="s">
        <v>1</v>
      </c>
      <c r="F248" s="8" t="s">
        <v>18</v>
      </c>
      <c r="G248" s="19">
        <f>_xlfn.XLOOKUP(Participantes[[#This Row],[Seminario al que asistió]],Seminarios[Seminario],Seminarios[Año])</f>
        <v>2024</v>
      </c>
    </row>
    <row r="249" spans="1:7" x14ac:dyDescent="0.25">
      <c r="A249" s="7" t="s">
        <v>502</v>
      </c>
      <c r="B249" s="3" t="s">
        <v>503</v>
      </c>
      <c r="C249" s="3" t="s">
        <v>218</v>
      </c>
      <c r="D249" s="3" t="s">
        <v>233</v>
      </c>
      <c r="E249" s="3" t="s">
        <v>1</v>
      </c>
      <c r="F249" s="8" t="s">
        <v>18</v>
      </c>
      <c r="G249" s="19">
        <f>_xlfn.XLOOKUP(Participantes[[#This Row],[Seminario al que asistió]],Seminarios[Seminario],Seminarios[Año])</f>
        <v>2024</v>
      </c>
    </row>
    <row r="250" spans="1:7" x14ac:dyDescent="0.25">
      <c r="A250" s="7" t="s">
        <v>831</v>
      </c>
      <c r="B250" s="3" t="s">
        <v>304</v>
      </c>
      <c r="C250" s="3" t="s">
        <v>221</v>
      </c>
      <c r="D250" s="3" t="s">
        <v>36</v>
      </c>
      <c r="E250" s="3" t="s">
        <v>1</v>
      </c>
      <c r="F250" s="8" t="s">
        <v>18</v>
      </c>
      <c r="G250" s="19">
        <f>_xlfn.XLOOKUP(Participantes[[#This Row],[Seminario al que asistió]],Seminarios[Seminario],Seminarios[Año])</f>
        <v>2024</v>
      </c>
    </row>
    <row r="251" spans="1:7" x14ac:dyDescent="0.25">
      <c r="A251" s="7" t="s">
        <v>504</v>
      </c>
      <c r="B251" s="3" t="s">
        <v>505</v>
      </c>
      <c r="C251" s="3" t="s">
        <v>221</v>
      </c>
      <c r="D251" s="3" t="s">
        <v>233</v>
      </c>
      <c r="E251" s="3" t="s">
        <v>1</v>
      </c>
      <c r="F251" s="8" t="s">
        <v>18</v>
      </c>
      <c r="G251" s="19">
        <f>_xlfn.XLOOKUP(Participantes[[#This Row],[Seminario al que asistió]],Seminarios[Seminario],Seminarios[Año])</f>
        <v>2024</v>
      </c>
    </row>
    <row r="252" spans="1:7" x14ac:dyDescent="0.25">
      <c r="A252" s="7" t="s">
        <v>234</v>
      </c>
      <c r="B252" s="3" t="s">
        <v>235</v>
      </c>
      <c r="C252" s="3" t="s">
        <v>218</v>
      </c>
      <c r="D252" s="3" t="s">
        <v>36</v>
      </c>
      <c r="E252" s="3" t="s">
        <v>1</v>
      </c>
      <c r="F252" s="8" t="s">
        <v>18</v>
      </c>
      <c r="G252" s="19">
        <f>_xlfn.XLOOKUP(Participantes[[#This Row],[Seminario al que asistió]],Seminarios[Seminario],Seminarios[Año])</f>
        <v>2024</v>
      </c>
    </row>
    <row r="253" spans="1:7" x14ac:dyDescent="0.25">
      <c r="A253" s="7" t="s">
        <v>317</v>
      </c>
      <c r="B253" s="3" t="s">
        <v>318</v>
      </c>
      <c r="C253" s="3" t="s">
        <v>218</v>
      </c>
      <c r="D253" s="3" t="s">
        <v>36</v>
      </c>
      <c r="E253" s="3" t="s">
        <v>1</v>
      </c>
      <c r="F253" s="8" t="s">
        <v>18</v>
      </c>
      <c r="G253" s="19">
        <f>_xlfn.XLOOKUP(Participantes[[#This Row],[Seminario al que asistió]],Seminarios[Seminario],Seminarios[Año])</f>
        <v>2024</v>
      </c>
    </row>
    <row r="254" spans="1:7" x14ac:dyDescent="0.25">
      <c r="A254" s="7" t="s">
        <v>506</v>
      </c>
      <c r="B254" s="3" t="s">
        <v>275</v>
      </c>
      <c r="C254" s="3" t="s">
        <v>218</v>
      </c>
      <c r="D254" s="3" t="s">
        <v>36</v>
      </c>
      <c r="E254" s="3" t="s">
        <v>1</v>
      </c>
      <c r="F254" s="8" t="s">
        <v>18</v>
      </c>
      <c r="G254" s="19">
        <f>_xlfn.XLOOKUP(Participantes[[#This Row],[Seminario al que asistió]],Seminarios[Seminario],Seminarios[Año])</f>
        <v>2024</v>
      </c>
    </row>
    <row r="255" spans="1:7" x14ac:dyDescent="0.25">
      <c r="A255" s="7" t="s">
        <v>507</v>
      </c>
      <c r="B255" s="3" t="s">
        <v>508</v>
      </c>
      <c r="C255" s="3" t="s">
        <v>218</v>
      </c>
      <c r="D255" s="3" t="s">
        <v>233</v>
      </c>
      <c r="E255" s="3" t="s">
        <v>1</v>
      </c>
      <c r="F255" s="8" t="s">
        <v>18</v>
      </c>
      <c r="G255" s="19">
        <f>_xlfn.XLOOKUP(Participantes[[#This Row],[Seminario al que asistió]],Seminarios[Seminario],Seminarios[Año])</f>
        <v>2024</v>
      </c>
    </row>
    <row r="256" spans="1:7" x14ac:dyDescent="0.25">
      <c r="A256" s="7" t="s">
        <v>225</v>
      </c>
      <c r="B256" s="3" t="s">
        <v>226</v>
      </c>
      <c r="C256" s="3" t="s">
        <v>218</v>
      </c>
      <c r="D256" s="3" t="s">
        <v>36</v>
      </c>
      <c r="E256" s="3" t="s">
        <v>1</v>
      </c>
      <c r="F256" s="8" t="s">
        <v>18</v>
      </c>
      <c r="G256" s="19">
        <f>_xlfn.XLOOKUP(Participantes[[#This Row],[Seminario al que asistió]],Seminarios[Seminario],Seminarios[Año])</f>
        <v>2024</v>
      </c>
    </row>
    <row r="257" spans="1:7" x14ac:dyDescent="0.25">
      <c r="A257" s="7" t="s">
        <v>509</v>
      </c>
      <c r="B257" s="3" t="s">
        <v>510</v>
      </c>
      <c r="C257" s="3" t="s">
        <v>221</v>
      </c>
      <c r="D257" s="3" t="s">
        <v>233</v>
      </c>
      <c r="E257" s="3" t="s">
        <v>1</v>
      </c>
      <c r="F257" s="8" t="s">
        <v>18</v>
      </c>
      <c r="G257" s="19">
        <f>_xlfn.XLOOKUP(Participantes[[#This Row],[Seminario al que asistió]],Seminarios[Seminario],Seminarios[Año])</f>
        <v>2024</v>
      </c>
    </row>
    <row r="258" spans="1:7" x14ac:dyDescent="0.25">
      <c r="A258" s="7" t="s">
        <v>511</v>
      </c>
      <c r="B258" s="3" t="s">
        <v>512</v>
      </c>
      <c r="C258" s="3" t="s">
        <v>218</v>
      </c>
      <c r="D258" s="3" t="s">
        <v>53</v>
      </c>
      <c r="E258" s="3" t="s">
        <v>1</v>
      </c>
      <c r="F258" s="8" t="s">
        <v>18</v>
      </c>
      <c r="G258" s="19">
        <f>_xlfn.XLOOKUP(Participantes[[#This Row],[Seminario al que asistió]],Seminarios[Seminario],Seminarios[Año])</f>
        <v>2024</v>
      </c>
    </row>
    <row r="259" spans="1:7" x14ac:dyDescent="0.25">
      <c r="A259" s="7" t="s">
        <v>513</v>
      </c>
      <c r="B259" s="3" t="s">
        <v>514</v>
      </c>
      <c r="C259" s="3" t="s">
        <v>221</v>
      </c>
      <c r="D259" s="3" t="s">
        <v>36</v>
      </c>
      <c r="E259" s="3" t="s">
        <v>1</v>
      </c>
      <c r="F259" s="8" t="s">
        <v>18</v>
      </c>
      <c r="G259" s="19">
        <f>_xlfn.XLOOKUP(Participantes[[#This Row],[Seminario al que asistió]],Seminarios[Seminario],Seminarios[Año])</f>
        <v>2024</v>
      </c>
    </row>
    <row r="260" spans="1:7" x14ac:dyDescent="0.25">
      <c r="A260" s="7" t="s">
        <v>515</v>
      </c>
      <c r="B260" s="3" t="s">
        <v>277</v>
      </c>
      <c r="C260" s="3" t="s">
        <v>218</v>
      </c>
      <c r="D260" s="3" t="s">
        <v>36</v>
      </c>
      <c r="E260" s="3" t="s">
        <v>1</v>
      </c>
      <c r="F260" s="8" t="s">
        <v>18</v>
      </c>
      <c r="G260" s="19">
        <f>_xlfn.XLOOKUP(Participantes[[#This Row],[Seminario al que asistió]],Seminarios[Seminario],Seminarios[Año])</f>
        <v>2024</v>
      </c>
    </row>
    <row r="261" spans="1:7" x14ac:dyDescent="0.25">
      <c r="A261" s="7" t="s">
        <v>516</v>
      </c>
      <c r="B261" s="13" t="s">
        <v>282</v>
      </c>
      <c r="C261" s="3" t="s">
        <v>221</v>
      </c>
      <c r="D261" s="3" t="s">
        <v>53</v>
      </c>
      <c r="E261" s="3" t="s">
        <v>1</v>
      </c>
      <c r="F261" s="8" t="s">
        <v>18</v>
      </c>
      <c r="G261" s="19">
        <f>_xlfn.XLOOKUP(Participantes[[#This Row],[Seminario al que asistió]],Seminarios[Seminario],Seminarios[Año])</f>
        <v>2024</v>
      </c>
    </row>
    <row r="262" spans="1:7" x14ac:dyDescent="0.25">
      <c r="A262" s="7" t="s">
        <v>152</v>
      </c>
      <c r="B262" s="13" t="s">
        <v>282</v>
      </c>
      <c r="C262" s="3" t="s">
        <v>221</v>
      </c>
      <c r="D262" s="3" t="s">
        <v>53</v>
      </c>
      <c r="E262" s="3" t="s">
        <v>1</v>
      </c>
      <c r="F262" s="8" t="s">
        <v>18</v>
      </c>
      <c r="G262" s="19">
        <f>_xlfn.XLOOKUP(Participantes[[#This Row],[Seminario al que asistió]],Seminarios[Seminario],Seminarios[Año])</f>
        <v>2024</v>
      </c>
    </row>
    <row r="263" spans="1:7" ht="15.75" thickBot="1" x14ac:dyDescent="0.3">
      <c r="A263" s="9" t="s">
        <v>176</v>
      </c>
      <c r="B263" s="10" t="s">
        <v>222</v>
      </c>
      <c r="C263" s="10" t="s">
        <v>221</v>
      </c>
      <c r="D263" s="10" t="s">
        <v>36</v>
      </c>
      <c r="E263" s="10" t="s">
        <v>1</v>
      </c>
      <c r="F263" s="11" t="s">
        <v>18</v>
      </c>
      <c r="G263" s="19">
        <f>_xlfn.XLOOKUP(Participantes[[#This Row],[Seminario al que asistió]],Seminarios[Seminario],Seminarios[Año])</f>
        <v>2024</v>
      </c>
    </row>
    <row r="264" spans="1:7" x14ac:dyDescent="0.25">
      <c r="A264" s="36" t="s">
        <v>253</v>
      </c>
      <c r="B264" s="37" t="s">
        <v>254</v>
      </c>
      <c r="C264" s="5" t="s">
        <v>218</v>
      </c>
      <c r="D264" s="5" t="s">
        <v>36</v>
      </c>
      <c r="E264" s="37" t="s">
        <v>1</v>
      </c>
      <c r="F264" s="6" t="s">
        <v>118</v>
      </c>
      <c r="G264" s="19">
        <f>_xlfn.XLOOKUP(Participantes[[#This Row],[Seminario al que asistió]],Seminarios[Seminario],Seminarios[Año])</f>
        <v>2024</v>
      </c>
    </row>
    <row r="265" spans="1:7" x14ac:dyDescent="0.25">
      <c r="A265" s="38" t="s">
        <v>283</v>
      </c>
      <c r="B265" s="35" t="s">
        <v>517</v>
      </c>
      <c r="C265" s="3" t="s">
        <v>218</v>
      </c>
      <c r="D265" s="3" t="s">
        <v>36</v>
      </c>
      <c r="E265" s="35" t="s">
        <v>5</v>
      </c>
      <c r="F265" s="8" t="s">
        <v>118</v>
      </c>
      <c r="G265" s="19">
        <f>_xlfn.XLOOKUP(Participantes[[#This Row],[Seminario al que asistió]],Seminarios[Seminario],Seminarios[Año])</f>
        <v>2024</v>
      </c>
    </row>
    <row r="266" spans="1:7" x14ac:dyDescent="0.25">
      <c r="A266" s="38" t="s">
        <v>518</v>
      </c>
      <c r="B266" s="35" t="s">
        <v>222</v>
      </c>
      <c r="C266" s="3" t="s">
        <v>221</v>
      </c>
      <c r="D266" s="3" t="s">
        <v>36</v>
      </c>
      <c r="E266" s="35" t="s">
        <v>1</v>
      </c>
      <c r="F266" s="8" t="s">
        <v>118</v>
      </c>
      <c r="G266" s="19">
        <f>_xlfn.XLOOKUP(Participantes[[#This Row],[Seminario al que asistió]],Seminarios[Seminario],Seminarios[Año])</f>
        <v>2024</v>
      </c>
    </row>
    <row r="267" spans="1:7" x14ac:dyDescent="0.25">
      <c r="A267" s="38" t="s">
        <v>289</v>
      </c>
      <c r="B267" s="35" t="s">
        <v>290</v>
      </c>
      <c r="C267" s="3" t="s">
        <v>221</v>
      </c>
      <c r="D267" s="3" t="s">
        <v>36</v>
      </c>
      <c r="E267" s="35" t="s">
        <v>1</v>
      </c>
      <c r="F267" s="8" t="s">
        <v>118</v>
      </c>
      <c r="G267" s="19">
        <f>_xlfn.XLOOKUP(Participantes[[#This Row],[Seminario al que asistió]],Seminarios[Seminario],Seminarios[Año])</f>
        <v>2024</v>
      </c>
    </row>
    <row r="268" spans="1:7" x14ac:dyDescent="0.25">
      <c r="A268" s="38" t="s">
        <v>519</v>
      </c>
      <c r="B268" s="35" t="s">
        <v>314</v>
      </c>
      <c r="C268" s="3" t="s">
        <v>221</v>
      </c>
      <c r="D268" s="3" t="s">
        <v>36</v>
      </c>
      <c r="E268" s="35" t="s">
        <v>5</v>
      </c>
      <c r="F268" s="8" t="s">
        <v>118</v>
      </c>
      <c r="G268" s="19">
        <f>_xlfn.XLOOKUP(Participantes[[#This Row],[Seminario al que asistió]],Seminarios[Seminario],Seminarios[Año])</f>
        <v>2024</v>
      </c>
    </row>
    <row r="269" spans="1:7" x14ac:dyDescent="0.25">
      <c r="A269" s="7" t="s">
        <v>831</v>
      </c>
      <c r="B269" s="3" t="s">
        <v>304</v>
      </c>
      <c r="C269" s="3" t="s">
        <v>221</v>
      </c>
      <c r="D269" s="3" t="s">
        <v>36</v>
      </c>
      <c r="E269" s="35" t="s">
        <v>5</v>
      </c>
      <c r="F269" s="8" t="s">
        <v>118</v>
      </c>
      <c r="G269" s="19">
        <f>_xlfn.XLOOKUP(Participantes[[#This Row],[Seminario al que asistió]],Seminarios[Seminario],Seminarios[Año])</f>
        <v>2024</v>
      </c>
    </row>
    <row r="270" spans="1:7" x14ac:dyDescent="0.25">
      <c r="A270" s="38" t="s">
        <v>343</v>
      </c>
      <c r="B270" s="35" t="s">
        <v>266</v>
      </c>
      <c r="C270" s="3" t="s">
        <v>221</v>
      </c>
      <c r="D270" s="3" t="s">
        <v>36</v>
      </c>
      <c r="E270" s="35" t="s">
        <v>1</v>
      </c>
      <c r="F270" s="8" t="s">
        <v>118</v>
      </c>
      <c r="G270" s="19">
        <f>_xlfn.XLOOKUP(Participantes[[#This Row],[Seminario al que asistió]],Seminarios[Seminario],Seminarios[Año])</f>
        <v>2024</v>
      </c>
    </row>
    <row r="271" spans="1:7" x14ac:dyDescent="0.25">
      <c r="A271" s="38" t="s">
        <v>520</v>
      </c>
      <c r="B271" s="44" t="s">
        <v>521</v>
      </c>
      <c r="C271" s="3" t="s">
        <v>218</v>
      </c>
      <c r="D271" s="3" t="s">
        <v>48</v>
      </c>
      <c r="E271" s="35" t="s">
        <v>1</v>
      </c>
      <c r="F271" s="8" t="s">
        <v>118</v>
      </c>
      <c r="G271" s="19">
        <f>_xlfn.XLOOKUP(Participantes[[#This Row],[Seminario al que asistió]],Seminarios[Seminario],Seminarios[Año])</f>
        <v>2024</v>
      </c>
    </row>
    <row r="272" spans="1:7" ht="30" x14ac:dyDescent="0.25">
      <c r="A272" s="38" t="s">
        <v>483</v>
      </c>
      <c r="B272" s="44" t="s">
        <v>470</v>
      </c>
      <c r="C272" s="3" t="s">
        <v>218</v>
      </c>
      <c r="D272" s="3" t="s">
        <v>48</v>
      </c>
      <c r="E272" s="35" t="s">
        <v>1</v>
      </c>
      <c r="F272" s="8" t="s">
        <v>118</v>
      </c>
      <c r="G272" s="19">
        <f>_xlfn.XLOOKUP(Participantes[[#This Row],[Seminario al que asistió]],Seminarios[Seminario],Seminarios[Año])</f>
        <v>2024</v>
      </c>
    </row>
    <row r="273" spans="1:7" x14ac:dyDescent="0.25">
      <c r="A273" s="38" t="s">
        <v>522</v>
      </c>
      <c r="B273" s="35" t="s">
        <v>523</v>
      </c>
      <c r="C273" s="3" t="s">
        <v>218</v>
      </c>
      <c r="D273" s="3" t="s">
        <v>48</v>
      </c>
      <c r="E273" s="35" t="s">
        <v>5</v>
      </c>
      <c r="F273" s="8" t="s">
        <v>118</v>
      </c>
      <c r="G273" s="19">
        <f>_xlfn.XLOOKUP(Participantes[[#This Row],[Seminario al que asistió]],Seminarios[Seminario],Seminarios[Año])</f>
        <v>2024</v>
      </c>
    </row>
    <row r="274" spans="1:7" x14ac:dyDescent="0.25">
      <c r="A274" s="38" t="s">
        <v>515</v>
      </c>
      <c r="B274" s="35" t="s">
        <v>277</v>
      </c>
      <c r="C274" s="3" t="s">
        <v>218</v>
      </c>
      <c r="D274" s="3" t="s">
        <v>36</v>
      </c>
      <c r="E274" s="35" t="s">
        <v>5</v>
      </c>
      <c r="F274" s="8" t="s">
        <v>118</v>
      </c>
      <c r="G274" s="19">
        <f>_xlfn.XLOOKUP(Participantes[[#This Row],[Seminario al que asistió]],Seminarios[Seminario],Seminarios[Año])</f>
        <v>2024</v>
      </c>
    </row>
    <row r="275" spans="1:7" x14ac:dyDescent="0.25">
      <c r="A275" s="38" t="s">
        <v>524</v>
      </c>
      <c r="B275" s="35" t="s">
        <v>525</v>
      </c>
      <c r="C275" s="3" t="s">
        <v>218</v>
      </c>
      <c r="D275" s="3" t="s">
        <v>48</v>
      </c>
      <c r="E275" s="35" t="s">
        <v>5</v>
      </c>
      <c r="F275" s="8" t="s">
        <v>118</v>
      </c>
      <c r="G275" s="19">
        <f>_xlfn.XLOOKUP(Participantes[[#This Row],[Seminario al que asistió]],Seminarios[Seminario],Seminarios[Año])</f>
        <v>2024</v>
      </c>
    </row>
    <row r="276" spans="1:7" x14ac:dyDescent="0.25">
      <c r="A276" s="38" t="s">
        <v>526</v>
      </c>
      <c r="B276" s="35" t="s">
        <v>527</v>
      </c>
      <c r="C276" s="3" t="s">
        <v>218</v>
      </c>
      <c r="D276" s="3" t="s">
        <v>36</v>
      </c>
      <c r="E276" s="35" t="s">
        <v>5</v>
      </c>
      <c r="F276" s="8" t="s">
        <v>118</v>
      </c>
      <c r="G276" s="19">
        <f>_xlfn.XLOOKUP(Participantes[[#This Row],[Seminario al que asistió]],Seminarios[Seminario],Seminarios[Año])</f>
        <v>2024</v>
      </c>
    </row>
    <row r="277" spans="1:7" x14ac:dyDescent="0.25">
      <c r="A277" s="38" t="s">
        <v>528</v>
      </c>
      <c r="B277" s="35" t="s">
        <v>529</v>
      </c>
      <c r="C277" s="3" t="s">
        <v>221</v>
      </c>
      <c r="D277" s="3" t="s">
        <v>48</v>
      </c>
      <c r="E277" s="35" t="s">
        <v>5</v>
      </c>
      <c r="F277" s="8" t="s">
        <v>118</v>
      </c>
      <c r="G277" s="19">
        <f>_xlfn.XLOOKUP(Participantes[[#This Row],[Seminario al que asistió]],Seminarios[Seminario],Seminarios[Año])</f>
        <v>2024</v>
      </c>
    </row>
    <row r="278" spans="1:7" x14ac:dyDescent="0.25">
      <c r="A278" s="38" t="s">
        <v>530</v>
      </c>
      <c r="B278" s="44" t="s">
        <v>475</v>
      </c>
      <c r="C278" s="3" t="s">
        <v>218</v>
      </c>
      <c r="D278" s="3" t="s">
        <v>48</v>
      </c>
      <c r="E278" s="35" t="s">
        <v>1</v>
      </c>
      <c r="F278" s="8" t="s">
        <v>118</v>
      </c>
      <c r="G278" s="19">
        <f>_xlfn.XLOOKUP(Participantes[[#This Row],[Seminario al que asistió]],Seminarios[Seminario],Seminarios[Año])</f>
        <v>2024</v>
      </c>
    </row>
    <row r="279" spans="1:7" x14ac:dyDescent="0.25">
      <c r="A279" s="38" t="s">
        <v>227</v>
      </c>
      <c r="B279" s="35" t="s">
        <v>228</v>
      </c>
      <c r="C279" s="3" t="s">
        <v>218</v>
      </c>
      <c r="D279" s="3" t="s">
        <v>36</v>
      </c>
      <c r="E279" s="35" t="s">
        <v>1</v>
      </c>
      <c r="F279" s="8" t="s">
        <v>118</v>
      </c>
      <c r="G279" s="19">
        <f>_xlfn.XLOOKUP(Participantes[[#This Row],[Seminario al que asistió]],Seminarios[Seminario],Seminarios[Año])</f>
        <v>2024</v>
      </c>
    </row>
    <row r="280" spans="1:7" x14ac:dyDescent="0.25">
      <c r="A280" s="38" t="s">
        <v>225</v>
      </c>
      <c r="B280" s="35" t="s">
        <v>226</v>
      </c>
      <c r="C280" s="3" t="s">
        <v>218</v>
      </c>
      <c r="D280" s="3" t="s">
        <v>36</v>
      </c>
      <c r="E280" s="35" t="s">
        <v>5</v>
      </c>
      <c r="F280" s="8" t="s">
        <v>118</v>
      </c>
      <c r="G280" s="19">
        <f>_xlfn.XLOOKUP(Participantes[[#This Row],[Seminario al que asistió]],Seminarios[Seminario],Seminarios[Año])</f>
        <v>2024</v>
      </c>
    </row>
    <row r="281" spans="1:7" x14ac:dyDescent="0.25">
      <c r="A281" s="38" t="s">
        <v>531</v>
      </c>
      <c r="B281" s="44" t="s">
        <v>532</v>
      </c>
      <c r="C281" s="3" t="s">
        <v>221</v>
      </c>
      <c r="D281" s="3" t="s">
        <v>48</v>
      </c>
      <c r="E281" s="35" t="s">
        <v>5</v>
      </c>
      <c r="F281" s="8" t="s">
        <v>118</v>
      </c>
      <c r="G281" s="19">
        <f>_xlfn.XLOOKUP(Participantes[[#This Row],[Seminario al que asistió]],Seminarios[Seminario],Seminarios[Año])</f>
        <v>2024</v>
      </c>
    </row>
    <row r="282" spans="1:7" x14ac:dyDescent="0.25">
      <c r="A282" s="38" t="s">
        <v>533</v>
      </c>
      <c r="B282" s="13" t="s">
        <v>282</v>
      </c>
      <c r="C282" s="3" t="s">
        <v>221</v>
      </c>
      <c r="D282" s="3" t="s">
        <v>48</v>
      </c>
      <c r="E282" s="35" t="s">
        <v>5</v>
      </c>
      <c r="F282" s="8" t="s">
        <v>118</v>
      </c>
      <c r="G282" s="19">
        <f>_xlfn.XLOOKUP(Participantes[[#This Row],[Seminario al que asistió]],Seminarios[Seminario],Seminarios[Año])</f>
        <v>2024</v>
      </c>
    </row>
    <row r="283" spans="1:7" x14ac:dyDescent="0.25">
      <c r="A283" s="38" t="s">
        <v>534</v>
      </c>
      <c r="B283" s="13" t="s">
        <v>282</v>
      </c>
      <c r="C283" s="3" t="s">
        <v>221</v>
      </c>
      <c r="D283" s="3" t="s">
        <v>48</v>
      </c>
      <c r="E283" s="35" t="s">
        <v>5</v>
      </c>
      <c r="F283" s="8" t="s">
        <v>118</v>
      </c>
      <c r="G283" s="19">
        <f>_xlfn.XLOOKUP(Participantes[[#This Row],[Seminario al que asistió]],Seminarios[Seminario],Seminarios[Año])</f>
        <v>2024</v>
      </c>
    </row>
    <row r="284" spans="1:7" x14ac:dyDescent="0.25">
      <c r="A284" s="38" t="s">
        <v>535</v>
      </c>
      <c r="B284" s="13" t="s">
        <v>282</v>
      </c>
      <c r="C284" s="3" t="s">
        <v>221</v>
      </c>
      <c r="D284" s="3" t="s">
        <v>48</v>
      </c>
      <c r="E284" s="35" t="s">
        <v>5</v>
      </c>
      <c r="F284" s="8" t="s">
        <v>118</v>
      </c>
      <c r="G284" s="19">
        <f>_xlfn.XLOOKUP(Participantes[[#This Row],[Seminario al que asistió]],Seminarios[Seminario],Seminarios[Año])</f>
        <v>2024</v>
      </c>
    </row>
    <row r="285" spans="1:7" x14ac:dyDescent="0.25">
      <c r="A285" s="38" t="s">
        <v>536</v>
      </c>
      <c r="B285" s="13" t="s">
        <v>282</v>
      </c>
      <c r="C285" s="3" t="s">
        <v>218</v>
      </c>
      <c r="D285" s="3" t="s">
        <v>48</v>
      </c>
      <c r="E285" s="35" t="s">
        <v>5</v>
      </c>
      <c r="F285" s="8" t="s">
        <v>118</v>
      </c>
      <c r="G285" s="19">
        <f>_xlfn.XLOOKUP(Participantes[[#This Row],[Seminario al que asistió]],Seminarios[Seminario],Seminarios[Año])</f>
        <v>2024</v>
      </c>
    </row>
    <row r="286" spans="1:7" x14ac:dyDescent="0.25">
      <c r="A286" s="38" t="s">
        <v>537</v>
      </c>
      <c r="B286" s="13" t="s">
        <v>282</v>
      </c>
      <c r="C286" s="3" t="s">
        <v>218</v>
      </c>
      <c r="D286" s="3" t="s">
        <v>48</v>
      </c>
      <c r="E286" s="35" t="s">
        <v>5</v>
      </c>
      <c r="F286" s="8" t="s">
        <v>118</v>
      </c>
      <c r="G286" s="19">
        <f>_xlfn.XLOOKUP(Participantes[[#This Row],[Seminario al que asistió]],Seminarios[Seminario],Seminarios[Año])</f>
        <v>2024</v>
      </c>
    </row>
    <row r="287" spans="1:7" x14ac:dyDescent="0.25">
      <c r="A287" s="38" t="s">
        <v>538</v>
      </c>
      <c r="B287" s="13" t="s">
        <v>282</v>
      </c>
      <c r="C287" s="3" t="s">
        <v>221</v>
      </c>
      <c r="D287" s="3" t="s">
        <v>48</v>
      </c>
      <c r="E287" s="35" t="s">
        <v>5</v>
      </c>
      <c r="F287" s="8" t="s">
        <v>118</v>
      </c>
      <c r="G287" s="19">
        <f>_xlfn.XLOOKUP(Participantes[[#This Row],[Seminario al que asistió]],Seminarios[Seminario],Seminarios[Año])</f>
        <v>2024</v>
      </c>
    </row>
    <row r="288" spans="1:7" x14ac:dyDescent="0.25">
      <c r="A288" s="38" t="s">
        <v>539</v>
      </c>
      <c r="B288" s="13" t="s">
        <v>282</v>
      </c>
      <c r="C288" s="3" t="s">
        <v>218</v>
      </c>
      <c r="D288" s="3" t="s">
        <v>48</v>
      </c>
      <c r="E288" s="35" t="s">
        <v>5</v>
      </c>
      <c r="F288" s="8" t="s">
        <v>118</v>
      </c>
      <c r="G288" s="19">
        <f>_xlfn.XLOOKUP(Participantes[[#This Row],[Seminario al que asistió]],Seminarios[Seminario],Seminarios[Año])</f>
        <v>2024</v>
      </c>
    </row>
    <row r="289" spans="1:7" x14ac:dyDescent="0.25">
      <c r="A289" s="38" t="s">
        <v>540</v>
      </c>
      <c r="B289" s="13" t="s">
        <v>282</v>
      </c>
      <c r="C289" s="3" t="s">
        <v>218</v>
      </c>
      <c r="D289" s="3" t="s">
        <v>48</v>
      </c>
      <c r="E289" s="35" t="s">
        <v>5</v>
      </c>
      <c r="F289" s="8" t="s">
        <v>118</v>
      </c>
      <c r="G289" s="19">
        <f>_xlfn.XLOOKUP(Participantes[[#This Row],[Seminario al que asistió]],Seminarios[Seminario],Seminarios[Año])</f>
        <v>2024</v>
      </c>
    </row>
    <row r="290" spans="1:7" x14ac:dyDescent="0.25">
      <c r="A290" s="38" t="s">
        <v>541</v>
      </c>
      <c r="B290" s="13" t="s">
        <v>282</v>
      </c>
      <c r="C290" s="3" t="s">
        <v>218</v>
      </c>
      <c r="D290" s="3" t="s">
        <v>48</v>
      </c>
      <c r="E290" s="35" t="s">
        <v>5</v>
      </c>
      <c r="F290" s="8" t="s">
        <v>118</v>
      </c>
      <c r="G290" s="19">
        <f>_xlfn.XLOOKUP(Participantes[[#This Row],[Seminario al que asistió]],Seminarios[Seminario],Seminarios[Año])</f>
        <v>2024</v>
      </c>
    </row>
    <row r="291" spans="1:7" x14ac:dyDescent="0.25">
      <c r="A291" s="38" t="s">
        <v>542</v>
      </c>
      <c r="B291" s="13" t="s">
        <v>282</v>
      </c>
      <c r="C291" s="3" t="s">
        <v>221</v>
      </c>
      <c r="D291" s="3" t="s">
        <v>48</v>
      </c>
      <c r="E291" s="35" t="s">
        <v>5</v>
      </c>
      <c r="F291" s="8" t="s">
        <v>118</v>
      </c>
      <c r="G291" s="19">
        <f>_xlfn.XLOOKUP(Participantes[[#This Row],[Seminario al que asistió]],Seminarios[Seminario],Seminarios[Año])</f>
        <v>2024</v>
      </c>
    </row>
    <row r="292" spans="1:7" x14ac:dyDescent="0.25">
      <c r="A292" s="38" t="s">
        <v>543</v>
      </c>
      <c r="B292" s="13" t="s">
        <v>282</v>
      </c>
      <c r="C292" s="3" t="s">
        <v>218</v>
      </c>
      <c r="D292" s="3" t="s">
        <v>48</v>
      </c>
      <c r="E292" s="35" t="s">
        <v>5</v>
      </c>
      <c r="F292" s="8" t="s">
        <v>118</v>
      </c>
      <c r="G292" s="19">
        <f>_xlfn.XLOOKUP(Participantes[[#This Row],[Seminario al que asistió]],Seminarios[Seminario],Seminarios[Año])</f>
        <v>2024</v>
      </c>
    </row>
    <row r="293" spans="1:7" x14ac:dyDescent="0.25">
      <c r="A293" s="38" t="s">
        <v>544</v>
      </c>
      <c r="B293" s="13" t="s">
        <v>282</v>
      </c>
      <c r="C293" s="3" t="s">
        <v>218</v>
      </c>
      <c r="D293" s="3" t="s">
        <v>48</v>
      </c>
      <c r="E293" s="35" t="s">
        <v>5</v>
      </c>
      <c r="F293" s="8" t="s">
        <v>118</v>
      </c>
      <c r="G293" s="19">
        <f>_xlfn.XLOOKUP(Participantes[[#This Row],[Seminario al que asistió]],Seminarios[Seminario],Seminarios[Año])</f>
        <v>2024</v>
      </c>
    </row>
    <row r="294" spans="1:7" x14ac:dyDescent="0.25">
      <c r="A294" s="38" t="s">
        <v>545</v>
      </c>
      <c r="B294" s="13" t="s">
        <v>282</v>
      </c>
      <c r="C294" s="3" t="s">
        <v>218</v>
      </c>
      <c r="D294" s="3" t="s">
        <v>48</v>
      </c>
      <c r="E294" s="35" t="s">
        <v>5</v>
      </c>
      <c r="F294" s="8" t="s">
        <v>118</v>
      </c>
      <c r="G294" s="19">
        <f>_xlfn.XLOOKUP(Participantes[[#This Row],[Seminario al que asistió]],Seminarios[Seminario],Seminarios[Año])</f>
        <v>2024</v>
      </c>
    </row>
    <row r="295" spans="1:7" x14ac:dyDescent="0.25">
      <c r="A295" s="38" t="s">
        <v>546</v>
      </c>
      <c r="B295" s="13" t="s">
        <v>282</v>
      </c>
      <c r="C295" s="3" t="s">
        <v>218</v>
      </c>
      <c r="D295" s="3" t="s">
        <v>48</v>
      </c>
      <c r="E295" s="35" t="s">
        <v>5</v>
      </c>
      <c r="F295" s="8" t="s">
        <v>118</v>
      </c>
      <c r="G295" s="19">
        <f>_xlfn.XLOOKUP(Participantes[[#This Row],[Seminario al que asistió]],Seminarios[Seminario],Seminarios[Año])</f>
        <v>2024</v>
      </c>
    </row>
    <row r="296" spans="1:7" ht="15.75" thickBot="1" x14ac:dyDescent="0.3">
      <c r="A296" s="39" t="s">
        <v>547</v>
      </c>
      <c r="B296" s="49" t="s">
        <v>282</v>
      </c>
      <c r="C296" s="10" t="s">
        <v>221</v>
      </c>
      <c r="D296" s="10" t="s">
        <v>48</v>
      </c>
      <c r="E296" s="40" t="s">
        <v>5</v>
      </c>
      <c r="F296" s="11" t="s">
        <v>118</v>
      </c>
      <c r="G296" s="19">
        <f>_xlfn.XLOOKUP(Participantes[[#This Row],[Seminario al que asistió]],Seminarios[Seminario],Seminarios[Año])</f>
        <v>2024</v>
      </c>
    </row>
    <row r="297" spans="1:7" x14ac:dyDescent="0.25">
      <c r="A297" s="50" t="s">
        <v>293</v>
      </c>
      <c r="B297" s="53" t="s">
        <v>294</v>
      </c>
      <c r="C297" s="18" t="s">
        <v>218</v>
      </c>
      <c r="D297" s="5" t="s">
        <v>36</v>
      </c>
      <c r="E297" s="5" t="s">
        <v>5</v>
      </c>
      <c r="F297" s="6" t="s">
        <v>86</v>
      </c>
      <c r="G297" s="19">
        <f>_xlfn.XLOOKUP(Participantes[[#This Row],[Seminario al que asistió]],Seminarios[Seminario],Seminarios[Año])</f>
        <v>2024</v>
      </c>
    </row>
    <row r="298" spans="1:7" x14ac:dyDescent="0.25">
      <c r="A298" s="51" t="s">
        <v>548</v>
      </c>
      <c r="B298" s="54" t="s">
        <v>549</v>
      </c>
      <c r="C298" s="19" t="s">
        <v>218</v>
      </c>
      <c r="D298" s="3" t="s">
        <v>36</v>
      </c>
      <c r="E298" s="3" t="s">
        <v>5</v>
      </c>
      <c r="F298" s="8" t="s">
        <v>86</v>
      </c>
      <c r="G298" s="19">
        <f>_xlfn.XLOOKUP(Participantes[[#This Row],[Seminario al que asistió]],Seminarios[Seminario],Seminarios[Año])</f>
        <v>2024</v>
      </c>
    </row>
    <row r="299" spans="1:7" x14ac:dyDescent="0.25">
      <c r="A299" s="51" t="s">
        <v>550</v>
      </c>
      <c r="B299" s="54" t="s">
        <v>551</v>
      </c>
      <c r="C299" s="19" t="s">
        <v>221</v>
      </c>
      <c r="D299" s="3" t="s">
        <v>36</v>
      </c>
      <c r="E299" s="3" t="s">
        <v>5</v>
      </c>
      <c r="F299" s="8" t="s">
        <v>86</v>
      </c>
      <c r="G299" s="19">
        <f>_xlfn.XLOOKUP(Participantes[[#This Row],[Seminario al que asistió]],Seminarios[Seminario],Seminarios[Año])</f>
        <v>2024</v>
      </c>
    </row>
    <row r="300" spans="1:7" x14ac:dyDescent="0.25">
      <c r="A300" s="51" t="s">
        <v>333</v>
      </c>
      <c r="B300" s="54" t="s">
        <v>334</v>
      </c>
      <c r="C300" s="19" t="s">
        <v>218</v>
      </c>
      <c r="D300" s="3" t="s">
        <v>36</v>
      </c>
      <c r="E300" s="3" t="s">
        <v>5</v>
      </c>
      <c r="F300" s="8" t="s">
        <v>86</v>
      </c>
      <c r="G300" s="19">
        <f>_xlfn.XLOOKUP(Participantes[[#This Row],[Seminario al que asistió]],Seminarios[Seminario],Seminarios[Año])</f>
        <v>2024</v>
      </c>
    </row>
    <row r="301" spans="1:7" x14ac:dyDescent="0.25">
      <c r="A301" s="51" t="s">
        <v>552</v>
      </c>
      <c r="B301" s="54" t="s">
        <v>553</v>
      </c>
      <c r="C301" s="19" t="s">
        <v>218</v>
      </c>
      <c r="D301" s="3" t="s">
        <v>36</v>
      </c>
      <c r="E301" s="3" t="s">
        <v>5</v>
      </c>
      <c r="F301" s="8" t="s">
        <v>86</v>
      </c>
      <c r="G301" s="19">
        <f>_xlfn.XLOOKUP(Participantes[[#This Row],[Seminario al que asistió]],Seminarios[Seminario],Seminarios[Año])</f>
        <v>2024</v>
      </c>
    </row>
    <row r="302" spans="1:7" x14ac:dyDescent="0.25">
      <c r="A302" s="51" t="s">
        <v>554</v>
      </c>
      <c r="B302" s="54" t="s">
        <v>555</v>
      </c>
      <c r="C302" s="19" t="s">
        <v>221</v>
      </c>
      <c r="D302" s="3" t="s">
        <v>36</v>
      </c>
      <c r="E302" s="3" t="s">
        <v>5</v>
      </c>
      <c r="F302" s="8" t="s">
        <v>86</v>
      </c>
      <c r="G302" s="19">
        <f>_xlfn.XLOOKUP(Participantes[[#This Row],[Seminario al que asistió]],Seminarios[Seminario],Seminarios[Año])</f>
        <v>2024</v>
      </c>
    </row>
    <row r="303" spans="1:7" x14ac:dyDescent="0.25">
      <c r="A303" s="51" t="s">
        <v>319</v>
      </c>
      <c r="B303" s="54" t="s">
        <v>272</v>
      </c>
      <c r="C303" s="19" t="s">
        <v>221</v>
      </c>
      <c r="D303" s="3" t="s">
        <v>36</v>
      </c>
      <c r="E303" s="3" t="s">
        <v>5</v>
      </c>
      <c r="F303" s="8" t="s">
        <v>86</v>
      </c>
      <c r="G303" s="19">
        <f>_xlfn.XLOOKUP(Participantes[[#This Row],[Seminario al que asistió]],Seminarios[Seminario],Seminarios[Año])</f>
        <v>2024</v>
      </c>
    </row>
    <row r="304" spans="1:7" x14ac:dyDescent="0.25">
      <c r="A304" s="7" t="s">
        <v>831</v>
      </c>
      <c r="B304" s="3" t="s">
        <v>304</v>
      </c>
      <c r="C304" s="19" t="s">
        <v>221</v>
      </c>
      <c r="D304" s="3" t="s">
        <v>36</v>
      </c>
      <c r="E304" s="3" t="s">
        <v>5</v>
      </c>
      <c r="F304" s="8" t="s">
        <v>86</v>
      </c>
      <c r="G304" s="19">
        <f>_xlfn.XLOOKUP(Participantes[[#This Row],[Seminario al que asistió]],Seminarios[Seminario],Seminarios[Año])</f>
        <v>2024</v>
      </c>
    </row>
    <row r="305" spans="1:7" x14ac:dyDescent="0.25">
      <c r="A305" s="51" t="s">
        <v>310</v>
      </c>
      <c r="B305" s="54" t="s">
        <v>256</v>
      </c>
      <c r="C305" s="19" t="s">
        <v>218</v>
      </c>
      <c r="D305" s="3" t="s">
        <v>36</v>
      </c>
      <c r="E305" s="3" t="s">
        <v>5</v>
      </c>
      <c r="F305" s="8" t="s">
        <v>86</v>
      </c>
      <c r="G305" s="19">
        <f>_xlfn.XLOOKUP(Participantes[[#This Row],[Seminario al que asistió]],Seminarios[Seminario],Seminarios[Año])</f>
        <v>2024</v>
      </c>
    </row>
    <row r="306" spans="1:7" x14ac:dyDescent="0.25">
      <c r="A306" s="51" t="s">
        <v>556</v>
      </c>
      <c r="B306" s="54" t="s">
        <v>557</v>
      </c>
      <c r="C306" s="19" t="s">
        <v>218</v>
      </c>
      <c r="D306" s="3" t="s">
        <v>36</v>
      </c>
      <c r="E306" s="3" t="s">
        <v>5</v>
      </c>
      <c r="F306" s="8" t="s">
        <v>86</v>
      </c>
      <c r="G306" s="19">
        <f>_xlfn.XLOOKUP(Participantes[[#This Row],[Seminario al que asistió]],Seminarios[Seminario],Seminarios[Año])</f>
        <v>2024</v>
      </c>
    </row>
    <row r="307" spans="1:7" x14ac:dyDescent="0.25">
      <c r="A307" s="51" t="s">
        <v>225</v>
      </c>
      <c r="B307" s="54" t="s">
        <v>226</v>
      </c>
      <c r="C307" s="19" t="s">
        <v>218</v>
      </c>
      <c r="D307" s="3" t="s">
        <v>36</v>
      </c>
      <c r="E307" s="3" t="s">
        <v>5</v>
      </c>
      <c r="F307" s="8" t="s">
        <v>86</v>
      </c>
      <c r="G307" s="19">
        <f>_xlfn.XLOOKUP(Participantes[[#This Row],[Seminario al que asistió]],Seminarios[Seminario],Seminarios[Año])</f>
        <v>2024</v>
      </c>
    </row>
    <row r="308" spans="1:7" x14ac:dyDescent="0.25">
      <c r="A308" s="51" t="s">
        <v>291</v>
      </c>
      <c r="B308" s="54" t="s">
        <v>292</v>
      </c>
      <c r="C308" s="19" t="s">
        <v>221</v>
      </c>
      <c r="D308" s="3" t="s">
        <v>36</v>
      </c>
      <c r="E308" s="3" t="s">
        <v>5</v>
      </c>
      <c r="F308" s="8" t="s">
        <v>86</v>
      </c>
      <c r="G308" s="19">
        <f>_xlfn.XLOOKUP(Participantes[[#This Row],[Seminario al que asistió]],Seminarios[Seminario],Seminarios[Año])</f>
        <v>2024</v>
      </c>
    </row>
    <row r="309" spans="1:7" ht="15.75" thickBot="1" x14ac:dyDescent="0.3">
      <c r="A309" s="52" t="s">
        <v>558</v>
      </c>
      <c r="B309" s="55" t="s">
        <v>288</v>
      </c>
      <c r="C309" s="20" t="s">
        <v>218</v>
      </c>
      <c r="D309" s="10" t="s">
        <v>36</v>
      </c>
      <c r="E309" s="10" t="s">
        <v>5</v>
      </c>
      <c r="F309" s="11" t="s">
        <v>86</v>
      </c>
      <c r="G309" s="19">
        <f>_xlfn.XLOOKUP(Participantes[[#This Row],[Seminario al que asistió]],Seminarios[Seminario],Seminarios[Año])</f>
        <v>2024</v>
      </c>
    </row>
    <row r="310" spans="1:7" x14ac:dyDescent="0.25">
      <c r="A310" s="50" t="s">
        <v>293</v>
      </c>
      <c r="B310" s="53" t="s">
        <v>294</v>
      </c>
      <c r="C310" s="18" t="s">
        <v>218</v>
      </c>
      <c r="D310" s="5" t="s">
        <v>36</v>
      </c>
      <c r="E310" s="5" t="s">
        <v>1</v>
      </c>
      <c r="F310" s="6" t="s">
        <v>88</v>
      </c>
      <c r="G310" s="19">
        <f>_xlfn.XLOOKUP(Participantes[[#This Row],[Seminario al que asistió]],Seminarios[Seminario],Seminarios[Año])</f>
        <v>2024</v>
      </c>
    </row>
    <row r="311" spans="1:7" x14ac:dyDescent="0.25">
      <c r="A311" s="51" t="s">
        <v>319</v>
      </c>
      <c r="B311" s="54" t="s">
        <v>272</v>
      </c>
      <c r="C311" s="19" t="s">
        <v>221</v>
      </c>
      <c r="D311" s="3" t="s">
        <v>36</v>
      </c>
      <c r="E311" s="12" t="s">
        <v>1</v>
      </c>
      <c r="F311" s="8" t="s">
        <v>88</v>
      </c>
      <c r="G311" s="19">
        <f>_xlfn.XLOOKUP(Participantes[[#This Row],[Seminario al que asistió]],Seminarios[Seminario],Seminarios[Año])</f>
        <v>2024</v>
      </c>
    </row>
    <row r="312" spans="1:7" x14ac:dyDescent="0.25">
      <c r="A312" s="51" t="s">
        <v>253</v>
      </c>
      <c r="B312" s="54" t="s">
        <v>254</v>
      </c>
      <c r="C312" s="19" t="s">
        <v>218</v>
      </c>
      <c r="D312" s="3" t="s">
        <v>36</v>
      </c>
      <c r="E312" s="12" t="s">
        <v>1</v>
      </c>
      <c r="F312" s="8" t="s">
        <v>88</v>
      </c>
      <c r="G312" s="19">
        <f>_xlfn.XLOOKUP(Participantes[[#This Row],[Seminario al que asistió]],Seminarios[Seminario],Seminarios[Año])</f>
        <v>2024</v>
      </c>
    </row>
    <row r="313" spans="1:7" x14ac:dyDescent="0.25">
      <c r="A313" s="51" t="s">
        <v>227</v>
      </c>
      <c r="B313" s="54" t="s">
        <v>228</v>
      </c>
      <c r="C313" s="19" t="s">
        <v>218</v>
      </c>
      <c r="D313" s="3" t="s">
        <v>36</v>
      </c>
      <c r="E313" s="12" t="s">
        <v>1</v>
      </c>
      <c r="F313" s="8" t="s">
        <v>88</v>
      </c>
      <c r="G313" s="19">
        <f>_xlfn.XLOOKUP(Participantes[[#This Row],[Seminario al que asistió]],Seminarios[Seminario],Seminarios[Año])</f>
        <v>2024</v>
      </c>
    </row>
    <row r="314" spans="1:7" x14ac:dyDescent="0.25">
      <c r="A314" s="51" t="s">
        <v>274</v>
      </c>
      <c r="B314" s="54" t="s">
        <v>275</v>
      </c>
      <c r="C314" s="19" t="s">
        <v>218</v>
      </c>
      <c r="D314" s="3" t="s">
        <v>36</v>
      </c>
      <c r="E314" s="12" t="s">
        <v>1</v>
      </c>
      <c r="F314" s="8" t="s">
        <v>88</v>
      </c>
      <c r="G314" s="19">
        <f>_xlfn.XLOOKUP(Participantes[[#This Row],[Seminario al que asistió]],Seminarios[Seminario],Seminarios[Año])</f>
        <v>2024</v>
      </c>
    </row>
    <row r="315" spans="1:7" x14ac:dyDescent="0.25">
      <c r="A315" s="51" t="s">
        <v>559</v>
      </c>
      <c r="B315" s="54" t="s">
        <v>549</v>
      </c>
      <c r="C315" s="19" t="s">
        <v>218</v>
      </c>
      <c r="D315" s="3" t="s">
        <v>36</v>
      </c>
      <c r="E315" s="12" t="s">
        <v>1</v>
      </c>
      <c r="F315" s="8" t="s">
        <v>88</v>
      </c>
      <c r="G315" s="19">
        <f>_xlfn.XLOOKUP(Participantes[[#This Row],[Seminario al que asistió]],Seminarios[Seminario],Seminarios[Año])</f>
        <v>2024</v>
      </c>
    </row>
    <row r="316" spans="1:7" x14ac:dyDescent="0.25">
      <c r="A316" s="51" t="s">
        <v>556</v>
      </c>
      <c r="B316" s="54" t="s">
        <v>557</v>
      </c>
      <c r="C316" s="19" t="s">
        <v>218</v>
      </c>
      <c r="D316" s="3" t="s">
        <v>36</v>
      </c>
      <c r="E316" s="12" t="s">
        <v>1</v>
      </c>
      <c r="F316" s="8" t="s">
        <v>88</v>
      </c>
      <c r="G316" s="19">
        <f>_xlfn.XLOOKUP(Participantes[[#This Row],[Seminario al que asistió]],Seminarios[Seminario],Seminarios[Año])</f>
        <v>2024</v>
      </c>
    </row>
    <row r="317" spans="1:7" x14ac:dyDescent="0.25">
      <c r="A317" s="51" t="s">
        <v>550</v>
      </c>
      <c r="B317" s="54" t="s">
        <v>551</v>
      </c>
      <c r="C317" s="19" t="s">
        <v>221</v>
      </c>
      <c r="D317" s="3" t="s">
        <v>36</v>
      </c>
      <c r="E317" s="12" t="s">
        <v>1</v>
      </c>
      <c r="F317" s="8" t="s">
        <v>88</v>
      </c>
      <c r="G317" s="19">
        <f>_xlfn.XLOOKUP(Participantes[[#This Row],[Seminario al que asistió]],Seminarios[Seminario],Seminarios[Año])</f>
        <v>2024</v>
      </c>
    </row>
    <row r="318" spans="1:7" x14ac:dyDescent="0.25">
      <c r="A318" s="51" t="s">
        <v>335</v>
      </c>
      <c r="B318" s="54" t="s">
        <v>336</v>
      </c>
      <c r="C318" s="19" t="s">
        <v>221</v>
      </c>
      <c r="D318" s="3" t="s">
        <v>36</v>
      </c>
      <c r="E318" s="12" t="s">
        <v>1</v>
      </c>
      <c r="F318" s="8" t="s">
        <v>88</v>
      </c>
      <c r="G318" s="19">
        <f>_xlfn.XLOOKUP(Participantes[[#This Row],[Seminario al que asistió]],Seminarios[Seminario],Seminarios[Año])</f>
        <v>2024</v>
      </c>
    </row>
    <row r="319" spans="1:7" x14ac:dyDescent="0.25">
      <c r="A319" s="51" t="s">
        <v>291</v>
      </c>
      <c r="B319" s="54" t="s">
        <v>292</v>
      </c>
      <c r="C319" s="19" t="s">
        <v>221</v>
      </c>
      <c r="D319" s="3" t="s">
        <v>36</v>
      </c>
      <c r="E319" s="12" t="s">
        <v>1</v>
      </c>
      <c r="F319" s="8" t="s">
        <v>88</v>
      </c>
      <c r="G319" s="19">
        <f>_xlfn.XLOOKUP(Participantes[[#This Row],[Seminario al que asistió]],Seminarios[Seminario],Seminarios[Año])</f>
        <v>2024</v>
      </c>
    </row>
    <row r="320" spans="1:7" x14ac:dyDescent="0.25">
      <c r="A320" s="51" t="s">
        <v>560</v>
      </c>
      <c r="B320" s="54" t="s">
        <v>318</v>
      </c>
      <c r="C320" s="19" t="s">
        <v>218</v>
      </c>
      <c r="D320" s="3" t="s">
        <v>36</v>
      </c>
      <c r="E320" s="12" t="s">
        <v>1</v>
      </c>
      <c r="F320" s="8" t="s">
        <v>88</v>
      </c>
      <c r="G320" s="19">
        <f>_xlfn.XLOOKUP(Participantes[[#This Row],[Seminario al que asistió]],Seminarios[Seminario],Seminarios[Año])</f>
        <v>2024</v>
      </c>
    </row>
    <row r="321" spans="1:7" ht="15.75" thickBot="1" x14ac:dyDescent="0.3">
      <c r="A321" s="52" t="s">
        <v>558</v>
      </c>
      <c r="B321" s="55" t="s">
        <v>288</v>
      </c>
      <c r="C321" s="20" t="s">
        <v>218</v>
      </c>
      <c r="D321" s="10" t="s">
        <v>36</v>
      </c>
      <c r="E321" s="60" t="s">
        <v>1</v>
      </c>
      <c r="F321" s="11" t="s">
        <v>88</v>
      </c>
      <c r="G321" s="19">
        <f>_xlfn.XLOOKUP(Participantes[[#This Row],[Seminario al que asistió]],Seminarios[Seminario],Seminarios[Año])</f>
        <v>2024</v>
      </c>
    </row>
    <row r="322" spans="1:7" ht="15.75" x14ac:dyDescent="0.25">
      <c r="A322" s="124" t="s">
        <v>167</v>
      </c>
      <c r="B322" s="58" t="s">
        <v>284</v>
      </c>
      <c r="C322" s="12" t="s">
        <v>218</v>
      </c>
      <c r="D322" s="12" t="s">
        <v>36</v>
      </c>
      <c r="E322" s="56" t="s">
        <v>1</v>
      </c>
      <c r="F322" s="47" t="s">
        <v>81</v>
      </c>
      <c r="G322" s="19">
        <f>_xlfn.XLOOKUP(Participantes[[#This Row],[Seminario al que asistió]],Seminarios[Seminario],Seminarios[Año])</f>
        <v>2024</v>
      </c>
    </row>
    <row r="323" spans="1:7" ht="15.75" x14ac:dyDescent="0.25">
      <c r="A323" s="125" t="s">
        <v>165</v>
      </c>
      <c r="B323" s="126" t="s">
        <v>339</v>
      </c>
      <c r="C323" s="3" t="s">
        <v>218</v>
      </c>
      <c r="D323" s="3" t="s">
        <v>36</v>
      </c>
      <c r="E323" s="57" t="s">
        <v>1</v>
      </c>
      <c r="F323" s="8" t="s">
        <v>81</v>
      </c>
      <c r="G323" s="19">
        <f>_xlfn.XLOOKUP(Participantes[[#This Row],[Seminario al que asistió]],Seminarios[Seminario],Seminarios[Año])</f>
        <v>2024</v>
      </c>
    </row>
    <row r="324" spans="1:7" ht="15.75" x14ac:dyDescent="0.25">
      <c r="A324" s="127" t="s">
        <v>166</v>
      </c>
      <c r="B324" s="59" t="s">
        <v>561</v>
      </c>
      <c r="C324" s="13" t="s">
        <v>218</v>
      </c>
      <c r="D324" s="3" t="s">
        <v>36</v>
      </c>
      <c r="E324" s="57" t="s">
        <v>1</v>
      </c>
      <c r="F324" s="8" t="s">
        <v>81</v>
      </c>
      <c r="G324" s="19">
        <f>_xlfn.XLOOKUP(Participantes[[#This Row],[Seminario al que asistió]],Seminarios[Seminario],Seminarios[Año])</f>
        <v>2024</v>
      </c>
    </row>
    <row r="325" spans="1:7" ht="15.75" x14ac:dyDescent="0.25">
      <c r="A325" s="77" t="s">
        <v>562</v>
      </c>
      <c r="B325" s="59" t="s">
        <v>563</v>
      </c>
      <c r="C325" s="13" t="s">
        <v>218</v>
      </c>
      <c r="D325" s="3" t="s">
        <v>48</v>
      </c>
      <c r="E325" s="57" t="s">
        <v>1</v>
      </c>
      <c r="F325" s="8" t="s">
        <v>81</v>
      </c>
      <c r="G325" s="19">
        <f>_xlfn.XLOOKUP(Participantes[[#This Row],[Seminario al que asistió]],Seminarios[Seminario],Seminarios[Año])</f>
        <v>2024</v>
      </c>
    </row>
    <row r="326" spans="1:7" ht="15.75" x14ac:dyDescent="0.25">
      <c r="A326" s="7" t="s">
        <v>564</v>
      </c>
      <c r="B326" s="126" t="s">
        <v>318</v>
      </c>
      <c r="C326" s="3" t="s">
        <v>218</v>
      </c>
      <c r="D326" s="3" t="s">
        <v>233</v>
      </c>
      <c r="E326" s="57" t="s">
        <v>1</v>
      </c>
      <c r="F326" s="8" t="s">
        <v>81</v>
      </c>
      <c r="G326" s="19">
        <f>_xlfn.XLOOKUP(Participantes[[#This Row],[Seminario al que asistió]],Seminarios[Seminario],Seminarios[Año])</f>
        <v>2024</v>
      </c>
    </row>
    <row r="327" spans="1:7" ht="15.75" x14ac:dyDescent="0.25">
      <c r="A327" s="77" t="s">
        <v>565</v>
      </c>
      <c r="B327" s="59" t="s">
        <v>475</v>
      </c>
      <c r="C327" s="13" t="s">
        <v>218</v>
      </c>
      <c r="D327" s="3" t="s">
        <v>48</v>
      </c>
      <c r="E327" s="57" t="s">
        <v>1</v>
      </c>
      <c r="F327" s="8" t="s">
        <v>81</v>
      </c>
      <c r="G327" s="19">
        <f>_xlfn.XLOOKUP(Participantes[[#This Row],[Seminario al que asistió]],Seminarios[Seminario],Seminarios[Año])</f>
        <v>2024</v>
      </c>
    </row>
    <row r="328" spans="1:7" ht="15.75" x14ac:dyDescent="0.25">
      <c r="A328" s="77" t="s">
        <v>566</v>
      </c>
      <c r="B328" s="126" t="s">
        <v>567</v>
      </c>
      <c r="C328" s="13" t="s">
        <v>218</v>
      </c>
      <c r="D328" s="3" t="s">
        <v>36</v>
      </c>
      <c r="E328" s="57" t="s">
        <v>1</v>
      </c>
      <c r="F328" s="8" t="s">
        <v>81</v>
      </c>
      <c r="G328" s="19">
        <f>_xlfn.XLOOKUP(Participantes[[#This Row],[Seminario al que asistió]],Seminarios[Seminario],Seminarios[Año])</f>
        <v>2024</v>
      </c>
    </row>
    <row r="329" spans="1:7" ht="15.75" x14ac:dyDescent="0.25">
      <c r="A329" s="7" t="s">
        <v>568</v>
      </c>
      <c r="B329" s="33" t="s">
        <v>569</v>
      </c>
      <c r="C329" s="3" t="s">
        <v>221</v>
      </c>
      <c r="D329" s="3" t="s">
        <v>36</v>
      </c>
      <c r="E329" s="57" t="s">
        <v>1</v>
      </c>
      <c r="F329" s="8" t="s">
        <v>81</v>
      </c>
      <c r="G329" s="19">
        <f>_xlfn.XLOOKUP(Participantes[[#This Row],[Seminario al que asistió]],Seminarios[Seminario],Seminarios[Año])</f>
        <v>2024</v>
      </c>
    </row>
    <row r="330" spans="1:7" ht="15.75" x14ac:dyDescent="0.25">
      <c r="A330" s="7" t="s">
        <v>570</v>
      </c>
      <c r="B330" s="126" t="s">
        <v>571</v>
      </c>
      <c r="C330" s="3" t="s">
        <v>218</v>
      </c>
      <c r="D330" s="3" t="s">
        <v>36</v>
      </c>
      <c r="E330" s="57" t="s">
        <v>1</v>
      </c>
      <c r="F330" s="8" t="s">
        <v>81</v>
      </c>
      <c r="G330" s="19">
        <f>_xlfn.XLOOKUP(Participantes[[#This Row],[Seminario al que asistió]],Seminarios[Seminario],Seminarios[Año])</f>
        <v>2024</v>
      </c>
    </row>
    <row r="331" spans="1:7" ht="15.75" x14ac:dyDescent="0.25">
      <c r="A331" s="7" t="s">
        <v>572</v>
      </c>
      <c r="B331" s="59" t="s">
        <v>573</v>
      </c>
      <c r="C331" s="3" t="s">
        <v>218</v>
      </c>
      <c r="D331" s="3" t="s">
        <v>233</v>
      </c>
      <c r="E331" s="57" t="s">
        <v>1</v>
      </c>
      <c r="F331" s="8" t="s">
        <v>81</v>
      </c>
      <c r="G331" s="19">
        <f>_xlfn.XLOOKUP(Participantes[[#This Row],[Seminario al que asistió]],Seminarios[Seminario],Seminarios[Año])</f>
        <v>2024</v>
      </c>
    </row>
    <row r="332" spans="1:7" ht="15.75" x14ac:dyDescent="0.25">
      <c r="A332" s="7" t="s">
        <v>574</v>
      </c>
      <c r="B332" s="59" t="s">
        <v>575</v>
      </c>
      <c r="C332" s="3" t="s">
        <v>218</v>
      </c>
      <c r="D332" s="3" t="s">
        <v>36</v>
      </c>
      <c r="E332" s="57" t="s">
        <v>1</v>
      </c>
      <c r="F332" s="8" t="s">
        <v>81</v>
      </c>
      <c r="G332" s="19">
        <f>_xlfn.XLOOKUP(Participantes[[#This Row],[Seminario al que asistió]],Seminarios[Seminario],Seminarios[Año])</f>
        <v>2024</v>
      </c>
    </row>
    <row r="333" spans="1:7" ht="15.75" x14ac:dyDescent="0.25">
      <c r="A333" s="7" t="s">
        <v>576</v>
      </c>
      <c r="B333" s="59" t="s">
        <v>577</v>
      </c>
      <c r="C333" s="3" t="s">
        <v>221</v>
      </c>
      <c r="D333" s="3" t="s">
        <v>36</v>
      </c>
      <c r="E333" s="57" t="s">
        <v>1</v>
      </c>
      <c r="F333" s="8" t="s">
        <v>81</v>
      </c>
      <c r="G333" s="19">
        <f>_xlfn.XLOOKUP(Participantes[[#This Row],[Seminario al que asistió]],Seminarios[Seminario],Seminarios[Año])</f>
        <v>2024</v>
      </c>
    </row>
    <row r="334" spans="1:7" ht="15.75" x14ac:dyDescent="0.25">
      <c r="A334" s="7" t="s">
        <v>578</v>
      </c>
      <c r="B334" s="59"/>
      <c r="C334" s="3" t="s">
        <v>218</v>
      </c>
      <c r="D334" s="3" t="s">
        <v>48</v>
      </c>
      <c r="E334" s="57" t="s">
        <v>1</v>
      </c>
      <c r="F334" s="8" t="s">
        <v>81</v>
      </c>
      <c r="G334" s="19">
        <f>_xlfn.XLOOKUP(Participantes[[#This Row],[Seminario al que asistió]],Seminarios[Seminario],Seminarios[Año])</f>
        <v>2024</v>
      </c>
    </row>
    <row r="335" spans="1:7" ht="15.75" x14ac:dyDescent="0.25">
      <c r="A335" s="7" t="s">
        <v>579</v>
      </c>
      <c r="B335" s="59" t="s">
        <v>580</v>
      </c>
      <c r="C335" s="3" t="s">
        <v>218</v>
      </c>
      <c r="D335" s="3" t="s">
        <v>48</v>
      </c>
      <c r="E335" s="57" t="s">
        <v>1</v>
      </c>
      <c r="F335" s="8" t="s">
        <v>81</v>
      </c>
      <c r="G335" s="19">
        <f>_xlfn.XLOOKUP(Participantes[[#This Row],[Seminario al que asistió]],Seminarios[Seminario],Seminarios[Año])</f>
        <v>2024</v>
      </c>
    </row>
    <row r="336" spans="1:7" x14ac:dyDescent="0.25">
      <c r="A336" s="7" t="s">
        <v>164</v>
      </c>
      <c r="B336" s="59"/>
      <c r="C336" s="3" t="s">
        <v>218</v>
      </c>
      <c r="D336" s="3" t="s">
        <v>48</v>
      </c>
      <c r="E336" s="3" t="s">
        <v>5</v>
      </c>
      <c r="F336" s="8" t="s">
        <v>81</v>
      </c>
      <c r="G336" s="19">
        <f>_xlfn.XLOOKUP(Participantes[[#This Row],[Seminario al que asistió]],Seminarios[Seminario],Seminarios[Año])</f>
        <v>2024</v>
      </c>
    </row>
    <row r="337" spans="1:7" x14ac:dyDescent="0.25">
      <c r="A337" s="7" t="s">
        <v>581</v>
      </c>
      <c r="B337" s="59"/>
      <c r="C337" s="3" t="s">
        <v>218</v>
      </c>
      <c r="D337" s="3" t="s">
        <v>48</v>
      </c>
      <c r="E337" s="3" t="s">
        <v>5</v>
      </c>
      <c r="F337" s="8" t="s">
        <v>81</v>
      </c>
      <c r="G337" s="19">
        <f>_xlfn.XLOOKUP(Participantes[[#This Row],[Seminario al que asistió]],Seminarios[Seminario],Seminarios[Año])</f>
        <v>2024</v>
      </c>
    </row>
    <row r="338" spans="1:7" x14ac:dyDescent="0.25">
      <c r="A338" s="7" t="s">
        <v>582</v>
      </c>
      <c r="B338" s="59" t="s">
        <v>583</v>
      </c>
      <c r="C338" s="3" t="s">
        <v>218</v>
      </c>
      <c r="D338" s="3" t="s">
        <v>36</v>
      </c>
      <c r="E338" s="3" t="s">
        <v>5</v>
      </c>
      <c r="F338" s="8" t="s">
        <v>81</v>
      </c>
      <c r="G338" s="19">
        <f>_xlfn.XLOOKUP(Participantes[[#This Row],[Seminario al que asistió]],Seminarios[Seminario],Seminarios[Año])</f>
        <v>2024</v>
      </c>
    </row>
    <row r="339" spans="1:7" x14ac:dyDescent="0.25">
      <c r="A339" s="7" t="s">
        <v>584</v>
      </c>
      <c r="B339" s="59" t="s">
        <v>585</v>
      </c>
      <c r="C339" s="3" t="s">
        <v>218</v>
      </c>
      <c r="D339" s="3" t="s">
        <v>36</v>
      </c>
      <c r="E339" s="3" t="s">
        <v>5</v>
      </c>
      <c r="F339" s="8" t="s">
        <v>81</v>
      </c>
      <c r="G339" s="19">
        <f>_xlfn.XLOOKUP(Participantes[[#This Row],[Seminario al que asistió]],Seminarios[Seminario],Seminarios[Año])</f>
        <v>2024</v>
      </c>
    </row>
    <row r="340" spans="1:7" x14ac:dyDescent="0.25">
      <c r="A340" s="7" t="s">
        <v>586</v>
      </c>
      <c r="B340" s="59" t="s">
        <v>587</v>
      </c>
      <c r="C340" s="3" t="s">
        <v>221</v>
      </c>
      <c r="D340" s="3" t="s">
        <v>48</v>
      </c>
      <c r="E340" s="3" t="s">
        <v>5</v>
      </c>
      <c r="F340" s="8" t="s">
        <v>81</v>
      </c>
      <c r="G340" s="19">
        <f>_xlfn.XLOOKUP(Participantes[[#This Row],[Seminario al que asistió]],Seminarios[Seminario],Seminarios[Año])</f>
        <v>2024</v>
      </c>
    </row>
    <row r="341" spans="1:7" x14ac:dyDescent="0.25">
      <c r="A341" s="7" t="s">
        <v>588</v>
      </c>
      <c r="B341" s="59" t="s">
        <v>589</v>
      </c>
      <c r="C341" s="3" t="s">
        <v>221</v>
      </c>
      <c r="D341" s="3" t="s">
        <v>48</v>
      </c>
      <c r="E341" s="3" t="s">
        <v>5</v>
      </c>
      <c r="F341" s="8" t="s">
        <v>81</v>
      </c>
      <c r="G341" s="19">
        <f>_xlfn.XLOOKUP(Participantes[[#This Row],[Seminario al que asistió]],Seminarios[Seminario],Seminarios[Año])</f>
        <v>2024</v>
      </c>
    </row>
    <row r="342" spans="1:7" x14ac:dyDescent="0.25">
      <c r="A342" s="7" t="s">
        <v>590</v>
      </c>
      <c r="B342" s="59" t="s">
        <v>591</v>
      </c>
      <c r="C342" s="3" t="s">
        <v>218</v>
      </c>
      <c r="D342" s="3" t="s">
        <v>48</v>
      </c>
      <c r="E342" s="3" t="s">
        <v>5</v>
      </c>
      <c r="F342" s="8" t="s">
        <v>81</v>
      </c>
      <c r="G342" s="19">
        <f>_xlfn.XLOOKUP(Participantes[[#This Row],[Seminario al que asistió]],Seminarios[Seminario],Seminarios[Año])</f>
        <v>2024</v>
      </c>
    </row>
    <row r="343" spans="1:7" x14ac:dyDescent="0.25">
      <c r="A343" s="7" t="s">
        <v>592</v>
      </c>
      <c r="B343" s="59" t="s">
        <v>413</v>
      </c>
      <c r="C343" s="3" t="s">
        <v>218</v>
      </c>
      <c r="D343" s="3" t="s">
        <v>48</v>
      </c>
      <c r="E343" s="3" t="s">
        <v>5</v>
      </c>
      <c r="F343" s="8" t="s">
        <v>81</v>
      </c>
      <c r="G343" s="19">
        <f>_xlfn.XLOOKUP(Participantes[[#This Row],[Seminario al que asistió]],Seminarios[Seminario],Seminarios[Año])</f>
        <v>2024</v>
      </c>
    </row>
    <row r="344" spans="1:7" x14ac:dyDescent="0.25">
      <c r="A344" s="7" t="s">
        <v>593</v>
      </c>
      <c r="B344" s="3" t="s">
        <v>594</v>
      </c>
      <c r="C344" s="3" t="s">
        <v>221</v>
      </c>
      <c r="D344" s="3" t="s">
        <v>48</v>
      </c>
      <c r="E344" s="3" t="s">
        <v>5</v>
      </c>
      <c r="F344" s="8" t="s">
        <v>81</v>
      </c>
      <c r="G344" s="19">
        <f>_xlfn.XLOOKUP(Participantes[[#This Row],[Seminario al que asistió]],Seminarios[Seminario],Seminarios[Año])</f>
        <v>2024</v>
      </c>
    </row>
    <row r="345" spans="1:7" x14ac:dyDescent="0.25">
      <c r="A345" s="7" t="s">
        <v>595</v>
      </c>
      <c r="B345" t="s">
        <v>596</v>
      </c>
      <c r="C345" s="3" t="s">
        <v>221</v>
      </c>
      <c r="D345" s="3" t="s">
        <v>36</v>
      </c>
      <c r="E345" s="3" t="s">
        <v>5</v>
      </c>
      <c r="F345" s="8" t="s">
        <v>81</v>
      </c>
      <c r="G345" s="19">
        <f>_xlfn.XLOOKUP(Participantes[[#This Row],[Seminario al que asistió]],Seminarios[Seminario],Seminarios[Año])</f>
        <v>2024</v>
      </c>
    </row>
    <row r="346" spans="1:7" x14ac:dyDescent="0.25">
      <c r="A346" s="7" t="s">
        <v>597</v>
      </c>
      <c r="B346" s="59" t="s">
        <v>598</v>
      </c>
      <c r="C346" s="3" t="s">
        <v>218</v>
      </c>
      <c r="D346" s="3" t="s">
        <v>48</v>
      </c>
      <c r="E346" s="3" t="s">
        <v>5</v>
      </c>
      <c r="F346" s="8" t="s">
        <v>81</v>
      </c>
      <c r="G346" s="19">
        <f>_xlfn.XLOOKUP(Participantes[[#This Row],[Seminario al que asistió]],Seminarios[Seminario],Seminarios[Año])</f>
        <v>2024</v>
      </c>
    </row>
    <row r="347" spans="1:7" x14ac:dyDescent="0.25">
      <c r="A347" s="7" t="s">
        <v>599</v>
      </c>
      <c r="B347" s="59"/>
      <c r="C347" s="3" t="s">
        <v>218</v>
      </c>
      <c r="D347" s="3" t="s">
        <v>48</v>
      </c>
      <c r="E347" s="3" t="s">
        <v>5</v>
      </c>
      <c r="F347" s="8" t="s">
        <v>81</v>
      </c>
      <c r="G347" s="19">
        <f>_xlfn.XLOOKUP(Participantes[[#This Row],[Seminario al que asistió]],Seminarios[Seminario],Seminarios[Año])</f>
        <v>2024</v>
      </c>
    </row>
    <row r="348" spans="1:7" x14ac:dyDescent="0.25">
      <c r="A348" s="7" t="s">
        <v>600</v>
      </c>
      <c r="B348" s="59" t="s">
        <v>601</v>
      </c>
      <c r="C348" s="3" t="s">
        <v>221</v>
      </c>
      <c r="D348" s="3" t="s">
        <v>48</v>
      </c>
      <c r="E348" s="3" t="s">
        <v>5</v>
      </c>
      <c r="F348" s="8" t="s">
        <v>81</v>
      </c>
      <c r="G348" s="19">
        <f>_xlfn.XLOOKUP(Participantes[[#This Row],[Seminario al que asistió]],Seminarios[Seminario],Seminarios[Año])</f>
        <v>2024</v>
      </c>
    </row>
    <row r="349" spans="1:7" x14ac:dyDescent="0.25">
      <c r="A349" s="7" t="s">
        <v>602</v>
      </c>
      <c r="B349" s="59"/>
      <c r="C349" s="3" t="s">
        <v>221</v>
      </c>
      <c r="D349" s="3" t="s">
        <v>48</v>
      </c>
      <c r="E349" s="3" t="s">
        <v>5</v>
      </c>
      <c r="F349" s="8" t="s">
        <v>81</v>
      </c>
      <c r="G349" s="19">
        <f>_xlfn.XLOOKUP(Participantes[[#This Row],[Seminario al que asistió]],Seminarios[Seminario],Seminarios[Año])</f>
        <v>2024</v>
      </c>
    </row>
    <row r="350" spans="1:7" x14ac:dyDescent="0.25">
      <c r="A350" s="7" t="s">
        <v>234</v>
      </c>
      <c r="B350" s="126" t="s">
        <v>235</v>
      </c>
      <c r="C350" s="3" t="s">
        <v>218</v>
      </c>
      <c r="D350" s="3" t="s">
        <v>36</v>
      </c>
      <c r="E350" s="3" t="s">
        <v>5</v>
      </c>
      <c r="F350" s="8" t="s">
        <v>81</v>
      </c>
      <c r="G350" s="19">
        <f>_xlfn.XLOOKUP(Participantes[[#This Row],[Seminario al que asistió]],Seminarios[Seminario],Seminarios[Año])</f>
        <v>2024</v>
      </c>
    </row>
    <row r="351" spans="1:7" x14ac:dyDescent="0.25">
      <c r="A351" s="7" t="s">
        <v>603</v>
      </c>
      <c r="B351" s="59" t="s">
        <v>604</v>
      </c>
      <c r="C351" s="3" t="s">
        <v>221</v>
      </c>
      <c r="D351" s="3" t="s">
        <v>233</v>
      </c>
      <c r="E351" s="3" t="s">
        <v>5</v>
      </c>
      <c r="F351" s="8" t="s">
        <v>81</v>
      </c>
      <c r="G351" s="19">
        <f>_xlfn.XLOOKUP(Participantes[[#This Row],[Seminario al que asistió]],Seminarios[Seminario],Seminarios[Año])</f>
        <v>2024</v>
      </c>
    </row>
    <row r="352" spans="1:7" x14ac:dyDescent="0.25">
      <c r="A352" s="7" t="s">
        <v>605</v>
      </c>
      <c r="B352" s="59" t="s">
        <v>606</v>
      </c>
      <c r="C352" s="3" t="s">
        <v>221</v>
      </c>
      <c r="D352" s="3" t="s">
        <v>233</v>
      </c>
      <c r="E352" s="3" t="s">
        <v>5</v>
      </c>
      <c r="F352" s="8" t="s">
        <v>81</v>
      </c>
      <c r="G352" s="19">
        <f>_xlfn.XLOOKUP(Participantes[[#This Row],[Seminario al que asistió]],Seminarios[Seminario],Seminarios[Año])</f>
        <v>2024</v>
      </c>
    </row>
    <row r="353" spans="1:7" x14ac:dyDescent="0.25">
      <c r="A353" s="7" t="s">
        <v>607</v>
      </c>
      <c r="B353" s="59" t="s">
        <v>608</v>
      </c>
      <c r="C353" s="3" t="s">
        <v>221</v>
      </c>
      <c r="D353" s="3" t="s">
        <v>48</v>
      </c>
      <c r="E353" s="3" t="s">
        <v>5</v>
      </c>
      <c r="F353" s="8" t="s">
        <v>81</v>
      </c>
      <c r="G353" s="19">
        <f>_xlfn.XLOOKUP(Participantes[[#This Row],[Seminario al que asistió]],Seminarios[Seminario],Seminarios[Año])</f>
        <v>2024</v>
      </c>
    </row>
    <row r="354" spans="1:7" x14ac:dyDescent="0.25">
      <c r="A354" s="7" t="s">
        <v>609</v>
      </c>
      <c r="B354" s="59" t="s">
        <v>610</v>
      </c>
      <c r="C354" s="3" t="s">
        <v>218</v>
      </c>
      <c r="D354" s="3" t="s">
        <v>43</v>
      </c>
      <c r="E354" s="3" t="s">
        <v>5</v>
      </c>
      <c r="F354" s="8" t="s">
        <v>81</v>
      </c>
      <c r="G354" s="19">
        <f>_xlfn.XLOOKUP(Participantes[[#This Row],[Seminario al que asistió]],Seminarios[Seminario],Seminarios[Año])</f>
        <v>2024</v>
      </c>
    </row>
    <row r="355" spans="1:7" x14ac:dyDescent="0.25">
      <c r="A355" s="7" t="s">
        <v>611</v>
      </c>
      <c r="B355" s="59" t="s">
        <v>612</v>
      </c>
      <c r="C355" s="3" t="s">
        <v>218</v>
      </c>
      <c r="D355" s="3" t="s">
        <v>48</v>
      </c>
      <c r="E355" s="3" t="s">
        <v>5</v>
      </c>
      <c r="F355" s="8" t="s">
        <v>81</v>
      </c>
      <c r="G355" s="19">
        <f>_xlfn.XLOOKUP(Participantes[[#This Row],[Seminario al que asistió]],Seminarios[Seminario],Seminarios[Año])</f>
        <v>2024</v>
      </c>
    </row>
    <row r="356" spans="1:7" x14ac:dyDescent="0.25">
      <c r="A356" s="7" t="s">
        <v>613</v>
      </c>
      <c r="B356" s="59"/>
      <c r="C356" s="3" t="s">
        <v>221</v>
      </c>
      <c r="D356" s="3" t="s">
        <v>48</v>
      </c>
      <c r="E356" s="3" t="s">
        <v>5</v>
      </c>
      <c r="F356" s="8" t="s">
        <v>81</v>
      </c>
      <c r="G356" s="19">
        <f>_xlfn.XLOOKUP(Participantes[[#This Row],[Seminario al que asistió]],Seminarios[Seminario],Seminarios[Año])</f>
        <v>2024</v>
      </c>
    </row>
    <row r="357" spans="1:7" x14ac:dyDescent="0.25">
      <c r="A357" s="7" t="s">
        <v>614</v>
      </c>
      <c r="B357" s="59"/>
      <c r="C357" s="3" t="s">
        <v>221</v>
      </c>
      <c r="D357" s="3" t="s">
        <v>48</v>
      </c>
      <c r="E357" s="3" t="s">
        <v>5</v>
      </c>
      <c r="F357" s="8" t="s">
        <v>81</v>
      </c>
      <c r="G357" s="19">
        <f>_xlfn.XLOOKUP(Participantes[[#This Row],[Seminario al que asistió]],Seminarios[Seminario],Seminarios[Año])</f>
        <v>2024</v>
      </c>
    </row>
    <row r="358" spans="1:7" x14ac:dyDescent="0.25">
      <c r="A358" s="7" t="s">
        <v>615</v>
      </c>
      <c r="B358" s="59"/>
      <c r="C358" s="3" t="s">
        <v>221</v>
      </c>
      <c r="D358" s="3" t="s">
        <v>48</v>
      </c>
      <c r="E358" s="3" t="s">
        <v>5</v>
      </c>
      <c r="F358" s="8" t="s">
        <v>81</v>
      </c>
      <c r="G358" s="19">
        <f>_xlfn.XLOOKUP(Participantes[[#This Row],[Seminario al que asistió]],Seminarios[Seminario],Seminarios[Año])</f>
        <v>2024</v>
      </c>
    </row>
    <row r="359" spans="1:7" x14ac:dyDescent="0.25">
      <c r="A359" s="7" t="s">
        <v>616</v>
      </c>
      <c r="B359" s="126" t="s">
        <v>617</v>
      </c>
      <c r="C359" s="3" t="s">
        <v>221</v>
      </c>
      <c r="D359" s="3" t="s">
        <v>36</v>
      </c>
      <c r="E359" s="3" t="s">
        <v>5</v>
      </c>
      <c r="F359" s="8" t="s">
        <v>81</v>
      </c>
      <c r="G359" s="19">
        <f>_xlfn.XLOOKUP(Participantes[[#This Row],[Seminario al que asistió]],Seminarios[Seminario],Seminarios[Año])</f>
        <v>2024</v>
      </c>
    </row>
    <row r="360" spans="1:7" x14ac:dyDescent="0.25">
      <c r="A360" s="7" t="s">
        <v>618</v>
      </c>
      <c r="B360" s="59" t="s">
        <v>619</v>
      </c>
      <c r="C360" s="3" t="s">
        <v>218</v>
      </c>
      <c r="D360" s="3" t="s">
        <v>36</v>
      </c>
      <c r="E360" s="3" t="s">
        <v>5</v>
      </c>
      <c r="F360" s="8" t="s">
        <v>81</v>
      </c>
      <c r="G360" s="19">
        <f>_xlfn.XLOOKUP(Participantes[[#This Row],[Seminario al que asistió]],Seminarios[Seminario],Seminarios[Año])</f>
        <v>2024</v>
      </c>
    </row>
    <row r="361" spans="1:7" x14ac:dyDescent="0.25">
      <c r="A361" s="7" t="s">
        <v>620</v>
      </c>
      <c r="B361" s="59" t="s">
        <v>621</v>
      </c>
      <c r="C361" s="3" t="s">
        <v>218</v>
      </c>
      <c r="D361" s="3" t="s">
        <v>48</v>
      </c>
      <c r="E361" s="3" t="s">
        <v>5</v>
      </c>
      <c r="F361" s="8" t="s">
        <v>81</v>
      </c>
      <c r="G361" s="19">
        <f>_xlfn.XLOOKUP(Participantes[[#This Row],[Seminario al que asistió]],Seminarios[Seminario],Seminarios[Año])</f>
        <v>2024</v>
      </c>
    </row>
    <row r="362" spans="1:7" x14ac:dyDescent="0.25">
      <c r="A362" s="7" t="s">
        <v>622</v>
      </c>
      <c r="B362" s="59"/>
      <c r="C362" s="3" t="s">
        <v>221</v>
      </c>
      <c r="D362" s="3" t="s">
        <v>48</v>
      </c>
      <c r="E362" s="3" t="s">
        <v>5</v>
      </c>
      <c r="F362" s="8" t="s">
        <v>81</v>
      </c>
      <c r="G362" s="19">
        <f>_xlfn.XLOOKUP(Participantes[[#This Row],[Seminario al que asistió]],Seminarios[Seminario],Seminarios[Año])</f>
        <v>2024</v>
      </c>
    </row>
    <row r="363" spans="1:7" x14ac:dyDescent="0.25">
      <c r="A363" s="7" t="s">
        <v>515</v>
      </c>
      <c r="B363" s="126" t="s">
        <v>277</v>
      </c>
      <c r="C363" s="3" t="s">
        <v>218</v>
      </c>
      <c r="D363" s="3" t="s">
        <v>36</v>
      </c>
      <c r="E363" s="3" t="s">
        <v>5</v>
      </c>
      <c r="F363" s="8" t="s">
        <v>81</v>
      </c>
      <c r="G363" s="19">
        <f>_xlfn.XLOOKUP(Participantes[[#This Row],[Seminario al que asistió]],Seminarios[Seminario],Seminarios[Año])</f>
        <v>2024</v>
      </c>
    </row>
    <row r="364" spans="1:7" x14ac:dyDescent="0.25">
      <c r="A364" s="7" t="s">
        <v>623</v>
      </c>
      <c r="B364" s="59" t="s">
        <v>624</v>
      </c>
      <c r="C364" s="3" t="s">
        <v>218</v>
      </c>
      <c r="D364" s="3" t="s">
        <v>48</v>
      </c>
      <c r="E364" s="3" t="s">
        <v>5</v>
      </c>
      <c r="F364" s="8" t="s">
        <v>81</v>
      </c>
      <c r="G364" s="19">
        <f>_xlfn.XLOOKUP(Participantes[[#This Row],[Seminario al que asistió]],Seminarios[Seminario],Seminarios[Año])</f>
        <v>2024</v>
      </c>
    </row>
    <row r="365" spans="1:7" x14ac:dyDescent="0.25">
      <c r="A365" s="7" t="s">
        <v>1280</v>
      </c>
      <c r="B365" s="59" t="s">
        <v>403</v>
      </c>
      <c r="C365" s="3" t="s">
        <v>218</v>
      </c>
      <c r="D365" s="3" t="s">
        <v>36</v>
      </c>
      <c r="E365" s="3" t="s">
        <v>5</v>
      </c>
      <c r="F365" s="8" t="s">
        <v>81</v>
      </c>
      <c r="G365" s="19">
        <f>_xlfn.XLOOKUP(Participantes[[#This Row],[Seminario al que asistió]],Seminarios[Seminario],Seminarios[Año])</f>
        <v>2024</v>
      </c>
    </row>
    <row r="366" spans="1:7" x14ac:dyDescent="0.25">
      <c r="A366" s="7" t="s">
        <v>625</v>
      </c>
      <c r="B366" s="59" t="s">
        <v>626</v>
      </c>
      <c r="C366" s="3" t="s">
        <v>221</v>
      </c>
      <c r="D366" s="3" t="s">
        <v>48</v>
      </c>
      <c r="E366" s="3" t="s">
        <v>5</v>
      </c>
      <c r="F366" s="8" t="s">
        <v>81</v>
      </c>
      <c r="G366" s="19">
        <f>_xlfn.XLOOKUP(Participantes[[#This Row],[Seminario al que asistió]],Seminarios[Seminario],Seminarios[Año])</f>
        <v>2024</v>
      </c>
    </row>
    <row r="367" spans="1:7" x14ac:dyDescent="0.25">
      <c r="A367" s="7" t="s">
        <v>627</v>
      </c>
      <c r="B367" s="59" t="s">
        <v>628</v>
      </c>
      <c r="C367" s="3" t="s">
        <v>221</v>
      </c>
      <c r="D367" s="3" t="s">
        <v>43</v>
      </c>
      <c r="E367" s="3" t="s">
        <v>5</v>
      </c>
      <c r="F367" s="8" t="s">
        <v>81</v>
      </c>
      <c r="G367" s="19">
        <f>_xlfn.XLOOKUP(Participantes[[#This Row],[Seminario al que asistió]],Seminarios[Seminario],Seminarios[Año])</f>
        <v>2024</v>
      </c>
    </row>
    <row r="368" spans="1:7" x14ac:dyDescent="0.25">
      <c r="A368" s="7" t="s">
        <v>629</v>
      </c>
      <c r="B368" s="59"/>
      <c r="C368" s="3" t="s">
        <v>221</v>
      </c>
      <c r="D368" s="3" t="s">
        <v>233</v>
      </c>
      <c r="E368" s="3" t="s">
        <v>5</v>
      </c>
      <c r="F368" s="8" t="s">
        <v>81</v>
      </c>
      <c r="G368" s="19">
        <f>_xlfn.XLOOKUP(Participantes[[#This Row],[Seminario al que asistió]],Seminarios[Seminario],Seminarios[Año])</f>
        <v>2024</v>
      </c>
    </row>
    <row r="369" spans="1:7" x14ac:dyDescent="0.25">
      <c r="A369" s="7" t="s">
        <v>630</v>
      </c>
      <c r="B369" s="59"/>
      <c r="C369" s="3" t="s">
        <v>221</v>
      </c>
      <c r="D369" s="3" t="s">
        <v>48</v>
      </c>
      <c r="E369" s="3" t="s">
        <v>5</v>
      </c>
      <c r="F369" s="8" t="s">
        <v>81</v>
      </c>
      <c r="G369" s="19">
        <f>_xlfn.XLOOKUP(Participantes[[#This Row],[Seminario al que asistió]],Seminarios[Seminario],Seminarios[Año])</f>
        <v>2024</v>
      </c>
    </row>
    <row r="370" spans="1:7" x14ac:dyDescent="0.25">
      <c r="A370" s="7" t="s">
        <v>631</v>
      </c>
      <c r="B370" s="59"/>
      <c r="C370" s="3" t="s">
        <v>218</v>
      </c>
      <c r="D370" s="3" t="s">
        <v>48</v>
      </c>
      <c r="E370" s="3" t="s">
        <v>5</v>
      </c>
      <c r="F370" s="8" t="s">
        <v>81</v>
      </c>
      <c r="G370" s="19">
        <f>_xlfn.XLOOKUP(Participantes[[#This Row],[Seminario al que asistió]],Seminarios[Seminario],Seminarios[Año])</f>
        <v>2024</v>
      </c>
    </row>
    <row r="371" spans="1:7" x14ac:dyDescent="0.25">
      <c r="A371" s="7" t="s">
        <v>632</v>
      </c>
      <c r="B371" s="59" t="s">
        <v>633</v>
      </c>
      <c r="C371" s="3" t="s">
        <v>218</v>
      </c>
      <c r="D371" s="3" t="s">
        <v>233</v>
      </c>
      <c r="E371" s="3" t="s">
        <v>5</v>
      </c>
      <c r="F371" s="8" t="s">
        <v>81</v>
      </c>
      <c r="G371" s="19">
        <f>_xlfn.XLOOKUP(Participantes[[#This Row],[Seminario al que asistió]],Seminarios[Seminario],Seminarios[Año])</f>
        <v>2024</v>
      </c>
    </row>
    <row r="372" spans="1:7" x14ac:dyDescent="0.25">
      <c r="A372" s="7" t="s">
        <v>634</v>
      </c>
      <c r="B372" s="59"/>
      <c r="C372" s="3" t="s">
        <v>218</v>
      </c>
      <c r="D372" s="3" t="s">
        <v>48</v>
      </c>
      <c r="E372" s="3" t="s">
        <v>5</v>
      </c>
      <c r="F372" s="8" t="s">
        <v>81</v>
      </c>
      <c r="G372" s="19">
        <f>_xlfn.XLOOKUP(Participantes[[#This Row],[Seminario al que asistió]],Seminarios[Seminario],Seminarios[Año])</f>
        <v>2024</v>
      </c>
    </row>
    <row r="373" spans="1:7" x14ac:dyDescent="0.25">
      <c r="A373" s="7" t="s">
        <v>635</v>
      </c>
      <c r="B373" s="59"/>
      <c r="C373" s="3" t="s">
        <v>221</v>
      </c>
      <c r="D373" s="3" t="s">
        <v>48</v>
      </c>
      <c r="E373" s="3" t="s">
        <v>5</v>
      </c>
      <c r="F373" s="8" t="s">
        <v>81</v>
      </c>
      <c r="G373" s="19">
        <f>_xlfn.XLOOKUP(Participantes[[#This Row],[Seminario al que asistió]],Seminarios[Seminario],Seminarios[Año])</f>
        <v>2024</v>
      </c>
    </row>
    <row r="374" spans="1:7" x14ac:dyDescent="0.25">
      <c r="A374" s="7" t="s">
        <v>636</v>
      </c>
      <c r="B374" s="59" t="s">
        <v>637</v>
      </c>
      <c r="C374" s="3" t="s">
        <v>221</v>
      </c>
      <c r="D374" s="3" t="s">
        <v>48</v>
      </c>
      <c r="E374" s="3" t="s">
        <v>5</v>
      </c>
      <c r="F374" s="8" t="s">
        <v>81</v>
      </c>
      <c r="G374" s="19">
        <f>_xlfn.XLOOKUP(Participantes[[#This Row],[Seminario al que asistió]],Seminarios[Seminario],Seminarios[Año])</f>
        <v>2024</v>
      </c>
    </row>
    <row r="375" spans="1:7" x14ac:dyDescent="0.25">
      <c r="A375" s="7" t="s">
        <v>638</v>
      </c>
      <c r="B375" s="59"/>
      <c r="C375" s="3" t="s">
        <v>221</v>
      </c>
      <c r="D375" s="3" t="s">
        <v>48</v>
      </c>
      <c r="E375" s="3" t="s">
        <v>5</v>
      </c>
      <c r="F375" s="8" t="s">
        <v>81</v>
      </c>
      <c r="G375" s="19">
        <f>_xlfn.XLOOKUP(Participantes[[#This Row],[Seminario al que asistió]],Seminarios[Seminario],Seminarios[Año])</f>
        <v>2024</v>
      </c>
    </row>
    <row r="376" spans="1:7" ht="15.75" thickBot="1" x14ac:dyDescent="0.3">
      <c r="A376" s="77" t="s">
        <v>639</v>
      </c>
      <c r="B376" s="126"/>
      <c r="C376" s="13" t="s">
        <v>221</v>
      </c>
      <c r="D376" s="13" t="s">
        <v>48</v>
      </c>
      <c r="E376" s="13" t="s">
        <v>5</v>
      </c>
      <c r="F376" s="78" t="s">
        <v>81</v>
      </c>
      <c r="G376" s="19">
        <f>_xlfn.XLOOKUP(Participantes[[#This Row],[Seminario al que asistió]],Seminarios[Seminario],Seminarios[Año])</f>
        <v>2024</v>
      </c>
    </row>
    <row r="377" spans="1:7" x14ac:dyDescent="0.25">
      <c r="A377" s="4" t="s">
        <v>640</v>
      </c>
      <c r="B377" s="75" t="s">
        <v>529</v>
      </c>
      <c r="C377" s="5" t="s">
        <v>221</v>
      </c>
      <c r="D377" s="5" t="s">
        <v>48</v>
      </c>
      <c r="E377" s="5" t="s">
        <v>5</v>
      </c>
      <c r="F377" s="6" t="s">
        <v>44</v>
      </c>
      <c r="G377" s="19">
        <f>_xlfn.XLOOKUP(Participantes[[#This Row],[Seminario al que asistió]],Seminarios[Seminario],Seminarios[Año])</f>
        <v>2024</v>
      </c>
    </row>
    <row r="378" spans="1:7" x14ac:dyDescent="0.25">
      <c r="A378" s="7" t="s">
        <v>641</v>
      </c>
      <c r="B378" s="33"/>
      <c r="C378" s="3" t="s">
        <v>218</v>
      </c>
      <c r="D378" s="3" t="s">
        <v>48</v>
      </c>
      <c r="E378" s="3" t="s">
        <v>1</v>
      </c>
      <c r="F378" s="8" t="s">
        <v>44</v>
      </c>
      <c r="G378" s="19">
        <f>_xlfn.XLOOKUP(Participantes[[#This Row],[Seminario al que asistió]],Seminarios[Seminario],Seminarios[Año])</f>
        <v>2024</v>
      </c>
    </row>
    <row r="379" spans="1:7" x14ac:dyDescent="0.25">
      <c r="A379" s="7" t="s">
        <v>642</v>
      </c>
      <c r="B379" s="33" t="s">
        <v>643</v>
      </c>
      <c r="C379" s="3" t="s">
        <v>218</v>
      </c>
      <c r="D379" s="3" t="s">
        <v>48</v>
      </c>
      <c r="E379" s="3" t="s">
        <v>5</v>
      </c>
      <c r="F379" s="8" t="s">
        <v>44</v>
      </c>
      <c r="G379" s="19">
        <f>_xlfn.XLOOKUP(Participantes[[#This Row],[Seminario al que asistió]],Seminarios[Seminario],Seminarios[Año])</f>
        <v>2024</v>
      </c>
    </row>
    <row r="380" spans="1:7" x14ac:dyDescent="0.25">
      <c r="A380" s="7" t="s">
        <v>616</v>
      </c>
      <c r="B380" s="33" t="s">
        <v>617</v>
      </c>
      <c r="C380" s="3" t="s">
        <v>221</v>
      </c>
      <c r="D380" s="3" t="s">
        <v>36</v>
      </c>
      <c r="E380" s="3" t="s">
        <v>5</v>
      </c>
      <c r="F380" s="8" t="s">
        <v>44</v>
      </c>
      <c r="G380" s="19">
        <f>_xlfn.XLOOKUP(Participantes[[#This Row],[Seminario al que asistió]],Seminarios[Seminario],Seminarios[Año])</f>
        <v>2024</v>
      </c>
    </row>
    <row r="381" spans="1:7" x14ac:dyDescent="0.25">
      <c r="A381" s="7" t="s">
        <v>644</v>
      </c>
      <c r="B381" s="33" t="s">
        <v>645</v>
      </c>
      <c r="C381" s="3" t="s">
        <v>218</v>
      </c>
      <c r="D381" s="3" t="s">
        <v>36</v>
      </c>
      <c r="E381" s="3" t="s">
        <v>1</v>
      </c>
      <c r="F381" s="8" t="s">
        <v>44</v>
      </c>
      <c r="G381" s="19">
        <f>_xlfn.XLOOKUP(Participantes[[#This Row],[Seminario al que asistió]],Seminarios[Seminario],Seminarios[Año])</f>
        <v>2024</v>
      </c>
    </row>
    <row r="382" spans="1:7" x14ac:dyDescent="0.25">
      <c r="A382" s="7" t="s">
        <v>474</v>
      </c>
      <c r="B382" s="33" t="s">
        <v>475</v>
      </c>
      <c r="C382" s="3" t="s">
        <v>218</v>
      </c>
      <c r="D382" s="3" t="s">
        <v>48</v>
      </c>
      <c r="E382" s="3" t="s">
        <v>1</v>
      </c>
      <c r="F382" s="8" t="s">
        <v>44</v>
      </c>
      <c r="G382" s="19">
        <f>_xlfn.XLOOKUP(Participantes[[#This Row],[Seminario al que asistió]],Seminarios[Seminario],Seminarios[Año])</f>
        <v>2024</v>
      </c>
    </row>
    <row r="383" spans="1:7" x14ac:dyDescent="0.25">
      <c r="A383" s="7" t="s">
        <v>269</v>
      </c>
      <c r="B383" s="33" t="s">
        <v>270</v>
      </c>
      <c r="C383" s="3" t="s">
        <v>218</v>
      </c>
      <c r="D383" s="3" t="s">
        <v>36</v>
      </c>
      <c r="E383" s="3" t="s">
        <v>1</v>
      </c>
      <c r="F383" s="8" t="s">
        <v>44</v>
      </c>
      <c r="G383" s="19">
        <f>_xlfn.XLOOKUP(Participantes[[#This Row],[Seminario al que asistió]],Seminarios[Seminario],Seminarios[Año])</f>
        <v>2024</v>
      </c>
    </row>
    <row r="384" spans="1:7" x14ac:dyDescent="0.25">
      <c r="A384" s="7" t="s">
        <v>646</v>
      </c>
      <c r="B384" s="33" t="s">
        <v>647</v>
      </c>
      <c r="C384" s="3" t="s">
        <v>218</v>
      </c>
      <c r="D384" s="3" t="s">
        <v>36</v>
      </c>
      <c r="E384" s="3" t="s">
        <v>1</v>
      </c>
      <c r="F384" s="8" t="s">
        <v>44</v>
      </c>
      <c r="G384" s="19">
        <f>_xlfn.XLOOKUP(Participantes[[#This Row],[Seminario al que asistió]],Seminarios[Seminario],Seminarios[Año])</f>
        <v>2024</v>
      </c>
    </row>
    <row r="385" spans="1:7" x14ac:dyDescent="0.25">
      <c r="A385" s="7" t="s">
        <v>167</v>
      </c>
      <c r="B385" s="33" t="s">
        <v>284</v>
      </c>
      <c r="C385" s="3" t="s">
        <v>218</v>
      </c>
      <c r="D385" s="3" t="s">
        <v>36</v>
      </c>
      <c r="E385" s="3" t="s">
        <v>1</v>
      </c>
      <c r="F385" s="8" t="s">
        <v>44</v>
      </c>
      <c r="G385" s="19">
        <f>_xlfn.XLOOKUP(Participantes[[#This Row],[Seminario al que asistió]],Seminarios[Seminario],Seminarios[Año])</f>
        <v>2024</v>
      </c>
    </row>
    <row r="386" spans="1:7" x14ac:dyDescent="0.25">
      <c r="A386" s="7" t="s">
        <v>648</v>
      </c>
      <c r="B386" s="33" t="s">
        <v>567</v>
      </c>
      <c r="C386" s="3" t="s">
        <v>218</v>
      </c>
      <c r="D386" s="3" t="s">
        <v>36</v>
      </c>
      <c r="E386" s="3" t="s">
        <v>1</v>
      </c>
      <c r="F386" s="8" t="s">
        <v>44</v>
      </c>
      <c r="G386" s="19">
        <f>_xlfn.XLOOKUP(Participantes[[#This Row],[Seminario al que asistió]],Seminarios[Seminario],Seminarios[Año])</f>
        <v>2024</v>
      </c>
    </row>
    <row r="387" spans="1:7" x14ac:dyDescent="0.25">
      <c r="A387" s="7" t="s">
        <v>649</v>
      </c>
      <c r="B387" s="33" t="s">
        <v>650</v>
      </c>
      <c r="C387" s="3" t="s">
        <v>218</v>
      </c>
      <c r="D387" s="3" t="s">
        <v>48</v>
      </c>
      <c r="E387" s="3" t="s">
        <v>1</v>
      </c>
      <c r="F387" s="8" t="s">
        <v>44</v>
      </c>
      <c r="G387" s="19">
        <f>_xlfn.XLOOKUP(Participantes[[#This Row],[Seminario al que asistió]],Seminarios[Seminario],Seminarios[Año])</f>
        <v>2024</v>
      </c>
    </row>
    <row r="388" spans="1:7" x14ac:dyDescent="0.25">
      <c r="A388" s="7" t="s">
        <v>332</v>
      </c>
      <c r="B388" s="33" t="s">
        <v>252</v>
      </c>
      <c r="C388" s="3" t="s">
        <v>221</v>
      </c>
      <c r="D388" s="3" t="s">
        <v>43</v>
      </c>
      <c r="E388" s="3" t="s">
        <v>1</v>
      </c>
      <c r="F388" s="8" t="s">
        <v>44</v>
      </c>
      <c r="G388" s="19">
        <f>_xlfn.XLOOKUP(Participantes[[#This Row],[Seminario al que asistió]],Seminarios[Seminario],Seminarios[Año])</f>
        <v>2024</v>
      </c>
    </row>
    <row r="389" spans="1:7" x14ac:dyDescent="0.25">
      <c r="A389" s="7" t="s">
        <v>651</v>
      </c>
      <c r="B389" s="33" t="s">
        <v>652</v>
      </c>
      <c r="C389" s="3" t="s">
        <v>218</v>
      </c>
      <c r="D389" s="3" t="s">
        <v>36</v>
      </c>
      <c r="E389" s="3" t="s">
        <v>1</v>
      </c>
      <c r="F389" s="8" t="s">
        <v>44</v>
      </c>
      <c r="G389" s="19">
        <f>_xlfn.XLOOKUP(Participantes[[#This Row],[Seminario al que asistió]],Seminarios[Seminario],Seminarios[Año])</f>
        <v>2024</v>
      </c>
    </row>
    <row r="390" spans="1:7" x14ac:dyDescent="0.25">
      <c r="A390" s="7" t="s">
        <v>653</v>
      </c>
      <c r="B390" s="33" t="s">
        <v>654</v>
      </c>
      <c r="C390" s="3" t="s">
        <v>218</v>
      </c>
      <c r="D390" s="3" t="s">
        <v>36</v>
      </c>
      <c r="E390" s="3" t="s">
        <v>1</v>
      </c>
      <c r="F390" s="8" t="s">
        <v>44</v>
      </c>
      <c r="G390" s="19">
        <f>_xlfn.XLOOKUP(Participantes[[#This Row],[Seminario al que asistió]],Seminarios[Seminario],Seminarios[Año])</f>
        <v>2024</v>
      </c>
    </row>
    <row r="391" spans="1:7" x14ac:dyDescent="0.25">
      <c r="A391" s="7" t="s">
        <v>609</v>
      </c>
      <c r="B391" s="33" t="s">
        <v>610</v>
      </c>
      <c r="C391" s="3" t="s">
        <v>218</v>
      </c>
      <c r="D391" s="3" t="s">
        <v>36</v>
      </c>
      <c r="E391" s="3" t="s">
        <v>1</v>
      </c>
      <c r="F391" s="8" t="s">
        <v>44</v>
      </c>
      <c r="G391" s="19">
        <f>_xlfn.XLOOKUP(Participantes[[#This Row],[Seminario al que asistió]],Seminarios[Seminario],Seminarios[Año])</f>
        <v>2024</v>
      </c>
    </row>
    <row r="392" spans="1:7" x14ac:dyDescent="0.25">
      <c r="A392" s="7" t="s">
        <v>655</v>
      </c>
      <c r="B392" s="33" t="s">
        <v>656</v>
      </c>
      <c r="C392" s="3" t="s">
        <v>218</v>
      </c>
      <c r="D392" s="3" t="s">
        <v>48</v>
      </c>
      <c r="E392" s="3" t="s">
        <v>1</v>
      </c>
      <c r="F392" s="8" t="s">
        <v>44</v>
      </c>
      <c r="G392" s="19">
        <f>_xlfn.XLOOKUP(Participantes[[#This Row],[Seminario al que asistió]],Seminarios[Seminario],Seminarios[Año])</f>
        <v>2024</v>
      </c>
    </row>
    <row r="393" spans="1:7" x14ac:dyDescent="0.25">
      <c r="A393" s="7" t="s">
        <v>657</v>
      </c>
      <c r="B393" s="33"/>
      <c r="C393" s="3" t="s">
        <v>221</v>
      </c>
      <c r="D393" s="3" t="s">
        <v>48</v>
      </c>
      <c r="E393" s="3" t="s">
        <v>5</v>
      </c>
      <c r="F393" s="8" t="s">
        <v>44</v>
      </c>
      <c r="G393" s="19">
        <f>_xlfn.XLOOKUP(Participantes[[#This Row],[Seminario al que asistió]],Seminarios[Seminario],Seminarios[Año])</f>
        <v>2024</v>
      </c>
    </row>
    <row r="394" spans="1:7" x14ac:dyDescent="0.25">
      <c r="A394" s="7" t="s">
        <v>558</v>
      </c>
      <c r="B394" s="33" t="s">
        <v>288</v>
      </c>
      <c r="C394" s="3" t="s">
        <v>218</v>
      </c>
      <c r="D394" s="3" t="s">
        <v>36</v>
      </c>
      <c r="E394" s="3" t="s">
        <v>1</v>
      </c>
      <c r="F394" s="8" t="s">
        <v>44</v>
      </c>
      <c r="G394" s="19">
        <f>_xlfn.XLOOKUP(Participantes[[#This Row],[Seminario al que asistió]],Seminarios[Seminario],Seminarios[Año])</f>
        <v>2024</v>
      </c>
    </row>
    <row r="395" spans="1:7" x14ac:dyDescent="0.25">
      <c r="A395" s="7" t="s">
        <v>1280</v>
      </c>
      <c r="B395" s="33" t="s">
        <v>403</v>
      </c>
      <c r="C395" s="3" t="s">
        <v>218</v>
      </c>
      <c r="D395" s="3" t="s">
        <v>36</v>
      </c>
      <c r="E395" s="3" t="s">
        <v>1</v>
      </c>
      <c r="F395" s="8" t="s">
        <v>44</v>
      </c>
      <c r="G395" s="19">
        <f>_xlfn.XLOOKUP(Participantes[[#This Row],[Seminario al que asistió]],Seminarios[Seminario],Seminarios[Año])</f>
        <v>2024</v>
      </c>
    </row>
    <row r="396" spans="1:7" x14ac:dyDescent="0.25">
      <c r="A396" s="7" t="s">
        <v>253</v>
      </c>
      <c r="B396" s="33" t="s">
        <v>254</v>
      </c>
      <c r="C396" s="3" t="s">
        <v>218</v>
      </c>
      <c r="D396" s="3" t="s">
        <v>36</v>
      </c>
      <c r="E396" s="3" t="s">
        <v>5</v>
      </c>
      <c r="F396" s="8" t="s">
        <v>44</v>
      </c>
      <c r="G396" s="19">
        <f>_xlfn.XLOOKUP(Participantes[[#This Row],[Seminario al que asistió]],Seminarios[Seminario],Seminarios[Año])</f>
        <v>2024</v>
      </c>
    </row>
    <row r="397" spans="1:7" x14ac:dyDescent="0.25">
      <c r="A397" s="7" t="s">
        <v>658</v>
      </c>
      <c r="B397" s="33" t="s">
        <v>659</v>
      </c>
      <c r="C397" s="3" t="s">
        <v>221</v>
      </c>
      <c r="D397" s="3" t="s">
        <v>36</v>
      </c>
      <c r="E397" s="3" t="s">
        <v>1</v>
      </c>
      <c r="F397" s="8" t="s">
        <v>44</v>
      </c>
      <c r="G397" s="19">
        <f>_xlfn.XLOOKUP(Participantes[[#This Row],[Seminario al que asistió]],Seminarios[Seminario],Seminarios[Año])</f>
        <v>2024</v>
      </c>
    </row>
    <row r="398" spans="1:7" x14ac:dyDescent="0.25">
      <c r="A398" s="7" t="s">
        <v>660</v>
      </c>
      <c r="B398" s="33" t="s">
        <v>230</v>
      </c>
      <c r="C398" s="3" t="s">
        <v>218</v>
      </c>
      <c r="D398" s="3" t="s">
        <v>36</v>
      </c>
      <c r="E398" s="3" t="s">
        <v>1</v>
      </c>
      <c r="F398" s="8" t="s">
        <v>44</v>
      </c>
      <c r="G398" s="19">
        <f>_xlfn.XLOOKUP(Participantes[[#This Row],[Seminario al que asistió]],Seminarios[Seminario],Seminarios[Año])</f>
        <v>2024</v>
      </c>
    </row>
    <row r="399" spans="1:7" x14ac:dyDescent="0.25">
      <c r="A399" s="7" t="s">
        <v>661</v>
      </c>
      <c r="B399" s="33" t="s">
        <v>583</v>
      </c>
      <c r="C399" s="3" t="s">
        <v>218</v>
      </c>
      <c r="D399" s="3" t="s">
        <v>36</v>
      </c>
      <c r="E399" s="3" t="s">
        <v>5</v>
      </c>
      <c r="F399" s="8" t="s">
        <v>44</v>
      </c>
      <c r="G399" s="19">
        <f>_xlfn.XLOOKUP(Participantes[[#This Row],[Seminario al que asistió]],Seminarios[Seminario],Seminarios[Año])</f>
        <v>2024</v>
      </c>
    </row>
    <row r="400" spans="1:7" x14ac:dyDescent="0.25">
      <c r="A400" s="7" t="s">
        <v>662</v>
      </c>
      <c r="B400" s="33"/>
      <c r="C400" s="3" t="s">
        <v>218</v>
      </c>
      <c r="D400" s="3" t="s">
        <v>48</v>
      </c>
      <c r="E400" s="3" t="s">
        <v>1</v>
      </c>
      <c r="F400" s="8" t="s">
        <v>44</v>
      </c>
      <c r="G400" s="19">
        <f>_xlfn.XLOOKUP(Participantes[[#This Row],[Seminario al que asistió]],Seminarios[Seminario],Seminarios[Año])</f>
        <v>2024</v>
      </c>
    </row>
    <row r="401" spans="1:7" x14ac:dyDescent="0.25">
      <c r="A401" s="7" t="s">
        <v>663</v>
      </c>
      <c r="B401" s="33" t="s">
        <v>664</v>
      </c>
      <c r="C401" s="3" t="s">
        <v>218</v>
      </c>
      <c r="D401" s="3" t="s">
        <v>36</v>
      </c>
      <c r="E401" s="3" t="s">
        <v>1</v>
      </c>
      <c r="F401" s="8" t="s">
        <v>44</v>
      </c>
      <c r="G401" s="19">
        <f>_xlfn.XLOOKUP(Participantes[[#This Row],[Seminario al que asistió]],Seminarios[Seminario],Seminarios[Año])</f>
        <v>2024</v>
      </c>
    </row>
    <row r="402" spans="1:7" x14ac:dyDescent="0.25">
      <c r="A402" s="7" t="s">
        <v>572</v>
      </c>
      <c r="B402" s="33" t="s">
        <v>573</v>
      </c>
      <c r="C402" s="3" t="s">
        <v>218</v>
      </c>
      <c r="D402" s="3" t="s">
        <v>233</v>
      </c>
      <c r="E402" s="3" t="s">
        <v>5</v>
      </c>
      <c r="F402" s="8" t="s">
        <v>44</v>
      </c>
      <c r="G402" s="19">
        <f>_xlfn.XLOOKUP(Participantes[[#This Row],[Seminario al que asistió]],Seminarios[Seminario],Seminarios[Año])</f>
        <v>2024</v>
      </c>
    </row>
    <row r="403" spans="1:7" x14ac:dyDescent="0.25">
      <c r="A403" s="7" t="s">
        <v>665</v>
      </c>
      <c r="B403" s="33" t="s">
        <v>666</v>
      </c>
      <c r="C403" s="3" t="s">
        <v>221</v>
      </c>
      <c r="D403" s="3" t="s">
        <v>36</v>
      </c>
      <c r="E403" s="3" t="s">
        <v>5</v>
      </c>
      <c r="F403" s="8" t="s">
        <v>44</v>
      </c>
      <c r="G403" s="19">
        <f>_xlfn.XLOOKUP(Participantes[[#This Row],[Seminario al que asistió]],Seminarios[Seminario],Seminarios[Año])</f>
        <v>2024</v>
      </c>
    </row>
    <row r="404" spans="1:7" x14ac:dyDescent="0.25">
      <c r="A404" s="7" t="s">
        <v>667</v>
      </c>
      <c r="B404" s="33" t="s">
        <v>668</v>
      </c>
      <c r="C404" s="3" t="s">
        <v>221</v>
      </c>
      <c r="D404" s="3" t="s">
        <v>36</v>
      </c>
      <c r="E404" s="3" t="s">
        <v>1</v>
      </c>
      <c r="F404" s="8" t="s">
        <v>44</v>
      </c>
      <c r="G404" s="19">
        <f>_xlfn.XLOOKUP(Participantes[[#This Row],[Seminario al que asistió]],Seminarios[Seminario],Seminarios[Año])</f>
        <v>2024</v>
      </c>
    </row>
    <row r="405" spans="1:7" x14ac:dyDescent="0.25">
      <c r="A405" s="7" t="s">
        <v>177</v>
      </c>
      <c r="B405" s="33" t="s">
        <v>307</v>
      </c>
      <c r="C405" s="3" t="s">
        <v>221</v>
      </c>
      <c r="D405" s="3" t="s">
        <v>36</v>
      </c>
      <c r="E405" s="3" t="s">
        <v>1</v>
      </c>
      <c r="F405" s="8" t="s">
        <v>44</v>
      </c>
      <c r="G405" s="19">
        <f>_xlfn.XLOOKUP(Participantes[[#This Row],[Seminario al que asistió]],Seminarios[Seminario],Seminarios[Año])</f>
        <v>2024</v>
      </c>
    </row>
    <row r="406" spans="1:7" x14ac:dyDescent="0.25">
      <c r="A406" s="7" t="s">
        <v>669</v>
      </c>
      <c r="B406" s="33" t="s">
        <v>670</v>
      </c>
      <c r="C406" s="3" t="s">
        <v>218</v>
      </c>
      <c r="D406" s="3" t="s">
        <v>36</v>
      </c>
      <c r="E406" s="3" t="s">
        <v>1</v>
      </c>
      <c r="F406" s="8" t="s">
        <v>44</v>
      </c>
      <c r="G406" s="19">
        <f>_xlfn.XLOOKUP(Participantes[[#This Row],[Seminario al que asistió]],Seminarios[Seminario],Seminarios[Año])</f>
        <v>2024</v>
      </c>
    </row>
    <row r="407" spans="1:7" x14ac:dyDescent="0.25">
      <c r="A407" s="7" t="s">
        <v>471</v>
      </c>
      <c r="B407" s="33" t="s">
        <v>339</v>
      </c>
      <c r="C407" s="3" t="s">
        <v>218</v>
      </c>
      <c r="D407" s="3" t="s">
        <v>36</v>
      </c>
      <c r="E407" s="3" t="s">
        <v>1</v>
      </c>
      <c r="F407" s="8" t="s">
        <v>44</v>
      </c>
      <c r="G407" s="19">
        <f>_xlfn.XLOOKUP(Participantes[[#This Row],[Seminario al que asistió]],Seminarios[Seminario],Seminarios[Año])</f>
        <v>2024</v>
      </c>
    </row>
    <row r="408" spans="1:7" x14ac:dyDescent="0.25">
      <c r="A408" s="7" t="s">
        <v>671</v>
      </c>
      <c r="B408" s="33" t="s">
        <v>571</v>
      </c>
      <c r="C408" s="3" t="s">
        <v>218</v>
      </c>
      <c r="D408" s="3" t="s">
        <v>36</v>
      </c>
      <c r="E408" s="3" t="s">
        <v>1</v>
      </c>
      <c r="F408" s="8" t="s">
        <v>44</v>
      </c>
      <c r="G408" s="19">
        <f>_xlfn.XLOOKUP(Participantes[[#This Row],[Seminario al que asistió]],Seminarios[Seminario],Seminarios[Año])</f>
        <v>2024</v>
      </c>
    </row>
    <row r="409" spans="1:7" x14ac:dyDescent="0.25">
      <c r="A409" s="7" t="s">
        <v>672</v>
      </c>
      <c r="B409" s="33" t="s">
        <v>673</v>
      </c>
      <c r="C409" s="3" t="s">
        <v>221</v>
      </c>
      <c r="D409" s="3" t="s">
        <v>36</v>
      </c>
      <c r="E409" s="3" t="s">
        <v>5</v>
      </c>
      <c r="F409" s="8" t="s">
        <v>44</v>
      </c>
      <c r="G409" s="19">
        <f>_xlfn.XLOOKUP(Participantes[[#This Row],[Seminario al que asistió]],Seminarios[Seminario],Seminarios[Año])</f>
        <v>2024</v>
      </c>
    </row>
    <row r="410" spans="1:7" x14ac:dyDescent="0.25">
      <c r="A410" s="7" t="s">
        <v>674</v>
      </c>
      <c r="B410" s="33"/>
      <c r="C410" s="3" t="s">
        <v>221</v>
      </c>
      <c r="D410" s="3" t="s">
        <v>48</v>
      </c>
      <c r="E410" s="3" t="s">
        <v>5</v>
      </c>
      <c r="F410" s="8" t="s">
        <v>44</v>
      </c>
      <c r="G410" s="19">
        <f>_xlfn.XLOOKUP(Participantes[[#This Row],[Seminario al que asistió]],Seminarios[Seminario],Seminarios[Año])</f>
        <v>2024</v>
      </c>
    </row>
    <row r="411" spans="1:7" x14ac:dyDescent="0.25">
      <c r="A411" s="7" t="s">
        <v>675</v>
      </c>
      <c r="B411" s="33" t="s">
        <v>256</v>
      </c>
      <c r="C411" s="3" t="s">
        <v>218</v>
      </c>
      <c r="D411" s="3" t="s">
        <v>36</v>
      </c>
      <c r="E411" s="3" t="s">
        <v>1</v>
      </c>
      <c r="F411" s="8" t="s">
        <v>44</v>
      </c>
      <c r="G411" s="19">
        <f>_xlfn.XLOOKUP(Participantes[[#This Row],[Seminario al que asistió]],Seminarios[Seminario],Seminarios[Año])</f>
        <v>2024</v>
      </c>
    </row>
    <row r="412" spans="1:7" x14ac:dyDescent="0.25">
      <c r="A412" s="7" t="s">
        <v>676</v>
      </c>
      <c r="B412" s="33" t="s">
        <v>303</v>
      </c>
      <c r="C412" s="3" t="s">
        <v>218</v>
      </c>
      <c r="D412" s="3" t="s">
        <v>36</v>
      </c>
      <c r="E412" s="3" t="s">
        <v>1</v>
      </c>
      <c r="F412" s="8" t="s">
        <v>44</v>
      </c>
      <c r="G412" s="19">
        <f>_xlfn.XLOOKUP(Participantes[[#This Row],[Seminario al que asistió]],Seminarios[Seminario],Seminarios[Año])</f>
        <v>2024</v>
      </c>
    </row>
    <row r="413" spans="1:7" x14ac:dyDescent="0.25">
      <c r="A413" s="7" t="s">
        <v>234</v>
      </c>
      <c r="B413" s="33" t="s">
        <v>677</v>
      </c>
      <c r="C413" s="3" t="s">
        <v>218</v>
      </c>
      <c r="D413" s="3" t="s">
        <v>36</v>
      </c>
      <c r="E413" s="3" t="s">
        <v>1</v>
      </c>
      <c r="F413" s="8" t="s">
        <v>44</v>
      </c>
      <c r="G413" s="19">
        <f>_xlfn.XLOOKUP(Participantes[[#This Row],[Seminario al que asistió]],Seminarios[Seminario],Seminarios[Año])</f>
        <v>2024</v>
      </c>
    </row>
    <row r="414" spans="1:7" x14ac:dyDescent="0.25">
      <c r="A414" s="7" t="s">
        <v>260</v>
      </c>
      <c r="B414" s="33" t="s">
        <v>557</v>
      </c>
      <c r="C414" s="3" t="s">
        <v>218</v>
      </c>
      <c r="D414" s="3" t="s">
        <v>36</v>
      </c>
      <c r="E414" s="3" t="s">
        <v>1</v>
      </c>
      <c r="F414" s="8" t="s">
        <v>44</v>
      </c>
      <c r="G414" s="19">
        <f>_xlfn.XLOOKUP(Participantes[[#This Row],[Seminario al que asistió]],Seminarios[Seminario],Seminarios[Año])</f>
        <v>2024</v>
      </c>
    </row>
    <row r="415" spans="1:7" x14ac:dyDescent="0.25">
      <c r="A415" s="7" t="s">
        <v>219</v>
      </c>
      <c r="B415" s="33" t="s">
        <v>220</v>
      </c>
      <c r="C415" s="3" t="s">
        <v>221</v>
      </c>
      <c r="D415" s="3" t="s">
        <v>36</v>
      </c>
      <c r="E415" s="3" t="s">
        <v>1</v>
      </c>
      <c r="F415" s="8" t="s">
        <v>44</v>
      </c>
      <c r="G415" s="19">
        <f>_xlfn.XLOOKUP(Participantes[[#This Row],[Seminario al que asistió]],Seminarios[Seminario],Seminarios[Año])</f>
        <v>2024</v>
      </c>
    </row>
    <row r="416" spans="1:7" x14ac:dyDescent="0.25">
      <c r="A416" s="7" t="s">
        <v>678</v>
      </c>
      <c r="B416" s="33" t="s">
        <v>679</v>
      </c>
      <c r="C416" s="3" t="s">
        <v>218</v>
      </c>
      <c r="D416" s="3" t="s">
        <v>36</v>
      </c>
      <c r="E416" s="3" t="s">
        <v>1</v>
      </c>
      <c r="F416" s="8" t="s">
        <v>44</v>
      </c>
      <c r="G416" s="19">
        <f>_xlfn.XLOOKUP(Participantes[[#This Row],[Seminario al que asistió]],Seminarios[Seminario],Seminarios[Año])</f>
        <v>2024</v>
      </c>
    </row>
    <row r="417" spans="1:7" x14ac:dyDescent="0.25">
      <c r="A417" s="7" t="s">
        <v>680</v>
      </c>
      <c r="B417" s="33" t="s">
        <v>681</v>
      </c>
      <c r="C417" s="3" t="s">
        <v>218</v>
      </c>
      <c r="D417" s="3" t="s">
        <v>36</v>
      </c>
      <c r="E417" s="3" t="s">
        <v>1</v>
      </c>
      <c r="F417" s="8" t="s">
        <v>44</v>
      </c>
      <c r="G417" s="19">
        <f>_xlfn.XLOOKUP(Participantes[[#This Row],[Seminario al que asistió]],Seminarios[Seminario],Seminarios[Año])</f>
        <v>2024</v>
      </c>
    </row>
    <row r="418" spans="1:7" x14ac:dyDescent="0.25">
      <c r="A418" s="7" t="s">
        <v>682</v>
      </c>
      <c r="B418" s="33" t="s">
        <v>683</v>
      </c>
      <c r="C418" s="3" t="s">
        <v>218</v>
      </c>
      <c r="D418" s="3" t="s">
        <v>48</v>
      </c>
      <c r="E418" s="3" t="s">
        <v>1</v>
      </c>
      <c r="F418" s="8" t="s">
        <v>44</v>
      </c>
      <c r="G418" s="19">
        <f>_xlfn.XLOOKUP(Participantes[[#This Row],[Seminario al que asistió]],Seminarios[Seminario],Seminarios[Año])</f>
        <v>2024</v>
      </c>
    </row>
    <row r="419" spans="1:7" x14ac:dyDescent="0.25">
      <c r="A419" s="7" t="s">
        <v>317</v>
      </c>
      <c r="B419" s="33" t="s">
        <v>318</v>
      </c>
      <c r="C419" s="3" t="s">
        <v>218</v>
      </c>
      <c r="D419" s="3" t="s">
        <v>36</v>
      </c>
      <c r="E419" s="3" t="s">
        <v>1</v>
      </c>
      <c r="F419" s="8" t="s">
        <v>44</v>
      </c>
      <c r="G419" s="19">
        <f>_xlfn.XLOOKUP(Participantes[[#This Row],[Seminario al que asistió]],Seminarios[Seminario],Seminarios[Año])</f>
        <v>2024</v>
      </c>
    </row>
    <row r="420" spans="1:7" x14ac:dyDescent="0.25">
      <c r="A420" s="7" t="s">
        <v>684</v>
      </c>
      <c r="B420" s="33"/>
      <c r="C420" s="3" t="s">
        <v>221</v>
      </c>
      <c r="D420" s="3" t="s">
        <v>48</v>
      </c>
      <c r="E420" s="3" t="s">
        <v>1</v>
      </c>
      <c r="F420" s="8" t="s">
        <v>44</v>
      </c>
      <c r="G420" s="19">
        <f>_xlfn.XLOOKUP(Participantes[[#This Row],[Seminario al que asistió]],Seminarios[Seminario],Seminarios[Año])</f>
        <v>2024</v>
      </c>
    </row>
    <row r="421" spans="1:7" x14ac:dyDescent="0.25">
      <c r="A421" s="7" t="s">
        <v>285</v>
      </c>
      <c r="B421" s="33" t="s">
        <v>286</v>
      </c>
      <c r="C421" s="3" t="s">
        <v>218</v>
      </c>
      <c r="D421" s="3" t="s">
        <v>36</v>
      </c>
      <c r="E421" s="3" t="s">
        <v>1</v>
      </c>
      <c r="F421" s="8" t="s">
        <v>44</v>
      </c>
      <c r="G421" s="19">
        <f>_xlfn.XLOOKUP(Participantes[[#This Row],[Seminario al que asistió]],Seminarios[Seminario],Seminarios[Año])</f>
        <v>2024</v>
      </c>
    </row>
    <row r="422" spans="1:7" x14ac:dyDescent="0.25">
      <c r="A422" s="7" t="s">
        <v>685</v>
      </c>
      <c r="B422" s="33" t="s">
        <v>686</v>
      </c>
      <c r="C422" s="3" t="s">
        <v>218</v>
      </c>
      <c r="D422" s="3" t="s">
        <v>233</v>
      </c>
      <c r="E422" s="3" t="s">
        <v>1</v>
      </c>
      <c r="F422" s="8" t="s">
        <v>44</v>
      </c>
      <c r="G422" s="19">
        <f>_xlfn.XLOOKUP(Participantes[[#This Row],[Seminario al que asistió]],Seminarios[Seminario],Seminarios[Año])</f>
        <v>2024</v>
      </c>
    </row>
    <row r="423" spans="1:7" x14ac:dyDescent="0.25">
      <c r="A423" s="7" t="s">
        <v>687</v>
      </c>
      <c r="B423" s="33" t="s">
        <v>688</v>
      </c>
      <c r="C423" s="3" t="s">
        <v>221</v>
      </c>
      <c r="D423" s="3" t="s">
        <v>43</v>
      </c>
      <c r="E423" s="3" t="s">
        <v>1</v>
      </c>
      <c r="F423" s="8" t="s">
        <v>44</v>
      </c>
      <c r="G423" s="19">
        <f>_xlfn.XLOOKUP(Participantes[[#This Row],[Seminario al que asistió]],Seminarios[Seminario],Seminarios[Año])</f>
        <v>2024</v>
      </c>
    </row>
    <row r="424" spans="1:7" x14ac:dyDescent="0.25">
      <c r="A424" s="7" t="s">
        <v>689</v>
      </c>
      <c r="B424" s="33" t="s">
        <v>690</v>
      </c>
      <c r="C424" s="3" t="s">
        <v>221</v>
      </c>
      <c r="D424" s="3" t="s">
        <v>233</v>
      </c>
      <c r="E424" s="3" t="s">
        <v>1</v>
      </c>
      <c r="F424" s="8" t="s">
        <v>44</v>
      </c>
      <c r="G424" s="19">
        <f>_xlfn.XLOOKUP(Participantes[[#This Row],[Seminario al que asistió]],Seminarios[Seminario],Seminarios[Año])</f>
        <v>2024</v>
      </c>
    </row>
    <row r="425" spans="1:7" ht="15.75" thickBot="1" x14ac:dyDescent="0.3">
      <c r="A425" s="9" t="s">
        <v>276</v>
      </c>
      <c r="B425" s="76" t="s">
        <v>277</v>
      </c>
      <c r="C425" s="10" t="s">
        <v>218</v>
      </c>
      <c r="D425" s="10" t="s">
        <v>36</v>
      </c>
      <c r="E425" s="10" t="s">
        <v>5</v>
      </c>
      <c r="F425" s="11" t="s">
        <v>44</v>
      </c>
      <c r="G425" s="19">
        <f>_xlfn.XLOOKUP(Participantes[[#This Row],[Seminario al que asistió]],Seminarios[Seminario],Seminarios[Año])</f>
        <v>2024</v>
      </c>
    </row>
    <row r="426" spans="1:7" x14ac:dyDescent="0.25">
      <c r="A426" s="46" t="s">
        <v>691</v>
      </c>
      <c r="B426" s="12" t="s">
        <v>692</v>
      </c>
      <c r="C426" s="12" t="s">
        <v>221</v>
      </c>
      <c r="D426" s="12" t="s">
        <v>233</v>
      </c>
      <c r="E426" s="12" t="s">
        <v>1</v>
      </c>
      <c r="F426" s="47" t="s">
        <v>49</v>
      </c>
      <c r="G426" s="19">
        <f>_xlfn.XLOOKUP(Participantes[[#This Row],[Seminario al que asistió]],Seminarios[Seminario],Seminarios[Año])</f>
        <v>2024</v>
      </c>
    </row>
    <row r="427" spans="1:7" x14ac:dyDescent="0.25">
      <c r="A427" s="7" t="s">
        <v>693</v>
      </c>
      <c r="B427" s="3" t="s">
        <v>694</v>
      </c>
      <c r="C427" s="3" t="s">
        <v>218</v>
      </c>
      <c r="D427" s="3" t="s">
        <v>233</v>
      </c>
      <c r="E427" s="3" t="s">
        <v>1</v>
      </c>
      <c r="F427" s="8" t="s">
        <v>49</v>
      </c>
      <c r="G427" s="19">
        <f>_xlfn.XLOOKUP(Participantes[[#This Row],[Seminario al que asistió]],Seminarios[Seminario],Seminarios[Año])</f>
        <v>2024</v>
      </c>
    </row>
    <row r="428" spans="1:7" x14ac:dyDescent="0.25">
      <c r="A428" s="7" t="s">
        <v>289</v>
      </c>
      <c r="B428" s="3" t="s">
        <v>290</v>
      </c>
      <c r="C428" s="3" t="s">
        <v>221</v>
      </c>
      <c r="D428" s="3" t="s">
        <v>233</v>
      </c>
      <c r="E428" s="3" t="s">
        <v>1</v>
      </c>
      <c r="F428" s="8" t="s">
        <v>49</v>
      </c>
      <c r="G428" s="19">
        <f>_xlfn.XLOOKUP(Participantes[[#This Row],[Seminario al que asistió]],Seminarios[Seminario],Seminarios[Año])</f>
        <v>2024</v>
      </c>
    </row>
    <row r="429" spans="1:7" x14ac:dyDescent="0.25">
      <c r="A429" s="7" t="s">
        <v>695</v>
      </c>
      <c r="B429" s="3" t="s">
        <v>696</v>
      </c>
      <c r="C429" s="3" t="s">
        <v>218</v>
      </c>
      <c r="D429" s="3" t="s">
        <v>233</v>
      </c>
      <c r="E429" s="3" t="s">
        <v>1</v>
      </c>
      <c r="F429" s="8" t="s">
        <v>49</v>
      </c>
      <c r="G429" s="19">
        <f>_xlfn.XLOOKUP(Participantes[[#This Row],[Seminario al que asistió]],Seminarios[Seminario],Seminarios[Año])</f>
        <v>2024</v>
      </c>
    </row>
    <row r="430" spans="1:7" x14ac:dyDescent="0.25">
      <c r="A430" s="7" t="s">
        <v>520</v>
      </c>
      <c r="B430" s="3" t="s">
        <v>697</v>
      </c>
      <c r="C430" s="3" t="s">
        <v>218</v>
      </c>
      <c r="D430" s="3" t="s">
        <v>48</v>
      </c>
      <c r="E430" s="3" t="s">
        <v>1</v>
      </c>
      <c r="F430" s="8" t="s">
        <v>49</v>
      </c>
      <c r="G430" s="19">
        <f>_xlfn.XLOOKUP(Participantes[[#This Row],[Seminario al que asistió]],Seminarios[Seminario],Seminarios[Año])</f>
        <v>2024</v>
      </c>
    </row>
    <row r="431" spans="1:7" x14ac:dyDescent="0.25">
      <c r="A431" s="7" t="s">
        <v>343</v>
      </c>
      <c r="B431" s="3" t="s">
        <v>698</v>
      </c>
      <c r="C431" s="3" t="s">
        <v>221</v>
      </c>
      <c r="D431" s="3" t="s">
        <v>36</v>
      </c>
      <c r="E431" s="3" t="s">
        <v>1</v>
      </c>
      <c r="F431" s="8" t="s">
        <v>49</v>
      </c>
      <c r="G431" s="19">
        <f>_xlfn.XLOOKUP(Participantes[[#This Row],[Seminario al que asistió]],Seminarios[Seminario],Seminarios[Año])</f>
        <v>2024</v>
      </c>
    </row>
    <row r="432" spans="1:7" x14ac:dyDescent="0.25">
      <c r="A432" s="7" t="s">
        <v>253</v>
      </c>
      <c r="B432" s="3" t="s">
        <v>254</v>
      </c>
      <c r="C432" s="3" t="s">
        <v>218</v>
      </c>
      <c r="D432" s="3" t="s">
        <v>36</v>
      </c>
      <c r="E432" s="3" t="s">
        <v>1</v>
      </c>
      <c r="F432" s="8" t="s">
        <v>49</v>
      </c>
      <c r="G432" s="19">
        <f>_xlfn.XLOOKUP(Participantes[[#This Row],[Seminario al que asistió]],Seminarios[Seminario],Seminarios[Año])</f>
        <v>2024</v>
      </c>
    </row>
    <row r="433" spans="1:7" x14ac:dyDescent="0.25">
      <c r="A433" s="7" t="s">
        <v>699</v>
      </c>
      <c r="B433" s="3" t="s">
        <v>230</v>
      </c>
      <c r="C433" s="3" t="s">
        <v>218</v>
      </c>
      <c r="D433" s="3" t="s">
        <v>36</v>
      </c>
      <c r="E433" s="3" t="s">
        <v>1</v>
      </c>
      <c r="F433" s="8" t="s">
        <v>49</v>
      </c>
      <c r="G433" s="19">
        <f>_xlfn.XLOOKUP(Participantes[[#This Row],[Seminario al que asistió]],Seminarios[Seminario],Seminarios[Año])</f>
        <v>2024</v>
      </c>
    </row>
    <row r="434" spans="1:7" x14ac:dyDescent="0.25">
      <c r="A434" s="7" t="s">
        <v>700</v>
      </c>
      <c r="B434" s="3" t="s">
        <v>701</v>
      </c>
      <c r="C434" s="3" t="s">
        <v>221</v>
      </c>
      <c r="D434" s="3" t="s">
        <v>48</v>
      </c>
      <c r="E434" s="3" t="s">
        <v>1</v>
      </c>
      <c r="F434" s="8" t="s">
        <v>49</v>
      </c>
      <c r="G434" s="19">
        <f>_xlfn.XLOOKUP(Participantes[[#This Row],[Seminario al que asistió]],Seminarios[Seminario],Seminarios[Año])</f>
        <v>2024</v>
      </c>
    </row>
    <row r="435" spans="1:7" x14ac:dyDescent="0.25">
      <c r="A435" s="7" t="s">
        <v>702</v>
      </c>
      <c r="B435" s="3" t="s">
        <v>262</v>
      </c>
      <c r="C435" s="3" t="s">
        <v>218</v>
      </c>
      <c r="D435" s="3" t="s">
        <v>233</v>
      </c>
      <c r="E435" s="3" t="s">
        <v>1</v>
      </c>
      <c r="F435" s="8" t="s">
        <v>49</v>
      </c>
      <c r="G435" s="19">
        <f>_xlfn.XLOOKUP(Participantes[[#This Row],[Seminario al que asistió]],Seminarios[Seminario],Seminarios[Año])</f>
        <v>2024</v>
      </c>
    </row>
    <row r="436" spans="1:7" x14ac:dyDescent="0.25">
      <c r="A436" s="7" t="s">
        <v>703</v>
      </c>
      <c r="B436" s="3" t="s">
        <v>704</v>
      </c>
      <c r="C436" s="3" t="s">
        <v>221</v>
      </c>
      <c r="D436" s="3" t="s">
        <v>48</v>
      </c>
      <c r="E436" s="3" t="s">
        <v>1</v>
      </c>
      <c r="F436" s="8" t="s">
        <v>49</v>
      </c>
      <c r="G436" s="19">
        <f>_xlfn.XLOOKUP(Participantes[[#This Row],[Seminario al que asistió]],Seminarios[Seminario],Seminarios[Año])</f>
        <v>2024</v>
      </c>
    </row>
    <row r="437" spans="1:7" x14ac:dyDescent="0.25">
      <c r="A437" s="7" t="s">
        <v>705</v>
      </c>
      <c r="B437" s="3" t="s">
        <v>706</v>
      </c>
      <c r="C437" s="3" t="s">
        <v>218</v>
      </c>
      <c r="D437" s="3" t="s">
        <v>233</v>
      </c>
      <c r="E437" s="3" t="s">
        <v>1</v>
      </c>
      <c r="F437" s="8" t="s">
        <v>49</v>
      </c>
      <c r="G437" s="19">
        <f>_xlfn.XLOOKUP(Participantes[[#This Row],[Seminario al que asistió]],Seminarios[Seminario],Seminarios[Año])</f>
        <v>2024</v>
      </c>
    </row>
    <row r="438" spans="1:7" x14ac:dyDescent="0.25">
      <c r="A438" s="7" t="s">
        <v>707</v>
      </c>
      <c r="B438" s="3" t="s">
        <v>708</v>
      </c>
      <c r="C438" s="3" t="s">
        <v>218</v>
      </c>
      <c r="D438" s="3" t="s">
        <v>233</v>
      </c>
      <c r="E438" s="3" t="s">
        <v>1</v>
      </c>
      <c r="F438" s="8" t="s">
        <v>49</v>
      </c>
      <c r="G438" s="19">
        <f>_xlfn.XLOOKUP(Participantes[[#This Row],[Seminario al que asistió]],Seminarios[Seminario],Seminarios[Año])</f>
        <v>2024</v>
      </c>
    </row>
    <row r="439" spans="1:7" x14ac:dyDescent="0.25">
      <c r="A439" s="7" t="s">
        <v>240</v>
      </c>
      <c r="B439" s="3" t="s">
        <v>709</v>
      </c>
      <c r="C439" s="3" t="s">
        <v>221</v>
      </c>
      <c r="D439" s="3" t="s">
        <v>36</v>
      </c>
      <c r="E439" s="3" t="s">
        <v>1</v>
      </c>
      <c r="F439" s="8" t="s">
        <v>49</v>
      </c>
      <c r="G439" s="19">
        <f>_xlfn.XLOOKUP(Participantes[[#This Row],[Seminario al que asistió]],Seminarios[Seminario],Seminarios[Año])</f>
        <v>2024</v>
      </c>
    </row>
    <row r="440" spans="1:7" x14ac:dyDescent="0.25">
      <c r="A440" s="7" t="s">
        <v>831</v>
      </c>
      <c r="B440" s="3" t="s">
        <v>304</v>
      </c>
      <c r="C440" s="3" t="s">
        <v>221</v>
      </c>
      <c r="D440" s="3" t="s">
        <v>36</v>
      </c>
      <c r="E440" s="3" t="s">
        <v>1</v>
      </c>
      <c r="F440" s="8" t="s">
        <v>49</v>
      </c>
      <c r="G440" s="19">
        <f>_xlfn.XLOOKUP(Participantes[[#This Row],[Seminario al que asistió]],Seminarios[Seminario],Seminarios[Año])</f>
        <v>2024</v>
      </c>
    </row>
    <row r="441" spans="1:7" x14ac:dyDescent="0.25">
      <c r="A441" s="7" t="s">
        <v>234</v>
      </c>
      <c r="B441" s="3" t="s">
        <v>235</v>
      </c>
      <c r="C441" s="3" t="s">
        <v>218</v>
      </c>
      <c r="D441" s="3" t="s">
        <v>36</v>
      </c>
      <c r="E441" s="3" t="s">
        <v>1</v>
      </c>
      <c r="F441" s="8" t="s">
        <v>49</v>
      </c>
      <c r="G441" s="19">
        <f>_xlfn.XLOOKUP(Participantes[[#This Row],[Seminario al que asistió]],Seminarios[Seminario],Seminarios[Año])</f>
        <v>2024</v>
      </c>
    </row>
    <row r="442" spans="1:7" x14ac:dyDescent="0.25">
      <c r="A442" s="7" t="s">
        <v>249</v>
      </c>
      <c r="B442" s="3" t="s">
        <v>557</v>
      </c>
      <c r="C442" s="3" t="s">
        <v>218</v>
      </c>
      <c r="D442" s="3" t="s">
        <v>36</v>
      </c>
      <c r="E442" s="3" t="s">
        <v>1</v>
      </c>
      <c r="F442" s="8" t="s">
        <v>49</v>
      </c>
      <c r="G442" s="19">
        <f>_xlfn.XLOOKUP(Participantes[[#This Row],[Seminario al que asistió]],Seminarios[Seminario],Seminarios[Año])</f>
        <v>2024</v>
      </c>
    </row>
    <row r="443" spans="1:7" x14ac:dyDescent="0.25">
      <c r="A443" s="7" t="s">
        <v>710</v>
      </c>
      <c r="B443" s="3" t="s">
        <v>220</v>
      </c>
      <c r="C443" s="3" t="s">
        <v>221</v>
      </c>
      <c r="D443" s="3" t="s">
        <v>36</v>
      </c>
      <c r="E443" s="3" t="s">
        <v>1</v>
      </c>
      <c r="F443" s="8" t="s">
        <v>49</v>
      </c>
      <c r="G443" s="19">
        <f>_xlfn.XLOOKUP(Participantes[[#This Row],[Seminario al que asistió]],Seminarios[Seminario],Seminarios[Año])</f>
        <v>2024</v>
      </c>
    </row>
    <row r="444" spans="1:7" x14ac:dyDescent="0.25">
      <c r="A444" s="7" t="s">
        <v>317</v>
      </c>
      <c r="B444" s="3" t="s">
        <v>318</v>
      </c>
      <c r="C444" s="3" t="s">
        <v>218</v>
      </c>
      <c r="D444" s="3" t="s">
        <v>36</v>
      </c>
      <c r="E444" s="3" t="s">
        <v>1</v>
      </c>
      <c r="F444" s="8" t="s">
        <v>49</v>
      </c>
      <c r="G444" s="19">
        <f>_xlfn.XLOOKUP(Participantes[[#This Row],[Seminario al que asistió]],Seminarios[Seminario],Seminarios[Año])</f>
        <v>2024</v>
      </c>
    </row>
    <row r="445" spans="1:7" x14ac:dyDescent="0.25">
      <c r="A445" s="7" t="s">
        <v>506</v>
      </c>
      <c r="B445" s="3" t="s">
        <v>275</v>
      </c>
      <c r="C445" s="3" t="s">
        <v>218</v>
      </c>
      <c r="D445" s="3" t="s">
        <v>36</v>
      </c>
      <c r="E445" s="3" t="s">
        <v>1</v>
      </c>
      <c r="F445" s="8" t="s">
        <v>49</v>
      </c>
      <c r="G445" s="19">
        <f>_xlfn.XLOOKUP(Participantes[[#This Row],[Seminario al que asistió]],Seminarios[Seminario],Seminarios[Año])</f>
        <v>2024</v>
      </c>
    </row>
    <row r="446" spans="1:7" x14ac:dyDescent="0.25">
      <c r="A446" s="7" t="s">
        <v>711</v>
      </c>
      <c r="B446" s="3" t="s">
        <v>264</v>
      </c>
      <c r="C446" s="3" t="s">
        <v>221</v>
      </c>
      <c r="D446" s="3" t="s">
        <v>36</v>
      </c>
      <c r="E446" s="3" t="s">
        <v>1</v>
      </c>
      <c r="F446" s="8" t="s">
        <v>49</v>
      </c>
      <c r="G446" s="19">
        <f>_xlfn.XLOOKUP(Participantes[[#This Row],[Seminario al que asistió]],Seminarios[Seminario],Seminarios[Año])</f>
        <v>2024</v>
      </c>
    </row>
    <row r="447" spans="1:7" x14ac:dyDescent="0.25">
      <c r="A447" s="7" t="s">
        <v>227</v>
      </c>
      <c r="B447" s="3" t="s">
        <v>228</v>
      </c>
      <c r="C447" s="3" t="s">
        <v>218</v>
      </c>
      <c r="D447" s="3" t="s">
        <v>36</v>
      </c>
      <c r="E447" s="3" t="s">
        <v>1</v>
      </c>
      <c r="F447" s="8" t="s">
        <v>49</v>
      </c>
      <c r="G447" s="19">
        <f>_xlfn.XLOOKUP(Participantes[[#This Row],[Seminario al que asistió]],Seminarios[Seminario],Seminarios[Año])</f>
        <v>2024</v>
      </c>
    </row>
    <row r="448" spans="1:7" x14ac:dyDescent="0.25">
      <c r="A448" s="7" t="s">
        <v>712</v>
      </c>
      <c r="B448" s="3" t="s">
        <v>713</v>
      </c>
      <c r="C448" s="3" t="s">
        <v>218</v>
      </c>
      <c r="D448" s="3" t="s">
        <v>48</v>
      </c>
      <c r="E448" s="3" t="s">
        <v>1</v>
      </c>
      <c r="F448" s="8" t="s">
        <v>49</v>
      </c>
      <c r="G448" s="19">
        <f>_xlfn.XLOOKUP(Participantes[[#This Row],[Seminario al que asistió]],Seminarios[Seminario],Seminarios[Año])</f>
        <v>2024</v>
      </c>
    </row>
    <row r="449" spans="1:7" x14ac:dyDescent="0.25">
      <c r="A449" s="7" t="s">
        <v>714</v>
      </c>
      <c r="B449" s="3" t="s">
        <v>226</v>
      </c>
      <c r="C449" s="3" t="s">
        <v>218</v>
      </c>
      <c r="D449" s="3" t="s">
        <v>36</v>
      </c>
      <c r="E449" s="3" t="s">
        <v>1</v>
      </c>
      <c r="F449" s="8" t="s">
        <v>49</v>
      </c>
      <c r="G449" s="19">
        <f>_xlfn.XLOOKUP(Participantes[[#This Row],[Seminario al que asistió]],Seminarios[Seminario],Seminarios[Año])</f>
        <v>2024</v>
      </c>
    </row>
    <row r="450" spans="1:7" x14ac:dyDescent="0.25">
      <c r="A450" s="7" t="s">
        <v>715</v>
      </c>
      <c r="B450" s="3" t="s">
        <v>716</v>
      </c>
      <c r="C450" s="3" t="s">
        <v>218</v>
      </c>
      <c r="D450" s="3" t="s">
        <v>36</v>
      </c>
      <c r="E450" s="3" t="s">
        <v>1</v>
      </c>
      <c r="F450" s="8" t="s">
        <v>49</v>
      </c>
      <c r="G450" s="19">
        <f>_xlfn.XLOOKUP(Participantes[[#This Row],[Seminario al que asistió]],Seminarios[Seminario],Seminarios[Año])</f>
        <v>2024</v>
      </c>
    </row>
    <row r="451" spans="1:7" ht="15.75" thickBot="1" x14ac:dyDescent="0.3">
      <c r="A451" s="9" t="s">
        <v>1280</v>
      </c>
      <c r="B451" s="10" t="s">
        <v>403</v>
      </c>
      <c r="C451" s="10" t="s">
        <v>218</v>
      </c>
      <c r="D451" s="10" t="s">
        <v>36</v>
      </c>
      <c r="E451" s="10" t="s">
        <v>1</v>
      </c>
      <c r="F451" s="11" t="s">
        <v>49</v>
      </c>
      <c r="G451" s="19">
        <f>_xlfn.XLOOKUP(Participantes[[#This Row],[Seminario al que asistió]],Seminarios[Seminario],Seminarios[Año])</f>
        <v>2024</v>
      </c>
    </row>
    <row r="452" spans="1:7" x14ac:dyDescent="0.25">
      <c r="A452" s="4" t="s">
        <v>717</v>
      </c>
      <c r="B452" s="5"/>
      <c r="C452" s="5" t="s">
        <v>221</v>
      </c>
      <c r="D452" s="5" t="s">
        <v>48</v>
      </c>
      <c r="E452" s="5" t="s">
        <v>5</v>
      </c>
      <c r="F452" s="6" t="s">
        <v>83</v>
      </c>
      <c r="G452" s="19">
        <f>_xlfn.XLOOKUP(Participantes[[#This Row],[Seminario al que asistió]],Seminarios[Seminario],Seminarios[Año])</f>
        <v>2024</v>
      </c>
    </row>
    <row r="453" spans="1:7" x14ac:dyDescent="0.25">
      <c r="A453" s="7" t="s">
        <v>718</v>
      </c>
      <c r="B453" s="3"/>
      <c r="C453" s="3" t="s">
        <v>218</v>
      </c>
      <c r="D453" s="3" t="s">
        <v>48</v>
      </c>
      <c r="E453" s="3" t="s">
        <v>5</v>
      </c>
      <c r="F453" s="8" t="s">
        <v>83</v>
      </c>
      <c r="G453" s="19">
        <f>_xlfn.XLOOKUP(Participantes[[#This Row],[Seminario al que asistió]],Seminarios[Seminario],Seminarios[Año])</f>
        <v>2024</v>
      </c>
    </row>
    <row r="454" spans="1:7" x14ac:dyDescent="0.25">
      <c r="A454" s="7" t="s">
        <v>719</v>
      </c>
      <c r="B454" s="3"/>
      <c r="C454" s="3" t="s">
        <v>218</v>
      </c>
      <c r="D454" s="3" t="s">
        <v>48</v>
      </c>
      <c r="E454" s="3" t="s">
        <v>5</v>
      </c>
      <c r="F454" s="8" t="s">
        <v>83</v>
      </c>
      <c r="G454" s="19">
        <f>_xlfn.XLOOKUP(Participantes[[#This Row],[Seminario al que asistió]],Seminarios[Seminario],Seminarios[Año])</f>
        <v>2024</v>
      </c>
    </row>
    <row r="455" spans="1:7" x14ac:dyDescent="0.25">
      <c r="A455" s="7" t="s">
        <v>720</v>
      </c>
      <c r="B455" s="3" t="s">
        <v>721</v>
      </c>
      <c r="C455" s="3" t="s">
        <v>218</v>
      </c>
      <c r="D455" s="3" t="s">
        <v>48</v>
      </c>
      <c r="E455" s="3" t="s">
        <v>1</v>
      </c>
      <c r="F455" s="8" t="s">
        <v>83</v>
      </c>
      <c r="G455" s="19">
        <f>_xlfn.XLOOKUP(Participantes[[#This Row],[Seminario al que asistió]],Seminarios[Seminario],Seminarios[Año])</f>
        <v>2024</v>
      </c>
    </row>
    <row r="456" spans="1:7" x14ac:dyDescent="0.25">
      <c r="A456" s="7" t="s">
        <v>722</v>
      </c>
      <c r="B456" s="3" t="s">
        <v>723</v>
      </c>
      <c r="C456" s="3" t="s">
        <v>221</v>
      </c>
      <c r="D456" s="3" t="s">
        <v>43</v>
      </c>
      <c r="E456" s="3" t="s">
        <v>5</v>
      </c>
      <c r="F456" s="8" t="s">
        <v>83</v>
      </c>
      <c r="G456" s="19">
        <f>_xlfn.XLOOKUP(Participantes[[#This Row],[Seminario al que asistió]],Seminarios[Seminario],Seminarios[Año])</f>
        <v>2024</v>
      </c>
    </row>
    <row r="457" spans="1:7" x14ac:dyDescent="0.25">
      <c r="A457" s="7" t="s">
        <v>616</v>
      </c>
      <c r="B457" s="3" t="s">
        <v>724</v>
      </c>
      <c r="C457" s="3" t="s">
        <v>221</v>
      </c>
      <c r="D457" s="3" t="s">
        <v>36</v>
      </c>
      <c r="E457" s="3" t="s">
        <v>5</v>
      </c>
      <c r="F457" s="8" t="s">
        <v>83</v>
      </c>
      <c r="G457" s="19">
        <f>_xlfn.XLOOKUP(Participantes[[#This Row],[Seminario al que asistió]],Seminarios[Seminario],Seminarios[Año])</f>
        <v>2024</v>
      </c>
    </row>
    <row r="458" spans="1:7" x14ac:dyDescent="0.25">
      <c r="A458" s="7" t="s">
        <v>725</v>
      </c>
      <c r="B458" s="3"/>
      <c r="C458" s="3" t="s">
        <v>218</v>
      </c>
      <c r="D458" s="3" t="s">
        <v>48</v>
      </c>
      <c r="E458" s="3" t="s">
        <v>5</v>
      </c>
      <c r="F458" s="8" t="s">
        <v>83</v>
      </c>
      <c r="G458" s="19">
        <f>_xlfn.XLOOKUP(Participantes[[#This Row],[Seminario al que asistió]],Seminarios[Seminario],Seminarios[Año])</f>
        <v>2024</v>
      </c>
    </row>
    <row r="459" spans="1:7" x14ac:dyDescent="0.25">
      <c r="A459" s="7" t="s">
        <v>269</v>
      </c>
      <c r="B459" s="3" t="s">
        <v>270</v>
      </c>
      <c r="C459" s="3" t="s">
        <v>218</v>
      </c>
      <c r="D459" s="3" t="s">
        <v>36</v>
      </c>
      <c r="E459" s="3" t="s">
        <v>1</v>
      </c>
      <c r="F459" s="8" t="s">
        <v>83</v>
      </c>
      <c r="G459" s="19">
        <f>_xlfn.XLOOKUP(Participantes[[#This Row],[Seminario al que asistió]],Seminarios[Seminario],Seminarios[Año])</f>
        <v>2024</v>
      </c>
    </row>
    <row r="460" spans="1:7" x14ac:dyDescent="0.25">
      <c r="A460" s="7" t="s">
        <v>726</v>
      </c>
      <c r="B460" s="3" t="s">
        <v>727</v>
      </c>
      <c r="C460" s="3" t="s">
        <v>221</v>
      </c>
      <c r="D460" s="3" t="s">
        <v>48</v>
      </c>
      <c r="E460" s="3" t="s">
        <v>5</v>
      </c>
      <c r="F460" s="8" t="s">
        <v>83</v>
      </c>
      <c r="G460" s="19">
        <f>_xlfn.XLOOKUP(Participantes[[#This Row],[Seminario al que asistió]],Seminarios[Seminario],Seminarios[Año])</f>
        <v>2024</v>
      </c>
    </row>
    <row r="461" spans="1:7" x14ac:dyDescent="0.25">
      <c r="A461" s="7" t="s">
        <v>167</v>
      </c>
      <c r="B461" s="3" t="s">
        <v>284</v>
      </c>
      <c r="C461" s="3" t="s">
        <v>218</v>
      </c>
      <c r="D461" s="3" t="s">
        <v>36</v>
      </c>
      <c r="E461" s="3" t="s">
        <v>1</v>
      </c>
      <c r="F461" s="8" t="s">
        <v>83</v>
      </c>
      <c r="G461" s="19">
        <f>_xlfn.XLOOKUP(Participantes[[#This Row],[Seminario al que asistió]],Seminarios[Seminario],Seminarios[Año])</f>
        <v>2024</v>
      </c>
    </row>
    <row r="462" spans="1:7" x14ac:dyDescent="0.25">
      <c r="A462" s="7" t="s">
        <v>289</v>
      </c>
      <c r="B462" s="3" t="s">
        <v>290</v>
      </c>
      <c r="C462" s="3" t="s">
        <v>221</v>
      </c>
      <c r="D462" s="3" t="s">
        <v>36</v>
      </c>
      <c r="E462" s="3" t="s">
        <v>1</v>
      </c>
      <c r="F462" s="8" t="s">
        <v>83</v>
      </c>
      <c r="G462" s="19">
        <f>_xlfn.XLOOKUP(Participantes[[#This Row],[Seminario al que asistió]],Seminarios[Seminario],Seminarios[Año])</f>
        <v>2024</v>
      </c>
    </row>
    <row r="463" spans="1:7" x14ac:dyDescent="0.25">
      <c r="A463" s="7" t="s">
        <v>728</v>
      </c>
      <c r="B463" s="3" t="s">
        <v>729</v>
      </c>
      <c r="C463" s="3" t="s">
        <v>221</v>
      </c>
      <c r="D463" s="3" t="s">
        <v>48</v>
      </c>
      <c r="E463" s="3" t="s">
        <v>5</v>
      </c>
      <c r="F463" s="8" t="s">
        <v>83</v>
      </c>
      <c r="G463" s="19">
        <f>_xlfn.XLOOKUP(Participantes[[#This Row],[Seminario al que asistió]],Seminarios[Seminario],Seminarios[Año])</f>
        <v>2024</v>
      </c>
    </row>
    <row r="464" spans="1:7" x14ac:dyDescent="0.25">
      <c r="A464" s="7" t="s">
        <v>730</v>
      </c>
      <c r="B464" s="3"/>
      <c r="C464" s="3" t="s">
        <v>218</v>
      </c>
      <c r="D464" s="3" t="s">
        <v>48</v>
      </c>
      <c r="E464" s="3" t="s">
        <v>5</v>
      </c>
      <c r="F464" s="8" t="s">
        <v>83</v>
      </c>
      <c r="G464" s="19">
        <f>_xlfn.XLOOKUP(Participantes[[#This Row],[Seminario al que asistió]],Seminarios[Seminario],Seminarios[Año])</f>
        <v>2024</v>
      </c>
    </row>
    <row r="465" spans="1:7" x14ac:dyDescent="0.25">
      <c r="A465" s="7" t="s">
        <v>731</v>
      </c>
      <c r="B465" s="3" t="s">
        <v>732</v>
      </c>
      <c r="C465" s="3" t="s">
        <v>221</v>
      </c>
      <c r="D465" s="3" t="s">
        <v>36</v>
      </c>
      <c r="E465" s="3" t="s">
        <v>5</v>
      </c>
      <c r="F465" s="8" t="s">
        <v>83</v>
      </c>
      <c r="G465" s="19">
        <f>_xlfn.XLOOKUP(Participantes[[#This Row],[Seminario al que asistió]],Seminarios[Seminario],Seminarios[Año])</f>
        <v>2024</v>
      </c>
    </row>
    <row r="466" spans="1:7" x14ac:dyDescent="0.25">
      <c r="A466" s="80" t="s">
        <v>562</v>
      </c>
      <c r="B466" s="3"/>
      <c r="C466" s="3" t="s">
        <v>218</v>
      </c>
      <c r="D466" s="3" t="s">
        <v>48</v>
      </c>
      <c r="E466" s="3" t="s">
        <v>1</v>
      </c>
      <c r="F466" s="8" t="s">
        <v>83</v>
      </c>
      <c r="G466" s="19">
        <f>_xlfn.XLOOKUP(Participantes[[#This Row],[Seminario al que asistió]],Seminarios[Seminario],Seminarios[Año])</f>
        <v>2024</v>
      </c>
    </row>
    <row r="467" spans="1:7" x14ac:dyDescent="0.25">
      <c r="A467" s="7" t="s">
        <v>733</v>
      </c>
      <c r="B467" s="3"/>
      <c r="C467" s="3" t="s">
        <v>218</v>
      </c>
      <c r="D467" s="3" t="s">
        <v>48</v>
      </c>
      <c r="E467" s="3" t="s">
        <v>1</v>
      </c>
      <c r="F467" s="8" t="s">
        <v>83</v>
      </c>
      <c r="G467" s="19">
        <f>_xlfn.XLOOKUP(Participantes[[#This Row],[Seminario al que asistió]],Seminarios[Seminario],Seminarios[Año])</f>
        <v>2024</v>
      </c>
    </row>
    <row r="468" spans="1:7" x14ac:dyDescent="0.25">
      <c r="A468" s="7" t="s">
        <v>734</v>
      </c>
      <c r="B468" s="3" t="s">
        <v>698</v>
      </c>
      <c r="C468" s="3" t="s">
        <v>221</v>
      </c>
      <c r="D468" s="3" t="s">
        <v>36</v>
      </c>
      <c r="E468" s="3" t="s">
        <v>1</v>
      </c>
      <c r="F468" s="8" t="s">
        <v>83</v>
      </c>
      <c r="G468" s="19">
        <f>_xlfn.XLOOKUP(Participantes[[#This Row],[Seminario al que asistió]],Seminarios[Seminario],Seminarios[Año])</f>
        <v>2024</v>
      </c>
    </row>
    <row r="469" spans="1:7" x14ac:dyDescent="0.25">
      <c r="A469" s="7" t="s">
        <v>246</v>
      </c>
      <c r="B469" s="3" t="s">
        <v>735</v>
      </c>
      <c r="C469" s="3" t="s">
        <v>218</v>
      </c>
      <c r="D469" s="3" t="s">
        <v>36</v>
      </c>
      <c r="E469" s="3" t="s">
        <v>1</v>
      </c>
      <c r="F469" s="8" t="s">
        <v>83</v>
      </c>
      <c r="G469" s="19">
        <f>_xlfn.XLOOKUP(Participantes[[#This Row],[Seminario al que asistió]],Seminarios[Seminario],Seminarios[Año])</f>
        <v>2024</v>
      </c>
    </row>
    <row r="470" spans="1:7" x14ac:dyDescent="0.25">
      <c r="A470" s="7" t="s">
        <v>736</v>
      </c>
      <c r="B470" s="3"/>
      <c r="C470" s="3" t="s">
        <v>218</v>
      </c>
      <c r="D470" s="3" t="s">
        <v>48</v>
      </c>
      <c r="E470" s="3" t="s">
        <v>5</v>
      </c>
      <c r="F470" s="8" t="s">
        <v>83</v>
      </c>
      <c r="G470" s="19">
        <f>_xlfn.XLOOKUP(Participantes[[#This Row],[Seminario al que asistió]],Seminarios[Seminario],Seminarios[Año])</f>
        <v>2024</v>
      </c>
    </row>
    <row r="471" spans="1:7" x14ac:dyDescent="0.25">
      <c r="A471" s="7" t="s">
        <v>253</v>
      </c>
      <c r="B471" s="3" t="s">
        <v>254</v>
      </c>
      <c r="C471" s="3" t="s">
        <v>218</v>
      </c>
      <c r="D471" s="3" t="s">
        <v>36</v>
      </c>
      <c r="E471" s="3" t="s">
        <v>1</v>
      </c>
      <c r="F471" s="8" t="s">
        <v>83</v>
      </c>
      <c r="G471" s="19">
        <f>_xlfn.XLOOKUP(Participantes[[#This Row],[Seminario al que asistió]],Seminarios[Seminario],Seminarios[Año])</f>
        <v>2024</v>
      </c>
    </row>
    <row r="472" spans="1:7" x14ac:dyDescent="0.25">
      <c r="A472" s="7" t="s">
        <v>737</v>
      </c>
      <c r="B472" s="3"/>
      <c r="C472" s="3" t="s">
        <v>218</v>
      </c>
      <c r="D472" s="3" t="s">
        <v>48</v>
      </c>
      <c r="E472" s="3" t="s">
        <v>5</v>
      </c>
      <c r="F472" s="8" t="s">
        <v>83</v>
      </c>
      <c r="G472" s="19">
        <f>_xlfn.XLOOKUP(Participantes[[#This Row],[Seminario al que asistió]],Seminarios[Seminario],Seminarios[Año])</f>
        <v>2024</v>
      </c>
    </row>
    <row r="473" spans="1:7" x14ac:dyDescent="0.25">
      <c r="A473" s="7" t="s">
        <v>738</v>
      </c>
      <c r="B473" s="3" t="s">
        <v>259</v>
      </c>
      <c r="C473" s="3" t="s">
        <v>218</v>
      </c>
      <c r="D473" s="3" t="s">
        <v>36</v>
      </c>
      <c r="E473" s="3" t="s">
        <v>5</v>
      </c>
      <c r="F473" s="8" t="s">
        <v>83</v>
      </c>
      <c r="G473" s="19">
        <f>_xlfn.XLOOKUP(Participantes[[#This Row],[Seminario al que asistió]],Seminarios[Seminario],Seminarios[Año])</f>
        <v>2024</v>
      </c>
    </row>
    <row r="474" spans="1:7" x14ac:dyDescent="0.25">
      <c r="A474" s="7" t="s">
        <v>739</v>
      </c>
      <c r="B474" s="3" t="s">
        <v>740</v>
      </c>
      <c r="C474" s="3" t="s">
        <v>218</v>
      </c>
      <c r="D474" s="3" t="s">
        <v>43</v>
      </c>
      <c r="E474" s="3" t="s">
        <v>5</v>
      </c>
      <c r="F474" s="8" t="s">
        <v>83</v>
      </c>
      <c r="G474" s="19">
        <f>_xlfn.XLOOKUP(Participantes[[#This Row],[Seminario al que asistió]],Seminarios[Seminario],Seminarios[Año])</f>
        <v>2024</v>
      </c>
    </row>
    <row r="475" spans="1:7" x14ac:dyDescent="0.25">
      <c r="A475" s="7" t="s">
        <v>741</v>
      </c>
      <c r="B475" s="3"/>
      <c r="C475" s="3" t="s">
        <v>218</v>
      </c>
      <c r="D475" s="3" t="s">
        <v>48</v>
      </c>
      <c r="E475" s="3" t="s">
        <v>5</v>
      </c>
      <c r="F475" s="8" t="s">
        <v>83</v>
      </c>
      <c r="G475" s="19">
        <f>_xlfn.XLOOKUP(Participantes[[#This Row],[Seminario al que asistió]],Seminarios[Seminario],Seminarios[Año])</f>
        <v>2024</v>
      </c>
    </row>
    <row r="476" spans="1:7" x14ac:dyDescent="0.25">
      <c r="A476" s="7" t="s">
        <v>742</v>
      </c>
      <c r="B476" s="3" t="s">
        <v>743</v>
      </c>
      <c r="C476" s="3" t="s">
        <v>218</v>
      </c>
      <c r="D476" s="3" t="s">
        <v>36</v>
      </c>
      <c r="E476" s="3" t="s">
        <v>1</v>
      </c>
      <c r="F476" s="8" t="s">
        <v>83</v>
      </c>
      <c r="G476" s="19">
        <f>_xlfn.XLOOKUP(Participantes[[#This Row],[Seminario al que asistió]],Seminarios[Seminario],Seminarios[Año])</f>
        <v>2024</v>
      </c>
    </row>
    <row r="477" spans="1:7" x14ac:dyDescent="0.25">
      <c r="A477" s="7" t="s">
        <v>744</v>
      </c>
      <c r="B477" s="3"/>
      <c r="C477" s="3" t="s">
        <v>221</v>
      </c>
      <c r="D477" s="3" t="s">
        <v>48</v>
      </c>
      <c r="E477" s="3" t="s">
        <v>5</v>
      </c>
      <c r="F477" s="8" t="s">
        <v>83</v>
      </c>
      <c r="G477" s="19">
        <f>_xlfn.XLOOKUP(Participantes[[#This Row],[Seminario al que asistió]],Seminarios[Seminario],Seminarios[Año])</f>
        <v>2024</v>
      </c>
    </row>
    <row r="478" spans="1:7" x14ac:dyDescent="0.25">
      <c r="A478" s="7" t="s">
        <v>745</v>
      </c>
      <c r="B478" s="3"/>
      <c r="C478" s="3" t="s">
        <v>218</v>
      </c>
      <c r="D478" s="3" t="s">
        <v>48</v>
      </c>
      <c r="E478" s="3" t="s">
        <v>5</v>
      </c>
      <c r="F478" s="8" t="s">
        <v>83</v>
      </c>
      <c r="G478" s="19">
        <f>_xlfn.XLOOKUP(Participantes[[#This Row],[Seminario al que asistió]],Seminarios[Seminario],Seminarios[Año])</f>
        <v>2024</v>
      </c>
    </row>
    <row r="479" spans="1:7" x14ac:dyDescent="0.25">
      <c r="A479" s="7" t="s">
        <v>746</v>
      </c>
      <c r="B479" s="3"/>
      <c r="C479" s="3" t="s">
        <v>218</v>
      </c>
      <c r="D479" s="3" t="s">
        <v>36</v>
      </c>
      <c r="E479" s="3" t="s">
        <v>1</v>
      </c>
      <c r="F479" s="8" t="s">
        <v>83</v>
      </c>
      <c r="G479" s="19">
        <f>_xlfn.XLOOKUP(Participantes[[#This Row],[Seminario al que asistió]],Seminarios[Seminario],Seminarios[Año])</f>
        <v>2024</v>
      </c>
    </row>
    <row r="480" spans="1:7" x14ac:dyDescent="0.25">
      <c r="A480" s="81" t="s">
        <v>747</v>
      </c>
      <c r="B480" s="3"/>
      <c r="C480" s="3" t="s">
        <v>218</v>
      </c>
      <c r="D480" s="3" t="s">
        <v>48</v>
      </c>
      <c r="E480" s="3" t="s">
        <v>1</v>
      </c>
      <c r="F480" s="8" t="s">
        <v>83</v>
      </c>
      <c r="G480" s="19">
        <f>_xlfn.XLOOKUP(Participantes[[#This Row],[Seminario al que asistió]],Seminarios[Seminario],Seminarios[Año])</f>
        <v>2024</v>
      </c>
    </row>
    <row r="481" spans="1:7" x14ac:dyDescent="0.25">
      <c r="A481" s="7" t="s">
        <v>748</v>
      </c>
      <c r="B481" s="3" t="s">
        <v>749</v>
      </c>
      <c r="C481" s="3" t="s">
        <v>218</v>
      </c>
      <c r="D481" s="3" t="s">
        <v>36</v>
      </c>
      <c r="E481" s="3" t="s">
        <v>5</v>
      </c>
      <c r="F481" s="8" t="s">
        <v>83</v>
      </c>
      <c r="G481" s="19">
        <f>_xlfn.XLOOKUP(Participantes[[#This Row],[Seminario al que asistió]],Seminarios[Seminario],Seminarios[Año])</f>
        <v>2024</v>
      </c>
    </row>
    <row r="482" spans="1:7" x14ac:dyDescent="0.25">
      <c r="A482" s="7" t="s">
        <v>750</v>
      </c>
      <c r="B482" s="3"/>
      <c r="C482" s="3" t="s">
        <v>221</v>
      </c>
      <c r="D482" s="3" t="s">
        <v>36</v>
      </c>
      <c r="E482" s="3" t="s">
        <v>1</v>
      </c>
      <c r="F482" s="8" t="s">
        <v>83</v>
      </c>
      <c r="G482" s="19">
        <f>_xlfn.XLOOKUP(Participantes[[#This Row],[Seminario al que asistió]],Seminarios[Seminario],Seminarios[Año])</f>
        <v>2024</v>
      </c>
    </row>
    <row r="483" spans="1:7" x14ac:dyDescent="0.25">
      <c r="A483" s="7" t="s">
        <v>751</v>
      </c>
      <c r="B483" s="3"/>
      <c r="C483" s="3" t="s">
        <v>218</v>
      </c>
      <c r="D483" s="3" t="s">
        <v>48</v>
      </c>
      <c r="E483" s="3" t="s">
        <v>5</v>
      </c>
      <c r="F483" s="8" t="s">
        <v>83</v>
      </c>
      <c r="G483" s="19">
        <f>_xlfn.XLOOKUP(Participantes[[#This Row],[Seminario al que asistió]],Seminarios[Seminario],Seminarios[Año])</f>
        <v>2024</v>
      </c>
    </row>
    <row r="484" spans="1:7" x14ac:dyDescent="0.25">
      <c r="A484" s="7" t="s">
        <v>752</v>
      </c>
      <c r="B484" s="3" t="s">
        <v>753</v>
      </c>
      <c r="C484" s="3" t="s">
        <v>221</v>
      </c>
      <c r="D484" s="3" t="s">
        <v>36</v>
      </c>
      <c r="E484" s="3" t="s">
        <v>5</v>
      </c>
      <c r="F484" s="8" t="s">
        <v>83</v>
      </c>
      <c r="G484" s="19">
        <f>_xlfn.XLOOKUP(Participantes[[#This Row],[Seminario al que asistió]],Seminarios[Seminario],Seminarios[Año])</f>
        <v>2024</v>
      </c>
    </row>
    <row r="485" spans="1:7" x14ac:dyDescent="0.25">
      <c r="A485" s="7" t="s">
        <v>754</v>
      </c>
      <c r="B485" s="3"/>
      <c r="C485" s="3" t="s">
        <v>218</v>
      </c>
      <c r="D485" s="3" t="s">
        <v>48</v>
      </c>
      <c r="E485" s="3" t="s">
        <v>5</v>
      </c>
      <c r="F485" s="8" t="s">
        <v>83</v>
      </c>
      <c r="G485" s="19">
        <f>_xlfn.XLOOKUP(Participantes[[#This Row],[Seminario al que asistió]],Seminarios[Seminario],Seminarios[Año])</f>
        <v>2024</v>
      </c>
    </row>
    <row r="486" spans="1:7" x14ac:dyDescent="0.25">
      <c r="A486" s="7" t="s">
        <v>755</v>
      </c>
      <c r="B486" s="3" t="s">
        <v>756</v>
      </c>
      <c r="C486" s="3" t="s">
        <v>221</v>
      </c>
      <c r="D486" s="3" t="s">
        <v>48</v>
      </c>
      <c r="E486" s="3" t="s">
        <v>5</v>
      </c>
      <c r="F486" s="8" t="s">
        <v>83</v>
      </c>
      <c r="G486" s="19">
        <f>_xlfn.XLOOKUP(Participantes[[#This Row],[Seminario al que asistió]],Seminarios[Seminario],Seminarios[Año])</f>
        <v>2024</v>
      </c>
    </row>
    <row r="487" spans="1:7" x14ac:dyDescent="0.25">
      <c r="A487" s="7" t="s">
        <v>177</v>
      </c>
      <c r="B487" s="3"/>
      <c r="C487" s="3" t="s">
        <v>221</v>
      </c>
      <c r="D487" s="3" t="s">
        <v>36</v>
      </c>
      <c r="E487" s="3" t="s">
        <v>1</v>
      </c>
      <c r="F487" s="8" t="s">
        <v>83</v>
      </c>
      <c r="G487" s="19">
        <f>_xlfn.XLOOKUP(Participantes[[#This Row],[Seminario al que asistió]],Seminarios[Seminario],Seminarios[Año])</f>
        <v>2024</v>
      </c>
    </row>
    <row r="488" spans="1:7" x14ac:dyDescent="0.25">
      <c r="A488" s="7" t="s">
        <v>757</v>
      </c>
      <c r="B488" s="3"/>
      <c r="C488" s="3" t="s">
        <v>218</v>
      </c>
      <c r="D488" s="3" t="s">
        <v>48</v>
      </c>
      <c r="E488" s="3" t="s">
        <v>5</v>
      </c>
      <c r="F488" s="8" t="s">
        <v>83</v>
      </c>
      <c r="G488" s="19">
        <f>_xlfn.XLOOKUP(Participantes[[#This Row],[Seminario al que asistió]],Seminarios[Seminario],Seminarios[Año])</f>
        <v>2024</v>
      </c>
    </row>
    <row r="489" spans="1:7" x14ac:dyDescent="0.25">
      <c r="A489" s="7" t="s">
        <v>165</v>
      </c>
      <c r="B489" s="3" t="s">
        <v>339</v>
      </c>
      <c r="C489" s="3" t="s">
        <v>218</v>
      </c>
      <c r="D489" s="3" t="s">
        <v>36</v>
      </c>
      <c r="E489" s="3" t="s">
        <v>1</v>
      </c>
      <c r="F489" s="8" t="s">
        <v>83</v>
      </c>
      <c r="G489" s="19">
        <f>_xlfn.XLOOKUP(Participantes[[#This Row],[Seminario al que asistió]],Seminarios[Seminario],Seminarios[Año])</f>
        <v>2024</v>
      </c>
    </row>
    <row r="490" spans="1:7" x14ac:dyDescent="0.25">
      <c r="A490" s="7" t="s">
        <v>758</v>
      </c>
      <c r="B490" s="3"/>
      <c r="C490" s="3" t="s">
        <v>218</v>
      </c>
      <c r="D490" s="3" t="s">
        <v>36</v>
      </c>
      <c r="E490" s="3" t="s">
        <v>1</v>
      </c>
      <c r="F490" s="8" t="s">
        <v>83</v>
      </c>
      <c r="G490" s="19">
        <f>_xlfn.XLOOKUP(Participantes[[#This Row],[Seminario al que asistió]],Seminarios[Seminario],Seminarios[Año])</f>
        <v>2024</v>
      </c>
    </row>
    <row r="491" spans="1:7" x14ac:dyDescent="0.25">
      <c r="A491" s="7" t="s">
        <v>671</v>
      </c>
      <c r="B491" s="3"/>
      <c r="C491" s="3" t="s">
        <v>218</v>
      </c>
      <c r="D491" s="3" t="s">
        <v>36</v>
      </c>
      <c r="E491" s="3" t="s">
        <v>1</v>
      </c>
      <c r="F491" s="8" t="s">
        <v>83</v>
      </c>
      <c r="G491" s="19">
        <f>_xlfn.XLOOKUP(Participantes[[#This Row],[Seminario al que asistió]],Seminarios[Seminario],Seminarios[Año])</f>
        <v>2024</v>
      </c>
    </row>
    <row r="492" spans="1:7" x14ac:dyDescent="0.25">
      <c r="A492" s="7" t="s">
        <v>759</v>
      </c>
      <c r="B492" s="3" t="s">
        <v>224</v>
      </c>
      <c r="C492" s="3" t="s">
        <v>221</v>
      </c>
      <c r="D492" s="3" t="s">
        <v>36</v>
      </c>
      <c r="E492" s="3" t="s">
        <v>5</v>
      </c>
      <c r="F492" s="8" t="s">
        <v>83</v>
      </c>
      <c r="G492" s="19">
        <f>_xlfn.XLOOKUP(Participantes[[#This Row],[Seminario al que asistió]],Seminarios[Seminario],Seminarios[Año])</f>
        <v>2024</v>
      </c>
    </row>
    <row r="493" spans="1:7" x14ac:dyDescent="0.25">
      <c r="A493" s="7" t="s">
        <v>760</v>
      </c>
      <c r="B493" s="3" t="s">
        <v>761</v>
      </c>
      <c r="C493" s="3" t="s">
        <v>221</v>
      </c>
      <c r="D493" s="3" t="s">
        <v>43</v>
      </c>
      <c r="E493" s="3" t="s">
        <v>5</v>
      </c>
      <c r="F493" s="8" t="s">
        <v>83</v>
      </c>
      <c r="G493" s="19">
        <f>_xlfn.XLOOKUP(Participantes[[#This Row],[Seminario al que asistió]],Seminarios[Seminario],Seminarios[Año])</f>
        <v>2024</v>
      </c>
    </row>
    <row r="494" spans="1:7" x14ac:dyDescent="0.25">
      <c r="A494" s="7" t="s">
        <v>762</v>
      </c>
      <c r="B494" s="3" t="s">
        <v>763</v>
      </c>
      <c r="C494" s="3" t="s">
        <v>218</v>
      </c>
      <c r="D494" s="3" t="s">
        <v>48</v>
      </c>
      <c r="E494" s="3" t="s">
        <v>5</v>
      </c>
      <c r="F494" s="8" t="s">
        <v>83</v>
      </c>
      <c r="G494" s="19">
        <f>_xlfn.XLOOKUP(Participantes[[#This Row],[Seminario al que asistió]],Seminarios[Seminario],Seminarios[Año])</f>
        <v>2024</v>
      </c>
    </row>
    <row r="495" spans="1:7" x14ac:dyDescent="0.25">
      <c r="A495" s="7" t="s">
        <v>615</v>
      </c>
      <c r="B495" s="3"/>
      <c r="C495" s="3" t="s">
        <v>221</v>
      </c>
      <c r="D495" s="3" t="s">
        <v>48</v>
      </c>
      <c r="E495" s="3" t="s">
        <v>5</v>
      </c>
      <c r="F495" s="8" t="s">
        <v>83</v>
      </c>
      <c r="G495" s="19">
        <f>_xlfn.XLOOKUP(Participantes[[#This Row],[Seminario al que asistió]],Seminarios[Seminario],Seminarios[Año])</f>
        <v>2024</v>
      </c>
    </row>
    <row r="496" spans="1:7" x14ac:dyDescent="0.25">
      <c r="A496" s="7" t="s">
        <v>764</v>
      </c>
      <c r="B496" s="3"/>
      <c r="C496" s="3" t="s">
        <v>221</v>
      </c>
      <c r="D496" s="3" t="s">
        <v>48</v>
      </c>
      <c r="E496" s="3" t="s">
        <v>5</v>
      </c>
      <c r="F496" s="8" t="s">
        <v>83</v>
      </c>
      <c r="G496" s="19">
        <f>_xlfn.XLOOKUP(Participantes[[#This Row],[Seminario al que asistió]],Seminarios[Seminario],Seminarios[Año])</f>
        <v>2024</v>
      </c>
    </row>
    <row r="497" spans="1:7" x14ac:dyDescent="0.25">
      <c r="A497" s="7" t="s">
        <v>765</v>
      </c>
      <c r="B497" s="3" t="s">
        <v>766</v>
      </c>
      <c r="C497" s="3" t="s">
        <v>218</v>
      </c>
      <c r="D497" s="3" t="s">
        <v>43</v>
      </c>
      <c r="E497" s="3" t="s">
        <v>5</v>
      </c>
      <c r="F497" s="8" t="s">
        <v>83</v>
      </c>
      <c r="G497" s="19">
        <f>_xlfn.XLOOKUP(Participantes[[#This Row],[Seminario al que asistió]],Seminarios[Seminario],Seminarios[Año])</f>
        <v>2024</v>
      </c>
    </row>
    <row r="498" spans="1:7" x14ac:dyDescent="0.25">
      <c r="A498" s="80" t="s">
        <v>767</v>
      </c>
      <c r="B498" s="3"/>
      <c r="C498" s="3" t="s">
        <v>218</v>
      </c>
      <c r="D498" s="3" t="s">
        <v>36</v>
      </c>
      <c r="E498" s="3" t="s">
        <v>1</v>
      </c>
      <c r="F498" s="8" t="s">
        <v>83</v>
      </c>
      <c r="G498" s="19">
        <f>_xlfn.XLOOKUP(Participantes[[#This Row],[Seminario al que asistió]],Seminarios[Seminario],Seminarios[Año])</f>
        <v>2024</v>
      </c>
    </row>
    <row r="499" spans="1:7" x14ac:dyDescent="0.25">
      <c r="A499" s="7" t="s">
        <v>768</v>
      </c>
      <c r="B499" s="3"/>
      <c r="C499" s="3" t="s">
        <v>218</v>
      </c>
      <c r="D499" s="3" t="s">
        <v>48</v>
      </c>
      <c r="E499" s="3" t="s">
        <v>5</v>
      </c>
      <c r="F499" s="8" t="s">
        <v>83</v>
      </c>
      <c r="G499" s="19">
        <f>_xlfn.XLOOKUP(Participantes[[#This Row],[Seminario al que asistió]],Seminarios[Seminario],Seminarios[Año])</f>
        <v>2024</v>
      </c>
    </row>
    <row r="500" spans="1:7" x14ac:dyDescent="0.25">
      <c r="A500" s="7" t="s">
        <v>769</v>
      </c>
      <c r="B500" s="3" t="s">
        <v>770</v>
      </c>
      <c r="C500" s="3" t="s">
        <v>221</v>
      </c>
      <c r="D500" s="3" t="s">
        <v>36</v>
      </c>
      <c r="E500" s="3" t="s">
        <v>1</v>
      </c>
      <c r="F500" s="8" t="s">
        <v>83</v>
      </c>
      <c r="G500" s="19">
        <f>_xlfn.XLOOKUP(Participantes[[#This Row],[Seminario al que asistió]],Seminarios[Seminario],Seminarios[Año])</f>
        <v>2024</v>
      </c>
    </row>
    <row r="501" spans="1:7" x14ac:dyDescent="0.25">
      <c r="A501" s="7" t="s">
        <v>771</v>
      </c>
      <c r="B501" s="3"/>
      <c r="C501" s="3" t="s">
        <v>221</v>
      </c>
      <c r="D501" s="3" t="s">
        <v>48</v>
      </c>
      <c r="E501" s="3" t="s">
        <v>5</v>
      </c>
      <c r="F501" s="8" t="s">
        <v>83</v>
      </c>
      <c r="G501" s="19">
        <f>_xlfn.XLOOKUP(Participantes[[#This Row],[Seminario al que asistió]],Seminarios[Seminario],Seminarios[Año])</f>
        <v>2024</v>
      </c>
    </row>
    <row r="502" spans="1:7" x14ac:dyDescent="0.25">
      <c r="A502" s="7" t="s">
        <v>593</v>
      </c>
      <c r="B502" s="3" t="s">
        <v>594</v>
      </c>
      <c r="C502" s="3" t="s">
        <v>221</v>
      </c>
      <c r="D502" s="3" t="s">
        <v>48</v>
      </c>
      <c r="E502" s="3" t="s">
        <v>5</v>
      </c>
      <c r="F502" s="8" t="s">
        <v>83</v>
      </c>
      <c r="G502" s="19">
        <f>_xlfn.XLOOKUP(Participantes[[#This Row],[Seminario al que asistió]],Seminarios[Seminario],Seminarios[Año])</f>
        <v>2024</v>
      </c>
    </row>
    <row r="503" spans="1:7" x14ac:dyDescent="0.25">
      <c r="A503" s="7" t="s">
        <v>772</v>
      </c>
      <c r="B503" s="3" t="s">
        <v>292</v>
      </c>
      <c r="C503" s="3" t="s">
        <v>221</v>
      </c>
      <c r="D503" s="3" t="s">
        <v>36</v>
      </c>
      <c r="E503" s="3" t="s">
        <v>5</v>
      </c>
      <c r="F503" s="8" t="s">
        <v>83</v>
      </c>
      <c r="G503" s="19">
        <f>_xlfn.XLOOKUP(Participantes[[#This Row],[Seminario al que asistió]],Seminarios[Seminario],Seminarios[Año])</f>
        <v>2024</v>
      </c>
    </row>
    <row r="504" spans="1:7" x14ac:dyDescent="0.25">
      <c r="A504" s="7" t="s">
        <v>773</v>
      </c>
      <c r="B504" s="3" t="s">
        <v>277</v>
      </c>
      <c r="C504" s="3" t="s">
        <v>218</v>
      </c>
      <c r="D504" s="3" t="s">
        <v>36</v>
      </c>
      <c r="E504" s="3" t="s">
        <v>5</v>
      </c>
      <c r="F504" s="8" t="s">
        <v>83</v>
      </c>
      <c r="G504" s="19">
        <f>_xlfn.XLOOKUP(Participantes[[#This Row],[Seminario al que asistió]],Seminarios[Seminario],Seminarios[Año])</f>
        <v>2024</v>
      </c>
    </row>
    <row r="505" spans="1:7" x14ac:dyDescent="0.25">
      <c r="A505" s="7" t="s">
        <v>774</v>
      </c>
      <c r="B505" s="3" t="s">
        <v>222</v>
      </c>
      <c r="C505" s="3" t="s">
        <v>221</v>
      </c>
      <c r="D505" s="3" t="s">
        <v>36</v>
      </c>
      <c r="E505" s="3" t="s">
        <v>5</v>
      </c>
      <c r="F505" s="8" t="s">
        <v>83</v>
      </c>
      <c r="G505" s="19">
        <f>_xlfn.XLOOKUP(Participantes[[#This Row],[Seminario al que asistió]],Seminarios[Seminario],Seminarios[Año])</f>
        <v>2024</v>
      </c>
    </row>
    <row r="506" spans="1:7" ht="15.75" thickBot="1" x14ac:dyDescent="0.3">
      <c r="A506" s="82" t="s">
        <v>775</v>
      </c>
      <c r="B506" s="10"/>
      <c r="C506" s="10" t="s">
        <v>221</v>
      </c>
      <c r="D506" s="10" t="s">
        <v>48</v>
      </c>
      <c r="E506" s="10" t="s">
        <v>1</v>
      </c>
      <c r="F506" s="11" t="s">
        <v>83</v>
      </c>
      <c r="G506" s="19">
        <f>_xlfn.XLOOKUP(Participantes[[#This Row],[Seminario al que asistió]],Seminarios[Seminario],Seminarios[Año])</f>
        <v>2024</v>
      </c>
    </row>
    <row r="507" spans="1:7" x14ac:dyDescent="0.25">
      <c r="A507" s="61" t="s">
        <v>317</v>
      </c>
      <c r="B507" s="5" t="s">
        <v>318</v>
      </c>
      <c r="C507" s="5" t="s">
        <v>218</v>
      </c>
      <c r="D507" s="5" t="s">
        <v>36</v>
      </c>
      <c r="E507" s="5" t="s">
        <v>5</v>
      </c>
      <c r="F507" s="63" t="s">
        <v>90</v>
      </c>
      <c r="G507" s="19">
        <f>_xlfn.XLOOKUP(Participantes[[#This Row],[Seminario al que asistió]],Seminarios[Seminario],Seminarios[Año])</f>
        <v>2024</v>
      </c>
    </row>
    <row r="508" spans="1:7" x14ac:dyDescent="0.25">
      <c r="A508" s="62" t="s">
        <v>776</v>
      </c>
      <c r="B508" s="3" t="s">
        <v>279</v>
      </c>
      <c r="C508" s="3" t="s">
        <v>218</v>
      </c>
      <c r="D508" s="3" t="s">
        <v>36</v>
      </c>
      <c r="E508" s="3" t="s">
        <v>5</v>
      </c>
      <c r="F508" s="64" t="s">
        <v>90</v>
      </c>
      <c r="G508" s="19">
        <f>_xlfn.XLOOKUP(Participantes[[#This Row],[Seminario al que asistió]],Seminarios[Seminario],Seminarios[Año])</f>
        <v>2024</v>
      </c>
    </row>
    <row r="509" spans="1:7" x14ac:dyDescent="0.25">
      <c r="A509" s="62" t="s">
        <v>777</v>
      </c>
      <c r="B509" t="s">
        <v>254</v>
      </c>
      <c r="C509" s="3" t="s">
        <v>218</v>
      </c>
      <c r="D509" s="3" t="s">
        <v>36</v>
      </c>
      <c r="E509" s="3" t="s">
        <v>5</v>
      </c>
      <c r="F509" s="64" t="s">
        <v>90</v>
      </c>
      <c r="G509" s="19">
        <f>_xlfn.XLOOKUP(Participantes[[#This Row],[Seminario al que asistió]],Seminarios[Seminario],Seminarios[Año])</f>
        <v>2024</v>
      </c>
    </row>
    <row r="510" spans="1:7" x14ac:dyDescent="0.25">
      <c r="A510" s="62" t="s">
        <v>519</v>
      </c>
      <c r="B510" s="3" t="s">
        <v>314</v>
      </c>
      <c r="C510" s="3" t="s">
        <v>221</v>
      </c>
      <c r="D510" s="3" t="s">
        <v>36</v>
      </c>
      <c r="E510" s="3" t="s">
        <v>5</v>
      </c>
      <c r="F510" s="64" t="s">
        <v>90</v>
      </c>
      <c r="G510" s="19">
        <f>_xlfn.XLOOKUP(Participantes[[#This Row],[Seminario al que asistió]],Seminarios[Seminario],Seminarios[Año])</f>
        <v>2024</v>
      </c>
    </row>
    <row r="511" spans="1:7" x14ac:dyDescent="0.25">
      <c r="A511" s="7" t="s">
        <v>831</v>
      </c>
      <c r="B511" s="3" t="s">
        <v>304</v>
      </c>
      <c r="C511" s="3" t="s">
        <v>221</v>
      </c>
      <c r="D511" s="3" t="s">
        <v>36</v>
      </c>
      <c r="E511" s="3" t="s">
        <v>5</v>
      </c>
      <c r="F511" s="64" t="s">
        <v>90</v>
      </c>
      <c r="G511" s="19">
        <f>_xlfn.XLOOKUP(Participantes[[#This Row],[Seminario al que asistió]],Seminarios[Seminario],Seminarios[Año])</f>
        <v>2024</v>
      </c>
    </row>
    <row r="512" spans="1:7" x14ac:dyDescent="0.25">
      <c r="A512" s="62" t="s">
        <v>227</v>
      </c>
      <c r="B512" s="3" t="s">
        <v>228</v>
      </c>
      <c r="C512" s="3" t="s">
        <v>218</v>
      </c>
      <c r="D512" s="3" t="s">
        <v>36</v>
      </c>
      <c r="E512" s="3" t="s">
        <v>5</v>
      </c>
      <c r="F512" s="64" t="s">
        <v>90</v>
      </c>
      <c r="G512" s="19">
        <f>_xlfn.XLOOKUP(Participantes[[#This Row],[Seminario al que asistió]],Seminarios[Seminario],Seminarios[Año])</f>
        <v>2024</v>
      </c>
    </row>
    <row r="513" spans="1:7" x14ac:dyDescent="0.25">
      <c r="A513" s="62" t="s">
        <v>778</v>
      </c>
      <c r="B513" s="3" t="s">
        <v>779</v>
      </c>
      <c r="C513" s="3" t="s">
        <v>221</v>
      </c>
      <c r="D513" s="3" t="s">
        <v>36</v>
      </c>
      <c r="E513" s="3" t="s">
        <v>5</v>
      </c>
      <c r="F513" s="64" t="s">
        <v>90</v>
      </c>
      <c r="G513" s="19">
        <f>_xlfn.XLOOKUP(Participantes[[#This Row],[Seminario al que asistió]],Seminarios[Seminario],Seminarios[Año])</f>
        <v>2024</v>
      </c>
    </row>
    <row r="514" spans="1:7" x14ac:dyDescent="0.25">
      <c r="A514" s="62" t="s">
        <v>302</v>
      </c>
      <c r="B514" s="3" t="s">
        <v>303</v>
      </c>
      <c r="C514" s="3" t="s">
        <v>218</v>
      </c>
      <c r="D514" s="3" t="s">
        <v>36</v>
      </c>
      <c r="E514" s="3" t="s">
        <v>5</v>
      </c>
      <c r="F514" s="64" t="s">
        <v>90</v>
      </c>
      <c r="G514" s="19">
        <f>_xlfn.XLOOKUP(Participantes[[#This Row],[Seminario al que asistió]],Seminarios[Seminario],Seminarios[Año])</f>
        <v>2024</v>
      </c>
    </row>
    <row r="515" spans="1:7" x14ac:dyDescent="0.25">
      <c r="A515" s="62" t="s">
        <v>225</v>
      </c>
      <c r="B515" s="3" t="s">
        <v>226</v>
      </c>
      <c r="C515" s="3" t="s">
        <v>218</v>
      </c>
      <c r="D515" s="3" t="s">
        <v>36</v>
      </c>
      <c r="E515" s="3" t="s">
        <v>5</v>
      </c>
      <c r="F515" s="64" t="s">
        <v>90</v>
      </c>
      <c r="G515" s="19">
        <f>_xlfn.XLOOKUP(Participantes[[#This Row],[Seminario al que asistió]],Seminarios[Seminario],Seminarios[Año])</f>
        <v>2024</v>
      </c>
    </row>
    <row r="516" spans="1:7" x14ac:dyDescent="0.25">
      <c r="A516" s="62" t="s">
        <v>556</v>
      </c>
      <c r="B516" s="3" t="s">
        <v>557</v>
      </c>
      <c r="C516" s="3" t="s">
        <v>218</v>
      </c>
      <c r="D516" s="3" t="s">
        <v>36</v>
      </c>
      <c r="E516" s="3" t="s">
        <v>5</v>
      </c>
      <c r="F516" s="64" t="s">
        <v>90</v>
      </c>
      <c r="G516" s="19">
        <f>_xlfn.XLOOKUP(Participantes[[#This Row],[Seminario al que asistió]],Seminarios[Seminario],Seminarios[Año])</f>
        <v>2024</v>
      </c>
    </row>
    <row r="517" spans="1:7" ht="15.75" thickBot="1" x14ac:dyDescent="0.3">
      <c r="A517" s="66" t="s">
        <v>780</v>
      </c>
      <c r="B517" s="13" t="s">
        <v>781</v>
      </c>
      <c r="C517" s="13" t="s">
        <v>221</v>
      </c>
      <c r="D517" s="13" t="s">
        <v>43</v>
      </c>
      <c r="E517" s="13" t="s">
        <v>5</v>
      </c>
      <c r="F517" s="67" t="s">
        <v>90</v>
      </c>
      <c r="G517" s="19">
        <f>_xlfn.XLOOKUP(Participantes[[#This Row],[Seminario al que asistió]],Seminarios[Seminario],Seminarios[Año])</f>
        <v>2024</v>
      </c>
    </row>
    <row r="518" spans="1:7" x14ac:dyDescent="0.25">
      <c r="A518" s="128" t="s">
        <v>285</v>
      </c>
      <c r="B518" s="70" t="s">
        <v>286</v>
      </c>
      <c r="C518" s="70" t="s">
        <v>218</v>
      </c>
      <c r="D518" s="70" t="s">
        <v>36</v>
      </c>
      <c r="E518" s="70" t="s">
        <v>5</v>
      </c>
      <c r="F518" s="129" t="s">
        <v>92</v>
      </c>
      <c r="G518" s="19">
        <f>_xlfn.XLOOKUP(Participantes[[#This Row],[Seminario al que asistió]],Seminarios[Seminario],Seminarios[Año])</f>
        <v>2024</v>
      </c>
    </row>
    <row r="519" spans="1:7" x14ac:dyDescent="0.25">
      <c r="A519" s="130" t="s">
        <v>274</v>
      </c>
      <c r="B519" s="68" t="s">
        <v>275</v>
      </c>
      <c r="C519" s="68" t="s">
        <v>218</v>
      </c>
      <c r="D519" s="68" t="s">
        <v>36</v>
      </c>
      <c r="E519" s="68" t="s">
        <v>5</v>
      </c>
      <c r="F519" s="131" t="s">
        <v>92</v>
      </c>
      <c r="G519" s="19">
        <f>_xlfn.XLOOKUP(Participantes[[#This Row],[Seminario al que asistió]],Seminarios[Seminario],Seminarios[Año])</f>
        <v>2024</v>
      </c>
    </row>
    <row r="520" spans="1:7" x14ac:dyDescent="0.25">
      <c r="A520" s="130" t="s">
        <v>782</v>
      </c>
      <c r="B520" s="68" t="s">
        <v>783</v>
      </c>
      <c r="C520" s="68" t="s">
        <v>218</v>
      </c>
      <c r="D520" s="68" t="s">
        <v>36</v>
      </c>
      <c r="E520" s="68" t="s">
        <v>5</v>
      </c>
      <c r="F520" s="131" t="s">
        <v>92</v>
      </c>
      <c r="G520" s="19">
        <f>_xlfn.XLOOKUP(Participantes[[#This Row],[Seminario al que asistió]],Seminarios[Seminario],Seminarios[Año])</f>
        <v>2024</v>
      </c>
    </row>
    <row r="521" spans="1:7" x14ac:dyDescent="0.25">
      <c r="A521" s="7" t="s">
        <v>831</v>
      </c>
      <c r="B521" s="3" t="s">
        <v>304</v>
      </c>
      <c r="C521" s="68" t="s">
        <v>221</v>
      </c>
      <c r="D521" s="68" t="s">
        <v>36</v>
      </c>
      <c r="E521" s="68" t="s">
        <v>5</v>
      </c>
      <c r="F521" s="131" t="s">
        <v>92</v>
      </c>
      <c r="G521" s="19">
        <f>_xlfn.XLOOKUP(Participantes[[#This Row],[Seminario al que asistió]],Seminarios[Seminario],Seminarios[Año])</f>
        <v>2024</v>
      </c>
    </row>
    <row r="522" spans="1:7" x14ac:dyDescent="0.25">
      <c r="A522" s="130" t="s">
        <v>225</v>
      </c>
      <c r="B522" s="68" t="s">
        <v>226</v>
      </c>
      <c r="C522" s="68" t="s">
        <v>218</v>
      </c>
      <c r="D522" s="68" t="s">
        <v>36</v>
      </c>
      <c r="E522" s="68" t="s">
        <v>5</v>
      </c>
      <c r="F522" s="131" t="s">
        <v>92</v>
      </c>
      <c r="G522" s="19">
        <f>_xlfn.XLOOKUP(Participantes[[#This Row],[Seminario al que asistió]],Seminarios[Seminario],Seminarios[Año])</f>
        <v>2024</v>
      </c>
    </row>
    <row r="523" spans="1:7" x14ac:dyDescent="0.25">
      <c r="A523" s="130" t="s">
        <v>776</v>
      </c>
      <c r="B523" s="68" t="s">
        <v>279</v>
      </c>
      <c r="C523" s="68" t="s">
        <v>218</v>
      </c>
      <c r="D523" s="68" t="s">
        <v>36</v>
      </c>
      <c r="E523" s="68" t="s">
        <v>5</v>
      </c>
      <c r="F523" s="131" t="s">
        <v>92</v>
      </c>
      <c r="G523" s="19">
        <f>_xlfn.XLOOKUP(Participantes[[#This Row],[Seminario al que asistió]],Seminarios[Seminario],Seminarios[Año])</f>
        <v>2024</v>
      </c>
    </row>
    <row r="524" spans="1:7" x14ac:dyDescent="0.25">
      <c r="A524" s="130" t="s">
        <v>777</v>
      </c>
      <c r="B524" s="68" t="s">
        <v>254</v>
      </c>
      <c r="C524" s="68" t="s">
        <v>218</v>
      </c>
      <c r="D524" s="68" t="s">
        <v>36</v>
      </c>
      <c r="E524" s="68" t="s">
        <v>5</v>
      </c>
      <c r="F524" s="131" t="s">
        <v>92</v>
      </c>
      <c r="G524" s="19">
        <f>_xlfn.XLOOKUP(Participantes[[#This Row],[Seminario al que asistió]],Seminarios[Seminario],Seminarios[Año])</f>
        <v>2024</v>
      </c>
    </row>
    <row r="525" spans="1:7" x14ac:dyDescent="0.25">
      <c r="A525" s="130" t="s">
        <v>276</v>
      </c>
      <c r="B525" s="68" t="s">
        <v>277</v>
      </c>
      <c r="C525" s="68" t="s">
        <v>218</v>
      </c>
      <c r="D525" s="68" t="s">
        <v>36</v>
      </c>
      <c r="E525" s="68" t="s">
        <v>5</v>
      </c>
      <c r="F525" s="131" t="s">
        <v>92</v>
      </c>
      <c r="G525" s="19">
        <f>_xlfn.XLOOKUP(Participantes[[#This Row],[Seminario al que asistió]],Seminarios[Seminario],Seminarios[Año])</f>
        <v>2024</v>
      </c>
    </row>
    <row r="526" spans="1:7" x14ac:dyDescent="0.25">
      <c r="A526" s="130" t="s">
        <v>778</v>
      </c>
      <c r="B526" s="68" t="s">
        <v>779</v>
      </c>
      <c r="C526" s="68" t="s">
        <v>221</v>
      </c>
      <c r="D526" s="68" t="s">
        <v>36</v>
      </c>
      <c r="E526" s="68" t="s">
        <v>5</v>
      </c>
      <c r="F526" s="131" t="s">
        <v>92</v>
      </c>
      <c r="G526" s="19">
        <f>_xlfn.XLOOKUP(Participantes[[#This Row],[Seminario al que asistió]],Seminarios[Seminario],Seminarios[Año])</f>
        <v>2024</v>
      </c>
    </row>
    <row r="527" spans="1:7" x14ac:dyDescent="0.25">
      <c r="A527" s="130" t="s">
        <v>267</v>
      </c>
      <c r="B527" s="68" t="s">
        <v>268</v>
      </c>
      <c r="C527" s="68" t="s">
        <v>218</v>
      </c>
      <c r="D527" s="68" t="s">
        <v>36</v>
      </c>
      <c r="E527" s="68" t="s">
        <v>5</v>
      </c>
      <c r="F527" s="131" t="s">
        <v>92</v>
      </c>
      <c r="G527" s="19">
        <f>_xlfn.XLOOKUP(Participantes[[#This Row],[Seminario al que asistió]],Seminarios[Seminario],Seminarios[Año])</f>
        <v>2024</v>
      </c>
    </row>
    <row r="528" spans="1:7" ht="15.75" thickBot="1" x14ac:dyDescent="0.3">
      <c r="A528" s="132" t="s">
        <v>519</v>
      </c>
      <c r="B528" s="71" t="s">
        <v>314</v>
      </c>
      <c r="C528" s="71" t="s">
        <v>221</v>
      </c>
      <c r="D528" s="71" t="s">
        <v>36</v>
      </c>
      <c r="E528" s="71" t="s">
        <v>5</v>
      </c>
      <c r="F528" s="133" t="s">
        <v>92</v>
      </c>
      <c r="G528" s="19">
        <f>_xlfn.XLOOKUP(Participantes[[#This Row],[Seminario al que asistió]],Seminarios[Seminario],Seminarios[Año])</f>
        <v>2024</v>
      </c>
    </row>
    <row r="529" spans="1:11" x14ac:dyDescent="0.25">
      <c r="A529" s="134" t="s">
        <v>784</v>
      </c>
      <c r="B529" s="72" t="s">
        <v>785</v>
      </c>
      <c r="C529" s="70" t="s">
        <v>218</v>
      </c>
      <c r="D529" s="70" t="s">
        <v>36</v>
      </c>
      <c r="E529" s="70" t="s">
        <v>1</v>
      </c>
      <c r="F529" s="135" t="s">
        <v>54</v>
      </c>
      <c r="G529" s="19">
        <f>_xlfn.XLOOKUP(Participantes[[#This Row],[Seminario al que asistió]],Seminarios[Seminario],Seminarios[Año])</f>
        <v>2024</v>
      </c>
    </row>
    <row r="530" spans="1:11" x14ac:dyDescent="0.25">
      <c r="A530" s="136" t="s">
        <v>234</v>
      </c>
      <c r="B530" s="69" t="s">
        <v>235</v>
      </c>
      <c r="C530" s="68" t="s">
        <v>218</v>
      </c>
      <c r="D530" s="68" t="s">
        <v>36</v>
      </c>
      <c r="E530" s="68" t="s">
        <v>1</v>
      </c>
      <c r="F530" s="137" t="s">
        <v>54</v>
      </c>
      <c r="G530" s="19">
        <f>_xlfn.XLOOKUP(Participantes[[#This Row],[Seminario al que asistió]],Seminarios[Seminario],Seminarios[Año])</f>
        <v>2024</v>
      </c>
    </row>
    <row r="531" spans="1:11" x14ac:dyDescent="0.25">
      <c r="A531" s="136" t="s">
        <v>786</v>
      </c>
      <c r="B531" s="69" t="s">
        <v>787</v>
      </c>
      <c r="C531" s="68" t="s">
        <v>221</v>
      </c>
      <c r="D531" s="68" t="s">
        <v>48</v>
      </c>
      <c r="E531" s="68" t="s">
        <v>1</v>
      </c>
      <c r="F531" s="137" t="s">
        <v>54</v>
      </c>
      <c r="G531" s="19">
        <f>_xlfn.XLOOKUP(Participantes[[#This Row],[Seminario al que asistió]],Seminarios[Seminario],Seminarios[Año])</f>
        <v>2024</v>
      </c>
    </row>
    <row r="532" spans="1:11" x14ac:dyDescent="0.25">
      <c r="A532" s="136" t="s">
        <v>471</v>
      </c>
      <c r="B532" s="69" t="s">
        <v>339</v>
      </c>
      <c r="C532" s="68" t="s">
        <v>218</v>
      </c>
      <c r="D532" s="68" t="s">
        <v>36</v>
      </c>
      <c r="E532" s="68" t="s">
        <v>1</v>
      </c>
      <c r="F532" s="137" t="s">
        <v>54</v>
      </c>
      <c r="G532" s="19">
        <f>_xlfn.XLOOKUP(Participantes[[#This Row],[Seminario al que asistió]],Seminarios[Seminario],Seminarios[Año])</f>
        <v>2024</v>
      </c>
      <c r="H532" s="28"/>
      <c r="I532" s="28"/>
      <c r="J532" s="28"/>
      <c r="K532" s="28"/>
    </row>
    <row r="533" spans="1:11" x14ac:dyDescent="0.25">
      <c r="A533" s="136" t="s">
        <v>788</v>
      </c>
      <c r="B533" s="69" t="s">
        <v>789</v>
      </c>
      <c r="C533" s="68" t="s">
        <v>221</v>
      </c>
      <c r="D533" s="68" t="s">
        <v>36</v>
      </c>
      <c r="E533" s="68" t="s">
        <v>1</v>
      </c>
      <c r="F533" s="137" t="s">
        <v>54</v>
      </c>
      <c r="G533" s="19">
        <f>_xlfn.XLOOKUP(Participantes[[#This Row],[Seminario al que asistió]],Seminarios[Seminario],Seminarios[Año])</f>
        <v>2024</v>
      </c>
      <c r="H533" s="28"/>
      <c r="I533" s="28"/>
      <c r="J533" s="28"/>
      <c r="K533" s="28"/>
    </row>
    <row r="534" spans="1:11" x14ac:dyDescent="0.25">
      <c r="A534" s="136" t="s">
        <v>274</v>
      </c>
      <c r="B534" s="69" t="s">
        <v>275</v>
      </c>
      <c r="C534" s="68" t="s">
        <v>218</v>
      </c>
      <c r="D534" s="68" t="s">
        <v>36</v>
      </c>
      <c r="E534" s="68" t="s">
        <v>1</v>
      </c>
      <c r="F534" s="137" t="s">
        <v>54</v>
      </c>
      <c r="G534" s="19">
        <f>_xlfn.XLOOKUP(Participantes[[#This Row],[Seminario al que asistió]],Seminarios[Seminario],Seminarios[Año])</f>
        <v>2024</v>
      </c>
      <c r="H534" s="28"/>
      <c r="I534" s="28"/>
      <c r="J534" s="28"/>
      <c r="K534" s="28"/>
    </row>
    <row r="535" spans="1:11" ht="16.5" customHeight="1" x14ac:dyDescent="0.25">
      <c r="A535" s="136" t="s">
        <v>790</v>
      </c>
      <c r="B535" t="s">
        <v>791</v>
      </c>
      <c r="C535" s="68" t="s">
        <v>218</v>
      </c>
      <c r="D535" s="68" t="s">
        <v>48</v>
      </c>
      <c r="E535" s="68" t="s">
        <v>1</v>
      </c>
      <c r="F535" s="137" t="s">
        <v>54</v>
      </c>
      <c r="G535" s="19">
        <f>_xlfn.XLOOKUP(Participantes[[#This Row],[Seminario al que asistió]],Seminarios[Seminario],Seminarios[Año])</f>
        <v>2024</v>
      </c>
      <c r="H535" s="28"/>
      <c r="I535" s="28"/>
      <c r="J535" s="28"/>
      <c r="K535" s="28"/>
    </row>
    <row r="536" spans="1:11" x14ac:dyDescent="0.25">
      <c r="A536" s="136" t="s">
        <v>792</v>
      </c>
      <c r="B536" s="69" t="s">
        <v>793</v>
      </c>
      <c r="C536" s="68" t="s">
        <v>218</v>
      </c>
      <c r="D536" s="68" t="s">
        <v>48</v>
      </c>
      <c r="E536" s="68" t="s">
        <v>1</v>
      </c>
      <c r="F536" s="137" t="s">
        <v>54</v>
      </c>
      <c r="G536" s="19">
        <f>_xlfn.XLOOKUP(Participantes[[#This Row],[Seminario al que asistió]],Seminarios[Seminario],Seminarios[Año])</f>
        <v>2024</v>
      </c>
      <c r="H536" s="28"/>
      <c r="I536" s="28"/>
      <c r="J536" s="28"/>
      <c r="K536" s="28"/>
    </row>
    <row r="537" spans="1:11" x14ac:dyDescent="0.25">
      <c r="A537" s="136" t="s">
        <v>794</v>
      </c>
      <c r="B537" s="69" t="s">
        <v>557</v>
      </c>
      <c r="C537" s="68" t="s">
        <v>218</v>
      </c>
      <c r="D537" s="68" t="s">
        <v>36</v>
      </c>
      <c r="E537" s="68" t="s">
        <v>1</v>
      </c>
      <c r="F537" s="137" t="s">
        <v>54</v>
      </c>
      <c r="G537" s="19">
        <f>_xlfn.XLOOKUP(Participantes[[#This Row],[Seminario al que asistió]],Seminarios[Seminario],Seminarios[Año])</f>
        <v>2024</v>
      </c>
      <c r="H537" s="28"/>
      <c r="I537" s="28"/>
      <c r="J537" s="28"/>
      <c r="K537" s="28"/>
    </row>
    <row r="538" spans="1:11" x14ac:dyDescent="0.25">
      <c r="A538" s="136" t="s">
        <v>795</v>
      </c>
      <c r="B538" t="s">
        <v>796</v>
      </c>
      <c r="C538" s="68" t="s">
        <v>218</v>
      </c>
      <c r="D538" s="68" t="s">
        <v>48</v>
      </c>
      <c r="E538" s="68" t="s">
        <v>1</v>
      </c>
      <c r="F538" s="137" t="s">
        <v>54</v>
      </c>
      <c r="G538" s="19">
        <f>_xlfn.XLOOKUP(Participantes[[#This Row],[Seminario al que asistió]],Seminarios[Seminario],Seminarios[Año])</f>
        <v>2024</v>
      </c>
      <c r="H538" s="28"/>
      <c r="I538" s="28"/>
      <c r="J538" s="28"/>
      <c r="K538" s="28"/>
    </row>
    <row r="539" spans="1:11" x14ac:dyDescent="0.25">
      <c r="A539" s="136" t="s">
        <v>797</v>
      </c>
      <c r="B539" s="69" t="s">
        <v>798</v>
      </c>
      <c r="C539" s="68" t="s">
        <v>218</v>
      </c>
      <c r="D539" s="68" t="s">
        <v>48</v>
      </c>
      <c r="E539" s="68" t="s">
        <v>1</v>
      </c>
      <c r="F539" s="137" t="s">
        <v>54</v>
      </c>
      <c r="G539" s="19">
        <f>_xlfn.XLOOKUP(Participantes[[#This Row],[Seminario al que asistió]],Seminarios[Seminario],Seminarios[Año])</f>
        <v>2024</v>
      </c>
      <c r="H539" s="28"/>
      <c r="I539" s="28"/>
      <c r="J539" s="28"/>
      <c r="K539" s="28"/>
    </row>
    <row r="540" spans="1:11" x14ac:dyDescent="0.25">
      <c r="A540" s="136" t="s">
        <v>219</v>
      </c>
      <c r="B540" s="69" t="s">
        <v>220</v>
      </c>
      <c r="C540" s="68" t="s">
        <v>221</v>
      </c>
      <c r="D540" s="68" t="s">
        <v>36</v>
      </c>
      <c r="E540" s="68" t="s">
        <v>1</v>
      </c>
      <c r="F540" s="137" t="s">
        <v>54</v>
      </c>
      <c r="G540" s="19">
        <f>_xlfn.XLOOKUP(Participantes[[#This Row],[Seminario al que asistió]],Seminarios[Seminario],Seminarios[Año])</f>
        <v>2024</v>
      </c>
      <c r="H540" s="28"/>
      <c r="I540" s="28"/>
      <c r="J540" s="28"/>
      <c r="K540" s="28"/>
    </row>
    <row r="541" spans="1:11" x14ac:dyDescent="0.25">
      <c r="A541" s="136" t="s">
        <v>799</v>
      </c>
      <c r="B541" s="69" t="s">
        <v>800</v>
      </c>
      <c r="C541" s="68" t="s">
        <v>221</v>
      </c>
      <c r="D541" s="68" t="s">
        <v>48</v>
      </c>
      <c r="E541" s="68" t="s">
        <v>1</v>
      </c>
      <c r="F541" s="137" t="s">
        <v>54</v>
      </c>
      <c r="G541" s="19">
        <f>_xlfn.XLOOKUP(Participantes[[#This Row],[Seminario al que asistió]],Seminarios[Seminario],Seminarios[Año])</f>
        <v>2024</v>
      </c>
      <c r="H541" s="28"/>
      <c r="I541" s="28"/>
      <c r="J541" s="65"/>
      <c r="K541" s="65"/>
    </row>
    <row r="542" spans="1:11" x14ac:dyDescent="0.25">
      <c r="A542" s="136" t="s">
        <v>801</v>
      </c>
      <c r="B542" s="69" t="s">
        <v>802</v>
      </c>
      <c r="C542" s="68" t="s">
        <v>221</v>
      </c>
      <c r="D542" s="68" t="s">
        <v>48</v>
      </c>
      <c r="E542" s="68" t="s">
        <v>1</v>
      </c>
      <c r="F542" s="137" t="s">
        <v>54</v>
      </c>
      <c r="G542" s="19">
        <f>_xlfn.XLOOKUP(Participantes[[#This Row],[Seminario al que asistió]],Seminarios[Seminario],Seminarios[Año])</f>
        <v>2024</v>
      </c>
      <c r="H542" s="28"/>
      <c r="I542" s="28"/>
      <c r="J542" s="28"/>
      <c r="K542" s="28"/>
    </row>
    <row r="543" spans="1:11" x14ac:dyDescent="0.25">
      <c r="A543" s="136" t="s">
        <v>253</v>
      </c>
      <c r="B543" s="69" t="s">
        <v>254</v>
      </c>
      <c r="C543" s="68" t="s">
        <v>218</v>
      </c>
      <c r="D543" s="68" t="s">
        <v>36</v>
      </c>
      <c r="E543" s="68" t="s">
        <v>1</v>
      </c>
      <c r="F543" s="137" t="s">
        <v>54</v>
      </c>
      <c r="G543" s="19">
        <f>_xlfn.XLOOKUP(Participantes[[#This Row],[Seminario al que asistió]],Seminarios[Seminario],Seminarios[Año])</f>
        <v>2024</v>
      </c>
      <c r="H543" s="28"/>
      <c r="I543" s="28"/>
      <c r="J543" s="28"/>
      <c r="K543" s="28"/>
    </row>
    <row r="544" spans="1:11" x14ac:dyDescent="0.25">
      <c r="A544" s="136" t="s">
        <v>803</v>
      </c>
      <c r="B544" s="69" t="s">
        <v>804</v>
      </c>
      <c r="C544" s="68" t="s">
        <v>218</v>
      </c>
      <c r="D544" s="68" t="s">
        <v>48</v>
      </c>
      <c r="E544" s="68" t="s">
        <v>1</v>
      </c>
      <c r="F544" s="137" t="s">
        <v>54</v>
      </c>
      <c r="G544" s="19">
        <f>_xlfn.XLOOKUP(Participantes[[#This Row],[Seminario al que asistió]],Seminarios[Seminario],Seminarios[Año])</f>
        <v>2024</v>
      </c>
      <c r="H544" s="28"/>
      <c r="I544" s="28"/>
      <c r="J544" s="28"/>
      <c r="K544" s="28"/>
    </row>
    <row r="545" spans="1:11" x14ac:dyDescent="0.25">
      <c r="A545" s="136" t="s">
        <v>805</v>
      </c>
      <c r="B545" s="69" t="s">
        <v>806</v>
      </c>
      <c r="C545" s="68" t="s">
        <v>218</v>
      </c>
      <c r="D545" s="68" t="s">
        <v>48</v>
      </c>
      <c r="E545" s="68" t="s">
        <v>1</v>
      </c>
      <c r="F545" s="137" t="s">
        <v>54</v>
      </c>
      <c r="G545" s="19">
        <f>_xlfn.XLOOKUP(Participantes[[#This Row],[Seminario al que asistió]],Seminarios[Seminario],Seminarios[Año])</f>
        <v>2024</v>
      </c>
      <c r="H545" s="28"/>
      <c r="I545" s="28"/>
      <c r="J545" s="28"/>
      <c r="K545" s="28"/>
    </row>
    <row r="546" spans="1:11" x14ac:dyDescent="0.25">
      <c r="A546" s="136" t="s">
        <v>807</v>
      </c>
      <c r="B546" s="69" t="s">
        <v>808</v>
      </c>
      <c r="C546" s="68" t="s">
        <v>218</v>
      </c>
      <c r="D546" s="68" t="s">
        <v>36</v>
      </c>
      <c r="E546" s="68" t="s">
        <v>1</v>
      </c>
      <c r="F546" s="137" t="s">
        <v>54</v>
      </c>
      <c r="G546" s="19">
        <f>_xlfn.XLOOKUP(Participantes[[#This Row],[Seminario al que asistió]],Seminarios[Seminario],Seminarios[Año])</f>
        <v>2024</v>
      </c>
      <c r="H546" s="28"/>
      <c r="I546" s="28"/>
      <c r="J546" s="28"/>
      <c r="K546" s="28"/>
    </row>
    <row r="547" spans="1:11" x14ac:dyDescent="0.25">
      <c r="A547" s="136" t="s">
        <v>809</v>
      </c>
      <c r="B547" s="69" t="s">
        <v>810</v>
      </c>
      <c r="C547" s="68" t="s">
        <v>221</v>
      </c>
      <c r="D547" s="68" t="s">
        <v>48</v>
      </c>
      <c r="E547" s="68" t="s">
        <v>1</v>
      </c>
      <c r="F547" s="137" t="s">
        <v>54</v>
      </c>
      <c r="G547" s="19">
        <f>_xlfn.XLOOKUP(Participantes[[#This Row],[Seminario al que asistió]],Seminarios[Seminario],Seminarios[Año])</f>
        <v>2024</v>
      </c>
      <c r="H547" s="28"/>
      <c r="I547" s="28"/>
      <c r="J547" s="28"/>
      <c r="K547" s="28"/>
    </row>
    <row r="548" spans="1:11" x14ac:dyDescent="0.25">
      <c r="A548" s="136" t="s">
        <v>811</v>
      </c>
      <c r="B548" s="69" t="s">
        <v>812</v>
      </c>
      <c r="C548" s="68" t="s">
        <v>221</v>
      </c>
      <c r="D548" s="68" t="s">
        <v>36</v>
      </c>
      <c r="E548" s="68" t="s">
        <v>1</v>
      </c>
      <c r="F548" s="137" t="s">
        <v>54</v>
      </c>
      <c r="G548" s="19">
        <f>_xlfn.XLOOKUP(Participantes[[#This Row],[Seminario al que asistió]],Seminarios[Seminario],Seminarios[Año])</f>
        <v>2024</v>
      </c>
      <c r="H548" s="28"/>
      <c r="I548" s="28"/>
      <c r="J548" s="28"/>
      <c r="K548" s="28"/>
    </row>
    <row r="549" spans="1:11" x14ac:dyDescent="0.25">
      <c r="A549" s="136" t="s">
        <v>813</v>
      </c>
      <c r="B549" s="69" t="s">
        <v>814</v>
      </c>
      <c r="C549" s="68" t="s">
        <v>218</v>
      </c>
      <c r="D549" s="68" t="s">
        <v>48</v>
      </c>
      <c r="E549" s="68" t="s">
        <v>1</v>
      </c>
      <c r="F549" s="137" t="s">
        <v>54</v>
      </c>
      <c r="G549" s="19">
        <f>_xlfn.XLOOKUP(Participantes[[#This Row],[Seminario al que asistió]],Seminarios[Seminario],Seminarios[Año])</f>
        <v>2024</v>
      </c>
      <c r="H549" s="28"/>
      <c r="I549" s="28"/>
      <c r="J549" s="28"/>
      <c r="K549" s="28"/>
    </row>
    <row r="550" spans="1:11" x14ac:dyDescent="0.25">
      <c r="A550" s="136" t="s">
        <v>815</v>
      </c>
      <c r="B550" s="69" t="s">
        <v>670</v>
      </c>
      <c r="C550" s="68" t="s">
        <v>218</v>
      </c>
      <c r="D550" s="68" t="s">
        <v>36</v>
      </c>
      <c r="E550" s="68" t="s">
        <v>1</v>
      </c>
      <c r="F550" s="137" t="s">
        <v>54</v>
      </c>
      <c r="G550" s="19">
        <f>_xlfn.XLOOKUP(Participantes[[#This Row],[Seminario al que asistió]],Seminarios[Seminario],Seminarios[Año])</f>
        <v>2024</v>
      </c>
      <c r="H550" s="28"/>
      <c r="I550" s="28"/>
      <c r="J550" s="28"/>
      <c r="K550" s="28"/>
    </row>
    <row r="551" spans="1:11" x14ac:dyDescent="0.25">
      <c r="A551" s="7" t="s">
        <v>831</v>
      </c>
      <c r="B551" s="3" t="s">
        <v>304</v>
      </c>
      <c r="C551" s="68" t="s">
        <v>221</v>
      </c>
      <c r="D551" s="68" t="s">
        <v>36</v>
      </c>
      <c r="E551" s="68" t="s">
        <v>1</v>
      </c>
      <c r="F551" s="137" t="s">
        <v>54</v>
      </c>
      <c r="G551" s="19">
        <f>_xlfn.XLOOKUP(Participantes[[#This Row],[Seminario al que asistió]],Seminarios[Seminario],Seminarios[Año])</f>
        <v>2024</v>
      </c>
      <c r="H551" s="28"/>
      <c r="I551" s="28"/>
      <c r="J551" s="28"/>
      <c r="K551" s="28"/>
    </row>
    <row r="552" spans="1:11" x14ac:dyDescent="0.25">
      <c r="A552" s="136" t="s">
        <v>348</v>
      </c>
      <c r="B552" s="69" t="s">
        <v>349</v>
      </c>
      <c r="C552" s="68" t="s">
        <v>218</v>
      </c>
      <c r="D552" s="68" t="s">
        <v>233</v>
      </c>
      <c r="E552" s="68" t="s">
        <v>1</v>
      </c>
      <c r="F552" s="137" t="s">
        <v>54</v>
      </c>
      <c r="G552" s="19">
        <f>_xlfn.XLOOKUP(Participantes[[#This Row],[Seminario al que asistió]],Seminarios[Seminario],Seminarios[Año])</f>
        <v>2024</v>
      </c>
      <c r="H552" s="28"/>
      <c r="I552" s="28"/>
      <c r="J552" s="28"/>
      <c r="K552" s="28"/>
    </row>
    <row r="553" spans="1:11" x14ac:dyDescent="0.25">
      <c r="A553" s="136" t="s">
        <v>816</v>
      </c>
      <c r="B553" s="69" t="s">
        <v>817</v>
      </c>
      <c r="C553" s="68" t="s">
        <v>218</v>
      </c>
      <c r="D553" s="68" t="s">
        <v>43</v>
      </c>
      <c r="E553" s="68" t="s">
        <v>1</v>
      </c>
      <c r="F553" s="137" t="s">
        <v>54</v>
      </c>
      <c r="G553" s="19">
        <f>_xlfn.XLOOKUP(Participantes[[#This Row],[Seminario al que asistió]],Seminarios[Seminario],Seminarios[Año])</f>
        <v>2024</v>
      </c>
      <c r="H553" s="28"/>
      <c r="I553" s="28"/>
      <c r="J553" s="28"/>
      <c r="K553" s="28"/>
    </row>
    <row r="554" spans="1:11" x14ac:dyDescent="0.25">
      <c r="A554" s="136" t="s">
        <v>818</v>
      </c>
      <c r="B554" s="69" t="s">
        <v>819</v>
      </c>
      <c r="C554" s="68" t="s">
        <v>218</v>
      </c>
      <c r="D554" s="68" t="s">
        <v>36</v>
      </c>
      <c r="E554" s="68" t="s">
        <v>1</v>
      </c>
      <c r="F554" s="137" t="s">
        <v>54</v>
      </c>
      <c r="G554" s="19">
        <f>_xlfn.XLOOKUP(Participantes[[#This Row],[Seminario al que asistió]],Seminarios[Seminario],Seminarios[Año])</f>
        <v>2024</v>
      </c>
      <c r="H554" s="28"/>
      <c r="I554" s="28"/>
      <c r="J554" s="28"/>
      <c r="K554" s="28"/>
    </row>
    <row r="555" spans="1:11" x14ac:dyDescent="0.25">
      <c r="A555" s="136" t="s">
        <v>820</v>
      </c>
      <c r="B555" s="69" t="s">
        <v>303</v>
      </c>
      <c r="C555" s="68" t="s">
        <v>218</v>
      </c>
      <c r="D555" s="68" t="s">
        <v>36</v>
      </c>
      <c r="E555" s="68" t="s">
        <v>1</v>
      </c>
      <c r="F555" s="137" t="s">
        <v>54</v>
      </c>
      <c r="G555" s="19">
        <f>_xlfn.XLOOKUP(Participantes[[#This Row],[Seminario al que asistió]],Seminarios[Seminario],Seminarios[Año])</f>
        <v>2024</v>
      </c>
      <c r="H555" s="28"/>
      <c r="I555" s="28"/>
      <c r="J555" s="28"/>
      <c r="K555" s="28"/>
    </row>
    <row r="556" spans="1:11" x14ac:dyDescent="0.25">
      <c r="A556" s="136" t="s">
        <v>515</v>
      </c>
      <c r="B556" s="69" t="s">
        <v>821</v>
      </c>
      <c r="C556" s="68" t="s">
        <v>218</v>
      </c>
      <c r="D556" s="68" t="s">
        <v>36</v>
      </c>
      <c r="E556" s="68" t="s">
        <v>1</v>
      </c>
      <c r="F556" s="137" t="s">
        <v>54</v>
      </c>
      <c r="G556" s="19">
        <f>_xlfn.XLOOKUP(Participantes[[#This Row],[Seminario al que asistió]],Seminarios[Seminario],Seminarios[Año])</f>
        <v>2024</v>
      </c>
      <c r="H556" s="28"/>
      <c r="I556" s="28"/>
      <c r="J556" s="28"/>
      <c r="K556" s="28"/>
    </row>
    <row r="557" spans="1:11" x14ac:dyDescent="0.25">
      <c r="A557" s="136" t="s">
        <v>317</v>
      </c>
      <c r="B557" s="69" t="s">
        <v>318</v>
      </c>
      <c r="C557" s="68" t="s">
        <v>218</v>
      </c>
      <c r="D557" s="68" t="s">
        <v>36</v>
      </c>
      <c r="E557" s="68" t="s">
        <v>1</v>
      </c>
      <c r="F557" s="137" t="s">
        <v>54</v>
      </c>
      <c r="G557" s="19">
        <f>_xlfn.XLOOKUP(Participantes[[#This Row],[Seminario al que asistió]],Seminarios[Seminario],Seminarios[Año])</f>
        <v>2024</v>
      </c>
      <c r="H557" s="28"/>
      <c r="I557" s="28"/>
      <c r="J557" s="28"/>
      <c r="K557" s="28"/>
    </row>
    <row r="558" spans="1:11" x14ac:dyDescent="0.25">
      <c r="A558" s="136" t="s">
        <v>822</v>
      </c>
      <c r="B558" s="69" t="s">
        <v>264</v>
      </c>
      <c r="C558" s="68" t="s">
        <v>221</v>
      </c>
      <c r="D558" s="68" t="s">
        <v>36</v>
      </c>
      <c r="E558" s="68" t="s">
        <v>1</v>
      </c>
      <c r="F558" s="137" t="s">
        <v>54</v>
      </c>
      <c r="G558" s="19">
        <f>_xlfn.XLOOKUP(Participantes[[#This Row],[Seminario al que asistió]],Seminarios[Seminario],Seminarios[Año])</f>
        <v>2024</v>
      </c>
      <c r="H558" s="28"/>
      <c r="I558" s="28"/>
      <c r="J558" s="28"/>
      <c r="K558" s="28"/>
    </row>
    <row r="559" spans="1:11" x14ac:dyDescent="0.25">
      <c r="A559" s="136" t="s">
        <v>823</v>
      </c>
      <c r="B559" s="68" t="s">
        <v>824</v>
      </c>
      <c r="C559" s="68" t="s">
        <v>218</v>
      </c>
      <c r="D559" s="68" t="s">
        <v>36</v>
      </c>
      <c r="E559" s="68" t="s">
        <v>1</v>
      </c>
      <c r="F559" s="137" t="s">
        <v>54</v>
      </c>
      <c r="G559" s="19">
        <f>_xlfn.XLOOKUP(Participantes[[#This Row],[Seminario al que asistió]],Seminarios[Seminario],Seminarios[Año])</f>
        <v>2024</v>
      </c>
      <c r="H559" s="28"/>
      <c r="I559" s="28"/>
      <c r="J559" s="28"/>
      <c r="K559" s="28"/>
    </row>
    <row r="560" spans="1:11" x14ac:dyDescent="0.25">
      <c r="A560" s="136" t="s">
        <v>825</v>
      </c>
      <c r="B560" s="68"/>
      <c r="C560" s="68" t="s">
        <v>218</v>
      </c>
      <c r="D560" s="68" t="s">
        <v>53</v>
      </c>
      <c r="E560" s="68" t="s">
        <v>1</v>
      </c>
      <c r="F560" s="137" t="s">
        <v>54</v>
      </c>
      <c r="G560" s="19">
        <f>_xlfn.XLOOKUP(Participantes[[#This Row],[Seminario al que asistió]],Seminarios[Seminario],Seminarios[Año])</f>
        <v>2024</v>
      </c>
      <c r="H560" s="28"/>
      <c r="I560" s="28"/>
      <c r="J560" s="28"/>
      <c r="K560" s="28"/>
    </row>
    <row r="561" spans="1:11" x14ac:dyDescent="0.25">
      <c r="A561" s="136" t="s">
        <v>826</v>
      </c>
      <c r="B561" t="s">
        <v>706</v>
      </c>
      <c r="C561" s="68" t="s">
        <v>218</v>
      </c>
      <c r="D561" s="68" t="s">
        <v>36</v>
      </c>
      <c r="E561" s="68" t="s">
        <v>1</v>
      </c>
      <c r="F561" s="137" t="s">
        <v>54</v>
      </c>
      <c r="G561" s="19">
        <f>_xlfn.XLOOKUP(Participantes[[#This Row],[Seminario al que asistió]],Seminarios[Seminario],Seminarios[Año])</f>
        <v>2024</v>
      </c>
      <c r="H561" s="28"/>
      <c r="I561" s="28"/>
      <c r="J561" s="28"/>
      <c r="K561" s="28"/>
    </row>
    <row r="562" spans="1:11" x14ac:dyDescent="0.25">
      <c r="A562" s="136" t="s">
        <v>827</v>
      </c>
      <c r="B562" s="68" t="s">
        <v>828</v>
      </c>
      <c r="C562" s="68" t="s">
        <v>218</v>
      </c>
      <c r="D562" s="68" t="s">
        <v>233</v>
      </c>
      <c r="E562" s="68" t="s">
        <v>1</v>
      </c>
      <c r="F562" s="137" t="s">
        <v>54</v>
      </c>
      <c r="G562" s="19">
        <f>_xlfn.XLOOKUP(Participantes[[#This Row],[Seminario al que asistió]],Seminarios[Seminario],Seminarios[Año])</f>
        <v>2024</v>
      </c>
      <c r="H562" s="28"/>
      <c r="I562" s="28"/>
      <c r="J562" s="28"/>
      <c r="K562" s="28"/>
    </row>
    <row r="563" spans="1:11" ht="15.75" thickBot="1" x14ac:dyDescent="0.3">
      <c r="A563" s="138" t="s">
        <v>289</v>
      </c>
      <c r="B563" s="71" t="s">
        <v>290</v>
      </c>
      <c r="C563" s="71" t="s">
        <v>221</v>
      </c>
      <c r="D563" s="71" t="s">
        <v>233</v>
      </c>
      <c r="E563" s="71" t="s">
        <v>1</v>
      </c>
      <c r="F563" s="139" t="s">
        <v>54</v>
      </c>
      <c r="G563" s="19">
        <f>_xlfn.XLOOKUP(Participantes[[#This Row],[Seminario al que asistió]],Seminarios[Seminario],Seminarios[Año])</f>
        <v>2024</v>
      </c>
      <c r="H563" s="28"/>
      <c r="I563" s="28"/>
      <c r="J563" s="28"/>
      <c r="K563" s="28"/>
    </row>
    <row r="564" spans="1:11" x14ac:dyDescent="0.25">
      <c r="A564" s="4" t="s">
        <v>831</v>
      </c>
      <c r="B564" s="5" t="s">
        <v>304</v>
      </c>
      <c r="C564" s="5" t="s">
        <v>221</v>
      </c>
      <c r="D564" s="5" t="s">
        <v>36</v>
      </c>
      <c r="E564" s="5" t="s">
        <v>5</v>
      </c>
      <c r="F564" s="6" t="s">
        <v>94</v>
      </c>
      <c r="G564" s="19">
        <f>_xlfn.XLOOKUP(Participantes[[#This Row],[Seminario al que asistió]],Seminarios[Seminario],Seminarios[Año])</f>
        <v>2024</v>
      </c>
      <c r="H564" s="28"/>
      <c r="I564" s="28"/>
      <c r="J564" s="28"/>
      <c r="K564" s="28"/>
    </row>
    <row r="565" spans="1:11" x14ac:dyDescent="0.25">
      <c r="A565" s="7" t="s">
        <v>274</v>
      </c>
      <c r="B565" s="3" t="s">
        <v>275</v>
      </c>
      <c r="C565" s="3" t="s">
        <v>218</v>
      </c>
      <c r="D565" s="3" t="s">
        <v>36</v>
      </c>
      <c r="E565" s="3" t="s">
        <v>5</v>
      </c>
      <c r="F565" s="8" t="s">
        <v>94</v>
      </c>
      <c r="G565" s="19">
        <f>_xlfn.XLOOKUP(Participantes[[#This Row],[Seminario al que asistió]],Seminarios[Seminario],Seminarios[Año])</f>
        <v>2024</v>
      </c>
    </row>
    <row r="566" spans="1:11" x14ac:dyDescent="0.25">
      <c r="A566" s="7" t="s">
        <v>829</v>
      </c>
      <c r="B566" s="3" t="s">
        <v>230</v>
      </c>
      <c r="C566" s="3" t="s">
        <v>218</v>
      </c>
      <c r="D566" s="3" t="s">
        <v>36</v>
      </c>
      <c r="E566" s="3" t="s">
        <v>5</v>
      </c>
      <c r="F566" s="8" t="s">
        <v>94</v>
      </c>
      <c r="G566" s="19">
        <f>_xlfn.XLOOKUP(Participantes[[#This Row],[Seminario al que asistió]],Seminarios[Seminario],Seminarios[Año])</f>
        <v>2024</v>
      </c>
    </row>
    <row r="567" spans="1:11" x14ac:dyDescent="0.25">
      <c r="A567" s="7" t="s">
        <v>240</v>
      </c>
      <c r="B567" s="3" t="s">
        <v>241</v>
      </c>
      <c r="C567" s="3" t="s">
        <v>221</v>
      </c>
      <c r="D567" s="3" t="s">
        <v>36</v>
      </c>
      <c r="E567" s="3" t="s">
        <v>5</v>
      </c>
      <c r="F567" s="8" t="s">
        <v>94</v>
      </c>
      <c r="G567" s="19">
        <f>_xlfn.XLOOKUP(Participantes[[#This Row],[Seminario al que asistió]],Seminarios[Seminario],Seminarios[Año])</f>
        <v>2024</v>
      </c>
    </row>
    <row r="568" spans="1:11" x14ac:dyDescent="0.25">
      <c r="A568" s="7" t="s">
        <v>830</v>
      </c>
      <c r="B568" s="3" t="s">
        <v>239</v>
      </c>
      <c r="C568" s="3" t="s">
        <v>221</v>
      </c>
      <c r="D568" s="3" t="s">
        <v>36</v>
      </c>
      <c r="E568" s="3" t="s">
        <v>5</v>
      </c>
      <c r="F568" s="8" t="s">
        <v>94</v>
      </c>
      <c r="G568" s="19">
        <f>_xlfn.XLOOKUP(Participantes[[#This Row],[Seminario al que asistió]],Seminarios[Seminario],Seminarios[Año])</f>
        <v>2024</v>
      </c>
    </row>
    <row r="569" spans="1:11" x14ac:dyDescent="0.25">
      <c r="A569" s="7" t="s">
        <v>227</v>
      </c>
      <c r="B569" s="3" t="s">
        <v>228</v>
      </c>
      <c r="C569" s="3" t="s">
        <v>218</v>
      </c>
      <c r="D569" s="3" t="s">
        <v>36</v>
      </c>
      <c r="E569" s="3" t="s">
        <v>5</v>
      </c>
      <c r="F569" s="8" t="s">
        <v>94</v>
      </c>
      <c r="G569" s="19">
        <f>_xlfn.XLOOKUP(Participantes[[#This Row],[Seminario al que asistió]],Seminarios[Seminario],Seminarios[Año])</f>
        <v>2024</v>
      </c>
    </row>
    <row r="570" spans="1:11" x14ac:dyDescent="0.25">
      <c r="A570" s="7" t="s">
        <v>273</v>
      </c>
      <c r="B570" s="3" t="s">
        <v>237</v>
      </c>
      <c r="C570" s="3" t="s">
        <v>218</v>
      </c>
      <c r="D570" s="3" t="s">
        <v>36</v>
      </c>
      <c r="E570" s="3" t="s">
        <v>5</v>
      </c>
      <c r="F570" s="8" t="s">
        <v>94</v>
      </c>
      <c r="G570" s="19">
        <f>_xlfn.XLOOKUP(Participantes[[#This Row],[Seminario al que asistió]],Seminarios[Seminario],Seminarios[Año])</f>
        <v>2024</v>
      </c>
    </row>
    <row r="571" spans="1:11" x14ac:dyDescent="0.25">
      <c r="A571" s="7" t="s">
        <v>317</v>
      </c>
      <c r="B571" s="3" t="s">
        <v>318</v>
      </c>
      <c r="C571" s="3" t="s">
        <v>218</v>
      </c>
      <c r="D571" s="3" t="s">
        <v>36</v>
      </c>
      <c r="E571" s="3" t="s">
        <v>5</v>
      </c>
      <c r="F571" s="8" t="s">
        <v>94</v>
      </c>
      <c r="G571" s="19">
        <f>_xlfn.XLOOKUP(Participantes[[#This Row],[Seminario al que asistió]],Seminarios[Seminario],Seminarios[Año])</f>
        <v>2024</v>
      </c>
    </row>
    <row r="572" spans="1:11" x14ac:dyDescent="0.25">
      <c r="A572" s="7" t="s">
        <v>519</v>
      </c>
      <c r="B572" s="3" t="s">
        <v>314</v>
      </c>
      <c r="C572" s="3" t="s">
        <v>221</v>
      </c>
      <c r="D572" s="3" t="s">
        <v>36</v>
      </c>
      <c r="E572" s="3" t="s">
        <v>5</v>
      </c>
      <c r="F572" s="8" t="s">
        <v>94</v>
      </c>
      <c r="G572" s="19">
        <f>_xlfn.XLOOKUP(Participantes[[#This Row],[Seminario al que asistió]],Seminarios[Seminario],Seminarios[Año])</f>
        <v>2024</v>
      </c>
    </row>
    <row r="573" spans="1:11" x14ac:dyDescent="0.25">
      <c r="A573" s="7" t="s">
        <v>167</v>
      </c>
      <c r="B573" s="3" t="s">
        <v>284</v>
      </c>
      <c r="C573" s="3" t="s">
        <v>218</v>
      </c>
      <c r="D573" s="3" t="s">
        <v>36</v>
      </c>
      <c r="E573" s="3" t="s">
        <v>5</v>
      </c>
      <c r="F573" s="8" t="s">
        <v>94</v>
      </c>
      <c r="G573" s="19">
        <f>_xlfn.XLOOKUP(Participantes[[#This Row],[Seminario al que asistió]],Seminarios[Seminario],Seminarios[Año])</f>
        <v>2024</v>
      </c>
    </row>
    <row r="574" spans="1:11" ht="15.75" thickBot="1" x14ac:dyDescent="0.3">
      <c r="A574" s="9" t="s">
        <v>225</v>
      </c>
      <c r="B574" s="10" t="s">
        <v>226</v>
      </c>
      <c r="C574" s="10" t="s">
        <v>218</v>
      </c>
      <c r="D574" s="10" t="s">
        <v>36</v>
      </c>
      <c r="E574" s="10" t="s">
        <v>5</v>
      </c>
      <c r="F574" s="11" t="s">
        <v>94</v>
      </c>
      <c r="G574" s="19">
        <f>_xlfn.XLOOKUP(Participantes[[#This Row],[Seminario al que asistió]],Seminarios[Seminario],Seminarios[Año])</f>
        <v>2024</v>
      </c>
    </row>
    <row r="575" spans="1:11" x14ac:dyDescent="0.25">
      <c r="A575" s="46" t="s">
        <v>240</v>
      </c>
      <c r="B575" s="12" t="s">
        <v>241</v>
      </c>
      <c r="C575" s="12" t="s">
        <v>221</v>
      </c>
      <c r="D575" s="12" t="s">
        <v>36</v>
      </c>
      <c r="E575" s="12" t="s">
        <v>5</v>
      </c>
      <c r="F575" s="47" t="s">
        <v>96</v>
      </c>
      <c r="G575" s="19">
        <f>_xlfn.XLOOKUP(Participantes[[#This Row],[Seminario al que asistió]],Seminarios[Seminario],Seminarios[Año])</f>
        <v>2024</v>
      </c>
    </row>
    <row r="576" spans="1:11" x14ac:dyDescent="0.25">
      <c r="A576" s="7" t="s">
        <v>661</v>
      </c>
      <c r="B576" s="3" t="s">
        <v>583</v>
      </c>
      <c r="C576" s="3" t="s">
        <v>218</v>
      </c>
      <c r="D576" s="3" t="s">
        <v>36</v>
      </c>
      <c r="E576" s="3" t="s">
        <v>5</v>
      </c>
      <c r="F576" s="8" t="s">
        <v>96</v>
      </c>
      <c r="G576" s="19">
        <f>_xlfn.XLOOKUP(Participantes[[#This Row],[Seminario al que asistió]],Seminarios[Seminario],Seminarios[Año])</f>
        <v>2024</v>
      </c>
    </row>
    <row r="577" spans="1:7" x14ac:dyDescent="0.25">
      <c r="A577" s="7" t="s">
        <v>276</v>
      </c>
      <c r="B577" s="3" t="s">
        <v>277</v>
      </c>
      <c r="C577" s="3" t="s">
        <v>218</v>
      </c>
      <c r="D577" s="3" t="s">
        <v>36</v>
      </c>
      <c r="E577" s="3" t="s">
        <v>5</v>
      </c>
      <c r="F577" s="8" t="s">
        <v>96</v>
      </c>
      <c r="G577" s="19">
        <f>_xlfn.XLOOKUP(Participantes[[#This Row],[Seminario al que asistió]],Seminarios[Seminario],Seminarios[Año])</f>
        <v>2024</v>
      </c>
    </row>
    <row r="578" spans="1:7" x14ac:dyDescent="0.25">
      <c r="A578" s="7" t="s">
        <v>831</v>
      </c>
      <c r="B578" s="3" t="s">
        <v>304</v>
      </c>
      <c r="C578" s="3" t="s">
        <v>221</v>
      </c>
      <c r="D578" s="3" t="s">
        <v>36</v>
      </c>
      <c r="E578" s="3" t="s">
        <v>5</v>
      </c>
      <c r="F578" s="8" t="s">
        <v>96</v>
      </c>
      <c r="G578" s="19">
        <f>_xlfn.XLOOKUP(Participantes[[#This Row],[Seminario al que asistió]],Seminarios[Seminario],Seminarios[Año])</f>
        <v>2024</v>
      </c>
    </row>
    <row r="579" spans="1:7" x14ac:dyDescent="0.25">
      <c r="A579" s="7" t="s">
        <v>310</v>
      </c>
      <c r="B579" s="3" t="s">
        <v>256</v>
      </c>
      <c r="C579" s="3" t="s">
        <v>218</v>
      </c>
      <c r="D579" s="3" t="s">
        <v>36</v>
      </c>
      <c r="E579" s="3" t="s">
        <v>5</v>
      </c>
      <c r="F579" s="8" t="s">
        <v>96</v>
      </c>
      <c r="G579" s="19">
        <f>_xlfn.XLOOKUP(Participantes[[#This Row],[Seminario al que asistió]],Seminarios[Seminario],Seminarios[Año])</f>
        <v>2024</v>
      </c>
    </row>
    <row r="580" spans="1:7" x14ac:dyDescent="0.25">
      <c r="A580" s="7" t="s">
        <v>777</v>
      </c>
      <c r="B580" s="3" t="s">
        <v>254</v>
      </c>
      <c r="C580" s="3" t="s">
        <v>218</v>
      </c>
      <c r="D580" s="3" t="s">
        <v>36</v>
      </c>
      <c r="E580" s="3" t="s">
        <v>5</v>
      </c>
      <c r="F580" s="8" t="s">
        <v>96</v>
      </c>
      <c r="G580" s="19">
        <f>_xlfn.XLOOKUP(Participantes[[#This Row],[Seminario al que asistió]],Seminarios[Seminario],Seminarios[Año])</f>
        <v>2024</v>
      </c>
    </row>
    <row r="581" spans="1:7" x14ac:dyDescent="0.25">
      <c r="A581" s="7" t="s">
        <v>223</v>
      </c>
      <c r="B581" s="3" t="s">
        <v>224</v>
      </c>
      <c r="C581" s="3" t="s">
        <v>221</v>
      </c>
      <c r="D581" s="3" t="s">
        <v>36</v>
      </c>
      <c r="E581" s="3" t="s">
        <v>5</v>
      </c>
      <c r="F581" s="8" t="s">
        <v>96</v>
      </c>
      <c r="G581" s="19">
        <f>_xlfn.XLOOKUP(Participantes[[#This Row],[Seminario al que asistió]],Seminarios[Seminario],Seminarios[Año])</f>
        <v>2024</v>
      </c>
    </row>
    <row r="582" spans="1:7" x14ac:dyDescent="0.25">
      <c r="A582" s="7" t="s">
        <v>227</v>
      </c>
      <c r="B582" s="3" t="s">
        <v>228</v>
      </c>
      <c r="C582" s="3" t="s">
        <v>218</v>
      </c>
      <c r="D582" s="3" t="s">
        <v>36</v>
      </c>
      <c r="E582" s="3" t="s">
        <v>5</v>
      </c>
      <c r="F582" s="8" t="s">
        <v>96</v>
      </c>
      <c r="G582" s="19">
        <f>_xlfn.XLOOKUP(Participantes[[#This Row],[Seminario al que asistió]],Seminarios[Seminario],Seminarios[Año])</f>
        <v>2024</v>
      </c>
    </row>
    <row r="583" spans="1:7" x14ac:dyDescent="0.25">
      <c r="A583" s="7" t="s">
        <v>829</v>
      </c>
      <c r="B583" s="3" t="s">
        <v>230</v>
      </c>
      <c r="C583" s="3" t="s">
        <v>218</v>
      </c>
      <c r="D583" s="3" t="s">
        <v>36</v>
      </c>
      <c r="E583" s="3" t="s">
        <v>5</v>
      </c>
      <c r="F583" s="8" t="s">
        <v>96</v>
      </c>
      <c r="G583" s="19">
        <f>_xlfn.XLOOKUP(Participantes[[#This Row],[Seminario al que asistió]],Seminarios[Seminario],Seminarios[Año])</f>
        <v>2024</v>
      </c>
    </row>
    <row r="584" spans="1:7" x14ac:dyDescent="0.25">
      <c r="A584" s="7" t="s">
        <v>273</v>
      </c>
      <c r="B584" s="3" t="s">
        <v>237</v>
      </c>
      <c r="C584" s="3" t="s">
        <v>218</v>
      </c>
      <c r="D584" s="3" t="s">
        <v>36</v>
      </c>
      <c r="E584" s="3" t="s">
        <v>5</v>
      </c>
      <c r="F584" s="8" t="s">
        <v>96</v>
      </c>
      <c r="G584" s="19">
        <f>_xlfn.XLOOKUP(Participantes[[#This Row],[Seminario al que asistió]],Seminarios[Seminario],Seminarios[Año])</f>
        <v>2024</v>
      </c>
    </row>
    <row r="585" spans="1:7" ht="15.75" thickBot="1" x14ac:dyDescent="0.3">
      <c r="A585" s="77" t="s">
        <v>225</v>
      </c>
      <c r="B585" s="13" t="s">
        <v>226</v>
      </c>
      <c r="C585" s="13" t="s">
        <v>218</v>
      </c>
      <c r="D585" s="13" t="s">
        <v>36</v>
      </c>
      <c r="E585" s="13" t="s">
        <v>5</v>
      </c>
      <c r="F585" s="78" t="s">
        <v>96</v>
      </c>
      <c r="G585" s="19">
        <f>_xlfn.XLOOKUP(Participantes[[#This Row],[Seminario al que asistió]],Seminarios[Seminario],Seminarios[Año])</f>
        <v>2024</v>
      </c>
    </row>
    <row r="586" spans="1:7" x14ac:dyDescent="0.25">
      <c r="A586" s="4" t="s">
        <v>832</v>
      </c>
      <c r="B586" s="5" t="s">
        <v>268</v>
      </c>
      <c r="C586" s="5" t="s">
        <v>218</v>
      </c>
      <c r="D586" s="5" t="s">
        <v>36</v>
      </c>
      <c r="E586" s="5" t="s">
        <v>1</v>
      </c>
      <c r="F586" s="6" t="s">
        <v>20</v>
      </c>
      <c r="G586" s="19">
        <f>_xlfn.XLOOKUP(Participantes[[#This Row],[Seminario al que asistió]],Seminarios[Seminario],Seminarios[Año])</f>
        <v>2024</v>
      </c>
    </row>
    <row r="587" spans="1:7" x14ac:dyDescent="0.25">
      <c r="A587" s="7" t="s">
        <v>289</v>
      </c>
      <c r="B587" s="3" t="s">
        <v>290</v>
      </c>
      <c r="C587" s="3" t="s">
        <v>221</v>
      </c>
      <c r="D587" s="3" t="s">
        <v>233</v>
      </c>
      <c r="E587" s="3" t="s">
        <v>1</v>
      </c>
      <c r="F587" s="8" t="s">
        <v>20</v>
      </c>
      <c r="G587" s="19">
        <f>_xlfn.XLOOKUP(Participantes[[#This Row],[Seminario al que asistió]],Seminarios[Seminario],Seminarios[Año])</f>
        <v>2024</v>
      </c>
    </row>
    <row r="588" spans="1:7" x14ac:dyDescent="0.25">
      <c r="A588" s="7" t="s">
        <v>833</v>
      </c>
      <c r="B588" s="3" t="s">
        <v>834</v>
      </c>
      <c r="C588" s="3" t="s">
        <v>221</v>
      </c>
      <c r="D588" s="3" t="s">
        <v>36</v>
      </c>
      <c r="E588" s="3" t="s">
        <v>1</v>
      </c>
      <c r="F588" s="8" t="s">
        <v>20</v>
      </c>
      <c r="G588" s="19">
        <f>_xlfn.XLOOKUP(Participantes[[#This Row],[Seminario al que asistió]],Seminarios[Seminario],Seminarios[Año])</f>
        <v>2024</v>
      </c>
    </row>
    <row r="589" spans="1:7" x14ac:dyDescent="0.25">
      <c r="A589" s="7" t="s">
        <v>242</v>
      </c>
      <c r="B589" s="3" t="s">
        <v>835</v>
      </c>
      <c r="C589" s="3" t="s">
        <v>218</v>
      </c>
      <c r="D589" s="3" t="s">
        <v>36</v>
      </c>
      <c r="E589" s="3" t="s">
        <v>1</v>
      </c>
      <c r="F589" s="8" t="s">
        <v>20</v>
      </c>
      <c r="G589" s="19">
        <f>_xlfn.XLOOKUP(Participantes[[#This Row],[Seminario al que asistió]],Seminarios[Seminario],Seminarios[Año])</f>
        <v>2024</v>
      </c>
    </row>
    <row r="590" spans="1:7" x14ac:dyDescent="0.25">
      <c r="A590" s="7" t="s">
        <v>836</v>
      </c>
      <c r="B590" s="3" t="s">
        <v>837</v>
      </c>
      <c r="C590" s="3" t="s">
        <v>218</v>
      </c>
      <c r="D590" s="3" t="s">
        <v>233</v>
      </c>
      <c r="E590" s="3" t="s">
        <v>1</v>
      </c>
      <c r="F590" s="8" t="s">
        <v>20</v>
      </c>
      <c r="G590" s="19">
        <f>_xlfn.XLOOKUP(Participantes[[#This Row],[Seminario al que asistió]],Seminarios[Seminario],Seminarios[Año])</f>
        <v>2024</v>
      </c>
    </row>
    <row r="591" spans="1:7" x14ac:dyDescent="0.25">
      <c r="A591" s="7" t="s">
        <v>838</v>
      </c>
      <c r="B591" s="3" t="s">
        <v>839</v>
      </c>
      <c r="C591" s="3" t="s">
        <v>218</v>
      </c>
      <c r="D591" s="3" t="s">
        <v>233</v>
      </c>
      <c r="E591" s="3" t="s">
        <v>1</v>
      </c>
      <c r="F591" s="8" t="s">
        <v>20</v>
      </c>
      <c r="G591" s="19">
        <f>_xlfn.XLOOKUP(Participantes[[#This Row],[Seminario al que asistió]],Seminarios[Seminario],Seminarios[Año])</f>
        <v>2024</v>
      </c>
    </row>
    <row r="592" spans="1:7" x14ac:dyDescent="0.25">
      <c r="A592" s="7" t="s">
        <v>840</v>
      </c>
      <c r="B592" s="3" t="s">
        <v>841</v>
      </c>
      <c r="C592" s="3" t="s">
        <v>221</v>
      </c>
      <c r="D592" s="3" t="s">
        <v>233</v>
      </c>
      <c r="E592" s="3" t="s">
        <v>1</v>
      </c>
      <c r="F592" s="8" t="s">
        <v>20</v>
      </c>
      <c r="G592" s="19">
        <f>_xlfn.XLOOKUP(Participantes[[#This Row],[Seminario al que asistió]],Seminarios[Seminario],Seminarios[Año])</f>
        <v>2024</v>
      </c>
    </row>
    <row r="593" spans="1:7" x14ac:dyDescent="0.25">
      <c r="A593" s="7" t="s">
        <v>842</v>
      </c>
      <c r="B593" s="3" t="s">
        <v>843</v>
      </c>
      <c r="C593" s="3" t="s">
        <v>221</v>
      </c>
      <c r="D593" s="3" t="s">
        <v>233</v>
      </c>
      <c r="E593" s="3" t="s">
        <v>1</v>
      </c>
      <c r="F593" s="8" t="s">
        <v>20</v>
      </c>
      <c r="G593" s="19">
        <f>_xlfn.XLOOKUP(Participantes[[#This Row],[Seminario al que asistió]],Seminarios[Seminario],Seminarios[Año])</f>
        <v>2024</v>
      </c>
    </row>
    <row r="594" spans="1:7" x14ac:dyDescent="0.25">
      <c r="A594" s="7" t="s">
        <v>844</v>
      </c>
      <c r="B594" s="3" t="s">
        <v>845</v>
      </c>
      <c r="C594" s="3" t="s">
        <v>221</v>
      </c>
      <c r="D594" s="3" t="s">
        <v>48</v>
      </c>
      <c r="E594" s="3" t="s">
        <v>1</v>
      </c>
      <c r="F594" s="8" t="s">
        <v>20</v>
      </c>
      <c r="G594" s="19">
        <f>_xlfn.XLOOKUP(Participantes[[#This Row],[Seminario al que asistió]],Seminarios[Seminario],Seminarios[Año])</f>
        <v>2024</v>
      </c>
    </row>
    <row r="595" spans="1:7" x14ac:dyDescent="0.25">
      <c r="A595" s="7" t="s">
        <v>846</v>
      </c>
      <c r="B595" s="3" t="s">
        <v>847</v>
      </c>
      <c r="C595" s="3" t="s">
        <v>218</v>
      </c>
      <c r="D595" s="3" t="s">
        <v>48</v>
      </c>
      <c r="E595" s="3" t="s">
        <v>1</v>
      </c>
      <c r="F595" s="8" t="s">
        <v>20</v>
      </c>
      <c r="G595" s="19">
        <f>_xlfn.XLOOKUP(Participantes[[#This Row],[Seminario al que asistió]],Seminarios[Seminario],Seminarios[Año])</f>
        <v>2024</v>
      </c>
    </row>
    <row r="596" spans="1:7" x14ac:dyDescent="0.25">
      <c r="A596" s="7" t="s">
        <v>848</v>
      </c>
      <c r="B596" s="3" t="s">
        <v>849</v>
      </c>
      <c r="C596" s="3" t="s">
        <v>218</v>
      </c>
      <c r="D596" s="3" t="s">
        <v>233</v>
      </c>
      <c r="E596" s="3" t="s">
        <v>1</v>
      </c>
      <c r="F596" s="8" t="s">
        <v>20</v>
      </c>
      <c r="G596" s="19">
        <f>_xlfn.XLOOKUP(Participantes[[#This Row],[Seminario al que asistió]],Seminarios[Seminario],Seminarios[Año])</f>
        <v>2024</v>
      </c>
    </row>
    <row r="597" spans="1:7" x14ac:dyDescent="0.25">
      <c r="A597" s="7" t="s">
        <v>850</v>
      </c>
      <c r="B597" s="3" t="s">
        <v>851</v>
      </c>
      <c r="C597" s="3" t="s">
        <v>221</v>
      </c>
      <c r="D597" s="3" t="s">
        <v>233</v>
      </c>
      <c r="E597" s="3" t="s">
        <v>1</v>
      </c>
      <c r="F597" s="8" t="s">
        <v>20</v>
      </c>
      <c r="G597" s="19">
        <f>_xlfn.XLOOKUP(Participantes[[#This Row],[Seminario al que asistió]],Seminarios[Seminario],Seminarios[Año])</f>
        <v>2024</v>
      </c>
    </row>
    <row r="598" spans="1:7" x14ac:dyDescent="0.25">
      <c r="A598" s="7" t="s">
        <v>253</v>
      </c>
      <c r="B598" s="3" t="s">
        <v>254</v>
      </c>
      <c r="C598" s="3" t="s">
        <v>218</v>
      </c>
      <c r="D598" s="3" t="s">
        <v>36</v>
      </c>
      <c r="E598" s="3" t="s">
        <v>1</v>
      </c>
      <c r="F598" s="8" t="s">
        <v>20</v>
      </c>
      <c r="G598" s="19">
        <f>_xlfn.XLOOKUP(Participantes[[#This Row],[Seminario al que asistió]],Seminarios[Seminario],Seminarios[Año])</f>
        <v>2024</v>
      </c>
    </row>
    <row r="599" spans="1:7" x14ac:dyDescent="0.25">
      <c r="A599" s="7" t="s">
        <v>229</v>
      </c>
      <c r="B599" s="3" t="s">
        <v>230</v>
      </c>
      <c r="C599" s="3" t="s">
        <v>218</v>
      </c>
      <c r="D599" s="3" t="s">
        <v>36</v>
      </c>
      <c r="E599" s="3" t="s">
        <v>1</v>
      </c>
      <c r="F599" s="8" t="s">
        <v>20</v>
      </c>
      <c r="G599" s="19">
        <f>_xlfn.XLOOKUP(Participantes[[#This Row],[Seminario al que asistió]],Seminarios[Seminario],Seminarios[Año])</f>
        <v>2024</v>
      </c>
    </row>
    <row r="600" spans="1:7" x14ac:dyDescent="0.25">
      <c r="A600" s="7" t="s">
        <v>519</v>
      </c>
      <c r="B600" s="3" t="s">
        <v>666</v>
      </c>
      <c r="C600" s="3" t="s">
        <v>221</v>
      </c>
      <c r="D600" s="3" t="s">
        <v>36</v>
      </c>
      <c r="E600" s="3" t="s">
        <v>1</v>
      </c>
      <c r="F600" s="8" t="s">
        <v>20</v>
      </c>
      <c r="G600" s="19">
        <f>_xlfn.XLOOKUP(Participantes[[#This Row],[Seminario al que asistió]],Seminarios[Seminario],Seminarios[Año])</f>
        <v>2024</v>
      </c>
    </row>
    <row r="601" spans="1:7" x14ac:dyDescent="0.25">
      <c r="A601" s="7" t="s">
        <v>815</v>
      </c>
      <c r="B601" s="3" t="s">
        <v>670</v>
      </c>
      <c r="C601" s="3" t="s">
        <v>218</v>
      </c>
      <c r="D601" s="3" t="s">
        <v>36</v>
      </c>
      <c r="E601" s="3" t="s">
        <v>1</v>
      </c>
      <c r="F601" s="8" t="s">
        <v>20</v>
      </c>
      <c r="G601" s="19">
        <f>_xlfn.XLOOKUP(Participantes[[#This Row],[Seminario al que asistió]],Seminarios[Seminario],Seminarios[Año])</f>
        <v>2024</v>
      </c>
    </row>
    <row r="602" spans="1:7" x14ac:dyDescent="0.25">
      <c r="A602" s="7" t="s">
        <v>471</v>
      </c>
      <c r="B602" s="3" t="s">
        <v>339</v>
      </c>
      <c r="C602" s="3" t="s">
        <v>218</v>
      </c>
      <c r="D602" s="3" t="s">
        <v>36</v>
      </c>
      <c r="E602" s="3" t="s">
        <v>1</v>
      </c>
      <c r="F602" s="8" t="s">
        <v>20</v>
      </c>
      <c r="G602" s="19">
        <f>_xlfn.XLOOKUP(Participantes[[#This Row],[Seminario al que asistió]],Seminarios[Seminario],Seminarios[Año])</f>
        <v>2024</v>
      </c>
    </row>
    <row r="603" spans="1:7" x14ac:dyDescent="0.25">
      <c r="A603" s="7" t="s">
        <v>852</v>
      </c>
      <c r="B603" s="3" t="s">
        <v>237</v>
      </c>
      <c r="C603" s="3" t="s">
        <v>218</v>
      </c>
      <c r="D603" s="3" t="s">
        <v>36</v>
      </c>
      <c r="E603" s="3" t="s">
        <v>1</v>
      </c>
      <c r="F603" s="8" t="s">
        <v>20</v>
      </c>
      <c r="G603" s="19">
        <f>_xlfn.XLOOKUP(Participantes[[#This Row],[Seminario al que asistió]],Seminarios[Seminario],Seminarios[Año])</f>
        <v>2024</v>
      </c>
    </row>
    <row r="604" spans="1:7" x14ac:dyDescent="0.25">
      <c r="A604" s="7" t="s">
        <v>853</v>
      </c>
      <c r="B604" s="3" t="s">
        <v>854</v>
      </c>
      <c r="C604" s="3" t="s">
        <v>221</v>
      </c>
      <c r="D604" s="3" t="s">
        <v>233</v>
      </c>
      <c r="E604" s="3" t="s">
        <v>1</v>
      </c>
      <c r="F604" s="8" t="s">
        <v>20</v>
      </c>
      <c r="G604" s="19">
        <f>_xlfn.XLOOKUP(Participantes[[#This Row],[Seminario al que asistió]],Seminarios[Seminario],Seminarios[Año])</f>
        <v>2024</v>
      </c>
    </row>
    <row r="605" spans="1:7" x14ac:dyDescent="0.25">
      <c r="A605" s="7" t="s">
        <v>831</v>
      </c>
      <c r="B605" s="3" t="s">
        <v>304</v>
      </c>
      <c r="C605" s="3" t="s">
        <v>221</v>
      </c>
      <c r="D605" s="3" t="s">
        <v>36</v>
      </c>
      <c r="E605" s="3" t="s">
        <v>1</v>
      </c>
      <c r="F605" s="8" t="s">
        <v>20</v>
      </c>
      <c r="G605" s="19">
        <f>_xlfn.XLOOKUP(Participantes[[#This Row],[Seminario al que asistió]],Seminarios[Seminario],Seminarios[Año])</f>
        <v>2024</v>
      </c>
    </row>
    <row r="606" spans="1:7" x14ac:dyDescent="0.25">
      <c r="A606" s="7" t="s">
        <v>675</v>
      </c>
      <c r="B606" s="3" t="s">
        <v>256</v>
      </c>
      <c r="C606" s="3" t="s">
        <v>218</v>
      </c>
      <c r="D606" s="3" t="s">
        <v>36</v>
      </c>
      <c r="E606" s="3" t="s">
        <v>1</v>
      </c>
      <c r="F606" s="8" t="s">
        <v>20</v>
      </c>
      <c r="G606" s="19">
        <f>_xlfn.XLOOKUP(Participantes[[#This Row],[Seminario al que asistió]],Seminarios[Seminario],Seminarios[Año])</f>
        <v>2024</v>
      </c>
    </row>
    <row r="607" spans="1:7" x14ac:dyDescent="0.25">
      <c r="A607" s="7" t="s">
        <v>855</v>
      </c>
      <c r="B607" s="3" t="s">
        <v>303</v>
      </c>
      <c r="C607" s="3" t="s">
        <v>218</v>
      </c>
      <c r="D607" s="3" t="s">
        <v>36</v>
      </c>
      <c r="E607" s="3" t="s">
        <v>1</v>
      </c>
      <c r="F607" s="8" t="s">
        <v>20</v>
      </c>
      <c r="G607" s="19">
        <f>_xlfn.XLOOKUP(Participantes[[#This Row],[Seminario al que asistió]],Seminarios[Seminario],Seminarios[Año])</f>
        <v>2024</v>
      </c>
    </row>
    <row r="608" spans="1:7" x14ac:dyDescent="0.25">
      <c r="A608" s="7" t="s">
        <v>856</v>
      </c>
      <c r="B608" s="3" t="s">
        <v>857</v>
      </c>
      <c r="C608" s="3" t="s">
        <v>221</v>
      </c>
      <c r="D608" s="3" t="s">
        <v>43</v>
      </c>
      <c r="E608" s="3" t="s">
        <v>1</v>
      </c>
      <c r="F608" s="8" t="s">
        <v>20</v>
      </c>
      <c r="G608" s="19">
        <f>_xlfn.XLOOKUP(Participantes[[#This Row],[Seminario al que asistió]],Seminarios[Seminario],Seminarios[Año])</f>
        <v>2024</v>
      </c>
    </row>
    <row r="609" spans="1:7" x14ac:dyDescent="0.25">
      <c r="A609" s="7" t="s">
        <v>317</v>
      </c>
      <c r="B609" s="3" t="s">
        <v>318</v>
      </c>
      <c r="C609" s="3" t="s">
        <v>218</v>
      </c>
      <c r="D609" s="3" t="s">
        <v>36</v>
      </c>
      <c r="E609" s="3" t="s">
        <v>1</v>
      </c>
      <c r="F609" s="8" t="s">
        <v>20</v>
      </c>
      <c r="G609" s="19">
        <f>_xlfn.XLOOKUP(Participantes[[#This Row],[Seminario al que asistió]],Seminarios[Seminario],Seminarios[Año])</f>
        <v>2024</v>
      </c>
    </row>
    <row r="610" spans="1:7" x14ac:dyDescent="0.25">
      <c r="A610" s="7" t="s">
        <v>506</v>
      </c>
      <c r="B610" s="3" t="s">
        <v>275</v>
      </c>
      <c r="C610" s="3" t="s">
        <v>218</v>
      </c>
      <c r="D610" s="3" t="s">
        <v>36</v>
      </c>
      <c r="E610" s="3" t="s">
        <v>1</v>
      </c>
      <c r="F610" s="8" t="s">
        <v>20</v>
      </c>
      <c r="G610" s="19">
        <f>_xlfn.XLOOKUP(Participantes[[#This Row],[Seminario al que asistió]],Seminarios[Seminario],Seminarios[Año])</f>
        <v>2024</v>
      </c>
    </row>
    <row r="611" spans="1:7" x14ac:dyDescent="0.25">
      <c r="A611" s="7" t="s">
        <v>858</v>
      </c>
      <c r="B611" s="3" t="s">
        <v>859</v>
      </c>
      <c r="C611" s="3" t="s">
        <v>221</v>
      </c>
      <c r="D611" s="3" t="s">
        <v>233</v>
      </c>
      <c r="E611" s="3" t="s">
        <v>1</v>
      </c>
      <c r="F611" s="8" t="s">
        <v>20</v>
      </c>
      <c r="G611" s="19">
        <f>_xlfn.XLOOKUP(Participantes[[#This Row],[Seminario al que asistió]],Seminarios[Seminario],Seminarios[Año])</f>
        <v>2024</v>
      </c>
    </row>
    <row r="612" spans="1:7" x14ac:dyDescent="0.25">
      <c r="A612" s="7" t="s">
        <v>263</v>
      </c>
      <c r="B612" s="3" t="s">
        <v>264</v>
      </c>
      <c r="C612" s="3" t="s">
        <v>221</v>
      </c>
      <c r="D612" s="3" t="s">
        <v>233</v>
      </c>
      <c r="E612" s="3" t="s">
        <v>1</v>
      </c>
      <c r="F612" s="8" t="s">
        <v>20</v>
      </c>
      <c r="G612" s="19">
        <f>_xlfn.XLOOKUP(Participantes[[#This Row],[Seminario al que asistió]],Seminarios[Seminario],Seminarios[Año])</f>
        <v>2024</v>
      </c>
    </row>
    <row r="613" spans="1:7" x14ac:dyDescent="0.25">
      <c r="A613" s="7" t="s">
        <v>860</v>
      </c>
      <c r="B613" s="3" t="s">
        <v>861</v>
      </c>
      <c r="C613" s="3" t="s">
        <v>221</v>
      </c>
      <c r="D613" s="3" t="s">
        <v>233</v>
      </c>
      <c r="E613" s="3" t="s">
        <v>1</v>
      </c>
      <c r="F613" s="8" t="s">
        <v>20</v>
      </c>
      <c r="G613" s="19">
        <f>_xlfn.XLOOKUP(Participantes[[#This Row],[Seminario al que asistió]],Seminarios[Seminario],Seminarios[Año])</f>
        <v>2024</v>
      </c>
    </row>
    <row r="614" spans="1:7" x14ac:dyDescent="0.25">
      <c r="A614" s="7" t="s">
        <v>276</v>
      </c>
      <c r="B614" s="3" t="s">
        <v>277</v>
      </c>
      <c r="C614" s="3" t="s">
        <v>218</v>
      </c>
      <c r="D614" s="3" t="s">
        <v>36</v>
      </c>
      <c r="E614" s="3" t="s">
        <v>1</v>
      </c>
      <c r="F614" s="8" t="s">
        <v>20</v>
      </c>
      <c r="G614" s="19">
        <f>_xlfn.XLOOKUP(Participantes[[#This Row],[Seminario al que asistió]],Seminarios[Seminario],Seminarios[Año])</f>
        <v>2024</v>
      </c>
    </row>
    <row r="615" spans="1:7" x14ac:dyDescent="0.25">
      <c r="A615" s="7" t="s">
        <v>219</v>
      </c>
      <c r="B615" s="3" t="s">
        <v>220</v>
      </c>
      <c r="C615" s="3" t="s">
        <v>221</v>
      </c>
      <c r="D615" s="3" t="s">
        <v>36</v>
      </c>
      <c r="E615" s="3" t="s">
        <v>1</v>
      </c>
      <c r="F615" s="8" t="s">
        <v>20</v>
      </c>
      <c r="G615" s="19">
        <f>_xlfn.XLOOKUP(Participantes[[#This Row],[Seminario al que asistió]],Seminarios[Seminario],Seminarios[Año])</f>
        <v>2024</v>
      </c>
    </row>
    <row r="616" spans="1:7" x14ac:dyDescent="0.25">
      <c r="A616" s="7" t="s">
        <v>653</v>
      </c>
      <c r="B616" s="3" t="s">
        <v>654</v>
      </c>
      <c r="C616" s="3" t="s">
        <v>218</v>
      </c>
      <c r="D616" s="3" t="s">
        <v>36</v>
      </c>
      <c r="E616" s="3" t="s">
        <v>1</v>
      </c>
      <c r="F616" s="8" t="s">
        <v>20</v>
      </c>
      <c r="G616" s="19">
        <f>_xlfn.XLOOKUP(Participantes[[#This Row],[Seminario al que asistió]],Seminarios[Seminario],Seminarios[Año])</f>
        <v>2024</v>
      </c>
    </row>
    <row r="617" spans="1:7" x14ac:dyDescent="0.25">
      <c r="A617" s="7" t="s">
        <v>862</v>
      </c>
      <c r="B617" s="3" t="s">
        <v>617</v>
      </c>
      <c r="C617" s="3" t="s">
        <v>221</v>
      </c>
      <c r="D617" s="3" t="s">
        <v>36</v>
      </c>
      <c r="E617" s="3" t="s">
        <v>1</v>
      </c>
      <c r="F617" s="8" t="s">
        <v>20</v>
      </c>
      <c r="G617" s="19">
        <f>_xlfn.XLOOKUP(Participantes[[#This Row],[Seminario al que asistió]],Seminarios[Seminario],Seminarios[Año])</f>
        <v>2024</v>
      </c>
    </row>
    <row r="618" spans="1:7" x14ac:dyDescent="0.25">
      <c r="A618" s="7" t="s">
        <v>863</v>
      </c>
      <c r="B618" s="3" t="s">
        <v>329</v>
      </c>
      <c r="C618" s="3" t="s">
        <v>218</v>
      </c>
      <c r="D618" s="3" t="s">
        <v>36</v>
      </c>
      <c r="E618" s="3" t="s">
        <v>1</v>
      </c>
      <c r="F618" s="8" t="s">
        <v>20</v>
      </c>
      <c r="G618" s="19">
        <f>_xlfn.XLOOKUP(Participantes[[#This Row],[Seminario al que asistió]],Seminarios[Seminario],Seminarios[Año])</f>
        <v>2024</v>
      </c>
    </row>
    <row r="619" spans="1:7" ht="15.75" thickBot="1" x14ac:dyDescent="0.3">
      <c r="A619" s="9" t="s">
        <v>864</v>
      </c>
      <c r="B619" s="10" t="s">
        <v>694</v>
      </c>
      <c r="C619" s="10" t="s">
        <v>218</v>
      </c>
      <c r="D619" s="10" t="s">
        <v>233</v>
      </c>
      <c r="E619" s="10" t="s">
        <v>1</v>
      </c>
      <c r="F619" s="11" t="s">
        <v>20</v>
      </c>
      <c r="G619" s="19">
        <f>_xlfn.XLOOKUP(Participantes[[#This Row],[Seminario al que asistió]],Seminarios[Seminario],Seminarios[Año])</f>
        <v>2024</v>
      </c>
    </row>
    <row r="620" spans="1:7" x14ac:dyDescent="0.25">
      <c r="A620" s="4" t="s">
        <v>865</v>
      </c>
      <c r="B620" s="5"/>
      <c r="C620" s="5" t="s">
        <v>221</v>
      </c>
      <c r="D620" s="5" t="s">
        <v>233</v>
      </c>
      <c r="E620" s="5" t="s">
        <v>1</v>
      </c>
      <c r="F620" s="6" t="s">
        <v>57</v>
      </c>
      <c r="G620" s="19">
        <f>_xlfn.XLOOKUP(Participantes[[#This Row],[Seminario al que asistió]],Seminarios[Seminario],Seminarios[Año])</f>
        <v>2024</v>
      </c>
    </row>
    <row r="621" spans="1:7" x14ac:dyDescent="0.25">
      <c r="A621" s="7" t="s">
        <v>866</v>
      </c>
      <c r="B621" s="3" t="s">
        <v>867</v>
      </c>
      <c r="C621" s="3" t="s">
        <v>221</v>
      </c>
      <c r="D621" s="3" t="s">
        <v>233</v>
      </c>
      <c r="E621" s="3" t="s">
        <v>1</v>
      </c>
      <c r="F621" s="8" t="s">
        <v>57</v>
      </c>
      <c r="G621" s="19">
        <f>_xlfn.XLOOKUP(Participantes[[#This Row],[Seminario al que asistió]],Seminarios[Seminario],Seminarios[Año])</f>
        <v>2024</v>
      </c>
    </row>
    <row r="622" spans="1:7" x14ac:dyDescent="0.25">
      <c r="A622" s="7" t="s">
        <v>868</v>
      </c>
      <c r="B622" s="3"/>
      <c r="C622" s="3" t="s">
        <v>218</v>
      </c>
      <c r="D622" s="3" t="s">
        <v>233</v>
      </c>
      <c r="E622" s="3" t="s">
        <v>1</v>
      </c>
      <c r="F622" s="8" t="s">
        <v>57</v>
      </c>
      <c r="G622" s="19">
        <f>_xlfn.XLOOKUP(Participantes[[#This Row],[Seminario al que asistió]],Seminarios[Seminario],Seminarios[Año])</f>
        <v>2024</v>
      </c>
    </row>
    <row r="623" spans="1:7" x14ac:dyDescent="0.25">
      <c r="A623" s="7" t="s">
        <v>869</v>
      </c>
      <c r="B623" s="3" t="s">
        <v>870</v>
      </c>
      <c r="C623" s="3" t="s">
        <v>218</v>
      </c>
      <c r="D623" s="3" t="s">
        <v>233</v>
      </c>
      <c r="E623" s="3" t="s">
        <v>1</v>
      </c>
      <c r="F623" s="8" t="s">
        <v>57</v>
      </c>
      <c r="G623" s="19">
        <f>_xlfn.XLOOKUP(Participantes[[#This Row],[Seminario al que asistió]],Seminarios[Seminario],Seminarios[Año])</f>
        <v>2024</v>
      </c>
    </row>
    <row r="624" spans="1:7" x14ac:dyDescent="0.25">
      <c r="A624" s="7" t="s">
        <v>871</v>
      </c>
      <c r="B624" s="3"/>
      <c r="C624" s="3" t="s">
        <v>218</v>
      </c>
      <c r="D624" s="3" t="s">
        <v>233</v>
      </c>
      <c r="E624" s="3" t="s">
        <v>1</v>
      </c>
      <c r="F624" s="8" t="s">
        <v>57</v>
      </c>
      <c r="G624" s="19">
        <f>_xlfn.XLOOKUP(Participantes[[#This Row],[Seminario al que asistió]],Seminarios[Seminario],Seminarios[Año])</f>
        <v>2024</v>
      </c>
    </row>
    <row r="625" spans="1:7" x14ac:dyDescent="0.25">
      <c r="A625" s="7" t="s">
        <v>260</v>
      </c>
      <c r="B625" s="3" t="s">
        <v>250</v>
      </c>
      <c r="C625" s="3" t="s">
        <v>218</v>
      </c>
      <c r="D625" s="3" t="s">
        <v>36</v>
      </c>
      <c r="E625" s="3" t="s">
        <v>1</v>
      </c>
      <c r="F625" s="8" t="s">
        <v>57</v>
      </c>
      <c r="G625" s="19">
        <f>_xlfn.XLOOKUP(Participantes[[#This Row],[Seminario al que asistió]],Seminarios[Seminario],Seminarios[Año])</f>
        <v>2024</v>
      </c>
    </row>
    <row r="626" spans="1:7" x14ac:dyDescent="0.25">
      <c r="A626" s="7" t="s">
        <v>558</v>
      </c>
      <c r="B626" s="3" t="s">
        <v>288</v>
      </c>
      <c r="C626" s="3" t="s">
        <v>218</v>
      </c>
      <c r="D626" s="3" t="s">
        <v>36</v>
      </c>
      <c r="E626" s="3" t="s">
        <v>1</v>
      </c>
      <c r="F626" s="8" t="s">
        <v>57</v>
      </c>
      <c r="G626" s="19">
        <f>_xlfn.XLOOKUP(Participantes[[#This Row],[Seminario al que asistió]],Seminarios[Seminario],Seminarios[Año])</f>
        <v>2024</v>
      </c>
    </row>
    <row r="627" spans="1:7" x14ac:dyDescent="0.25">
      <c r="A627" s="7" t="s">
        <v>333</v>
      </c>
      <c r="B627" s="3" t="s">
        <v>334</v>
      </c>
      <c r="C627" s="3" t="s">
        <v>218</v>
      </c>
      <c r="D627" s="3" t="s">
        <v>36</v>
      </c>
      <c r="E627" s="3" t="s">
        <v>1</v>
      </c>
      <c r="F627" s="8" t="s">
        <v>57</v>
      </c>
      <c r="G627" s="19">
        <f>_xlfn.XLOOKUP(Participantes[[#This Row],[Seminario al que asistió]],Seminarios[Seminario],Seminarios[Año])</f>
        <v>2024</v>
      </c>
    </row>
    <row r="628" spans="1:7" x14ac:dyDescent="0.25">
      <c r="A628" s="7" t="s">
        <v>872</v>
      </c>
      <c r="B628" s="3" t="s">
        <v>873</v>
      </c>
      <c r="C628" s="3" t="s">
        <v>218</v>
      </c>
      <c r="D628" s="3" t="s">
        <v>233</v>
      </c>
      <c r="E628" s="3" t="s">
        <v>1</v>
      </c>
      <c r="F628" s="8" t="s">
        <v>57</v>
      </c>
      <c r="G628" s="19">
        <f>_xlfn.XLOOKUP(Participantes[[#This Row],[Seminario al que asistió]],Seminarios[Seminario],Seminarios[Año])</f>
        <v>2024</v>
      </c>
    </row>
    <row r="629" spans="1:7" x14ac:dyDescent="0.25">
      <c r="A629" s="7" t="s">
        <v>874</v>
      </c>
      <c r="B629" s="3" t="s">
        <v>527</v>
      </c>
      <c r="C629" s="3" t="s">
        <v>218</v>
      </c>
      <c r="D629" s="3" t="s">
        <v>233</v>
      </c>
      <c r="E629" s="3" t="s">
        <v>1</v>
      </c>
      <c r="F629" s="8" t="s">
        <v>57</v>
      </c>
      <c r="G629" s="19">
        <f>_xlfn.XLOOKUP(Participantes[[#This Row],[Seminario al que asistió]],Seminarios[Seminario],Seminarios[Año])</f>
        <v>2024</v>
      </c>
    </row>
    <row r="630" spans="1:7" x14ac:dyDescent="0.25">
      <c r="A630" s="7" t="s">
        <v>253</v>
      </c>
      <c r="B630" s="3" t="s">
        <v>254</v>
      </c>
      <c r="C630" s="3" t="s">
        <v>218</v>
      </c>
      <c r="D630" s="3" t="s">
        <v>36</v>
      </c>
      <c r="E630" s="3" t="s">
        <v>1</v>
      </c>
      <c r="F630" s="8" t="s">
        <v>57</v>
      </c>
      <c r="G630" s="19">
        <f>_xlfn.XLOOKUP(Participantes[[#This Row],[Seminario al que asistió]],Seminarios[Seminario],Seminarios[Año])</f>
        <v>2024</v>
      </c>
    </row>
    <row r="631" spans="1:7" x14ac:dyDescent="0.25">
      <c r="A631" s="7" t="s">
        <v>176</v>
      </c>
      <c r="B631" s="3" t="s">
        <v>222</v>
      </c>
      <c r="C631" s="3" t="s">
        <v>221</v>
      </c>
      <c r="D631" s="3" t="s">
        <v>36</v>
      </c>
      <c r="E631" s="3" t="s">
        <v>1</v>
      </c>
      <c r="F631" s="8" t="s">
        <v>57</v>
      </c>
      <c r="G631" s="19">
        <f>_xlfn.XLOOKUP(Participantes[[#This Row],[Seminario al que asistió]],Seminarios[Seminario],Seminarios[Año])</f>
        <v>2024</v>
      </c>
    </row>
    <row r="632" spans="1:7" x14ac:dyDescent="0.25">
      <c r="A632" s="7" t="s">
        <v>831</v>
      </c>
      <c r="B632" s="3" t="s">
        <v>304</v>
      </c>
      <c r="C632" s="3" t="s">
        <v>221</v>
      </c>
      <c r="D632" s="3" t="s">
        <v>36</v>
      </c>
      <c r="E632" s="3" t="s">
        <v>1</v>
      </c>
      <c r="F632" s="8" t="s">
        <v>57</v>
      </c>
      <c r="G632" s="19">
        <f>_xlfn.XLOOKUP(Participantes[[#This Row],[Seminario al que asistió]],Seminarios[Seminario],Seminarios[Año])</f>
        <v>2024</v>
      </c>
    </row>
    <row r="633" spans="1:7" x14ac:dyDescent="0.25">
      <c r="A633" s="7" t="s">
        <v>348</v>
      </c>
      <c r="B633" s="3" t="s">
        <v>349</v>
      </c>
      <c r="C633" s="3" t="s">
        <v>218</v>
      </c>
      <c r="D633" s="3" t="s">
        <v>36</v>
      </c>
      <c r="E633" s="3" t="s">
        <v>1</v>
      </c>
      <c r="F633" s="8" t="s">
        <v>57</v>
      </c>
      <c r="G633" s="19">
        <f>_xlfn.XLOOKUP(Participantes[[#This Row],[Seminario al que asistió]],Seminarios[Seminario],Seminarios[Año])</f>
        <v>2024</v>
      </c>
    </row>
    <row r="634" spans="1:7" x14ac:dyDescent="0.25">
      <c r="A634" s="7" t="s">
        <v>219</v>
      </c>
      <c r="B634" s="3" t="s">
        <v>220</v>
      </c>
      <c r="C634" s="3" t="s">
        <v>221</v>
      </c>
      <c r="D634" s="3" t="s">
        <v>36</v>
      </c>
      <c r="E634" s="3" t="s">
        <v>1</v>
      </c>
      <c r="F634" s="8" t="s">
        <v>57</v>
      </c>
      <c r="G634" s="19">
        <f>_xlfn.XLOOKUP(Participantes[[#This Row],[Seminario al que asistió]],Seminarios[Seminario],Seminarios[Año])</f>
        <v>2024</v>
      </c>
    </row>
    <row r="635" spans="1:7" x14ac:dyDescent="0.25">
      <c r="A635" s="7" t="s">
        <v>875</v>
      </c>
      <c r="B635" s="3"/>
      <c r="C635" s="3" t="s">
        <v>218</v>
      </c>
      <c r="D635" s="3" t="s">
        <v>48</v>
      </c>
      <c r="E635" s="3" t="s">
        <v>1</v>
      </c>
      <c r="F635" s="8" t="s">
        <v>57</v>
      </c>
      <c r="G635" s="19">
        <f>_xlfn.XLOOKUP(Participantes[[#This Row],[Seminario al que asistió]],Seminarios[Seminario],Seminarios[Año])</f>
        <v>2024</v>
      </c>
    </row>
    <row r="636" spans="1:7" x14ac:dyDescent="0.25">
      <c r="A636" s="7" t="s">
        <v>876</v>
      </c>
      <c r="B636" s="3" t="s">
        <v>698</v>
      </c>
      <c r="C636" s="3" t="s">
        <v>221</v>
      </c>
      <c r="D636" s="3" t="s">
        <v>36</v>
      </c>
      <c r="E636" s="3" t="s">
        <v>1</v>
      </c>
      <c r="F636" s="8" t="s">
        <v>57</v>
      </c>
      <c r="G636" s="19">
        <f>_xlfn.XLOOKUP(Participantes[[#This Row],[Seminario al que asistió]],Seminarios[Seminario],Seminarios[Año])</f>
        <v>2024</v>
      </c>
    </row>
    <row r="637" spans="1:7" x14ac:dyDescent="0.25">
      <c r="A637" s="7" t="s">
        <v>293</v>
      </c>
      <c r="B637" s="3" t="s">
        <v>294</v>
      </c>
      <c r="C637" s="3" t="s">
        <v>218</v>
      </c>
      <c r="D637" s="3" t="s">
        <v>36</v>
      </c>
      <c r="E637" s="3" t="s">
        <v>1</v>
      </c>
      <c r="F637" s="8" t="s">
        <v>57</v>
      </c>
      <c r="G637" s="19">
        <f>_xlfn.XLOOKUP(Participantes[[#This Row],[Seminario al que asistió]],Seminarios[Seminario],Seminarios[Año])</f>
        <v>2024</v>
      </c>
    </row>
    <row r="638" spans="1:7" x14ac:dyDescent="0.25">
      <c r="A638" s="7" t="s">
        <v>661</v>
      </c>
      <c r="B638" s="3" t="s">
        <v>583</v>
      </c>
      <c r="C638" s="3" t="s">
        <v>218</v>
      </c>
      <c r="D638" s="3" t="s">
        <v>36</v>
      </c>
      <c r="E638" s="3" t="s">
        <v>1</v>
      </c>
      <c r="F638" s="8" t="s">
        <v>57</v>
      </c>
      <c r="G638" s="19">
        <f>_xlfn.XLOOKUP(Participantes[[#This Row],[Seminario al que asistió]],Seminarios[Seminario],Seminarios[Año])</f>
        <v>2024</v>
      </c>
    </row>
    <row r="639" spans="1:7" x14ac:dyDescent="0.25">
      <c r="A639" s="7" t="s">
        <v>877</v>
      </c>
      <c r="B639" s="3"/>
      <c r="C639" s="3" t="s">
        <v>218</v>
      </c>
      <c r="D639" s="3" t="s">
        <v>233</v>
      </c>
      <c r="E639" s="3" t="s">
        <v>1</v>
      </c>
      <c r="F639" s="8" t="s">
        <v>57</v>
      </c>
      <c r="G639" s="19">
        <f>_xlfn.XLOOKUP(Participantes[[#This Row],[Seminario al que asistió]],Seminarios[Seminario],Seminarios[Año])</f>
        <v>2024</v>
      </c>
    </row>
    <row r="640" spans="1:7" x14ac:dyDescent="0.25">
      <c r="A640" s="7" t="s">
        <v>559</v>
      </c>
      <c r="B640" s="3" t="s">
        <v>549</v>
      </c>
      <c r="C640" s="3" t="s">
        <v>218</v>
      </c>
      <c r="D640" s="3" t="s">
        <v>36</v>
      </c>
      <c r="E640" s="3" t="s">
        <v>1</v>
      </c>
      <c r="F640" s="8" t="s">
        <v>57</v>
      </c>
      <c r="G640" s="19">
        <f>_xlfn.XLOOKUP(Participantes[[#This Row],[Seminario al que asistió]],Seminarios[Seminario],Seminarios[Año])</f>
        <v>2024</v>
      </c>
    </row>
    <row r="641" spans="1:7" x14ac:dyDescent="0.25">
      <c r="A641" s="7" t="s">
        <v>302</v>
      </c>
      <c r="B641" s="3" t="s">
        <v>303</v>
      </c>
      <c r="C641" s="3" t="s">
        <v>218</v>
      </c>
      <c r="D641" s="3" t="s">
        <v>36</v>
      </c>
      <c r="E641" s="3" t="s">
        <v>1</v>
      </c>
      <c r="F641" s="8" t="s">
        <v>57</v>
      </c>
      <c r="G641" s="19">
        <f>_xlfn.XLOOKUP(Participantes[[#This Row],[Seminario al que asistió]],Seminarios[Seminario],Seminarios[Año])</f>
        <v>2024</v>
      </c>
    </row>
    <row r="642" spans="1:7" x14ac:dyDescent="0.25">
      <c r="A642" s="7" t="s">
        <v>829</v>
      </c>
      <c r="B642" s="3" t="s">
        <v>230</v>
      </c>
      <c r="C642" s="3" t="s">
        <v>218</v>
      </c>
      <c r="D642" s="3" t="s">
        <v>36</v>
      </c>
      <c r="E642" s="3" t="s">
        <v>1</v>
      </c>
      <c r="F642" s="8" t="s">
        <v>57</v>
      </c>
      <c r="G642" s="19">
        <f>_xlfn.XLOOKUP(Participantes[[#This Row],[Seminario al que asistió]],Seminarios[Seminario],Seminarios[Año])</f>
        <v>2024</v>
      </c>
    </row>
    <row r="643" spans="1:7" ht="15.75" thickBot="1" x14ac:dyDescent="0.3">
      <c r="A643" s="77" t="s">
        <v>225</v>
      </c>
      <c r="B643" s="13" t="s">
        <v>226</v>
      </c>
      <c r="C643" s="13" t="s">
        <v>218</v>
      </c>
      <c r="D643" s="13" t="s">
        <v>36</v>
      </c>
      <c r="E643" s="13" t="s">
        <v>1</v>
      </c>
      <c r="F643" s="78" t="s">
        <v>57</v>
      </c>
      <c r="G643" s="19">
        <f>_xlfn.XLOOKUP(Participantes[[#This Row],[Seminario al que asistió]],Seminarios[Seminario],Seminarios[Año])</f>
        <v>2024</v>
      </c>
    </row>
    <row r="644" spans="1:7" x14ac:dyDescent="0.25">
      <c r="A644" s="4" t="s">
        <v>253</v>
      </c>
      <c r="B644" s="5" t="s">
        <v>254</v>
      </c>
      <c r="C644" s="5" t="s">
        <v>218</v>
      </c>
      <c r="D644" s="5" t="s">
        <v>36</v>
      </c>
      <c r="E644" s="5" t="s">
        <v>5</v>
      </c>
      <c r="F644" s="6" t="s">
        <v>98</v>
      </c>
      <c r="G644" s="19">
        <f>_xlfn.XLOOKUP(Participantes[[#This Row],[Seminario al que asistió]],Seminarios[Seminario],Seminarios[Año])</f>
        <v>2025</v>
      </c>
    </row>
    <row r="645" spans="1:7" x14ac:dyDescent="0.25">
      <c r="A645" s="7" t="s">
        <v>244</v>
      </c>
      <c r="B645" s="3" t="s">
        <v>245</v>
      </c>
      <c r="C645" s="3" t="s">
        <v>218</v>
      </c>
      <c r="D645" s="3" t="s">
        <v>36</v>
      </c>
      <c r="E645" s="3" t="s">
        <v>5</v>
      </c>
      <c r="F645" s="8" t="s">
        <v>98</v>
      </c>
      <c r="G645" s="19">
        <f>_xlfn.XLOOKUP(Participantes[[#This Row],[Seminario al que asistió]],Seminarios[Seminario],Seminarios[Año])</f>
        <v>2025</v>
      </c>
    </row>
    <row r="646" spans="1:7" x14ac:dyDescent="0.25">
      <c r="A646" s="7" t="s">
        <v>319</v>
      </c>
      <c r="B646" s="3" t="s">
        <v>272</v>
      </c>
      <c r="C646" s="3" t="s">
        <v>221</v>
      </c>
      <c r="D646" s="3" t="s">
        <v>36</v>
      </c>
      <c r="E646" s="3" t="s">
        <v>5</v>
      </c>
      <c r="F646" s="8" t="s">
        <v>98</v>
      </c>
      <c r="G646" s="19">
        <f>_xlfn.XLOOKUP(Participantes[[#This Row],[Seminario al que asistió]],Seminarios[Seminario],Seminarios[Año])</f>
        <v>2025</v>
      </c>
    </row>
    <row r="647" spans="1:7" x14ac:dyDescent="0.25">
      <c r="A647" s="7" t="s">
        <v>878</v>
      </c>
      <c r="B647" s="3" t="s">
        <v>321</v>
      </c>
      <c r="C647" s="3" t="s">
        <v>218</v>
      </c>
      <c r="D647" s="3" t="s">
        <v>36</v>
      </c>
      <c r="E647" s="3" t="s">
        <v>5</v>
      </c>
      <c r="F647" s="8" t="s">
        <v>98</v>
      </c>
      <c r="G647" s="19">
        <f>_xlfn.XLOOKUP(Participantes[[#This Row],[Seminario al que asistió]],Seminarios[Seminario],Seminarios[Año])</f>
        <v>2025</v>
      </c>
    </row>
    <row r="648" spans="1:7" x14ac:dyDescent="0.25">
      <c r="A648" s="7" t="s">
        <v>165</v>
      </c>
      <c r="B648" s="3" t="s">
        <v>339</v>
      </c>
      <c r="C648" s="3" t="s">
        <v>218</v>
      </c>
      <c r="D648" s="3" t="s">
        <v>36</v>
      </c>
      <c r="E648" s="3" t="s">
        <v>5</v>
      </c>
      <c r="F648" s="8" t="s">
        <v>98</v>
      </c>
      <c r="G648" s="19">
        <f>_xlfn.XLOOKUP(Participantes[[#This Row],[Seminario al que asistió]],Seminarios[Seminario],Seminarios[Año])</f>
        <v>2025</v>
      </c>
    </row>
    <row r="649" spans="1:7" x14ac:dyDescent="0.25">
      <c r="A649" s="7" t="s">
        <v>831</v>
      </c>
      <c r="B649" s="3" t="s">
        <v>304</v>
      </c>
      <c r="C649" s="3" t="s">
        <v>221</v>
      </c>
      <c r="D649" s="3" t="s">
        <v>36</v>
      </c>
      <c r="E649" s="3" t="s">
        <v>5</v>
      </c>
      <c r="F649" s="8" t="s">
        <v>98</v>
      </c>
      <c r="G649" s="19">
        <f>_xlfn.XLOOKUP(Participantes[[#This Row],[Seminario al que asistió]],Seminarios[Seminario],Seminarios[Año])</f>
        <v>2025</v>
      </c>
    </row>
    <row r="650" spans="1:7" x14ac:dyDescent="0.25">
      <c r="A650" s="7" t="s">
        <v>176</v>
      </c>
      <c r="B650" s="3" t="s">
        <v>222</v>
      </c>
      <c r="C650" s="3" t="s">
        <v>221</v>
      </c>
      <c r="D650" s="3" t="s">
        <v>36</v>
      </c>
      <c r="E650" s="3" t="s">
        <v>5</v>
      </c>
      <c r="F650" s="8" t="s">
        <v>98</v>
      </c>
      <c r="G650" s="19">
        <f>_xlfn.XLOOKUP(Participantes[[#This Row],[Seminario al que asistió]],Seminarios[Seminario],Seminarios[Año])</f>
        <v>2025</v>
      </c>
    </row>
    <row r="651" spans="1:7" x14ac:dyDescent="0.25">
      <c r="A651" s="7" t="s">
        <v>177</v>
      </c>
      <c r="B651" s="3" t="s">
        <v>307</v>
      </c>
      <c r="C651" s="3" t="s">
        <v>221</v>
      </c>
      <c r="D651" s="3" t="s">
        <v>36</v>
      </c>
      <c r="E651" s="3" t="s">
        <v>5</v>
      </c>
      <c r="F651" s="8" t="s">
        <v>98</v>
      </c>
      <c r="G651" s="19">
        <f>_xlfn.XLOOKUP(Participantes[[#This Row],[Seminario al que asistió]],Seminarios[Seminario],Seminarios[Año])</f>
        <v>2025</v>
      </c>
    </row>
    <row r="652" spans="1:7" x14ac:dyDescent="0.25">
      <c r="A652" s="7" t="s">
        <v>332</v>
      </c>
      <c r="B652" s="3" t="s">
        <v>252</v>
      </c>
      <c r="C652" s="3" t="s">
        <v>221</v>
      </c>
      <c r="D652" s="3" t="s">
        <v>43</v>
      </c>
      <c r="E652" s="3" t="s">
        <v>5</v>
      </c>
      <c r="F652" s="8" t="s">
        <v>98</v>
      </c>
      <c r="G652" s="19">
        <f>_xlfn.XLOOKUP(Participantes[[#This Row],[Seminario al que asistió]],Seminarios[Seminario],Seminarios[Año])</f>
        <v>2025</v>
      </c>
    </row>
    <row r="653" spans="1:7" x14ac:dyDescent="0.25">
      <c r="A653" s="7" t="s">
        <v>302</v>
      </c>
      <c r="B653" s="3" t="s">
        <v>303</v>
      </c>
      <c r="C653" s="3" t="s">
        <v>218</v>
      </c>
      <c r="D653" s="3" t="s">
        <v>36</v>
      </c>
      <c r="E653" s="3" t="s">
        <v>5</v>
      </c>
      <c r="F653" s="8" t="s">
        <v>98</v>
      </c>
      <c r="G653" s="19">
        <f>_xlfn.XLOOKUP(Participantes[[#This Row],[Seminario al que asistió]],Seminarios[Seminario],Seminarios[Año])</f>
        <v>2025</v>
      </c>
    </row>
    <row r="654" spans="1:7" x14ac:dyDescent="0.25">
      <c r="A654" s="7" t="s">
        <v>234</v>
      </c>
      <c r="B654" s="3" t="s">
        <v>235</v>
      </c>
      <c r="C654" s="3" t="s">
        <v>218</v>
      </c>
      <c r="D654" s="3" t="s">
        <v>36</v>
      </c>
      <c r="E654" s="3" t="s">
        <v>5</v>
      </c>
      <c r="F654" s="8" t="s">
        <v>98</v>
      </c>
      <c r="G654" s="19">
        <f>_xlfn.XLOOKUP(Participantes[[#This Row],[Seminario al que asistió]],Seminarios[Seminario],Seminarios[Año])</f>
        <v>2025</v>
      </c>
    </row>
    <row r="655" spans="1:7" x14ac:dyDescent="0.25">
      <c r="A655" s="7" t="s">
        <v>879</v>
      </c>
      <c r="B655" s="3" t="s">
        <v>880</v>
      </c>
      <c r="C655" s="3" t="s">
        <v>218</v>
      </c>
      <c r="D655" s="3" t="s">
        <v>36</v>
      </c>
      <c r="E655" s="3" t="s">
        <v>5</v>
      </c>
      <c r="F655" s="8" t="s">
        <v>98</v>
      </c>
      <c r="G655" s="19">
        <f>_xlfn.XLOOKUP(Participantes[[#This Row],[Seminario al que asistió]],Seminarios[Seminario],Seminarios[Año])</f>
        <v>2025</v>
      </c>
    </row>
    <row r="656" spans="1:7" x14ac:dyDescent="0.25">
      <c r="A656" s="7" t="s">
        <v>227</v>
      </c>
      <c r="B656" s="3" t="s">
        <v>228</v>
      </c>
      <c r="C656" s="3" t="s">
        <v>218</v>
      </c>
      <c r="D656" s="3" t="s">
        <v>36</v>
      </c>
      <c r="E656" s="3" t="s">
        <v>5</v>
      </c>
      <c r="F656" s="8" t="s">
        <v>98</v>
      </c>
      <c r="G656" s="19">
        <f>_xlfn.XLOOKUP(Participantes[[#This Row],[Seminario al que asistió]],Seminarios[Seminario],Seminarios[Año])</f>
        <v>2025</v>
      </c>
    </row>
    <row r="657" spans="1:7" x14ac:dyDescent="0.25">
      <c r="A657" s="7" t="s">
        <v>285</v>
      </c>
      <c r="B657" s="3" t="s">
        <v>286</v>
      </c>
      <c r="C657" s="3" t="s">
        <v>218</v>
      </c>
      <c r="D657" s="3" t="s">
        <v>36</v>
      </c>
      <c r="E657" s="3" t="s">
        <v>5</v>
      </c>
      <c r="F657" s="8" t="s">
        <v>98</v>
      </c>
      <c r="G657" s="19">
        <f>_xlfn.XLOOKUP(Participantes[[#This Row],[Seminario al que asistió]],Seminarios[Seminario],Seminarios[Año])</f>
        <v>2025</v>
      </c>
    </row>
    <row r="658" spans="1:7" ht="15.75" thickBot="1" x14ac:dyDescent="0.3">
      <c r="A658" s="9" t="s">
        <v>276</v>
      </c>
      <c r="B658" s="10" t="s">
        <v>277</v>
      </c>
      <c r="C658" s="10" t="s">
        <v>218</v>
      </c>
      <c r="D658" s="10" t="s">
        <v>36</v>
      </c>
      <c r="E658" s="10" t="s">
        <v>5</v>
      </c>
      <c r="F658" s="11" t="s">
        <v>98</v>
      </c>
      <c r="G658" s="19">
        <f>_xlfn.XLOOKUP(Participantes[[#This Row],[Seminario al que asistió]],Seminarios[Seminario],Seminarios[Año])</f>
        <v>2025</v>
      </c>
    </row>
    <row r="659" spans="1:7" x14ac:dyDescent="0.25">
      <c r="A659" s="4" t="s">
        <v>653</v>
      </c>
      <c r="B659" s="5" t="s">
        <v>654</v>
      </c>
      <c r="C659" s="5" t="s">
        <v>218</v>
      </c>
      <c r="D659" s="5" t="s">
        <v>36</v>
      </c>
      <c r="E659" s="5" t="s">
        <v>5</v>
      </c>
      <c r="F659" s="6" t="s">
        <v>100</v>
      </c>
      <c r="G659" s="19">
        <f>_xlfn.XLOOKUP(Participantes[[#This Row],[Seminario al que asistió]],Seminarios[Seminario],Seminarios[Año])</f>
        <v>2025</v>
      </c>
    </row>
    <row r="660" spans="1:7" x14ac:dyDescent="0.25">
      <c r="A660" s="7" t="s">
        <v>165</v>
      </c>
      <c r="B660" s="3" t="s">
        <v>339</v>
      </c>
      <c r="C660" s="3" t="s">
        <v>218</v>
      </c>
      <c r="D660" s="3" t="s">
        <v>36</v>
      </c>
      <c r="E660" s="3" t="s">
        <v>5</v>
      </c>
      <c r="F660" s="8" t="s">
        <v>100</v>
      </c>
      <c r="G660" s="19">
        <f>_xlfn.XLOOKUP(Participantes[[#This Row],[Seminario al que asistió]],Seminarios[Seminario],Seminarios[Año])</f>
        <v>2025</v>
      </c>
    </row>
    <row r="661" spans="1:7" x14ac:dyDescent="0.25">
      <c r="A661" s="7" t="s">
        <v>829</v>
      </c>
      <c r="B661" s="3" t="s">
        <v>230</v>
      </c>
      <c r="C661" s="3" t="s">
        <v>218</v>
      </c>
      <c r="D661" s="3" t="s">
        <v>36</v>
      </c>
      <c r="E661" s="3" t="s">
        <v>5</v>
      </c>
      <c r="F661" s="8" t="s">
        <v>100</v>
      </c>
      <c r="G661" s="19">
        <f>_xlfn.XLOOKUP(Participantes[[#This Row],[Seminario al que asistió]],Seminarios[Seminario],Seminarios[Año])</f>
        <v>2025</v>
      </c>
    </row>
    <row r="662" spans="1:7" x14ac:dyDescent="0.25">
      <c r="A662" s="7" t="s">
        <v>244</v>
      </c>
      <c r="B662" s="3" t="s">
        <v>245</v>
      </c>
      <c r="C662" s="3" t="s">
        <v>218</v>
      </c>
      <c r="D662" s="3" t="s">
        <v>36</v>
      </c>
      <c r="E662" s="3" t="s">
        <v>5</v>
      </c>
      <c r="F662" s="8" t="s">
        <v>100</v>
      </c>
      <c r="G662" s="19">
        <f>_xlfn.XLOOKUP(Participantes[[#This Row],[Seminario al que asistió]],Seminarios[Seminario],Seminarios[Año])</f>
        <v>2025</v>
      </c>
    </row>
    <row r="663" spans="1:7" x14ac:dyDescent="0.25">
      <c r="A663" s="7" t="s">
        <v>271</v>
      </c>
      <c r="B663" s="3" t="s">
        <v>272</v>
      </c>
      <c r="C663" s="3" t="s">
        <v>221</v>
      </c>
      <c r="D663" s="3" t="s">
        <v>36</v>
      </c>
      <c r="E663" s="3" t="s">
        <v>5</v>
      </c>
      <c r="F663" s="8" t="s">
        <v>100</v>
      </c>
      <c r="G663" s="19">
        <f>_xlfn.XLOOKUP(Participantes[[#This Row],[Seminario al que asistió]],Seminarios[Seminario],Seminarios[Año])</f>
        <v>2025</v>
      </c>
    </row>
    <row r="664" spans="1:7" x14ac:dyDescent="0.25">
      <c r="A664" s="7" t="s">
        <v>831</v>
      </c>
      <c r="B664" s="3" t="s">
        <v>304</v>
      </c>
      <c r="C664" s="3" t="s">
        <v>221</v>
      </c>
      <c r="D664" s="3" t="s">
        <v>36</v>
      </c>
      <c r="E664" s="3" t="s">
        <v>5</v>
      </c>
      <c r="F664" s="8" t="s">
        <v>100</v>
      </c>
      <c r="G664" s="19">
        <f>_xlfn.XLOOKUP(Participantes[[#This Row],[Seminario al que asistió]],Seminarios[Seminario],Seminarios[Año])</f>
        <v>2025</v>
      </c>
    </row>
    <row r="665" spans="1:7" x14ac:dyDescent="0.25">
      <c r="A665" s="7" t="s">
        <v>310</v>
      </c>
      <c r="B665" s="3" t="s">
        <v>256</v>
      </c>
      <c r="C665" s="3" t="s">
        <v>218</v>
      </c>
      <c r="D665" s="3" t="s">
        <v>36</v>
      </c>
      <c r="E665" s="3" t="s">
        <v>5</v>
      </c>
      <c r="F665" s="8" t="s">
        <v>100</v>
      </c>
      <c r="G665" s="19">
        <f>_xlfn.XLOOKUP(Participantes[[#This Row],[Seminario al que asistió]],Seminarios[Seminario],Seminarios[Año])</f>
        <v>2025</v>
      </c>
    </row>
    <row r="666" spans="1:7" x14ac:dyDescent="0.25">
      <c r="A666" s="7" t="s">
        <v>302</v>
      </c>
      <c r="B666" s="3" t="s">
        <v>303</v>
      </c>
      <c r="C666" s="3" t="s">
        <v>218</v>
      </c>
      <c r="D666" s="3" t="s">
        <v>36</v>
      </c>
      <c r="E666" s="3" t="s">
        <v>5</v>
      </c>
      <c r="F666" s="8" t="s">
        <v>100</v>
      </c>
      <c r="G666" s="19">
        <f>_xlfn.XLOOKUP(Participantes[[#This Row],[Seminario al que asistió]],Seminarios[Seminario],Seminarios[Año])</f>
        <v>2025</v>
      </c>
    </row>
    <row r="667" spans="1:7" x14ac:dyDescent="0.25">
      <c r="A667" s="7" t="s">
        <v>234</v>
      </c>
      <c r="B667" s="3" t="s">
        <v>235</v>
      </c>
      <c r="C667" s="3" t="s">
        <v>218</v>
      </c>
      <c r="D667" s="3" t="s">
        <v>36</v>
      </c>
      <c r="E667" s="3" t="s">
        <v>5</v>
      </c>
      <c r="F667" s="8" t="s">
        <v>100</v>
      </c>
      <c r="G667" s="19">
        <f>_xlfn.XLOOKUP(Participantes[[#This Row],[Seminario al que asistió]],Seminarios[Seminario],Seminarios[Año])</f>
        <v>2025</v>
      </c>
    </row>
    <row r="668" spans="1:7" x14ac:dyDescent="0.25">
      <c r="A668" s="7" t="s">
        <v>881</v>
      </c>
      <c r="B668" s="3" t="s">
        <v>882</v>
      </c>
      <c r="C668" s="3" t="s">
        <v>218</v>
      </c>
      <c r="D668" s="3" t="s">
        <v>36</v>
      </c>
      <c r="E668" s="3" t="s">
        <v>5</v>
      </c>
      <c r="F668" s="8" t="s">
        <v>100</v>
      </c>
      <c r="G668" s="19">
        <f>_xlfn.XLOOKUP(Participantes[[#This Row],[Seminario al que asistió]],Seminarios[Seminario],Seminarios[Año])</f>
        <v>2025</v>
      </c>
    </row>
    <row r="669" spans="1:7" x14ac:dyDescent="0.25">
      <c r="A669" s="7" t="s">
        <v>285</v>
      </c>
      <c r="B669" s="3" t="s">
        <v>286</v>
      </c>
      <c r="C669" s="3" t="s">
        <v>218</v>
      </c>
      <c r="D669" s="3" t="s">
        <v>36</v>
      </c>
      <c r="E669" s="3" t="s">
        <v>5</v>
      </c>
      <c r="F669" s="8" t="s">
        <v>100</v>
      </c>
      <c r="G669" s="19">
        <f>_xlfn.XLOOKUP(Participantes[[#This Row],[Seminario al que asistió]],Seminarios[Seminario],Seminarios[Año])</f>
        <v>2025</v>
      </c>
    </row>
    <row r="670" spans="1:7" x14ac:dyDescent="0.25">
      <c r="A670" s="7" t="s">
        <v>879</v>
      </c>
      <c r="B670" s="3" t="s">
        <v>880</v>
      </c>
      <c r="C670" s="3" t="s">
        <v>218</v>
      </c>
      <c r="D670" s="3" t="s">
        <v>36</v>
      </c>
      <c r="E670" s="3" t="s">
        <v>5</v>
      </c>
      <c r="F670" s="8" t="s">
        <v>100</v>
      </c>
      <c r="G670" s="19">
        <f>_xlfn.XLOOKUP(Participantes[[#This Row],[Seminario al que asistió]],Seminarios[Seminario],Seminarios[Año])</f>
        <v>2025</v>
      </c>
    </row>
    <row r="671" spans="1:7" x14ac:dyDescent="0.25">
      <c r="A671" s="7" t="s">
        <v>883</v>
      </c>
      <c r="B671" s="3" t="s">
        <v>884</v>
      </c>
      <c r="C671" s="3" t="s">
        <v>218</v>
      </c>
      <c r="D671" s="3" t="s">
        <v>36</v>
      </c>
      <c r="E671" s="3" t="s">
        <v>5</v>
      </c>
      <c r="F671" s="8" t="s">
        <v>100</v>
      </c>
      <c r="G671" s="19">
        <f>_xlfn.XLOOKUP(Participantes[[#This Row],[Seminario al que asistió]],Seminarios[Seminario],Seminarios[Año])</f>
        <v>2025</v>
      </c>
    </row>
    <row r="672" spans="1:7" x14ac:dyDescent="0.25">
      <c r="A672" s="7" t="s">
        <v>311</v>
      </c>
      <c r="B672" s="3" t="s">
        <v>312</v>
      </c>
      <c r="C672" s="3" t="s">
        <v>221</v>
      </c>
      <c r="D672" s="3" t="s">
        <v>36</v>
      </c>
      <c r="E672" s="3" t="s">
        <v>5</v>
      </c>
      <c r="F672" s="8" t="s">
        <v>100</v>
      </c>
      <c r="G672" s="19">
        <f>_xlfn.XLOOKUP(Participantes[[#This Row],[Seminario al que asistió]],Seminarios[Seminario],Seminarios[Año])</f>
        <v>2025</v>
      </c>
    </row>
    <row r="673" spans="1:7" x14ac:dyDescent="0.25">
      <c r="A673" s="7" t="s">
        <v>176</v>
      </c>
      <c r="B673" s="3" t="s">
        <v>222</v>
      </c>
      <c r="C673" s="3" t="s">
        <v>221</v>
      </c>
      <c r="D673" s="3" t="s">
        <v>36</v>
      </c>
      <c r="E673" s="3" t="s">
        <v>5</v>
      </c>
      <c r="F673" s="8" t="s">
        <v>100</v>
      </c>
      <c r="G673" s="19">
        <f>_xlfn.XLOOKUP(Participantes[[#This Row],[Seminario al que asistió]],Seminarios[Seminario],Seminarios[Año])</f>
        <v>2025</v>
      </c>
    </row>
    <row r="674" spans="1:7" ht="15.75" thickBot="1" x14ac:dyDescent="0.3">
      <c r="A674" s="9" t="s">
        <v>276</v>
      </c>
      <c r="B674" s="10" t="s">
        <v>277</v>
      </c>
      <c r="C674" s="10" t="s">
        <v>218</v>
      </c>
      <c r="D674" s="10" t="s">
        <v>36</v>
      </c>
      <c r="E674" s="10" t="s">
        <v>5</v>
      </c>
      <c r="F674" s="11" t="s">
        <v>100</v>
      </c>
      <c r="G674" s="19">
        <f>_xlfn.XLOOKUP(Participantes[[#This Row],[Seminario al que asistió]],Seminarios[Seminario],Seminarios[Año])</f>
        <v>2025</v>
      </c>
    </row>
    <row r="675" spans="1:7" x14ac:dyDescent="0.25">
      <c r="A675" s="4" t="s">
        <v>293</v>
      </c>
      <c r="B675" s="5" t="s">
        <v>294</v>
      </c>
      <c r="C675" s="5" t="s">
        <v>218</v>
      </c>
      <c r="D675" s="5" t="s">
        <v>36</v>
      </c>
      <c r="E675" s="5" t="s">
        <v>5</v>
      </c>
      <c r="F675" s="6" t="s">
        <v>108</v>
      </c>
      <c r="G675" s="19">
        <f>_xlfn.XLOOKUP(Participantes[[#This Row],[Seminario al que asistió]],Seminarios[Seminario],Seminarios[Año])</f>
        <v>2025</v>
      </c>
    </row>
    <row r="676" spans="1:7" x14ac:dyDescent="0.25">
      <c r="A676" s="7" t="s">
        <v>89</v>
      </c>
      <c r="B676" s="3" t="s">
        <v>885</v>
      </c>
      <c r="C676" s="3" t="s">
        <v>218</v>
      </c>
      <c r="D676" s="3" t="s">
        <v>48</v>
      </c>
      <c r="E676" s="3" t="s">
        <v>5</v>
      </c>
      <c r="F676" s="8" t="s">
        <v>108</v>
      </c>
      <c r="G676" s="19">
        <f>_xlfn.XLOOKUP(Participantes[[#This Row],[Seminario al que asistió]],Seminarios[Seminario],Seminarios[Año])</f>
        <v>2025</v>
      </c>
    </row>
    <row r="677" spans="1:7" x14ac:dyDescent="0.25">
      <c r="A677" s="7" t="s">
        <v>823</v>
      </c>
      <c r="B677" s="3" t="s">
        <v>824</v>
      </c>
      <c r="C677" s="3" t="s">
        <v>218</v>
      </c>
      <c r="D677" s="3" t="s">
        <v>36</v>
      </c>
      <c r="E677" s="3" t="s">
        <v>5</v>
      </c>
      <c r="F677" s="8" t="s">
        <v>108</v>
      </c>
      <c r="G677" s="19">
        <f>_xlfn.XLOOKUP(Participantes[[#This Row],[Seminario al que asistió]],Seminarios[Seminario],Seminarios[Año])</f>
        <v>2025</v>
      </c>
    </row>
    <row r="678" spans="1:7" x14ac:dyDescent="0.25">
      <c r="A678" s="7" t="s">
        <v>253</v>
      </c>
      <c r="B678" s="3" t="s">
        <v>254</v>
      </c>
      <c r="C678" s="3" t="s">
        <v>218</v>
      </c>
      <c r="D678" s="3" t="s">
        <v>36</v>
      </c>
      <c r="E678" s="3" t="s">
        <v>5</v>
      </c>
      <c r="F678" s="8" t="s">
        <v>108</v>
      </c>
      <c r="G678" s="19">
        <f>_xlfn.XLOOKUP(Participantes[[#This Row],[Seminario al que asistió]],Seminarios[Seminario],Seminarios[Año])</f>
        <v>2025</v>
      </c>
    </row>
    <row r="679" spans="1:7" x14ac:dyDescent="0.25">
      <c r="A679" s="7" t="s">
        <v>244</v>
      </c>
      <c r="B679" s="3" t="s">
        <v>245</v>
      </c>
      <c r="C679" s="3" t="s">
        <v>218</v>
      </c>
      <c r="D679" s="3" t="s">
        <v>36</v>
      </c>
      <c r="E679" s="3" t="s">
        <v>5</v>
      </c>
      <c r="F679" s="8" t="s">
        <v>108</v>
      </c>
      <c r="G679" s="19">
        <f>_xlfn.XLOOKUP(Participantes[[#This Row],[Seminario al que asistió]],Seminarios[Seminario],Seminarios[Año])</f>
        <v>2025</v>
      </c>
    </row>
    <row r="680" spans="1:7" x14ac:dyDescent="0.25">
      <c r="A680" s="7" t="s">
        <v>165</v>
      </c>
      <c r="B680" s="3" t="s">
        <v>339</v>
      </c>
      <c r="C680" s="3" t="s">
        <v>218</v>
      </c>
      <c r="D680" s="3" t="s">
        <v>36</v>
      </c>
      <c r="E680" s="3" t="s">
        <v>5</v>
      </c>
      <c r="F680" s="8" t="s">
        <v>108</v>
      </c>
      <c r="G680" s="19">
        <f>_xlfn.XLOOKUP(Participantes[[#This Row],[Seminario al que asistió]],Seminarios[Seminario],Seminarios[Año])</f>
        <v>2025</v>
      </c>
    </row>
    <row r="681" spans="1:7" x14ac:dyDescent="0.25">
      <c r="A681" s="7" t="s">
        <v>831</v>
      </c>
      <c r="B681" s="3" t="s">
        <v>304</v>
      </c>
      <c r="C681" s="3" t="s">
        <v>221</v>
      </c>
      <c r="D681" s="3" t="s">
        <v>36</v>
      </c>
      <c r="E681" s="3" t="s">
        <v>5</v>
      </c>
      <c r="F681" s="8" t="s">
        <v>108</v>
      </c>
      <c r="G681" s="19">
        <f>_xlfn.XLOOKUP(Participantes[[#This Row],[Seminario al que asistió]],Seminarios[Seminario],Seminarios[Año])</f>
        <v>2025</v>
      </c>
    </row>
    <row r="682" spans="1:7" x14ac:dyDescent="0.25">
      <c r="A682" s="7" t="s">
        <v>302</v>
      </c>
      <c r="B682" s="3" t="s">
        <v>303</v>
      </c>
      <c r="C682" s="3" t="s">
        <v>218</v>
      </c>
      <c r="D682" s="3" t="s">
        <v>36</v>
      </c>
      <c r="E682" s="3" t="s">
        <v>5</v>
      </c>
      <c r="F682" s="8" t="s">
        <v>108</v>
      </c>
      <c r="G682" s="19">
        <f>_xlfn.XLOOKUP(Participantes[[#This Row],[Seminario al que asistió]],Seminarios[Seminario],Seminarios[Año])</f>
        <v>2025</v>
      </c>
    </row>
    <row r="683" spans="1:7" x14ac:dyDescent="0.25">
      <c r="A683" s="7" t="s">
        <v>234</v>
      </c>
      <c r="B683" s="3" t="s">
        <v>235</v>
      </c>
      <c r="C683" s="3" t="s">
        <v>218</v>
      </c>
      <c r="D683" s="3" t="s">
        <v>36</v>
      </c>
      <c r="E683" s="3" t="s">
        <v>5</v>
      </c>
      <c r="F683" s="8" t="s">
        <v>108</v>
      </c>
      <c r="G683" s="19">
        <f>_xlfn.XLOOKUP(Participantes[[#This Row],[Seminario al que asistió]],Seminarios[Seminario],Seminarios[Año])</f>
        <v>2025</v>
      </c>
    </row>
    <row r="684" spans="1:7" x14ac:dyDescent="0.25">
      <c r="A684" s="7" t="s">
        <v>879</v>
      </c>
      <c r="B684" s="3" t="s">
        <v>880</v>
      </c>
      <c r="C684" s="3" t="s">
        <v>218</v>
      </c>
      <c r="D684" s="3" t="s">
        <v>36</v>
      </c>
      <c r="E684" s="3" t="s">
        <v>5</v>
      </c>
      <c r="F684" s="8" t="s">
        <v>108</v>
      </c>
      <c r="G684" s="19">
        <f>_xlfn.XLOOKUP(Participantes[[#This Row],[Seminario al que asistió]],Seminarios[Seminario],Seminarios[Año])</f>
        <v>2025</v>
      </c>
    </row>
    <row r="685" spans="1:7" x14ac:dyDescent="0.25">
      <c r="A685" s="7" t="s">
        <v>291</v>
      </c>
      <c r="B685" s="3" t="s">
        <v>292</v>
      </c>
      <c r="C685" s="3" t="s">
        <v>218</v>
      </c>
      <c r="D685" s="3" t="s">
        <v>36</v>
      </c>
      <c r="E685" s="3" t="s">
        <v>5</v>
      </c>
      <c r="F685" s="8" t="s">
        <v>108</v>
      </c>
      <c r="G685" s="19">
        <f>_xlfn.XLOOKUP(Participantes[[#This Row],[Seminario al que asistió]],Seminarios[Seminario],Seminarios[Año])</f>
        <v>2025</v>
      </c>
    </row>
    <row r="686" spans="1:7" x14ac:dyDescent="0.25">
      <c r="A686" s="7" t="s">
        <v>285</v>
      </c>
      <c r="B686" s="3" t="s">
        <v>344</v>
      </c>
      <c r="C686" s="3" t="s">
        <v>218</v>
      </c>
      <c r="D686" s="3" t="s">
        <v>36</v>
      </c>
      <c r="E686" s="3" t="s">
        <v>5</v>
      </c>
      <c r="F686" s="8" t="s">
        <v>108</v>
      </c>
      <c r="G686" s="19">
        <f>_xlfn.XLOOKUP(Participantes[[#This Row],[Seminario al que asistió]],Seminarios[Seminario],Seminarios[Año])</f>
        <v>2025</v>
      </c>
    </row>
    <row r="687" spans="1:7" ht="15.75" thickBot="1" x14ac:dyDescent="0.3">
      <c r="A687" s="9" t="s">
        <v>276</v>
      </c>
      <c r="B687" s="10" t="s">
        <v>277</v>
      </c>
      <c r="C687" s="10" t="s">
        <v>218</v>
      </c>
      <c r="D687" s="10" t="s">
        <v>36</v>
      </c>
      <c r="E687" s="10" t="s">
        <v>5</v>
      </c>
      <c r="F687" s="11" t="s">
        <v>108</v>
      </c>
      <c r="G687" s="19">
        <f>_xlfn.XLOOKUP(Participantes[[#This Row],[Seminario al que asistió]],Seminarios[Seminario],Seminarios[Año])</f>
        <v>2025</v>
      </c>
    </row>
    <row r="688" spans="1:7" x14ac:dyDescent="0.25">
      <c r="A688" s="4" t="s">
        <v>89</v>
      </c>
      <c r="B688" s="5" t="s">
        <v>885</v>
      </c>
      <c r="C688" s="5" t="s">
        <v>218</v>
      </c>
      <c r="D688" s="5" t="s">
        <v>48</v>
      </c>
      <c r="E688" s="5" t="s">
        <v>5</v>
      </c>
      <c r="F688" s="6" t="s">
        <v>102</v>
      </c>
      <c r="G688" s="19">
        <f>_xlfn.XLOOKUP(Participantes[[#This Row],[Seminario al que asistió]],Seminarios[Seminario],Seminarios[Año])</f>
        <v>2025</v>
      </c>
    </row>
    <row r="689" spans="1:7" x14ac:dyDescent="0.25">
      <c r="A689" s="7" t="s">
        <v>253</v>
      </c>
      <c r="B689" s="3" t="s">
        <v>254</v>
      </c>
      <c r="C689" s="3" t="s">
        <v>218</v>
      </c>
      <c r="D689" s="3" t="s">
        <v>36</v>
      </c>
      <c r="E689" s="3" t="s">
        <v>5</v>
      </c>
      <c r="F689" s="8" t="s">
        <v>102</v>
      </c>
      <c r="G689" s="19">
        <f>_xlfn.XLOOKUP(Participantes[[#This Row],[Seminario al que asistió]],Seminarios[Seminario],Seminarios[Año])</f>
        <v>2025</v>
      </c>
    </row>
    <row r="690" spans="1:7" x14ac:dyDescent="0.25">
      <c r="A690" s="7" t="s">
        <v>244</v>
      </c>
      <c r="B690" s="3" t="s">
        <v>245</v>
      </c>
      <c r="C690" s="3" t="s">
        <v>218</v>
      </c>
      <c r="D690" s="3" t="s">
        <v>36</v>
      </c>
      <c r="E690" s="3" t="s">
        <v>5</v>
      </c>
      <c r="F690" s="8" t="s">
        <v>102</v>
      </c>
      <c r="G690" s="19">
        <f>_xlfn.XLOOKUP(Participantes[[#This Row],[Seminario al que asistió]],Seminarios[Seminario],Seminarios[Año])</f>
        <v>2025</v>
      </c>
    </row>
    <row r="691" spans="1:7" x14ac:dyDescent="0.25">
      <c r="A691" s="7" t="s">
        <v>319</v>
      </c>
      <c r="B691" s="3" t="s">
        <v>272</v>
      </c>
      <c r="C691" s="3" t="s">
        <v>221</v>
      </c>
      <c r="D691" s="3" t="s">
        <v>36</v>
      </c>
      <c r="E691" s="3" t="s">
        <v>5</v>
      </c>
      <c r="F691" s="8" t="s">
        <v>102</v>
      </c>
      <c r="G691" s="19">
        <f>_xlfn.XLOOKUP(Participantes[[#This Row],[Seminario al que asistió]],Seminarios[Seminario],Seminarios[Año])</f>
        <v>2025</v>
      </c>
    </row>
    <row r="692" spans="1:7" x14ac:dyDescent="0.25">
      <c r="A692" s="7" t="s">
        <v>823</v>
      </c>
      <c r="B692" s="3" t="s">
        <v>824</v>
      </c>
      <c r="C692" s="3" t="s">
        <v>218</v>
      </c>
      <c r="D692" s="3" t="s">
        <v>36</v>
      </c>
      <c r="E692" s="3" t="s">
        <v>5</v>
      </c>
      <c r="F692" s="8" t="s">
        <v>102</v>
      </c>
      <c r="G692" s="19">
        <f>_xlfn.XLOOKUP(Participantes[[#This Row],[Seminario al que asistió]],Seminarios[Seminario],Seminarios[Año])</f>
        <v>2025</v>
      </c>
    </row>
    <row r="693" spans="1:7" x14ac:dyDescent="0.25">
      <c r="A693" s="7" t="s">
        <v>829</v>
      </c>
      <c r="B693" s="3" t="s">
        <v>230</v>
      </c>
      <c r="C693" s="3" t="s">
        <v>218</v>
      </c>
      <c r="D693" s="3" t="s">
        <v>36</v>
      </c>
      <c r="E693" s="3" t="s">
        <v>5</v>
      </c>
      <c r="F693" s="8" t="s">
        <v>102</v>
      </c>
      <c r="G693" s="19">
        <f>_xlfn.XLOOKUP(Participantes[[#This Row],[Seminario al que asistió]],Seminarios[Seminario],Seminarios[Año])</f>
        <v>2025</v>
      </c>
    </row>
    <row r="694" spans="1:7" x14ac:dyDescent="0.25">
      <c r="A694" s="7" t="s">
        <v>554</v>
      </c>
      <c r="B694" s="3" t="s">
        <v>555</v>
      </c>
      <c r="C694" s="3" t="s">
        <v>221</v>
      </c>
      <c r="D694" s="3" t="s">
        <v>36</v>
      </c>
      <c r="E694" s="3" t="s">
        <v>5</v>
      </c>
      <c r="F694" s="8" t="s">
        <v>102</v>
      </c>
      <c r="G694" s="19">
        <f>_xlfn.XLOOKUP(Participantes[[#This Row],[Seminario al que asistió]],Seminarios[Seminario],Seminarios[Año])</f>
        <v>2025</v>
      </c>
    </row>
    <row r="695" spans="1:7" x14ac:dyDescent="0.25">
      <c r="A695" s="7" t="s">
        <v>165</v>
      </c>
      <c r="B695" s="3" t="s">
        <v>339</v>
      </c>
      <c r="C695" s="3" t="s">
        <v>218</v>
      </c>
      <c r="D695" s="3" t="s">
        <v>36</v>
      </c>
      <c r="E695" s="3" t="s">
        <v>5</v>
      </c>
      <c r="F695" s="8" t="s">
        <v>102</v>
      </c>
      <c r="G695" s="19">
        <f>_xlfn.XLOOKUP(Participantes[[#This Row],[Seminario al que asistió]],Seminarios[Seminario],Seminarios[Año])</f>
        <v>2025</v>
      </c>
    </row>
    <row r="696" spans="1:7" x14ac:dyDescent="0.25">
      <c r="A696" s="7" t="s">
        <v>310</v>
      </c>
      <c r="B696" s="3" t="s">
        <v>256</v>
      </c>
      <c r="C696" s="3" t="s">
        <v>218</v>
      </c>
      <c r="D696" s="3" t="s">
        <v>36</v>
      </c>
      <c r="E696" s="3" t="s">
        <v>5</v>
      </c>
      <c r="F696" s="8" t="s">
        <v>102</v>
      </c>
      <c r="G696" s="19">
        <f>_xlfn.XLOOKUP(Participantes[[#This Row],[Seminario al que asistió]],Seminarios[Seminario],Seminarios[Año])</f>
        <v>2025</v>
      </c>
    </row>
    <row r="697" spans="1:7" x14ac:dyDescent="0.25">
      <c r="A697" s="7" t="s">
        <v>302</v>
      </c>
      <c r="B697" s="3" t="s">
        <v>303</v>
      </c>
      <c r="C697" s="3" t="s">
        <v>218</v>
      </c>
      <c r="D697" s="3" t="s">
        <v>36</v>
      </c>
      <c r="E697" s="3" t="s">
        <v>5</v>
      </c>
      <c r="F697" s="8" t="s">
        <v>102</v>
      </c>
      <c r="G697" s="19">
        <f>_xlfn.XLOOKUP(Participantes[[#This Row],[Seminario al que asistió]],Seminarios[Seminario],Seminarios[Año])</f>
        <v>2025</v>
      </c>
    </row>
    <row r="698" spans="1:7" x14ac:dyDescent="0.25">
      <c r="A698" s="7" t="s">
        <v>234</v>
      </c>
      <c r="B698" s="3" t="s">
        <v>235</v>
      </c>
      <c r="C698" s="3" t="s">
        <v>218</v>
      </c>
      <c r="D698" s="3" t="s">
        <v>36</v>
      </c>
      <c r="E698" s="3" t="s">
        <v>5</v>
      </c>
      <c r="F698" s="8" t="s">
        <v>102</v>
      </c>
      <c r="G698" s="19">
        <f>_xlfn.XLOOKUP(Participantes[[#This Row],[Seminario al que asistió]],Seminarios[Seminario],Seminarios[Año])</f>
        <v>2025</v>
      </c>
    </row>
    <row r="699" spans="1:7" x14ac:dyDescent="0.25">
      <c r="A699" s="7" t="s">
        <v>788</v>
      </c>
      <c r="B699" s="3" t="s">
        <v>789</v>
      </c>
      <c r="C699" s="3" t="s">
        <v>221</v>
      </c>
      <c r="D699" s="3" t="s">
        <v>36</v>
      </c>
      <c r="E699" s="3" t="s">
        <v>5</v>
      </c>
      <c r="F699" s="8" t="s">
        <v>102</v>
      </c>
      <c r="G699" s="19">
        <f>_xlfn.XLOOKUP(Participantes[[#This Row],[Seminario al que asistió]],Seminarios[Seminario],Seminarios[Año])</f>
        <v>2025</v>
      </c>
    </row>
    <row r="700" spans="1:7" x14ac:dyDescent="0.25">
      <c r="A700" s="7" t="s">
        <v>276</v>
      </c>
      <c r="B700" s="3" t="s">
        <v>277</v>
      </c>
      <c r="C700" s="3" t="s">
        <v>218</v>
      </c>
      <c r="D700" s="3" t="s">
        <v>36</v>
      </c>
      <c r="E700" s="3" t="s">
        <v>5</v>
      </c>
      <c r="F700" s="8" t="s">
        <v>102</v>
      </c>
      <c r="G700" s="19">
        <f>_xlfn.XLOOKUP(Participantes[[#This Row],[Seminario al que asistió]],Seminarios[Seminario],Seminarios[Año])</f>
        <v>2025</v>
      </c>
    </row>
    <row r="701" spans="1:7" ht="15.75" thickBot="1" x14ac:dyDescent="0.3">
      <c r="A701" s="9" t="s">
        <v>225</v>
      </c>
      <c r="B701" s="10" t="s">
        <v>226</v>
      </c>
      <c r="C701" s="10" t="s">
        <v>218</v>
      </c>
      <c r="D701" s="10" t="s">
        <v>36</v>
      </c>
      <c r="E701" s="10" t="s">
        <v>5</v>
      </c>
      <c r="F701" s="11" t="s">
        <v>102</v>
      </c>
      <c r="G701" s="19">
        <f>_xlfn.XLOOKUP(Participantes[[#This Row],[Seminario al que asistió]],Seminarios[Seminario],Seminarios[Año])</f>
        <v>2025</v>
      </c>
    </row>
    <row r="702" spans="1:7" x14ac:dyDescent="0.25">
      <c r="A702" s="4" t="s">
        <v>879</v>
      </c>
      <c r="B702" s="5" t="s">
        <v>880</v>
      </c>
      <c r="C702" s="5" t="s">
        <v>218</v>
      </c>
      <c r="D702" s="5" t="s">
        <v>36</v>
      </c>
      <c r="E702" s="5" t="s">
        <v>5</v>
      </c>
      <c r="F702" s="6" t="s">
        <v>104</v>
      </c>
      <c r="G702" s="19">
        <f>_xlfn.XLOOKUP(Participantes[[#This Row],[Seminario al que asistió]],Seminarios[Seminario],Seminarios[Año])</f>
        <v>2025</v>
      </c>
    </row>
    <row r="703" spans="1:7" x14ac:dyDescent="0.25">
      <c r="A703" s="7" t="s">
        <v>89</v>
      </c>
      <c r="B703" s="3" t="s">
        <v>885</v>
      </c>
      <c r="C703" s="3" t="s">
        <v>218</v>
      </c>
      <c r="D703" s="3" t="s">
        <v>48</v>
      </c>
      <c r="E703" s="3" t="s">
        <v>5</v>
      </c>
      <c r="F703" s="8" t="s">
        <v>104</v>
      </c>
      <c r="G703" s="19">
        <f>_xlfn.XLOOKUP(Participantes[[#This Row],[Seminario al que asistió]],Seminarios[Seminario],Seminarios[Año])</f>
        <v>2025</v>
      </c>
    </row>
    <row r="704" spans="1:7" x14ac:dyDescent="0.25">
      <c r="A704" s="7" t="s">
        <v>328</v>
      </c>
      <c r="B704" s="3" t="s">
        <v>329</v>
      </c>
      <c r="C704" s="3" t="s">
        <v>218</v>
      </c>
      <c r="D704" s="3" t="s">
        <v>36</v>
      </c>
      <c r="E704" s="3" t="s">
        <v>5</v>
      </c>
      <c r="F704" s="8" t="s">
        <v>104</v>
      </c>
      <c r="G704" s="19">
        <f>_xlfn.XLOOKUP(Participantes[[#This Row],[Seminario al que asistió]],Seminarios[Seminario],Seminarios[Año])</f>
        <v>2025</v>
      </c>
    </row>
    <row r="705" spans="1:7" x14ac:dyDescent="0.25">
      <c r="A705" s="7" t="s">
        <v>332</v>
      </c>
      <c r="B705" s="3" t="s">
        <v>252</v>
      </c>
      <c r="C705" s="3" t="s">
        <v>221</v>
      </c>
      <c r="D705" s="3" t="s">
        <v>43</v>
      </c>
      <c r="E705" s="3" t="s">
        <v>5</v>
      </c>
      <c r="F705" s="8" t="s">
        <v>104</v>
      </c>
      <c r="G705" s="19">
        <f>_xlfn.XLOOKUP(Participantes[[#This Row],[Seminario al que asistió]],Seminarios[Seminario],Seminarios[Año])</f>
        <v>2025</v>
      </c>
    </row>
    <row r="706" spans="1:7" x14ac:dyDescent="0.25">
      <c r="A706" s="7" t="s">
        <v>883</v>
      </c>
      <c r="B706" s="3" t="s">
        <v>884</v>
      </c>
      <c r="C706" s="3" t="s">
        <v>218</v>
      </c>
      <c r="D706" s="3" t="s">
        <v>36</v>
      </c>
      <c r="E706" s="3" t="s">
        <v>5</v>
      </c>
      <c r="F706" s="8" t="s">
        <v>104</v>
      </c>
      <c r="G706" s="19">
        <f>_xlfn.XLOOKUP(Participantes[[#This Row],[Seminario al que asistió]],Seminarios[Seminario],Seminarios[Año])</f>
        <v>2025</v>
      </c>
    </row>
    <row r="707" spans="1:7" x14ac:dyDescent="0.25">
      <c r="A707" s="7" t="s">
        <v>227</v>
      </c>
      <c r="B707" s="3" t="s">
        <v>228</v>
      </c>
      <c r="C707" s="3" t="s">
        <v>218</v>
      </c>
      <c r="D707" s="3" t="s">
        <v>36</v>
      </c>
      <c r="E707" s="3" t="s">
        <v>5</v>
      </c>
      <c r="F707" s="8" t="s">
        <v>104</v>
      </c>
      <c r="G707" s="19">
        <f>_xlfn.XLOOKUP(Participantes[[#This Row],[Seminario al que asistió]],Seminarios[Seminario],Seminarios[Año])</f>
        <v>2025</v>
      </c>
    </row>
    <row r="708" spans="1:7" x14ac:dyDescent="0.25">
      <c r="A708" s="7" t="s">
        <v>777</v>
      </c>
      <c r="B708" s="3" t="s">
        <v>254</v>
      </c>
      <c r="C708" s="3" t="s">
        <v>218</v>
      </c>
      <c r="D708" s="3" t="s">
        <v>36</v>
      </c>
      <c r="E708" s="3" t="s">
        <v>5</v>
      </c>
      <c r="F708" s="8" t="s">
        <v>104</v>
      </c>
      <c r="G708" s="19">
        <f>_xlfn.XLOOKUP(Participantes[[#This Row],[Seminario al que asistió]],Seminarios[Seminario],Seminarios[Año])</f>
        <v>2025</v>
      </c>
    </row>
    <row r="709" spans="1:7" x14ac:dyDescent="0.25">
      <c r="A709" s="7" t="s">
        <v>176</v>
      </c>
      <c r="B709" s="3" t="s">
        <v>222</v>
      </c>
      <c r="C709" s="3" t="s">
        <v>221</v>
      </c>
      <c r="D709" s="3" t="s">
        <v>36</v>
      </c>
      <c r="E709" s="3" t="s">
        <v>5</v>
      </c>
      <c r="F709" s="8" t="s">
        <v>104</v>
      </c>
      <c r="G709" s="19">
        <f>_xlfn.XLOOKUP(Participantes[[#This Row],[Seminario al que asistió]],Seminarios[Seminario],Seminarios[Año])</f>
        <v>2025</v>
      </c>
    </row>
    <row r="710" spans="1:7" x14ac:dyDescent="0.25">
      <c r="A710" s="7" t="s">
        <v>244</v>
      </c>
      <c r="B710" s="3" t="s">
        <v>245</v>
      </c>
      <c r="C710" s="3" t="s">
        <v>218</v>
      </c>
      <c r="D710" s="3" t="s">
        <v>36</v>
      </c>
      <c r="E710" s="3" t="s">
        <v>5</v>
      </c>
      <c r="F710" s="8" t="s">
        <v>104</v>
      </c>
      <c r="G710" s="19">
        <f>_xlfn.XLOOKUP(Participantes[[#This Row],[Seminario al que asistió]],Seminarios[Seminario],Seminarios[Año])</f>
        <v>2025</v>
      </c>
    </row>
    <row r="711" spans="1:7" x14ac:dyDescent="0.25">
      <c r="A711" s="7" t="s">
        <v>663</v>
      </c>
      <c r="B711" s="3" t="s">
        <v>664</v>
      </c>
      <c r="C711" s="3" t="s">
        <v>218</v>
      </c>
      <c r="D711" s="3" t="s">
        <v>36</v>
      </c>
      <c r="E711" s="3" t="s">
        <v>5</v>
      </c>
      <c r="F711" s="8" t="s">
        <v>104</v>
      </c>
      <c r="G711" s="19">
        <f>_xlfn.XLOOKUP(Participantes[[#This Row],[Seminario al que asistió]],Seminarios[Seminario],Seminarios[Año])</f>
        <v>2025</v>
      </c>
    </row>
    <row r="712" spans="1:7" x14ac:dyDescent="0.25">
      <c r="A712" s="7" t="s">
        <v>554</v>
      </c>
      <c r="B712" s="3" t="s">
        <v>555</v>
      </c>
      <c r="C712" s="3" t="s">
        <v>221</v>
      </c>
      <c r="D712" s="3" t="s">
        <v>36</v>
      </c>
      <c r="E712" s="3" t="s">
        <v>5</v>
      </c>
      <c r="F712" s="8" t="s">
        <v>104</v>
      </c>
      <c r="G712" s="19">
        <f>_xlfn.XLOOKUP(Participantes[[#This Row],[Seminario al que asistió]],Seminarios[Seminario],Seminarios[Año])</f>
        <v>2025</v>
      </c>
    </row>
    <row r="713" spans="1:7" x14ac:dyDescent="0.25">
      <c r="A713" s="7" t="s">
        <v>225</v>
      </c>
      <c r="B713" s="3" t="s">
        <v>226</v>
      </c>
      <c r="C713" s="3" t="s">
        <v>218</v>
      </c>
      <c r="D713" s="3" t="s">
        <v>36</v>
      </c>
      <c r="E713" s="3" t="s">
        <v>5</v>
      </c>
      <c r="F713" s="8" t="s">
        <v>104</v>
      </c>
      <c r="G713" s="19">
        <f>_xlfn.XLOOKUP(Participantes[[#This Row],[Seminario al que asistió]],Seminarios[Seminario],Seminarios[Año])</f>
        <v>2025</v>
      </c>
    </row>
    <row r="714" spans="1:7" x14ac:dyDescent="0.25">
      <c r="A714" s="7" t="s">
        <v>319</v>
      </c>
      <c r="B714" s="3" t="s">
        <v>272</v>
      </c>
      <c r="C714" s="3" t="s">
        <v>221</v>
      </c>
      <c r="D714" s="3" t="s">
        <v>36</v>
      </c>
      <c r="E714" s="3" t="s">
        <v>5</v>
      </c>
      <c r="F714" s="8" t="s">
        <v>104</v>
      </c>
      <c r="G714" s="19">
        <f>_xlfn.XLOOKUP(Participantes[[#This Row],[Seminario al que asistió]],Seminarios[Seminario],Seminarios[Año])</f>
        <v>2025</v>
      </c>
    </row>
    <row r="715" spans="1:7" x14ac:dyDescent="0.25">
      <c r="A715" s="7" t="s">
        <v>165</v>
      </c>
      <c r="B715" s="3" t="s">
        <v>339</v>
      </c>
      <c r="C715" s="3" t="s">
        <v>218</v>
      </c>
      <c r="D715" s="3" t="s">
        <v>36</v>
      </c>
      <c r="E715" s="3" t="s">
        <v>5</v>
      </c>
      <c r="F715" s="8" t="s">
        <v>104</v>
      </c>
      <c r="G715" s="19">
        <f>_xlfn.XLOOKUP(Participantes[[#This Row],[Seminario al que asistió]],Seminarios[Seminario],Seminarios[Año])</f>
        <v>2025</v>
      </c>
    </row>
    <row r="716" spans="1:7" x14ac:dyDescent="0.25">
      <c r="A716" s="7" t="s">
        <v>831</v>
      </c>
      <c r="B716" s="3" t="s">
        <v>304</v>
      </c>
      <c r="C716" s="3" t="s">
        <v>221</v>
      </c>
      <c r="D716" s="3" t="s">
        <v>36</v>
      </c>
      <c r="E716" s="3" t="s">
        <v>5</v>
      </c>
      <c r="F716" s="8" t="s">
        <v>104</v>
      </c>
      <c r="G716" s="19">
        <f>_xlfn.XLOOKUP(Participantes[[#This Row],[Seminario al que asistió]],Seminarios[Seminario],Seminarios[Año])</f>
        <v>2025</v>
      </c>
    </row>
    <row r="717" spans="1:7" x14ac:dyDescent="0.25">
      <c r="A717" s="7" t="s">
        <v>310</v>
      </c>
      <c r="B717" s="3" t="s">
        <v>256</v>
      </c>
      <c r="C717" s="3" t="s">
        <v>218</v>
      </c>
      <c r="D717" s="3" t="s">
        <v>36</v>
      </c>
      <c r="E717" s="3" t="s">
        <v>5</v>
      </c>
      <c r="F717" s="8" t="s">
        <v>104</v>
      </c>
      <c r="G717" s="19">
        <f>_xlfn.XLOOKUP(Participantes[[#This Row],[Seminario al que asistió]],Seminarios[Seminario],Seminarios[Año])</f>
        <v>2025</v>
      </c>
    </row>
    <row r="718" spans="1:7" x14ac:dyDescent="0.25">
      <c r="A718" s="7" t="s">
        <v>302</v>
      </c>
      <c r="B718" s="3" t="s">
        <v>303</v>
      </c>
      <c r="C718" s="3" t="s">
        <v>218</v>
      </c>
      <c r="D718" s="3" t="s">
        <v>36</v>
      </c>
      <c r="E718" s="3" t="s">
        <v>5</v>
      </c>
      <c r="F718" s="8" t="s">
        <v>104</v>
      </c>
      <c r="G718" s="19">
        <f>_xlfn.XLOOKUP(Participantes[[#This Row],[Seminario al que asistió]],Seminarios[Seminario],Seminarios[Año])</f>
        <v>2025</v>
      </c>
    </row>
    <row r="719" spans="1:7" x14ac:dyDescent="0.25">
      <c r="A719" s="7" t="s">
        <v>829</v>
      </c>
      <c r="B719" s="3" t="s">
        <v>230</v>
      </c>
      <c r="C719" s="3" t="s">
        <v>218</v>
      </c>
      <c r="D719" s="3" t="s">
        <v>36</v>
      </c>
      <c r="E719" s="3" t="s">
        <v>5</v>
      </c>
      <c r="F719" s="8" t="s">
        <v>104</v>
      </c>
      <c r="G719" s="19">
        <f>_xlfn.XLOOKUP(Participantes[[#This Row],[Seminario al que asistió]],Seminarios[Seminario],Seminarios[Año])</f>
        <v>2025</v>
      </c>
    </row>
    <row r="720" spans="1:7" x14ac:dyDescent="0.25">
      <c r="A720" s="7" t="s">
        <v>234</v>
      </c>
      <c r="B720" s="3" t="s">
        <v>235</v>
      </c>
      <c r="C720" s="3" t="s">
        <v>218</v>
      </c>
      <c r="D720" s="3" t="s">
        <v>36</v>
      </c>
      <c r="E720" s="3" t="s">
        <v>5</v>
      </c>
      <c r="F720" s="8" t="s">
        <v>104</v>
      </c>
      <c r="G720" s="19">
        <f>_xlfn.XLOOKUP(Participantes[[#This Row],[Seminario al que asistió]],Seminarios[Seminario],Seminarios[Año])</f>
        <v>2025</v>
      </c>
    </row>
    <row r="721" spans="1:7" x14ac:dyDescent="0.25">
      <c r="A721" s="7" t="s">
        <v>219</v>
      </c>
      <c r="B721" s="3" t="s">
        <v>220</v>
      </c>
      <c r="C721" s="3" t="s">
        <v>221</v>
      </c>
      <c r="D721" s="3" t="s">
        <v>36</v>
      </c>
      <c r="E721" s="3" t="s">
        <v>5</v>
      </c>
      <c r="F721" s="8" t="s">
        <v>104</v>
      </c>
      <c r="G721" s="19">
        <f>_xlfn.XLOOKUP(Participantes[[#This Row],[Seminario al que asistió]],Seminarios[Seminario],Seminarios[Año])</f>
        <v>2025</v>
      </c>
    </row>
    <row r="722" spans="1:7" x14ac:dyDescent="0.25">
      <c r="A722" s="7" t="s">
        <v>560</v>
      </c>
      <c r="B722" s="3" t="s">
        <v>318</v>
      </c>
      <c r="C722" s="3" t="s">
        <v>218</v>
      </c>
      <c r="D722" s="3" t="s">
        <v>36</v>
      </c>
      <c r="E722" s="3" t="s">
        <v>5</v>
      </c>
      <c r="F722" s="8" t="s">
        <v>104</v>
      </c>
      <c r="G722" s="19">
        <f>_xlfn.XLOOKUP(Participantes[[#This Row],[Seminario al que asistió]],Seminarios[Seminario],Seminarios[Año])</f>
        <v>2025</v>
      </c>
    </row>
    <row r="723" spans="1:7" x14ac:dyDescent="0.25">
      <c r="A723" s="7" t="s">
        <v>285</v>
      </c>
      <c r="B723" s="3" t="s">
        <v>344</v>
      </c>
      <c r="C723" s="3" t="s">
        <v>218</v>
      </c>
      <c r="D723" s="3" t="s">
        <v>36</v>
      </c>
      <c r="E723" s="3" t="s">
        <v>5</v>
      </c>
      <c r="F723" s="8" t="s">
        <v>104</v>
      </c>
      <c r="G723" s="19">
        <f>_xlfn.XLOOKUP(Participantes[[#This Row],[Seminario al que asistió]],Seminarios[Seminario],Seminarios[Año])</f>
        <v>2025</v>
      </c>
    </row>
    <row r="724" spans="1:7" ht="15.75" thickBot="1" x14ac:dyDescent="0.3">
      <c r="A724" s="9" t="s">
        <v>276</v>
      </c>
      <c r="B724" s="10" t="s">
        <v>277</v>
      </c>
      <c r="C724" s="10" t="s">
        <v>218</v>
      </c>
      <c r="D724" s="10" t="s">
        <v>36</v>
      </c>
      <c r="E724" s="10" t="s">
        <v>5</v>
      </c>
      <c r="F724" s="11" t="s">
        <v>104</v>
      </c>
      <c r="G724" s="19">
        <f>_xlfn.XLOOKUP(Participantes[[#This Row],[Seminario al que asistió]],Seminarios[Seminario],Seminarios[Año])</f>
        <v>2025</v>
      </c>
    </row>
    <row r="725" spans="1:7" x14ac:dyDescent="0.25">
      <c r="A725" s="4" t="s">
        <v>558</v>
      </c>
      <c r="B725" s="5" t="s">
        <v>288</v>
      </c>
      <c r="C725" s="5" t="s">
        <v>218</v>
      </c>
      <c r="D725" s="5" t="s">
        <v>36</v>
      </c>
      <c r="E725" s="5" t="s">
        <v>5</v>
      </c>
      <c r="F725" s="6" t="s">
        <v>106</v>
      </c>
      <c r="G725" s="19">
        <f>_xlfn.XLOOKUP(Participantes[[#This Row],[Seminario al que asistió]],Seminarios[Seminario],Seminarios[Año])</f>
        <v>2025</v>
      </c>
    </row>
    <row r="726" spans="1:7" x14ac:dyDescent="0.25">
      <c r="A726" s="7" t="s">
        <v>89</v>
      </c>
      <c r="B726" s="3" t="s">
        <v>885</v>
      </c>
      <c r="C726" s="3" t="s">
        <v>218</v>
      </c>
      <c r="D726" s="3" t="s">
        <v>48</v>
      </c>
      <c r="E726" s="3" t="s">
        <v>5</v>
      </c>
      <c r="F726" s="8" t="s">
        <v>106</v>
      </c>
      <c r="G726" s="19">
        <f>_xlfn.XLOOKUP(Participantes[[#This Row],[Seminario al que asistió]],Seminarios[Seminario],Seminarios[Año])</f>
        <v>2025</v>
      </c>
    </row>
    <row r="727" spans="1:7" x14ac:dyDescent="0.25">
      <c r="A727" s="7" t="s">
        <v>777</v>
      </c>
      <c r="B727" s="3" t="s">
        <v>254</v>
      </c>
      <c r="C727" s="3" t="s">
        <v>218</v>
      </c>
      <c r="D727" s="3" t="s">
        <v>36</v>
      </c>
      <c r="E727" s="3" t="s">
        <v>5</v>
      </c>
      <c r="F727" s="8" t="s">
        <v>106</v>
      </c>
      <c r="G727" s="19">
        <f>_xlfn.XLOOKUP(Participantes[[#This Row],[Seminario al que asistió]],Seminarios[Seminario],Seminarios[Año])</f>
        <v>2025</v>
      </c>
    </row>
    <row r="728" spans="1:7" x14ac:dyDescent="0.25">
      <c r="A728" s="7" t="s">
        <v>244</v>
      </c>
      <c r="B728" s="3" t="s">
        <v>245</v>
      </c>
      <c r="C728" s="3" t="s">
        <v>218</v>
      </c>
      <c r="D728" s="3" t="s">
        <v>36</v>
      </c>
      <c r="E728" s="3" t="s">
        <v>5</v>
      </c>
      <c r="F728" s="8" t="s">
        <v>106</v>
      </c>
      <c r="G728" s="19">
        <f>_xlfn.XLOOKUP(Participantes[[#This Row],[Seminario al que asistió]],Seminarios[Seminario],Seminarios[Año])</f>
        <v>2025</v>
      </c>
    </row>
    <row r="729" spans="1:7" x14ac:dyDescent="0.25">
      <c r="A729" s="7" t="s">
        <v>285</v>
      </c>
      <c r="B729" s="3" t="s">
        <v>344</v>
      </c>
      <c r="C729" s="3" t="s">
        <v>218</v>
      </c>
      <c r="D729" s="3" t="s">
        <v>36</v>
      </c>
      <c r="E729" s="3" t="s">
        <v>5</v>
      </c>
      <c r="F729" s="8" t="s">
        <v>106</v>
      </c>
      <c r="G729" s="19">
        <f>_xlfn.XLOOKUP(Participantes[[#This Row],[Seminario al que asistió]],Seminarios[Seminario],Seminarios[Año])</f>
        <v>2025</v>
      </c>
    </row>
    <row r="730" spans="1:7" x14ac:dyDescent="0.25">
      <c r="A730" s="7" t="s">
        <v>554</v>
      </c>
      <c r="B730" s="3" t="s">
        <v>555</v>
      </c>
      <c r="C730" s="3" t="s">
        <v>221</v>
      </c>
      <c r="D730" s="3" t="s">
        <v>36</v>
      </c>
      <c r="E730" s="3" t="s">
        <v>5</v>
      </c>
      <c r="F730" s="8" t="s">
        <v>106</v>
      </c>
      <c r="G730" s="19">
        <f>_xlfn.XLOOKUP(Participantes[[#This Row],[Seminario al que asistió]],Seminarios[Seminario],Seminarios[Año])</f>
        <v>2025</v>
      </c>
    </row>
    <row r="731" spans="1:7" x14ac:dyDescent="0.25">
      <c r="A731" s="7" t="s">
        <v>777</v>
      </c>
      <c r="B731" s="3" t="s">
        <v>254</v>
      </c>
      <c r="C731" s="3" t="s">
        <v>218</v>
      </c>
      <c r="D731" s="3" t="s">
        <v>36</v>
      </c>
      <c r="E731" s="3" t="s">
        <v>5</v>
      </c>
      <c r="F731" s="8" t="s">
        <v>106</v>
      </c>
      <c r="G731" s="19">
        <f>_xlfn.XLOOKUP(Participantes[[#This Row],[Seminario al que asistió]],Seminarios[Seminario],Seminarios[Año])</f>
        <v>2025</v>
      </c>
    </row>
    <row r="732" spans="1:7" x14ac:dyDescent="0.25">
      <c r="A732" s="7" t="s">
        <v>829</v>
      </c>
      <c r="B732" s="3" t="s">
        <v>230</v>
      </c>
      <c r="C732" s="3" t="s">
        <v>218</v>
      </c>
      <c r="D732" s="3" t="s">
        <v>36</v>
      </c>
      <c r="E732" s="3" t="s">
        <v>5</v>
      </c>
      <c r="F732" s="8" t="s">
        <v>106</v>
      </c>
      <c r="G732" s="19">
        <f>_xlfn.XLOOKUP(Participantes[[#This Row],[Seminario al que asistió]],Seminarios[Seminario],Seminarios[Año])</f>
        <v>2025</v>
      </c>
    </row>
    <row r="733" spans="1:7" x14ac:dyDescent="0.25">
      <c r="A733" s="7" t="s">
        <v>886</v>
      </c>
      <c r="B733" s="3" t="s">
        <v>321</v>
      </c>
      <c r="C733" s="3" t="s">
        <v>218</v>
      </c>
      <c r="D733" s="3" t="s">
        <v>36</v>
      </c>
      <c r="E733" s="3" t="s">
        <v>5</v>
      </c>
      <c r="F733" s="8" t="s">
        <v>106</v>
      </c>
      <c r="G733" s="19">
        <f>_xlfn.XLOOKUP(Participantes[[#This Row],[Seminario al que asistió]],Seminarios[Seminario],Seminarios[Año])</f>
        <v>2025</v>
      </c>
    </row>
    <row r="734" spans="1:7" x14ac:dyDescent="0.25">
      <c r="A734" s="7" t="s">
        <v>501</v>
      </c>
      <c r="B734" s="3" t="s">
        <v>297</v>
      </c>
      <c r="C734" s="3" t="s">
        <v>221</v>
      </c>
      <c r="D734" s="3" t="s">
        <v>36</v>
      </c>
      <c r="E734" s="3" t="s">
        <v>5</v>
      </c>
      <c r="F734" s="8" t="s">
        <v>106</v>
      </c>
      <c r="G734" s="19">
        <f>_xlfn.XLOOKUP(Participantes[[#This Row],[Seminario al que asistió]],Seminarios[Seminario],Seminarios[Año])</f>
        <v>2025</v>
      </c>
    </row>
    <row r="735" spans="1:7" x14ac:dyDescent="0.25">
      <c r="A735" s="7" t="s">
        <v>165</v>
      </c>
      <c r="B735" s="3" t="s">
        <v>339</v>
      </c>
      <c r="C735" s="3" t="s">
        <v>218</v>
      </c>
      <c r="D735" s="3" t="s">
        <v>36</v>
      </c>
      <c r="E735" s="3" t="s">
        <v>5</v>
      </c>
      <c r="F735" s="8" t="s">
        <v>106</v>
      </c>
      <c r="G735" s="19">
        <f>_xlfn.XLOOKUP(Participantes[[#This Row],[Seminario al que asistió]],Seminarios[Seminario],Seminarios[Año])</f>
        <v>2025</v>
      </c>
    </row>
    <row r="736" spans="1:7" x14ac:dyDescent="0.25">
      <c r="A736" s="7" t="s">
        <v>831</v>
      </c>
      <c r="B736" s="3" t="s">
        <v>304</v>
      </c>
      <c r="C736" s="3" t="s">
        <v>221</v>
      </c>
      <c r="D736" s="3" t="s">
        <v>36</v>
      </c>
      <c r="E736" s="3" t="s">
        <v>5</v>
      </c>
      <c r="F736" s="8" t="s">
        <v>106</v>
      </c>
      <c r="G736" s="19">
        <f>_xlfn.XLOOKUP(Participantes[[#This Row],[Seminario al que asistió]],Seminarios[Seminario],Seminarios[Año])</f>
        <v>2025</v>
      </c>
    </row>
    <row r="737" spans="1:7" x14ac:dyDescent="0.25">
      <c r="A737" s="7" t="s">
        <v>879</v>
      </c>
      <c r="B737" s="3" t="s">
        <v>880</v>
      </c>
      <c r="C737" s="3" t="s">
        <v>218</v>
      </c>
      <c r="D737" s="3" t="s">
        <v>36</v>
      </c>
      <c r="E737" s="3" t="s">
        <v>5</v>
      </c>
      <c r="F737" s="8" t="s">
        <v>106</v>
      </c>
      <c r="G737" s="19">
        <f>_xlfn.XLOOKUP(Participantes[[#This Row],[Seminario al que asistió]],Seminarios[Seminario],Seminarios[Año])</f>
        <v>2025</v>
      </c>
    </row>
    <row r="738" spans="1:7" x14ac:dyDescent="0.25">
      <c r="A738" s="7" t="s">
        <v>887</v>
      </c>
      <c r="B738" s="3" t="s">
        <v>281</v>
      </c>
      <c r="C738" s="3" t="s">
        <v>221</v>
      </c>
      <c r="D738" s="3" t="s">
        <v>36</v>
      </c>
      <c r="E738" s="3" t="s">
        <v>5</v>
      </c>
      <c r="F738" s="8" t="s">
        <v>106</v>
      </c>
      <c r="G738" s="19">
        <f>_xlfn.XLOOKUP(Participantes[[#This Row],[Seminario al que asistió]],Seminarios[Seminario],Seminarios[Año])</f>
        <v>2025</v>
      </c>
    </row>
    <row r="739" spans="1:7" x14ac:dyDescent="0.25">
      <c r="A739" s="7" t="s">
        <v>271</v>
      </c>
      <c r="B739" s="3" t="s">
        <v>272</v>
      </c>
      <c r="C739" s="3" t="s">
        <v>221</v>
      </c>
      <c r="D739" s="3" t="s">
        <v>36</v>
      </c>
      <c r="E739" s="3" t="s">
        <v>5</v>
      </c>
      <c r="F739" s="8" t="s">
        <v>106</v>
      </c>
      <c r="G739" s="19">
        <f>_xlfn.XLOOKUP(Participantes[[#This Row],[Seminario al que asistió]],Seminarios[Seminario],Seminarios[Año])</f>
        <v>2025</v>
      </c>
    </row>
    <row r="740" spans="1:7" x14ac:dyDescent="0.25">
      <c r="A740" s="7" t="s">
        <v>310</v>
      </c>
      <c r="B740" s="3" t="s">
        <v>256</v>
      </c>
      <c r="C740" s="3" t="s">
        <v>218</v>
      </c>
      <c r="D740" s="3" t="s">
        <v>36</v>
      </c>
      <c r="E740" s="3" t="s">
        <v>5</v>
      </c>
      <c r="F740" s="8" t="s">
        <v>106</v>
      </c>
      <c r="G740" s="19">
        <f>_xlfn.XLOOKUP(Participantes[[#This Row],[Seminario al que asistió]],Seminarios[Seminario],Seminarios[Año])</f>
        <v>2025</v>
      </c>
    </row>
    <row r="741" spans="1:7" x14ac:dyDescent="0.25">
      <c r="A741" s="7" t="s">
        <v>276</v>
      </c>
      <c r="B741" s="3" t="s">
        <v>277</v>
      </c>
      <c r="C741" s="3" t="s">
        <v>218</v>
      </c>
      <c r="D741" s="3" t="s">
        <v>36</v>
      </c>
      <c r="E741" s="3" t="s">
        <v>5</v>
      </c>
      <c r="F741" s="8" t="s">
        <v>106</v>
      </c>
      <c r="G741" s="19">
        <f>_xlfn.XLOOKUP(Participantes[[#This Row],[Seminario al que asistió]],Seminarios[Seminario],Seminarios[Año])</f>
        <v>2025</v>
      </c>
    </row>
    <row r="742" spans="1:7" x14ac:dyDescent="0.25">
      <c r="A742" s="7" t="s">
        <v>671</v>
      </c>
      <c r="B742" s="3" t="s">
        <v>571</v>
      </c>
      <c r="C742" s="3" t="s">
        <v>218</v>
      </c>
      <c r="D742" s="3" t="s">
        <v>36</v>
      </c>
      <c r="E742" s="3" t="s">
        <v>5</v>
      </c>
      <c r="F742" s="8" t="s">
        <v>106</v>
      </c>
      <c r="G742" s="19">
        <f>_xlfn.XLOOKUP(Participantes[[#This Row],[Seminario al que asistió]],Seminarios[Seminario],Seminarios[Año])</f>
        <v>2025</v>
      </c>
    </row>
    <row r="743" spans="1:7" x14ac:dyDescent="0.25">
      <c r="A743" s="7" t="s">
        <v>234</v>
      </c>
      <c r="B743" s="3" t="s">
        <v>235</v>
      </c>
      <c r="C743" s="3" t="s">
        <v>218</v>
      </c>
      <c r="D743" s="3" t="s">
        <v>36</v>
      </c>
      <c r="E743" s="3" t="s">
        <v>5</v>
      </c>
      <c r="F743" s="8" t="s">
        <v>106</v>
      </c>
      <c r="G743" s="19">
        <f>_xlfn.XLOOKUP(Participantes[[#This Row],[Seminario al que asistió]],Seminarios[Seminario],Seminarios[Año])</f>
        <v>2025</v>
      </c>
    </row>
    <row r="744" spans="1:7" x14ac:dyDescent="0.25">
      <c r="A744" s="7" t="s">
        <v>225</v>
      </c>
      <c r="B744" s="3" t="s">
        <v>226</v>
      </c>
      <c r="C744" s="3" t="s">
        <v>218</v>
      </c>
      <c r="D744" s="3" t="s">
        <v>36</v>
      </c>
      <c r="E744" s="3" t="s">
        <v>5</v>
      </c>
      <c r="F744" s="8" t="s">
        <v>106</v>
      </c>
      <c r="G744" s="19">
        <f>_xlfn.XLOOKUP(Participantes[[#This Row],[Seminario al que asistió]],Seminarios[Seminario],Seminarios[Año])</f>
        <v>2025</v>
      </c>
    </row>
    <row r="745" spans="1:7" x14ac:dyDescent="0.25">
      <c r="A745" s="7" t="s">
        <v>560</v>
      </c>
      <c r="B745" s="3" t="s">
        <v>318</v>
      </c>
      <c r="C745" s="3" t="s">
        <v>218</v>
      </c>
      <c r="D745" s="3" t="s">
        <v>36</v>
      </c>
      <c r="E745" s="3" t="s">
        <v>5</v>
      </c>
      <c r="F745" s="8" t="s">
        <v>106</v>
      </c>
      <c r="G745" s="19">
        <f>_xlfn.XLOOKUP(Participantes[[#This Row],[Seminario al que asistió]],Seminarios[Seminario],Seminarios[Año])</f>
        <v>2025</v>
      </c>
    </row>
    <row r="746" spans="1:7" ht="15.75" thickBot="1" x14ac:dyDescent="0.3">
      <c r="A746" s="9" t="s">
        <v>276</v>
      </c>
      <c r="B746" s="10" t="s">
        <v>277</v>
      </c>
      <c r="C746" s="10" t="s">
        <v>218</v>
      </c>
      <c r="D746" s="10" t="s">
        <v>36</v>
      </c>
      <c r="E746" s="10" t="s">
        <v>5</v>
      </c>
      <c r="F746" s="11" t="s">
        <v>106</v>
      </c>
      <c r="G746" s="19">
        <f>_xlfn.XLOOKUP(Participantes[[#This Row],[Seminario al que asistió]],Seminarios[Seminario],Seminarios[Año])</f>
        <v>2025</v>
      </c>
    </row>
    <row r="747" spans="1:7" x14ac:dyDescent="0.25">
      <c r="A747" s="4" t="s">
        <v>879</v>
      </c>
      <c r="B747" s="5" t="s">
        <v>880</v>
      </c>
      <c r="C747" s="5" t="s">
        <v>218</v>
      </c>
      <c r="D747" s="5" t="s">
        <v>36</v>
      </c>
      <c r="E747" s="5" t="s">
        <v>5</v>
      </c>
      <c r="F747" s="6" t="s">
        <v>110</v>
      </c>
      <c r="G747" s="19">
        <f>_xlfn.XLOOKUP(Participantes[[#This Row],[Seminario al que asistió]],Seminarios[Seminario],Seminarios[Año])</f>
        <v>2025</v>
      </c>
    </row>
    <row r="748" spans="1:7" x14ac:dyDescent="0.25">
      <c r="A748" s="7" t="s">
        <v>89</v>
      </c>
      <c r="B748" s="3" t="s">
        <v>885</v>
      </c>
      <c r="C748" s="3" t="s">
        <v>218</v>
      </c>
      <c r="D748" s="3" t="s">
        <v>48</v>
      </c>
      <c r="E748" s="3" t="s">
        <v>5</v>
      </c>
      <c r="F748" s="8" t="s">
        <v>110</v>
      </c>
      <c r="G748" s="19">
        <f>_xlfn.XLOOKUP(Participantes[[#This Row],[Seminario al que asistió]],Seminarios[Seminario],Seminarios[Año])</f>
        <v>2025</v>
      </c>
    </row>
    <row r="749" spans="1:7" x14ac:dyDescent="0.25">
      <c r="A749" s="7" t="s">
        <v>242</v>
      </c>
      <c r="B749" s="3" t="s">
        <v>835</v>
      </c>
      <c r="C749" s="3" t="s">
        <v>218</v>
      </c>
      <c r="D749" s="3" t="s">
        <v>36</v>
      </c>
      <c r="E749" s="3" t="s">
        <v>5</v>
      </c>
      <c r="F749" s="8" t="s">
        <v>110</v>
      </c>
      <c r="G749" s="19">
        <f>_xlfn.XLOOKUP(Participantes[[#This Row],[Seminario al que asistió]],Seminarios[Seminario],Seminarios[Año])</f>
        <v>2025</v>
      </c>
    </row>
    <row r="750" spans="1:7" x14ac:dyDescent="0.25">
      <c r="A750" s="7" t="s">
        <v>244</v>
      </c>
      <c r="B750" s="3" t="s">
        <v>245</v>
      </c>
      <c r="C750" s="3" t="s">
        <v>218</v>
      </c>
      <c r="D750" s="3" t="s">
        <v>36</v>
      </c>
      <c r="E750" s="3" t="s">
        <v>5</v>
      </c>
      <c r="F750" s="8" t="s">
        <v>110</v>
      </c>
      <c r="G750" s="19">
        <f>_xlfn.XLOOKUP(Participantes[[#This Row],[Seminario al que asistió]],Seminarios[Seminario],Seminarios[Año])</f>
        <v>2025</v>
      </c>
    </row>
    <row r="751" spans="1:7" x14ac:dyDescent="0.25">
      <c r="A751" s="7" t="s">
        <v>777</v>
      </c>
      <c r="B751" s="3" t="s">
        <v>254</v>
      </c>
      <c r="C751" s="3" t="s">
        <v>218</v>
      </c>
      <c r="D751" s="3" t="s">
        <v>36</v>
      </c>
      <c r="E751" s="3" t="s">
        <v>5</v>
      </c>
      <c r="F751" s="8" t="s">
        <v>110</v>
      </c>
      <c r="G751" s="19">
        <f>_xlfn.XLOOKUP(Participantes[[#This Row],[Seminario al que asistió]],Seminarios[Seminario],Seminarios[Año])</f>
        <v>2025</v>
      </c>
    </row>
    <row r="752" spans="1:7" x14ac:dyDescent="0.25">
      <c r="A752" s="7" t="s">
        <v>554</v>
      </c>
      <c r="B752" s="3" t="s">
        <v>555</v>
      </c>
      <c r="C752" s="3" t="s">
        <v>221</v>
      </c>
      <c r="D752" s="3" t="s">
        <v>36</v>
      </c>
      <c r="E752" s="3" t="s">
        <v>5</v>
      </c>
      <c r="F752" s="8" t="s">
        <v>110</v>
      </c>
      <c r="G752" s="19">
        <f>_xlfn.XLOOKUP(Participantes[[#This Row],[Seminario al que asistió]],Seminarios[Seminario],Seminarios[Año])</f>
        <v>2025</v>
      </c>
    </row>
    <row r="753" spans="1:7" x14ac:dyDescent="0.25">
      <c r="A753" s="7" t="s">
        <v>661</v>
      </c>
      <c r="B753" s="3" t="s">
        <v>583</v>
      </c>
      <c r="C753" s="3" t="s">
        <v>218</v>
      </c>
      <c r="D753" s="3" t="s">
        <v>36</v>
      </c>
      <c r="E753" s="3" t="s">
        <v>5</v>
      </c>
      <c r="F753" s="8" t="s">
        <v>110</v>
      </c>
      <c r="G753" s="19">
        <f>_xlfn.XLOOKUP(Participantes[[#This Row],[Seminario al que asistió]],Seminarios[Seminario],Seminarios[Año])</f>
        <v>2025</v>
      </c>
    </row>
    <row r="754" spans="1:7" x14ac:dyDescent="0.25">
      <c r="A754" s="7" t="s">
        <v>271</v>
      </c>
      <c r="B754" s="3" t="s">
        <v>272</v>
      </c>
      <c r="C754" s="3" t="s">
        <v>221</v>
      </c>
      <c r="D754" s="3" t="s">
        <v>36</v>
      </c>
      <c r="E754" s="3" t="s">
        <v>5</v>
      </c>
      <c r="F754" s="8" t="s">
        <v>110</v>
      </c>
      <c r="G754" s="19">
        <f>_xlfn.XLOOKUP(Participantes[[#This Row],[Seminario al que asistió]],Seminarios[Seminario],Seminarios[Año])</f>
        <v>2025</v>
      </c>
    </row>
    <row r="755" spans="1:7" x14ac:dyDescent="0.25">
      <c r="A755" s="7" t="s">
        <v>165</v>
      </c>
      <c r="B755" s="3" t="s">
        <v>339</v>
      </c>
      <c r="C755" s="3" t="s">
        <v>218</v>
      </c>
      <c r="D755" s="3" t="s">
        <v>36</v>
      </c>
      <c r="E755" s="3" t="s">
        <v>5</v>
      </c>
      <c r="F755" s="8" t="s">
        <v>110</v>
      </c>
      <c r="G755" s="19">
        <f>_xlfn.XLOOKUP(Participantes[[#This Row],[Seminario al que asistió]],Seminarios[Seminario],Seminarios[Año])</f>
        <v>2025</v>
      </c>
    </row>
    <row r="756" spans="1:7" x14ac:dyDescent="0.25">
      <c r="A756" s="7" t="s">
        <v>831</v>
      </c>
      <c r="B756" s="3" t="s">
        <v>304</v>
      </c>
      <c r="C756" s="3" t="s">
        <v>221</v>
      </c>
      <c r="D756" s="3" t="s">
        <v>36</v>
      </c>
      <c r="E756" s="3" t="s">
        <v>5</v>
      </c>
      <c r="F756" s="8" t="s">
        <v>110</v>
      </c>
      <c r="G756" s="19">
        <f>_xlfn.XLOOKUP(Participantes[[#This Row],[Seminario al que asistió]],Seminarios[Seminario],Seminarios[Año])</f>
        <v>2025</v>
      </c>
    </row>
    <row r="757" spans="1:7" x14ac:dyDescent="0.25">
      <c r="A757" s="7" t="s">
        <v>888</v>
      </c>
      <c r="B757" s="3" t="s">
        <v>303</v>
      </c>
      <c r="C757" s="3" t="s">
        <v>218</v>
      </c>
      <c r="D757" s="3" t="s">
        <v>36</v>
      </c>
      <c r="E757" s="3" t="s">
        <v>5</v>
      </c>
      <c r="F757" s="8" t="s">
        <v>110</v>
      </c>
      <c r="G757" s="19">
        <f>_xlfn.XLOOKUP(Participantes[[#This Row],[Seminario al que asistió]],Seminarios[Seminario],Seminarios[Año])</f>
        <v>2025</v>
      </c>
    </row>
    <row r="758" spans="1:7" x14ac:dyDescent="0.25">
      <c r="A758" s="7" t="s">
        <v>234</v>
      </c>
      <c r="B758" s="3" t="s">
        <v>235</v>
      </c>
      <c r="C758" s="3" t="s">
        <v>218</v>
      </c>
      <c r="D758" s="3" t="s">
        <v>36</v>
      </c>
      <c r="E758" s="3" t="s">
        <v>5</v>
      </c>
      <c r="F758" s="8" t="s">
        <v>110</v>
      </c>
      <c r="G758" s="19">
        <f>_xlfn.XLOOKUP(Participantes[[#This Row],[Seminario al que asistió]],Seminarios[Seminario],Seminarios[Año])</f>
        <v>2025</v>
      </c>
    </row>
    <row r="759" spans="1:7" x14ac:dyDescent="0.25">
      <c r="A759" s="7" t="s">
        <v>285</v>
      </c>
      <c r="B759" s="3" t="s">
        <v>286</v>
      </c>
      <c r="C759" s="3" t="s">
        <v>218</v>
      </c>
      <c r="D759" s="3" t="s">
        <v>36</v>
      </c>
      <c r="E759" s="3" t="s">
        <v>5</v>
      </c>
      <c r="F759" s="8" t="s">
        <v>110</v>
      </c>
      <c r="G759" s="19">
        <f>_xlfn.XLOOKUP(Participantes[[#This Row],[Seminario al que asistió]],Seminarios[Seminario],Seminarios[Año])</f>
        <v>2025</v>
      </c>
    </row>
    <row r="760" spans="1:7" ht="15.75" thickBot="1" x14ac:dyDescent="0.3">
      <c r="A760" s="9" t="s">
        <v>276</v>
      </c>
      <c r="B760" s="10" t="s">
        <v>277</v>
      </c>
      <c r="C760" s="10" t="s">
        <v>218</v>
      </c>
      <c r="D760" s="10" t="s">
        <v>36</v>
      </c>
      <c r="E760" s="10" t="s">
        <v>5</v>
      </c>
      <c r="F760" s="11" t="s">
        <v>110</v>
      </c>
      <c r="G760" s="19">
        <f>_xlfn.XLOOKUP(Participantes[[#This Row],[Seminario al que asistió]],Seminarios[Seminario],Seminarios[Año])</f>
        <v>2025</v>
      </c>
    </row>
    <row r="761" spans="1:7" ht="15.75" x14ac:dyDescent="0.25">
      <c r="A761" s="140" t="s">
        <v>889</v>
      </c>
      <c r="B761" s="3" t="str">
        <f>_xlfn.XLOOKUP(Participantes[[#This Row],[Nombre]],$A1:$A760,$B1:$B760)</f>
        <v>ea.terhorst@uniandes.edu.co</v>
      </c>
      <c r="C761" s="3" t="str">
        <f>_xlfn.XLOOKUP(Participantes[[#This Row],[Nombre]],$A1:$A760,$C1:$C760)</f>
        <v>M</v>
      </c>
      <c r="D761" s="3" t="str">
        <f>_xlfn.XLOOKUP(Participantes[[#This Row],[Nombre]],$A1:$A760,$D1:$D760)</f>
        <v>Professor</v>
      </c>
      <c r="E761" s="3" t="s">
        <v>5</v>
      </c>
      <c r="F761" s="8" t="s">
        <v>112</v>
      </c>
      <c r="G761" s="19">
        <f>_xlfn.XLOOKUP(Participantes[[#This Row],[Seminario al que asistió]],Seminarios[Seminario],Seminarios[Año])</f>
        <v>2025</v>
      </c>
    </row>
    <row r="762" spans="1:7" ht="15.75" x14ac:dyDescent="0.25">
      <c r="A762" s="140" t="s">
        <v>253</v>
      </c>
      <c r="B762" s="3" t="str">
        <f>_xlfn.XLOOKUP(Participantes[[#This Row],[Nombre]],$A2:$A761,$B2:$B761)</f>
        <v>g.triulzi@uniandes.edu.co</v>
      </c>
      <c r="C762" s="3" t="str">
        <f>_xlfn.XLOOKUP(Participantes[[#This Row],[Nombre]],$A2:$A761,$C2:$C761)</f>
        <v>M</v>
      </c>
      <c r="D762" s="3" t="str">
        <f>_xlfn.XLOOKUP(Participantes[[#This Row],[Nombre]],$A2:$A761,$D2:$D761)</f>
        <v>Professor</v>
      </c>
      <c r="E762" s="3" t="s">
        <v>5</v>
      </c>
      <c r="F762" s="8" t="s">
        <v>112</v>
      </c>
      <c r="G762" s="19">
        <f>_xlfn.XLOOKUP(Participantes[[#This Row],[Seminario al que asistió]],Seminarios[Seminario],Seminarios[Año])</f>
        <v>2025</v>
      </c>
    </row>
    <row r="763" spans="1:7" ht="15.75" x14ac:dyDescent="0.25">
      <c r="A763" s="140" t="s">
        <v>829</v>
      </c>
      <c r="B763" s="3" t="str">
        <f>_xlfn.XLOOKUP(Participantes[[#This Row],[Nombre]],$A3:$A762,$B3:$B762)</f>
        <v>id.sanchez41@uniandes.edu.co</v>
      </c>
      <c r="C763" s="3" t="str">
        <f>_xlfn.XLOOKUP(Participantes[[#This Row],[Nombre]],$A3:$A762,$C3:$C762)</f>
        <v>M</v>
      </c>
      <c r="D763" s="3" t="str">
        <f>_xlfn.XLOOKUP(Participantes[[#This Row],[Nombre]],$A3:$A762,$D3:$D762)</f>
        <v>Professor</v>
      </c>
      <c r="E763" s="3" t="s">
        <v>5</v>
      </c>
      <c r="F763" s="8" t="s">
        <v>112</v>
      </c>
      <c r="G763" s="19">
        <f>_xlfn.XLOOKUP(Participantes[[#This Row],[Seminario al que asistió]],Seminarios[Seminario],Seminarios[Año])</f>
        <v>2025</v>
      </c>
    </row>
    <row r="764" spans="1:7" ht="15.75" x14ac:dyDescent="0.25">
      <c r="A764" s="140" t="s">
        <v>661</v>
      </c>
      <c r="B764" s="3" t="str">
        <f>_xlfn.XLOOKUP(Participantes[[#This Row],[Nombre]],$A4:$A763,$B4:$B763)</f>
        <v>jruiz@uniandes.edu.co</v>
      </c>
      <c r="C764" s="3" t="str">
        <f>_xlfn.XLOOKUP(Participantes[[#This Row],[Nombre]],$A4:$A763,$C4:$C763)</f>
        <v>M</v>
      </c>
      <c r="D764" s="3" t="str">
        <f>_xlfn.XLOOKUP(Participantes[[#This Row],[Nombre]],$A4:$A763,$D4:$D763)</f>
        <v>Professor</v>
      </c>
      <c r="E764" s="3" t="s">
        <v>5</v>
      </c>
      <c r="F764" s="8" t="s">
        <v>112</v>
      </c>
      <c r="G764" s="19">
        <f>_xlfn.XLOOKUP(Participantes[[#This Row],[Seminario al que asistió]],Seminarios[Seminario],Seminarios[Año])</f>
        <v>2025</v>
      </c>
    </row>
    <row r="765" spans="1:7" ht="15.75" x14ac:dyDescent="0.25">
      <c r="A765" s="140" t="s">
        <v>273</v>
      </c>
      <c r="B765" s="3" t="str">
        <f>_xlfn.XLOOKUP(Participantes[[#This Row],[Nombre]],$A5:$A764,$B5:$B764)</f>
        <v>mazuero@uniandes.edu.co</v>
      </c>
      <c r="C765" s="3" t="str">
        <f>_xlfn.XLOOKUP(Participantes[[#This Row],[Nombre]],$A5:$A764,$C5:$C764)</f>
        <v>M</v>
      </c>
      <c r="D765" s="3" t="str">
        <f>_xlfn.XLOOKUP(Participantes[[#This Row],[Nombre]],$A5:$A764,$D5:$D764)</f>
        <v>Professor</v>
      </c>
      <c r="E765" s="3" t="s">
        <v>5</v>
      </c>
      <c r="F765" s="8" t="s">
        <v>112</v>
      </c>
      <c r="G765" s="19">
        <f>_xlfn.XLOOKUP(Participantes[[#This Row],[Seminario al que asistió]],Seminarios[Seminario],Seminarios[Año])</f>
        <v>2025</v>
      </c>
    </row>
    <row r="766" spans="1:7" x14ac:dyDescent="0.25">
      <c r="A766" s="7" t="s">
        <v>831</v>
      </c>
      <c r="B766" s="3" t="s">
        <v>304</v>
      </c>
      <c r="C766" s="3" t="str">
        <f>_xlfn.XLOOKUP(Participantes[[#This Row],[Nombre]],$A6:$A765,$C6:$C765)</f>
        <v>F</v>
      </c>
      <c r="D766" s="3" t="str">
        <f>_xlfn.XLOOKUP(Participantes[[#This Row],[Nombre]],$A6:$A765,$D6:$D765)</f>
        <v>Professor</v>
      </c>
      <c r="E766" s="3" t="s">
        <v>5</v>
      </c>
      <c r="F766" s="8" t="s">
        <v>112</v>
      </c>
      <c r="G766" s="19">
        <f>_xlfn.XLOOKUP(Participantes[[#This Row],[Seminario al que asistió]],Seminarios[Seminario],Seminarios[Año])</f>
        <v>2025</v>
      </c>
    </row>
    <row r="767" spans="1:7" ht="15.75" x14ac:dyDescent="0.25">
      <c r="A767" s="140" t="s">
        <v>310</v>
      </c>
      <c r="B767" s="3" t="str">
        <f>_xlfn.XLOOKUP(Participantes[[#This Row],[Nombre]],$A7:$A766,$B7:$B766)</f>
        <v>maxgonza@uniandes.edu.co</v>
      </c>
      <c r="C767" s="3" t="str">
        <f>_xlfn.XLOOKUP(Participantes[[#This Row],[Nombre]],$A7:$A766,$C7:$C766)</f>
        <v>M</v>
      </c>
      <c r="D767" s="3" t="str">
        <f>_xlfn.XLOOKUP(Participantes[[#This Row],[Nombre]],$A7:$A766,$D7:$D766)</f>
        <v>Professor</v>
      </c>
      <c r="E767" s="3" t="s">
        <v>5</v>
      </c>
      <c r="F767" s="8" t="s">
        <v>112</v>
      </c>
      <c r="G767" s="19">
        <f>_xlfn.XLOOKUP(Participantes[[#This Row],[Seminario al que asistió]],Seminarios[Seminario],Seminarios[Año])</f>
        <v>2025</v>
      </c>
    </row>
    <row r="768" spans="1:7" ht="15.75" x14ac:dyDescent="0.25">
      <c r="A768" s="140" t="s">
        <v>302</v>
      </c>
      <c r="B768" s="3" t="str">
        <f>_xlfn.XLOOKUP(Participantes[[#This Row],[Nombre]],$A8:$A767,$B8:$B767)</f>
        <v>ma.martinezc1@uniandes.edu.co</v>
      </c>
      <c r="C768" s="3" t="str">
        <f>_xlfn.XLOOKUP(Participantes[[#This Row],[Nombre]],$A8:$A767,$C8:$C767)</f>
        <v>M</v>
      </c>
      <c r="D768" s="3" t="str">
        <f>_xlfn.XLOOKUP(Participantes[[#This Row],[Nombre]],$A8:$A767,$D8:$D767)</f>
        <v>Professor</v>
      </c>
      <c r="E768" s="3" t="s">
        <v>5</v>
      </c>
      <c r="F768" s="8" t="s">
        <v>112</v>
      </c>
      <c r="G768" s="19">
        <f>_xlfn.XLOOKUP(Participantes[[#This Row],[Seminario al que asistió]],Seminarios[Seminario],Seminarios[Año])</f>
        <v>2025</v>
      </c>
    </row>
    <row r="769" spans="1:7" ht="15.75" x14ac:dyDescent="0.25">
      <c r="A769" s="140" t="s">
        <v>234</v>
      </c>
      <c r="B769" s="3" t="str">
        <f>_xlfn.XLOOKUP(Participantes[[#This Row],[Nombre]],$A9:$A768,$B9:$B768)</f>
        <v>d.higa@uniandes.edu.co</v>
      </c>
      <c r="C769" s="3" t="str">
        <f>_xlfn.XLOOKUP(Participantes[[#This Row],[Nombre]],$A9:$A768,$C9:$C768)</f>
        <v>M</v>
      </c>
      <c r="D769" s="3" t="str">
        <f>_xlfn.XLOOKUP(Participantes[[#This Row],[Nombre]],$A9:$A768,$D9:$D768)</f>
        <v>Professor</v>
      </c>
      <c r="E769" s="3" t="s">
        <v>5</v>
      </c>
      <c r="F769" s="8" t="s">
        <v>112</v>
      </c>
      <c r="G769" s="19">
        <f>_xlfn.XLOOKUP(Participantes[[#This Row],[Seminario al que asistió]],Seminarios[Seminario],Seminarios[Año])</f>
        <v>2025</v>
      </c>
    </row>
    <row r="770" spans="1:7" ht="15.75" x14ac:dyDescent="0.25">
      <c r="A770" s="140" t="s">
        <v>219</v>
      </c>
      <c r="B770" s="3" t="str">
        <f>_xlfn.XLOOKUP(Participantes[[#This Row],[Nombre]],$A10:$A769,$B10:$B769)</f>
        <v>p.sanchez1@uniandes.edu.co</v>
      </c>
      <c r="C770" s="3" t="str">
        <f>_xlfn.XLOOKUP(Participantes[[#This Row],[Nombre]],$A10:$A769,$C10:$C769)</f>
        <v>F</v>
      </c>
      <c r="D770" s="3" t="str">
        <f>_xlfn.XLOOKUP(Participantes[[#This Row],[Nombre]],$A10:$A769,$D10:$D769)</f>
        <v>Professor</v>
      </c>
      <c r="E770" s="3" t="s">
        <v>5</v>
      </c>
      <c r="F770" s="8" t="s">
        <v>112</v>
      </c>
      <c r="G770" s="19">
        <f>_xlfn.XLOOKUP(Participantes[[#This Row],[Seminario al que asistió]],Seminarios[Seminario],Seminarios[Año])</f>
        <v>2025</v>
      </c>
    </row>
    <row r="771" spans="1:7" ht="15.75" x14ac:dyDescent="0.25">
      <c r="A771" s="140" t="s">
        <v>227</v>
      </c>
      <c r="B771" s="3" t="str">
        <f>_xlfn.XLOOKUP(Participantes[[#This Row],[Nombre]],$A11:$A770,$B11:$B770)</f>
        <v>sl.schorch@uniandes.edu.co</v>
      </c>
      <c r="C771" s="3" t="str">
        <f>_xlfn.XLOOKUP(Participantes[[#This Row],[Nombre]],$A11:$A770,$C11:$C770)</f>
        <v>M</v>
      </c>
      <c r="D771" s="3" t="str">
        <f>_xlfn.XLOOKUP(Participantes[[#This Row],[Nombre]],$A11:$A770,$D11:$D770)</f>
        <v>Professor</v>
      </c>
      <c r="E771" s="3" t="s">
        <v>5</v>
      </c>
      <c r="F771" s="8" t="s">
        <v>112</v>
      </c>
      <c r="G771" s="19">
        <f>_xlfn.XLOOKUP(Participantes[[#This Row],[Seminario al que asistió]],Seminarios[Seminario],Seminarios[Año])</f>
        <v>2025</v>
      </c>
    </row>
    <row r="772" spans="1:7" ht="15.75" x14ac:dyDescent="0.25">
      <c r="A772" s="140" t="s">
        <v>285</v>
      </c>
      <c r="B772" s="3" t="str">
        <f>_xlfn.XLOOKUP(Participantes[[#This Row],[Nombre]],$A12:$A771,$B12:$B771)</f>
        <v>ro-britt@uniandes.edu.co</v>
      </c>
      <c r="C772" s="3" t="str">
        <f>_xlfn.XLOOKUP(Participantes[[#This Row],[Nombre]],$A12:$A771,$C12:$C771)</f>
        <v>M</v>
      </c>
      <c r="D772" s="3" t="str">
        <f>_xlfn.XLOOKUP(Participantes[[#This Row],[Nombre]],$A12:$A771,$D12:$D771)</f>
        <v>Professor</v>
      </c>
      <c r="E772" s="3" t="s">
        <v>5</v>
      </c>
      <c r="F772" s="8" t="s">
        <v>112</v>
      </c>
      <c r="G772" s="19">
        <f>_xlfn.XLOOKUP(Participantes[[#This Row],[Seminario al que asistió]],Seminarios[Seminario],Seminarios[Año])</f>
        <v>2025</v>
      </c>
    </row>
    <row r="773" spans="1:7" ht="15.75" x14ac:dyDescent="0.25">
      <c r="A773" s="140" t="s">
        <v>89</v>
      </c>
      <c r="B773" s="3" t="str">
        <f>_xlfn.XLOOKUP(Participantes[[#This Row],[Nombre]],$A13:$A772,$B13:$B772)</f>
        <v>c.rojasl@uniandes.edu.co</v>
      </c>
      <c r="C773" s="3" t="str">
        <f>_xlfn.XLOOKUP(Participantes[[#This Row],[Nombre]],$A13:$A772,$C13:$C772)</f>
        <v>M</v>
      </c>
      <c r="D773" s="3" t="str">
        <f>_xlfn.XLOOKUP(Participantes[[#This Row],[Nombre]],$A13:$A772,$D13:$D772)</f>
        <v>External</v>
      </c>
      <c r="E773" s="3" t="s">
        <v>5</v>
      </c>
      <c r="F773" s="8" t="s">
        <v>112</v>
      </c>
      <c r="G773" s="19">
        <f>_xlfn.XLOOKUP(Participantes[[#This Row],[Seminario al que asistió]],Seminarios[Seminario],Seminarios[Año])</f>
        <v>2025</v>
      </c>
    </row>
    <row r="774" spans="1:7" ht="15.75" x14ac:dyDescent="0.25">
      <c r="A774" s="140" t="s">
        <v>274</v>
      </c>
      <c r="B774" s="3" t="str">
        <f>_xlfn.XLOOKUP(Participantes[[#This Row],[Nombre]],$A14:$A773,$B14:$B773)</f>
        <v>r.londonovanrutten@uniandes.edu.co</v>
      </c>
      <c r="C774" s="3" t="str">
        <f>_xlfn.XLOOKUP(Participantes[[#This Row],[Nombre]],$A14:$A773,$C14:$C773)</f>
        <v>M</v>
      </c>
      <c r="D774" s="3" t="str">
        <f>_xlfn.XLOOKUP(Participantes[[#This Row],[Nombre]],$A14:$A773,$D14:$D773)</f>
        <v>Professor</v>
      </c>
      <c r="E774" s="3" t="s">
        <v>5</v>
      </c>
      <c r="F774" s="8" t="s">
        <v>112</v>
      </c>
      <c r="G774" s="19">
        <f>_xlfn.XLOOKUP(Participantes[[#This Row],[Seminario al que asistió]],Seminarios[Seminario],Seminarios[Año])</f>
        <v>2025</v>
      </c>
    </row>
    <row r="775" spans="1:7" ht="15.75" x14ac:dyDescent="0.25">
      <c r="A775" s="140" t="s">
        <v>319</v>
      </c>
      <c r="B775" s="3" t="str">
        <f>_xlfn.XLOOKUP(Participantes[[#This Row],[Nombre]],$A15:$A774,$B15:$B774)</f>
        <v>j.malagon@uniandes.edu.co</v>
      </c>
      <c r="C775" s="3" t="str">
        <f>_xlfn.XLOOKUP(Participantes[[#This Row],[Nombre]],$A15:$A774,$C15:$C774)</f>
        <v>F</v>
      </c>
      <c r="D775" s="3" t="str">
        <f>_xlfn.XLOOKUP(Participantes[[#This Row],[Nombre]],$A15:$A774,$D15:$D774)</f>
        <v>Professor</v>
      </c>
      <c r="E775" s="3" t="s">
        <v>5</v>
      </c>
      <c r="F775" s="8" t="s">
        <v>112</v>
      </c>
      <c r="G775" s="19">
        <f>_xlfn.XLOOKUP(Participantes[[#This Row],[Seminario al que asistió]],Seminarios[Seminario],Seminarios[Año])</f>
        <v>2025</v>
      </c>
    </row>
    <row r="776" spans="1:7" ht="15.75" x14ac:dyDescent="0.25">
      <c r="A776" s="140" t="s">
        <v>559</v>
      </c>
      <c r="B776" s="3" t="str">
        <f>_xlfn.XLOOKUP(Participantes[[#This Row],[Nombre]],$A16:$A775,$B16:$B775)</f>
        <v>a.sengupta@uniandes.edu.co</v>
      </c>
      <c r="C776" s="3" t="str">
        <f>_xlfn.XLOOKUP(Participantes[[#This Row],[Nombre]],$A16:$A775,$C16:$C775)</f>
        <v>M</v>
      </c>
      <c r="D776" s="3" t="str">
        <f>_xlfn.XLOOKUP(Participantes[[#This Row],[Nombre]],$A16:$A775,$D16:$D775)</f>
        <v>Professor</v>
      </c>
      <c r="E776" s="3" t="s">
        <v>5</v>
      </c>
      <c r="F776" s="8" t="s">
        <v>112</v>
      </c>
      <c r="G776" s="19">
        <f>_xlfn.XLOOKUP(Participantes[[#This Row],[Seminario al que asistió]],Seminarios[Seminario],Seminarios[Año])</f>
        <v>2025</v>
      </c>
    </row>
    <row r="777" spans="1:7" ht="15.75" x14ac:dyDescent="0.25">
      <c r="A777" s="140" t="s">
        <v>176</v>
      </c>
      <c r="B777" s="3" t="str">
        <f>_xlfn.XLOOKUP(Participantes[[#This Row],[Nombre]],$A17:$A776,$B17:$B776)</f>
        <v>x.rueda@uniandes.edu.co</v>
      </c>
      <c r="C777" s="3" t="str">
        <f>_xlfn.XLOOKUP(Participantes[[#This Row],[Nombre]],$A17:$A776,$C17:$C776)</f>
        <v>F</v>
      </c>
      <c r="D777" s="3" t="str">
        <f>_xlfn.XLOOKUP(Participantes[[#This Row],[Nombre]],$A17:$A776,$D17:$D776)</f>
        <v>Professor</v>
      </c>
      <c r="E777" s="3" t="s">
        <v>5</v>
      </c>
      <c r="F777" s="8" t="s">
        <v>112</v>
      </c>
      <c r="G777" s="19">
        <f>_xlfn.XLOOKUP(Participantes[[#This Row],[Seminario al que asistió]],Seminarios[Seminario],Seminarios[Año])</f>
        <v>2025</v>
      </c>
    </row>
    <row r="778" spans="1:7" ht="15.75" x14ac:dyDescent="0.25">
      <c r="A778" s="140" t="s">
        <v>223</v>
      </c>
      <c r="B778" s="3" t="str">
        <f>_xlfn.XLOOKUP(Participantes[[#This Row],[Nombre]],$A18:$A777,$B18:$B777)</f>
        <v>marcarde@uniandes.edu.co</v>
      </c>
      <c r="C778" s="3" t="str">
        <f>_xlfn.XLOOKUP(Participantes[[#This Row],[Nombre]],$A18:$A777,$C18:$C777)</f>
        <v>F</v>
      </c>
      <c r="D778" s="3" t="str">
        <f>_xlfn.XLOOKUP(Participantes[[#This Row],[Nombre]],$A18:$A777,$D18:$D777)</f>
        <v>Professor</v>
      </c>
      <c r="E778" s="3" t="s">
        <v>5</v>
      </c>
      <c r="F778" s="8" t="s">
        <v>112</v>
      </c>
      <c r="G778" s="19">
        <f>_xlfn.XLOOKUP(Participantes[[#This Row],[Seminario al que asistió]],Seminarios[Seminario],Seminarios[Año])</f>
        <v>2025</v>
      </c>
    </row>
    <row r="779" spans="1:7" ht="16.5" thickBot="1" x14ac:dyDescent="0.3">
      <c r="A779" s="141" t="s">
        <v>225</v>
      </c>
      <c r="B779" s="13" t="str">
        <f>_xlfn.XLOOKUP(Participantes[[#This Row],[Nombre]],$A19:$A778,$B19:$B778)</f>
        <v>s.turner@uniandes.edu.co</v>
      </c>
      <c r="C779" s="13" t="str">
        <f>_xlfn.XLOOKUP(Participantes[[#This Row],[Nombre]],$A19:$A778,$C19:$C778)</f>
        <v>M</v>
      </c>
      <c r="D779" s="13" t="str">
        <f>_xlfn.XLOOKUP(Participantes[[#This Row],[Nombre]],$A19:$A778,$D19:$D778)</f>
        <v>Professor</v>
      </c>
      <c r="E779" s="13" t="s">
        <v>5</v>
      </c>
      <c r="F779" s="78" t="s">
        <v>112</v>
      </c>
      <c r="G779" s="19">
        <f>_xlfn.XLOOKUP(Participantes[[#This Row],[Seminario al que asistió]],Seminarios[Seminario],Seminarios[Año])</f>
        <v>2025</v>
      </c>
    </row>
    <row r="780" spans="1:7" x14ac:dyDescent="0.25">
      <c r="A780" s="4" t="s">
        <v>890</v>
      </c>
      <c r="B780" s="5" t="s">
        <v>891</v>
      </c>
      <c r="C780" s="5" t="s">
        <v>218</v>
      </c>
      <c r="D780" s="5" t="s">
        <v>233</v>
      </c>
      <c r="E780" s="5" t="s">
        <v>1</v>
      </c>
      <c r="F780" s="6" t="s">
        <v>60</v>
      </c>
      <c r="G780" s="19">
        <f>_xlfn.XLOOKUP(Participantes[[#This Row],[Seminario al que asistió]],Seminarios[Seminario],Seminarios[Año])</f>
        <v>2025</v>
      </c>
    </row>
    <row r="781" spans="1:7" x14ac:dyDescent="0.25">
      <c r="A781" s="7" t="s">
        <v>892</v>
      </c>
      <c r="B781" s="3" t="s">
        <v>893</v>
      </c>
      <c r="C781" s="3" t="s">
        <v>218</v>
      </c>
      <c r="D781" s="3" t="s">
        <v>233</v>
      </c>
      <c r="E781" s="3" t="s">
        <v>1</v>
      </c>
      <c r="F781" s="8" t="s">
        <v>60</v>
      </c>
      <c r="G781" s="19">
        <f>_xlfn.XLOOKUP(Participantes[[#This Row],[Seminario al que asistió]],Seminarios[Seminario],Seminarios[Año])</f>
        <v>2025</v>
      </c>
    </row>
    <row r="782" spans="1:7" x14ac:dyDescent="0.25">
      <c r="A782" s="84" t="s">
        <v>894</v>
      </c>
      <c r="B782" s="3" t="s">
        <v>895</v>
      </c>
      <c r="C782" s="3" t="s">
        <v>218</v>
      </c>
      <c r="D782" s="3" t="s">
        <v>36</v>
      </c>
      <c r="E782" s="3" t="s">
        <v>1</v>
      </c>
      <c r="F782" s="8" t="s">
        <v>60</v>
      </c>
      <c r="G782" s="19">
        <f>_xlfn.XLOOKUP(Participantes[[#This Row],[Seminario al que asistió]],Seminarios[Seminario],Seminarios[Año])</f>
        <v>2025</v>
      </c>
    </row>
    <row r="783" spans="1:7" x14ac:dyDescent="0.25">
      <c r="A783" s="84" t="s">
        <v>896</v>
      </c>
      <c r="B783" s="3" t="s">
        <v>897</v>
      </c>
      <c r="C783" s="3" t="s">
        <v>218</v>
      </c>
      <c r="D783" s="3" t="s">
        <v>233</v>
      </c>
      <c r="E783" s="3" t="s">
        <v>1</v>
      </c>
      <c r="F783" s="8" t="s">
        <v>60</v>
      </c>
      <c r="G783" s="19">
        <f>_xlfn.XLOOKUP(Participantes[[#This Row],[Seminario al que asistió]],Seminarios[Seminario],Seminarios[Año])</f>
        <v>2025</v>
      </c>
    </row>
    <row r="784" spans="1:7" x14ac:dyDescent="0.25">
      <c r="A784" s="84" t="s">
        <v>234</v>
      </c>
      <c r="B784" s="3" t="str">
        <f>_xlfn.XLOOKUP(Participantes[[#This Row],[Nombre]],$A6:$A783,$B6:$B783)</f>
        <v>d.higa@uniandes.edu.co</v>
      </c>
      <c r="C784" s="3" t="str">
        <f>_xlfn.XLOOKUP(Participantes[[#This Row],[Nombre]],$A6:$A783,$C6:$C783)</f>
        <v>M</v>
      </c>
      <c r="D784" s="3" t="str">
        <f>_xlfn.XLOOKUP(Participantes[[#This Row],[Nombre]],$A6:$A783,$D6:$D783)</f>
        <v>Professor</v>
      </c>
      <c r="E784" s="3" t="s">
        <v>1</v>
      </c>
      <c r="F784" s="8" t="s">
        <v>60</v>
      </c>
      <c r="G784" s="19">
        <f>_xlfn.XLOOKUP(Participantes[[#This Row],[Seminario al que asistió]],Seminarios[Seminario],Seminarios[Año])</f>
        <v>2025</v>
      </c>
    </row>
    <row r="785" spans="1:7" x14ac:dyDescent="0.25">
      <c r="A785" s="84" t="s">
        <v>883</v>
      </c>
      <c r="B785" s="3" t="str">
        <f>_xlfn.XLOOKUP(Participantes[[#This Row],[Nombre]],$A7:$A784,$B7:$B784)</f>
        <v>d.mantillag@uniandes.edu.co</v>
      </c>
      <c r="C785" s="3" t="str">
        <f>_xlfn.XLOOKUP(Participantes[[#This Row],[Nombre]],$A7:$A784,$C7:$C784)</f>
        <v>M</v>
      </c>
      <c r="D785" s="3" t="str">
        <f>_xlfn.XLOOKUP(Participantes[[#This Row],[Nombre]],$A7:$A784,$D7:$D784)</f>
        <v>Professor</v>
      </c>
      <c r="E785" s="3" t="s">
        <v>1</v>
      </c>
      <c r="F785" s="8" t="s">
        <v>60</v>
      </c>
      <c r="G785" s="19">
        <f>_xlfn.XLOOKUP(Participantes[[#This Row],[Seminario al que asistió]],Seminarios[Seminario],Seminarios[Año])</f>
        <v>2025</v>
      </c>
    </row>
    <row r="786" spans="1:7" x14ac:dyDescent="0.25">
      <c r="A786" s="84" t="s">
        <v>343</v>
      </c>
      <c r="B786" s="3" t="str">
        <f>_xlfn.XLOOKUP(Participantes[[#This Row],[Nombre]],$A8:$A785,$B8:$B785)</f>
        <v>e.her-ndez12@uniandes.edu.co</v>
      </c>
      <c r="C786" s="3" t="str">
        <f>_xlfn.XLOOKUP(Participantes[[#This Row],[Nombre]],$A8:$A785,$C8:$C785)</f>
        <v>F</v>
      </c>
      <c r="D786" s="3" t="str">
        <f>_xlfn.XLOOKUP(Participantes[[#This Row],[Nombre]],$A8:$A785,$D8:$D785)</f>
        <v>PhD Student</v>
      </c>
      <c r="E786" s="3" t="s">
        <v>1</v>
      </c>
      <c r="F786" s="8" t="s">
        <v>60</v>
      </c>
      <c r="G786" s="19">
        <f>_xlfn.XLOOKUP(Participantes[[#This Row],[Seminario al que asistió]],Seminarios[Seminario],Seminarios[Año])</f>
        <v>2025</v>
      </c>
    </row>
    <row r="787" spans="1:7" x14ac:dyDescent="0.25">
      <c r="A787" s="84" t="s">
        <v>253</v>
      </c>
      <c r="B787" s="3" t="str">
        <f>_xlfn.XLOOKUP(Participantes[[#This Row],[Nombre]],$A9:$A786,$B9:$B786)</f>
        <v>g.triulzi@uniandes.edu.co</v>
      </c>
      <c r="C787" s="3" t="str">
        <f>_xlfn.XLOOKUP(Participantes[[#This Row],[Nombre]],$A9:$A786,$C9:$C786)</f>
        <v>M</v>
      </c>
      <c r="D787" s="3" t="str">
        <f>_xlfn.XLOOKUP(Participantes[[#This Row],[Nombre]],$A9:$A786,$D9:$D786)</f>
        <v>Professor</v>
      </c>
      <c r="E787" s="3" t="s">
        <v>1</v>
      </c>
      <c r="F787" s="8" t="s">
        <v>60</v>
      </c>
      <c r="G787" s="19">
        <f>_xlfn.XLOOKUP(Participantes[[#This Row],[Seminario al que asistió]],Seminarios[Seminario],Seminarios[Año])</f>
        <v>2025</v>
      </c>
    </row>
    <row r="788" spans="1:7" x14ac:dyDescent="0.25">
      <c r="A788" s="84" t="s">
        <v>898</v>
      </c>
      <c r="B788" s="3" t="s">
        <v>899</v>
      </c>
      <c r="C788" s="3" t="s">
        <v>218</v>
      </c>
      <c r="D788" s="3" t="s">
        <v>233</v>
      </c>
      <c r="E788" s="3" t="s">
        <v>1</v>
      </c>
      <c r="F788" s="8" t="s">
        <v>60</v>
      </c>
      <c r="G788" s="19">
        <f>_xlfn.XLOOKUP(Participantes[[#This Row],[Seminario al que asistió]],Seminarios[Seminario],Seminarios[Año])</f>
        <v>2025</v>
      </c>
    </row>
    <row r="789" spans="1:7" x14ac:dyDescent="0.25">
      <c r="A789" s="84" t="s">
        <v>229</v>
      </c>
      <c r="B789" s="3" t="str">
        <f>_xlfn.XLOOKUP(Participantes[[#This Row],[Nombre]],$A11:$A788,$B11:$B788)</f>
        <v>id.sanchez41@uniandes.edu.co</v>
      </c>
      <c r="C789" s="3" t="str">
        <f>_xlfn.XLOOKUP(Participantes[[#This Row],[Nombre]],$A11:$A788,$C11:$C788)</f>
        <v>M</v>
      </c>
      <c r="D789" s="3" t="str">
        <f>_xlfn.XLOOKUP(Participantes[[#This Row],[Nombre]],$A11:$A788,$D11:$D788)</f>
        <v>Professor</v>
      </c>
      <c r="E789" s="3" t="s">
        <v>1</v>
      </c>
      <c r="F789" s="8" t="s">
        <v>60</v>
      </c>
      <c r="G789" s="19">
        <f>_xlfn.XLOOKUP(Participantes[[#This Row],[Seminario al que asistió]],Seminarios[Seminario],Seminarios[Año])</f>
        <v>2025</v>
      </c>
    </row>
    <row r="790" spans="1:7" x14ac:dyDescent="0.25">
      <c r="A790" s="7" t="s">
        <v>244</v>
      </c>
      <c r="B790" s="3" t="str">
        <f>_xlfn.XLOOKUP(Participantes[[#This Row],[Nombre]],$A12:$A789,$B12:$B789)</f>
        <v>ilobo@uniandes.edu.co</v>
      </c>
      <c r="C790" s="3" t="str">
        <f>_xlfn.XLOOKUP(Participantes[[#This Row],[Nombre]],$A12:$A789,$C12:$C789)</f>
        <v>M</v>
      </c>
      <c r="D790" s="3" t="str">
        <f>_xlfn.XLOOKUP(Participantes[[#This Row],[Nombre]],$A12:$A789,$D12:$D789)</f>
        <v>Professor</v>
      </c>
      <c r="E790" s="3" t="s">
        <v>1</v>
      </c>
      <c r="F790" s="8" t="s">
        <v>60</v>
      </c>
      <c r="G790" s="19">
        <f>_xlfn.XLOOKUP(Participantes[[#This Row],[Seminario al que asistió]],Seminarios[Seminario],Seminarios[Año])</f>
        <v>2025</v>
      </c>
    </row>
    <row r="791" spans="1:7" x14ac:dyDescent="0.25">
      <c r="A791" s="84" t="s">
        <v>811</v>
      </c>
      <c r="B791" s="3" t="str">
        <f>_xlfn.XLOOKUP(Participantes[[#This Row],[Nombre]],$A13:$A790,$B13:$B790)</f>
        <v>j.garciaf@uniandes.educo</v>
      </c>
      <c r="C791" s="3" t="str">
        <f>_xlfn.XLOOKUP(Participantes[[#This Row],[Nombre]],$A13:$A790,$C13:$C790)</f>
        <v>F</v>
      </c>
      <c r="D791" s="3" t="str">
        <f>_xlfn.XLOOKUP(Participantes[[#This Row],[Nombre]],$A13:$A790,$D13:$D790)</f>
        <v>Professor</v>
      </c>
      <c r="E791" s="3" t="s">
        <v>1</v>
      </c>
      <c r="F791" s="8" t="s">
        <v>60</v>
      </c>
      <c r="G791" s="19">
        <f>_xlfn.XLOOKUP(Participantes[[#This Row],[Seminario al que asistió]],Seminarios[Seminario],Seminarios[Año])</f>
        <v>2025</v>
      </c>
    </row>
    <row r="792" spans="1:7" x14ac:dyDescent="0.25">
      <c r="A792" s="84" t="s">
        <v>855</v>
      </c>
      <c r="B792" s="3" t="str">
        <f>_xlfn.XLOOKUP(Participantes[[#This Row],[Nombre]],$A14:$A791,$B14:$B791)</f>
        <v>ma.martinezc1@uniandes.edu.co</v>
      </c>
      <c r="C792" s="3" t="str">
        <f>_xlfn.XLOOKUP(Participantes[[#This Row],[Nombre]],$A14:$A791,$C14:$C791)</f>
        <v>M</v>
      </c>
      <c r="D792" s="3" t="str">
        <f>_xlfn.XLOOKUP(Participantes[[#This Row],[Nombre]],$A14:$A791,$D14:$D791)</f>
        <v>Professor</v>
      </c>
      <c r="E792" s="3" t="s">
        <v>1</v>
      </c>
      <c r="F792" s="8" t="s">
        <v>60</v>
      </c>
      <c r="G792" s="19">
        <f>_xlfn.XLOOKUP(Participantes[[#This Row],[Seminario al que asistió]],Seminarios[Seminario],Seminarios[Año])</f>
        <v>2025</v>
      </c>
    </row>
    <row r="793" spans="1:7" x14ac:dyDescent="0.25">
      <c r="A793" s="84" t="s">
        <v>273</v>
      </c>
      <c r="B793" s="3" t="str">
        <f>_xlfn.XLOOKUP(Participantes[[#This Row],[Nombre]],$A15:$A792,$B15:$B792)</f>
        <v>mazuero@uniandes.edu.co</v>
      </c>
      <c r="C793" s="3" t="str">
        <f>_xlfn.XLOOKUP(Participantes[[#This Row],[Nombre]],$A15:$A792,$C15:$C792)</f>
        <v>M</v>
      </c>
      <c r="D793" s="3" t="str">
        <f>_xlfn.XLOOKUP(Participantes[[#This Row],[Nombre]],$A15:$A792,$D15:$D792)</f>
        <v>Professor</v>
      </c>
      <c r="E793" s="3" t="s">
        <v>1</v>
      </c>
      <c r="F793" s="8" t="s">
        <v>60</v>
      </c>
      <c r="G793" s="19">
        <f>_xlfn.XLOOKUP(Participantes[[#This Row],[Seminario al que asistió]],Seminarios[Seminario],Seminarios[Año])</f>
        <v>2025</v>
      </c>
    </row>
    <row r="794" spans="1:7" x14ac:dyDescent="0.25">
      <c r="A794" s="7" t="s">
        <v>831</v>
      </c>
      <c r="B794" s="3" t="s">
        <v>304</v>
      </c>
      <c r="C794" s="3" t="str">
        <f>_xlfn.XLOOKUP(Participantes[[#This Row],[Nombre]],$A16:$A793,$C16:$C793)</f>
        <v>F</v>
      </c>
      <c r="D794" s="3" t="str">
        <f>_xlfn.XLOOKUP(Participantes[[#This Row],[Nombre]],$A16:$A793,$D16:$D793)</f>
        <v>Professor</v>
      </c>
      <c r="E794" s="3" t="s">
        <v>1</v>
      </c>
      <c r="F794" s="8" t="s">
        <v>60</v>
      </c>
      <c r="G794" s="19">
        <f>_xlfn.XLOOKUP(Participantes[[#This Row],[Seminario al que asistió]],Seminarios[Seminario],Seminarios[Año])</f>
        <v>2025</v>
      </c>
    </row>
    <row r="795" spans="1:7" x14ac:dyDescent="0.25">
      <c r="A795" s="84" t="s">
        <v>900</v>
      </c>
      <c r="B795" s="3" t="s">
        <v>901</v>
      </c>
      <c r="C795" s="3" t="s">
        <v>218</v>
      </c>
      <c r="D795" s="3" t="s">
        <v>233</v>
      </c>
      <c r="E795" s="3" t="s">
        <v>1</v>
      </c>
      <c r="F795" s="8" t="s">
        <v>60</v>
      </c>
      <c r="G795" s="19">
        <f>_xlfn.XLOOKUP(Participantes[[#This Row],[Seminario al que asistió]],Seminarios[Seminario],Seminarios[Año])</f>
        <v>2025</v>
      </c>
    </row>
    <row r="796" spans="1:7" x14ac:dyDescent="0.25">
      <c r="A796" s="84" t="s">
        <v>260</v>
      </c>
      <c r="B796" s="3" t="str">
        <f>_xlfn.XLOOKUP(Participantes[[#This Row],[Nombre]],$A18:$A795,$B18:$B795)</f>
        <v>o.-ranjodelgiudice@uniandes.edu.co</v>
      </c>
      <c r="C796" s="3" t="str">
        <f>_xlfn.XLOOKUP(Participantes[[#This Row],[Nombre]],$A18:$A795,$C18:$C795)</f>
        <v>M</v>
      </c>
      <c r="D796" s="3" t="str">
        <f>_xlfn.XLOOKUP(Participantes[[#This Row],[Nombre]],$A18:$A795,$D18:$D795)</f>
        <v>Professor</v>
      </c>
      <c r="E796" s="3" t="s">
        <v>1</v>
      </c>
      <c r="F796" s="8" t="s">
        <v>60</v>
      </c>
      <c r="G796" s="19">
        <f>_xlfn.XLOOKUP(Participantes[[#This Row],[Seminario al que asistió]],Seminarios[Seminario],Seminarios[Año])</f>
        <v>2025</v>
      </c>
    </row>
    <row r="797" spans="1:7" x14ac:dyDescent="0.25">
      <c r="A797" s="84" t="s">
        <v>468</v>
      </c>
      <c r="B797" s="3" t="str">
        <f>_xlfn.XLOOKUP(Participantes[[#This Row],[Nombre]],$A19:$A796,$B19:$B796)</f>
        <v>p.sanchez1@uniandes.edu.co</v>
      </c>
      <c r="C797" s="3" t="str">
        <f>_xlfn.XLOOKUP(Participantes[[#This Row],[Nombre]],$A19:$A796,$C19:$C796)</f>
        <v>F</v>
      </c>
      <c r="D797" s="3" t="str">
        <f>_xlfn.XLOOKUP(Participantes[[#This Row],[Nombre]],$A19:$A796,$D19:$D796)</f>
        <v>Professor</v>
      </c>
      <c r="E797" s="3" t="s">
        <v>1</v>
      </c>
      <c r="F797" s="8" t="s">
        <v>60</v>
      </c>
      <c r="G797" s="19">
        <f>_xlfn.XLOOKUP(Participantes[[#This Row],[Seminario al que asistió]],Seminarios[Seminario],Seminarios[Año])</f>
        <v>2025</v>
      </c>
    </row>
    <row r="798" spans="1:7" x14ac:dyDescent="0.25">
      <c r="A798" s="84" t="s">
        <v>274</v>
      </c>
      <c r="B798" s="3" t="str">
        <f>_xlfn.XLOOKUP(Participantes[[#This Row],[Nombre]],$A20:$A797,$B20:$B797)</f>
        <v>r.londonovanrutten@uniandes.edu.co</v>
      </c>
      <c r="C798" s="3" t="str">
        <f>_xlfn.XLOOKUP(Participantes[[#This Row],[Nombre]],$A20:$A797,$C20:$C797)</f>
        <v>M</v>
      </c>
      <c r="D798" s="3" t="str">
        <f>_xlfn.XLOOKUP(Participantes[[#This Row],[Nombre]],$A20:$A797,$D20:$D797)</f>
        <v>Professor</v>
      </c>
      <c r="E798" s="3" t="s">
        <v>1</v>
      </c>
      <c r="F798" s="8" t="s">
        <v>60</v>
      </c>
      <c r="G798" s="19">
        <f>_xlfn.XLOOKUP(Participantes[[#This Row],[Seminario al que asistió]],Seminarios[Seminario],Seminarios[Año])</f>
        <v>2025</v>
      </c>
    </row>
    <row r="799" spans="1:7" x14ac:dyDescent="0.25">
      <c r="A799" s="84" t="s">
        <v>285</v>
      </c>
      <c r="B799" s="3" t="str">
        <f>_xlfn.XLOOKUP(Participantes[[#This Row],[Nombre]],$A21:$A798,$B21:$B798)</f>
        <v>ro-britt@uniandes.edu.co</v>
      </c>
      <c r="C799" s="3" t="str">
        <f>_xlfn.XLOOKUP(Participantes[[#This Row],[Nombre]],$A21:$A798,$C21:$C798)</f>
        <v>M</v>
      </c>
      <c r="D799" s="3" t="str">
        <f>_xlfn.XLOOKUP(Participantes[[#This Row],[Nombre]],$A21:$A798,$D21:$D798)</f>
        <v>Professor</v>
      </c>
      <c r="E799" s="3" t="s">
        <v>1</v>
      </c>
      <c r="F799" s="8" t="s">
        <v>60</v>
      </c>
      <c r="G799" s="19">
        <f>_xlfn.XLOOKUP(Participantes[[#This Row],[Seminario al que asistió]],Seminarios[Seminario],Seminarios[Año])</f>
        <v>2025</v>
      </c>
    </row>
    <row r="800" spans="1:7" x14ac:dyDescent="0.25">
      <c r="A800" s="84" t="s">
        <v>225</v>
      </c>
      <c r="B800" s="3" t="str">
        <f>_xlfn.XLOOKUP(Participantes[[#This Row],[Nombre]],$A22:$A799,$B22:$B799)</f>
        <v>s.turner@uniandes.edu.co</v>
      </c>
      <c r="C800" s="3" t="str">
        <f>_xlfn.XLOOKUP(Participantes[[#This Row],[Nombre]],$A22:$A799,$C22:$C799)</f>
        <v>M</v>
      </c>
      <c r="D800" s="3" t="str">
        <f>_xlfn.XLOOKUP(Participantes[[#This Row],[Nombre]],$A22:$A799,$D22:$D799)</f>
        <v>Professor</v>
      </c>
      <c r="E800" s="3" t="s">
        <v>1</v>
      </c>
      <c r="F800" s="8" t="s">
        <v>60</v>
      </c>
      <c r="G800" s="19">
        <f>_xlfn.XLOOKUP(Participantes[[#This Row],[Seminario al que asistió]],Seminarios[Seminario],Seminarios[Año])</f>
        <v>2025</v>
      </c>
    </row>
    <row r="801" spans="1:7" x14ac:dyDescent="0.25">
      <c r="A801" s="84" t="s">
        <v>227</v>
      </c>
      <c r="B801" s="3" t="str">
        <f>_xlfn.XLOOKUP(Participantes[[#This Row],[Nombre]],$A23:$A800,$B23:$B800)</f>
        <v>sl.schorch@uniandes.edu.co</v>
      </c>
      <c r="C801" s="3" t="str">
        <f>_xlfn.XLOOKUP(Participantes[[#This Row],[Nombre]],$A23:$A800,$C23:$C800)</f>
        <v>M</v>
      </c>
      <c r="D801" s="3" t="str">
        <f>_xlfn.XLOOKUP(Participantes[[#This Row],[Nombre]],$A23:$A800,$D23:$D800)</f>
        <v>Professor</v>
      </c>
      <c r="E801" s="3" t="s">
        <v>1</v>
      </c>
      <c r="F801" s="8" t="s">
        <v>60</v>
      </c>
      <c r="G801" s="19">
        <f>_xlfn.XLOOKUP(Participantes[[#This Row],[Seminario al que asistió]],Seminarios[Seminario],Seminarios[Año])</f>
        <v>2025</v>
      </c>
    </row>
    <row r="802" spans="1:7" ht="15.75" thickBot="1" x14ac:dyDescent="0.3">
      <c r="A802" s="85" t="s">
        <v>276</v>
      </c>
      <c r="B802" s="10" t="str">
        <f>_xlfn.XLOOKUP(Participantes[[#This Row],[Nombre]],$A24:$A801,$B24:$B801)</f>
        <v>xh.duran21@uniandes.edu.co</v>
      </c>
      <c r="C802" s="10" t="str">
        <f>_xlfn.XLOOKUP(Participantes[[#This Row],[Nombre]],$A24:$A801,$C24:$C801)</f>
        <v>M</v>
      </c>
      <c r="D802" s="10" t="str">
        <f>_xlfn.XLOOKUP(Participantes[[#This Row],[Nombre]],$A24:$A801,$D24:$D801)</f>
        <v>Professor</v>
      </c>
      <c r="E802" s="10" t="s">
        <v>1</v>
      </c>
      <c r="F802" s="11" t="s">
        <v>60</v>
      </c>
      <c r="G802" s="19">
        <f>_xlfn.XLOOKUP(Participantes[[#This Row],[Seminario al que asistió]],Seminarios[Seminario],Seminarios[Año])</f>
        <v>2025</v>
      </c>
    </row>
    <row r="803" spans="1:7" x14ac:dyDescent="0.25">
      <c r="A803" s="89" t="s">
        <v>564</v>
      </c>
      <c r="B803" s="13" t="str">
        <f>_xlfn.XLOOKUP(Participantes[[#This Row],[Nombre]],$A25:$A802,$B25:$B802)</f>
        <v>robgutie@uniandes.edu.co</v>
      </c>
      <c r="C803" s="13" t="str">
        <f>_xlfn.XLOOKUP(Participantes[[#This Row],[Nombre]],$A25:$A802,$C25:$C802)</f>
        <v>M</v>
      </c>
      <c r="D803" s="13" t="str">
        <f>_xlfn.XLOOKUP(Participantes[[#This Row],[Nombre]],$A25:$A802,$D25:$D802)</f>
        <v>PhD Student</v>
      </c>
      <c r="E803" s="13" t="s">
        <v>1</v>
      </c>
      <c r="F803" s="8" t="s">
        <v>64</v>
      </c>
      <c r="G803" s="19">
        <f>_xlfn.XLOOKUP(Participantes[[#This Row],[Seminario al que asistió]],Seminarios[Seminario],Seminarios[Año])</f>
        <v>2025</v>
      </c>
    </row>
    <row r="804" spans="1:7" x14ac:dyDescent="0.25">
      <c r="A804" s="89" t="s">
        <v>468</v>
      </c>
      <c r="B804" s="13" t="str">
        <f>_xlfn.XLOOKUP(Participantes[[#This Row],[Nombre]],$A26:$A803,$B26:$B803)</f>
        <v>p.sanchez1@uniandes.edu.co</v>
      </c>
      <c r="C804" s="13" t="str">
        <f>_xlfn.XLOOKUP(Participantes[[#This Row],[Nombre]],$A26:$A803,$C26:$C803)</f>
        <v>F</v>
      </c>
      <c r="D804" s="13" t="str">
        <f>_xlfn.XLOOKUP(Participantes[[#This Row],[Nombre]],$A26:$A803,$D26:$D803)</f>
        <v>Professor</v>
      </c>
      <c r="E804" s="13" t="s">
        <v>1</v>
      </c>
      <c r="F804" s="8" t="s">
        <v>64</v>
      </c>
      <c r="G804" s="19">
        <f>_xlfn.XLOOKUP(Participantes[[#This Row],[Seminario al que asistió]],Seminarios[Seminario],Seminarios[Año])</f>
        <v>2025</v>
      </c>
    </row>
    <row r="805" spans="1:7" x14ac:dyDescent="0.25">
      <c r="A805" s="89" t="s">
        <v>823</v>
      </c>
      <c r="B805" s="13" t="str">
        <f>_xlfn.XLOOKUP(Participantes[[#This Row],[Nombre]],$A27:$A804,$B27:$B804)</f>
        <v>cpombo@uniandes.edu.co</v>
      </c>
      <c r="C805" s="13" t="str">
        <f>_xlfn.XLOOKUP(Participantes[[#This Row],[Nombre]],$A27:$A804,$C27:$C804)</f>
        <v>M</v>
      </c>
      <c r="D805" s="13" t="str">
        <f>_xlfn.XLOOKUP(Participantes[[#This Row],[Nombre]],$A27:$A804,$D27:$D804)</f>
        <v>Professor</v>
      </c>
      <c r="E805" s="13" t="s">
        <v>1</v>
      </c>
      <c r="F805" s="8" t="s">
        <v>64</v>
      </c>
      <c r="G805" s="19">
        <f>_xlfn.XLOOKUP(Participantes[[#This Row],[Seminario al que asistió]],Seminarios[Seminario],Seminarios[Año])</f>
        <v>2025</v>
      </c>
    </row>
    <row r="806" spans="1:7" x14ac:dyDescent="0.25">
      <c r="A806" s="89" t="s">
        <v>348</v>
      </c>
      <c r="B806" s="13" t="str">
        <f>_xlfn.XLOOKUP(Participantes[[#This Row],[Nombre]],$A28:$A805,$B28:$B805)</f>
        <v>jo.mendez@uniandes.edu.co</v>
      </c>
      <c r="C806" s="13" t="str">
        <f>_xlfn.XLOOKUP(Participantes[[#This Row],[Nombre]],$A28:$A805,$C28:$C805)</f>
        <v>M</v>
      </c>
      <c r="D806" s="13" t="str">
        <f>_xlfn.XLOOKUP(Participantes[[#This Row],[Nombre]],$A28:$A805,$D28:$D805)</f>
        <v>PhD Student</v>
      </c>
      <c r="E806" s="13" t="s">
        <v>1</v>
      </c>
      <c r="F806" s="8" t="s">
        <v>64</v>
      </c>
      <c r="G806" s="19">
        <f>_xlfn.XLOOKUP(Participantes[[#This Row],[Seminario al que asistió]],Seminarios[Seminario],Seminarios[Año])</f>
        <v>2025</v>
      </c>
    </row>
    <row r="807" spans="1:7" x14ac:dyDescent="0.25">
      <c r="A807" s="89" t="s">
        <v>234</v>
      </c>
      <c r="B807" s="13" t="str">
        <f>_xlfn.XLOOKUP(Participantes[[#This Row],[Nombre]],$A29:$A806,$B29:$B806)</f>
        <v>d.higa@uniandes.edu.co</v>
      </c>
      <c r="C807" s="13" t="str">
        <f>_xlfn.XLOOKUP(Participantes[[#This Row],[Nombre]],$A29:$A806,$C29:$C806)</f>
        <v>M</v>
      </c>
      <c r="D807" s="13" t="str">
        <f>_xlfn.XLOOKUP(Participantes[[#This Row],[Nombre]],$A29:$A806,$D29:$D806)</f>
        <v>Professor</v>
      </c>
      <c r="E807" s="13" t="s">
        <v>1</v>
      </c>
      <c r="F807" s="8" t="s">
        <v>64</v>
      </c>
      <c r="G807" s="19">
        <f>_xlfn.XLOOKUP(Participantes[[#This Row],[Seminario al que asistió]],Seminarios[Seminario],Seminarios[Año])</f>
        <v>2025</v>
      </c>
    </row>
    <row r="808" spans="1:7" x14ac:dyDescent="0.25">
      <c r="A808" s="89" t="s">
        <v>902</v>
      </c>
      <c r="B808" s="13" t="s">
        <v>903</v>
      </c>
      <c r="C808" s="13" t="s">
        <v>218</v>
      </c>
      <c r="D808" s="13" t="s">
        <v>233</v>
      </c>
      <c r="E808" s="13" t="s">
        <v>1</v>
      </c>
      <c r="F808" s="8" t="s">
        <v>64</v>
      </c>
      <c r="G808" s="19">
        <f>_xlfn.XLOOKUP(Participantes[[#This Row],[Seminario al que asistió]],Seminarios[Seminario],Seminarios[Año])</f>
        <v>2025</v>
      </c>
    </row>
    <row r="809" spans="1:7" x14ac:dyDescent="0.25">
      <c r="A809" s="89" t="s">
        <v>519</v>
      </c>
      <c r="B809" s="13" t="str">
        <f>_xlfn.XLOOKUP(Participantes[[#This Row],[Nombre]],$A31:$A808,$B31:$B808)</f>
        <v>jua-garcia@uniandes.edu.co</v>
      </c>
      <c r="C809" s="13" t="str">
        <f>_xlfn.XLOOKUP(Participantes[[#This Row],[Nombre]],$A31:$A808,$C31:$C808)</f>
        <v>F</v>
      </c>
      <c r="D809" s="13" t="str">
        <f>_xlfn.XLOOKUP(Participantes[[#This Row],[Nombre]],$A31:$A808,$D31:$D808)</f>
        <v>Professor</v>
      </c>
      <c r="E809" s="13" t="s">
        <v>1</v>
      </c>
      <c r="F809" s="8" t="s">
        <v>64</v>
      </c>
      <c r="G809" s="19">
        <f>_xlfn.XLOOKUP(Participantes[[#This Row],[Seminario al que asistió]],Seminarios[Seminario],Seminarios[Año])</f>
        <v>2025</v>
      </c>
    </row>
    <row r="810" spans="1:7" x14ac:dyDescent="0.25">
      <c r="A810" s="89" t="s">
        <v>249</v>
      </c>
      <c r="B810" s="13" t="str">
        <f>_xlfn.XLOOKUP(Participantes[[#This Row],[Nombre]],$A32:$A809,$B32:$B809)</f>
        <v>o.-ranjodelgiudice@uniandes.edu.co</v>
      </c>
      <c r="C810" s="13" t="str">
        <f>_xlfn.XLOOKUP(Participantes[[#This Row],[Nombre]],$A32:$A809,$C32:$C809)</f>
        <v>M</v>
      </c>
      <c r="D810" s="13" t="str">
        <f>_xlfn.XLOOKUP(Participantes[[#This Row],[Nombre]],$A32:$A809,$D32:$D809)</f>
        <v>Professor</v>
      </c>
      <c r="E810" s="13" t="s">
        <v>1</v>
      </c>
      <c r="F810" s="8" t="s">
        <v>64</v>
      </c>
      <c r="G810" s="19">
        <f>_xlfn.XLOOKUP(Participantes[[#This Row],[Seminario al que asistió]],Seminarios[Seminario],Seminarios[Año])</f>
        <v>2025</v>
      </c>
    </row>
    <row r="811" spans="1:7" x14ac:dyDescent="0.25">
      <c r="A811" s="89" t="s">
        <v>811</v>
      </c>
      <c r="B811" s="13" t="str">
        <f>_xlfn.XLOOKUP(Participantes[[#This Row],[Nombre]],$A33:$A810,$B33:$B810)</f>
        <v>j.garciaf@uniandes.educo</v>
      </c>
      <c r="C811" s="13" t="str">
        <f>_xlfn.XLOOKUP(Participantes[[#This Row],[Nombre]],$A33:$A810,$C33:$C810)</f>
        <v>F</v>
      </c>
      <c r="D811" s="13" t="str">
        <f>_xlfn.XLOOKUP(Participantes[[#This Row],[Nombre]],$A33:$A810,$D33:$D810)</f>
        <v>Professor</v>
      </c>
      <c r="E811" s="13" t="s">
        <v>1</v>
      </c>
      <c r="F811" s="8" t="s">
        <v>64</v>
      </c>
      <c r="G811" s="19">
        <f>_xlfn.XLOOKUP(Participantes[[#This Row],[Seminario al que asistió]],Seminarios[Seminario],Seminarios[Año])</f>
        <v>2025</v>
      </c>
    </row>
    <row r="812" spans="1:7" x14ac:dyDescent="0.25">
      <c r="A812" s="7" t="s">
        <v>831</v>
      </c>
      <c r="B812" s="3" t="s">
        <v>304</v>
      </c>
      <c r="C812" s="13" t="str">
        <f>_xlfn.XLOOKUP(Participantes[[#This Row],[Nombre]],$A34:$A811,$C34:$C811)</f>
        <v>F</v>
      </c>
      <c r="D812" s="13" t="str">
        <f>_xlfn.XLOOKUP(Participantes[[#This Row],[Nombre]],$A34:$A811,$D34:$D811)</f>
        <v>Professor</v>
      </c>
      <c r="E812" s="13" t="s">
        <v>1</v>
      </c>
      <c r="F812" s="8" t="s">
        <v>64</v>
      </c>
      <c r="G812" s="19">
        <f>_xlfn.XLOOKUP(Participantes[[#This Row],[Seminario al que asistió]],Seminarios[Seminario],Seminarios[Año])</f>
        <v>2025</v>
      </c>
    </row>
    <row r="813" spans="1:7" x14ac:dyDescent="0.25">
      <c r="A813" s="89" t="s">
        <v>471</v>
      </c>
      <c r="B813" s="13" t="str">
        <f>_xlfn.XLOOKUP(Participantes[[#This Row],[Nombre]],$A35:$A812,$B35:$B812)</f>
        <v>lg.galan92@uniandes.edu.co</v>
      </c>
      <c r="C813" s="13" t="str">
        <f>_xlfn.XLOOKUP(Participantes[[#This Row],[Nombre]],$A35:$A812,$C35:$C812)</f>
        <v>M</v>
      </c>
      <c r="D813" s="13" t="str">
        <f>_xlfn.XLOOKUP(Participantes[[#This Row],[Nombre]],$A35:$A812,$D35:$D812)</f>
        <v>Professor</v>
      </c>
      <c r="E813" s="13" t="s">
        <v>1</v>
      </c>
      <c r="F813" s="8" t="s">
        <v>64</v>
      </c>
      <c r="G813" s="19">
        <f>_xlfn.XLOOKUP(Participantes[[#This Row],[Seminario al que asistió]],Seminarios[Seminario],Seminarios[Año])</f>
        <v>2025</v>
      </c>
    </row>
    <row r="814" spans="1:7" x14ac:dyDescent="0.25">
      <c r="A814" s="89" t="s">
        <v>904</v>
      </c>
      <c r="B814" s="13">
        <v>0</v>
      </c>
      <c r="C814" s="13" t="s">
        <v>218</v>
      </c>
      <c r="D814" s="13" t="s">
        <v>233</v>
      </c>
      <c r="E814" s="13" t="s">
        <v>1</v>
      </c>
      <c r="F814" s="8" t="s">
        <v>64</v>
      </c>
      <c r="G814" s="19">
        <f>_xlfn.XLOOKUP(Participantes[[#This Row],[Seminario al que asistió]],Seminarios[Seminario],Seminarios[Año])</f>
        <v>2025</v>
      </c>
    </row>
    <row r="815" spans="1:7" x14ac:dyDescent="0.25">
      <c r="A815" s="89" t="s">
        <v>229</v>
      </c>
      <c r="B815" s="13" t="str">
        <f>_xlfn.XLOOKUP(Participantes[[#This Row],[Nombre]],$A37:$A814,$B37:$B814)</f>
        <v>id.sanchez41@uniandes.edu.co</v>
      </c>
      <c r="C815" s="13" t="str">
        <f>_xlfn.XLOOKUP(Participantes[[#This Row],[Nombre]],$A37:$A814,$C37:$C814)</f>
        <v>M</v>
      </c>
      <c r="D815" s="13" t="str">
        <f>_xlfn.XLOOKUP(Participantes[[#This Row],[Nombre]],$A37:$A814,$D37:$D814)</f>
        <v>Professor</v>
      </c>
      <c r="E815" s="13" t="s">
        <v>1</v>
      </c>
      <c r="F815" s="8" t="s">
        <v>64</v>
      </c>
      <c r="G815" s="19">
        <f>_xlfn.XLOOKUP(Participantes[[#This Row],[Seminario al que asistió]],Seminarios[Seminario],Seminarios[Año])</f>
        <v>2025</v>
      </c>
    </row>
    <row r="816" spans="1:7" x14ac:dyDescent="0.25">
      <c r="A816" s="89" t="s">
        <v>883</v>
      </c>
      <c r="B816" s="13" t="str">
        <f>_xlfn.XLOOKUP(Participantes[[#This Row],[Nombre]],$A38:$A815,$B38:$B815)</f>
        <v>d.mantillag@uniandes.edu.co</v>
      </c>
      <c r="C816" s="13" t="str">
        <f>_xlfn.XLOOKUP(Participantes[[#This Row],[Nombre]],$A38:$A815,$C38:$C815)</f>
        <v>M</v>
      </c>
      <c r="D816" s="13" t="str">
        <f>_xlfn.XLOOKUP(Participantes[[#This Row],[Nombre]],$A38:$A815,$D38:$D815)</f>
        <v>Professor</v>
      </c>
      <c r="E816" s="13" t="s">
        <v>1</v>
      </c>
      <c r="F816" s="8" t="s">
        <v>64</v>
      </c>
      <c r="G816" s="19">
        <f>_xlfn.XLOOKUP(Participantes[[#This Row],[Seminario al que asistió]],Seminarios[Seminario],Seminarios[Año])</f>
        <v>2025</v>
      </c>
    </row>
    <row r="817" spans="1:7" x14ac:dyDescent="0.25">
      <c r="A817" s="89" t="s">
        <v>788</v>
      </c>
      <c r="B817" s="13" t="str">
        <f>_xlfn.XLOOKUP(Participantes[[#This Row],[Nombre]],$A39:$A816,$B39:$B816)</f>
        <v>nc.ortiz@uniandes.edu.co</v>
      </c>
      <c r="C817" s="13" t="str">
        <f>_xlfn.XLOOKUP(Participantes[[#This Row],[Nombre]],$A39:$A816,$C39:$C816)</f>
        <v>F</v>
      </c>
      <c r="D817" s="13" t="str">
        <f>_xlfn.XLOOKUP(Participantes[[#This Row],[Nombre]],$A39:$A816,$D39:$D816)</f>
        <v>Professor</v>
      </c>
      <c r="E817" s="13" t="s">
        <v>1</v>
      </c>
      <c r="F817" s="8" t="s">
        <v>64</v>
      </c>
      <c r="G817" s="19">
        <f>_xlfn.XLOOKUP(Participantes[[#This Row],[Seminario al que asistió]],Seminarios[Seminario],Seminarios[Año])</f>
        <v>2025</v>
      </c>
    </row>
    <row r="818" spans="1:7" x14ac:dyDescent="0.25">
      <c r="A818" s="89" t="s">
        <v>905</v>
      </c>
      <c r="B818" s="13" t="s">
        <v>906</v>
      </c>
      <c r="C818" s="13" t="s">
        <v>221</v>
      </c>
      <c r="D818" s="13" t="s">
        <v>36</v>
      </c>
      <c r="E818" s="13" t="s">
        <v>1</v>
      </c>
      <c r="F818" s="8" t="s">
        <v>64</v>
      </c>
      <c r="G818" s="19">
        <f>_xlfn.XLOOKUP(Participantes[[#This Row],[Seminario al que asistió]],Seminarios[Seminario],Seminarios[Año])</f>
        <v>2025</v>
      </c>
    </row>
    <row r="819" spans="1:7" ht="15.75" thickBot="1" x14ac:dyDescent="0.3">
      <c r="A819" s="89" t="s">
        <v>274</v>
      </c>
      <c r="B819" s="13" t="str">
        <f>_xlfn.XLOOKUP(Participantes[[#This Row],[Nombre]],$A41:$A818,$B41:$B818)</f>
        <v>r.londonovanrutten@uniandes.edu.co</v>
      </c>
      <c r="C819" s="13" t="str">
        <f>_xlfn.XLOOKUP(Participantes[[#This Row],[Nombre]],$A41:$A818,$C41:$C818)</f>
        <v>M</v>
      </c>
      <c r="D819" s="13" t="str">
        <f>_xlfn.XLOOKUP(Participantes[[#This Row],[Nombre]],$A41:$A818,$D41:$D818)</f>
        <v>Professor</v>
      </c>
      <c r="E819" s="13" t="s">
        <v>1</v>
      </c>
      <c r="F819" s="78" t="s">
        <v>64</v>
      </c>
      <c r="G819" s="19">
        <f>_xlfn.XLOOKUP(Participantes[[#This Row],[Seminario al que asistió]],Seminarios[Seminario],Seminarios[Año])</f>
        <v>2025</v>
      </c>
    </row>
    <row r="820" spans="1:7" x14ac:dyDescent="0.25">
      <c r="A820" s="86" t="s">
        <v>227</v>
      </c>
      <c r="B820" s="87" t="str">
        <f>_xlfn.XLOOKUP(Participantes[[#This Row],[Nombre]],$A42:$A819,$B42:$B819)</f>
        <v>sl.schorch@uniandes.edu.co</v>
      </c>
      <c r="C820" s="87" t="str">
        <f>_xlfn.XLOOKUP(Participantes[[#This Row],[Nombre]],$A42:$A819,$C42:$C819)</f>
        <v>M</v>
      </c>
      <c r="D820" s="87" t="str">
        <f>_xlfn.XLOOKUP(Participantes[[#This Row],[Nombre]],$A42:$A819,$D42:$D819)</f>
        <v>Professor</v>
      </c>
      <c r="E820" s="87" t="s">
        <v>1</v>
      </c>
      <c r="F820" s="88" t="s">
        <v>24</v>
      </c>
      <c r="G820" s="19">
        <f>_xlfn.XLOOKUP(Participantes[[#This Row],[Seminario al que asistió]],Seminarios[Seminario],Seminarios[Año])</f>
        <v>2025</v>
      </c>
    </row>
    <row r="821" spans="1:7" x14ac:dyDescent="0.25">
      <c r="A821" s="89" t="s">
        <v>722</v>
      </c>
      <c r="B821" s="13" t="str">
        <f>_xlfn.XLOOKUP(Participantes[[#This Row],[Nombre]],$A43:$A820,$B43:$B820)</f>
        <v xml:space="preserve">atrujill@uniandes.edu.co </v>
      </c>
      <c r="C821" s="13" t="str">
        <f>_xlfn.XLOOKUP(Participantes[[#This Row],[Nombre]],$A43:$A820,$C43:$C820)</f>
        <v>F</v>
      </c>
      <c r="D821" s="13" t="str">
        <f>_xlfn.XLOOKUP(Participantes[[#This Row],[Nombre]],$A43:$A820,$D43:$D820)</f>
        <v>Administrative</v>
      </c>
      <c r="E821" s="13" t="s">
        <v>1</v>
      </c>
      <c r="F821" s="78" t="s">
        <v>24</v>
      </c>
      <c r="G821" s="19">
        <f>_xlfn.XLOOKUP(Participantes[[#This Row],[Seminario al que asistió]],Seminarios[Seminario],Seminarios[Año])</f>
        <v>2025</v>
      </c>
    </row>
    <row r="822" spans="1:7" x14ac:dyDescent="0.25">
      <c r="A822" s="89" t="s">
        <v>833</v>
      </c>
      <c r="B822" s="13" t="str">
        <f>_xlfn.XLOOKUP(Participantes[[#This Row],[Nombre]],$A44:$A821,$B44:$B821)</f>
        <v>c.chauhan@uniandes.edu.co</v>
      </c>
      <c r="C822" s="13" t="str">
        <f>_xlfn.XLOOKUP(Participantes[[#This Row],[Nombre]],$A44:$A821,$C44:$C821)</f>
        <v>F</v>
      </c>
      <c r="D822" s="13" t="str">
        <f>_xlfn.XLOOKUP(Participantes[[#This Row],[Nombre]],$A44:$A821,$D44:$D821)</f>
        <v>Professor</v>
      </c>
      <c r="E822" s="13" t="s">
        <v>1</v>
      </c>
      <c r="F822" s="78" t="s">
        <v>24</v>
      </c>
      <c r="G822" s="19">
        <f>_xlfn.XLOOKUP(Participantes[[#This Row],[Seminario al que asistió]],Seminarios[Seminario],Seminarios[Año])</f>
        <v>2025</v>
      </c>
    </row>
    <row r="823" spans="1:7" x14ac:dyDescent="0.25">
      <c r="A823" s="89" t="s">
        <v>501</v>
      </c>
      <c r="B823" s="13" t="str">
        <f>_xlfn.XLOOKUP(Participantes[[#This Row],[Nombre]],$A45:$A822,$B45:$B822)</f>
        <v>ml.rivera@uniandes.edu.co</v>
      </c>
      <c r="C823" s="13" t="str">
        <f>_xlfn.XLOOKUP(Participantes[[#This Row],[Nombre]],$A45:$A822,$C45:$C822)</f>
        <v>F</v>
      </c>
      <c r="D823" s="13" t="str">
        <f>_xlfn.XLOOKUP(Participantes[[#This Row],[Nombre]],$A45:$A822,$D45:$D822)</f>
        <v>Professor</v>
      </c>
      <c r="E823" s="13" t="s">
        <v>1</v>
      </c>
      <c r="F823" s="78" t="s">
        <v>24</v>
      </c>
      <c r="G823" s="19">
        <f>_xlfn.XLOOKUP(Participantes[[#This Row],[Seminario al que asistió]],Seminarios[Seminario],Seminarios[Año])</f>
        <v>2025</v>
      </c>
    </row>
    <row r="824" spans="1:7" x14ac:dyDescent="0.25">
      <c r="A824" s="89" t="s">
        <v>273</v>
      </c>
      <c r="B824" s="13" t="str">
        <f>_xlfn.XLOOKUP(Participantes[[#This Row],[Nombre]],$A46:$A823,$B46:$B823)</f>
        <v>mazuero@uniandes.edu.co</v>
      </c>
      <c r="C824" s="13" t="str">
        <f>_xlfn.XLOOKUP(Participantes[[#This Row],[Nombre]],$A46:$A823,$C46:$C823)</f>
        <v>M</v>
      </c>
      <c r="D824" s="13" t="str">
        <f>_xlfn.XLOOKUP(Participantes[[#This Row],[Nombre]],$A46:$A823,$D46:$D823)</f>
        <v>Professor</v>
      </c>
      <c r="E824" s="13" t="s">
        <v>1</v>
      </c>
      <c r="F824" s="78" t="s">
        <v>24</v>
      </c>
      <c r="G824" s="19">
        <f>_xlfn.XLOOKUP(Participantes[[#This Row],[Seminario al que asistió]],Seminarios[Seminario],Seminarios[Año])</f>
        <v>2025</v>
      </c>
    </row>
    <row r="825" spans="1:7" x14ac:dyDescent="0.25">
      <c r="A825" s="7" t="s">
        <v>831</v>
      </c>
      <c r="B825" s="3" t="s">
        <v>304</v>
      </c>
      <c r="C825" s="13" t="str">
        <f>_xlfn.XLOOKUP(Participantes[[#This Row],[Nombre]],$A47:$A824,$C47:$C824)</f>
        <v>F</v>
      </c>
      <c r="D825" s="13" t="str">
        <f>_xlfn.XLOOKUP(Participantes[[#This Row],[Nombre]],$A47:$A824,$D47:$D824)</f>
        <v>Professor</v>
      </c>
      <c r="E825" s="13" t="s">
        <v>1</v>
      </c>
      <c r="F825" s="78" t="s">
        <v>24</v>
      </c>
      <c r="G825" s="19">
        <f>_xlfn.XLOOKUP(Participantes[[#This Row],[Seminario al que asistió]],Seminarios[Seminario],Seminarios[Año])</f>
        <v>2025</v>
      </c>
    </row>
    <row r="826" spans="1:7" x14ac:dyDescent="0.25">
      <c r="A826" s="89" t="s">
        <v>760</v>
      </c>
      <c r="B826" s="13" t="str">
        <f>_xlfn.XLOOKUP(Participantes[[#This Row],[Nombre]],$A48:$A825,$B48:$B825)</f>
        <v>mc.barrios@uniandes.edu.co</v>
      </c>
      <c r="C826" s="13" t="str">
        <f>_xlfn.XLOOKUP(Participantes[[#This Row],[Nombre]],$A48:$A825,$C48:$C825)</f>
        <v>F</v>
      </c>
      <c r="D826" s="13" t="str">
        <f>_xlfn.XLOOKUP(Participantes[[#This Row],[Nombre]],$A48:$A825,$D48:$D825)</f>
        <v>Administrative</v>
      </c>
      <c r="E826" s="13" t="s">
        <v>1</v>
      </c>
      <c r="F826" s="78" t="s">
        <v>24</v>
      </c>
      <c r="G826" s="19">
        <f>_xlfn.XLOOKUP(Participantes[[#This Row],[Seminario al que asistió]],Seminarios[Seminario],Seminarios[Año])</f>
        <v>2025</v>
      </c>
    </row>
    <row r="827" spans="1:7" x14ac:dyDescent="0.25">
      <c r="A827" s="89" t="s">
        <v>310</v>
      </c>
      <c r="B827" s="13" t="str">
        <f>_xlfn.XLOOKUP(Participantes[[#This Row],[Nombre]],$A49:$A826,$B49:$B826)</f>
        <v>maxgonza@uniandes.edu.co</v>
      </c>
      <c r="C827" s="13" t="str">
        <f>_xlfn.XLOOKUP(Participantes[[#This Row],[Nombre]],$A49:$A826,$C49:$C826)</f>
        <v>M</v>
      </c>
      <c r="D827" s="13" t="str">
        <f>_xlfn.XLOOKUP(Participantes[[#This Row],[Nombre]],$A49:$A826,$D49:$D826)</f>
        <v>Professor</v>
      </c>
      <c r="E827" s="13" t="s">
        <v>1</v>
      </c>
      <c r="F827" s="78" t="s">
        <v>24</v>
      </c>
      <c r="G827" s="19">
        <f>_xlfn.XLOOKUP(Participantes[[#This Row],[Seminario al que asistió]],Seminarios[Seminario],Seminarios[Año])</f>
        <v>2025</v>
      </c>
    </row>
    <row r="828" spans="1:7" x14ac:dyDescent="0.25">
      <c r="A828" s="89" t="s">
        <v>234</v>
      </c>
      <c r="B828" s="13" t="str">
        <f>_xlfn.XLOOKUP(Participantes[[#This Row],[Nombre]],$A50:$A827,$B50:$B827)</f>
        <v>d.higa@uniandes.edu.co</v>
      </c>
      <c r="C828" s="13" t="str">
        <f>_xlfn.XLOOKUP(Participantes[[#This Row],[Nombre]],$A50:$A827,$C50:$C827)</f>
        <v>M</v>
      </c>
      <c r="D828" s="13" t="str">
        <f>_xlfn.XLOOKUP(Participantes[[#This Row],[Nombre]],$A50:$A827,$D50:$D827)</f>
        <v>Professor</v>
      </c>
      <c r="E828" s="13" t="s">
        <v>1</v>
      </c>
      <c r="F828" s="78" t="s">
        <v>24</v>
      </c>
      <c r="G828" s="19">
        <f>_xlfn.XLOOKUP(Participantes[[#This Row],[Seminario al que asistió]],Seminarios[Seminario],Seminarios[Año])</f>
        <v>2025</v>
      </c>
    </row>
    <row r="829" spans="1:7" x14ac:dyDescent="0.25">
      <c r="A829" s="89" t="s">
        <v>468</v>
      </c>
      <c r="B829" s="13" t="str">
        <f>_xlfn.XLOOKUP(Participantes[[#This Row],[Nombre]],$A51:$A828,$B51:$B828)</f>
        <v>p.sanchez1@uniandes.edu.co</v>
      </c>
      <c r="C829" s="13" t="str">
        <f>_xlfn.XLOOKUP(Participantes[[#This Row],[Nombre]],$A51:$A828,$C51:$C828)</f>
        <v>F</v>
      </c>
      <c r="D829" s="13" t="str">
        <f>_xlfn.XLOOKUP(Participantes[[#This Row],[Nombre]],$A51:$A828,$D51:$D828)</f>
        <v>Professor</v>
      </c>
      <c r="E829" s="13" t="s">
        <v>1</v>
      </c>
      <c r="F829" s="78" t="s">
        <v>24</v>
      </c>
      <c r="G829" s="19">
        <f>_xlfn.XLOOKUP(Participantes[[#This Row],[Seminario al que asistió]],Seminarios[Seminario],Seminarios[Año])</f>
        <v>2025</v>
      </c>
    </row>
    <row r="830" spans="1:7" ht="15.75" thickBot="1" x14ac:dyDescent="0.3">
      <c r="A830" s="77" t="s">
        <v>274</v>
      </c>
      <c r="B830" s="13" t="str">
        <f>_xlfn.XLOOKUP(Participantes[[#This Row],[Nombre]],$A52:$A829,$B52:$B829)</f>
        <v>r.londonovanrutten@uniandes.edu.co</v>
      </c>
      <c r="C830" s="13" t="str">
        <f>_xlfn.XLOOKUP(Participantes[[#This Row],[Nombre]],$A52:$A829,$C52:$C829)</f>
        <v>M</v>
      </c>
      <c r="D830" s="13" t="str">
        <f>_xlfn.XLOOKUP(Participantes[[#This Row],[Nombre]],$A52:$A829,$D52:$D829)</f>
        <v>Professor</v>
      </c>
      <c r="E830" s="13" t="s">
        <v>1</v>
      </c>
      <c r="F830" s="78" t="s">
        <v>24</v>
      </c>
      <c r="G830" s="19">
        <f>_xlfn.XLOOKUP(Participantes[[#This Row],[Seminario al que asistió]],Seminarios[Seminario],Seminarios[Año])</f>
        <v>2025</v>
      </c>
    </row>
    <row r="831" spans="1:7" x14ac:dyDescent="0.25">
      <c r="A831" s="4" t="s">
        <v>274</v>
      </c>
      <c r="B831" s="5" t="str">
        <f>_xlfn.XLOOKUP(Participantes[[#This Row],[Nombre]],$A53:$A830,$B53:$B830)</f>
        <v>r.londonovanrutten@uniandes.edu.co</v>
      </c>
      <c r="C831" s="5" t="str">
        <f>_xlfn.XLOOKUP(Participantes[[#This Row],[Nombre]],$A53:$A830,$C53:$C830)</f>
        <v>M</v>
      </c>
      <c r="D831" s="5" t="str">
        <f>_xlfn.XLOOKUP(Participantes[[#This Row],[Nombre]],$A53:$A830,$D53:$D830)</f>
        <v>Professor</v>
      </c>
      <c r="E831" s="5" t="s">
        <v>1</v>
      </c>
      <c r="F831" s="6" t="s">
        <v>68</v>
      </c>
      <c r="G831" s="19">
        <f>_xlfn.XLOOKUP(Participantes[[#This Row],[Seminario al que asistió]],Seminarios[Seminario],Seminarios[Año])</f>
        <v>2025</v>
      </c>
    </row>
    <row r="832" spans="1:7" x14ac:dyDescent="0.25">
      <c r="A832" s="7" t="s">
        <v>234</v>
      </c>
      <c r="B832" s="3" t="str">
        <f>_xlfn.XLOOKUP(Participantes[[#This Row],[Nombre]],$A54:$A831,$B54:$B831)</f>
        <v>d.higa@uniandes.edu.co</v>
      </c>
      <c r="C832" s="3" t="str">
        <f>_xlfn.XLOOKUP(Participantes[[#This Row],[Nombre]],$A54:$A831,$C54:$C831)</f>
        <v>M</v>
      </c>
      <c r="D832" s="3" t="str">
        <f>_xlfn.XLOOKUP(Participantes[[#This Row],[Nombre]],$A54:$A831,$D54:$D831)</f>
        <v>Professor</v>
      </c>
      <c r="E832" s="3" t="s">
        <v>1</v>
      </c>
      <c r="F832" s="8" t="s">
        <v>68</v>
      </c>
      <c r="G832" s="19">
        <f>_xlfn.XLOOKUP(Participantes[[#This Row],[Seminario al que asistió]],Seminarios[Seminario],Seminarios[Año])</f>
        <v>2025</v>
      </c>
    </row>
    <row r="833" spans="1:7" x14ac:dyDescent="0.25">
      <c r="A833" s="7" t="s">
        <v>246</v>
      </c>
      <c r="B833" s="3" t="str">
        <f>_xlfn.XLOOKUP(Participantes[[#This Row],[Nombre]],$A55:$A832,$B55:$B832)</f>
        <v>lsamper@uniandes.edu.co</v>
      </c>
      <c r="C833" s="3" t="str">
        <f>_xlfn.XLOOKUP(Participantes[[#This Row],[Nombre]],$A55:$A832,$C55:$C832)</f>
        <v>M</v>
      </c>
      <c r="D833" s="3" t="str">
        <f>_xlfn.XLOOKUP(Participantes[[#This Row],[Nombre]],$A55:$A832,$D55:$D832)</f>
        <v>Administrative</v>
      </c>
      <c r="E833" s="3" t="s">
        <v>1</v>
      </c>
      <c r="F833" s="8" t="s">
        <v>68</v>
      </c>
      <c r="G833" s="19">
        <f>_xlfn.XLOOKUP(Participantes[[#This Row],[Seminario al que asistió]],Seminarios[Seminario],Seminarios[Año])</f>
        <v>2025</v>
      </c>
    </row>
    <row r="834" spans="1:7" x14ac:dyDescent="0.25">
      <c r="A834" s="7" t="s">
        <v>894</v>
      </c>
      <c r="B834" s="3" t="str">
        <f>_xlfn.XLOOKUP(Participantes[[#This Row],[Nombre]],$A56:$A833,$B56:$B833)</f>
        <v>caa.rojasc@uniandes.edu.co</v>
      </c>
      <c r="C834" s="3" t="str">
        <f>_xlfn.XLOOKUP(Participantes[[#This Row],[Nombre]],$A56:$A833,$C56:$C833)</f>
        <v>M</v>
      </c>
      <c r="D834" s="3" t="str">
        <f>_xlfn.XLOOKUP(Participantes[[#This Row],[Nombre]],$A56:$A833,$D56:$D833)</f>
        <v>Professor</v>
      </c>
      <c r="E834" s="3" t="s">
        <v>1</v>
      </c>
      <c r="F834" s="8" t="s">
        <v>68</v>
      </c>
      <c r="G834" s="19">
        <f>_xlfn.XLOOKUP(Participantes[[#This Row],[Seminario al que asistió]],Seminarios[Seminario],Seminarios[Año])</f>
        <v>2025</v>
      </c>
    </row>
    <row r="835" spans="1:7" x14ac:dyDescent="0.25">
      <c r="A835" s="7" t="s">
        <v>310</v>
      </c>
      <c r="B835" s="3" t="str">
        <f>_xlfn.XLOOKUP(Participantes[[#This Row],[Nombre]],$A57:$A834,$B57:$B834)</f>
        <v>maxgonza@uniandes.edu.co</v>
      </c>
      <c r="C835" s="3" t="str">
        <f>_xlfn.XLOOKUP(Participantes[[#This Row],[Nombre]],$A57:$A834,$C57:$C834)</f>
        <v>M</v>
      </c>
      <c r="D835" s="3" t="str">
        <f>_xlfn.XLOOKUP(Participantes[[#This Row],[Nombre]],$A57:$A834,$D57:$D834)</f>
        <v>Professor</v>
      </c>
      <c r="E835" s="3" t="s">
        <v>1</v>
      </c>
      <c r="F835" s="8" t="s">
        <v>68</v>
      </c>
      <c r="G835" s="19">
        <f>_xlfn.XLOOKUP(Participantes[[#This Row],[Seminario al que asistió]],Seminarios[Seminario],Seminarios[Año])</f>
        <v>2025</v>
      </c>
    </row>
    <row r="836" spans="1:7" x14ac:dyDescent="0.25">
      <c r="A836" s="7" t="s">
        <v>343</v>
      </c>
      <c r="B836" s="3" t="str">
        <f>_xlfn.XLOOKUP(Participantes[[#This Row],[Nombre]],$A58:$A835,$B58:$B835)</f>
        <v>e.her-ndez12@uniandes.edu.co</v>
      </c>
      <c r="C836" s="3" t="str">
        <f>_xlfn.XLOOKUP(Participantes[[#This Row],[Nombre]],$A58:$A835,$C58:$C835)</f>
        <v>F</v>
      </c>
      <c r="D836" s="3" t="str">
        <f>_xlfn.XLOOKUP(Participantes[[#This Row],[Nombre]],$A58:$A835,$D58:$D835)</f>
        <v>PhD Student</v>
      </c>
      <c r="E836" s="3" t="s">
        <v>1</v>
      </c>
      <c r="F836" s="8" t="s">
        <v>68</v>
      </c>
      <c r="G836" s="19">
        <f>_xlfn.XLOOKUP(Participantes[[#This Row],[Seminario al que asistió]],Seminarios[Seminario],Seminarios[Año])</f>
        <v>2025</v>
      </c>
    </row>
    <row r="837" spans="1:7" x14ac:dyDescent="0.25">
      <c r="A837" s="7" t="s">
        <v>176</v>
      </c>
      <c r="B837" s="3" t="str">
        <f>_xlfn.XLOOKUP(Participantes[[#This Row],[Nombre]],$A59:$A836,$B59:$B836)</f>
        <v>x.rueda@uniandes.edu.co</v>
      </c>
      <c r="C837" s="3" t="str">
        <f>_xlfn.XLOOKUP(Participantes[[#This Row],[Nombre]],$A59:$A836,$C59:$C836)</f>
        <v>F</v>
      </c>
      <c r="D837" s="3" t="str">
        <f>_xlfn.XLOOKUP(Participantes[[#This Row],[Nombre]],$A59:$A836,$D59:$D836)</f>
        <v>Professor</v>
      </c>
      <c r="E837" s="3" t="s">
        <v>1</v>
      </c>
      <c r="F837" s="8" t="s">
        <v>68</v>
      </c>
      <c r="G837" s="19">
        <f>_xlfn.XLOOKUP(Participantes[[#This Row],[Seminario al que asistió]],Seminarios[Seminario],Seminarios[Año])</f>
        <v>2025</v>
      </c>
    </row>
    <row r="838" spans="1:7" x14ac:dyDescent="0.25">
      <c r="A838" s="7" t="s">
        <v>219</v>
      </c>
      <c r="B838" s="3" t="str">
        <f>_xlfn.XLOOKUP(Participantes[[#This Row],[Nombre]],$A60:$A837,$B60:$B837)</f>
        <v>p.sanchez1@uniandes.edu.co</v>
      </c>
      <c r="C838" s="3" t="str">
        <f>_xlfn.XLOOKUP(Participantes[[#This Row],[Nombre]],$A60:$A837,$C60:$C837)</f>
        <v>F</v>
      </c>
      <c r="D838" s="3" t="str">
        <f>_xlfn.XLOOKUP(Participantes[[#This Row],[Nombre]],$A60:$A837,$D60:$D837)</f>
        <v>Professor</v>
      </c>
      <c r="E838" s="3" t="s">
        <v>1</v>
      </c>
      <c r="F838" s="8" t="s">
        <v>68</v>
      </c>
      <c r="G838" s="19">
        <f>_xlfn.XLOOKUP(Participantes[[#This Row],[Seminario al que asistió]],Seminarios[Seminario],Seminarios[Año])</f>
        <v>2025</v>
      </c>
    </row>
    <row r="839" spans="1:7" x14ac:dyDescent="0.25">
      <c r="A839" s="7" t="s">
        <v>227</v>
      </c>
      <c r="B839" s="3" t="str">
        <f>_xlfn.XLOOKUP(Participantes[[#This Row],[Nombre]],$A61:$A838,$B61:$B838)</f>
        <v>sl.schorch@uniandes.edu.co</v>
      </c>
      <c r="C839" s="3" t="str">
        <f>_xlfn.XLOOKUP(Participantes[[#This Row],[Nombre]],$A61:$A838,$C61:$C838)</f>
        <v>M</v>
      </c>
      <c r="D839" s="3" t="str">
        <f>_xlfn.XLOOKUP(Participantes[[#This Row],[Nombre]],$A61:$A838,$D61:$D838)</f>
        <v>Professor</v>
      </c>
      <c r="E839" s="3" t="s">
        <v>1</v>
      </c>
      <c r="F839" s="8" t="s">
        <v>68</v>
      </c>
      <c r="G839" s="19">
        <f>_xlfn.XLOOKUP(Participantes[[#This Row],[Seminario al que asistió]],Seminarios[Seminario],Seminarios[Año])</f>
        <v>2025</v>
      </c>
    </row>
    <row r="840" spans="1:7" x14ac:dyDescent="0.25">
      <c r="A840" s="7" t="s">
        <v>705</v>
      </c>
      <c r="B840" s="3" t="str">
        <f>_xlfn.XLOOKUP(Participantes[[#This Row],[Nombre]],$A62:$A839,$B62:$B839)</f>
        <v>l.bravor2@uniandes.edu.co</v>
      </c>
      <c r="C840" s="3" t="str">
        <f>_xlfn.XLOOKUP(Participantes[[#This Row],[Nombre]],$A62:$A839,$C62:$C839)</f>
        <v>M</v>
      </c>
      <c r="D840" s="3" t="str">
        <f>_xlfn.XLOOKUP(Participantes[[#This Row],[Nombre]],$A62:$A839,$D62:$D839)</f>
        <v>PhD Student</v>
      </c>
      <c r="E840" s="3" t="s">
        <v>1</v>
      </c>
      <c r="F840" s="8" t="s">
        <v>68</v>
      </c>
      <c r="G840" s="19">
        <f>_xlfn.XLOOKUP(Participantes[[#This Row],[Seminario al que asistió]],Seminarios[Seminario],Seminarios[Año])</f>
        <v>2025</v>
      </c>
    </row>
    <row r="841" spans="1:7" x14ac:dyDescent="0.25">
      <c r="A841" s="7" t="s">
        <v>289</v>
      </c>
      <c r="B841" s="3" t="str">
        <f>_xlfn.XLOOKUP(Participantes[[#This Row],[Nombre]],$A63:$A840,$B63:$B840)</f>
        <v>c.arizaq@uniandes.edu.co</v>
      </c>
      <c r="C841" s="3" t="str">
        <f>_xlfn.XLOOKUP(Participantes[[#This Row],[Nombre]],$A63:$A840,$C63:$C840)</f>
        <v>F</v>
      </c>
      <c r="D841" s="3" t="str">
        <f>_xlfn.XLOOKUP(Participantes[[#This Row],[Nombre]],$A63:$A840,$D63:$D840)</f>
        <v>PhD Student</v>
      </c>
      <c r="E841" s="3" t="s">
        <v>1</v>
      </c>
      <c r="F841" s="8" t="s">
        <v>68</v>
      </c>
      <c r="G841" s="19">
        <f>_xlfn.XLOOKUP(Participantes[[#This Row],[Seminario al que asistió]],Seminarios[Seminario],Seminarios[Año])</f>
        <v>2025</v>
      </c>
    </row>
    <row r="842" spans="1:7" x14ac:dyDescent="0.25">
      <c r="A842" s="7" t="s">
        <v>317</v>
      </c>
      <c r="B842" s="3" t="str">
        <f>_xlfn.XLOOKUP(Participantes[[#This Row],[Nombre]],$A64:$A841,$B64:$B841)</f>
        <v>robgutie@uniandes.edu.co</v>
      </c>
      <c r="C842" s="3" t="str">
        <f>_xlfn.XLOOKUP(Participantes[[#This Row],[Nombre]],$A64:$A841,$C64:$C841)</f>
        <v>M</v>
      </c>
      <c r="D842" s="3" t="str">
        <f>_xlfn.XLOOKUP(Participantes[[#This Row],[Nombre]],$A64:$A841,$D64:$D841)</f>
        <v>Professor</v>
      </c>
      <c r="E842" s="3" t="s">
        <v>1</v>
      </c>
      <c r="F842" s="8" t="s">
        <v>68</v>
      </c>
      <c r="G842" s="19">
        <f>_xlfn.XLOOKUP(Participantes[[#This Row],[Seminario al que asistió]],Seminarios[Seminario],Seminarios[Año])</f>
        <v>2025</v>
      </c>
    </row>
    <row r="843" spans="1:7" x14ac:dyDescent="0.25">
      <c r="A843" s="7" t="s">
        <v>907</v>
      </c>
      <c r="B843" s="3" t="str">
        <f>_xlfn.XLOOKUP(Participantes[[#This Row],[Nombre]],$A65:$A842,$B65:$B842)</f>
        <v>o.-ranjodelgiudice@uniandes.edu.co</v>
      </c>
      <c r="C843" s="3" t="str">
        <f>_xlfn.XLOOKUP(Participantes[[#This Row],[Nombre]],$A65:$A842,$C65:$C842)</f>
        <v>M</v>
      </c>
      <c r="D843" s="3" t="str">
        <f>_xlfn.XLOOKUP(Participantes[[#This Row],[Nombre]],$A65:$A842,$D65:$D842)</f>
        <v>Professor</v>
      </c>
      <c r="E843" s="3" t="s">
        <v>1</v>
      </c>
      <c r="F843" s="8" t="s">
        <v>68</v>
      </c>
      <c r="G843" s="19">
        <f>_xlfn.XLOOKUP(Participantes[[#This Row],[Seminario al que asistió]],Seminarios[Seminario],Seminarios[Año])</f>
        <v>2025</v>
      </c>
    </row>
    <row r="844" spans="1:7" x14ac:dyDescent="0.25">
      <c r="A844" s="7" t="s">
        <v>908</v>
      </c>
      <c r="B844" s="3" t="str">
        <f>_xlfn.XLOOKUP(Participantes[[#This Row],[Nombre]],$A66:$A843,$B66:$B843)</f>
        <v>f.reinosoc@uniandes.edu.co</v>
      </c>
      <c r="C844" s="3" t="str">
        <f>_xlfn.XLOOKUP(Participantes[[#This Row],[Nombre]],$A66:$A843,$C66:$C843)</f>
        <v>M</v>
      </c>
      <c r="D844" s="3" t="str">
        <f>_xlfn.XLOOKUP(Participantes[[#This Row],[Nombre]],$A66:$A843,$D66:$D843)</f>
        <v>Professor</v>
      </c>
      <c r="E844" s="3" t="s">
        <v>1</v>
      </c>
      <c r="F844" s="8" t="s">
        <v>68</v>
      </c>
      <c r="G844" s="19">
        <f>_xlfn.XLOOKUP(Participantes[[#This Row],[Seminario al que asistió]],Seminarios[Seminario],Seminarios[Año])</f>
        <v>2025</v>
      </c>
    </row>
    <row r="845" spans="1:7" x14ac:dyDescent="0.25">
      <c r="A845" s="7" t="s">
        <v>548</v>
      </c>
      <c r="B845" s="3" t="str">
        <f>_xlfn.XLOOKUP(Participantes[[#This Row],[Nombre]],$A67:$A844,$B67:$B844)</f>
        <v>a.sengupta@uniandes.edu.co</v>
      </c>
      <c r="C845" s="3" t="str">
        <f>_xlfn.XLOOKUP(Participantes[[#This Row],[Nombre]],$A67:$A844,$C67:$C844)</f>
        <v>M</v>
      </c>
      <c r="D845" s="3" t="str">
        <f>_xlfn.XLOOKUP(Participantes[[#This Row],[Nombre]],$A67:$A844,$D67:$D844)</f>
        <v>Professor</v>
      </c>
      <c r="E845" s="3" t="s">
        <v>1</v>
      </c>
      <c r="F845" s="8" t="s">
        <v>68</v>
      </c>
      <c r="G845" s="19">
        <f>_xlfn.XLOOKUP(Participantes[[#This Row],[Seminario al que asistió]],Seminarios[Seminario],Seminarios[Año])</f>
        <v>2025</v>
      </c>
    </row>
    <row r="846" spans="1:7" x14ac:dyDescent="0.25">
      <c r="A846" s="7" t="s">
        <v>348</v>
      </c>
      <c r="B846" s="3" t="str">
        <f>_xlfn.XLOOKUP(Participantes[[#This Row],[Nombre]],$A68:$A845,$B68:$B845)</f>
        <v>jo.mendez@uniandes.edu.co</v>
      </c>
      <c r="C846" s="3" t="str">
        <f>_xlfn.XLOOKUP(Participantes[[#This Row],[Nombre]],$A68:$A845,$C68:$C845)</f>
        <v>M</v>
      </c>
      <c r="D846" s="3" t="str">
        <f>_xlfn.XLOOKUP(Participantes[[#This Row],[Nombre]],$A68:$A845,$D68:$D845)</f>
        <v>PhD Student</v>
      </c>
      <c r="E846" s="3" t="s">
        <v>1</v>
      </c>
      <c r="F846" s="8" t="s">
        <v>68</v>
      </c>
      <c r="G846" s="19">
        <f>_xlfn.XLOOKUP(Participantes[[#This Row],[Seminario al que asistió]],Seminarios[Seminario],Seminarios[Año])</f>
        <v>2025</v>
      </c>
    </row>
    <row r="847" spans="1:7" x14ac:dyDescent="0.25">
      <c r="A847" s="7" t="s">
        <v>552</v>
      </c>
      <c r="B847" s="3" t="str">
        <f>_xlfn.XLOOKUP(Participantes[[#This Row],[Nombre]],$A69:$A846,$B69:$B846)</f>
        <v>joospina@uniandes.edu.co</v>
      </c>
      <c r="C847" s="3" t="str">
        <f>_xlfn.XLOOKUP(Participantes[[#This Row],[Nombre]],$A69:$A846,$C69:$C846)</f>
        <v>M</v>
      </c>
      <c r="D847" s="3" t="str">
        <f>_xlfn.XLOOKUP(Participantes[[#This Row],[Nombre]],$A69:$A846,$D69:$D846)</f>
        <v>Professor</v>
      </c>
      <c r="E847" s="3" t="s">
        <v>1</v>
      </c>
      <c r="F847" s="8" t="s">
        <v>68</v>
      </c>
      <c r="G847" s="19">
        <f>_xlfn.XLOOKUP(Participantes[[#This Row],[Seminario al que asistió]],Seminarios[Seminario],Seminarios[Año])</f>
        <v>2025</v>
      </c>
    </row>
    <row r="848" spans="1:7" x14ac:dyDescent="0.25">
      <c r="A848" s="7" t="s">
        <v>519</v>
      </c>
      <c r="B848" s="3" t="str">
        <f>_xlfn.XLOOKUP(Participantes[[#This Row],[Nombre]],$A70:$A847,$B70:$B847)</f>
        <v>jua-garcia@uniandes.edu.co</v>
      </c>
      <c r="C848" s="3" t="str">
        <f>_xlfn.XLOOKUP(Participantes[[#This Row],[Nombre]],$A70:$A847,$C70:$C847)</f>
        <v>F</v>
      </c>
      <c r="D848" s="3" t="str">
        <f>_xlfn.XLOOKUP(Participantes[[#This Row],[Nombre]],$A70:$A847,$D70:$D847)</f>
        <v>Professor</v>
      </c>
      <c r="E848" s="3" t="s">
        <v>1</v>
      </c>
      <c r="F848" s="8" t="s">
        <v>68</v>
      </c>
      <c r="G848" s="19">
        <f>_xlfn.XLOOKUP(Participantes[[#This Row],[Seminario al que asistió]],Seminarios[Seminario],Seminarios[Año])</f>
        <v>2025</v>
      </c>
    </row>
    <row r="849" spans="1:7" x14ac:dyDescent="0.25">
      <c r="A849" s="7" t="s">
        <v>291</v>
      </c>
      <c r="B849" s="3" t="str">
        <f>_xlfn.XLOOKUP(Participantes[[#This Row],[Nombre]],$A71:$A848,$B71:$B848)</f>
        <v>so-camac@uniandes.edu.co</v>
      </c>
      <c r="C849" s="3" t="str">
        <f>_xlfn.XLOOKUP(Participantes[[#This Row],[Nombre]],$A71:$A848,$C71:$C848)</f>
        <v>F</v>
      </c>
      <c r="D849" s="3" t="str">
        <f>_xlfn.XLOOKUP(Participantes[[#This Row],[Nombre]],$A71:$A848,$D71:$D848)</f>
        <v>Professor</v>
      </c>
      <c r="E849" s="3" t="s">
        <v>1</v>
      </c>
      <c r="F849" s="8" t="s">
        <v>68</v>
      </c>
      <c r="G849" s="19">
        <f>_xlfn.XLOOKUP(Participantes[[#This Row],[Seminario al que asistió]],Seminarios[Seminario],Seminarios[Año])</f>
        <v>2025</v>
      </c>
    </row>
    <row r="850" spans="1:7" x14ac:dyDescent="0.25">
      <c r="A850" s="7" t="s">
        <v>293</v>
      </c>
      <c r="B850" s="3" t="str">
        <f>_xlfn.XLOOKUP(Participantes[[#This Row],[Nombre]],$A72:$A849,$B72:$B849)</f>
        <v>andr-bar@uniandes.edu.co</v>
      </c>
      <c r="C850" s="3" t="str">
        <f>_xlfn.XLOOKUP(Participantes[[#This Row],[Nombre]],$A72:$A849,$C72:$C849)</f>
        <v>M</v>
      </c>
      <c r="D850" s="3" t="str">
        <f>_xlfn.XLOOKUP(Participantes[[#This Row],[Nombre]],$A72:$A849,$D72:$D849)</f>
        <v>Professor</v>
      </c>
      <c r="E850" s="3" t="s">
        <v>1</v>
      </c>
      <c r="F850" s="8" t="s">
        <v>68</v>
      </c>
      <c r="G850" s="19">
        <f>_xlfn.XLOOKUP(Participantes[[#This Row],[Seminario al que asistió]],Seminarios[Seminario],Seminarios[Año])</f>
        <v>2025</v>
      </c>
    </row>
    <row r="851" spans="1:7" x14ac:dyDescent="0.25">
      <c r="A851" s="7" t="s">
        <v>335</v>
      </c>
      <c r="B851" s="3" t="str">
        <f>_xlfn.XLOOKUP(Participantes[[#This Row],[Nombre]],$A73:$A850,$B73:$B850)</f>
        <v>sm.dakduk@uniandes.edu.co</v>
      </c>
      <c r="C851" s="3" t="str">
        <f>_xlfn.XLOOKUP(Participantes[[#This Row],[Nombre]],$A73:$A850,$C73:$C850)</f>
        <v>F</v>
      </c>
      <c r="D851" s="3" t="str">
        <f>_xlfn.XLOOKUP(Participantes[[#This Row],[Nombre]],$A73:$A850,$D73:$D850)</f>
        <v>Professor</v>
      </c>
      <c r="E851" s="3" t="s">
        <v>1</v>
      </c>
      <c r="F851" s="8" t="s">
        <v>68</v>
      </c>
      <c r="G851" s="19">
        <f>_xlfn.XLOOKUP(Participantes[[#This Row],[Seminario al que asistió]],Seminarios[Seminario],Seminarios[Año])</f>
        <v>2025</v>
      </c>
    </row>
    <row r="852" spans="1:7" x14ac:dyDescent="0.25">
      <c r="A852" s="7" t="s">
        <v>883</v>
      </c>
      <c r="B852" s="3" t="str">
        <f>_xlfn.XLOOKUP(Participantes[[#This Row],[Nombre]],$A74:$A851,$B74:$B851)</f>
        <v>d.mantillag@uniandes.edu.co</v>
      </c>
      <c r="C852" s="3" t="str">
        <f>_xlfn.XLOOKUP(Participantes[[#This Row],[Nombre]],$A74:$A851,$C74:$C851)</f>
        <v>M</v>
      </c>
      <c r="D852" s="3" t="str">
        <f>_xlfn.XLOOKUP(Participantes[[#This Row],[Nombre]],$A74:$A851,$D74:$D851)</f>
        <v>Professor</v>
      </c>
      <c r="E852" s="3" t="s">
        <v>1</v>
      </c>
      <c r="F852" s="8" t="s">
        <v>68</v>
      </c>
      <c r="G852" s="19">
        <f>_xlfn.XLOOKUP(Participantes[[#This Row],[Seminario al que asistió]],Seminarios[Seminario],Seminarios[Año])</f>
        <v>2025</v>
      </c>
    </row>
    <row r="853" spans="1:7" x14ac:dyDescent="0.25">
      <c r="A853" s="7" t="s">
        <v>909</v>
      </c>
      <c r="B853" s="3" t="s">
        <v>910</v>
      </c>
      <c r="C853" s="3" t="s">
        <v>218</v>
      </c>
      <c r="D853" s="3" t="s">
        <v>36</v>
      </c>
      <c r="E853" s="3" t="s">
        <v>1</v>
      </c>
      <c r="F853" s="8" t="s">
        <v>68</v>
      </c>
      <c r="G853" s="19">
        <f>_xlfn.XLOOKUP(Participantes[[#This Row],[Seminario al que asistió]],Seminarios[Seminario],Seminarios[Año])</f>
        <v>2025</v>
      </c>
    </row>
    <row r="854" spans="1:7" x14ac:dyDescent="0.25">
      <c r="A854" s="7" t="s">
        <v>285</v>
      </c>
      <c r="B854" s="3" t="str">
        <f>_xlfn.XLOOKUP(Participantes[[#This Row],[Nombre]],$A76:$A853,$B76:$B853)</f>
        <v>rabritto@gmail.com</v>
      </c>
      <c r="C854" s="3" t="str">
        <f>_xlfn.XLOOKUP(Participantes[[#This Row],[Nombre]],$A76:$A853,$C76:$C853)</f>
        <v>M</v>
      </c>
      <c r="D854" s="3" t="str">
        <f>_xlfn.XLOOKUP(Participantes[[#This Row],[Nombre]],$A76:$A853,$D76:$D853)</f>
        <v>Professor</v>
      </c>
      <c r="E854" s="3" t="s">
        <v>1</v>
      </c>
      <c r="F854" s="8" t="s">
        <v>68</v>
      </c>
      <c r="G854" s="19">
        <f>_xlfn.XLOOKUP(Participantes[[#This Row],[Seminario al que asistió]],Seminarios[Seminario],Seminarios[Año])</f>
        <v>2025</v>
      </c>
    </row>
    <row r="855" spans="1:7" ht="15.75" thickBot="1" x14ac:dyDescent="0.3">
      <c r="A855" s="9" t="s">
        <v>911</v>
      </c>
      <c r="B855" s="10" t="s">
        <v>912</v>
      </c>
      <c r="C855" s="10" t="s">
        <v>218</v>
      </c>
      <c r="D855" s="10" t="s">
        <v>36</v>
      </c>
      <c r="E855" s="10" t="s">
        <v>1</v>
      </c>
      <c r="F855" s="11" t="s">
        <v>68</v>
      </c>
      <c r="G855" s="19">
        <f>_xlfn.XLOOKUP(Participantes[[#This Row],[Seminario al que asistió]],Seminarios[Seminario],Seminarios[Año])</f>
        <v>2025</v>
      </c>
    </row>
    <row r="856" spans="1:7" x14ac:dyDescent="0.25">
      <c r="A856" s="101" t="s">
        <v>913</v>
      </c>
      <c r="B856" s="102" t="s">
        <v>346</v>
      </c>
      <c r="C856" s="94" t="s">
        <v>218</v>
      </c>
      <c r="D856" s="94" t="s">
        <v>233</v>
      </c>
      <c r="E856" s="94" t="s">
        <v>1</v>
      </c>
      <c r="F856" s="98" t="s">
        <v>28</v>
      </c>
      <c r="G856" s="19">
        <f>_xlfn.XLOOKUP(Participantes[[#This Row],[Seminario al que asistió]],Seminarios[Seminario],Seminarios[Año])</f>
        <v>2025</v>
      </c>
    </row>
    <row r="857" spans="1:7" x14ac:dyDescent="0.25">
      <c r="A857" s="103" t="s">
        <v>914</v>
      </c>
      <c r="B857" s="92" t="s">
        <v>527</v>
      </c>
      <c r="C857" s="91" t="s">
        <v>218</v>
      </c>
      <c r="D857" s="90" t="s">
        <v>233</v>
      </c>
      <c r="E857" s="90" t="s">
        <v>1</v>
      </c>
      <c r="F857" s="95" t="s">
        <v>28</v>
      </c>
      <c r="G857" s="19">
        <f>_xlfn.XLOOKUP(Participantes[[#This Row],[Seminario al que asistió]],Seminarios[Seminario],Seminarios[Año])</f>
        <v>2025</v>
      </c>
    </row>
    <row r="858" spans="1:7" x14ac:dyDescent="0.25">
      <c r="A858" s="103" t="s">
        <v>249</v>
      </c>
      <c r="B858" s="93" t="s">
        <v>250</v>
      </c>
      <c r="C858" s="91" t="s">
        <v>218</v>
      </c>
      <c r="D858" s="90" t="s">
        <v>36</v>
      </c>
      <c r="E858" s="90" t="s">
        <v>1</v>
      </c>
      <c r="F858" s="95" t="s">
        <v>28</v>
      </c>
      <c r="G858" s="19">
        <f>_xlfn.XLOOKUP(Participantes[[#This Row],[Seminario al que asistió]],Seminarios[Seminario],Seminarios[Año])</f>
        <v>2025</v>
      </c>
    </row>
    <row r="859" spans="1:7" x14ac:dyDescent="0.25">
      <c r="A859" s="103" t="s">
        <v>89</v>
      </c>
      <c r="B859" s="93" t="s">
        <v>885</v>
      </c>
      <c r="C859" s="91" t="s">
        <v>218</v>
      </c>
      <c r="D859" s="90" t="s">
        <v>36</v>
      </c>
      <c r="E859" s="90" t="s">
        <v>1</v>
      </c>
      <c r="F859" s="95" t="s">
        <v>28</v>
      </c>
      <c r="G859" s="19">
        <f>_xlfn.XLOOKUP(Participantes[[#This Row],[Seminario al que asistió]],Seminarios[Seminario],Seminarios[Año])</f>
        <v>2025</v>
      </c>
    </row>
    <row r="860" spans="1:7" x14ac:dyDescent="0.25">
      <c r="A860" s="103" t="s">
        <v>559</v>
      </c>
      <c r="B860" s="93" t="s">
        <v>549</v>
      </c>
      <c r="C860" s="91" t="s">
        <v>218</v>
      </c>
      <c r="D860" s="90" t="s">
        <v>36</v>
      </c>
      <c r="E860" s="90" t="s">
        <v>1</v>
      </c>
      <c r="F860" s="95" t="s">
        <v>28</v>
      </c>
      <c r="G860" s="19">
        <f>_xlfn.XLOOKUP(Participantes[[#This Row],[Seminario al que asistió]],Seminarios[Seminario],Seminarios[Año])</f>
        <v>2025</v>
      </c>
    </row>
    <row r="861" spans="1:7" x14ac:dyDescent="0.25">
      <c r="A861" s="103" t="s">
        <v>253</v>
      </c>
      <c r="B861" s="93" t="s">
        <v>254</v>
      </c>
      <c r="C861" s="91" t="s">
        <v>218</v>
      </c>
      <c r="D861" s="90" t="s">
        <v>36</v>
      </c>
      <c r="E861" s="90" t="s">
        <v>1</v>
      </c>
      <c r="F861" s="95" t="s">
        <v>28</v>
      </c>
      <c r="G861" s="19">
        <f>_xlfn.XLOOKUP(Participantes[[#This Row],[Seminario al que asistió]],Seminarios[Seminario],Seminarios[Año])</f>
        <v>2025</v>
      </c>
    </row>
    <row r="862" spans="1:7" x14ac:dyDescent="0.25">
      <c r="A862" s="103" t="s">
        <v>915</v>
      </c>
      <c r="B862" s="92" t="s">
        <v>916</v>
      </c>
      <c r="C862" s="91" t="s">
        <v>221</v>
      </c>
      <c r="D862" s="90" t="s">
        <v>48</v>
      </c>
      <c r="E862" s="90" t="s">
        <v>1</v>
      </c>
      <c r="F862" s="95" t="s">
        <v>28</v>
      </c>
      <c r="G862" s="19">
        <f>_xlfn.XLOOKUP(Participantes[[#This Row],[Seminario al que asistió]],Seminarios[Seminario],Seminarios[Año])</f>
        <v>2025</v>
      </c>
    </row>
    <row r="863" spans="1:7" x14ac:dyDescent="0.25">
      <c r="A863" s="103" t="s">
        <v>675</v>
      </c>
      <c r="B863" s="93" t="s">
        <v>256</v>
      </c>
      <c r="C863" s="91" t="s">
        <v>218</v>
      </c>
      <c r="D863" s="90" t="s">
        <v>36</v>
      </c>
      <c r="E863" s="90" t="s">
        <v>1</v>
      </c>
      <c r="F863" s="95" t="s">
        <v>28</v>
      </c>
      <c r="G863" s="19">
        <f>_xlfn.XLOOKUP(Participantes[[#This Row],[Seminario al que asistió]],Seminarios[Seminario],Seminarios[Año])</f>
        <v>2025</v>
      </c>
    </row>
    <row r="864" spans="1:7" x14ac:dyDescent="0.25">
      <c r="A864" s="103" t="s">
        <v>564</v>
      </c>
      <c r="B864" s="93" t="s">
        <v>318</v>
      </c>
      <c r="C864" s="91" t="s">
        <v>218</v>
      </c>
      <c r="D864" s="90" t="s">
        <v>36</v>
      </c>
      <c r="E864" s="90" t="s">
        <v>1</v>
      </c>
      <c r="F864" s="95" t="s">
        <v>28</v>
      </c>
      <c r="G864" s="19">
        <f>_xlfn.XLOOKUP(Participantes[[#This Row],[Seminario al que asistió]],Seminarios[Seminario],Seminarios[Año])</f>
        <v>2025</v>
      </c>
    </row>
    <row r="865" spans="1:7" x14ac:dyDescent="0.25">
      <c r="A865" s="103" t="s">
        <v>285</v>
      </c>
      <c r="B865" s="93" t="s">
        <v>286</v>
      </c>
      <c r="C865" s="91" t="s">
        <v>218</v>
      </c>
      <c r="D865" s="90" t="s">
        <v>36</v>
      </c>
      <c r="E865" s="90" t="s">
        <v>1</v>
      </c>
      <c r="F865" s="95" t="s">
        <v>28</v>
      </c>
      <c r="G865" s="19">
        <f>_xlfn.XLOOKUP(Participantes[[#This Row],[Seminario al que asistió]],Seminarios[Seminario],Seminarios[Año])</f>
        <v>2025</v>
      </c>
    </row>
    <row r="866" spans="1:7" x14ac:dyDescent="0.25">
      <c r="A866" s="103" t="s">
        <v>234</v>
      </c>
      <c r="B866" s="93" t="s">
        <v>235</v>
      </c>
      <c r="C866" s="91" t="s">
        <v>218</v>
      </c>
      <c r="D866" s="90" t="s">
        <v>36</v>
      </c>
      <c r="E866" s="90" t="s">
        <v>1</v>
      </c>
      <c r="F866" s="95" t="s">
        <v>28</v>
      </c>
      <c r="G866" s="19">
        <f>_xlfn.XLOOKUP(Participantes[[#This Row],[Seminario al que asistió]],Seminarios[Seminario],Seminarios[Año])</f>
        <v>2025</v>
      </c>
    </row>
    <row r="867" spans="1:7" x14ac:dyDescent="0.25">
      <c r="A867" s="103" t="s">
        <v>876</v>
      </c>
      <c r="B867" s="93" t="s">
        <v>698</v>
      </c>
      <c r="C867" s="91" t="s">
        <v>221</v>
      </c>
      <c r="D867" s="90" t="s">
        <v>48</v>
      </c>
      <c r="E867" s="90" t="s">
        <v>1</v>
      </c>
      <c r="F867" s="95" t="s">
        <v>28</v>
      </c>
      <c r="G867" s="19">
        <f>_xlfn.XLOOKUP(Participantes[[#This Row],[Seminario al que asistió]],Seminarios[Seminario],Seminarios[Año])</f>
        <v>2025</v>
      </c>
    </row>
    <row r="868" spans="1:7" x14ac:dyDescent="0.25">
      <c r="A868" s="103" t="s">
        <v>917</v>
      </c>
      <c r="B868" s="93" t="s">
        <v>553</v>
      </c>
      <c r="C868" s="91" t="s">
        <v>218</v>
      </c>
      <c r="D868" s="90" t="s">
        <v>36</v>
      </c>
      <c r="E868" s="90" t="s">
        <v>1</v>
      </c>
      <c r="F868" s="95" t="s">
        <v>28</v>
      </c>
      <c r="G868" s="19">
        <f>_xlfn.XLOOKUP(Participantes[[#This Row],[Seminario al que asistió]],Seminarios[Seminario],Seminarios[Año])</f>
        <v>2025</v>
      </c>
    </row>
    <row r="869" spans="1:7" x14ac:dyDescent="0.25">
      <c r="A869" s="103" t="s">
        <v>558</v>
      </c>
      <c r="B869" s="93" t="s">
        <v>288</v>
      </c>
      <c r="C869" s="91" t="s">
        <v>218</v>
      </c>
      <c r="D869" s="90" t="s">
        <v>36</v>
      </c>
      <c r="E869" s="90" t="s">
        <v>1</v>
      </c>
      <c r="F869" s="95" t="s">
        <v>28</v>
      </c>
      <c r="G869" s="19">
        <f>_xlfn.XLOOKUP(Participantes[[#This Row],[Seminario al que asistió]],Seminarios[Seminario],Seminarios[Año])</f>
        <v>2025</v>
      </c>
    </row>
    <row r="870" spans="1:7" x14ac:dyDescent="0.25">
      <c r="A870" s="103" t="s">
        <v>918</v>
      </c>
      <c r="B870" s="93"/>
      <c r="C870" s="91" t="s">
        <v>221</v>
      </c>
      <c r="D870" s="90" t="s">
        <v>48</v>
      </c>
      <c r="E870" s="90" t="s">
        <v>1</v>
      </c>
      <c r="F870" s="95" t="s">
        <v>28</v>
      </c>
      <c r="G870" s="19">
        <f>_xlfn.XLOOKUP(Participantes[[#This Row],[Seminario al que asistió]],Seminarios[Seminario],Seminarios[Año])</f>
        <v>2025</v>
      </c>
    </row>
    <row r="871" spans="1:7" x14ac:dyDescent="0.25">
      <c r="A871" s="103" t="s">
        <v>886</v>
      </c>
      <c r="B871" s="93" t="s">
        <v>321</v>
      </c>
      <c r="C871" s="91" t="s">
        <v>218</v>
      </c>
      <c r="D871" s="90" t="s">
        <v>36</v>
      </c>
      <c r="E871" s="90" t="s">
        <v>1</v>
      </c>
      <c r="F871" s="95" t="s">
        <v>28</v>
      </c>
      <c r="G871" s="19">
        <f>_xlfn.XLOOKUP(Participantes[[#This Row],[Seminario al que asistió]],Seminarios[Seminario],Seminarios[Año])</f>
        <v>2025</v>
      </c>
    </row>
    <row r="872" spans="1:7" x14ac:dyDescent="0.25">
      <c r="A872" s="103" t="s">
        <v>219</v>
      </c>
      <c r="B872" s="93" t="s">
        <v>220</v>
      </c>
      <c r="C872" s="91" t="s">
        <v>221</v>
      </c>
      <c r="D872" s="91" t="s">
        <v>36</v>
      </c>
      <c r="E872" s="90" t="s">
        <v>1</v>
      </c>
      <c r="F872" s="95" t="s">
        <v>28</v>
      </c>
      <c r="G872" s="19">
        <f>_xlfn.XLOOKUP(Participantes[[#This Row],[Seminario al que asistió]],Seminarios[Seminario],Seminarios[Año])</f>
        <v>2025</v>
      </c>
    </row>
    <row r="873" spans="1:7" ht="15.75" thickBot="1" x14ac:dyDescent="0.3">
      <c r="A873" s="104" t="s">
        <v>919</v>
      </c>
      <c r="B873" s="105"/>
      <c r="C873" s="106" t="s">
        <v>221</v>
      </c>
      <c r="D873" s="96" t="s">
        <v>48</v>
      </c>
      <c r="E873" s="96" t="s">
        <v>1</v>
      </c>
      <c r="F873" s="97" t="s">
        <v>28</v>
      </c>
      <c r="G873" s="19">
        <f>_xlfn.XLOOKUP(Participantes[[#This Row],[Seminario al que asistió]],Seminarios[Seminario],Seminarios[Año])</f>
        <v>2025</v>
      </c>
    </row>
    <row r="874" spans="1:7" x14ac:dyDescent="0.25">
      <c r="A874" s="4" t="s">
        <v>920</v>
      </c>
      <c r="B874" s="5" t="s">
        <v>921</v>
      </c>
      <c r="C874" s="5" t="s">
        <v>218</v>
      </c>
      <c r="D874" s="94" t="s">
        <v>36</v>
      </c>
      <c r="E874" s="94" t="s">
        <v>1</v>
      </c>
      <c r="F874" s="98" t="s">
        <v>31</v>
      </c>
      <c r="G874" s="19">
        <f>_xlfn.XLOOKUP(Participantes[[#This Row],[Seminario al que asistió]],Seminarios[Seminario],Seminarios[Año])</f>
        <v>2025</v>
      </c>
    </row>
    <row r="875" spans="1:7" x14ac:dyDescent="0.25">
      <c r="A875" s="7" t="s">
        <v>274</v>
      </c>
      <c r="B875" s="3" t="s">
        <v>275</v>
      </c>
      <c r="C875" s="3" t="s">
        <v>218</v>
      </c>
      <c r="D875" s="90" t="s">
        <v>36</v>
      </c>
      <c r="E875" s="90" t="s">
        <v>1</v>
      </c>
      <c r="F875" s="95" t="s">
        <v>31</v>
      </c>
      <c r="G875" s="19">
        <f>_xlfn.XLOOKUP(Participantes[[#This Row],[Seminario al que asistió]],Seminarios[Seminario],Seminarios[Año])</f>
        <v>2025</v>
      </c>
    </row>
    <row r="876" spans="1:7" x14ac:dyDescent="0.25">
      <c r="A876" s="7" t="s">
        <v>833</v>
      </c>
      <c r="B876" s="3" t="s">
        <v>834</v>
      </c>
      <c r="C876" s="3" t="s">
        <v>221</v>
      </c>
      <c r="D876" s="90" t="s">
        <v>36</v>
      </c>
      <c r="E876" s="90" t="s">
        <v>1</v>
      </c>
      <c r="F876" s="95" t="s">
        <v>31</v>
      </c>
      <c r="G876" s="19">
        <f>_xlfn.XLOOKUP(Participantes[[#This Row],[Seminario al que asistió]],Seminarios[Seminario],Seminarios[Año])</f>
        <v>2025</v>
      </c>
    </row>
    <row r="877" spans="1:7" ht="15.75" thickBot="1" x14ac:dyDescent="0.3">
      <c r="A877" s="9" t="s">
        <v>35</v>
      </c>
      <c r="B877" s="10" t="s">
        <v>922</v>
      </c>
      <c r="C877" s="10" t="s">
        <v>218</v>
      </c>
      <c r="D877" s="96" t="s">
        <v>48</v>
      </c>
      <c r="E877" s="96" t="s">
        <v>1</v>
      </c>
      <c r="F877" s="97" t="s">
        <v>31</v>
      </c>
      <c r="G877" s="19">
        <f>_xlfn.XLOOKUP(Participantes[[#This Row],[Seminario al que asistió]],Seminarios[Seminario],Seminarios[Año])</f>
        <v>2025</v>
      </c>
    </row>
    <row r="878" spans="1:7" x14ac:dyDescent="0.25">
      <c r="A878" s="46" t="s">
        <v>285</v>
      </c>
      <c r="B878" s="12" t="s">
        <v>286</v>
      </c>
      <c r="C878" s="12" t="s">
        <v>218</v>
      </c>
      <c r="D878" s="99" t="s">
        <v>36</v>
      </c>
      <c r="E878" s="12" t="s">
        <v>1</v>
      </c>
      <c r="F878" s="100" t="s">
        <v>34</v>
      </c>
      <c r="G878" s="19">
        <f>_xlfn.XLOOKUP(Participantes[[#This Row],[Seminario al que asistió]],Seminarios[Seminario],Seminarios[Año])</f>
        <v>2025</v>
      </c>
    </row>
    <row r="879" spans="1:7" x14ac:dyDescent="0.25">
      <c r="A879" s="7" t="s">
        <v>501</v>
      </c>
      <c r="B879" s="3" t="s">
        <v>297</v>
      </c>
      <c r="C879" s="3" t="s">
        <v>221</v>
      </c>
      <c r="D879" s="90" t="s">
        <v>36</v>
      </c>
      <c r="E879" s="3" t="s">
        <v>1</v>
      </c>
      <c r="F879" s="95" t="s">
        <v>34</v>
      </c>
      <c r="G879" s="19">
        <f>_xlfn.XLOOKUP(Participantes[[#This Row],[Seminario al que asistió]],Seminarios[Seminario],Seminarios[Año])</f>
        <v>2025</v>
      </c>
    </row>
    <row r="880" spans="1:7" x14ac:dyDescent="0.25">
      <c r="A880" s="7" t="s">
        <v>883</v>
      </c>
      <c r="B880" t="s">
        <v>884</v>
      </c>
      <c r="C880" s="3" t="s">
        <v>218</v>
      </c>
      <c r="D880" s="90" t="s">
        <v>36</v>
      </c>
      <c r="E880" s="3" t="s">
        <v>1</v>
      </c>
      <c r="F880" s="95" t="s">
        <v>34</v>
      </c>
      <c r="G880" s="19">
        <f>_xlfn.XLOOKUP(Participantes[[#This Row],[Seminario al que asistió]],Seminarios[Seminario],Seminarios[Año])</f>
        <v>2025</v>
      </c>
    </row>
    <row r="881" spans="1:7" x14ac:dyDescent="0.25">
      <c r="A881" s="7" t="s">
        <v>923</v>
      </c>
      <c r="B881" s="3" t="s">
        <v>924</v>
      </c>
      <c r="C881" s="3" t="s">
        <v>221</v>
      </c>
      <c r="D881" s="90" t="s">
        <v>36</v>
      </c>
      <c r="E881" s="3" t="s">
        <v>1</v>
      </c>
      <c r="F881" s="95" t="s">
        <v>34</v>
      </c>
      <c r="G881" s="19">
        <f>_xlfn.XLOOKUP(Participantes[[#This Row],[Seminario al que asistió]],Seminarios[Seminario],Seminarios[Año])</f>
        <v>2025</v>
      </c>
    </row>
    <row r="882" spans="1:7" x14ac:dyDescent="0.25">
      <c r="A882" s="7" t="s">
        <v>925</v>
      </c>
      <c r="B882" s="3" t="s">
        <v>926</v>
      </c>
      <c r="C882" s="3" t="s">
        <v>218</v>
      </c>
      <c r="D882" s="90" t="s">
        <v>36</v>
      </c>
      <c r="E882" s="3" t="s">
        <v>1</v>
      </c>
      <c r="F882" s="95" t="s">
        <v>34</v>
      </c>
      <c r="G882" s="19">
        <f>_xlfn.XLOOKUP(Participantes[[#This Row],[Seminario al que asistió]],Seminarios[Seminario],Seminarios[Año])</f>
        <v>2025</v>
      </c>
    </row>
    <row r="883" spans="1:7" x14ac:dyDescent="0.25">
      <c r="A883" s="7" t="s">
        <v>927</v>
      </c>
      <c r="B883" s="3" t="s">
        <v>928</v>
      </c>
      <c r="C883" s="3" t="s">
        <v>221</v>
      </c>
      <c r="D883" s="90" t="s">
        <v>36</v>
      </c>
      <c r="E883" s="3" t="s">
        <v>1</v>
      </c>
      <c r="F883" s="95" t="s">
        <v>34</v>
      </c>
      <c r="G883" s="19">
        <f>_xlfn.XLOOKUP(Participantes[[#This Row],[Seminario al que asistió]],Seminarios[Seminario],Seminarios[Año])</f>
        <v>2025</v>
      </c>
    </row>
    <row r="884" spans="1:7" x14ac:dyDescent="0.25">
      <c r="A884" s="7" t="s">
        <v>929</v>
      </c>
      <c r="B884" s="3" t="s">
        <v>930</v>
      </c>
      <c r="C884" s="3" t="s">
        <v>218</v>
      </c>
      <c r="D884" s="90" t="s">
        <v>36</v>
      </c>
      <c r="E884" s="3" t="s">
        <v>1</v>
      </c>
      <c r="F884" s="95" t="s">
        <v>34</v>
      </c>
      <c r="G884" s="19">
        <f>_xlfn.XLOOKUP(Participantes[[#This Row],[Seminario al que asistió]],Seminarios[Seminario],Seminarios[Año])</f>
        <v>2025</v>
      </c>
    </row>
    <row r="885" spans="1:7" x14ac:dyDescent="0.25">
      <c r="A885" s="7" t="s">
        <v>274</v>
      </c>
      <c r="B885" s="3" t="s">
        <v>275</v>
      </c>
      <c r="C885" s="3" t="s">
        <v>218</v>
      </c>
      <c r="D885" s="90" t="s">
        <v>36</v>
      </c>
      <c r="E885" s="3" t="s">
        <v>1</v>
      </c>
      <c r="F885" s="95" t="s">
        <v>34</v>
      </c>
      <c r="G885" s="19">
        <f>_xlfn.XLOOKUP(Participantes[[#This Row],[Seminario al que asistió]],Seminarios[Seminario],Seminarios[Año])</f>
        <v>2025</v>
      </c>
    </row>
    <row r="886" spans="1:7" x14ac:dyDescent="0.25">
      <c r="A886" s="7" t="s">
        <v>468</v>
      </c>
      <c r="B886" t="s">
        <v>220</v>
      </c>
      <c r="C886" s="3" t="s">
        <v>221</v>
      </c>
      <c r="D886" s="90" t="s">
        <v>36</v>
      </c>
      <c r="E886" s="3" t="s">
        <v>1</v>
      </c>
      <c r="F886" s="95" t="s">
        <v>34</v>
      </c>
      <c r="G886" s="19">
        <f>_xlfn.XLOOKUP(Participantes[[#This Row],[Seminario al que asistió]],Seminarios[Seminario],Seminarios[Año])</f>
        <v>2025</v>
      </c>
    </row>
    <row r="887" spans="1:7" x14ac:dyDescent="0.25">
      <c r="A887" s="7" t="s">
        <v>675</v>
      </c>
      <c r="B887" s="3" t="s">
        <v>256</v>
      </c>
      <c r="C887" s="3" t="s">
        <v>218</v>
      </c>
      <c r="D887" s="90" t="s">
        <v>36</v>
      </c>
      <c r="E887" s="3" t="s">
        <v>1</v>
      </c>
      <c r="F887" s="95" t="s">
        <v>34</v>
      </c>
      <c r="G887" s="19">
        <f>_xlfn.XLOOKUP(Participantes[[#This Row],[Seminario al que asistió]],Seminarios[Seminario],Seminarios[Año])</f>
        <v>2025</v>
      </c>
    </row>
    <row r="888" spans="1:7" x14ac:dyDescent="0.25">
      <c r="A888" s="7" t="s">
        <v>931</v>
      </c>
      <c r="B888" s="3" t="s">
        <v>932</v>
      </c>
      <c r="C888" s="3" t="s">
        <v>221</v>
      </c>
      <c r="D888" s="90" t="s">
        <v>36</v>
      </c>
      <c r="E888" s="3" t="s">
        <v>1</v>
      </c>
      <c r="F888" s="95" t="s">
        <v>34</v>
      </c>
      <c r="G888" s="19">
        <f>_xlfn.XLOOKUP(Participantes[[#This Row],[Seminario al que asistió]],Seminarios[Seminario],Seminarios[Año])</f>
        <v>2025</v>
      </c>
    </row>
    <row r="889" spans="1:7" x14ac:dyDescent="0.25">
      <c r="A889" s="7" t="s">
        <v>291</v>
      </c>
      <c r="B889" s="3" t="s">
        <v>292</v>
      </c>
      <c r="C889" s="3" t="s">
        <v>221</v>
      </c>
      <c r="D889" s="90" t="s">
        <v>36</v>
      </c>
      <c r="E889" s="3" t="s">
        <v>1</v>
      </c>
      <c r="F889" s="95" t="s">
        <v>34</v>
      </c>
      <c r="G889" s="19">
        <f>_xlfn.XLOOKUP(Participantes[[#This Row],[Seminario al que asistió]],Seminarios[Seminario],Seminarios[Año])</f>
        <v>2025</v>
      </c>
    </row>
    <row r="890" spans="1:7" x14ac:dyDescent="0.25">
      <c r="A890" s="7" t="s">
        <v>933</v>
      </c>
      <c r="B890" s="3" t="s">
        <v>934</v>
      </c>
      <c r="C890" s="3" t="s">
        <v>221</v>
      </c>
      <c r="D890" s="90" t="s">
        <v>36</v>
      </c>
      <c r="E890" s="3" t="s">
        <v>1</v>
      </c>
      <c r="F890" s="95" t="s">
        <v>34</v>
      </c>
      <c r="G890" s="19">
        <f>_xlfn.XLOOKUP(Participantes[[#This Row],[Seminario al que asistió]],Seminarios[Seminario],Seminarios[Año])</f>
        <v>2025</v>
      </c>
    </row>
    <row r="891" spans="1:7" x14ac:dyDescent="0.25">
      <c r="A891" s="7" t="s">
        <v>935</v>
      </c>
      <c r="B891" t="s">
        <v>936</v>
      </c>
      <c r="C891" s="3" t="s">
        <v>221</v>
      </c>
      <c r="D891" s="90" t="s">
        <v>36</v>
      </c>
      <c r="E891" s="3" t="s">
        <v>1</v>
      </c>
      <c r="F891" s="95" t="s">
        <v>34</v>
      </c>
      <c r="G891" s="19">
        <f>_xlfn.XLOOKUP(Participantes[[#This Row],[Seminario al que asistió]],Seminarios[Seminario],Seminarios[Año])</f>
        <v>2025</v>
      </c>
    </row>
    <row r="892" spans="1:7" x14ac:dyDescent="0.25">
      <c r="A892" s="7" t="s">
        <v>831</v>
      </c>
      <c r="B892" s="3" t="s">
        <v>304</v>
      </c>
      <c r="C892" s="3" t="s">
        <v>221</v>
      </c>
      <c r="D892" s="90" t="s">
        <v>36</v>
      </c>
      <c r="E892" s="3" t="s">
        <v>1</v>
      </c>
      <c r="F892" s="95" t="s">
        <v>34</v>
      </c>
      <c r="G892" s="19">
        <f>_xlfn.XLOOKUP(Participantes[[#This Row],[Seminario al que asistió]],Seminarios[Seminario],Seminarios[Año])</f>
        <v>2025</v>
      </c>
    </row>
    <row r="893" spans="1:7" ht="15.75" thickBot="1" x14ac:dyDescent="0.3">
      <c r="A893" s="9" t="s">
        <v>937</v>
      </c>
      <c r="B893" s="10" t="s">
        <v>912</v>
      </c>
      <c r="C893" s="10" t="s">
        <v>218</v>
      </c>
      <c r="D893" s="96" t="s">
        <v>36</v>
      </c>
      <c r="E893" s="10" t="s">
        <v>1</v>
      </c>
      <c r="F893" s="97" t="s">
        <v>34</v>
      </c>
      <c r="G893" s="19">
        <f>_xlfn.XLOOKUP(Participantes[[#This Row],[Seminario al que asistió]],Seminarios[Seminario],Seminarios[Año])</f>
        <v>2025</v>
      </c>
    </row>
    <row r="894" spans="1:7" x14ac:dyDescent="0.25">
      <c r="A894" s="107" t="s">
        <v>558</v>
      </c>
      <c r="B894" s="5" t="str">
        <f>_xlfn.XLOOKUP(Participantes[[#This Row],[Nombre]],$A2:$A893,$B2:$B893)</f>
        <v>f.reinosoc@uniandes.edu.co</v>
      </c>
      <c r="C894" s="5" t="str">
        <f>_xlfn.XLOOKUP(Participantes[[#This Row],[Nombre]],$A2:$A893,$C2:$C893)</f>
        <v>M</v>
      </c>
      <c r="D894" s="5" t="str">
        <f>_xlfn.XLOOKUP(Participantes[[#This Row],[Nombre]],$A2:$A893,$D2:$D893)</f>
        <v>Professor</v>
      </c>
      <c r="E894" s="5" t="s">
        <v>1</v>
      </c>
      <c r="F894" s="6" t="s">
        <v>114</v>
      </c>
      <c r="G894" s="19">
        <f>_xlfn.XLOOKUP(Participantes[[#This Row],[Seminario al que asistió]],Seminarios[Seminario],Seminarios[Año])</f>
        <v>2025</v>
      </c>
    </row>
    <row r="895" spans="1:7" x14ac:dyDescent="0.25">
      <c r="A895" s="108" t="s">
        <v>518</v>
      </c>
      <c r="B895" s="3" t="str">
        <f>_xlfn.XLOOKUP(Participantes[[#This Row],[Nombre]],$A3:$A894,$B3:$B894)</f>
        <v>x.rueda@uniandes.edu.co</v>
      </c>
      <c r="C895" s="3" t="str">
        <f>_xlfn.XLOOKUP(Participantes[[#This Row],[Nombre]],$A3:$A894,$C3:$C894)</f>
        <v>F</v>
      </c>
      <c r="D895" s="3" t="str">
        <f>_xlfn.XLOOKUP(Participantes[[#This Row],[Nombre]],$A3:$A894,$D3:$D894)</f>
        <v>Professor</v>
      </c>
      <c r="E895" s="3" t="s">
        <v>1</v>
      </c>
      <c r="F895" s="8" t="s">
        <v>114</v>
      </c>
      <c r="G895" s="19">
        <f>_xlfn.XLOOKUP(Participantes[[#This Row],[Seminario al que asistió]],Seminarios[Seminario],Seminarios[Año])</f>
        <v>2025</v>
      </c>
    </row>
    <row r="896" spans="1:7" x14ac:dyDescent="0.25">
      <c r="A896" s="108" t="s">
        <v>335</v>
      </c>
      <c r="B896" s="3" t="str">
        <f>_xlfn.XLOOKUP(Participantes[[#This Row],[Nombre]],$A4:$A895,$B4:$B895)</f>
        <v>sm.dakduk@uniandes.edu.co</v>
      </c>
      <c r="C896" s="3" t="str">
        <f>_xlfn.XLOOKUP(Participantes[[#This Row],[Nombre]],$A4:$A895,$C4:$C895)</f>
        <v>F</v>
      </c>
      <c r="D896" s="3" t="str">
        <f>_xlfn.XLOOKUP(Participantes[[#This Row],[Nombre]],$A4:$A895,$D4:$D895)</f>
        <v>Professor</v>
      </c>
      <c r="E896" s="3" t="s">
        <v>1</v>
      </c>
      <c r="F896" s="8" t="s">
        <v>114</v>
      </c>
      <c r="G896" s="19">
        <f>_xlfn.XLOOKUP(Participantes[[#This Row],[Seminario al que asistió]],Seminarios[Seminario],Seminarios[Año])</f>
        <v>2025</v>
      </c>
    </row>
    <row r="897" spans="1:7" x14ac:dyDescent="0.25">
      <c r="A897" s="108" t="s">
        <v>255</v>
      </c>
      <c r="B897" s="3" t="str">
        <f>_xlfn.XLOOKUP(Participantes[[#This Row],[Nombre]],$A5:$A896,$B5:$B896)</f>
        <v>maxgonza@uniandes.edu.co</v>
      </c>
      <c r="C897" s="3" t="str">
        <f>_xlfn.XLOOKUP(Participantes[[#This Row],[Nombre]],$A5:$A896,$C5:$C896)</f>
        <v>M</v>
      </c>
      <c r="D897" s="3" t="str">
        <f>_xlfn.XLOOKUP(Participantes[[#This Row],[Nombre]],$A5:$A896,$D5:$D896)</f>
        <v>Professor</v>
      </c>
      <c r="E897" s="3" t="s">
        <v>1</v>
      </c>
      <c r="F897" s="8" t="s">
        <v>114</v>
      </c>
      <c r="G897" s="19">
        <f>_xlfn.XLOOKUP(Participantes[[#This Row],[Seminario al que asistió]],Seminarios[Seminario],Seminarios[Año])</f>
        <v>2025</v>
      </c>
    </row>
    <row r="898" spans="1:7" x14ac:dyDescent="0.25">
      <c r="A898" s="111" t="s">
        <v>879</v>
      </c>
      <c r="B898" s="3" t="str">
        <f>_xlfn.XLOOKUP(Participantes[[#This Row],[Nombre]],$A6:$A897,$B6:$B897)</f>
        <v>r.taborda@uniandes.edu.co</v>
      </c>
      <c r="C898" s="3" t="str">
        <f>_xlfn.XLOOKUP(Participantes[[#This Row],[Nombre]],$A6:$A897,$C6:$C897)</f>
        <v>M</v>
      </c>
      <c r="D898" s="3" t="str">
        <f>_xlfn.XLOOKUP(Participantes[[#This Row],[Nombre]],$A6:$A897,$D6:$D897)</f>
        <v>Professor</v>
      </c>
      <c r="E898" s="3" t="s">
        <v>1</v>
      </c>
      <c r="F898" s="8" t="s">
        <v>114</v>
      </c>
      <c r="G898" s="19">
        <f>_xlfn.XLOOKUP(Participantes[[#This Row],[Seminario al que asistió]],Seminarios[Seminario],Seminarios[Año])</f>
        <v>2025</v>
      </c>
    </row>
    <row r="899" spans="1:7" x14ac:dyDescent="0.25">
      <c r="A899" s="108" t="s">
        <v>234</v>
      </c>
      <c r="B899" s="3" t="str">
        <f>_xlfn.XLOOKUP(Participantes[[#This Row],[Nombre]],$A7:$A898,$B7:$B898)</f>
        <v>d.higa@uniandes.edu.co</v>
      </c>
      <c r="C899" s="3" t="str">
        <f>_xlfn.XLOOKUP(Participantes[[#This Row],[Nombre]],$A7:$A898,$C7:$C898)</f>
        <v>M</v>
      </c>
      <c r="D899" s="3" t="str">
        <f>_xlfn.XLOOKUP(Participantes[[#This Row],[Nombre]],$A7:$A898,$D7:$D898)</f>
        <v>Professor</v>
      </c>
      <c r="E899" s="3" t="s">
        <v>1</v>
      </c>
      <c r="F899" s="8" t="s">
        <v>114</v>
      </c>
      <c r="G899" s="19">
        <f>_xlfn.XLOOKUP(Participantes[[#This Row],[Seminario al que asistió]],Seminarios[Seminario],Seminarios[Año])</f>
        <v>2025</v>
      </c>
    </row>
    <row r="900" spans="1:7" x14ac:dyDescent="0.25">
      <c r="A900" s="108" t="s">
        <v>788</v>
      </c>
      <c r="B900" s="3" t="str">
        <f>_xlfn.XLOOKUP(Participantes[[#This Row],[Nombre]],$A8:$A899,$B8:$B899)</f>
        <v>nc.ortiz@uniandes.edu.co</v>
      </c>
      <c r="C900" s="3" t="str">
        <f>_xlfn.XLOOKUP(Participantes[[#This Row],[Nombre]],$A8:$A899,$C8:$C899)</f>
        <v>F</v>
      </c>
      <c r="D900" s="3" t="str">
        <f>_xlfn.XLOOKUP(Participantes[[#This Row],[Nombre]],$A8:$A899,$D8:$D899)</f>
        <v>Professor</v>
      </c>
      <c r="E900" s="3" t="s">
        <v>1</v>
      </c>
      <c r="F900" s="8" t="s">
        <v>114</v>
      </c>
      <c r="G900" s="19">
        <f>_xlfn.XLOOKUP(Participantes[[#This Row],[Seminario al que asistió]],Seminarios[Seminario],Seminarios[Año])</f>
        <v>2025</v>
      </c>
    </row>
    <row r="901" spans="1:7" x14ac:dyDescent="0.25">
      <c r="A901" s="108" t="s">
        <v>177</v>
      </c>
      <c r="B901" s="3" t="str">
        <f>_xlfn.XLOOKUP(Participantes[[#This Row],[Nombre]],$A9:$A900,$B9:$B900)</f>
        <v>l-moros@uniandes.edu.co</v>
      </c>
      <c r="C901" s="3" t="str">
        <f>_xlfn.XLOOKUP(Participantes[[#This Row],[Nombre]],$A9:$A900,$C9:$C900)</f>
        <v>F</v>
      </c>
      <c r="D901" s="3" t="str">
        <f>_xlfn.XLOOKUP(Participantes[[#This Row],[Nombre]],$A9:$A900,$D9:$D900)</f>
        <v>Professor</v>
      </c>
      <c r="E901" s="3" t="s">
        <v>1</v>
      </c>
      <c r="F901" s="8" t="s">
        <v>114</v>
      </c>
      <c r="G901" s="19">
        <f>_xlfn.XLOOKUP(Participantes[[#This Row],[Seminario al que asistió]],Seminarios[Seminario],Seminarios[Año])</f>
        <v>2025</v>
      </c>
    </row>
    <row r="902" spans="1:7" x14ac:dyDescent="0.25">
      <c r="A902" s="108" t="s">
        <v>772</v>
      </c>
      <c r="B902" s="3" t="str">
        <f>_xlfn.XLOOKUP(Participantes[[#This Row],[Nombre]],$A10:$A901,$B10:$B901)</f>
        <v>so-camac@uniandes.edu.co</v>
      </c>
      <c r="C902" s="3" t="str">
        <f>_xlfn.XLOOKUP(Participantes[[#This Row],[Nombre]],$A10:$A901,$C10:$C901)</f>
        <v>F</v>
      </c>
      <c r="D902" s="3" t="str">
        <f>_xlfn.XLOOKUP(Participantes[[#This Row],[Nombre]],$A10:$A901,$D10:$D901)</f>
        <v>Professor</v>
      </c>
      <c r="E902" s="3" t="s">
        <v>1</v>
      </c>
      <c r="F902" s="8" t="s">
        <v>114</v>
      </c>
      <c r="G902" s="19">
        <f>_xlfn.XLOOKUP(Participantes[[#This Row],[Seminario al que asistió]],Seminarios[Seminario],Seminarios[Año])</f>
        <v>2025</v>
      </c>
    </row>
    <row r="903" spans="1:7" x14ac:dyDescent="0.25">
      <c r="A903" s="108" t="s">
        <v>773</v>
      </c>
      <c r="B903" s="3" t="str">
        <f>_xlfn.XLOOKUP(Participantes[[#This Row],[Nombre]],$A11:$A902,$B11:$B902)</f>
        <v>xh.duran21@uniandes.edu.co</v>
      </c>
      <c r="C903" s="3" t="str">
        <f>_xlfn.XLOOKUP(Participantes[[#This Row],[Nombre]],$A11:$A902,$C11:$C902)</f>
        <v>M</v>
      </c>
      <c r="D903" s="3" t="str">
        <f>_xlfn.XLOOKUP(Participantes[[#This Row],[Nombre]],$A11:$A902,$D11:$D902)</f>
        <v>Professor</v>
      </c>
      <c r="E903" s="3" t="s">
        <v>1</v>
      </c>
      <c r="F903" s="8" t="s">
        <v>114</v>
      </c>
      <c r="G903" s="19">
        <f>_xlfn.XLOOKUP(Participantes[[#This Row],[Seminario al que asistió]],Seminarios[Seminario],Seminarios[Año])</f>
        <v>2025</v>
      </c>
    </row>
    <row r="904" spans="1:7" x14ac:dyDescent="0.25">
      <c r="A904" s="108" t="s">
        <v>820</v>
      </c>
      <c r="B904" s="3" t="str">
        <f>_xlfn.XLOOKUP(Participantes[[#This Row],[Nombre]],$A12:$A903,$B12:$B903)</f>
        <v>ma.martinezc1@uniandes.edu.co</v>
      </c>
      <c r="C904" s="3" t="str">
        <f>_xlfn.XLOOKUP(Participantes[[#This Row],[Nombre]],$A12:$A903,$C12:$C903)</f>
        <v>M</v>
      </c>
      <c r="D904" s="3" t="str">
        <f>_xlfn.XLOOKUP(Participantes[[#This Row],[Nombre]],$A12:$A903,$D12:$D903)</f>
        <v>Professor</v>
      </c>
      <c r="E904" s="3" t="s">
        <v>1</v>
      </c>
      <c r="F904" s="8" t="s">
        <v>114</v>
      </c>
      <c r="G904" s="19">
        <f>_xlfn.XLOOKUP(Participantes[[#This Row],[Seminario al que asistió]],Seminarios[Seminario],Seminarios[Año])</f>
        <v>2025</v>
      </c>
    </row>
    <row r="905" spans="1:7" x14ac:dyDescent="0.25">
      <c r="A905" s="108" t="s">
        <v>293</v>
      </c>
      <c r="B905" s="3" t="str">
        <f>_xlfn.XLOOKUP(Participantes[[#This Row],[Nombre]],$A13:$A904,$B13:$B904)</f>
        <v>andr-bar@uniandes.edu.co</v>
      </c>
      <c r="C905" s="3" t="str">
        <f>_xlfn.XLOOKUP(Participantes[[#This Row],[Nombre]],$A13:$A904,$C13:$C904)</f>
        <v>M</v>
      </c>
      <c r="D905" s="3" t="str">
        <f>_xlfn.XLOOKUP(Participantes[[#This Row],[Nombre]],$A13:$A904,$D13:$D904)</f>
        <v>Professor</v>
      </c>
      <c r="E905" s="3" t="s">
        <v>1</v>
      </c>
      <c r="F905" s="8" t="s">
        <v>114</v>
      </c>
      <c r="G905" s="19">
        <f>_xlfn.XLOOKUP(Participantes[[#This Row],[Seminario al que asistió]],Seminarios[Seminario],Seminarios[Año])</f>
        <v>2025</v>
      </c>
    </row>
    <row r="906" spans="1:7" x14ac:dyDescent="0.25">
      <c r="A906" s="108" t="s">
        <v>260</v>
      </c>
      <c r="B906" s="3" t="str">
        <f>_xlfn.XLOOKUP(Participantes[[#This Row],[Nombre]],$A14:$A905,$B14:$B905)</f>
        <v>o.-ranjodelgiudice@uniandes.edu.co</v>
      </c>
      <c r="C906" s="3" t="str">
        <f>_xlfn.XLOOKUP(Participantes[[#This Row],[Nombre]],$A14:$A905,$C14:$C905)</f>
        <v>M</v>
      </c>
      <c r="D906" s="3" t="str">
        <f>_xlfn.XLOOKUP(Participantes[[#This Row],[Nombre]],$A14:$A905,$D14:$D905)</f>
        <v>Professor</v>
      </c>
      <c r="E906" s="3" t="s">
        <v>1</v>
      </c>
      <c r="F906" s="8" t="s">
        <v>114</v>
      </c>
      <c r="G906" s="19">
        <f>_xlfn.XLOOKUP(Participantes[[#This Row],[Seminario al que asistió]],Seminarios[Seminario],Seminarios[Año])</f>
        <v>2025</v>
      </c>
    </row>
    <row r="907" spans="1:7" x14ac:dyDescent="0.25">
      <c r="A907" s="108" t="s">
        <v>280</v>
      </c>
      <c r="B907" s="3" t="str">
        <f>_xlfn.XLOOKUP(Participantes[[#This Row],[Nombre]],$A15:$A906,$B15:$B906)</f>
        <v>nvelasco@uniandes.edu.co</v>
      </c>
      <c r="C907" s="3" t="str">
        <f>_xlfn.XLOOKUP(Participantes[[#This Row],[Nombre]],$A15:$A906,$C15:$C906)</f>
        <v>F</v>
      </c>
      <c r="D907" s="3" t="str">
        <f>_xlfn.XLOOKUP(Participantes[[#This Row],[Nombre]],$A15:$A906,$D15:$D906)</f>
        <v>Professor</v>
      </c>
      <c r="E907" s="3" t="s">
        <v>1</v>
      </c>
      <c r="F907" s="8" t="s">
        <v>114</v>
      </c>
      <c r="G907" s="19">
        <f>_xlfn.XLOOKUP(Participantes[[#This Row],[Seminario al que asistió]],Seminarios[Seminario],Seminarios[Año])</f>
        <v>2025</v>
      </c>
    </row>
    <row r="908" spans="1:7" x14ac:dyDescent="0.25">
      <c r="A908" s="108" t="s">
        <v>271</v>
      </c>
      <c r="B908" s="3" t="str">
        <f>_xlfn.XLOOKUP(Participantes[[#This Row],[Nombre]],$A16:$A907,$B16:$B907)</f>
        <v>j.malagon@uniandes.edu.co</v>
      </c>
      <c r="C908" s="3" t="str">
        <f>_xlfn.XLOOKUP(Participantes[[#This Row],[Nombre]],$A16:$A907,$C16:$C907)</f>
        <v>F</v>
      </c>
      <c r="D908" s="3" t="str">
        <f>_xlfn.XLOOKUP(Participantes[[#This Row],[Nombre]],$A16:$A907,$D16:$D907)</f>
        <v>Professor</v>
      </c>
      <c r="E908" s="3" t="s">
        <v>1</v>
      </c>
      <c r="F908" s="8" t="s">
        <v>114</v>
      </c>
      <c r="G908" s="19">
        <f>_xlfn.XLOOKUP(Participantes[[#This Row],[Seminario al que asistió]],Seminarios[Seminario],Seminarios[Año])</f>
        <v>2025</v>
      </c>
    </row>
    <row r="909" spans="1:7" x14ac:dyDescent="0.25">
      <c r="A909" s="108" t="s">
        <v>661</v>
      </c>
      <c r="B909" s="3" t="str">
        <f>_xlfn.XLOOKUP(Participantes[[#This Row],[Nombre]],$A17:$A908,$B17:$B908)</f>
        <v>jruiz@uniandes.edu.co</v>
      </c>
      <c r="C909" s="3" t="str">
        <f>_xlfn.XLOOKUP(Participantes[[#This Row],[Nombre]],$A17:$A908,$C17:$C908)</f>
        <v>M</v>
      </c>
      <c r="D909" s="3" t="str">
        <f>_xlfn.XLOOKUP(Participantes[[#This Row],[Nombre]],$A17:$A908,$D17:$D908)</f>
        <v>Professor</v>
      </c>
      <c r="E909" s="3" t="s">
        <v>1</v>
      </c>
      <c r="F909" s="8" t="s">
        <v>114</v>
      </c>
      <c r="G909" s="19">
        <f>_xlfn.XLOOKUP(Participantes[[#This Row],[Seminario al que asistió]],Seminarios[Seminario],Seminarios[Año])</f>
        <v>2025</v>
      </c>
    </row>
    <row r="910" spans="1:7" x14ac:dyDescent="0.25">
      <c r="A910" s="108" t="s">
        <v>89</v>
      </c>
      <c r="B910" s="3" t="str">
        <f>_xlfn.XLOOKUP(Participantes[[#This Row],[Nombre]],$A18:$A909,$B18:$B909)</f>
        <v>c.rojasl@uniandes.edu.co</v>
      </c>
      <c r="C910" s="3" t="str">
        <f>_xlfn.XLOOKUP(Participantes[[#This Row],[Nombre]],$A18:$A909,$C18:$C909)</f>
        <v>M</v>
      </c>
      <c r="D910" s="3" t="str">
        <f>_xlfn.XLOOKUP(Participantes[[#This Row],[Nombre]],$A18:$A909,$D18:$D909)</f>
        <v>External</v>
      </c>
      <c r="E910" s="3" t="s">
        <v>1</v>
      </c>
      <c r="F910" s="8" t="s">
        <v>114</v>
      </c>
      <c r="G910" s="19">
        <f>_xlfn.XLOOKUP(Participantes[[#This Row],[Seminario al que asistió]],Seminarios[Seminario],Seminarios[Año])</f>
        <v>2025</v>
      </c>
    </row>
    <row r="911" spans="1:7" x14ac:dyDescent="0.25">
      <c r="A911" s="108" t="s">
        <v>253</v>
      </c>
      <c r="B911" s="3" t="str">
        <f>_xlfn.XLOOKUP(Participantes[[#This Row],[Nombre]],$A19:$A910,$B19:$B910)</f>
        <v>g.triulzi@uniandes.edu.co</v>
      </c>
      <c r="C911" s="3" t="str">
        <f>_xlfn.XLOOKUP(Participantes[[#This Row],[Nombre]],$A19:$A910,$C19:$C910)</f>
        <v>M</v>
      </c>
      <c r="D911" s="3" t="str">
        <f>_xlfn.XLOOKUP(Participantes[[#This Row],[Nombre]],$A19:$A910,$D19:$D910)</f>
        <v>Professor</v>
      </c>
      <c r="E911" s="3" t="s">
        <v>1</v>
      </c>
      <c r="F911" s="8" t="s">
        <v>114</v>
      </c>
      <c r="G911" s="19">
        <f>_xlfn.XLOOKUP(Participantes[[#This Row],[Seminario al que asistió]],Seminarios[Seminario],Seminarios[Año])</f>
        <v>2025</v>
      </c>
    </row>
    <row r="912" spans="1:7" x14ac:dyDescent="0.25">
      <c r="A912" s="108" t="s">
        <v>273</v>
      </c>
      <c r="B912" s="3" t="str">
        <f>_xlfn.XLOOKUP(Participantes[[#This Row],[Nombre]],$A20:$A911,$B20:$B911)</f>
        <v>mazuero@uniandes.edu.co</v>
      </c>
      <c r="C912" s="3" t="str">
        <f>_xlfn.XLOOKUP(Participantes[[#This Row],[Nombre]],$A20:$A911,$C20:$C911)</f>
        <v>M</v>
      </c>
      <c r="D912" s="3" t="str">
        <f>_xlfn.XLOOKUP(Participantes[[#This Row],[Nombre]],$A20:$A911,$D20:$D911)</f>
        <v>Professor</v>
      </c>
      <c r="E912" s="3" t="s">
        <v>1</v>
      </c>
      <c r="F912" s="8" t="s">
        <v>114</v>
      </c>
      <c r="G912" s="19">
        <f>_xlfn.XLOOKUP(Participantes[[#This Row],[Seminario al que asistió]],Seminarios[Seminario],Seminarios[Año])</f>
        <v>2025</v>
      </c>
    </row>
    <row r="913" spans="1:7" x14ac:dyDescent="0.25">
      <c r="A913" s="108" t="s">
        <v>760</v>
      </c>
      <c r="B913" s="3" t="str">
        <f>_xlfn.XLOOKUP(Participantes[[#This Row],[Nombre]],$A21:$A912,$B21:$B912)</f>
        <v>mc.barrios@uniandes.edu.co</v>
      </c>
      <c r="C913" s="3" t="str">
        <f>_xlfn.XLOOKUP(Participantes[[#This Row],[Nombre]],$A21:$A912,$C21:$C912)</f>
        <v>F</v>
      </c>
      <c r="D913" s="3" t="str">
        <f>_xlfn.XLOOKUP(Participantes[[#This Row],[Nombre]],$A21:$A912,$D21:$D912)</f>
        <v>Administrative</v>
      </c>
      <c r="E913" s="3" t="s">
        <v>1</v>
      </c>
      <c r="F913" s="8" t="s">
        <v>114</v>
      </c>
      <c r="G913" s="19">
        <f>_xlfn.XLOOKUP(Participantes[[#This Row],[Seminario al que asistió]],Seminarios[Seminario],Seminarios[Año])</f>
        <v>2025</v>
      </c>
    </row>
    <row r="914" spans="1:7" x14ac:dyDescent="0.25">
      <c r="A914" s="108" t="s">
        <v>554</v>
      </c>
      <c r="B914" s="3" t="str">
        <f>_xlfn.XLOOKUP(Participantes[[#This Row],[Nombre]],$A22:$A913,$B22:$B913)</f>
        <v>j.garciaf@uniandes.edu.co</v>
      </c>
      <c r="C914" s="3" t="str">
        <f>_xlfn.XLOOKUP(Participantes[[#This Row],[Nombre]],$A22:$A913,$C22:$C913)</f>
        <v>F</v>
      </c>
      <c r="D914" s="3" t="str">
        <f>_xlfn.XLOOKUP(Participantes[[#This Row],[Nombre]],$A22:$A913,$D22:$D913)</f>
        <v>Professor</v>
      </c>
      <c r="E914" s="3" t="s">
        <v>1</v>
      </c>
      <c r="F914" s="8" t="s">
        <v>114</v>
      </c>
      <c r="G914" s="19">
        <f>_xlfn.XLOOKUP(Participantes[[#This Row],[Seminario al que asistió]],Seminarios[Seminario],Seminarios[Año])</f>
        <v>2025</v>
      </c>
    </row>
    <row r="915" spans="1:7" ht="15.75" thickBot="1" x14ac:dyDescent="0.3">
      <c r="A915" s="109" t="s">
        <v>552</v>
      </c>
      <c r="B915" s="10" t="str">
        <f>_xlfn.XLOOKUP(Participantes[[#This Row],[Nombre]],$A23:$A914,$B23:$B914)</f>
        <v>joospina@uniandes.edu.co</v>
      </c>
      <c r="C915" s="10" t="str">
        <f>_xlfn.XLOOKUP(Participantes[[#This Row],[Nombre]],$A23:$A914,$C23:$C914)</f>
        <v>M</v>
      </c>
      <c r="D915" s="10" t="str">
        <f>_xlfn.XLOOKUP(Participantes[[#This Row],[Nombre]],$A23:$A914,$D23:$D914)</f>
        <v>Professor</v>
      </c>
      <c r="E915" s="10" t="s">
        <v>1</v>
      </c>
      <c r="F915" s="11" t="s">
        <v>114</v>
      </c>
      <c r="G915" s="19">
        <f>_xlfn.XLOOKUP(Participantes[[#This Row],[Seminario al que asistió]],Seminarios[Seminario],Seminarios[Año])</f>
        <v>2025</v>
      </c>
    </row>
    <row r="916" spans="1:7" x14ac:dyDescent="0.25">
      <c r="A916" s="110" t="s">
        <v>831</v>
      </c>
      <c r="B916" s="5" t="s">
        <v>304</v>
      </c>
      <c r="C916" s="5" t="str">
        <f>_xlfn.XLOOKUP(Participantes[[#This Row],[Nombre]],$A24:$A915,$C24:$C915)</f>
        <v>F</v>
      </c>
      <c r="D916" s="5" t="str">
        <f>_xlfn.XLOOKUP(Participantes[[#This Row],[Nombre]],$A24:$A915,$D24:$D915)</f>
        <v>Professor</v>
      </c>
      <c r="E916" s="5" t="s">
        <v>5</v>
      </c>
      <c r="F916" s="6" t="s">
        <v>116</v>
      </c>
      <c r="G916" s="19">
        <f>_xlfn.XLOOKUP(Participantes[[#This Row],[Seminario al que asistió]],Seminarios[Seminario],Seminarios[Año])</f>
        <v>2025</v>
      </c>
    </row>
    <row r="917" spans="1:7" x14ac:dyDescent="0.25">
      <c r="A917" s="111" t="s">
        <v>558</v>
      </c>
      <c r="B917" s="3" t="str">
        <f>_xlfn.XLOOKUP(Participantes[[#This Row],[Nombre]],$A25:$A916,$B25:$B916)</f>
        <v>f.reinosoc@uniandes.edu.co</v>
      </c>
      <c r="C917" s="3" t="str">
        <f>_xlfn.XLOOKUP(Participantes[[#This Row],[Nombre]],$A25:$A916,$C25:$C916)</f>
        <v>M</v>
      </c>
      <c r="D917" s="3" t="str">
        <f>_xlfn.XLOOKUP(Participantes[[#This Row],[Nombre]],$A25:$A916,$D25:$D916)</f>
        <v>Professor</v>
      </c>
      <c r="E917" s="3" t="s">
        <v>5</v>
      </c>
      <c r="F917" s="8" t="s">
        <v>116</v>
      </c>
      <c r="G917" s="19">
        <f>_xlfn.XLOOKUP(Participantes[[#This Row],[Seminario al que asistió]],Seminarios[Seminario],Seminarios[Año])</f>
        <v>2025</v>
      </c>
    </row>
    <row r="918" spans="1:7" x14ac:dyDescent="0.25">
      <c r="A918" s="111" t="s">
        <v>335</v>
      </c>
      <c r="B918" s="3" t="str">
        <f>_xlfn.XLOOKUP(Participantes[[#This Row],[Nombre]],$A26:$A917,$B26:$B917)</f>
        <v>sm.dakduk@uniandes.edu.co</v>
      </c>
      <c r="C918" s="3" t="str">
        <f>_xlfn.XLOOKUP(Participantes[[#This Row],[Nombre]],$A26:$A917,$C26:$C917)</f>
        <v>F</v>
      </c>
      <c r="D918" s="3" t="str">
        <f>_xlfn.XLOOKUP(Participantes[[#This Row],[Nombre]],$A26:$A917,$D26:$D917)</f>
        <v>Professor</v>
      </c>
      <c r="E918" s="3" t="s">
        <v>5</v>
      </c>
      <c r="F918" s="8" t="s">
        <v>116</v>
      </c>
      <c r="G918" s="19">
        <f>_xlfn.XLOOKUP(Participantes[[#This Row],[Seminario al que asistió]],Seminarios[Seminario],Seminarios[Año])</f>
        <v>2025</v>
      </c>
    </row>
    <row r="919" spans="1:7" x14ac:dyDescent="0.25">
      <c r="A919" s="111" t="s">
        <v>559</v>
      </c>
      <c r="B919" s="3" t="str">
        <f>_xlfn.XLOOKUP(Participantes[[#This Row],[Nombre]],$A27:$A918,$B27:$B918)</f>
        <v>a.sengupta@uniandes.edu.co</v>
      </c>
      <c r="C919" s="3" t="str">
        <f>_xlfn.XLOOKUP(Participantes[[#This Row],[Nombre]],$A27:$A918,$C27:$C918)</f>
        <v>M</v>
      </c>
      <c r="D919" s="3" t="str">
        <f>_xlfn.XLOOKUP(Participantes[[#This Row],[Nombre]],$A27:$A918,$D27:$D918)</f>
        <v>Professor</v>
      </c>
      <c r="E919" s="3" t="s">
        <v>5</v>
      </c>
      <c r="F919" s="8" t="s">
        <v>116</v>
      </c>
      <c r="G919" s="19">
        <f>_xlfn.XLOOKUP(Participantes[[#This Row],[Seminario al que asistió]],Seminarios[Seminario],Seminarios[Año])</f>
        <v>2025</v>
      </c>
    </row>
    <row r="920" spans="1:7" x14ac:dyDescent="0.25">
      <c r="A920" s="111" t="s">
        <v>293</v>
      </c>
      <c r="B920" s="3" t="str">
        <f>_xlfn.XLOOKUP(Participantes[[#This Row],[Nombre]],$A28:$A919,$B28:$B919)</f>
        <v>andr-bar@uniandes.edu.co</v>
      </c>
      <c r="C920" s="3" t="str">
        <f>_xlfn.XLOOKUP(Participantes[[#This Row],[Nombre]],$A28:$A919,$C28:$C919)</f>
        <v>M</v>
      </c>
      <c r="D920" s="3" t="str">
        <f>_xlfn.XLOOKUP(Participantes[[#This Row],[Nombre]],$A28:$A919,$D28:$D919)</f>
        <v>Professor</v>
      </c>
      <c r="E920" s="3" t="s">
        <v>5</v>
      </c>
      <c r="F920" s="8" t="s">
        <v>116</v>
      </c>
      <c r="G920" s="19">
        <f>_xlfn.XLOOKUP(Participantes[[#This Row],[Seminario al que asistió]],Seminarios[Seminario],Seminarios[Año])</f>
        <v>2025</v>
      </c>
    </row>
    <row r="921" spans="1:7" x14ac:dyDescent="0.25">
      <c r="A921" s="111" t="s">
        <v>234</v>
      </c>
      <c r="B921" s="3" t="str">
        <f>_xlfn.XLOOKUP(Participantes[[#This Row],[Nombre]],$A29:$A920,$B29:$B920)</f>
        <v>d.higa@uniandes.edu.co</v>
      </c>
      <c r="C921" s="3" t="str">
        <f>_xlfn.XLOOKUP(Participantes[[#This Row],[Nombre]],$A29:$A920,$C29:$C920)</f>
        <v>M</v>
      </c>
      <c r="D921" s="3" t="str">
        <f>_xlfn.XLOOKUP(Participantes[[#This Row],[Nombre]],$A29:$A920,$D29:$D920)</f>
        <v>Professor</v>
      </c>
      <c r="E921" s="3" t="s">
        <v>5</v>
      </c>
      <c r="F921" s="8" t="s">
        <v>116</v>
      </c>
      <c r="G921" s="19">
        <f>_xlfn.XLOOKUP(Participantes[[#This Row],[Seminario al que asistió]],Seminarios[Seminario],Seminarios[Año])</f>
        <v>2025</v>
      </c>
    </row>
    <row r="922" spans="1:7" x14ac:dyDescent="0.25">
      <c r="A922" s="111" t="s">
        <v>280</v>
      </c>
      <c r="B922" s="3" t="str">
        <f>_xlfn.XLOOKUP(Participantes[[#This Row],[Nombre]],$A30:$A921,$B30:$B921)</f>
        <v>nvelasco@uniandes.edu.co</v>
      </c>
      <c r="C922" s="3" t="str">
        <f>_xlfn.XLOOKUP(Participantes[[#This Row],[Nombre]],$A30:$A921,$C30:$C921)</f>
        <v>F</v>
      </c>
      <c r="D922" s="3" t="str">
        <f>_xlfn.XLOOKUP(Participantes[[#This Row],[Nombre]],$A30:$A921,$D30:$D921)</f>
        <v>Professor</v>
      </c>
      <c r="E922" s="3" t="s">
        <v>5</v>
      </c>
      <c r="F922" s="8" t="s">
        <v>116</v>
      </c>
      <c r="G922" s="19">
        <f>_xlfn.XLOOKUP(Participantes[[#This Row],[Seminario al que asistió]],Seminarios[Seminario],Seminarios[Año])</f>
        <v>2025</v>
      </c>
    </row>
    <row r="923" spans="1:7" x14ac:dyDescent="0.25">
      <c r="A923" s="111" t="s">
        <v>249</v>
      </c>
      <c r="B923" s="3" t="str">
        <f>_xlfn.XLOOKUP(Participantes[[#This Row],[Nombre]],$A31:$A922,$B31:$B922)</f>
        <v>o.-ranjodelgiudice@uniandes.edu.co</v>
      </c>
      <c r="C923" s="3" t="str">
        <f>_xlfn.XLOOKUP(Participantes[[#This Row],[Nombre]],$A31:$A922,$C31:$C922)</f>
        <v>M</v>
      </c>
      <c r="D923" s="3" t="str">
        <f>_xlfn.XLOOKUP(Participantes[[#This Row],[Nombre]],$A31:$A922,$D31:$D922)</f>
        <v>Professor</v>
      </c>
      <c r="E923" s="3" t="s">
        <v>5</v>
      </c>
      <c r="F923" s="8" t="s">
        <v>116</v>
      </c>
      <c r="G923" s="19">
        <f>_xlfn.XLOOKUP(Participantes[[#This Row],[Seminario al que asistió]],Seminarios[Seminario],Seminarios[Año])</f>
        <v>2025</v>
      </c>
    </row>
    <row r="924" spans="1:7" x14ac:dyDescent="0.25">
      <c r="A924" s="111" t="s">
        <v>879</v>
      </c>
      <c r="B924" s="3" t="str">
        <f>_xlfn.XLOOKUP(Participantes[[#This Row],[Nombre]],$A32:$A923,$B32:$B923)</f>
        <v>r.taborda@uniandes.edu.co</v>
      </c>
      <c r="C924" s="3" t="str">
        <f>_xlfn.XLOOKUP(Participantes[[#This Row],[Nombre]],$A32:$A923,$C32:$C923)</f>
        <v>M</v>
      </c>
      <c r="D924" s="3" t="str">
        <f>_xlfn.XLOOKUP(Participantes[[#This Row],[Nombre]],$A32:$A923,$D32:$D923)</f>
        <v>Professor</v>
      </c>
      <c r="E924" s="3" t="s">
        <v>5</v>
      </c>
      <c r="F924" s="8" t="s">
        <v>116</v>
      </c>
      <c r="G924" s="19">
        <f>_xlfn.XLOOKUP(Participantes[[#This Row],[Seminario al que asistió]],Seminarios[Seminario],Seminarios[Año])</f>
        <v>2025</v>
      </c>
    </row>
    <row r="925" spans="1:7" x14ac:dyDescent="0.25">
      <c r="A925" s="111" t="s">
        <v>820</v>
      </c>
      <c r="B925" s="3" t="str">
        <f>_xlfn.XLOOKUP(Participantes[[#This Row],[Nombre]],$A33:$A924,$B33:$B924)</f>
        <v>ma.martinezc1@uniandes.edu.co</v>
      </c>
      <c r="C925" s="3" t="str">
        <f>_xlfn.XLOOKUP(Participantes[[#This Row],[Nombre]],$A33:$A924,$C33:$C924)</f>
        <v>M</v>
      </c>
      <c r="D925" s="3" t="str">
        <f>_xlfn.XLOOKUP(Participantes[[#This Row],[Nombre]],$A33:$A924,$D33:$D924)</f>
        <v>Professor</v>
      </c>
      <c r="E925" s="3" t="s">
        <v>5</v>
      </c>
      <c r="F925" s="8" t="s">
        <v>116</v>
      </c>
      <c r="G925" s="19">
        <f>_xlfn.XLOOKUP(Participantes[[#This Row],[Seminario al que asistió]],Seminarios[Seminario],Seminarios[Año])</f>
        <v>2025</v>
      </c>
    </row>
    <row r="926" spans="1:7" x14ac:dyDescent="0.25">
      <c r="A926" s="111" t="s">
        <v>328</v>
      </c>
      <c r="B926" s="3" t="str">
        <f>_xlfn.XLOOKUP(Participantes[[#This Row],[Nombre]],$A34:$A925,$B34:$B925)</f>
        <v>ctrujill@uniandes.edu.co</v>
      </c>
      <c r="C926" s="3" t="str">
        <f>_xlfn.XLOOKUP(Participantes[[#This Row],[Nombre]],$A34:$A925,$C34:$C925)</f>
        <v>M</v>
      </c>
      <c r="D926" s="3" t="str">
        <f>_xlfn.XLOOKUP(Participantes[[#This Row],[Nombre]],$A34:$A925,$D34:$D925)</f>
        <v>Professor</v>
      </c>
      <c r="E926" s="3" t="s">
        <v>5</v>
      </c>
      <c r="F926" s="8" t="s">
        <v>116</v>
      </c>
      <c r="G926" s="19">
        <f>_xlfn.XLOOKUP(Participantes[[#This Row],[Seminario al que asistió]],Seminarios[Seminario],Seminarios[Año])</f>
        <v>2025</v>
      </c>
    </row>
    <row r="927" spans="1:7" x14ac:dyDescent="0.25">
      <c r="A927" s="111" t="s">
        <v>938</v>
      </c>
      <c r="B927" s="3" t="s">
        <v>939</v>
      </c>
      <c r="C927" s="3" t="s">
        <v>221</v>
      </c>
      <c r="D927" s="3" t="s">
        <v>36</v>
      </c>
      <c r="E927" s="3" t="s">
        <v>5</v>
      </c>
      <c r="F927" s="8" t="s">
        <v>116</v>
      </c>
      <c r="G927" s="19">
        <f>_xlfn.XLOOKUP(Participantes[[#This Row],[Seminario al que asistió]],Seminarios[Seminario],Seminarios[Año])</f>
        <v>2025</v>
      </c>
    </row>
    <row r="928" spans="1:7" x14ac:dyDescent="0.25">
      <c r="A928" s="111" t="s">
        <v>253</v>
      </c>
      <c r="B928" s="3" t="str">
        <f>_xlfn.XLOOKUP(Participantes[[#This Row],[Nombre]],$A36:$A927,$B36:$B927)</f>
        <v>g.triulzi@uniandes.edu.co</v>
      </c>
      <c r="C928" s="3" t="str">
        <f>_xlfn.XLOOKUP(Participantes[[#This Row],[Nombre]],$A36:$A927,$C36:$C927)</f>
        <v>M</v>
      </c>
      <c r="D928" s="3" t="str">
        <f>_xlfn.XLOOKUP(Participantes[[#This Row],[Nombre]],$A36:$A927,$D36:$D927)</f>
        <v>Professor</v>
      </c>
      <c r="E928" s="3" t="s">
        <v>5</v>
      </c>
      <c r="F928" s="8" t="s">
        <v>116</v>
      </c>
      <c r="G928" s="19">
        <f>_xlfn.XLOOKUP(Participantes[[#This Row],[Seminario al que asistió]],Seminarios[Seminario],Seminarios[Año])</f>
        <v>2025</v>
      </c>
    </row>
    <row r="929" spans="1:7" x14ac:dyDescent="0.25">
      <c r="A929" s="111" t="s">
        <v>661</v>
      </c>
      <c r="B929" s="3" t="str">
        <f>_xlfn.XLOOKUP(Participantes[[#This Row],[Nombre]],$A37:$A928,$B37:$B928)</f>
        <v>jruiz@uniandes.edu.co</v>
      </c>
      <c r="C929" s="3" t="str">
        <f>_xlfn.XLOOKUP(Participantes[[#This Row],[Nombre]],$A37:$A928,$C37:$C928)</f>
        <v>M</v>
      </c>
      <c r="D929" s="3" t="str">
        <f>_xlfn.XLOOKUP(Participantes[[#This Row],[Nombre]],$A37:$A928,$D37:$D928)</f>
        <v>Professor</v>
      </c>
      <c r="E929" s="3" t="s">
        <v>5</v>
      </c>
      <c r="F929" s="8" t="s">
        <v>116</v>
      </c>
      <c r="G929" s="19">
        <f>_xlfn.XLOOKUP(Participantes[[#This Row],[Seminario al que asistió]],Seminarios[Seminario],Seminarios[Año])</f>
        <v>2025</v>
      </c>
    </row>
    <row r="930" spans="1:7" x14ac:dyDescent="0.25">
      <c r="A930" s="111" t="s">
        <v>255</v>
      </c>
      <c r="B930" s="3" t="str">
        <f>_xlfn.XLOOKUP(Participantes[[#This Row],[Nombre]],$A38:$A929,$B38:$B929)</f>
        <v>maxgonza@uniandes.edu.co</v>
      </c>
      <c r="C930" s="3" t="str">
        <f>_xlfn.XLOOKUP(Participantes[[#This Row],[Nombre]],$A38:$A929,$C38:$C929)</f>
        <v>M</v>
      </c>
      <c r="D930" s="3" t="str">
        <f>_xlfn.XLOOKUP(Participantes[[#This Row],[Nombre]],$A38:$A929,$D38:$D929)</f>
        <v>Professor</v>
      </c>
      <c r="E930" s="3" t="s">
        <v>5</v>
      </c>
      <c r="F930" s="8" t="s">
        <v>116</v>
      </c>
      <c r="G930" s="19">
        <f>_xlfn.XLOOKUP(Participantes[[#This Row],[Seminario al que asistió]],Seminarios[Seminario],Seminarios[Año])</f>
        <v>2025</v>
      </c>
    </row>
    <row r="931" spans="1:7" x14ac:dyDescent="0.25">
      <c r="A931" s="111" t="s">
        <v>552</v>
      </c>
      <c r="B931" s="3" t="str">
        <f>_xlfn.XLOOKUP(Participantes[[#This Row],[Nombre]],$A39:$A930,$B39:$B930)</f>
        <v>joospina@uniandes.edu.co</v>
      </c>
      <c r="C931" s="3" t="str">
        <f>_xlfn.XLOOKUP(Participantes[[#This Row],[Nombre]],$A39:$A930,$C39:$C930)</f>
        <v>M</v>
      </c>
      <c r="D931" s="3" t="str">
        <f>_xlfn.XLOOKUP(Participantes[[#This Row],[Nombre]],$A39:$A930,$D39:$D930)</f>
        <v>Professor</v>
      </c>
      <c r="E931" s="3" t="s">
        <v>5</v>
      </c>
      <c r="F931" s="8" t="s">
        <v>116</v>
      </c>
      <c r="G931" s="19">
        <f>_xlfn.XLOOKUP(Participantes[[#This Row],[Seminario al que asistió]],Seminarios[Seminario],Seminarios[Año])</f>
        <v>2025</v>
      </c>
    </row>
    <row r="932" spans="1:7" x14ac:dyDescent="0.25">
      <c r="A932" s="111" t="s">
        <v>518</v>
      </c>
      <c r="B932" s="3" t="str">
        <f>_xlfn.XLOOKUP(Participantes[[#This Row],[Nombre]],$A40:$A931,$B40:$B931)</f>
        <v>x.rueda@uniandes.edu.co</v>
      </c>
      <c r="C932" s="3" t="str">
        <f>_xlfn.XLOOKUP(Participantes[[#This Row],[Nombre]],$A40:$A931,$C40:$C931)</f>
        <v>F</v>
      </c>
      <c r="D932" s="3" t="str">
        <f>_xlfn.XLOOKUP(Participantes[[#This Row],[Nombre]],$A40:$A931,$D40:$D931)</f>
        <v>Professor</v>
      </c>
      <c r="E932" s="3" t="s">
        <v>5</v>
      </c>
      <c r="F932" s="8" t="s">
        <v>116</v>
      </c>
      <c r="G932" s="19">
        <f>_xlfn.XLOOKUP(Participantes[[#This Row],[Seminario al que asistió]],Seminarios[Seminario],Seminarios[Año])</f>
        <v>2025</v>
      </c>
    </row>
    <row r="933" spans="1:7" x14ac:dyDescent="0.25">
      <c r="A933" s="111" t="s">
        <v>550</v>
      </c>
      <c r="B933" s="3" t="str">
        <f>_xlfn.XLOOKUP(Participantes[[#This Row],[Nombre]],$A41:$A932,$B41:$B932)</f>
        <v>b.sezen@uniandes.edu.co</v>
      </c>
      <c r="C933" s="3" t="str">
        <f>_xlfn.XLOOKUP(Participantes[[#This Row],[Nombre]],$A41:$A932,$C41:$C932)</f>
        <v>F</v>
      </c>
      <c r="D933" s="3" t="str">
        <f>_xlfn.XLOOKUP(Participantes[[#This Row],[Nombre]],$A41:$A932,$D41:$D932)</f>
        <v>Professor</v>
      </c>
      <c r="E933" s="3" t="s">
        <v>5</v>
      </c>
      <c r="F933" s="8" t="s">
        <v>116</v>
      </c>
      <c r="G933" s="19">
        <f>_xlfn.XLOOKUP(Participantes[[#This Row],[Seminario al que asistió]],Seminarios[Seminario],Seminarios[Año])</f>
        <v>2025</v>
      </c>
    </row>
    <row r="934" spans="1:7" x14ac:dyDescent="0.25">
      <c r="A934" s="111" t="s">
        <v>89</v>
      </c>
      <c r="B934" s="3" t="str">
        <f>_xlfn.XLOOKUP(Participantes[[#This Row],[Nombre]],$A42:$A933,$B42:$B933)</f>
        <v>c.rojasl@uniandes.edu.co</v>
      </c>
      <c r="C934" s="3" t="str">
        <f>_xlfn.XLOOKUP(Participantes[[#This Row],[Nombre]],$A42:$A933,$C42:$C933)</f>
        <v>M</v>
      </c>
      <c r="D934" s="3" t="str">
        <f>_xlfn.XLOOKUP(Participantes[[#This Row],[Nombre]],$A42:$A933,$D42:$D933)</f>
        <v>External</v>
      </c>
      <c r="E934" s="3" t="s">
        <v>5</v>
      </c>
      <c r="F934" s="8" t="s">
        <v>116</v>
      </c>
      <c r="G934" s="19">
        <f>_xlfn.XLOOKUP(Participantes[[#This Row],[Seminario al que asistió]],Seminarios[Seminario],Seminarios[Año])</f>
        <v>2025</v>
      </c>
    </row>
    <row r="935" spans="1:7" ht="15.75" thickBot="1" x14ac:dyDescent="0.3">
      <c r="A935" s="112" t="s">
        <v>333</v>
      </c>
      <c r="B935" s="10" t="str">
        <f>_xlfn.XLOOKUP(Participantes[[#This Row],[Nombre]],$A43:$A934,$B43:$B934)</f>
        <v>fa.ruiz58@uniandes.edu.co</v>
      </c>
      <c r="C935" s="10" t="str">
        <f>_xlfn.XLOOKUP(Participantes[[#This Row],[Nombre]],$A43:$A934,$C43:$C934)</f>
        <v>M</v>
      </c>
      <c r="D935" s="10" t="str">
        <f>_xlfn.XLOOKUP(Participantes[[#This Row],[Nombre]],$A43:$A934,$D43:$D934)</f>
        <v>Professor</v>
      </c>
      <c r="E935" s="10" t="s">
        <v>5</v>
      </c>
      <c r="F935" s="11" t="s">
        <v>116</v>
      </c>
      <c r="G935" s="19">
        <f>_xlfn.XLOOKUP(Participantes[[#This Row],[Seminario al que asistió]],Seminarios[Seminario],Seminarios[Año])</f>
        <v>2025</v>
      </c>
    </row>
    <row r="936" spans="1:7" x14ac:dyDescent="0.25">
      <c r="A936" s="113" t="s">
        <v>253</v>
      </c>
      <c r="B936" s="5" t="str">
        <f>_xlfn.XLOOKUP(Participantes[[#This Row],[Nombre]],$A54:$A935,$B54:$B935)</f>
        <v>g.triulzi@uniandes.edu.co</v>
      </c>
      <c r="C936" s="5" t="s">
        <v>218</v>
      </c>
      <c r="D936" s="5" t="s">
        <v>36</v>
      </c>
      <c r="E936" s="5" t="s">
        <v>1</v>
      </c>
      <c r="F936" s="6" t="s">
        <v>208</v>
      </c>
      <c r="G936" s="19">
        <f>_xlfn.XLOOKUP(Participantes[[#This Row],[Seminario al que asistió]],Seminarios[Seminario],Seminarios[Año])</f>
        <v>2025</v>
      </c>
    </row>
    <row r="937" spans="1:7" x14ac:dyDescent="0.25">
      <c r="A937" s="114" t="s">
        <v>317</v>
      </c>
      <c r="B937" s="3" t="str">
        <f>_xlfn.XLOOKUP(Participantes[[#This Row],[Nombre]],$A55:$A936,$B55:$B936)</f>
        <v>robgutie@uniandes.edu.co</v>
      </c>
      <c r="C937" s="3" t="s">
        <v>218</v>
      </c>
      <c r="D937" s="3" t="s">
        <v>36</v>
      </c>
      <c r="E937" s="3" t="s">
        <v>1</v>
      </c>
      <c r="F937" s="8" t="s">
        <v>208</v>
      </c>
      <c r="G937" s="19">
        <f>_xlfn.XLOOKUP(Participantes[[#This Row],[Seminario al que asistió]],Seminarios[Seminario],Seminarios[Año])</f>
        <v>2025</v>
      </c>
    </row>
    <row r="938" spans="1:7" x14ac:dyDescent="0.25">
      <c r="A938" s="114" t="s">
        <v>320</v>
      </c>
      <c r="B938" s="3" t="str">
        <f>_xlfn.XLOOKUP(Participantes[[#This Row],[Nombre]],$A56:$A937,$B56:$B937)</f>
        <v>jh.garcia27@uniandes.edu.co</v>
      </c>
      <c r="C938" s="3" t="s">
        <v>218</v>
      </c>
      <c r="D938" s="3" t="s">
        <v>36</v>
      </c>
      <c r="E938" s="3" t="s">
        <v>1</v>
      </c>
      <c r="F938" s="8" t="s">
        <v>208</v>
      </c>
      <c r="G938" s="19">
        <f>_xlfn.XLOOKUP(Participantes[[#This Row],[Seminario al que asistió]],Seminarios[Seminario],Seminarios[Año])</f>
        <v>2025</v>
      </c>
    </row>
    <row r="939" spans="1:7" x14ac:dyDescent="0.25">
      <c r="A939" s="114" t="s">
        <v>856</v>
      </c>
      <c r="B939" s="3" t="str">
        <f>_xlfn.XLOOKUP(Participantes[[#This Row],[Nombre]],$A57:$A938,$B57:$B938)</f>
        <v>nath-fra@uniandes.edu.co</v>
      </c>
      <c r="C939" s="3" t="s">
        <v>221</v>
      </c>
      <c r="D939" s="3" t="s">
        <v>36</v>
      </c>
      <c r="E939" s="3" t="s">
        <v>1</v>
      </c>
      <c r="F939" s="8" t="s">
        <v>208</v>
      </c>
      <c r="G939" s="19">
        <f>_xlfn.XLOOKUP(Participantes[[#This Row],[Seminario al que asistió]],Seminarios[Seminario],Seminarios[Año])</f>
        <v>2025</v>
      </c>
    </row>
    <row r="940" spans="1:7" x14ac:dyDescent="0.25">
      <c r="A940" s="114" t="s">
        <v>661</v>
      </c>
      <c r="B940" s="3" t="str">
        <f>_xlfn.XLOOKUP(Participantes[[#This Row],[Nombre]],$A58:$A939,$B58:$B939)</f>
        <v>jruiz@uniandes.edu.co</v>
      </c>
      <c r="C940" s="3" t="s">
        <v>218</v>
      </c>
      <c r="D940" s="3" t="s">
        <v>36</v>
      </c>
      <c r="E940" s="3" t="s">
        <v>1</v>
      </c>
      <c r="F940" s="8" t="s">
        <v>208</v>
      </c>
      <c r="G940" s="19">
        <f>_xlfn.XLOOKUP(Participantes[[#This Row],[Seminario al que asistió]],Seminarios[Seminario],Seminarios[Año])</f>
        <v>2025</v>
      </c>
    </row>
    <row r="941" spans="1:7" x14ac:dyDescent="0.25">
      <c r="A941" s="114" t="s">
        <v>940</v>
      </c>
      <c r="B941" s="3" t="s">
        <v>941</v>
      </c>
      <c r="C941" s="3" t="s">
        <v>218</v>
      </c>
      <c r="D941" s="3" t="s">
        <v>36</v>
      </c>
      <c r="E941" s="3" t="s">
        <v>1</v>
      </c>
      <c r="F941" s="8" t="s">
        <v>208</v>
      </c>
      <c r="G941" s="19">
        <f>_xlfn.XLOOKUP(Participantes[[#This Row],[Seminario al que asistió]],Seminarios[Seminario],Seminarios[Año])</f>
        <v>2025</v>
      </c>
    </row>
    <row r="942" spans="1:7" x14ac:dyDescent="0.25">
      <c r="A942" s="115" t="s">
        <v>942</v>
      </c>
      <c r="B942" s="3" t="s">
        <v>943</v>
      </c>
      <c r="C942" s="3" t="s">
        <v>221</v>
      </c>
      <c r="D942" s="3" t="s">
        <v>233</v>
      </c>
      <c r="E942" s="3" t="s">
        <v>1</v>
      </c>
      <c r="F942" s="8" t="s">
        <v>208</v>
      </c>
      <c r="G942" s="19">
        <f>_xlfn.XLOOKUP(Participantes[[#This Row],[Seminario al que asistió]],Seminarios[Seminario],Seminarios[Año])</f>
        <v>2025</v>
      </c>
    </row>
    <row r="943" spans="1:7" x14ac:dyDescent="0.25">
      <c r="A943" s="115" t="s">
        <v>944</v>
      </c>
      <c r="B943" s="3" t="s">
        <v>945</v>
      </c>
      <c r="C943" s="3" t="s">
        <v>218</v>
      </c>
      <c r="D943" s="3" t="s">
        <v>43</v>
      </c>
      <c r="E943" s="3" t="s">
        <v>1</v>
      </c>
      <c r="F943" s="8" t="s">
        <v>208</v>
      </c>
      <c r="G943" s="19">
        <f>_xlfn.XLOOKUP(Participantes[[#This Row],[Seminario al que asistió]],Seminarios[Seminario],Seminarios[Año])</f>
        <v>2025</v>
      </c>
    </row>
    <row r="944" spans="1:7" x14ac:dyDescent="0.25">
      <c r="A944" s="114" t="s">
        <v>328</v>
      </c>
      <c r="B944" s="3" t="str">
        <f>_xlfn.XLOOKUP(Participantes[[#This Row],[Nombre]],$A62:$A943,$B62:$B943)</f>
        <v>ctrujill@uniandes.edu.co</v>
      </c>
      <c r="C944" s="3" t="s">
        <v>218</v>
      </c>
      <c r="D944" s="3" t="s">
        <v>36</v>
      </c>
      <c r="E944" s="3" t="s">
        <v>1</v>
      </c>
      <c r="F944" s="8" t="s">
        <v>208</v>
      </c>
      <c r="G944" s="19">
        <f>_xlfn.XLOOKUP(Participantes[[#This Row],[Seminario al que asistió]],Seminarios[Seminario],Seminarios[Año])</f>
        <v>2025</v>
      </c>
    </row>
    <row r="945" spans="1:7" ht="15.75" thickBot="1" x14ac:dyDescent="0.3">
      <c r="A945" s="116" t="s">
        <v>8</v>
      </c>
      <c r="B945" s="10" t="s">
        <v>946</v>
      </c>
      <c r="C945" s="10" t="s">
        <v>218</v>
      </c>
      <c r="D945" s="10" t="s">
        <v>53</v>
      </c>
      <c r="E945" s="10" t="s">
        <v>1</v>
      </c>
      <c r="F945" s="11" t="s">
        <v>208</v>
      </c>
      <c r="G945" s="19">
        <f>_xlfn.XLOOKUP(Participantes[[#This Row],[Seminario al que asistió]],Seminarios[Seminario],Seminarios[Año])</f>
        <v>2025</v>
      </c>
    </row>
    <row r="946" spans="1:7" x14ac:dyDescent="0.25">
      <c r="A946" s="4" t="s">
        <v>788</v>
      </c>
      <c r="B946" s="5" t="str">
        <f>_xlfn.XLOOKUP(Participantes[[#This Row],[Nombre]],$A64:$A945,$B64:$B945)</f>
        <v>nc.ortiz@uniandes.edu.co</v>
      </c>
      <c r="C946" s="5" t="s">
        <v>221</v>
      </c>
      <c r="D946" s="5" t="s">
        <v>36</v>
      </c>
      <c r="E946" s="5" t="s">
        <v>1</v>
      </c>
      <c r="F946" s="63" t="s">
        <v>119</v>
      </c>
      <c r="G946" s="19">
        <f>_xlfn.XLOOKUP(Participantes[[#This Row],[Seminario al que asistió]],Seminarios[Seminario],Seminarios[Año])</f>
        <v>2025</v>
      </c>
    </row>
    <row r="947" spans="1:7" x14ac:dyDescent="0.25">
      <c r="A947" s="7" t="s">
        <v>675</v>
      </c>
      <c r="B947" s="3" t="str">
        <f>_xlfn.XLOOKUP(Participantes[[#This Row],[Nombre]],$A65:$A946,$B65:$B946)</f>
        <v>maxgonza@uniandes.edu.co</v>
      </c>
      <c r="C947" s="3" t="s">
        <v>218</v>
      </c>
      <c r="D947" s="3" t="s">
        <v>36</v>
      </c>
      <c r="E947" s="3" t="s">
        <v>1</v>
      </c>
      <c r="F947" s="64" t="s">
        <v>119</v>
      </c>
      <c r="G947" s="19">
        <f>_xlfn.XLOOKUP(Participantes[[#This Row],[Seminario al que asistió]],Seminarios[Seminario],Seminarios[Año])</f>
        <v>2025</v>
      </c>
    </row>
    <row r="948" spans="1:7" x14ac:dyDescent="0.25">
      <c r="A948" s="7" t="s">
        <v>947</v>
      </c>
      <c r="B948" s="3" t="s">
        <v>948</v>
      </c>
      <c r="C948" s="3" t="s">
        <v>221</v>
      </c>
      <c r="D948" s="3" t="s">
        <v>36</v>
      </c>
      <c r="E948" s="3" t="s">
        <v>1</v>
      </c>
      <c r="F948" s="64" t="s">
        <v>119</v>
      </c>
      <c r="G948" s="19">
        <f>_xlfn.XLOOKUP(Participantes[[#This Row],[Seminario al que asistió]],Seminarios[Seminario],Seminarios[Año])</f>
        <v>2025</v>
      </c>
    </row>
    <row r="949" spans="1:7" x14ac:dyDescent="0.25">
      <c r="A949" s="7" t="s">
        <v>949</v>
      </c>
      <c r="B949" s="3" t="s">
        <v>950</v>
      </c>
      <c r="C949" s="3" t="s">
        <v>218</v>
      </c>
      <c r="D949" s="3" t="s">
        <v>43</v>
      </c>
      <c r="E949" s="3" t="s">
        <v>1</v>
      </c>
      <c r="F949" s="64" t="s">
        <v>119</v>
      </c>
      <c r="G949" s="19">
        <f>_xlfn.XLOOKUP(Participantes[[#This Row],[Seminario al que asistió]],Seminarios[Seminario],Seminarios[Año])</f>
        <v>2025</v>
      </c>
    </row>
    <row r="950" spans="1:7" x14ac:dyDescent="0.25">
      <c r="A950" s="7" t="s">
        <v>856</v>
      </c>
      <c r="B950" s="3" t="str">
        <f>_xlfn.XLOOKUP(Participantes[[#This Row],[Nombre]],$A68:$A949,$B68:$B949)</f>
        <v>nath-fra@uniandes.edu.co</v>
      </c>
      <c r="C950" s="3" t="s">
        <v>221</v>
      </c>
      <c r="D950" s="3" t="s">
        <v>36</v>
      </c>
      <c r="E950" s="3" t="s">
        <v>1</v>
      </c>
      <c r="F950" s="64" t="s">
        <v>119</v>
      </c>
      <c r="G950" s="19">
        <f>_xlfn.XLOOKUP(Participantes[[#This Row],[Seminario al que asistió]],Seminarios[Seminario],Seminarios[Año])</f>
        <v>2025</v>
      </c>
    </row>
    <row r="951" spans="1:7" x14ac:dyDescent="0.25">
      <c r="A951" s="7" t="s">
        <v>332</v>
      </c>
      <c r="B951" s="3" t="str">
        <f>_xlfn.XLOOKUP(Participantes[[#This Row],[Nombre]],$A70:$A950,$B70:$B950)</f>
        <v>cadavila@uniandes.edu.co</v>
      </c>
      <c r="C951" s="3" t="s">
        <v>221</v>
      </c>
      <c r="D951" s="3" t="s">
        <v>43</v>
      </c>
      <c r="E951" s="3" t="s">
        <v>1</v>
      </c>
      <c r="F951" s="64" t="s">
        <v>119</v>
      </c>
      <c r="G951" s="19">
        <f>_xlfn.XLOOKUP(Participantes[[#This Row],[Seminario al que asistió]],Seminarios[Seminario],Seminarios[Año])</f>
        <v>2025</v>
      </c>
    </row>
    <row r="952" spans="1:7" x14ac:dyDescent="0.25">
      <c r="A952" s="7" t="s">
        <v>951</v>
      </c>
      <c r="B952" s="3" t="s">
        <v>952</v>
      </c>
      <c r="C952" s="3" t="s">
        <v>218</v>
      </c>
      <c r="D952" s="3" t="s">
        <v>43</v>
      </c>
      <c r="E952" s="3" t="s">
        <v>1</v>
      </c>
      <c r="F952" s="64" t="s">
        <v>119</v>
      </c>
      <c r="G952" s="19">
        <f>_xlfn.XLOOKUP(Participantes[[#This Row],[Seminario al que asistió]],Seminarios[Seminario],Seminarios[Año])</f>
        <v>2025</v>
      </c>
    </row>
    <row r="953" spans="1:7" x14ac:dyDescent="0.25">
      <c r="A953" s="7" t="s">
        <v>167</v>
      </c>
      <c r="B953" s="3" t="str">
        <f>_xlfn.XLOOKUP(Participantes[[#This Row],[Nombre]],$A72:$A952,$B72:$B952)</f>
        <v>cdavila@uniandes.edu.co</v>
      </c>
      <c r="C953" s="3" t="s">
        <v>218</v>
      </c>
      <c r="D953" s="3" t="s">
        <v>36</v>
      </c>
      <c r="E953" s="3" t="s">
        <v>1</v>
      </c>
      <c r="F953" s="64" t="s">
        <v>119</v>
      </c>
      <c r="G953" s="19">
        <f>_xlfn.XLOOKUP(Participantes[[#This Row],[Seminario al que asistió]],Seminarios[Seminario],Seminarios[Año])</f>
        <v>2025</v>
      </c>
    </row>
    <row r="954" spans="1:7" x14ac:dyDescent="0.25">
      <c r="A954" s="7" t="s">
        <v>944</v>
      </c>
      <c r="B954" s="3" t="str">
        <f>_xlfn.XLOOKUP(Participantes[[#This Row],[Nombre]],$A73:$A953,$B73:$B953)</f>
        <v>jd.martinezo@uniandes.edu.co</v>
      </c>
      <c r="C954" s="3" t="s">
        <v>218</v>
      </c>
      <c r="D954" s="3" t="s">
        <v>43</v>
      </c>
      <c r="E954" s="3" t="s">
        <v>1</v>
      </c>
      <c r="F954" s="64" t="s">
        <v>119</v>
      </c>
      <c r="G954" s="19">
        <f>_xlfn.XLOOKUP(Participantes[[#This Row],[Seminario al que asistió]],Seminarios[Seminario],Seminarios[Año])</f>
        <v>2025</v>
      </c>
    </row>
    <row r="955" spans="1:7" x14ac:dyDescent="0.25">
      <c r="A955" s="7" t="s">
        <v>177</v>
      </c>
      <c r="B955" s="3" t="str">
        <f>_xlfn.XLOOKUP(Participantes[[#This Row],[Nombre]],$A74:$A954,$B74:$B954)</f>
        <v>limoros@gmail.com</v>
      </c>
      <c r="C955" s="3" t="s">
        <v>221</v>
      </c>
      <c r="D955" s="3" t="s">
        <v>36</v>
      </c>
      <c r="E955" s="3" t="s">
        <v>1</v>
      </c>
      <c r="F955" s="64" t="s">
        <v>119</v>
      </c>
      <c r="G955" s="19">
        <f>_xlfn.XLOOKUP(Participantes[[#This Row],[Seminario al que asistió]],Seminarios[Seminario],Seminarios[Año])</f>
        <v>2025</v>
      </c>
    </row>
    <row r="956" spans="1:7" x14ac:dyDescent="0.25">
      <c r="A956" s="7" t="s">
        <v>328</v>
      </c>
      <c r="B956" s="3" t="str">
        <f>_xlfn.XLOOKUP(Participantes[[#This Row],[Nombre]],$A75:$A955,$B75:$B955)</f>
        <v>ctrujill@uniandes.edu.co</v>
      </c>
      <c r="C956" s="3" t="s">
        <v>218</v>
      </c>
      <c r="D956" s="3" t="s">
        <v>36</v>
      </c>
      <c r="E956" s="3" t="s">
        <v>1</v>
      </c>
      <c r="F956" s="64" t="s">
        <v>119</v>
      </c>
      <c r="G956" s="19">
        <f>_xlfn.XLOOKUP(Participantes[[#This Row],[Seminario al que asistió]],Seminarios[Seminario],Seminarios[Año])</f>
        <v>2025</v>
      </c>
    </row>
    <row r="957" spans="1:7" x14ac:dyDescent="0.25">
      <c r="A957" s="7" t="s">
        <v>953</v>
      </c>
      <c r="B957" s="3" t="s">
        <v>954</v>
      </c>
      <c r="C957" s="3" t="s">
        <v>221</v>
      </c>
      <c r="D957" s="3" t="s">
        <v>53</v>
      </c>
      <c r="E957" s="3" t="s">
        <v>1</v>
      </c>
      <c r="F957" s="64" t="s">
        <v>119</v>
      </c>
      <c r="G957" s="19">
        <f>_xlfn.XLOOKUP(Participantes[[#This Row],[Seminario al que asistió]],Seminarios[Seminario],Seminarios[Año])</f>
        <v>2025</v>
      </c>
    </row>
    <row r="958" spans="1:7" x14ac:dyDescent="0.25">
      <c r="A958" s="7" t="s">
        <v>955</v>
      </c>
      <c r="B958" s="3" t="s">
        <v>956</v>
      </c>
      <c r="C958" s="3" t="s">
        <v>221</v>
      </c>
      <c r="D958" s="3" t="s">
        <v>233</v>
      </c>
      <c r="E958" s="3" t="s">
        <v>1</v>
      </c>
      <c r="F958" s="64" t="s">
        <v>119</v>
      </c>
      <c r="G958" s="19">
        <f>_xlfn.XLOOKUP(Participantes[[#This Row],[Seminario al que asistió]],Seminarios[Seminario],Seminarios[Año])</f>
        <v>2025</v>
      </c>
    </row>
    <row r="959" spans="1:7" x14ac:dyDescent="0.25">
      <c r="A959" s="7" t="s">
        <v>957</v>
      </c>
      <c r="B959" s="3" t="s">
        <v>958</v>
      </c>
      <c r="C959" s="3" t="s">
        <v>221</v>
      </c>
      <c r="D959" s="3" t="s">
        <v>233</v>
      </c>
      <c r="E959" s="3" t="s">
        <v>1</v>
      </c>
      <c r="F959" s="64" t="s">
        <v>119</v>
      </c>
      <c r="G959" s="19">
        <f>_xlfn.XLOOKUP(Participantes[[#This Row],[Seminario al que asistió]],Seminarios[Seminario],Seminarios[Año])</f>
        <v>2025</v>
      </c>
    </row>
    <row r="960" spans="1:7" x14ac:dyDescent="0.25">
      <c r="A960" s="7" t="s">
        <v>564</v>
      </c>
      <c r="B960" s="3" t="str">
        <f>_xlfn.XLOOKUP(Participantes[[#This Row],[Nombre]],$A79:$A959,$B79:$B959)</f>
        <v>robgutie@uniandes.edu.co</v>
      </c>
      <c r="C960" s="3" t="s">
        <v>218</v>
      </c>
      <c r="D960" s="3" t="s">
        <v>36</v>
      </c>
      <c r="E960" s="3" t="s">
        <v>1</v>
      </c>
      <c r="F960" s="64" t="s">
        <v>119</v>
      </c>
      <c r="G960" s="19">
        <f>_xlfn.XLOOKUP(Participantes[[#This Row],[Seminario al que asistió]],Seminarios[Seminario],Seminarios[Año])</f>
        <v>2025</v>
      </c>
    </row>
    <row r="961" spans="1:7" x14ac:dyDescent="0.25">
      <c r="A961" s="7" t="s">
        <v>646</v>
      </c>
      <c r="B961" s="3" t="str">
        <f>_xlfn.XLOOKUP(Participantes[[#This Row],[Nombre]],$A80:$A960,$B80:$B960)</f>
        <v>ccaballero@uniandes.edu.co</v>
      </c>
      <c r="C961" s="3" t="s">
        <v>218</v>
      </c>
      <c r="D961" s="3" t="s">
        <v>36</v>
      </c>
      <c r="E961" s="3" t="s">
        <v>1</v>
      </c>
      <c r="F961" s="64" t="s">
        <v>119</v>
      </c>
      <c r="G961" s="19">
        <f>_xlfn.XLOOKUP(Participantes[[#This Row],[Seminario al que asistió]],Seminarios[Seminario],Seminarios[Año])</f>
        <v>2025</v>
      </c>
    </row>
    <row r="962" spans="1:7" x14ac:dyDescent="0.25">
      <c r="A962" s="7" t="s">
        <v>959</v>
      </c>
      <c r="B962" s="3" t="s">
        <v>960</v>
      </c>
      <c r="C962" s="3" t="s">
        <v>218</v>
      </c>
      <c r="D962" s="3" t="s">
        <v>36</v>
      </c>
      <c r="E962" s="3" t="s">
        <v>1</v>
      </c>
      <c r="F962" s="64" t="s">
        <v>119</v>
      </c>
      <c r="G962" s="19">
        <f>_xlfn.XLOOKUP(Participantes[[#This Row],[Seminario al que asistió]],Seminarios[Seminario],Seminarios[Año])</f>
        <v>2025</v>
      </c>
    </row>
    <row r="963" spans="1:7" x14ac:dyDescent="0.25">
      <c r="A963" s="7" t="s">
        <v>886</v>
      </c>
      <c r="B963" s="3" t="str">
        <f>_xlfn.XLOOKUP(Participantes[[#This Row],[Nombre]],$A82:$A962,$B82:$B962)</f>
        <v>jh.garcia27@uniandes.edu.co</v>
      </c>
      <c r="C963" s="3" t="s">
        <v>218</v>
      </c>
      <c r="D963" s="3" t="s">
        <v>36</v>
      </c>
      <c r="E963" s="3" t="s">
        <v>1</v>
      </c>
      <c r="F963" s="64" t="s">
        <v>119</v>
      </c>
      <c r="G963" s="19">
        <f>_xlfn.XLOOKUP(Participantes[[#This Row],[Seminario al que asistió]],Seminarios[Seminario],Seminarios[Año])</f>
        <v>2025</v>
      </c>
    </row>
    <row r="964" spans="1:7" x14ac:dyDescent="0.25">
      <c r="A964" s="7" t="s">
        <v>961</v>
      </c>
      <c r="B964" s="3" t="s">
        <v>571</v>
      </c>
      <c r="C964" s="3" t="s">
        <v>218</v>
      </c>
      <c r="D964" s="3" t="s">
        <v>36</v>
      </c>
      <c r="E964" s="3" t="s">
        <v>1</v>
      </c>
      <c r="F964" s="64" t="s">
        <v>119</v>
      </c>
      <c r="G964" s="19">
        <f>_xlfn.XLOOKUP(Participantes[[#This Row],[Seminario al que asistió]],Seminarios[Seminario],Seminarios[Año])</f>
        <v>2025</v>
      </c>
    </row>
    <row r="965" spans="1:7" x14ac:dyDescent="0.25">
      <c r="A965" s="7" t="s">
        <v>962</v>
      </c>
      <c r="B965" s="3"/>
      <c r="C965" s="3" t="s">
        <v>221</v>
      </c>
      <c r="D965" s="3" t="s">
        <v>233</v>
      </c>
      <c r="E965" s="3" t="s">
        <v>1</v>
      </c>
      <c r="F965" s="64" t="s">
        <v>119</v>
      </c>
      <c r="G965" s="19">
        <f>_xlfn.XLOOKUP(Participantes[[#This Row],[Seminario al que asistió]],Seminarios[Seminario],Seminarios[Año])</f>
        <v>2025</v>
      </c>
    </row>
    <row r="966" spans="1:7" ht="15.75" thickBot="1" x14ac:dyDescent="0.3">
      <c r="A966" s="9" t="s">
        <v>963</v>
      </c>
      <c r="B966" s="10" t="s">
        <v>964</v>
      </c>
      <c r="C966" s="10" t="s">
        <v>218</v>
      </c>
      <c r="D966" s="10" t="s">
        <v>36</v>
      </c>
      <c r="E966" s="10" t="s">
        <v>1</v>
      </c>
      <c r="F966" s="117" t="s">
        <v>119</v>
      </c>
      <c r="G966" s="19">
        <f>_xlfn.XLOOKUP(Participantes[[#This Row],[Seminario al que asistió]],Seminarios[Seminario],Seminarios[Año])</f>
        <v>2025</v>
      </c>
    </row>
    <row r="967" spans="1:7" x14ac:dyDescent="0.25">
      <c r="A967" s="4" t="s">
        <v>616</v>
      </c>
      <c r="B967" s="5" t="str">
        <f>_xlfn.XLOOKUP(Participantes[[#This Row],[Nombre]],$A86:$A966,$B86:$B966)</f>
        <v xml:space="preserve">am.lluch@uniandes.edu.co </v>
      </c>
      <c r="C967" s="5" t="s">
        <v>221</v>
      </c>
      <c r="D967" s="5" t="s">
        <v>36</v>
      </c>
      <c r="E967" s="5" t="s">
        <v>5</v>
      </c>
      <c r="F967" s="63" t="s">
        <v>214</v>
      </c>
      <c r="G967" s="19">
        <f>_xlfn.XLOOKUP(Participantes[[#This Row],[Seminario al que asistió]],Seminarios[Seminario],Seminarios[Año])</f>
        <v>2025</v>
      </c>
    </row>
    <row r="968" spans="1:7" x14ac:dyDescent="0.25">
      <c r="A968" s="7" t="s">
        <v>965</v>
      </c>
      <c r="B968" s="3" t="s">
        <v>290</v>
      </c>
      <c r="C968" s="3" t="s">
        <v>221</v>
      </c>
      <c r="D968" s="3" t="s">
        <v>36</v>
      </c>
      <c r="E968" s="3" t="s">
        <v>5</v>
      </c>
      <c r="F968" s="64" t="s">
        <v>214</v>
      </c>
      <c r="G968" s="19">
        <f>_xlfn.XLOOKUP(Participantes[[#This Row],[Seminario al que asistió]],Seminarios[Seminario],Seminarios[Año])</f>
        <v>2025</v>
      </c>
    </row>
    <row r="969" spans="1:7" x14ac:dyDescent="0.25">
      <c r="A969" s="7" t="s">
        <v>562</v>
      </c>
      <c r="B969" s="3" t="str">
        <f>_xlfn.XLOOKUP(Participantes[[#This Row],[Nombre]],$A88:$A968,$B88:$B968)</f>
        <v>eberdugoc@gmail.com</v>
      </c>
      <c r="C969" s="3" t="s">
        <v>218</v>
      </c>
      <c r="D969" s="3" t="s">
        <v>48</v>
      </c>
      <c r="E969" s="3" t="s">
        <v>5</v>
      </c>
      <c r="F969" s="64" t="s">
        <v>214</v>
      </c>
      <c r="G969" s="19">
        <f>_xlfn.XLOOKUP(Participantes[[#This Row],[Seminario al que asistió]],Seminarios[Seminario],Seminarios[Año])</f>
        <v>2025</v>
      </c>
    </row>
    <row r="970" spans="1:7" x14ac:dyDescent="0.25">
      <c r="A970" s="7" t="s">
        <v>1280</v>
      </c>
      <c r="B970" s="3" t="str">
        <f>_xlfn.XLOOKUP(Participantes[[#This Row],[Nombre]],$A89:$A969,$B89:$B969)</f>
        <v>gegarcia@uniandes.edu.co</v>
      </c>
      <c r="C970" s="3" t="s">
        <v>218</v>
      </c>
      <c r="D970" s="3" t="s">
        <v>36</v>
      </c>
      <c r="E970" s="3" t="s">
        <v>5</v>
      </c>
      <c r="F970" s="64" t="s">
        <v>214</v>
      </c>
      <c r="G970" s="19">
        <f>_xlfn.XLOOKUP(Participantes[[#This Row],[Seminario al que asistió]],Seminarios[Seminario],Seminarios[Año])</f>
        <v>2025</v>
      </c>
    </row>
    <row r="971" spans="1:7" x14ac:dyDescent="0.25">
      <c r="A971" s="7" t="s">
        <v>966</v>
      </c>
      <c r="B971" s="3"/>
      <c r="C971" s="3" t="s">
        <v>221</v>
      </c>
      <c r="D971" s="3" t="s">
        <v>48</v>
      </c>
      <c r="E971" s="3" t="s">
        <v>5</v>
      </c>
      <c r="F971" s="64" t="s">
        <v>214</v>
      </c>
      <c r="G971" s="19">
        <f>_xlfn.XLOOKUP(Participantes[[#This Row],[Seminario al que asistió]],Seminarios[Seminario],Seminarios[Año])</f>
        <v>2025</v>
      </c>
    </row>
    <row r="972" spans="1:7" x14ac:dyDescent="0.25">
      <c r="A972" s="7" t="s">
        <v>967</v>
      </c>
      <c r="B972" s="3" t="s">
        <v>259</v>
      </c>
      <c r="C972" s="3" t="s">
        <v>218</v>
      </c>
      <c r="D972" s="3" t="s">
        <v>36</v>
      </c>
      <c r="E972" s="3" t="s">
        <v>5</v>
      </c>
      <c r="F972" s="64" t="s">
        <v>214</v>
      </c>
      <c r="G972" s="19">
        <f>_xlfn.XLOOKUP(Participantes[[#This Row],[Seminario al que asistió]],Seminarios[Seminario],Seminarios[Año])</f>
        <v>2025</v>
      </c>
    </row>
    <row r="973" spans="1:7" x14ac:dyDescent="0.25">
      <c r="A973" s="7" t="s">
        <v>968</v>
      </c>
      <c r="B973" s="3" t="s">
        <v>969</v>
      </c>
      <c r="C973" s="3" t="s">
        <v>218</v>
      </c>
      <c r="D973" s="3" t="s">
        <v>48</v>
      </c>
      <c r="E973" s="3" t="s">
        <v>5</v>
      </c>
      <c r="F973" s="64" t="s">
        <v>214</v>
      </c>
      <c r="G973" s="19">
        <f>_xlfn.XLOOKUP(Participantes[[#This Row],[Seminario al que asistió]],Seminarios[Seminario],Seminarios[Año])</f>
        <v>2025</v>
      </c>
    </row>
    <row r="974" spans="1:7" x14ac:dyDescent="0.25">
      <c r="A974" s="7" t="s">
        <v>1141</v>
      </c>
      <c r="B974" s="3"/>
      <c r="C974" s="3" t="s">
        <v>218</v>
      </c>
      <c r="D974" s="3" t="s">
        <v>48</v>
      </c>
      <c r="E974" s="3" t="s">
        <v>5</v>
      </c>
      <c r="F974" s="64" t="s">
        <v>214</v>
      </c>
      <c r="G974" s="19">
        <f>_xlfn.XLOOKUP(Participantes[[#This Row],[Seminario al que asistió]],Seminarios[Seminario],Seminarios[Año])</f>
        <v>2025</v>
      </c>
    </row>
    <row r="975" spans="1:7" x14ac:dyDescent="0.25">
      <c r="A975" s="7" t="s">
        <v>970</v>
      </c>
      <c r="B975" s="3"/>
      <c r="C975" s="3" t="s">
        <v>218</v>
      </c>
      <c r="D975" s="3" t="s">
        <v>48</v>
      </c>
      <c r="E975" s="3" t="s">
        <v>5</v>
      </c>
      <c r="F975" s="64" t="s">
        <v>214</v>
      </c>
      <c r="G975" s="19">
        <f>_xlfn.XLOOKUP(Participantes[[#This Row],[Seminario al que asistió]],Seminarios[Seminario],Seminarios[Año])</f>
        <v>2025</v>
      </c>
    </row>
    <row r="976" spans="1:7" x14ac:dyDescent="0.25">
      <c r="A976" s="7" t="s">
        <v>971</v>
      </c>
      <c r="B976" s="3"/>
      <c r="C976" s="3" t="s">
        <v>218</v>
      </c>
      <c r="D976" s="3" t="s">
        <v>48</v>
      </c>
      <c r="E976" s="3" t="s">
        <v>5</v>
      </c>
      <c r="F976" s="64" t="s">
        <v>214</v>
      </c>
      <c r="G976" s="19">
        <f>_xlfn.XLOOKUP(Participantes[[#This Row],[Seminario al que asistió]],Seminarios[Seminario],Seminarios[Año])</f>
        <v>2025</v>
      </c>
    </row>
    <row r="977" spans="1:7" x14ac:dyDescent="0.25">
      <c r="A977" s="7" t="s">
        <v>552</v>
      </c>
      <c r="B977" s="3" t="str">
        <f>_xlfn.XLOOKUP(Participantes[[#This Row],[Nombre]],$A96:$A976,$B96:$B976)</f>
        <v>joospina@uniandes.edu.co</v>
      </c>
      <c r="C977" s="3" t="s">
        <v>218</v>
      </c>
      <c r="D977" s="3" t="s">
        <v>36</v>
      </c>
      <c r="E977" s="3" t="s">
        <v>5</v>
      </c>
      <c r="F977" s="64" t="s">
        <v>214</v>
      </c>
      <c r="G977" s="19">
        <f>_xlfn.XLOOKUP(Participantes[[#This Row],[Seminario al que asistió]],Seminarios[Seminario],Seminarios[Año])</f>
        <v>2025</v>
      </c>
    </row>
    <row r="978" spans="1:7" x14ac:dyDescent="0.25">
      <c r="A978" s="7" t="s">
        <v>972</v>
      </c>
      <c r="B978" s="3" t="s">
        <v>973</v>
      </c>
      <c r="C978" s="3" t="s">
        <v>221</v>
      </c>
      <c r="D978" s="3" t="s">
        <v>36</v>
      </c>
      <c r="E978" s="3" t="s">
        <v>5</v>
      </c>
      <c r="F978" s="64" t="s">
        <v>214</v>
      </c>
      <c r="G978" s="19">
        <f>_xlfn.XLOOKUP(Participantes[[#This Row],[Seminario al que asistió]],Seminarios[Seminario],Seminarios[Año])</f>
        <v>2025</v>
      </c>
    </row>
    <row r="979" spans="1:7" x14ac:dyDescent="0.25">
      <c r="A979" s="7" t="s">
        <v>974</v>
      </c>
      <c r="B979" s="3" t="s">
        <v>407</v>
      </c>
      <c r="C979" s="3" t="s">
        <v>218</v>
      </c>
      <c r="D979" s="3" t="s">
        <v>48</v>
      </c>
      <c r="E979" s="3" t="s">
        <v>5</v>
      </c>
      <c r="F979" s="64" t="s">
        <v>214</v>
      </c>
      <c r="G979" s="19">
        <f>_xlfn.XLOOKUP(Participantes[[#This Row],[Seminario al que asistió]],Seminarios[Seminario],Seminarios[Año])</f>
        <v>2025</v>
      </c>
    </row>
    <row r="980" spans="1:7" x14ac:dyDescent="0.25">
      <c r="A980" s="7" t="s">
        <v>975</v>
      </c>
      <c r="B980" s="3"/>
      <c r="C980" s="3" t="s">
        <v>218</v>
      </c>
      <c r="D980" s="3" t="s">
        <v>48</v>
      </c>
      <c r="E980" s="3" t="s">
        <v>5</v>
      </c>
      <c r="F980" s="64" t="s">
        <v>214</v>
      </c>
      <c r="G980" s="19">
        <f>_xlfn.XLOOKUP(Participantes[[#This Row],[Seminario al que asistió]],Seminarios[Seminario],Seminarios[Año])</f>
        <v>2025</v>
      </c>
    </row>
    <row r="981" spans="1:7" x14ac:dyDescent="0.25">
      <c r="A981" s="7" t="s">
        <v>165</v>
      </c>
      <c r="B981" s="3" t="str">
        <f>_xlfn.XLOOKUP(Participantes[[#This Row],[Nombre]],$A100:$A980,$B100:$B980)</f>
        <v>lg.galan92@uniandes.edu.co</v>
      </c>
      <c r="C981" s="3" t="s">
        <v>218</v>
      </c>
      <c r="D981" s="3" t="s">
        <v>36</v>
      </c>
      <c r="E981" s="3" t="s">
        <v>5</v>
      </c>
      <c r="F981" s="64" t="s">
        <v>214</v>
      </c>
      <c r="G981" s="19">
        <f>_xlfn.XLOOKUP(Participantes[[#This Row],[Seminario al que asistió]],Seminarios[Seminario],Seminarios[Año])</f>
        <v>2025</v>
      </c>
    </row>
    <row r="982" spans="1:7" x14ac:dyDescent="0.25">
      <c r="A982" s="7" t="s">
        <v>976</v>
      </c>
      <c r="B982" s="3" t="s">
        <v>977</v>
      </c>
      <c r="C982" s="3" t="s">
        <v>221</v>
      </c>
      <c r="D982" s="3" t="s">
        <v>48</v>
      </c>
      <c r="E982" s="3" t="s">
        <v>5</v>
      </c>
      <c r="F982" s="64" t="s">
        <v>214</v>
      </c>
      <c r="G982" s="19">
        <f>_xlfn.XLOOKUP(Participantes[[#This Row],[Seminario al que asistió]],Seminarios[Seminario],Seminarios[Año])</f>
        <v>2025</v>
      </c>
    </row>
    <row r="983" spans="1:7" x14ac:dyDescent="0.25">
      <c r="A983" s="7" t="s">
        <v>978</v>
      </c>
      <c r="B983" s="3" t="s">
        <v>569</v>
      </c>
      <c r="C983" s="3" t="s">
        <v>221</v>
      </c>
      <c r="D983" s="3" t="s">
        <v>36</v>
      </c>
      <c r="E983" s="3" t="s">
        <v>5</v>
      </c>
      <c r="F983" s="64" t="s">
        <v>214</v>
      </c>
      <c r="G983" s="19">
        <f>_xlfn.XLOOKUP(Participantes[[#This Row],[Seminario al que asistió]],Seminarios[Seminario],Seminarios[Año])</f>
        <v>2025</v>
      </c>
    </row>
    <row r="984" spans="1:7" x14ac:dyDescent="0.25">
      <c r="A984" s="7" t="s">
        <v>234</v>
      </c>
      <c r="B984" s="3" t="str">
        <f>_xlfn.XLOOKUP(Participantes[[#This Row],[Nombre]],$A103:$A983,$B103:$B983)</f>
        <v>d.higa@uniandes.edu.co</v>
      </c>
      <c r="C984" s="3" t="s">
        <v>218</v>
      </c>
      <c r="D984" s="3" t="s">
        <v>36</v>
      </c>
      <c r="E984" s="3" t="s">
        <v>5</v>
      </c>
      <c r="F984" s="64" t="s">
        <v>214</v>
      </c>
      <c r="G984" s="19">
        <f>_xlfn.XLOOKUP(Participantes[[#This Row],[Seminario al que asistió]],Seminarios[Seminario],Seminarios[Año])</f>
        <v>2025</v>
      </c>
    </row>
    <row r="985" spans="1:7" x14ac:dyDescent="0.25">
      <c r="A985" s="7" t="s">
        <v>979</v>
      </c>
      <c r="B985" t="s">
        <v>594</v>
      </c>
      <c r="C985" s="3" t="s">
        <v>218</v>
      </c>
      <c r="D985" s="3" t="s">
        <v>48</v>
      </c>
      <c r="E985" s="3" t="s">
        <v>5</v>
      </c>
      <c r="F985" s="64" t="s">
        <v>214</v>
      </c>
      <c r="G985" s="19">
        <f>_xlfn.XLOOKUP(Participantes[[#This Row],[Seminario al que asistió]],Seminarios[Seminario],Seminarios[Año])</f>
        <v>2025</v>
      </c>
    </row>
    <row r="986" spans="1:7" x14ac:dyDescent="0.25">
      <c r="A986" s="7" t="s">
        <v>593</v>
      </c>
      <c r="B986" s="3" t="str">
        <f>_xlfn.XLOOKUP(Participantes[[#This Row],[Nombre]],$A105:$A985,$B105:$B985)</f>
        <v>sonmil@gmail.com</v>
      </c>
      <c r="C986" s="3" t="s">
        <v>221</v>
      </c>
      <c r="D986" s="3" t="s">
        <v>48</v>
      </c>
      <c r="E986" s="3" t="s">
        <v>1</v>
      </c>
      <c r="F986" s="64" t="s">
        <v>214</v>
      </c>
      <c r="G986" s="19">
        <f>_xlfn.XLOOKUP(Participantes[[#This Row],[Seminario al que asistió]],Seminarios[Seminario],Seminarios[Año])</f>
        <v>2025</v>
      </c>
    </row>
    <row r="987" spans="1:7" x14ac:dyDescent="0.25">
      <c r="A987" s="7" t="s">
        <v>176</v>
      </c>
      <c r="B987" s="3" t="str">
        <f>_xlfn.XLOOKUP(Participantes[[#This Row],[Nombre]],$A106:$A986,$B106:$B986)</f>
        <v>x.rueda@uniandes.edu.co</v>
      </c>
      <c r="C987" s="3" t="s">
        <v>221</v>
      </c>
      <c r="D987" s="3" t="s">
        <v>36</v>
      </c>
      <c r="E987" s="3" t="s">
        <v>1</v>
      </c>
      <c r="F987" s="64" t="s">
        <v>214</v>
      </c>
      <c r="G987" s="19">
        <f>_xlfn.XLOOKUP(Participantes[[#This Row],[Seminario al que asistió]],Seminarios[Seminario],Seminarios[Año])</f>
        <v>2025</v>
      </c>
    </row>
    <row r="988" spans="1:7" x14ac:dyDescent="0.25">
      <c r="A988" s="7" t="s">
        <v>1140</v>
      </c>
      <c r="B988" s="3"/>
      <c r="C988" s="3" t="s">
        <v>221</v>
      </c>
      <c r="D988" s="3" t="s">
        <v>233</v>
      </c>
      <c r="E988" s="3" t="s">
        <v>1</v>
      </c>
      <c r="F988" s="64" t="s">
        <v>214</v>
      </c>
      <c r="G988" s="19">
        <f>_xlfn.XLOOKUP(Participantes[[#This Row],[Seminario al que asistió]],Seminarios[Seminario],Seminarios[Año])</f>
        <v>2025</v>
      </c>
    </row>
    <row r="989" spans="1:7" x14ac:dyDescent="0.25">
      <c r="A989" s="7" t="s">
        <v>876</v>
      </c>
      <c r="B989" s="3"/>
      <c r="C989" s="3" t="s">
        <v>221</v>
      </c>
      <c r="D989" s="3" t="s">
        <v>233</v>
      </c>
      <c r="E989" s="3" t="s">
        <v>1</v>
      </c>
      <c r="F989" s="64" t="s">
        <v>214</v>
      </c>
      <c r="G989" s="19">
        <f>_xlfn.XLOOKUP(Participantes[[#This Row],[Seminario al que asistió]],Seminarios[Seminario],Seminarios[Año])</f>
        <v>2025</v>
      </c>
    </row>
    <row r="990" spans="1:7" x14ac:dyDescent="0.25">
      <c r="A990" s="7" t="s">
        <v>1143</v>
      </c>
      <c r="B990" s="3"/>
      <c r="C990" s="3" t="s">
        <v>218</v>
      </c>
      <c r="D990" s="3" t="s">
        <v>48</v>
      </c>
      <c r="E990" s="3" t="s">
        <v>1</v>
      </c>
      <c r="F990" s="64" t="s">
        <v>214</v>
      </c>
      <c r="G990" s="19">
        <f>_xlfn.XLOOKUP(Participantes[[#This Row],[Seminario al que asistió]],Seminarios[Seminario],Seminarios[Año])</f>
        <v>2025</v>
      </c>
    </row>
    <row r="991" spans="1:7" x14ac:dyDescent="0.25">
      <c r="A991" s="7" t="s">
        <v>953</v>
      </c>
      <c r="B991" s="3" t="str">
        <f>_xlfn.XLOOKUP(Participantes[[#This Row],[Nombre]],$A110:$A990,$B110:$B990)</f>
        <v>mwachira@strathmore.edu</v>
      </c>
      <c r="C991" s="3" t="s">
        <v>221</v>
      </c>
      <c r="D991" s="3" t="s">
        <v>53</v>
      </c>
      <c r="E991" s="3" t="s">
        <v>1</v>
      </c>
      <c r="F991" s="64" t="s">
        <v>214</v>
      </c>
      <c r="G991" s="19">
        <f>_xlfn.XLOOKUP(Participantes[[#This Row],[Seminario al que asistió]],Seminarios[Seminario],Seminarios[Año])</f>
        <v>2025</v>
      </c>
    </row>
    <row r="992" spans="1:7" x14ac:dyDescent="0.25">
      <c r="A992" s="7" t="s">
        <v>733</v>
      </c>
      <c r="B992" s="3" t="s">
        <v>475</v>
      </c>
      <c r="C992" s="3" t="s">
        <v>218</v>
      </c>
      <c r="D992" s="3" t="s">
        <v>36</v>
      </c>
      <c r="E992" s="3" t="s">
        <v>1</v>
      </c>
      <c r="F992" s="64" t="s">
        <v>214</v>
      </c>
      <c r="G992" s="19">
        <f>_xlfn.XLOOKUP(Participantes[[#This Row],[Seminario al que asistió]],Seminarios[Seminario],Seminarios[Año])</f>
        <v>2025</v>
      </c>
    </row>
    <row r="993" spans="1:7" x14ac:dyDescent="0.25">
      <c r="A993" s="7" t="s">
        <v>1144</v>
      </c>
      <c r="B993" s="3"/>
      <c r="C993" s="3" t="s">
        <v>221</v>
      </c>
      <c r="D993" s="3" t="s">
        <v>48</v>
      </c>
      <c r="E993" s="3" t="s">
        <v>1</v>
      </c>
      <c r="F993" s="64" t="s">
        <v>214</v>
      </c>
      <c r="G993" s="19">
        <f>_xlfn.XLOOKUP(Participantes[[#This Row],[Seminario al que asistió]],Seminarios[Seminario],Seminarios[Año])</f>
        <v>2025</v>
      </c>
    </row>
    <row r="994" spans="1:7" x14ac:dyDescent="0.25">
      <c r="A994" s="7" t="s">
        <v>317</v>
      </c>
      <c r="B994" s="3" t="str">
        <f>_xlfn.XLOOKUP(Participantes[[#This Row],[Nombre]],$A113:$A993,$B113:$B993)</f>
        <v>robgutie@uniandes.edu.co</v>
      </c>
      <c r="C994" s="3" t="s">
        <v>218</v>
      </c>
      <c r="D994" s="3" t="s">
        <v>36</v>
      </c>
      <c r="E994" s="3" t="s">
        <v>1</v>
      </c>
      <c r="F994" s="64" t="s">
        <v>214</v>
      </c>
      <c r="G994" s="19">
        <f>_xlfn.XLOOKUP(Participantes[[#This Row],[Seminario al que asistió]],Seminarios[Seminario],Seminarios[Año])</f>
        <v>2025</v>
      </c>
    </row>
    <row r="995" spans="1:7" x14ac:dyDescent="0.25">
      <c r="A995" s="7" t="s">
        <v>1145</v>
      </c>
      <c r="B995" s="3" t="s">
        <v>1146</v>
      </c>
      <c r="C995" s="3" t="s">
        <v>221</v>
      </c>
      <c r="D995" s="3" t="s">
        <v>36</v>
      </c>
      <c r="E995" s="3" t="s">
        <v>1</v>
      </c>
      <c r="F995" s="64" t="s">
        <v>214</v>
      </c>
      <c r="G995" s="19">
        <f>_xlfn.XLOOKUP(Participantes[[#This Row],[Seminario al que asistió]],Seminarios[Seminario],Seminarios[Año])</f>
        <v>2025</v>
      </c>
    </row>
    <row r="996" spans="1:7" x14ac:dyDescent="0.25">
      <c r="A996" s="7" t="s">
        <v>1142</v>
      </c>
      <c r="B996" s="3"/>
      <c r="C996" s="3" t="s">
        <v>221</v>
      </c>
      <c r="D996" s="3" t="s">
        <v>36</v>
      </c>
      <c r="E996" s="3" t="s">
        <v>1</v>
      </c>
      <c r="F996" s="64" t="s">
        <v>214</v>
      </c>
      <c r="G996" s="19">
        <f>_xlfn.XLOOKUP(Participantes[[#This Row],[Seminario al que asistió]],Seminarios[Seminario],Seminarios[Año])</f>
        <v>2025</v>
      </c>
    </row>
    <row r="997" spans="1:7" ht="15.75" thickBot="1" x14ac:dyDescent="0.3">
      <c r="A997" s="9" t="s">
        <v>167</v>
      </c>
      <c r="B997" s="10" t="str">
        <f>_xlfn.XLOOKUP(Participantes[[#This Row],[Nombre]],$A117:$A996,$B117:$B996)</f>
        <v>cdavila@uniandes.edu.co</v>
      </c>
      <c r="C997" s="10" t="s">
        <v>218</v>
      </c>
      <c r="D997" s="10" t="s">
        <v>36</v>
      </c>
      <c r="E997" s="10" t="s">
        <v>1</v>
      </c>
      <c r="F997" s="117" t="s">
        <v>214</v>
      </c>
      <c r="G997" s="21">
        <f>_xlfn.XLOOKUP(Participantes[[#This Row],[Seminario al que asistió]],Seminarios[Seminario],Seminarios[Año])</f>
        <v>2025</v>
      </c>
    </row>
    <row r="998" spans="1:7" x14ac:dyDescent="0.25">
      <c r="A998" s="142" t="s">
        <v>1211</v>
      </c>
      <c r="B998" s="5" t="s">
        <v>1197</v>
      </c>
      <c r="C998" s="87" t="s">
        <v>221</v>
      </c>
      <c r="D998" s="87" t="s">
        <v>36</v>
      </c>
      <c r="E998" s="87" t="s">
        <v>1</v>
      </c>
      <c r="F998" s="88" t="s">
        <v>1149</v>
      </c>
      <c r="G998" s="21">
        <f>_xlfn.XLOOKUP(Participantes[[#This Row],[Seminario al que asistió]],Seminarios[Seminario],Seminarios[Año])</f>
        <v>2025</v>
      </c>
    </row>
    <row r="999" spans="1:7" x14ac:dyDescent="0.25">
      <c r="A999" s="77" t="s">
        <v>883</v>
      </c>
      <c r="B999" s="3" t="str">
        <f>_xlfn.XLOOKUP(Participantes[[#This Row],[Nombre]],$A118:$A998,$B118:$B998)</f>
        <v>d.mantillag@uniandes.edu.co</v>
      </c>
      <c r="C999" s="13" t="s">
        <v>218</v>
      </c>
      <c r="D999" s="13" t="s">
        <v>36</v>
      </c>
      <c r="E999" s="13" t="s">
        <v>1</v>
      </c>
      <c r="F999" s="78" t="s">
        <v>1149</v>
      </c>
      <c r="G999" s="21">
        <f>_xlfn.XLOOKUP(Participantes[[#This Row],[Seminario al que asistió]],Seminarios[Seminario],Seminarios[Año])</f>
        <v>2025</v>
      </c>
    </row>
    <row r="1000" spans="1:7" x14ac:dyDescent="0.25">
      <c r="A1000" s="77" t="s">
        <v>274</v>
      </c>
      <c r="B1000" s="3" t="str">
        <f>_xlfn.XLOOKUP(Participantes[[#This Row],[Nombre]],$A119:$A999,$B119:$B999)</f>
        <v>r.londonovanrutten@uniandes.edu.co</v>
      </c>
      <c r="C1000" s="13" t="s">
        <v>218</v>
      </c>
      <c r="D1000" s="13" t="s">
        <v>36</v>
      </c>
      <c r="E1000" s="13" t="s">
        <v>1</v>
      </c>
      <c r="F1000" s="78" t="s">
        <v>1149</v>
      </c>
      <c r="G1000" s="21">
        <f>_xlfn.XLOOKUP(Participantes[[#This Row],[Seminario al que asistió]],Seminarios[Seminario],Seminarios[Año])</f>
        <v>2025</v>
      </c>
    </row>
    <row r="1001" spans="1:7" x14ac:dyDescent="0.25">
      <c r="A1001" s="77" t="s">
        <v>225</v>
      </c>
      <c r="B1001" s="3" t="str">
        <f>_xlfn.XLOOKUP(Participantes[[#This Row],[Nombre]],$A120:$A1000,$B120:$B1000)</f>
        <v>s.turner@uniandes.edu.co</v>
      </c>
      <c r="C1001" s="13" t="s">
        <v>218</v>
      </c>
      <c r="D1001" s="13" t="s">
        <v>36</v>
      </c>
      <c r="E1001" s="13" t="s">
        <v>1</v>
      </c>
      <c r="F1001" s="78" t="s">
        <v>1149</v>
      </c>
      <c r="G1001" s="21">
        <f>_xlfn.XLOOKUP(Participantes[[#This Row],[Seminario al que asistió]],Seminarios[Seminario],Seminarios[Año])</f>
        <v>2025</v>
      </c>
    </row>
    <row r="1002" spans="1:7" x14ac:dyDescent="0.25">
      <c r="A1002" s="77" t="s">
        <v>889</v>
      </c>
      <c r="B1002" s="3" t="str">
        <f>_xlfn.XLOOKUP(Participantes[[#This Row],[Nombre]],$A121:$A1001,$B121:$B1001)</f>
        <v>ea.terhorst@uniandes.edu.co</v>
      </c>
      <c r="C1002" s="13" t="s">
        <v>218</v>
      </c>
      <c r="D1002" s="13" t="s">
        <v>36</v>
      </c>
      <c r="E1002" s="13" t="s">
        <v>1</v>
      </c>
      <c r="F1002" s="78" t="s">
        <v>1149</v>
      </c>
      <c r="G1002" s="21">
        <f>_xlfn.XLOOKUP(Participantes[[#This Row],[Seminario al que asistió]],Seminarios[Seminario],Seminarios[Año])</f>
        <v>2025</v>
      </c>
    </row>
    <row r="1003" spans="1:7" x14ac:dyDescent="0.25">
      <c r="A1003" s="77" t="s">
        <v>319</v>
      </c>
      <c r="B1003" s="3" t="str">
        <f>_xlfn.XLOOKUP(Participantes[[#This Row],[Nombre]],$A122:$A1002,$B122:$B1002)</f>
        <v>j.malagon@uniandes.edu.co</v>
      </c>
      <c r="C1003" s="13" t="s">
        <v>221</v>
      </c>
      <c r="D1003" s="13" t="s">
        <v>36</v>
      </c>
      <c r="E1003" s="13" t="s">
        <v>1</v>
      </c>
      <c r="F1003" s="78" t="s">
        <v>1149</v>
      </c>
      <c r="G1003" s="21">
        <f>_xlfn.XLOOKUP(Participantes[[#This Row],[Seminario al que asistió]],Seminarios[Seminario],Seminarios[Año])</f>
        <v>2025</v>
      </c>
    </row>
    <row r="1004" spans="1:7" ht="15.75" thickBot="1" x14ac:dyDescent="0.3">
      <c r="A1004" s="9" t="s">
        <v>1192</v>
      </c>
      <c r="B1004" s="10" t="s">
        <v>1198</v>
      </c>
      <c r="C1004" s="10" t="s">
        <v>221</v>
      </c>
      <c r="D1004" s="10" t="s">
        <v>43</v>
      </c>
      <c r="E1004" s="10" t="s">
        <v>1</v>
      </c>
      <c r="F1004" s="11" t="s">
        <v>1149</v>
      </c>
      <c r="G1004" s="21">
        <f>_xlfn.XLOOKUP(Participantes[[#This Row],[Seminario al que asistió]],Seminarios[Seminario],Seminarios[Año])</f>
        <v>2025</v>
      </c>
    </row>
    <row r="1005" spans="1:7" x14ac:dyDescent="0.25">
      <c r="A1005" s="21" t="s">
        <v>947</v>
      </c>
      <c r="B1005" s="3" t="str">
        <f>_xlfn.XLOOKUP(Participantes[[#This Row],[Nombre]],$A124:$A1004,$B124:$B1004)</f>
        <v>jr.romero109@uniandes.edu.co</v>
      </c>
      <c r="C1005" s="13" t="s">
        <v>221</v>
      </c>
      <c r="D1005" s="13" t="s">
        <v>36</v>
      </c>
      <c r="E1005" s="13" t="s">
        <v>1</v>
      </c>
      <c r="F1005" s="78" t="s">
        <v>1164</v>
      </c>
      <c r="G1005" s="13">
        <f>_xlfn.XLOOKUP(Participantes[[#This Row],[Seminario al que asistió]],Seminarios[Seminario],Seminarios[Año])</f>
        <v>2025</v>
      </c>
    </row>
    <row r="1006" spans="1:7" x14ac:dyDescent="0.25">
      <c r="A1006" s="21" t="s">
        <v>253</v>
      </c>
      <c r="B1006" s="3" t="str">
        <f>_xlfn.XLOOKUP(Participantes[[#This Row],[Nombre]],$A125:$A1005,$B125:$B1005)</f>
        <v>g.triulzi@uniandes.edu.co</v>
      </c>
      <c r="C1006" s="13" t="s">
        <v>218</v>
      </c>
      <c r="D1006" s="13" t="s">
        <v>36</v>
      </c>
      <c r="E1006" s="13" t="s">
        <v>1</v>
      </c>
      <c r="F1006" s="78" t="s">
        <v>1164</v>
      </c>
      <c r="G1006" s="13">
        <f>_xlfn.XLOOKUP(Participantes[[#This Row],[Seminario al que asistió]],Seminarios[Seminario],Seminarios[Año])</f>
        <v>2025</v>
      </c>
    </row>
    <row r="1007" spans="1:7" x14ac:dyDescent="0.25">
      <c r="A1007" s="21" t="s">
        <v>1193</v>
      </c>
      <c r="B1007" s="3" t="s">
        <v>1199</v>
      </c>
      <c r="C1007" s="13" t="s">
        <v>221</v>
      </c>
      <c r="D1007" s="13" t="s">
        <v>233</v>
      </c>
      <c r="E1007" s="13" t="s">
        <v>1</v>
      </c>
      <c r="F1007" s="78" t="s">
        <v>1164</v>
      </c>
      <c r="G1007" s="13">
        <f>_xlfn.XLOOKUP(Participantes[[#This Row],[Seminario al que asistió]],Seminarios[Seminario],Seminarios[Año])</f>
        <v>2025</v>
      </c>
    </row>
    <row r="1008" spans="1:7" x14ac:dyDescent="0.25">
      <c r="A1008" s="21" t="s">
        <v>285</v>
      </c>
      <c r="B1008" s="3" t="str">
        <f>_xlfn.XLOOKUP(Participantes[[#This Row],[Nombre]],$A127:$A1007,$B127:$B1007)</f>
        <v>ro-britt@uniandes.edu.co</v>
      </c>
      <c r="C1008" s="13" t="s">
        <v>218</v>
      </c>
      <c r="D1008" s="13" t="s">
        <v>36</v>
      </c>
      <c r="E1008" s="13" t="s">
        <v>1</v>
      </c>
      <c r="F1008" s="78" t="s">
        <v>1164</v>
      </c>
      <c r="G1008" s="13">
        <f>_xlfn.XLOOKUP(Participantes[[#This Row],[Seminario al que asistió]],Seminarios[Seminario],Seminarios[Año])</f>
        <v>2025</v>
      </c>
    </row>
    <row r="1009" spans="1:7" x14ac:dyDescent="0.25">
      <c r="A1009" s="21" t="s">
        <v>1194</v>
      </c>
      <c r="B1009" s="3" t="s">
        <v>1200</v>
      </c>
      <c r="C1009" s="13" t="s">
        <v>218</v>
      </c>
      <c r="D1009" s="13" t="s">
        <v>233</v>
      </c>
      <c r="E1009" s="13" t="s">
        <v>1</v>
      </c>
      <c r="F1009" s="78" t="s">
        <v>1164</v>
      </c>
      <c r="G1009" s="13">
        <f>_xlfn.XLOOKUP(Participantes[[#This Row],[Seminario al que asistió]],Seminarios[Seminario],Seminarios[Año])</f>
        <v>2025</v>
      </c>
    </row>
    <row r="1010" spans="1:7" x14ac:dyDescent="0.25">
      <c r="A1010" s="21" t="s">
        <v>920</v>
      </c>
      <c r="B1010" s="3" t="str">
        <f>_xlfn.XLOOKUP(Participantes[[#This Row],[Nombre]],$A129:$A1009,$B129:$B1009)</f>
        <v>mthiell@uniandes.edu.co</v>
      </c>
      <c r="C1010" s="13" t="s">
        <v>218</v>
      </c>
      <c r="D1010" s="13" t="s">
        <v>36</v>
      </c>
      <c r="E1010" s="13" t="s">
        <v>1</v>
      </c>
      <c r="F1010" s="78" t="s">
        <v>1164</v>
      </c>
      <c r="G1010" s="13">
        <f>_xlfn.XLOOKUP(Participantes[[#This Row],[Seminario al que asistió]],Seminarios[Seminario],Seminarios[Año])</f>
        <v>2025</v>
      </c>
    </row>
    <row r="1011" spans="1:7" x14ac:dyDescent="0.25">
      <c r="A1011" s="21" t="s">
        <v>1195</v>
      </c>
      <c r="B1011" s="3" t="s">
        <v>1201</v>
      </c>
      <c r="C1011" s="13" t="s">
        <v>221</v>
      </c>
      <c r="D1011" s="13" t="s">
        <v>233</v>
      </c>
      <c r="E1011" s="13" t="s">
        <v>1</v>
      </c>
      <c r="F1011" s="78" t="s">
        <v>1164</v>
      </c>
      <c r="G1011" s="13">
        <f>_xlfn.XLOOKUP(Participantes[[#This Row],[Seminario al que asistió]],Seminarios[Seminario],Seminarios[Año])</f>
        <v>2025</v>
      </c>
    </row>
    <row r="1012" spans="1:7" x14ac:dyDescent="0.25">
      <c r="A1012" s="21" t="s">
        <v>1196</v>
      </c>
      <c r="B1012" s="3" t="s">
        <v>1202</v>
      </c>
      <c r="C1012" s="13" t="s">
        <v>221</v>
      </c>
      <c r="D1012" s="13" t="s">
        <v>233</v>
      </c>
      <c r="E1012" s="13" t="s">
        <v>1</v>
      </c>
      <c r="F1012" s="78" t="s">
        <v>1164</v>
      </c>
      <c r="G1012" s="13">
        <f>_xlfn.XLOOKUP(Participantes[[#This Row],[Seminario al que asistió]],Seminarios[Seminario],Seminarios[Año])</f>
        <v>2025</v>
      </c>
    </row>
    <row r="1013" spans="1:7" x14ac:dyDescent="0.25">
      <c r="A1013" s="21" t="s">
        <v>944</v>
      </c>
      <c r="B1013" s="3" t="str">
        <f>_xlfn.XLOOKUP(Participantes[[#This Row],[Nombre]],$A132:$A1012,$B132:$B1012)</f>
        <v>jd.martinezo@uniandes.edu.co</v>
      </c>
      <c r="C1013" s="13" t="s">
        <v>218</v>
      </c>
      <c r="D1013" s="13" t="s">
        <v>43</v>
      </c>
      <c r="E1013" s="13" t="s">
        <v>1</v>
      </c>
      <c r="F1013" s="78" t="s">
        <v>1164</v>
      </c>
      <c r="G1013" s="13">
        <f>_xlfn.XLOOKUP(Participantes[[#This Row],[Seminario al que asistió]],Seminarios[Seminario],Seminarios[Año])</f>
        <v>2025</v>
      </c>
    </row>
    <row r="1014" spans="1:7" x14ac:dyDescent="0.25">
      <c r="A1014" s="21" t="s">
        <v>833</v>
      </c>
      <c r="B1014" s="3" t="str">
        <f>_xlfn.XLOOKUP(Participantes[[#This Row],[Nombre]],$A133:$A1013,$B133:$B1013)</f>
        <v>c.chauhan@uniandes.edu.co</v>
      </c>
      <c r="C1014" s="13" t="s">
        <v>221</v>
      </c>
      <c r="D1014" s="13" t="s">
        <v>36</v>
      </c>
      <c r="E1014" s="13" t="s">
        <v>1</v>
      </c>
      <c r="F1014" s="78" t="s">
        <v>1164</v>
      </c>
      <c r="G1014" s="13">
        <f>_xlfn.XLOOKUP(Participantes[[#This Row],[Seminario al que asistió]],Seminarios[Seminario],Seminarios[Año])</f>
        <v>2025</v>
      </c>
    </row>
    <row r="1015" spans="1:7" x14ac:dyDescent="0.25">
      <c r="A1015" s="21" t="s">
        <v>559</v>
      </c>
      <c r="B1015" s="3" t="str">
        <f>_xlfn.XLOOKUP(Participantes[[#This Row],[Nombre]],$A134:$A1014,$B134:$B1014)</f>
        <v>a.sengupta@uniandes.edu.co</v>
      </c>
      <c r="C1015" s="13" t="s">
        <v>218</v>
      </c>
      <c r="D1015" s="13" t="s">
        <v>36</v>
      </c>
      <c r="E1015" s="13" t="s">
        <v>1</v>
      </c>
      <c r="F1015" s="78" t="s">
        <v>1164</v>
      </c>
      <c r="G1015" s="13">
        <f>_xlfn.XLOOKUP(Participantes[[#This Row],[Seminario al que asistió]],Seminarios[Seminario],Seminarios[Año])</f>
        <v>2025</v>
      </c>
    </row>
    <row r="1016" spans="1:7" ht="15.75" thickBot="1" x14ac:dyDescent="0.3">
      <c r="A1016" s="21" t="s">
        <v>1204</v>
      </c>
      <c r="B1016" s="13" t="s">
        <v>1203</v>
      </c>
      <c r="C1016" s="13" t="s">
        <v>218</v>
      </c>
      <c r="D1016" s="13" t="s">
        <v>36</v>
      </c>
      <c r="E1016" s="13" t="s">
        <v>1</v>
      </c>
      <c r="F1016" s="78" t="s">
        <v>1164</v>
      </c>
      <c r="G1016" s="13">
        <f>_xlfn.XLOOKUP(Participantes[[#This Row],[Seminario al que asistió]],Seminarios[Seminario],Seminarios[Año])</f>
        <v>2025</v>
      </c>
    </row>
    <row r="1017" spans="1:7" x14ac:dyDescent="0.25">
      <c r="A1017" s="4" t="s">
        <v>219</v>
      </c>
      <c r="B1017" s="5" t="str">
        <f>_xlfn.XLOOKUP(Participantes[[#This Row],[Nombre]],$A136:$A1016,$B136:$B1016)</f>
        <v>p.sanchez1@uniandes.edu.co</v>
      </c>
      <c r="C1017" s="5" t="str">
        <f>_xlfn.XLOOKUP(Participantes[[#This Row],[Nombre]],$A136:$A1016,$C136:$C1016)</f>
        <v>F</v>
      </c>
      <c r="D1017" s="5" t="str">
        <f>_xlfn.XLOOKUP(Participantes[[#This Row],[Nombre]],$A136:$A1016,$D136:$D1016)</f>
        <v>Professor</v>
      </c>
      <c r="E1017" s="5" t="s">
        <v>1</v>
      </c>
      <c r="F1017" s="6" t="s">
        <v>1159</v>
      </c>
      <c r="G1017" s="19">
        <f>_xlfn.XLOOKUP(Participantes[[#This Row],[Seminario al que asistió]],Seminarios[Seminario],Seminarios[Año])</f>
        <v>2025</v>
      </c>
    </row>
    <row r="1018" spans="1:7" x14ac:dyDescent="0.25">
      <c r="A1018" s="7" t="s">
        <v>675</v>
      </c>
      <c r="B1018" s="3" t="str">
        <f>_xlfn.XLOOKUP(Participantes[[#This Row],[Nombre]],$A137:$A1017,$B137:$B1017)</f>
        <v>maxgonza@uniandes.edu.co</v>
      </c>
      <c r="C1018" s="3" t="str">
        <f>_xlfn.XLOOKUP(Participantes[[#This Row],[Nombre]],$A137:$A1017,$C137:$C1017)</f>
        <v>M</v>
      </c>
      <c r="D1018" s="3" t="str">
        <f>_xlfn.XLOOKUP(Participantes[[#This Row],[Nombre]],$A137:$A1017,$D137:$D1017)</f>
        <v>Professor</v>
      </c>
      <c r="E1018" s="3" t="s">
        <v>1</v>
      </c>
      <c r="F1018" s="8" t="s">
        <v>1159</v>
      </c>
      <c r="G1018" s="19">
        <f>_xlfn.XLOOKUP(Participantes[[#This Row],[Seminario al que asistió]],Seminarios[Seminario],Seminarios[Año])</f>
        <v>2025</v>
      </c>
    </row>
    <row r="1019" spans="1:7" x14ac:dyDescent="0.25">
      <c r="A1019" s="7" t="s">
        <v>234</v>
      </c>
      <c r="B1019" s="3" t="str">
        <f>_xlfn.XLOOKUP(Participantes[[#This Row],[Nombre]],$A138:$A1018,$B138:$B1018)</f>
        <v>d.higa@uniandes.edu.co</v>
      </c>
      <c r="C1019" s="3" t="str">
        <f>_xlfn.XLOOKUP(Participantes[[#This Row],[Nombre]],$A138:$A1018,$C138:$C1018)</f>
        <v>M</v>
      </c>
      <c r="D1019" s="3" t="str">
        <f>_xlfn.XLOOKUP(Participantes[[#This Row],[Nombre]],$A138:$A1018,$D138:$D1018)</f>
        <v>Professor</v>
      </c>
      <c r="E1019" s="3" t="s">
        <v>1</v>
      </c>
      <c r="F1019" s="8" t="s">
        <v>1159</v>
      </c>
      <c r="G1019" s="19">
        <f>_xlfn.XLOOKUP(Participantes[[#This Row],[Seminario al que asistió]],Seminarios[Seminario],Seminarios[Año])</f>
        <v>2025</v>
      </c>
    </row>
    <row r="1020" spans="1:7" x14ac:dyDescent="0.25">
      <c r="A1020" s="7" t="s">
        <v>260</v>
      </c>
      <c r="B1020" s="3" t="str">
        <f>_xlfn.XLOOKUP(Participantes[[#This Row],[Nombre]],$A139:$A1019,$B139:$B1019)</f>
        <v>o.naranjodelgiudice@uniandes.edu.co</v>
      </c>
      <c r="C1020" s="3" t="str">
        <f>_xlfn.XLOOKUP(Participantes[[#This Row],[Nombre]],$A139:$A1019,$C139:$C1019)</f>
        <v>M</v>
      </c>
      <c r="D1020" s="3" t="str">
        <f>_xlfn.XLOOKUP(Participantes[[#This Row],[Nombre]],$A139:$A1019,$D139:$D1019)</f>
        <v>Professor</v>
      </c>
      <c r="E1020" s="3" t="s">
        <v>1</v>
      </c>
      <c r="F1020" s="8" t="s">
        <v>1159</v>
      </c>
      <c r="G1020" s="19">
        <f>_xlfn.XLOOKUP(Participantes[[#This Row],[Seminario al que asistió]],Seminarios[Seminario],Seminarios[Año])</f>
        <v>2025</v>
      </c>
    </row>
    <row r="1021" spans="1:7" x14ac:dyDescent="0.25">
      <c r="A1021" s="7" t="s">
        <v>274</v>
      </c>
      <c r="B1021" s="3" t="str">
        <f>_xlfn.XLOOKUP(Participantes[[#This Row],[Nombre]],$A140:$A1020,$B140:$B1020)</f>
        <v>r.londonovanrutten@uniandes.edu.co</v>
      </c>
      <c r="C1021" s="3" t="str">
        <f>_xlfn.XLOOKUP(Participantes[[#This Row],[Nombre]],$A140:$A1020,$C140:$C1020)</f>
        <v>M</v>
      </c>
      <c r="D1021" s="3" t="str">
        <f>_xlfn.XLOOKUP(Participantes[[#This Row],[Nombre]],$A140:$A1020,$D140:$D1020)</f>
        <v>Professor</v>
      </c>
      <c r="E1021" s="3" t="s">
        <v>1</v>
      </c>
      <c r="F1021" s="8" t="s">
        <v>1159</v>
      </c>
      <c r="G1021" s="19">
        <f>_xlfn.XLOOKUP(Participantes[[#This Row],[Seminario al que asistió]],Seminarios[Seminario],Seminarios[Año])</f>
        <v>2025</v>
      </c>
    </row>
    <row r="1022" spans="1:7" x14ac:dyDescent="0.25">
      <c r="A1022" s="7" t="s">
        <v>285</v>
      </c>
      <c r="B1022" s="3" t="str">
        <f>_xlfn.XLOOKUP(Participantes[[#This Row],[Nombre]],$A141:$A1021,$B141:$B1021)</f>
        <v>ro-britt@uniandes.edu.co</v>
      </c>
      <c r="C1022" s="3" t="str">
        <f>_xlfn.XLOOKUP(Participantes[[#This Row],[Nombre]],$A141:$A1021,$C141:$C1021)</f>
        <v>M</v>
      </c>
      <c r="D1022" s="3" t="str">
        <f>_xlfn.XLOOKUP(Participantes[[#This Row],[Nombre]],$A141:$A1021,$D141:$D1021)</f>
        <v>Professor</v>
      </c>
      <c r="E1022" s="3" t="s">
        <v>1</v>
      </c>
      <c r="F1022" s="8" t="s">
        <v>1159</v>
      </c>
      <c r="G1022" s="19">
        <f>_xlfn.XLOOKUP(Participantes[[#This Row],[Seminario al que asistió]],Seminarios[Seminario],Seminarios[Año])</f>
        <v>2025</v>
      </c>
    </row>
    <row r="1023" spans="1:7" x14ac:dyDescent="0.25">
      <c r="A1023" s="7" t="s">
        <v>253</v>
      </c>
      <c r="B1023" s="3" t="str">
        <f>_xlfn.XLOOKUP(Participantes[[#This Row],[Nombre]],$A142:$A1022,$B142:$B1022)</f>
        <v>g.triulzi@uniandes.edu.co</v>
      </c>
      <c r="C1023" s="3" t="str">
        <f>_xlfn.XLOOKUP(Participantes[[#This Row],[Nombre]],$A142:$A1022,$C142:$C1022)</f>
        <v>M</v>
      </c>
      <c r="D1023" s="3" t="str">
        <f>_xlfn.XLOOKUP(Participantes[[#This Row],[Nombre]],$A142:$A1022,$D142:$D1022)</f>
        <v>Professor</v>
      </c>
      <c r="E1023" s="3" t="s">
        <v>1</v>
      </c>
      <c r="F1023" s="8" t="s">
        <v>1159</v>
      </c>
      <c r="G1023" s="19">
        <f>_xlfn.XLOOKUP(Participantes[[#This Row],[Seminario al que asistió]],Seminarios[Seminario],Seminarios[Año])</f>
        <v>2025</v>
      </c>
    </row>
    <row r="1024" spans="1:7" x14ac:dyDescent="0.25">
      <c r="A1024" s="7" t="s">
        <v>291</v>
      </c>
      <c r="B1024" s="3" t="str">
        <f>_xlfn.XLOOKUP(Participantes[[#This Row],[Nombre]],$A143:$A1023,$B143:$B1023)</f>
        <v>so-camac@uniandes.edu.co</v>
      </c>
      <c r="C1024" s="3" t="str">
        <f>_xlfn.XLOOKUP(Participantes[[#This Row],[Nombre]],$A143:$A1023,$C143:$C1023)</f>
        <v>F</v>
      </c>
      <c r="D1024" s="3" t="str">
        <f>_xlfn.XLOOKUP(Participantes[[#This Row],[Nombre]],$A143:$A1023,$D143:$D1023)</f>
        <v>Professor</v>
      </c>
      <c r="E1024" s="3" t="s">
        <v>1</v>
      </c>
      <c r="F1024" s="8" t="s">
        <v>1159</v>
      </c>
      <c r="G1024" s="19">
        <f>_xlfn.XLOOKUP(Participantes[[#This Row],[Seminario al que asistió]],Seminarios[Seminario],Seminarios[Año])</f>
        <v>2025</v>
      </c>
    </row>
    <row r="1025" spans="1:7" x14ac:dyDescent="0.25">
      <c r="A1025" s="7" t="s">
        <v>317</v>
      </c>
      <c r="B1025" s="3" t="str">
        <f>_xlfn.XLOOKUP(Participantes[[#This Row],[Nombre]],$A144:$A1024,$B144:$B1024)</f>
        <v>robgutie@uniandes.edu.co</v>
      </c>
      <c r="C1025" s="3" t="str">
        <f>_xlfn.XLOOKUP(Participantes[[#This Row],[Nombre]],$A144:$A1024,$C144:$C1024)</f>
        <v>M</v>
      </c>
      <c r="D1025" s="3" t="str">
        <f>_xlfn.XLOOKUP(Participantes[[#This Row],[Nombre]],$A144:$A1024,$D144:$D1024)</f>
        <v>Professor</v>
      </c>
      <c r="E1025" s="3" t="s">
        <v>1</v>
      </c>
      <c r="F1025" s="8" t="s">
        <v>1159</v>
      </c>
      <c r="G1025" s="19">
        <f>_xlfn.XLOOKUP(Participantes[[#This Row],[Seminario al que asistió]],Seminarios[Seminario],Seminarios[Año])</f>
        <v>2025</v>
      </c>
    </row>
    <row r="1026" spans="1:7" x14ac:dyDescent="0.25">
      <c r="A1026" s="7" t="s">
        <v>501</v>
      </c>
      <c r="B1026" s="3" t="str">
        <f>_xlfn.XLOOKUP(Participantes[[#This Row],[Nombre]],$A145:$A1025,$B145:$B1025)</f>
        <v>ml.rivera@uniandes.edu.co</v>
      </c>
      <c r="C1026" s="3" t="str">
        <f>_xlfn.XLOOKUP(Participantes[[#This Row],[Nombre]],$A145:$A1025,$C145:$C1025)</f>
        <v>F</v>
      </c>
      <c r="D1026" s="3" t="str">
        <f>_xlfn.XLOOKUP(Participantes[[#This Row],[Nombre]],$A145:$A1025,$D145:$D1025)</f>
        <v>Professor</v>
      </c>
      <c r="E1026" s="3" t="s">
        <v>1</v>
      </c>
      <c r="F1026" s="8" t="s">
        <v>1159</v>
      </c>
      <c r="G1026" s="19">
        <f>_xlfn.XLOOKUP(Participantes[[#This Row],[Seminario al que asistió]],Seminarios[Seminario],Seminarios[Año])</f>
        <v>2025</v>
      </c>
    </row>
    <row r="1027" spans="1:7" x14ac:dyDescent="0.25">
      <c r="A1027" s="7" t="s">
        <v>833</v>
      </c>
      <c r="B1027" s="3" t="str">
        <f>_xlfn.XLOOKUP(Participantes[[#This Row],[Nombre]],$A146:$A1026,$B146:$B1026)</f>
        <v>c.chauhan@uniandes.edu.co</v>
      </c>
      <c r="C1027" s="3" t="str">
        <f>_xlfn.XLOOKUP(Participantes[[#This Row],[Nombre]],$A146:$A1026,$C146:$C1026)</f>
        <v>F</v>
      </c>
      <c r="D1027" s="3" t="str">
        <f>_xlfn.XLOOKUP(Participantes[[#This Row],[Nombre]],$A146:$A1026,$D146:$D1026)</f>
        <v>Professor</v>
      </c>
      <c r="E1027" s="3" t="s">
        <v>1</v>
      </c>
      <c r="F1027" s="8" t="s">
        <v>1159</v>
      </c>
      <c r="G1027" s="19">
        <f>_xlfn.XLOOKUP(Participantes[[#This Row],[Seminario al que asistió]],Seminarios[Seminario],Seminarios[Año])</f>
        <v>2025</v>
      </c>
    </row>
    <row r="1028" spans="1:7" x14ac:dyDescent="0.25">
      <c r="A1028" s="7" t="s">
        <v>225</v>
      </c>
      <c r="B1028" s="3" t="str">
        <f>_xlfn.XLOOKUP(Participantes[[#This Row],[Nombre]],$A147:$A1027,$B147:$B1027)</f>
        <v>s.turner@uniandes.edu.co</v>
      </c>
      <c r="C1028" s="3" t="str">
        <f>_xlfn.XLOOKUP(Participantes[[#This Row],[Nombre]],$A147:$A1027,$C147:$C1027)</f>
        <v>M</v>
      </c>
      <c r="D1028" s="3" t="str">
        <f>_xlfn.XLOOKUP(Participantes[[#This Row],[Nombre]],$A147:$A1027,$D147:$D1027)</f>
        <v>Professor</v>
      </c>
      <c r="E1028" s="3" t="s">
        <v>1</v>
      </c>
      <c r="F1028" s="8" t="s">
        <v>1159</v>
      </c>
      <c r="G1028" s="19">
        <f>_xlfn.XLOOKUP(Participantes[[#This Row],[Seminario al que asistió]],Seminarios[Seminario],Seminarios[Año])</f>
        <v>2025</v>
      </c>
    </row>
    <row r="1029" spans="1:7" x14ac:dyDescent="0.25">
      <c r="A1029" s="7" t="s">
        <v>1211</v>
      </c>
      <c r="B1029" s="3" t="str">
        <f>_xlfn.XLOOKUP(Participantes[[#This Row],[Nombre]],$A148:$A1028,$B148:$B1028)</f>
        <v>ma.erazo1325@uniandes.edu.co</v>
      </c>
      <c r="C1029" s="3" t="str">
        <f>_xlfn.XLOOKUP(Participantes[[#This Row],[Nombre]],$A148:$A1028,$C148:$C1028)</f>
        <v>F</v>
      </c>
      <c r="D1029" s="3" t="str">
        <f>_xlfn.XLOOKUP(Participantes[[#This Row],[Nombre]],$A148:$A1028,$D148:$D1028)</f>
        <v>Professor</v>
      </c>
      <c r="E1029" s="3" t="s">
        <v>1</v>
      </c>
      <c r="F1029" s="8" t="s">
        <v>1159</v>
      </c>
      <c r="G1029" s="19">
        <f>_xlfn.XLOOKUP(Participantes[[#This Row],[Seminario al que asistió]],Seminarios[Seminario],Seminarios[Año])</f>
        <v>2025</v>
      </c>
    </row>
    <row r="1030" spans="1:7" x14ac:dyDescent="0.25">
      <c r="A1030" s="7" t="s">
        <v>1212</v>
      </c>
      <c r="B1030" s="3" t="s">
        <v>1213</v>
      </c>
      <c r="C1030" s="3" t="s">
        <v>218</v>
      </c>
      <c r="D1030" s="3" t="s">
        <v>36</v>
      </c>
      <c r="E1030" s="3" t="s">
        <v>1</v>
      </c>
      <c r="F1030" s="8" t="s">
        <v>1159</v>
      </c>
      <c r="G1030" s="19">
        <f>_xlfn.XLOOKUP(Participantes[[#This Row],[Seminario al que asistió]],Seminarios[Seminario],Seminarios[Año])</f>
        <v>2025</v>
      </c>
    </row>
    <row r="1031" spans="1:7" x14ac:dyDescent="0.25">
      <c r="A1031" s="7" t="s">
        <v>883</v>
      </c>
      <c r="B1031" s="3" t="str">
        <f>_xlfn.XLOOKUP(Participantes[[#This Row],[Nombre]],$A150:$A1030,$B150:$B1030)</f>
        <v>d.mantillag@uniandes.edu.co</v>
      </c>
      <c r="C1031" s="3" t="str">
        <f>_xlfn.XLOOKUP(Participantes[[#This Row],[Nombre]],$A150:$A1030,$C150:$C1030)</f>
        <v>M</v>
      </c>
      <c r="D1031" s="3" t="str">
        <f>_xlfn.XLOOKUP(Participantes[[#This Row],[Nombre]],$A150:$A1030,$D150:$D1030)</f>
        <v>Professor</v>
      </c>
      <c r="E1031" s="3" t="s">
        <v>1</v>
      </c>
      <c r="F1031" s="8" t="s">
        <v>1159</v>
      </c>
      <c r="G1031" s="19">
        <f>_xlfn.XLOOKUP(Participantes[[#This Row],[Seminario al que asistió]],Seminarios[Seminario],Seminarios[Año])</f>
        <v>2025</v>
      </c>
    </row>
    <row r="1032" spans="1:7" x14ac:dyDescent="0.25">
      <c r="A1032" s="7" t="s">
        <v>515</v>
      </c>
      <c r="B1032" s="3" t="str">
        <f>_xlfn.XLOOKUP(Participantes[[#This Row],[Nombre]],$A151:$A1031,$B151:$B1031)</f>
        <v>xh.duran21@uniandes.edu.co</v>
      </c>
      <c r="C1032" s="3" t="str">
        <f>_xlfn.XLOOKUP(Participantes[[#This Row],[Nombre]],$A151:$A1031,$C151:$C1031)</f>
        <v>M</v>
      </c>
      <c r="D1032" s="3" t="str">
        <f>_xlfn.XLOOKUP(Participantes[[#This Row],[Nombre]],$A151:$A1031,$D151:$D1031)</f>
        <v>Professor</v>
      </c>
      <c r="E1032" s="3" t="s">
        <v>1</v>
      </c>
      <c r="F1032" s="8" t="s">
        <v>1159</v>
      </c>
      <c r="G1032" s="19">
        <f>_xlfn.XLOOKUP(Participantes[[#This Row],[Seminario al que asistió]],Seminarios[Seminario],Seminarios[Año])</f>
        <v>2025</v>
      </c>
    </row>
    <row r="1033" spans="1:7" ht="15.75" thickBot="1" x14ac:dyDescent="0.3">
      <c r="A1033" s="77" t="s">
        <v>559</v>
      </c>
      <c r="B1033" s="13" t="str">
        <f>_xlfn.XLOOKUP(Participantes[[#This Row],[Nombre]],$A152:$A1032,$B152:$B1032)</f>
        <v>a.sengupta@uniandes.edu.co</v>
      </c>
      <c r="C1033" s="13" t="str">
        <f>_xlfn.XLOOKUP(Participantes[[#This Row],[Nombre]],$A152:$A1032,$C152:$C1032)</f>
        <v>M</v>
      </c>
      <c r="D1033" s="13" t="str">
        <f>_xlfn.XLOOKUP(Participantes[[#This Row],[Nombre]],$A152:$A1032,$D152:$D1032)</f>
        <v>Professor</v>
      </c>
      <c r="E1033" s="13" t="s">
        <v>1</v>
      </c>
      <c r="F1033" s="78" t="s">
        <v>1159</v>
      </c>
      <c r="G1033" s="19">
        <f>_xlfn.XLOOKUP(Participantes[[#This Row],[Seminario al que asistió]],Seminarios[Seminario],Seminarios[Año])</f>
        <v>2025</v>
      </c>
    </row>
    <row r="1034" spans="1:7" x14ac:dyDescent="0.25">
      <c r="A1034" s="4" t="s">
        <v>976</v>
      </c>
      <c r="B1034" s="5" t="str">
        <f>_xlfn.XLOOKUP(Participantes[[#This Row],[Nombre]],$A153:$A1033,$B153:$B1033)</f>
        <v>barbero.mariaines@gmail.com</v>
      </c>
      <c r="C1034" s="5" t="str">
        <f>_xlfn.XLOOKUP(Participantes[[#This Row],[Nombre]],$A153:$A1033,$C153:$C1033)</f>
        <v>F</v>
      </c>
      <c r="D1034" s="5" t="str">
        <f>_xlfn.XLOOKUP(Participantes[[#This Row],[Nombre]],$A153:$A1033,$D153:$D1033)</f>
        <v>External</v>
      </c>
      <c r="E1034" s="5" t="s">
        <v>5</v>
      </c>
      <c r="F1034" s="6" t="s">
        <v>1154</v>
      </c>
      <c r="G1034" s="19">
        <f>_xlfn.XLOOKUP(Participantes[[#This Row],[Seminario al que asistió]],Seminarios[Seminario],Seminarios[Año])</f>
        <v>2025</v>
      </c>
    </row>
    <row r="1035" spans="1:7" x14ac:dyDescent="0.25">
      <c r="A1035" s="7" t="s">
        <v>76</v>
      </c>
      <c r="B1035" s="3" t="str">
        <f>_xlfn.XLOOKUP(Participantes[[#This Row],[Nombre]],$A154:$A1034,$B154:$B1034)</f>
        <v>-</v>
      </c>
      <c r="C1035" s="3" t="str">
        <f>_xlfn.XLOOKUP(Participantes[[#This Row],[Nombre]],$A154:$A1034,$C154:$C1034)</f>
        <v>M</v>
      </c>
      <c r="D1035" s="3" t="str">
        <f>_xlfn.XLOOKUP(Participantes[[#This Row],[Nombre]],$A154:$A1034,$D154:$D1034)</f>
        <v>External</v>
      </c>
      <c r="E1035" s="3" t="s">
        <v>5</v>
      </c>
      <c r="F1035" s="8" t="s">
        <v>1154</v>
      </c>
      <c r="G1035" s="19">
        <f>_xlfn.XLOOKUP(Participantes[[#This Row],[Seminario al que asistió]],Seminarios[Seminario],Seminarios[Año])</f>
        <v>2025</v>
      </c>
    </row>
    <row r="1036" spans="1:7" x14ac:dyDescent="0.25">
      <c r="A1036" s="7" t="s">
        <v>1214</v>
      </c>
      <c r="B1036" s="3"/>
      <c r="C1036" s="3" t="s">
        <v>218</v>
      </c>
      <c r="D1036" s="3" t="s">
        <v>48</v>
      </c>
      <c r="E1036" s="3" t="s">
        <v>5</v>
      </c>
      <c r="F1036" s="8" t="s">
        <v>1154</v>
      </c>
      <c r="G1036" s="19">
        <f>_xlfn.XLOOKUP(Participantes[[#This Row],[Seminario al que asistió]],Seminarios[Seminario],Seminarios[Año])</f>
        <v>2025</v>
      </c>
    </row>
    <row r="1037" spans="1:7" x14ac:dyDescent="0.25">
      <c r="A1037" s="7" t="s">
        <v>616</v>
      </c>
      <c r="B1037" s="3" t="str">
        <f>_xlfn.XLOOKUP(Participantes[[#This Row],[Nombre]],$A156:$A1036,$B156:$B1036)</f>
        <v xml:space="preserve">am.lluch@uniandes.edu.co </v>
      </c>
      <c r="C1037" s="3" t="str">
        <f>_xlfn.XLOOKUP(Participantes[[#This Row],[Nombre]],$A156:$A1036,$C156:$C1036)</f>
        <v>F</v>
      </c>
      <c r="D1037" s="3" t="str">
        <f>_xlfn.XLOOKUP(Participantes[[#This Row],[Nombre]],$A156:$A1036,$D156:$D1036)</f>
        <v>Professor</v>
      </c>
      <c r="E1037" s="3" t="s">
        <v>5</v>
      </c>
      <c r="F1037" s="8" t="s">
        <v>1154</v>
      </c>
      <c r="G1037" s="19">
        <f>_xlfn.XLOOKUP(Participantes[[#This Row],[Seminario al que asistió]],Seminarios[Seminario],Seminarios[Año])</f>
        <v>2025</v>
      </c>
    </row>
    <row r="1038" spans="1:7" x14ac:dyDescent="0.25">
      <c r="A1038" s="7" t="s">
        <v>1215</v>
      </c>
      <c r="B1038" s="3"/>
      <c r="C1038" s="3" t="s">
        <v>218</v>
      </c>
      <c r="D1038" s="3" t="s">
        <v>48</v>
      </c>
      <c r="E1038" s="3" t="s">
        <v>5</v>
      </c>
      <c r="F1038" s="8" t="s">
        <v>1154</v>
      </c>
      <c r="G1038" s="19">
        <f>_xlfn.XLOOKUP(Participantes[[#This Row],[Seminario al que asistió]],Seminarios[Seminario],Seminarios[Año])</f>
        <v>2025</v>
      </c>
    </row>
    <row r="1039" spans="1:7" x14ac:dyDescent="0.25">
      <c r="A1039" s="7" t="s">
        <v>1216</v>
      </c>
      <c r="B1039" s="3"/>
      <c r="C1039" s="3" t="s">
        <v>218</v>
      </c>
      <c r="D1039" s="3" t="s">
        <v>48</v>
      </c>
      <c r="E1039" s="3" t="s">
        <v>5</v>
      </c>
      <c r="F1039" s="8" t="s">
        <v>1154</v>
      </c>
      <c r="G1039" s="19">
        <f>_xlfn.XLOOKUP(Participantes[[#This Row],[Seminario al que asistió]],Seminarios[Seminario],Seminarios[Año])</f>
        <v>2025</v>
      </c>
    </row>
    <row r="1040" spans="1:7" x14ac:dyDescent="0.25">
      <c r="A1040" s="7" t="s">
        <v>1217</v>
      </c>
      <c r="B1040" s="3" t="s">
        <v>485</v>
      </c>
      <c r="C1040" s="3" t="s">
        <v>218</v>
      </c>
      <c r="D1040" s="3" t="s">
        <v>48</v>
      </c>
      <c r="E1040" s="3" t="s">
        <v>5</v>
      </c>
      <c r="F1040" s="8" t="s">
        <v>1154</v>
      </c>
      <c r="G1040" s="19">
        <f>_xlfn.XLOOKUP(Participantes[[#This Row],[Seminario al que asistió]],Seminarios[Seminario],Seminarios[Año])</f>
        <v>2025</v>
      </c>
    </row>
    <row r="1041" spans="1:7" x14ac:dyDescent="0.25">
      <c r="A1041" s="7" t="s">
        <v>1280</v>
      </c>
      <c r="B1041" s="3" t="str">
        <f>_xlfn.XLOOKUP(Participantes[[#This Row],[Nombre]],$A160:$A1040,$B160:$B1040)</f>
        <v>gegarcia@uniandes.edu.co</v>
      </c>
      <c r="C1041" s="3" t="str">
        <f>_xlfn.XLOOKUP(Participantes[[#This Row],[Nombre]],$A160:$A1040,$C160:$C1040)</f>
        <v>M</v>
      </c>
      <c r="D1041" s="3" t="str">
        <f>_xlfn.XLOOKUP(Participantes[[#This Row],[Nombre]],$A160:$A1040,$D160:$D1040)</f>
        <v>Professor</v>
      </c>
      <c r="E1041" s="3" t="s">
        <v>5</v>
      </c>
      <c r="F1041" s="8" t="s">
        <v>1154</v>
      </c>
      <c r="G1041" s="19">
        <f>_xlfn.XLOOKUP(Participantes[[#This Row],[Seminario al que asistió]],Seminarios[Seminario],Seminarios[Año])</f>
        <v>2025</v>
      </c>
    </row>
    <row r="1042" spans="1:7" x14ac:dyDescent="0.25">
      <c r="A1042" s="7" t="s">
        <v>1218</v>
      </c>
      <c r="B1042" s="3"/>
      <c r="C1042" s="3" t="s">
        <v>221</v>
      </c>
      <c r="D1042" s="3" t="s">
        <v>48</v>
      </c>
      <c r="E1042" s="3" t="s">
        <v>5</v>
      </c>
      <c r="F1042" s="8" t="s">
        <v>1154</v>
      </c>
      <c r="G1042" s="19">
        <f>_xlfn.XLOOKUP(Participantes[[#This Row],[Seminario al que asistió]],Seminarios[Seminario],Seminarios[Año])</f>
        <v>2025</v>
      </c>
    </row>
    <row r="1043" spans="1:7" x14ac:dyDescent="0.25">
      <c r="A1043" s="7" t="s">
        <v>265</v>
      </c>
      <c r="B1043" s="3" t="s">
        <v>698</v>
      </c>
      <c r="C1043" s="3" t="s">
        <v>221</v>
      </c>
      <c r="D1043" s="3" t="s">
        <v>36</v>
      </c>
      <c r="E1043" s="3" t="s">
        <v>5</v>
      </c>
      <c r="F1043" s="8" t="s">
        <v>1154</v>
      </c>
      <c r="G1043" s="19">
        <f>_xlfn.XLOOKUP(Participantes[[#This Row],[Seminario al que asistió]],Seminarios[Seminario],Seminarios[Año])</f>
        <v>2025</v>
      </c>
    </row>
    <row r="1044" spans="1:7" x14ac:dyDescent="0.25">
      <c r="A1044" s="7" t="s">
        <v>406</v>
      </c>
      <c r="B1044" s="3" t="s">
        <v>407</v>
      </c>
      <c r="C1044" s="3" t="str">
        <f>_xlfn.XLOOKUP(Participantes[[#This Row],[Nombre]],$A163:$A1043,$C163:$C1043)</f>
        <v>M</v>
      </c>
      <c r="D1044" s="3" t="str">
        <f>_xlfn.XLOOKUP(Participantes[[#This Row],[Nombre]],$A163:$A1043,$D163:$D1043)</f>
        <v>External</v>
      </c>
      <c r="E1044" s="3" t="s">
        <v>5</v>
      </c>
      <c r="F1044" s="8" t="s">
        <v>1154</v>
      </c>
      <c r="G1044" s="19">
        <f>_xlfn.XLOOKUP(Participantes[[#This Row],[Seminario al que asistió]],Seminarios[Seminario],Seminarios[Año])</f>
        <v>2025</v>
      </c>
    </row>
    <row r="1045" spans="1:7" x14ac:dyDescent="0.25">
      <c r="A1045" s="7" t="s">
        <v>1219</v>
      </c>
      <c r="B1045" s="3" t="s">
        <v>1220</v>
      </c>
      <c r="C1045" s="3" t="s">
        <v>221</v>
      </c>
      <c r="D1045" s="3" t="s">
        <v>48</v>
      </c>
      <c r="E1045" s="3" t="s">
        <v>5</v>
      </c>
      <c r="F1045" s="8" t="s">
        <v>1154</v>
      </c>
      <c r="G1045" s="19">
        <f>_xlfn.XLOOKUP(Participantes[[#This Row],[Seminario al que asistió]],Seminarios[Seminario],Seminarios[Año])</f>
        <v>2025</v>
      </c>
    </row>
    <row r="1046" spans="1:7" x14ac:dyDescent="0.25">
      <c r="A1046" s="7" t="s">
        <v>1221</v>
      </c>
      <c r="B1046" s="3" t="s">
        <v>969</v>
      </c>
      <c r="C1046" s="3" t="s">
        <v>218</v>
      </c>
      <c r="D1046" s="3" t="s">
        <v>48</v>
      </c>
      <c r="E1046" s="3" t="s">
        <v>5</v>
      </c>
      <c r="F1046" s="8" t="s">
        <v>1154</v>
      </c>
      <c r="G1046" s="19">
        <f>_xlfn.XLOOKUP(Participantes[[#This Row],[Seminario al que asistió]],Seminarios[Seminario],Seminarios[Año])</f>
        <v>2025</v>
      </c>
    </row>
    <row r="1047" spans="1:7" x14ac:dyDescent="0.25">
      <c r="A1047" s="7" t="s">
        <v>167</v>
      </c>
      <c r="B1047" s="3" t="str">
        <f>_xlfn.XLOOKUP(Participantes[[#This Row],[Nombre]],$A167:$A1046,$B167:$B1046)</f>
        <v>cdavila@uniandes.edu.co</v>
      </c>
      <c r="C1047" s="3" t="s">
        <v>218</v>
      </c>
      <c r="D1047" s="3" t="str">
        <f>_xlfn.XLOOKUP(Participantes[[#This Row],[Nombre]],$A167:$A1046,$D167:$D1046)</f>
        <v>Professor</v>
      </c>
      <c r="E1047" s="3" t="s">
        <v>1</v>
      </c>
      <c r="F1047" s="8" t="s">
        <v>1154</v>
      </c>
      <c r="G1047" s="19">
        <f>_xlfn.XLOOKUP(Participantes[[#This Row],[Seminario al que asistió]],Seminarios[Seminario],Seminarios[Año])</f>
        <v>2025</v>
      </c>
    </row>
    <row r="1048" spans="1:7" x14ac:dyDescent="0.25">
      <c r="A1048" s="7" t="s">
        <v>246</v>
      </c>
      <c r="B1048" s="3" t="str">
        <f>_xlfn.XLOOKUP(Participantes[[#This Row],[Nombre]],$A168:$A1047,$B168:$B1047)</f>
        <v>lsamer@uniandes.edu.co</v>
      </c>
      <c r="C1048" s="3" t="str">
        <f>_xlfn.XLOOKUP(Participantes[[#This Row],[Nombre]],$A168:$A1047,$C168:$C1047)</f>
        <v>M</v>
      </c>
      <c r="D1048" s="3" t="str">
        <f>_xlfn.XLOOKUP(Participantes[[#This Row],[Nombre]],$A168:$A1047,$D168:$D1047)</f>
        <v>Professor</v>
      </c>
      <c r="E1048" s="3" t="s">
        <v>1</v>
      </c>
      <c r="F1048" s="8" t="s">
        <v>1154</v>
      </c>
      <c r="G1048" s="19">
        <f>_xlfn.XLOOKUP(Participantes[[#This Row],[Seminario al que asistió]],Seminarios[Seminario],Seminarios[Año])</f>
        <v>2025</v>
      </c>
    </row>
    <row r="1049" spans="1:7" x14ac:dyDescent="0.25">
      <c r="A1049" s="7" t="s">
        <v>530</v>
      </c>
      <c r="B1049" t="s">
        <v>1222</v>
      </c>
      <c r="C1049" s="3" t="str">
        <f>_xlfn.XLOOKUP(Participantes[[#This Row],[Nombre]],$A169:$A1048,$C169:$C1048)</f>
        <v>M</v>
      </c>
      <c r="D1049" s="3" t="str">
        <f>_xlfn.XLOOKUP(Participantes[[#This Row],[Nombre]],$A169:$A1048,$D169:$D1048)</f>
        <v>External</v>
      </c>
      <c r="E1049" s="3" t="s">
        <v>1</v>
      </c>
      <c r="F1049" s="8" t="s">
        <v>1154</v>
      </c>
      <c r="G1049" s="19">
        <f>_xlfn.XLOOKUP(Participantes[[#This Row],[Seminario al que asistió]],Seminarios[Seminario],Seminarios[Año])</f>
        <v>2025</v>
      </c>
    </row>
    <row r="1050" spans="1:7" ht="15.75" thickBot="1" x14ac:dyDescent="0.3">
      <c r="A1050" s="9" t="s">
        <v>1223</v>
      </c>
      <c r="B1050" s="10"/>
      <c r="C1050" s="10" t="s">
        <v>218</v>
      </c>
      <c r="D1050" s="10" t="s">
        <v>48</v>
      </c>
      <c r="E1050" s="10" t="s">
        <v>1</v>
      </c>
      <c r="F1050" s="11" t="s">
        <v>1154</v>
      </c>
      <c r="G1050" s="21">
        <f>_xlfn.XLOOKUP(Participantes[[#This Row],[Seminario al que asistió]],Seminarios[Seminario],Seminarios[Año])</f>
        <v>2025</v>
      </c>
    </row>
    <row r="1051" spans="1:7" x14ac:dyDescent="0.25">
      <c r="A1051" s="4" t="s">
        <v>242</v>
      </c>
      <c r="B1051" s="5" t="str">
        <f>_xlfn.XLOOKUP(Participantes[[#This Row],[Nombre]],$A171:$A1050,$B171:$B1050)</f>
        <v>E-cardon@uniandes.edu.co</v>
      </c>
      <c r="C1051" s="5" t="str">
        <f>_xlfn.XLOOKUP(Participantes[[#This Row],[Nombre]],$A171:$A1050,$C171:$C1050)</f>
        <v>M</v>
      </c>
      <c r="D1051" s="5" t="str">
        <f>_xlfn.XLOOKUP(Participantes[[#This Row],[Nombre]],$A171:$A1050,$D171:$D1050)</f>
        <v>Professor</v>
      </c>
      <c r="E1051" s="5" t="s">
        <v>5</v>
      </c>
      <c r="F1051" s="6" t="s">
        <v>1152</v>
      </c>
      <c r="G1051" s="19">
        <f>_xlfn.XLOOKUP(Participantes[[#This Row],[Seminario al que asistió]],Seminarios[Seminario],Seminarios[Año])</f>
        <v>2025</v>
      </c>
    </row>
    <row r="1052" spans="1:7" x14ac:dyDescent="0.25">
      <c r="A1052" s="7" t="s">
        <v>271</v>
      </c>
      <c r="B1052" s="3" t="str">
        <f>_xlfn.XLOOKUP(Participantes[[#This Row],[Nombre]],$A172:$A1051,$B172:$B1051)</f>
        <v>j.malagon@uniandes.edu.co</v>
      </c>
      <c r="C1052" s="3" t="str">
        <f>_xlfn.XLOOKUP(Participantes[[#This Row],[Nombre]],$A172:$A1051,$C172:$C1051)</f>
        <v>F</v>
      </c>
      <c r="D1052" s="3" t="str">
        <f>_xlfn.XLOOKUP(Participantes[[#This Row],[Nombre]],$A172:$A1051,$D172:$D1051)</f>
        <v>Professor</v>
      </c>
      <c r="E1052" s="3" t="s">
        <v>5</v>
      </c>
      <c r="F1052" s="8" t="s">
        <v>1152</v>
      </c>
      <c r="G1052" s="19">
        <f>_xlfn.XLOOKUP(Participantes[[#This Row],[Seminario al que asistió]],Seminarios[Seminario],Seminarios[Año])</f>
        <v>2025</v>
      </c>
    </row>
    <row r="1053" spans="1:7" x14ac:dyDescent="0.25">
      <c r="A1053" s="7" t="s">
        <v>1211</v>
      </c>
      <c r="B1053" s="3" t="str">
        <f>_xlfn.XLOOKUP(Participantes[[#This Row],[Nombre]],$A173:$A1052,$B173:$B1052)</f>
        <v>ma.erazo1325@uniandes.edu.co</v>
      </c>
      <c r="C1053" s="3" t="str">
        <f>_xlfn.XLOOKUP(Participantes[[#This Row],[Nombre]],$A173:$A1052,$C173:$C1052)</f>
        <v>F</v>
      </c>
      <c r="D1053" s="3" t="str">
        <f>_xlfn.XLOOKUP(Participantes[[#This Row],[Nombre]],$A173:$A1052,$D173:$D1052)</f>
        <v>Professor</v>
      </c>
      <c r="E1053" s="3" t="s">
        <v>5</v>
      </c>
      <c r="F1053" s="8" t="s">
        <v>1152</v>
      </c>
      <c r="G1053" s="19">
        <f>_xlfn.XLOOKUP(Participantes[[#This Row],[Seminario al que asistió]],Seminarios[Seminario],Seminarios[Año])</f>
        <v>2025</v>
      </c>
    </row>
    <row r="1054" spans="1:7" x14ac:dyDescent="0.25">
      <c r="A1054" s="7" t="s">
        <v>831</v>
      </c>
      <c r="B1054" s="3" t="str">
        <f>_xlfn.XLOOKUP(Participantes[[#This Row],[Nombre]],$A174:$A1053,$B174:$B1053)</f>
        <v>mx.hincapie24@uniandes.edu.co</v>
      </c>
      <c r="C1054" s="3" t="str">
        <f>_xlfn.XLOOKUP(Participantes[[#This Row],[Nombre]],$A174:$A1053,$C174:$C1053)</f>
        <v>F</v>
      </c>
      <c r="D1054" s="3" t="str">
        <f>_xlfn.XLOOKUP(Participantes[[#This Row],[Nombre]],$A174:$A1053,$D174:$D1053)</f>
        <v>Professor</v>
      </c>
      <c r="E1054" s="3" t="s">
        <v>5</v>
      </c>
      <c r="F1054" s="8" t="s">
        <v>1152</v>
      </c>
      <c r="G1054" s="19">
        <f>_xlfn.XLOOKUP(Participantes[[#This Row],[Seminario al que asistió]],Seminarios[Seminario],Seminarios[Año])</f>
        <v>2025</v>
      </c>
    </row>
    <row r="1055" spans="1:7" x14ac:dyDescent="0.25">
      <c r="A1055" s="7" t="s">
        <v>310</v>
      </c>
      <c r="B1055" s="3" t="str">
        <f>_xlfn.XLOOKUP(Participantes[[#This Row],[Nombre]],$A175:$A1054,$B175:$B1054)</f>
        <v>maxgonza@uniandes.edu.co</v>
      </c>
      <c r="C1055" s="3" t="str">
        <f>_xlfn.XLOOKUP(Participantes[[#This Row],[Nombre]],$A175:$A1054,$C175:$C1054)</f>
        <v>M</v>
      </c>
      <c r="D1055" s="3" t="str">
        <f>_xlfn.XLOOKUP(Participantes[[#This Row],[Nombre]],$A175:$A1054,$D175:$D1054)</f>
        <v>Professor</v>
      </c>
      <c r="E1055" s="3" t="s">
        <v>5</v>
      </c>
      <c r="F1055" s="8" t="s">
        <v>1152</v>
      </c>
      <c r="G1055" s="19">
        <f>_xlfn.XLOOKUP(Participantes[[#This Row],[Seminario al que asistió]],Seminarios[Seminario],Seminarios[Año])</f>
        <v>2025</v>
      </c>
    </row>
    <row r="1056" spans="1:7" x14ac:dyDescent="0.25">
      <c r="A1056" s="7" t="s">
        <v>234</v>
      </c>
      <c r="B1056" s="3" t="str">
        <f>_xlfn.XLOOKUP(Participantes[[#This Row],[Nombre]],$A176:$A1055,$B176:$B1055)</f>
        <v>d.higa@uniandes.edu.co</v>
      </c>
      <c r="C1056" s="3" t="str">
        <f>_xlfn.XLOOKUP(Participantes[[#This Row],[Nombre]],$A176:$A1055,$C176:$C1055)</f>
        <v>M</v>
      </c>
      <c r="D1056" s="3" t="str">
        <f>_xlfn.XLOOKUP(Participantes[[#This Row],[Nombre]],$A176:$A1055,$D176:$D1055)</f>
        <v>Professor</v>
      </c>
      <c r="E1056" s="3" t="s">
        <v>5</v>
      </c>
      <c r="F1056" s="8" t="s">
        <v>1152</v>
      </c>
      <c r="G1056" s="19">
        <f>_xlfn.XLOOKUP(Participantes[[#This Row],[Seminario al que asistió]],Seminarios[Seminario],Seminarios[Año])</f>
        <v>2025</v>
      </c>
    </row>
    <row r="1057" spans="1:7" x14ac:dyDescent="0.25">
      <c r="A1057" s="7" t="s">
        <v>788</v>
      </c>
      <c r="B1057" s="3" t="str">
        <f>_xlfn.XLOOKUP(Participantes[[#This Row],[Nombre]],$A177:$A1056,$B177:$B1056)</f>
        <v>nc.ortiz@uniandes.edu.co</v>
      </c>
      <c r="C1057" s="3" t="str">
        <f>_xlfn.XLOOKUP(Participantes[[#This Row],[Nombre]],$A177:$A1056,$C177:$C1056)</f>
        <v>F</v>
      </c>
      <c r="D1057" s="3" t="str">
        <f>_xlfn.XLOOKUP(Participantes[[#This Row],[Nombre]],$A177:$A1056,$D177:$D1056)</f>
        <v>Professor</v>
      </c>
      <c r="E1057" s="3" t="s">
        <v>5</v>
      </c>
      <c r="F1057" s="8" t="s">
        <v>1152</v>
      </c>
      <c r="G1057" s="19">
        <f>_xlfn.XLOOKUP(Participantes[[#This Row],[Seminario al que asistió]],Seminarios[Seminario],Seminarios[Año])</f>
        <v>2025</v>
      </c>
    </row>
    <row r="1058" spans="1:7" x14ac:dyDescent="0.25">
      <c r="A1058" s="7" t="s">
        <v>285</v>
      </c>
      <c r="B1058" s="3" t="str">
        <f>_xlfn.XLOOKUP(Participantes[[#This Row],[Nombre]],$A178:$A1057,$B178:$B1057)</f>
        <v>ro-britt@uniandes.edu.co</v>
      </c>
      <c r="C1058" s="3" t="str">
        <f>_xlfn.XLOOKUP(Participantes[[#This Row],[Nombre]],$A178:$A1057,$C178:$C1057)</f>
        <v>M</v>
      </c>
      <c r="D1058" s="3" t="str">
        <f>_xlfn.XLOOKUP(Participantes[[#This Row],[Nombre]],$A178:$A1057,$D178:$D1057)</f>
        <v>Professor</v>
      </c>
      <c r="E1058" s="3" t="s">
        <v>5</v>
      </c>
      <c r="F1058" s="8" t="s">
        <v>1152</v>
      </c>
      <c r="G1058" s="19">
        <f>_xlfn.XLOOKUP(Participantes[[#This Row],[Seminario al que asistió]],Seminarios[Seminario],Seminarios[Año])</f>
        <v>2025</v>
      </c>
    </row>
    <row r="1059" spans="1:7" x14ac:dyDescent="0.25">
      <c r="A1059" s="7" t="s">
        <v>311</v>
      </c>
      <c r="B1059" s="3" t="str">
        <f>_xlfn.XLOOKUP(Participantes[[#This Row],[Nombre]],$A179:$A1058,$B179:$B1058)</f>
        <v>rgonzale@uniandes.edu.co</v>
      </c>
      <c r="C1059" s="3" t="str">
        <f>_xlfn.XLOOKUP(Participantes[[#This Row],[Nombre]],$A179:$A1058,$C179:$C1058)</f>
        <v>F</v>
      </c>
      <c r="D1059" s="3" t="str">
        <f>_xlfn.XLOOKUP(Participantes[[#This Row],[Nombre]],$A179:$A1058,$D179:$D1058)</f>
        <v>Professor</v>
      </c>
      <c r="E1059" s="3" t="s">
        <v>5</v>
      </c>
      <c r="F1059" s="8" t="s">
        <v>1152</v>
      </c>
      <c r="G1059" s="19">
        <f>_xlfn.XLOOKUP(Participantes[[#This Row],[Seminario al que asistió]],Seminarios[Seminario],Seminarios[Año])</f>
        <v>2025</v>
      </c>
    </row>
    <row r="1060" spans="1:7" x14ac:dyDescent="0.25">
      <c r="A1060" s="7" t="s">
        <v>225</v>
      </c>
      <c r="B1060" s="3" t="str">
        <f>_xlfn.XLOOKUP(Participantes[[#This Row],[Nombre]],$A180:$A1059,$B180:$B1059)</f>
        <v>s.turner@uniandes.edu.co</v>
      </c>
      <c r="C1060" s="3" t="str">
        <f>_xlfn.XLOOKUP(Participantes[[#This Row],[Nombre]],$A180:$A1059,$C180:$C1059)</f>
        <v>M</v>
      </c>
      <c r="D1060" s="3" t="str">
        <f>_xlfn.XLOOKUP(Participantes[[#This Row],[Nombre]],$A180:$A1059,$D180:$D1059)</f>
        <v>Professor</v>
      </c>
      <c r="E1060" s="3" t="s">
        <v>5</v>
      </c>
      <c r="F1060" s="8" t="s">
        <v>1152</v>
      </c>
      <c r="G1060" s="19">
        <f>_xlfn.XLOOKUP(Participantes[[#This Row],[Seminario al que asistió]],Seminarios[Seminario],Seminarios[Año])</f>
        <v>2025</v>
      </c>
    </row>
    <row r="1061" spans="1:7" x14ac:dyDescent="0.25">
      <c r="A1061" s="7" t="s">
        <v>1224</v>
      </c>
      <c r="B1061" s="3" t="s">
        <v>1225</v>
      </c>
      <c r="C1061" s="3" t="s">
        <v>218</v>
      </c>
      <c r="D1061" s="3" t="s">
        <v>36</v>
      </c>
      <c r="E1061" s="3" t="s">
        <v>5</v>
      </c>
      <c r="F1061" s="8" t="s">
        <v>1152</v>
      </c>
      <c r="G1061" s="19">
        <f>_xlfn.XLOOKUP(Participantes[[#This Row],[Seminario al que asistió]],Seminarios[Seminario],Seminarios[Año])</f>
        <v>2025</v>
      </c>
    </row>
    <row r="1062" spans="1:7" x14ac:dyDescent="0.25">
      <c r="A1062" s="7" t="s">
        <v>773</v>
      </c>
      <c r="B1062" s="3" t="str">
        <f>_xlfn.XLOOKUP(Participantes[[#This Row],[Nombre]],$A182:$A1061,$B182:$B1061)</f>
        <v>xh.duran21@uniandes.edu.co</v>
      </c>
      <c r="C1062" s="3" t="str">
        <f>_xlfn.XLOOKUP(Participantes[[#This Row],[Nombre]],$A182:$A1061,$C182:$C1061)</f>
        <v>M</v>
      </c>
      <c r="D1062" s="3" t="str">
        <f>_xlfn.XLOOKUP(Participantes[[#This Row],[Nombre]],$A182:$A1061,$D182:$D1061)</f>
        <v>Professor</v>
      </c>
      <c r="E1062" s="3" t="s">
        <v>5</v>
      </c>
      <c r="F1062" s="8" t="s">
        <v>1152</v>
      </c>
      <c r="G1062" s="19">
        <f>_xlfn.XLOOKUP(Participantes[[#This Row],[Seminario al que asistió]],Seminarios[Seminario],Seminarios[Año])</f>
        <v>2025</v>
      </c>
    </row>
    <row r="1063" spans="1:7" x14ac:dyDescent="0.25">
      <c r="A1063" s="7" t="s">
        <v>823</v>
      </c>
      <c r="B1063" s="3" t="str">
        <f>_xlfn.XLOOKUP(Participantes[[#This Row],[Nombre]],$A183:$A1062,$B183:$B1062)</f>
        <v>cpombo@uniandes.edu.co</v>
      </c>
      <c r="C1063" s="3" t="str">
        <f>_xlfn.XLOOKUP(Participantes[[#This Row],[Nombre]],$A183:$A1062,$C183:$C1062)</f>
        <v>M</v>
      </c>
      <c r="D1063" s="3" t="str">
        <f>_xlfn.XLOOKUP(Participantes[[#This Row],[Nombre]],$A183:$A1062,$D183:$D1062)</f>
        <v>Professor</v>
      </c>
      <c r="E1063" s="3" t="s">
        <v>5</v>
      </c>
      <c r="F1063" s="8" t="s">
        <v>1152</v>
      </c>
      <c r="G1063" s="19">
        <f>_xlfn.XLOOKUP(Participantes[[#This Row],[Seminario al que asistió]],Seminarios[Seminario],Seminarios[Año])</f>
        <v>2025</v>
      </c>
    </row>
    <row r="1064" spans="1:7" x14ac:dyDescent="0.25">
      <c r="A1064" s="7" t="s">
        <v>253</v>
      </c>
      <c r="B1064" s="3" t="str">
        <f>_xlfn.XLOOKUP(Participantes[[#This Row],[Nombre]],$A184:$A1063,$B184:$B1063)</f>
        <v>g.triulzi@uniandes.edu.co</v>
      </c>
      <c r="C1064" s="3" t="str">
        <f>_xlfn.XLOOKUP(Participantes[[#This Row],[Nombre]],$A184:$A1063,$C184:$C1063)</f>
        <v>M</v>
      </c>
      <c r="D1064" s="3" t="str">
        <f>_xlfn.XLOOKUP(Participantes[[#This Row],[Nombre]],$A184:$A1063,$D184:$D1063)</f>
        <v>Professor</v>
      </c>
      <c r="E1064" s="3" t="s">
        <v>5</v>
      </c>
      <c r="F1064" s="8" t="s">
        <v>1152</v>
      </c>
      <c r="G1064" s="19">
        <f>_xlfn.XLOOKUP(Participantes[[#This Row],[Seminario al que asistió]],Seminarios[Seminario],Seminarios[Año])</f>
        <v>2025</v>
      </c>
    </row>
    <row r="1065" spans="1:7" x14ac:dyDescent="0.25">
      <c r="A1065" s="7" t="s">
        <v>506</v>
      </c>
      <c r="B1065" s="3" t="str">
        <f>_xlfn.XLOOKUP(Participantes[[#This Row],[Nombre]],$A185:$A1064,$B185:$B1064)</f>
        <v>r.londonovanrutten@uniandes.edu.co</v>
      </c>
      <c r="C1065" s="3" t="str">
        <f>_xlfn.XLOOKUP(Participantes[[#This Row],[Nombre]],$A185:$A1064,$C185:$C1064)</f>
        <v>M</v>
      </c>
      <c r="D1065" s="3" t="str">
        <f>_xlfn.XLOOKUP(Participantes[[#This Row],[Nombre]],$A185:$A1064,$D185:$D1064)</f>
        <v>Professor</v>
      </c>
      <c r="E1065" s="3" t="s">
        <v>5</v>
      </c>
      <c r="F1065" s="8" t="s">
        <v>1152</v>
      </c>
      <c r="G1065" s="19">
        <f>_xlfn.XLOOKUP(Participantes[[#This Row],[Seminario al que asistió]],Seminarios[Seminario],Seminarios[Año])</f>
        <v>2025</v>
      </c>
    </row>
    <row r="1066" spans="1:7" x14ac:dyDescent="0.25">
      <c r="A1066" s="7" t="s">
        <v>89</v>
      </c>
      <c r="B1066" s="3" t="str">
        <f>_xlfn.XLOOKUP(Participantes[[#This Row],[Nombre]],$A186:$A1065,$B186:$B1065)</f>
        <v>c.rojasl@uniandes.edu.co</v>
      </c>
      <c r="C1066" s="3" t="str">
        <f>_xlfn.XLOOKUP(Participantes[[#This Row],[Nombre]],$A186:$A1065,$C186:$C1065)</f>
        <v>M</v>
      </c>
      <c r="D1066" s="3" t="str">
        <f>_xlfn.XLOOKUP(Participantes[[#This Row],[Nombre]],$A186:$A1065,$D186:$D1065)</f>
        <v>External</v>
      </c>
      <c r="E1066" s="3" t="s">
        <v>5</v>
      </c>
      <c r="F1066" s="8" t="s">
        <v>1152</v>
      </c>
      <c r="G1066" s="19">
        <f>_xlfn.XLOOKUP(Participantes[[#This Row],[Seminario al que asistió]],Seminarios[Seminario],Seminarios[Año])</f>
        <v>2025</v>
      </c>
    </row>
    <row r="1067" spans="1:7" ht="15.75" thickBot="1" x14ac:dyDescent="0.3">
      <c r="A1067" s="77" t="s">
        <v>883</v>
      </c>
      <c r="B1067" s="13" t="str">
        <f>_xlfn.XLOOKUP(Participantes[[#This Row],[Nombre]],$A187:$A1066,$B187:$B1066)</f>
        <v>d.mantillag@uniandes.edu.co</v>
      </c>
      <c r="C1067" s="13" t="str">
        <f>_xlfn.XLOOKUP(Participantes[[#This Row],[Nombre]],$A187:$A1066,$C187:$C1066)</f>
        <v>M</v>
      </c>
      <c r="D1067" s="13" t="str">
        <f>_xlfn.XLOOKUP(Participantes[[#This Row],[Nombre]],$A187:$A1066,$D187:$D1066)</f>
        <v>Professor</v>
      </c>
      <c r="E1067" s="13" t="s">
        <v>5</v>
      </c>
      <c r="F1067" s="78" t="s">
        <v>1152</v>
      </c>
      <c r="G1067" s="21">
        <f>_xlfn.XLOOKUP(Participantes[[#This Row],[Seminario al que asistió]],Seminarios[Seminario],Seminarios[Año])</f>
        <v>2025</v>
      </c>
    </row>
    <row r="1068" spans="1:7" x14ac:dyDescent="0.25">
      <c r="A1068" s="4" t="s">
        <v>519</v>
      </c>
      <c r="B1068" s="5" t="str">
        <f>_xlfn.XLOOKUP(Participantes[[#This Row],[Nombre]],$A188:$A1067,$B188:$B1067)</f>
        <v>jua-garcia@uniandes.edu.co</v>
      </c>
      <c r="C1068" s="5" t="str">
        <f>_xlfn.XLOOKUP(Participantes[[#This Row],[Nombre]],$A188:$A1067,$C188:$C1067)</f>
        <v>F</v>
      </c>
      <c r="D1068" s="5" t="str">
        <f>_xlfn.XLOOKUP(Participantes[[#This Row],[Nombre]],$A188:$A1067,$D188:$D1067)</f>
        <v>Professor</v>
      </c>
      <c r="E1068" s="5" t="s">
        <v>1</v>
      </c>
      <c r="F1068" s="6" t="s">
        <v>1169</v>
      </c>
      <c r="G1068" s="21">
        <f>_xlfn.XLOOKUP(Participantes[[#This Row],[Seminario al que asistió]],Seminarios[Seminario],Seminarios[Año])</f>
        <v>2025</v>
      </c>
    </row>
    <row r="1069" spans="1:7" x14ac:dyDescent="0.25">
      <c r="A1069" s="7" t="s">
        <v>1226</v>
      </c>
      <c r="B1069" s="3" t="s">
        <v>1232</v>
      </c>
      <c r="C1069" s="3" t="s">
        <v>218</v>
      </c>
      <c r="D1069" s="3" t="s">
        <v>36</v>
      </c>
      <c r="E1069" s="3" t="s">
        <v>1</v>
      </c>
      <c r="F1069" s="8" t="s">
        <v>1169</v>
      </c>
      <c r="G1069" s="21">
        <f>_xlfn.XLOOKUP(Participantes[[#This Row],[Seminario al que asistió]],Seminarios[Seminario],Seminarios[Año])</f>
        <v>2025</v>
      </c>
    </row>
    <row r="1070" spans="1:7" x14ac:dyDescent="0.25">
      <c r="A1070" s="7" t="s">
        <v>468</v>
      </c>
      <c r="B1070" s="3" t="str">
        <f>_xlfn.XLOOKUP(Participantes[[#This Row],[Nombre]],$A191:$A1069,$B191:$B1069)</f>
        <v>p.sanchez1@uniandes.edu.co</v>
      </c>
      <c r="C1070" s="3" t="str">
        <f>_xlfn.XLOOKUP(Participantes[[#This Row],[Nombre]],$A191:$A1069,$C191:$C1069)</f>
        <v>F</v>
      </c>
      <c r="D1070" s="3" t="str">
        <f>_xlfn.XLOOKUP(Participantes[[#This Row],[Nombre]],$A191:$A1069,$D191:$D1069)</f>
        <v>Professor</v>
      </c>
      <c r="E1070" s="3" t="s">
        <v>1</v>
      </c>
      <c r="F1070" s="8" t="s">
        <v>1169</v>
      </c>
      <c r="G1070" s="21">
        <f>_xlfn.XLOOKUP(Participantes[[#This Row],[Seminario al que asistió]],Seminarios[Seminario],Seminarios[Año])</f>
        <v>2025</v>
      </c>
    </row>
    <row r="1071" spans="1:7" x14ac:dyDescent="0.25">
      <c r="A1071" s="7" t="s">
        <v>227</v>
      </c>
      <c r="B1071" s="3" t="str">
        <f>_xlfn.XLOOKUP(Participantes[[#This Row],[Nombre]],$A192:$A1070,$B192:$B1070)</f>
        <v>sl.schorch@uniandes.edu.co</v>
      </c>
      <c r="C1071" s="3" t="str">
        <f>_xlfn.XLOOKUP(Participantes[[#This Row],[Nombre]],$A192:$A1070,$C192:$C1070)</f>
        <v>M</v>
      </c>
      <c r="D1071" s="3" t="str">
        <f>_xlfn.XLOOKUP(Participantes[[#This Row],[Nombre]],$A192:$A1070,$D192:$D1070)</f>
        <v>Professor</v>
      </c>
      <c r="E1071" s="3" t="s">
        <v>1</v>
      </c>
      <c r="F1071" s="8" t="s">
        <v>1169</v>
      </c>
      <c r="G1071" s="21">
        <f>_xlfn.XLOOKUP(Participantes[[#This Row],[Seminario al que asistió]],Seminarios[Seminario],Seminarios[Año])</f>
        <v>2025</v>
      </c>
    </row>
    <row r="1072" spans="1:7" x14ac:dyDescent="0.25">
      <c r="A1072" s="7" t="s">
        <v>225</v>
      </c>
      <c r="B1072" s="3" t="str">
        <f>_xlfn.XLOOKUP(Participantes[[#This Row],[Nombre]],$A193:$A1071,$B193:$B1071)</f>
        <v>s.turner@uniandes.edu.co</v>
      </c>
      <c r="C1072" s="3" t="str">
        <f>_xlfn.XLOOKUP(Participantes[[#This Row],[Nombre]],$A193:$A1071,$C193:$C1071)</f>
        <v>M</v>
      </c>
      <c r="D1072" s="3" t="str">
        <f>_xlfn.XLOOKUP(Participantes[[#This Row],[Nombre]],$A193:$A1071,$D193:$D1071)</f>
        <v>Professor</v>
      </c>
      <c r="E1072" s="3" t="s">
        <v>1</v>
      </c>
      <c r="F1072" s="8" t="s">
        <v>1169</v>
      </c>
      <c r="G1072" s="21">
        <f>_xlfn.XLOOKUP(Participantes[[#This Row],[Seminario al que asistió]],Seminarios[Seminario],Seminarios[Año])</f>
        <v>2025</v>
      </c>
    </row>
    <row r="1073" spans="1:7" x14ac:dyDescent="0.25">
      <c r="A1073" s="7" t="s">
        <v>947</v>
      </c>
      <c r="B1073" s="3" t="str">
        <f>_xlfn.XLOOKUP(Participantes[[#This Row],[Nombre]],$A194:$A1072,$B194:$B1072)</f>
        <v>jr.romero109@uniandes.edu.co</v>
      </c>
      <c r="C1073" s="3" t="str">
        <f>_xlfn.XLOOKUP(Participantes[[#This Row],[Nombre]],$A194:$A1072,$C194:$C1072)</f>
        <v>F</v>
      </c>
      <c r="D1073" s="3" t="str">
        <f>_xlfn.XLOOKUP(Participantes[[#This Row],[Nombre]],$A194:$A1072,$D194:$D1072)</f>
        <v>Professor</v>
      </c>
      <c r="E1073" s="3" t="s">
        <v>1</v>
      </c>
      <c r="F1073" s="8" t="s">
        <v>1169</v>
      </c>
      <c r="G1073" s="21">
        <f>_xlfn.XLOOKUP(Participantes[[#This Row],[Seminario al que asistió]],Seminarios[Seminario],Seminarios[Año])</f>
        <v>2025</v>
      </c>
    </row>
    <row r="1074" spans="1:7" x14ac:dyDescent="0.25">
      <c r="A1074" s="7" t="s">
        <v>285</v>
      </c>
      <c r="B1074" s="3" t="str">
        <f>_xlfn.XLOOKUP(Participantes[[#This Row],[Nombre]],$A195:$A1073,$B195:$B1073)</f>
        <v>ro-britt@uniandes.edu.co</v>
      </c>
      <c r="C1074" s="3" t="str">
        <f>_xlfn.XLOOKUP(Participantes[[#This Row],[Nombre]],$A195:$A1073,$C195:$C1073)</f>
        <v>M</v>
      </c>
      <c r="D1074" s="3" t="str">
        <f>_xlfn.XLOOKUP(Participantes[[#This Row],[Nombre]],$A195:$A1073,$D195:$D1073)</f>
        <v>Professor</v>
      </c>
      <c r="E1074" s="3" t="s">
        <v>1</v>
      </c>
      <c r="F1074" s="8" t="s">
        <v>1169</v>
      </c>
      <c r="G1074" s="21">
        <f>_xlfn.XLOOKUP(Participantes[[#This Row],[Seminario al que asistió]],Seminarios[Seminario],Seminarios[Año])</f>
        <v>2025</v>
      </c>
    </row>
    <row r="1075" spans="1:7" x14ac:dyDescent="0.25">
      <c r="A1075" s="7" t="s">
        <v>1227</v>
      </c>
      <c r="B1075" s="3" t="s">
        <v>1233</v>
      </c>
      <c r="C1075" s="3" t="s">
        <v>218</v>
      </c>
      <c r="D1075" s="3" t="s">
        <v>36</v>
      </c>
      <c r="E1075" s="3" t="s">
        <v>1</v>
      </c>
      <c r="F1075" s="8" t="s">
        <v>1169</v>
      </c>
      <c r="G1075" s="21">
        <f>_xlfn.XLOOKUP(Participantes[[#This Row],[Seminario al que asistió]],Seminarios[Seminario],Seminarios[Año])</f>
        <v>2025</v>
      </c>
    </row>
    <row r="1076" spans="1:7" x14ac:dyDescent="0.25">
      <c r="A1076" s="7" t="s">
        <v>177</v>
      </c>
      <c r="B1076" s="3" t="str">
        <f>_xlfn.XLOOKUP(Participantes[[#This Row],[Nombre]],$A197:$A1075,$B197:$B1075)</f>
        <v>l-moros@uniandes.edu.co</v>
      </c>
      <c r="C1076" s="3" t="str">
        <f>_xlfn.XLOOKUP(Participantes[[#This Row],[Nombre]],$A197:$A1075,$C197:$C1075)</f>
        <v>F</v>
      </c>
      <c r="D1076" s="3" t="str">
        <f>_xlfn.XLOOKUP(Participantes[[#This Row],[Nombre]],$A197:$A1075,$D197:$D1075)</f>
        <v>Professor</v>
      </c>
      <c r="E1076" s="3" t="s">
        <v>1</v>
      </c>
      <c r="F1076" s="8" t="s">
        <v>1169</v>
      </c>
      <c r="G1076" s="21">
        <f>_xlfn.XLOOKUP(Participantes[[#This Row],[Seminario al que asistió]],Seminarios[Seminario],Seminarios[Año])</f>
        <v>2025</v>
      </c>
    </row>
    <row r="1077" spans="1:7" x14ac:dyDescent="0.25">
      <c r="A1077" s="7" t="s">
        <v>959</v>
      </c>
      <c r="B1077" s="3" t="str">
        <f>_xlfn.XLOOKUP(Participantes[[#This Row],[Nombre]],$A198:$A1076,$B198:$B1076)</f>
        <v>sa.jimenez2556@uniandes.edu.co</v>
      </c>
      <c r="C1077" s="3" t="str">
        <f>_xlfn.XLOOKUP(Participantes[[#This Row],[Nombre]],$A198:$A1076,$C198:$C1076)</f>
        <v>M</v>
      </c>
      <c r="D1077" s="3" t="str">
        <f>_xlfn.XLOOKUP(Participantes[[#This Row],[Nombre]],$A198:$A1076,$D198:$D1076)</f>
        <v>Professor</v>
      </c>
      <c r="E1077" s="3" t="s">
        <v>1</v>
      </c>
      <c r="F1077" s="8" t="s">
        <v>1169</v>
      </c>
      <c r="G1077" s="21">
        <f>_xlfn.XLOOKUP(Participantes[[#This Row],[Seminario al que asistió]],Seminarios[Seminario],Seminarios[Año])</f>
        <v>2025</v>
      </c>
    </row>
    <row r="1078" spans="1:7" x14ac:dyDescent="0.25">
      <c r="A1078" s="7" t="s">
        <v>1230</v>
      </c>
      <c r="B1078" s="3" t="s">
        <v>1234</v>
      </c>
      <c r="C1078" s="3" t="s">
        <v>218</v>
      </c>
      <c r="D1078" s="3" t="s">
        <v>1238</v>
      </c>
      <c r="E1078" s="3" t="s">
        <v>1</v>
      </c>
      <c r="F1078" s="8" t="s">
        <v>1169</v>
      </c>
      <c r="G1078" s="21">
        <f>_xlfn.XLOOKUP(Participantes[[#This Row],[Seminario al que asistió]],Seminarios[Seminario],Seminarios[Año])</f>
        <v>2025</v>
      </c>
    </row>
    <row r="1079" spans="1:7" x14ac:dyDescent="0.25">
      <c r="A1079" s="19" t="s">
        <v>1231</v>
      </c>
      <c r="B1079" s="3" t="s">
        <v>1235</v>
      </c>
      <c r="C1079" s="3" t="s">
        <v>218</v>
      </c>
      <c r="D1079" s="3" t="s">
        <v>1238</v>
      </c>
      <c r="E1079" s="3" t="s">
        <v>1</v>
      </c>
      <c r="F1079" s="8" t="s">
        <v>1169</v>
      </c>
      <c r="G1079" s="3">
        <f>_xlfn.XLOOKUP(Participantes[[#This Row],[Seminario al que asistió]],Seminarios[Seminario],Seminarios[Año])</f>
        <v>2025</v>
      </c>
    </row>
    <row r="1080" spans="1:7" x14ac:dyDescent="0.25">
      <c r="A1080" s="7" t="s">
        <v>1229</v>
      </c>
      <c r="B1080" s="3" t="s">
        <v>1236</v>
      </c>
      <c r="C1080" s="3" t="s">
        <v>218</v>
      </c>
      <c r="D1080" s="3" t="s">
        <v>1238</v>
      </c>
      <c r="E1080" s="3" t="s">
        <v>1</v>
      </c>
      <c r="F1080" s="8" t="s">
        <v>1169</v>
      </c>
      <c r="G1080" s="21">
        <f>_xlfn.XLOOKUP(Participantes[[#This Row],[Seminario al que asistió]],Seminarios[Seminario],Seminarios[Año])</f>
        <v>2025</v>
      </c>
    </row>
    <row r="1081" spans="1:7" x14ac:dyDescent="0.25">
      <c r="A1081" s="7" t="s">
        <v>886</v>
      </c>
      <c r="B1081" s="3" t="str">
        <f>_xlfn.XLOOKUP(Participantes[[#This Row],[Nombre]],$A201:$A1080,$B201:$B1080)</f>
        <v>jh.garcia27@uniandes.edu.co</v>
      </c>
      <c r="C1081" s="3" t="str">
        <f>_xlfn.XLOOKUP(Participantes[[#This Row],[Nombre]],$A201:$A1080,$C201:$C1080)</f>
        <v>M</v>
      </c>
      <c r="D1081" s="3" t="str">
        <f>_xlfn.XLOOKUP(Participantes[[#This Row],[Nombre]],$A201:$A1080,$D201:$D1080)</f>
        <v>Professor</v>
      </c>
      <c r="E1081" s="3" t="s">
        <v>1</v>
      </c>
      <c r="F1081" s="8" t="s">
        <v>1169</v>
      </c>
      <c r="G1081" s="21">
        <f>_xlfn.XLOOKUP(Participantes[[#This Row],[Seminario al que asistió]],Seminarios[Seminario],Seminarios[Año])</f>
        <v>2025</v>
      </c>
    </row>
    <row r="1082" spans="1:7" ht="15.75" thickBot="1" x14ac:dyDescent="0.3">
      <c r="A1082" s="9" t="s">
        <v>1228</v>
      </c>
      <c r="B1082" s="10" t="s">
        <v>1237</v>
      </c>
      <c r="C1082" s="10" t="s">
        <v>218</v>
      </c>
      <c r="D1082" s="10" t="s">
        <v>36</v>
      </c>
      <c r="E1082" s="10" t="s">
        <v>1</v>
      </c>
      <c r="F1082" s="11" t="s">
        <v>1169</v>
      </c>
      <c r="G1082" s="21">
        <f>_xlfn.XLOOKUP(Participantes[[#This Row],[Seminario al que asistió]],Seminarios[Seminario],Seminarios[Año])</f>
        <v>2025</v>
      </c>
    </row>
    <row r="1083" spans="1:7" x14ac:dyDescent="0.25">
      <c r="A1083" s="4" t="s">
        <v>823</v>
      </c>
      <c r="B1083" s="5" t="str">
        <f>_xlfn.XLOOKUP(Participantes[[#This Row],[Nombre]],$A203:$A1082,$B203:$B1082)</f>
        <v>cpombo@uniandes.edu.co</v>
      </c>
      <c r="C1083" s="5" t="str">
        <f>_xlfn.XLOOKUP(Participantes[[#This Row],[Nombre]],$A203:$A1082,$C203:$C1082)</f>
        <v>M</v>
      </c>
      <c r="D1083" s="5" t="str">
        <f>_xlfn.XLOOKUP(Participantes[[#This Row],[Nombre]],$A203:$A1082,$D203:$D1082)</f>
        <v>Professor</v>
      </c>
      <c r="E1083" s="5" t="s">
        <v>5</v>
      </c>
      <c r="F1083" s="6" t="s">
        <v>1153</v>
      </c>
      <c r="G1083" s="19">
        <f>_xlfn.XLOOKUP(Participantes[[#This Row],[Seminario al que asistió]],Seminarios[Seminario],Seminarios[Año])</f>
        <v>2025</v>
      </c>
    </row>
    <row r="1084" spans="1:7" x14ac:dyDescent="0.25">
      <c r="A1084" s="7" t="s">
        <v>311</v>
      </c>
      <c r="B1084" s="3" t="str">
        <f>_xlfn.XLOOKUP(Participantes[[#This Row],[Nombre]],$A204:$A1083,$B204:$B1083)</f>
        <v>rgonzale@uniandes.edu.co</v>
      </c>
      <c r="C1084" s="3" t="str">
        <f>_xlfn.XLOOKUP(Participantes[[#This Row],[Nombre]],$A204:$A1083,$C204:$C1083)</f>
        <v>F</v>
      </c>
      <c r="D1084" s="3" t="str">
        <f>_xlfn.XLOOKUP(Participantes[[#This Row],[Nombre]],$A204:$A1083,$D204:$D1083)</f>
        <v>Professor</v>
      </c>
      <c r="E1084" s="3" t="s">
        <v>5</v>
      </c>
      <c r="F1084" s="8" t="s">
        <v>1153</v>
      </c>
      <c r="G1084" s="19">
        <f>_xlfn.XLOOKUP(Participantes[[#This Row],[Seminario al que asistió]],Seminarios[Seminario],Seminarios[Año])</f>
        <v>2025</v>
      </c>
    </row>
    <row r="1085" spans="1:7" x14ac:dyDescent="0.25">
      <c r="A1085" s="7" t="s">
        <v>310</v>
      </c>
      <c r="B1085" s="3" t="str">
        <f>_xlfn.XLOOKUP(Participantes[[#This Row],[Nombre]],$A205:$A1084,$B205:$B1084)</f>
        <v>maxgonza@uniandes.edu.co</v>
      </c>
      <c r="C1085" s="3" t="str">
        <f>_xlfn.XLOOKUP(Participantes[[#This Row],[Nombre]],$A205:$A1084,$C205:$C1084)</f>
        <v>M</v>
      </c>
      <c r="D1085" s="3" t="str">
        <f>_xlfn.XLOOKUP(Participantes[[#This Row],[Nombre]],$A205:$A1084,$D205:$D1084)</f>
        <v>Professor</v>
      </c>
      <c r="E1085" s="3" t="s">
        <v>5</v>
      </c>
      <c r="F1085" s="8" t="s">
        <v>1153</v>
      </c>
      <c r="G1085" s="19">
        <f>_xlfn.XLOOKUP(Participantes[[#This Row],[Seminario al que asistió]],Seminarios[Seminario],Seminarios[Año])</f>
        <v>2025</v>
      </c>
    </row>
    <row r="1086" spans="1:7" x14ac:dyDescent="0.25">
      <c r="A1086" s="7" t="s">
        <v>1245</v>
      </c>
      <c r="B1086" s="3" t="s">
        <v>1246</v>
      </c>
      <c r="C1086" s="3" t="s">
        <v>218</v>
      </c>
      <c r="D1086" s="3" t="s">
        <v>36</v>
      </c>
      <c r="E1086" s="3" t="s">
        <v>5</v>
      </c>
      <c r="F1086" s="8" t="s">
        <v>1153</v>
      </c>
      <c r="G1086" s="19">
        <f>_xlfn.XLOOKUP(Participantes[[#This Row],[Seminario al que asistió]],Seminarios[Seminario],Seminarios[Año])</f>
        <v>2025</v>
      </c>
    </row>
    <row r="1087" spans="1:7" x14ac:dyDescent="0.25">
      <c r="A1087" s="7" t="s">
        <v>889</v>
      </c>
      <c r="B1087" s="3" t="str">
        <f>_xlfn.XLOOKUP(Participantes[[#This Row],[Nombre]],$A207:$A1086,$B207:$B1086)</f>
        <v>ea.terhorst@uniandes.edu.co</v>
      </c>
      <c r="C1087" s="3" t="str">
        <f>_xlfn.XLOOKUP(Participantes[[#This Row],[Nombre]],$A207:$A1086,$C207:$C1086)</f>
        <v>M</v>
      </c>
      <c r="D1087" s="3" t="str">
        <f>_xlfn.XLOOKUP(Participantes[[#This Row],[Nombre]],$A207:$A1086,$D207:$D1086)</f>
        <v>Professor</v>
      </c>
      <c r="E1087" s="3" t="s">
        <v>5</v>
      </c>
      <c r="F1087" s="8" t="s">
        <v>1153</v>
      </c>
      <c r="G1087" s="19">
        <f>_xlfn.XLOOKUP(Participantes[[#This Row],[Seminario al que asistió]],Seminarios[Seminario],Seminarios[Año])</f>
        <v>2025</v>
      </c>
    </row>
    <row r="1088" spans="1:7" x14ac:dyDescent="0.25">
      <c r="A1088" s="7" t="s">
        <v>831</v>
      </c>
      <c r="B1088" s="3" t="str">
        <f>_xlfn.XLOOKUP(Participantes[[#This Row],[Nombre]],$A208:$A1087,$B208:$B1087)</f>
        <v>mx.hincapie24@uniandes.edu.co</v>
      </c>
      <c r="C1088" s="3" t="str">
        <f>_xlfn.XLOOKUP(Participantes[[#This Row],[Nombre]],$A208:$A1087,$C208:$C1087)</f>
        <v>F</v>
      </c>
      <c r="D1088" s="3" t="str">
        <f>_xlfn.XLOOKUP(Participantes[[#This Row],[Nombre]],$A208:$A1087,$D208:$D1087)</f>
        <v>Professor</v>
      </c>
      <c r="E1088" s="3" t="s">
        <v>5</v>
      </c>
      <c r="F1088" s="8" t="s">
        <v>1153</v>
      </c>
      <c r="G1088" s="19">
        <f>_xlfn.XLOOKUP(Participantes[[#This Row],[Seminario al que asistió]],Seminarios[Seminario],Seminarios[Año])</f>
        <v>2025</v>
      </c>
    </row>
    <row r="1089" spans="1:7" x14ac:dyDescent="0.25">
      <c r="A1089" s="7" t="s">
        <v>676</v>
      </c>
      <c r="B1089" s="3" t="str">
        <f>_xlfn.XLOOKUP(Participantes[[#This Row],[Nombre]],$A209:$A1088,$B209:$B1088)</f>
        <v>ma.martinezc1@uniandes.edu.co</v>
      </c>
      <c r="C1089" s="3" t="str">
        <f>_xlfn.XLOOKUP(Participantes[[#This Row],[Nombre]],$A209:$A1088,$C209:$C1088)</f>
        <v>M</v>
      </c>
      <c r="D1089" s="3" t="str">
        <f>_xlfn.XLOOKUP(Participantes[[#This Row],[Nombre]],$A209:$A1088,$D209:$D1088)</f>
        <v>Professor</v>
      </c>
      <c r="E1089" s="3" t="s">
        <v>5</v>
      </c>
      <c r="F1089" s="8" t="s">
        <v>1153</v>
      </c>
      <c r="G1089" s="19">
        <f>_xlfn.XLOOKUP(Participantes[[#This Row],[Seminario al que asistió]],Seminarios[Seminario],Seminarios[Año])</f>
        <v>2025</v>
      </c>
    </row>
    <row r="1090" spans="1:7" x14ac:dyDescent="0.25">
      <c r="A1090" s="7" t="s">
        <v>234</v>
      </c>
      <c r="B1090" s="3" t="str">
        <f>_xlfn.XLOOKUP(Participantes[[#This Row],[Nombre]],$A210:$A1089,$B210:$B1089)</f>
        <v>d.higa@uniandes.edu.co</v>
      </c>
      <c r="C1090" s="3" t="str">
        <f>_xlfn.XLOOKUP(Participantes[[#This Row],[Nombre]],$A210:$A1089,$C210:$C1089)</f>
        <v>M</v>
      </c>
      <c r="D1090" s="3" t="str">
        <f>_xlfn.XLOOKUP(Participantes[[#This Row],[Nombre]],$A210:$A1089,$D210:$D1089)</f>
        <v>Professor</v>
      </c>
      <c r="E1090" s="3" t="s">
        <v>5</v>
      </c>
      <c r="F1090" s="8" t="s">
        <v>1153</v>
      </c>
      <c r="G1090" s="19">
        <f>_xlfn.XLOOKUP(Participantes[[#This Row],[Seminario al que asistió]],Seminarios[Seminario],Seminarios[Año])</f>
        <v>2025</v>
      </c>
    </row>
    <row r="1091" spans="1:7" x14ac:dyDescent="0.25">
      <c r="A1091" s="7" t="s">
        <v>319</v>
      </c>
      <c r="B1091" s="3" t="str">
        <f>_xlfn.XLOOKUP(Participantes[[#This Row],[Nombre]],$A211:$A1090,$B211:$B1090)</f>
        <v>j.malagon@uniandes.edu.co</v>
      </c>
      <c r="C1091" s="3" t="str">
        <f>_xlfn.XLOOKUP(Participantes[[#This Row],[Nombre]],$A211:$A1090,$C211:$C1090)</f>
        <v>F</v>
      </c>
      <c r="D1091" s="3" t="str">
        <f>_xlfn.XLOOKUP(Participantes[[#This Row],[Nombre]],$A211:$A1090,$D211:$D1090)</f>
        <v>Professor</v>
      </c>
      <c r="E1091" s="3" t="s">
        <v>5</v>
      </c>
      <c r="F1091" s="8" t="s">
        <v>1153</v>
      </c>
      <c r="G1091" s="19">
        <f>_xlfn.XLOOKUP(Participantes[[#This Row],[Seminario al que asistió]],Seminarios[Seminario],Seminarios[Año])</f>
        <v>2025</v>
      </c>
    </row>
    <row r="1092" spans="1:7" x14ac:dyDescent="0.25">
      <c r="A1092" s="7" t="s">
        <v>788</v>
      </c>
      <c r="B1092" s="3" t="str">
        <f>_xlfn.XLOOKUP(Participantes[[#This Row],[Nombre]],$A212:$A1091,$B212:$B1091)</f>
        <v>nc.ortiz@uniandes.edu.co</v>
      </c>
      <c r="C1092" s="3" t="str">
        <f>_xlfn.XLOOKUP(Participantes[[#This Row],[Nombre]],$A212:$A1091,$C212:$C1091)</f>
        <v>F</v>
      </c>
      <c r="D1092" s="3" t="str">
        <f>_xlfn.XLOOKUP(Participantes[[#This Row],[Nombre]],$A212:$A1091,$D212:$D1091)</f>
        <v>Professor</v>
      </c>
      <c r="E1092" s="3" t="s">
        <v>5</v>
      </c>
      <c r="F1092" s="8" t="s">
        <v>1153</v>
      </c>
      <c r="G1092" s="19">
        <f>_xlfn.XLOOKUP(Participantes[[#This Row],[Seminario al que asistió]],Seminarios[Seminario],Seminarios[Año])</f>
        <v>2025</v>
      </c>
    </row>
    <row r="1093" spans="1:7" x14ac:dyDescent="0.25">
      <c r="A1093" s="7" t="s">
        <v>225</v>
      </c>
      <c r="B1093" s="3" t="str">
        <f>_xlfn.XLOOKUP(Participantes[[#This Row],[Nombre]],$A213:$A1092,$B213:$B1092)</f>
        <v>s.turner@uniandes.edu.co</v>
      </c>
      <c r="C1093" s="3" t="str">
        <f>_xlfn.XLOOKUP(Participantes[[#This Row],[Nombre]],$A213:$A1092,$C213:$C1092)</f>
        <v>M</v>
      </c>
      <c r="D1093" s="3" t="str">
        <f>_xlfn.XLOOKUP(Participantes[[#This Row],[Nombre]],$A213:$A1092,$D213:$D1092)</f>
        <v>Professor</v>
      </c>
      <c r="E1093" s="3" t="s">
        <v>5</v>
      </c>
      <c r="F1093" s="8" t="s">
        <v>1153</v>
      </c>
      <c r="G1093" s="19">
        <f>_xlfn.XLOOKUP(Participantes[[#This Row],[Seminario al que asistió]],Seminarios[Seminario],Seminarios[Año])</f>
        <v>2025</v>
      </c>
    </row>
    <row r="1094" spans="1:7" x14ac:dyDescent="0.25">
      <c r="A1094" s="7" t="s">
        <v>89</v>
      </c>
      <c r="B1094" s="3" t="str">
        <f>_xlfn.XLOOKUP(Participantes[[#This Row],[Nombre]],$A214:$A1093,$B214:$B1093)</f>
        <v>c.rojasl@uniandes.edu.co</v>
      </c>
      <c r="C1094" s="3" t="str">
        <f>_xlfn.XLOOKUP(Participantes[[#This Row],[Nombre]],$A214:$A1093,$C214:$C1093)</f>
        <v>M</v>
      </c>
      <c r="D1094" s="3" t="str">
        <f>_xlfn.XLOOKUP(Participantes[[#This Row],[Nombre]],$A214:$A1093,$D214:$D1093)</f>
        <v>External</v>
      </c>
      <c r="E1094" s="3" t="s">
        <v>5</v>
      </c>
      <c r="F1094" s="8" t="s">
        <v>1153</v>
      </c>
      <c r="G1094" s="19">
        <f>_xlfn.XLOOKUP(Participantes[[#This Row],[Seminario al que asistió]],Seminarios[Seminario],Seminarios[Año])</f>
        <v>2025</v>
      </c>
    </row>
    <row r="1095" spans="1:7" x14ac:dyDescent="0.25">
      <c r="A1095" s="7" t="s">
        <v>274</v>
      </c>
      <c r="B1095" s="3" t="str">
        <f>_xlfn.XLOOKUP(Participantes[[#This Row],[Nombre]],$A215:$A1094,$B215:$B1094)</f>
        <v>r.londonovanrutten@uniandes.edu.co</v>
      </c>
      <c r="C1095" s="3" t="str">
        <f>_xlfn.XLOOKUP(Participantes[[#This Row],[Nombre]],$A215:$A1094,$C215:$C1094)</f>
        <v>M</v>
      </c>
      <c r="D1095" s="3" t="str">
        <f>_xlfn.XLOOKUP(Participantes[[#This Row],[Nombre]],$A215:$A1094,$D215:$D1094)</f>
        <v>Professor</v>
      </c>
      <c r="E1095" s="3" t="s">
        <v>5</v>
      </c>
      <c r="F1095" s="8" t="s">
        <v>1153</v>
      </c>
      <c r="G1095" s="19">
        <f>_xlfn.XLOOKUP(Participantes[[#This Row],[Seminario al que asistió]],Seminarios[Seminario],Seminarios[Año])</f>
        <v>2025</v>
      </c>
    </row>
    <row r="1096" spans="1:7" ht="15.75" thickBot="1" x14ac:dyDescent="0.3">
      <c r="A1096" s="9" t="s">
        <v>1224</v>
      </c>
      <c r="B1096" s="10" t="str">
        <f>_xlfn.XLOOKUP(Participantes[[#This Row],[Nombre]],$A216:$A1095,$B216:$B1095)</f>
        <v>srr@uniandes.edu.co</v>
      </c>
      <c r="C1096" s="10" t="str">
        <f>_xlfn.XLOOKUP(Participantes[[#This Row],[Nombre]],$A216:$A1095,$C216:$C1095)</f>
        <v>M</v>
      </c>
      <c r="D1096" s="10" t="str">
        <f>_xlfn.XLOOKUP(Participantes[[#This Row],[Nombre]],$A216:$A1095,$D216:$D1095)</f>
        <v>Professor</v>
      </c>
      <c r="E1096" s="10" t="s">
        <v>5</v>
      </c>
      <c r="F1096" s="11" t="s">
        <v>1153</v>
      </c>
      <c r="G1096" s="21">
        <f>_xlfn.XLOOKUP(Participantes[[#This Row],[Seminario al que asistió]],Seminarios[Seminario],Seminarios[Año])</f>
        <v>2025</v>
      </c>
    </row>
    <row r="1097" spans="1:7" x14ac:dyDescent="0.25">
      <c r="A1097" s="142" t="s">
        <v>219</v>
      </c>
      <c r="B1097" s="87" t="str">
        <f>_xlfn.XLOOKUP(Participantes[[#This Row],[Nombre]],$A217:$A1096,$B217:$B1096)</f>
        <v>p.sanchez1@uniandes.edu.co</v>
      </c>
      <c r="C1097" s="87" t="str">
        <f>_xlfn.XLOOKUP(Participantes[[#This Row],[Nombre]],$A217:$A1096,$C217:$C1096)</f>
        <v>F</v>
      </c>
      <c r="D1097" s="87" t="str">
        <f>_xlfn.XLOOKUP(Participantes[[#This Row],[Nombre]],$A217:$A1096,$D217:$D1096)</f>
        <v>Professor</v>
      </c>
      <c r="E1097" s="87" t="s">
        <v>1</v>
      </c>
      <c r="F1097" s="88" t="s">
        <v>1207</v>
      </c>
      <c r="G1097" s="21">
        <f>_xlfn.XLOOKUP(Participantes[[#This Row],[Seminario al que asistió]],Seminarios[Seminario],Seminarios[Año])</f>
        <v>2025</v>
      </c>
    </row>
    <row r="1098" spans="1:7" x14ac:dyDescent="0.25">
      <c r="A1098" s="77" t="s">
        <v>310</v>
      </c>
      <c r="B1098" s="13" t="str">
        <f>_xlfn.XLOOKUP(Participantes[[#This Row],[Nombre]],$A218:$A1097,$B218:$B1097)</f>
        <v>maxgonza@uniandes.edu.co</v>
      </c>
      <c r="C1098" s="13" t="str">
        <f>_xlfn.XLOOKUP(Participantes[[#This Row],[Nombre]],$A218:$A1097,$C218:$C1097)</f>
        <v>M</v>
      </c>
      <c r="D1098" s="13" t="str">
        <f>_xlfn.XLOOKUP(Participantes[[#This Row],[Nombre]],$A218:$A1097,$D218:$D1097)</f>
        <v>Professor</v>
      </c>
      <c r="E1098" s="13" t="s">
        <v>1</v>
      </c>
      <c r="F1098" s="78" t="s">
        <v>1207</v>
      </c>
      <c r="G1098" s="21">
        <f>_xlfn.XLOOKUP(Participantes[[#This Row],[Seminario al que asistió]],Seminarios[Seminario],Seminarios[Año])</f>
        <v>2025</v>
      </c>
    </row>
    <row r="1099" spans="1:7" x14ac:dyDescent="0.25">
      <c r="A1099" s="77" t="s">
        <v>317</v>
      </c>
      <c r="B1099" s="13" t="str">
        <f>_xlfn.XLOOKUP(Participantes[[#This Row],[Nombre]],$A219:$A1098,$B219:$B1098)</f>
        <v>robgutie@uniandes.edu.co</v>
      </c>
      <c r="C1099" s="13" t="str">
        <f>_xlfn.XLOOKUP(Participantes[[#This Row],[Nombre]],$A219:$A1098,$C219:$C1098)</f>
        <v>M</v>
      </c>
      <c r="D1099" s="13" t="str">
        <f>_xlfn.XLOOKUP(Participantes[[#This Row],[Nombre]],$A219:$A1098,$D219:$D1098)</f>
        <v>Professor</v>
      </c>
      <c r="E1099" s="13" t="s">
        <v>1</v>
      </c>
      <c r="F1099" s="78" t="s">
        <v>1207</v>
      </c>
      <c r="G1099" s="21">
        <f>_xlfn.XLOOKUP(Participantes[[#This Row],[Seminario al que asistió]],Seminarios[Seminario],Seminarios[Año])</f>
        <v>2025</v>
      </c>
    </row>
    <row r="1100" spans="1:7" x14ac:dyDescent="0.25">
      <c r="A1100" s="77" t="s">
        <v>274</v>
      </c>
      <c r="B1100" s="13" t="str">
        <f>_xlfn.XLOOKUP(Participantes[[#This Row],[Nombre]],$A220:$A1099,$B220:$B1099)</f>
        <v>r.londonovanrutten@uniandes.edu.co</v>
      </c>
      <c r="C1100" s="13" t="str">
        <f>_xlfn.XLOOKUP(Participantes[[#This Row],[Nombre]],$A220:$A1099,$C220:$C1099)</f>
        <v>M</v>
      </c>
      <c r="D1100" s="13" t="str">
        <f>_xlfn.XLOOKUP(Participantes[[#This Row],[Nombre]],$A220:$A1099,$D220:$D1099)</f>
        <v>Professor</v>
      </c>
      <c r="E1100" s="13" t="s">
        <v>1</v>
      </c>
      <c r="F1100" s="78" t="s">
        <v>1207</v>
      </c>
      <c r="G1100" s="21">
        <f>_xlfn.XLOOKUP(Participantes[[#This Row],[Seminario al que asistió]],Seminarios[Seminario],Seminarios[Año])</f>
        <v>2025</v>
      </c>
    </row>
    <row r="1101" spans="1:7" x14ac:dyDescent="0.25">
      <c r="A1101" s="77" t="s">
        <v>291</v>
      </c>
      <c r="B1101" s="13" t="str">
        <f>_xlfn.XLOOKUP(Participantes[[#This Row],[Nombre]],$A221:$A1100,$B221:$B1100)</f>
        <v>so-camac@uniandes.edu.co</v>
      </c>
      <c r="C1101" s="13" t="str">
        <f>_xlfn.XLOOKUP(Participantes[[#This Row],[Nombre]],$A221:$A1100,$C221:$C1100)</f>
        <v>F</v>
      </c>
      <c r="D1101" s="13" t="str">
        <f>_xlfn.XLOOKUP(Participantes[[#This Row],[Nombre]],$A221:$A1100,$D221:$D1100)</f>
        <v>Professor</v>
      </c>
      <c r="E1101" s="13" t="s">
        <v>1</v>
      </c>
      <c r="F1101" s="78" t="s">
        <v>1207</v>
      </c>
      <c r="G1101" s="21">
        <f>_xlfn.XLOOKUP(Participantes[[#This Row],[Seminario al que asistió]],Seminarios[Seminario],Seminarios[Año])</f>
        <v>2025</v>
      </c>
    </row>
    <row r="1102" spans="1:7" x14ac:dyDescent="0.25">
      <c r="A1102" s="77" t="s">
        <v>811</v>
      </c>
      <c r="B1102" s="13" t="str">
        <f>_xlfn.XLOOKUP(Participantes[[#This Row],[Nombre]],$A222:$A1101,$B222:$B1101)</f>
        <v>j.garciaf@uniandes.educo</v>
      </c>
      <c r="C1102" s="13" t="str">
        <f>_xlfn.XLOOKUP(Participantes[[#This Row],[Nombre]],$A222:$A1101,$C222:$C1101)</f>
        <v>F</v>
      </c>
      <c r="D1102" s="13" t="str">
        <f>_xlfn.XLOOKUP(Participantes[[#This Row],[Nombre]],$A222:$A1101,$D222:$D1101)</f>
        <v>Professor</v>
      </c>
      <c r="E1102" s="13" t="s">
        <v>1</v>
      </c>
      <c r="F1102" s="78" t="s">
        <v>1207</v>
      </c>
      <c r="G1102" s="21">
        <f>_xlfn.XLOOKUP(Participantes[[#This Row],[Seminario al que asistió]],Seminarios[Seminario],Seminarios[Año])</f>
        <v>2025</v>
      </c>
    </row>
    <row r="1103" spans="1:7" x14ac:dyDescent="0.25">
      <c r="A1103" s="77" t="s">
        <v>1263</v>
      </c>
      <c r="B1103" s="13" t="s">
        <v>1265</v>
      </c>
      <c r="C1103" s="13" t="s">
        <v>218</v>
      </c>
      <c r="D1103" s="13" t="s">
        <v>36</v>
      </c>
      <c r="E1103" s="13" t="s">
        <v>1</v>
      </c>
      <c r="F1103" s="78" t="s">
        <v>1207</v>
      </c>
      <c r="G1103" s="21">
        <f>_xlfn.XLOOKUP(Participantes[[#This Row],[Seminario al que asistió]],Seminarios[Seminario],Seminarios[Año])</f>
        <v>2025</v>
      </c>
    </row>
    <row r="1104" spans="1:7" x14ac:dyDescent="0.25">
      <c r="A1104" s="77" t="s">
        <v>947</v>
      </c>
      <c r="B1104" s="13" t="str">
        <f>_xlfn.XLOOKUP(Participantes[[#This Row],[Nombre]],$A224:$A1103,$B224:$B1103)</f>
        <v>jr.romero109@uniandes.edu.co</v>
      </c>
      <c r="C1104" s="13" t="str">
        <f>_xlfn.XLOOKUP(Participantes[[#This Row],[Nombre]],$A224:$A1103,$C224:$C1103)</f>
        <v>F</v>
      </c>
      <c r="D1104" s="13" t="str">
        <f>_xlfn.XLOOKUP(Participantes[[#This Row],[Nombre]],$A224:$A1103,$D224:$D1103)</f>
        <v>Professor</v>
      </c>
      <c r="E1104" s="13" t="s">
        <v>1</v>
      </c>
      <c r="F1104" s="78" t="s">
        <v>1207</v>
      </c>
      <c r="G1104" s="21">
        <f>_xlfn.XLOOKUP(Participantes[[#This Row],[Seminario al que asistió]],Seminarios[Seminario],Seminarios[Año])</f>
        <v>2025</v>
      </c>
    </row>
    <row r="1105" spans="1:7" x14ac:dyDescent="0.25">
      <c r="A1105" s="77" t="s">
        <v>234</v>
      </c>
      <c r="B1105" s="13" t="str">
        <f>_xlfn.XLOOKUP(Participantes[[#This Row],[Nombre]],$A225:$A1104,$B225:$B1104)</f>
        <v>d.higa@uniandes.edu.co</v>
      </c>
      <c r="C1105" s="13" t="str">
        <f>_xlfn.XLOOKUP(Participantes[[#This Row],[Nombre]],$A225:$A1104,$C225:$C1104)</f>
        <v>M</v>
      </c>
      <c r="D1105" s="13" t="str">
        <f>_xlfn.XLOOKUP(Participantes[[#This Row],[Nombre]],$A225:$A1104,$D225:$D1104)</f>
        <v>Professor</v>
      </c>
      <c r="E1105" s="13" t="s">
        <v>1</v>
      </c>
      <c r="F1105" s="78" t="s">
        <v>1207</v>
      </c>
      <c r="G1105" s="21">
        <f>_xlfn.XLOOKUP(Participantes[[#This Row],[Seminario al que asistió]],Seminarios[Seminario],Seminarios[Año])</f>
        <v>2025</v>
      </c>
    </row>
    <row r="1106" spans="1:7" x14ac:dyDescent="0.25">
      <c r="A1106" s="77" t="s">
        <v>833</v>
      </c>
      <c r="B1106" s="13" t="str">
        <f>_xlfn.XLOOKUP(Participantes[[#This Row],[Nombre]],$A226:$A1105,$B226:$B1105)</f>
        <v>c.chauhan@uniandes.edu.co</v>
      </c>
      <c r="C1106" s="13" t="str">
        <f>_xlfn.XLOOKUP(Participantes[[#This Row],[Nombre]],$A226:$A1105,$C226:$C1105)</f>
        <v>F</v>
      </c>
      <c r="D1106" s="13" t="str">
        <f>_xlfn.XLOOKUP(Participantes[[#This Row],[Nombre]],$A226:$A1105,$D226:$D1105)</f>
        <v>Professor</v>
      </c>
      <c r="E1106" s="13" t="s">
        <v>1</v>
      </c>
      <c r="F1106" s="78" t="s">
        <v>1207</v>
      </c>
      <c r="G1106" s="21">
        <f>_xlfn.XLOOKUP(Participantes[[#This Row],[Seminario al que asistió]],Seminarios[Seminario],Seminarios[Año])</f>
        <v>2025</v>
      </c>
    </row>
    <row r="1107" spans="1:7" x14ac:dyDescent="0.25">
      <c r="A1107" s="77" t="s">
        <v>244</v>
      </c>
      <c r="B1107" s="13" t="str">
        <f>_xlfn.XLOOKUP(Participantes[[#This Row],[Nombre]],$A227:$A1106,$B227:$B1106)</f>
        <v>ilobo@uniandes.edu.co</v>
      </c>
      <c r="C1107" s="13" t="str">
        <f>_xlfn.XLOOKUP(Participantes[[#This Row],[Nombre]],$A227:$A1106,$C227:$C1106)</f>
        <v>M</v>
      </c>
      <c r="D1107" s="13" t="str">
        <f>_xlfn.XLOOKUP(Participantes[[#This Row],[Nombre]],$A227:$A1106,$D227:$D1106)</f>
        <v>Professor</v>
      </c>
      <c r="E1107" s="13" t="s">
        <v>1</v>
      </c>
      <c r="F1107" s="78" t="s">
        <v>1207</v>
      </c>
      <c r="G1107" s="21">
        <f>_xlfn.XLOOKUP(Participantes[[#This Row],[Seminario al que asistió]],Seminarios[Seminario],Seminarios[Año])</f>
        <v>2025</v>
      </c>
    </row>
    <row r="1108" spans="1:7" x14ac:dyDescent="0.25">
      <c r="A1108" s="77" t="s">
        <v>285</v>
      </c>
      <c r="B1108" s="13" t="str">
        <f>_xlfn.XLOOKUP(Participantes[[#This Row],[Nombre]],$A228:$A1107,$B228:$B1107)</f>
        <v>ro-britt@uniandes.edu.co</v>
      </c>
      <c r="C1108" s="13" t="str">
        <f>_xlfn.XLOOKUP(Participantes[[#This Row],[Nombre]],$A228:$A1107,$C228:$C1107)</f>
        <v>M</v>
      </c>
      <c r="D1108" s="13" t="str">
        <f>_xlfn.XLOOKUP(Participantes[[#This Row],[Nombre]],$A228:$A1107,$D228:$D1107)</f>
        <v>Professor</v>
      </c>
      <c r="E1108" s="13" t="s">
        <v>1</v>
      </c>
      <c r="F1108" s="78" t="s">
        <v>1207</v>
      </c>
      <c r="G1108" s="21">
        <f>_xlfn.XLOOKUP(Participantes[[#This Row],[Seminario al que asistió]],Seminarios[Seminario],Seminarios[Año])</f>
        <v>2025</v>
      </c>
    </row>
    <row r="1109" spans="1:7" x14ac:dyDescent="0.25">
      <c r="A1109" s="77" t="s">
        <v>501</v>
      </c>
      <c r="B1109" s="13" t="str">
        <f>_xlfn.XLOOKUP(Participantes[[#This Row],[Nombre]],$A229:$A1108,$B229:$B1108)</f>
        <v>ml.rivera@uniandes.edu.co</v>
      </c>
      <c r="C1109" s="13" t="str">
        <f>_xlfn.XLOOKUP(Participantes[[#This Row],[Nombre]],$A229:$A1108,$C229:$C1108)</f>
        <v>F</v>
      </c>
      <c r="D1109" s="13" t="str">
        <f>_xlfn.XLOOKUP(Participantes[[#This Row],[Nombre]],$A229:$A1108,$D229:$D1108)</f>
        <v>Professor</v>
      </c>
      <c r="E1109" s="13" t="s">
        <v>1</v>
      </c>
      <c r="F1109" s="78" t="s">
        <v>1207</v>
      </c>
      <c r="G1109" s="21">
        <f>_xlfn.XLOOKUP(Participantes[[#This Row],[Seminario al que asistió]],Seminarios[Seminario],Seminarios[Año])</f>
        <v>2025</v>
      </c>
    </row>
    <row r="1110" spans="1:7" x14ac:dyDescent="0.25">
      <c r="A1110" s="77" t="s">
        <v>93</v>
      </c>
      <c r="B1110" s="13" t="s">
        <v>1266</v>
      </c>
      <c r="C1110" s="13" t="s">
        <v>218</v>
      </c>
      <c r="D1110" s="13" t="s">
        <v>36</v>
      </c>
      <c r="E1110" s="13" t="s">
        <v>1</v>
      </c>
      <c r="F1110" s="78" t="s">
        <v>1207</v>
      </c>
      <c r="G1110" s="21">
        <f>_xlfn.XLOOKUP(Participantes[[#This Row],[Seminario al que asistió]],Seminarios[Seminario],Seminarios[Año])</f>
        <v>2025</v>
      </c>
    </row>
    <row r="1111" spans="1:7" x14ac:dyDescent="0.25">
      <c r="A1111" s="77" t="s">
        <v>246</v>
      </c>
      <c r="B1111" s="13" t="str">
        <f>_xlfn.XLOOKUP(Participantes[[#This Row],[Nombre]],$A231:$A1110,$B231:$B1110)</f>
        <v>lsamer@uniandes.edu.co</v>
      </c>
      <c r="C1111" s="13" t="str">
        <f>_xlfn.XLOOKUP(Participantes[[#This Row],[Nombre]],$A231:$A1110,$C231:$C1110)</f>
        <v>M</v>
      </c>
      <c r="D1111" s="13" t="str">
        <f>_xlfn.XLOOKUP(Participantes[[#This Row],[Nombre]],$A231:$A1110,$D231:$D1110)</f>
        <v>Professor</v>
      </c>
      <c r="E1111" s="13" t="s">
        <v>1</v>
      </c>
      <c r="F1111" s="78" t="s">
        <v>1207</v>
      </c>
      <c r="G1111" s="21">
        <f>_xlfn.XLOOKUP(Participantes[[#This Row],[Seminario al que asistió]],Seminarios[Seminario],Seminarios[Año])</f>
        <v>2025</v>
      </c>
    </row>
    <row r="1112" spans="1:7" x14ac:dyDescent="0.25">
      <c r="A1112" s="77" t="s">
        <v>883</v>
      </c>
      <c r="B1112" s="13" t="str">
        <f>_xlfn.XLOOKUP(Participantes[[#This Row],[Nombre]],$A232:$A1111,$B232:$B1111)</f>
        <v>d.mantillag@uniandes.edu.co</v>
      </c>
      <c r="C1112" s="13" t="str">
        <f>_xlfn.XLOOKUP(Participantes[[#This Row],[Nombre]],$A232:$A1111,$C232:$C1111)</f>
        <v>M</v>
      </c>
      <c r="D1112" s="13" t="str">
        <f>_xlfn.XLOOKUP(Participantes[[#This Row],[Nombre]],$A232:$A1111,$D232:$D1111)</f>
        <v>Professor</v>
      </c>
      <c r="E1112" s="13" t="s">
        <v>1</v>
      </c>
      <c r="F1112" s="78" t="s">
        <v>1207</v>
      </c>
      <c r="G1112" s="21">
        <f>_xlfn.XLOOKUP(Participantes[[#This Row],[Seminario al que asistió]],Seminarios[Seminario],Seminarios[Año])</f>
        <v>2025</v>
      </c>
    </row>
    <row r="1113" spans="1:7" x14ac:dyDescent="0.25">
      <c r="A1113" s="77" t="s">
        <v>944</v>
      </c>
      <c r="B1113" s="13" t="str">
        <f>_xlfn.XLOOKUP(Participantes[[#This Row],[Nombre]],$A233:$A1112,$B233:$B1112)</f>
        <v>jd.martinezo@uniandes.edu.co</v>
      </c>
      <c r="C1113" s="13" t="str">
        <f>_xlfn.XLOOKUP(Participantes[[#This Row],[Nombre]],$A233:$A1112,$C233:$C1112)</f>
        <v>M</v>
      </c>
      <c r="D1113" s="13" t="str">
        <f>_xlfn.XLOOKUP(Participantes[[#This Row],[Nombre]],$A233:$A1112,$D233:$D1112)</f>
        <v>Administrative</v>
      </c>
      <c r="E1113" s="13" t="s">
        <v>1</v>
      </c>
      <c r="F1113" s="78" t="s">
        <v>1207</v>
      </c>
      <c r="G1113" s="21">
        <f>_xlfn.XLOOKUP(Participantes[[#This Row],[Seminario al que asistió]],Seminarios[Seminario],Seminarios[Año])</f>
        <v>2025</v>
      </c>
    </row>
    <row r="1114" spans="1:7" x14ac:dyDescent="0.25">
      <c r="A1114" s="77" t="s">
        <v>280</v>
      </c>
      <c r="B1114" s="13" t="str">
        <f>_xlfn.XLOOKUP(Participantes[[#This Row],[Nombre]],$A234:$A1113,$B234:$B1113)</f>
        <v>nvelasco@uniandes.edu.co</v>
      </c>
      <c r="C1114" s="13" t="str">
        <f>_xlfn.XLOOKUP(Participantes[[#This Row],[Nombre]],$A234:$A1113,$C234:$C1113)</f>
        <v>F</v>
      </c>
      <c r="D1114" s="13" t="str">
        <f>_xlfn.XLOOKUP(Participantes[[#This Row],[Nombre]],$A234:$A1113,$D234:$D1113)</f>
        <v>Professor</v>
      </c>
      <c r="E1114" s="13" t="s">
        <v>1</v>
      </c>
      <c r="F1114" s="78" t="s">
        <v>1207</v>
      </c>
      <c r="G1114" s="21">
        <f>_xlfn.XLOOKUP(Participantes[[#This Row],[Seminario al que asistió]],Seminarios[Seminario],Seminarios[Año])</f>
        <v>2025</v>
      </c>
    </row>
    <row r="1115" spans="1:7" x14ac:dyDescent="0.25">
      <c r="A1115" s="77" t="s">
        <v>319</v>
      </c>
      <c r="B1115" s="13" t="str">
        <f>_xlfn.XLOOKUP(Participantes[[#This Row],[Nombre]],$A235:$A1114,$B235:$B1114)</f>
        <v>j.malagon@uniandes.edu.co</v>
      </c>
      <c r="C1115" s="13" t="str">
        <f>_xlfn.XLOOKUP(Participantes[[#This Row],[Nombre]],$A235:$A1114,$C235:$C1114)</f>
        <v>F</v>
      </c>
      <c r="D1115" s="13" t="str">
        <f>_xlfn.XLOOKUP(Participantes[[#This Row],[Nombre]],$A235:$A1114,$D235:$D1114)</f>
        <v>Professor</v>
      </c>
      <c r="E1115" s="13" t="s">
        <v>1</v>
      </c>
      <c r="F1115" s="78" t="s">
        <v>1207</v>
      </c>
      <c r="G1115" s="21">
        <f>_xlfn.XLOOKUP(Participantes[[#This Row],[Seminario al que asistió]],Seminarios[Seminario],Seminarios[Año])</f>
        <v>2025</v>
      </c>
    </row>
    <row r="1116" spans="1:7" x14ac:dyDescent="0.25">
      <c r="A1116" s="77" t="s">
        <v>669</v>
      </c>
      <c r="B1116" s="13" t="str">
        <f>_xlfn.XLOOKUP(Participantes[[#This Row],[Nombre]],$A236:$A1115,$B236:$B1115)</f>
        <v>luidiaz@uniandes.edu.co</v>
      </c>
      <c r="C1116" s="13" t="str">
        <f>_xlfn.XLOOKUP(Participantes[[#This Row],[Nombre]],$A236:$A1115,$C236:$C1115)</f>
        <v>M</v>
      </c>
      <c r="D1116" s="13" t="str">
        <f>_xlfn.XLOOKUP(Participantes[[#This Row],[Nombre]],$A236:$A1115,$D236:$D1115)</f>
        <v>Professor</v>
      </c>
      <c r="E1116" s="13" t="s">
        <v>1</v>
      </c>
      <c r="F1116" s="78" t="s">
        <v>1207</v>
      </c>
      <c r="G1116" s="21">
        <f>_xlfn.XLOOKUP(Participantes[[#This Row],[Seminario al que asistió]],Seminarios[Seminario],Seminarios[Año])</f>
        <v>2025</v>
      </c>
    </row>
    <row r="1117" spans="1:7" x14ac:dyDescent="0.25">
      <c r="A1117" s="77" t="s">
        <v>1211</v>
      </c>
      <c r="B1117" s="13" t="str">
        <f>_xlfn.XLOOKUP(Participantes[[#This Row],[Nombre]],$A237:$A1116,$B237:$B1116)</f>
        <v>ma.erazo1325@uniandes.edu.co</v>
      </c>
      <c r="C1117" s="13" t="str">
        <f>_xlfn.XLOOKUP(Participantes[[#This Row],[Nombre]],$A237:$A1116,$C237:$C1116)</f>
        <v>F</v>
      </c>
      <c r="D1117" s="13" t="str">
        <f>_xlfn.XLOOKUP(Participantes[[#This Row],[Nombre]],$A237:$A1116,$D237:$D1116)</f>
        <v>Professor</v>
      </c>
      <c r="E1117" s="13" t="s">
        <v>1</v>
      </c>
      <c r="F1117" s="78" t="s">
        <v>1207</v>
      </c>
      <c r="G1117" s="21">
        <f>_xlfn.XLOOKUP(Participantes[[#This Row],[Seminario al que asistió]],Seminarios[Seminario],Seminarios[Año])</f>
        <v>2025</v>
      </c>
    </row>
    <row r="1118" spans="1:7" ht="15.75" thickBot="1" x14ac:dyDescent="0.3">
      <c r="A1118" s="9" t="s">
        <v>1264</v>
      </c>
      <c r="B1118" s="10" t="s">
        <v>783</v>
      </c>
      <c r="C1118" s="10" t="s">
        <v>218</v>
      </c>
      <c r="D1118" s="10" t="s">
        <v>36</v>
      </c>
      <c r="E1118" s="10" t="s">
        <v>1</v>
      </c>
      <c r="F1118" s="11" t="s">
        <v>1207</v>
      </c>
      <c r="G1118" s="21">
        <f>_xlfn.XLOOKUP(Participantes[[#This Row],[Seminario al que asistió]],Seminarios[Seminario],Seminarios[Año])</f>
        <v>2025</v>
      </c>
    </row>
    <row r="1119" spans="1:7" x14ac:dyDescent="0.25">
      <c r="A1119" s="4" t="s">
        <v>1211</v>
      </c>
      <c r="B1119" s="5" t="s">
        <v>1197</v>
      </c>
      <c r="C1119" s="5" t="str">
        <f>_xlfn.XLOOKUP(Participantes[[#This Row],[Nombre]],$A239:$A1118,$C239:$C1118)</f>
        <v>F</v>
      </c>
      <c r="D1119" s="5" t="str">
        <f>_xlfn.XLOOKUP(Participantes[[#This Row],[Nombre]],$A239:$A1118,$D239:$D1118)</f>
        <v>Professor</v>
      </c>
      <c r="E1119" s="5" t="s">
        <v>1</v>
      </c>
      <c r="F1119" s="6" t="s">
        <v>1239</v>
      </c>
      <c r="G1119" s="19">
        <f>_xlfn.XLOOKUP(Participantes[[#This Row],[Seminario al que asistió]],Seminarios[Seminario],Seminarios[Año])</f>
        <v>2025</v>
      </c>
    </row>
    <row r="1120" spans="1:7" x14ac:dyDescent="0.25">
      <c r="A1120" s="7" t="s">
        <v>274</v>
      </c>
      <c r="B1120" s="3" t="s">
        <v>275</v>
      </c>
      <c r="C1120" s="3" t="str">
        <f>_xlfn.XLOOKUP(Participantes[[#This Row],[Nombre]],$A240:$A1119,$C240:$C1119)</f>
        <v>M</v>
      </c>
      <c r="D1120" s="3" t="str">
        <f>_xlfn.XLOOKUP(Participantes[[#This Row],[Nombre]],$A240:$A1119,$D240:$D1119)</f>
        <v>Professor</v>
      </c>
      <c r="E1120" s="3" t="s">
        <v>1</v>
      </c>
      <c r="F1120" s="8" t="s">
        <v>1239</v>
      </c>
      <c r="G1120" s="19">
        <f>_xlfn.XLOOKUP(Participantes[[#This Row],[Seminario al que asistió]],Seminarios[Seminario],Seminarios[Año])</f>
        <v>2025</v>
      </c>
    </row>
    <row r="1121" spans="1:7" x14ac:dyDescent="0.25">
      <c r="A1121" s="7" t="s">
        <v>219</v>
      </c>
      <c r="B1121" s="3" t="s">
        <v>220</v>
      </c>
      <c r="C1121" s="3" t="str">
        <f>_xlfn.XLOOKUP(Participantes[[#This Row],[Nombre]],$A241:$A1120,$C241:$C1120)</f>
        <v>F</v>
      </c>
      <c r="D1121" s="3" t="str">
        <f>_xlfn.XLOOKUP(Participantes[[#This Row],[Nombre]],$A241:$A1120,$D241:$D1120)</f>
        <v>Professor</v>
      </c>
      <c r="E1121" s="3" t="s">
        <v>1</v>
      </c>
      <c r="F1121" s="8" t="s">
        <v>1239</v>
      </c>
      <c r="G1121" s="19">
        <f>_xlfn.XLOOKUP(Participantes[[#This Row],[Seminario al que asistió]],Seminarios[Seminario],Seminarios[Año])</f>
        <v>2025</v>
      </c>
    </row>
    <row r="1122" spans="1:7" x14ac:dyDescent="0.25">
      <c r="A1122" s="7" t="s">
        <v>285</v>
      </c>
      <c r="B1122" s="3" t="s">
        <v>286</v>
      </c>
      <c r="C1122" s="3" t="str">
        <f>_xlfn.XLOOKUP(Participantes[[#This Row],[Nombre]],$A242:$A1121,$C242:$C1121)</f>
        <v>M</v>
      </c>
      <c r="D1122" s="3" t="str">
        <f>_xlfn.XLOOKUP(Participantes[[#This Row],[Nombre]],$A242:$A1121,$D242:$D1121)</f>
        <v>Professor</v>
      </c>
      <c r="E1122" s="3" t="s">
        <v>1</v>
      </c>
      <c r="F1122" s="8" t="s">
        <v>1239</v>
      </c>
      <c r="G1122" s="19">
        <f>_xlfn.XLOOKUP(Participantes[[#This Row],[Seminario al que asistió]],Seminarios[Seminario],Seminarios[Año])</f>
        <v>2025</v>
      </c>
    </row>
    <row r="1123" spans="1:7" x14ac:dyDescent="0.25">
      <c r="A1123" s="7" t="s">
        <v>234</v>
      </c>
      <c r="B1123" s="3" t="s">
        <v>235</v>
      </c>
      <c r="C1123" s="3" t="str">
        <f>_xlfn.XLOOKUP(Participantes[[#This Row],[Nombre]],$A243:$A1122,$C243:$C1122)</f>
        <v>M</v>
      </c>
      <c r="D1123" s="3" t="str">
        <f>_xlfn.XLOOKUP(Participantes[[#This Row],[Nombre]],$A243:$A1122,$D243:$D1122)</f>
        <v>Professor</v>
      </c>
      <c r="E1123" s="3" t="s">
        <v>1</v>
      </c>
      <c r="F1123" s="8" t="s">
        <v>1239</v>
      </c>
      <c r="G1123" s="19">
        <f>_xlfn.XLOOKUP(Participantes[[#This Row],[Seminario al que asistió]],Seminarios[Seminario],Seminarios[Año])</f>
        <v>2025</v>
      </c>
    </row>
    <row r="1124" spans="1:7" x14ac:dyDescent="0.25">
      <c r="A1124" s="7" t="s">
        <v>227</v>
      </c>
      <c r="B1124" s="3" t="s">
        <v>228</v>
      </c>
      <c r="C1124" s="3" t="str">
        <f>_xlfn.XLOOKUP(Participantes[[#This Row],[Nombre]],$A244:$A1123,$C244:$C1123)</f>
        <v>M</v>
      </c>
      <c r="D1124" s="3" t="str">
        <f>_xlfn.XLOOKUP(Participantes[[#This Row],[Nombre]],$A244:$A1123,$D244:$D1123)</f>
        <v>Professor</v>
      </c>
      <c r="E1124" s="3" t="s">
        <v>1</v>
      </c>
      <c r="F1124" s="8" t="s">
        <v>1239</v>
      </c>
      <c r="G1124" s="19">
        <f>_xlfn.XLOOKUP(Participantes[[#This Row],[Seminario al que asistió]],Seminarios[Seminario],Seminarios[Año])</f>
        <v>2025</v>
      </c>
    </row>
    <row r="1125" spans="1:7" x14ac:dyDescent="0.25">
      <c r="A1125" s="7" t="s">
        <v>310</v>
      </c>
      <c r="B1125" s="3" t="s">
        <v>256</v>
      </c>
      <c r="C1125" s="3" t="str">
        <f>_xlfn.XLOOKUP(Participantes[[#This Row],[Nombre]],$A245:$A1124,$C245:$C1124)</f>
        <v>M</v>
      </c>
      <c r="D1125" s="3" t="str">
        <f>_xlfn.XLOOKUP(Participantes[[#This Row],[Nombre]],$A245:$A1124,$D245:$D1124)</f>
        <v>Professor</v>
      </c>
      <c r="E1125" s="3" t="s">
        <v>1</v>
      </c>
      <c r="F1125" s="8" t="s">
        <v>1239</v>
      </c>
      <c r="G1125" s="19">
        <f>_xlfn.XLOOKUP(Participantes[[#This Row],[Seminario al que asistió]],Seminarios[Seminario],Seminarios[Año])</f>
        <v>2025</v>
      </c>
    </row>
    <row r="1126" spans="1:7" x14ac:dyDescent="0.25">
      <c r="A1126" s="7" t="s">
        <v>176</v>
      </c>
      <c r="B1126" s="3" t="s">
        <v>222</v>
      </c>
      <c r="C1126" s="3" t="str">
        <f>_xlfn.XLOOKUP(Participantes[[#This Row],[Nombre]],$A246:$A1125,$C246:$C1125)</f>
        <v>F</v>
      </c>
      <c r="D1126" s="3" t="str">
        <f>_xlfn.XLOOKUP(Participantes[[#This Row],[Nombre]],$A246:$A1125,$D246:$D1125)</f>
        <v>Professor</v>
      </c>
      <c r="E1126" s="3" t="s">
        <v>1</v>
      </c>
      <c r="F1126" s="8" t="s">
        <v>1239</v>
      </c>
      <c r="G1126" s="19">
        <f>_xlfn.XLOOKUP(Participantes[[#This Row],[Seminario al que asistió]],Seminarios[Seminario],Seminarios[Año])</f>
        <v>2025</v>
      </c>
    </row>
    <row r="1127" spans="1:7" x14ac:dyDescent="0.25">
      <c r="A1127" s="7" t="s">
        <v>249</v>
      </c>
      <c r="B1127" s="3" t="s">
        <v>557</v>
      </c>
      <c r="C1127" s="3" t="str">
        <f>_xlfn.XLOOKUP(Participantes[[#This Row],[Nombre]],$A247:$A1126,$C247:$C1126)</f>
        <v>M</v>
      </c>
      <c r="D1127" s="3" t="str">
        <f>_xlfn.XLOOKUP(Participantes[[#This Row],[Nombre]],$A247:$A1126,$D247:$D1126)</f>
        <v>Professor</v>
      </c>
      <c r="E1127" s="3" t="s">
        <v>1</v>
      </c>
      <c r="F1127" s="8" t="s">
        <v>1239</v>
      </c>
      <c r="G1127" s="19">
        <f>_xlfn.XLOOKUP(Participantes[[#This Row],[Seminario al que asistió]],Seminarios[Seminario],Seminarios[Año])</f>
        <v>2025</v>
      </c>
    </row>
    <row r="1128" spans="1:7" x14ac:dyDescent="0.25">
      <c r="A1128" s="7" t="s">
        <v>253</v>
      </c>
      <c r="B1128" s="3" t="s">
        <v>254</v>
      </c>
      <c r="C1128" s="3" t="str">
        <f>_xlfn.XLOOKUP(Participantes[[#This Row],[Nombre]],$A248:$A1127,$C248:$C1127)</f>
        <v>M</v>
      </c>
      <c r="D1128" s="3" t="str">
        <f>_xlfn.XLOOKUP(Participantes[[#This Row],[Nombre]],$A248:$A1127,$D248:$D1127)</f>
        <v>Professor</v>
      </c>
      <c r="E1128" s="3" t="s">
        <v>1</v>
      </c>
      <c r="F1128" s="8" t="s">
        <v>1239</v>
      </c>
      <c r="G1128" s="19">
        <f>_xlfn.XLOOKUP(Participantes[[#This Row],[Seminario al que asistió]],Seminarios[Seminario],Seminarios[Año])</f>
        <v>2025</v>
      </c>
    </row>
    <row r="1129" spans="1:7" x14ac:dyDescent="0.25">
      <c r="A1129" s="7" t="s">
        <v>1270</v>
      </c>
      <c r="B1129" s="3" t="s">
        <v>1267</v>
      </c>
      <c r="C1129" s="3" t="s">
        <v>218</v>
      </c>
      <c r="D1129" s="3" t="s">
        <v>36</v>
      </c>
      <c r="E1129" s="3" t="s">
        <v>1</v>
      </c>
      <c r="F1129" s="8" t="s">
        <v>1239</v>
      </c>
      <c r="G1129" s="19">
        <f>_xlfn.XLOOKUP(Participantes[[#This Row],[Seminario al que asistió]],Seminarios[Seminario],Seminarios[Año])</f>
        <v>2025</v>
      </c>
    </row>
    <row r="1130" spans="1:7" x14ac:dyDescent="0.25">
      <c r="A1130" s="7" t="s">
        <v>501</v>
      </c>
      <c r="B1130" s="3" t="s">
        <v>297</v>
      </c>
      <c r="C1130" s="3" t="str">
        <f>_xlfn.XLOOKUP(Participantes[[#This Row],[Nombre]],$A250:$A1129,$C250:$C1129)</f>
        <v>F</v>
      </c>
      <c r="D1130" s="3" t="str">
        <f>_xlfn.XLOOKUP(Participantes[[#This Row],[Nombre]],$A250:$A1129,$D250:$D1129)</f>
        <v>Professor</v>
      </c>
      <c r="E1130" s="3" t="s">
        <v>1</v>
      </c>
      <c r="F1130" s="8" t="s">
        <v>1239</v>
      </c>
      <c r="G1130" s="19">
        <f>_xlfn.XLOOKUP(Participantes[[#This Row],[Seminario al que asistió]],Seminarios[Seminario],Seminarios[Año])</f>
        <v>2025</v>
      </c>
    </row>
    <row r="1131" spans="1:7" x14ac:dyDescent="0.25">
      <c r="A1131" s="7" t="s">
        <v>820</v>
      </c>
      <c r="B1131" s="3" t="s">
        <v>1268</v>
      </c>
      <c r="C1131" s="3" t="str">
        <f>_xlfn.XLOOKUP(Participantes[[#This Row],[Nombre]],$A251:$A1130,$C251:$C1130)</f>
        <v>M</v>
      </c>
      <c r="D1131" s="3" t="str">
        <f>_xlfn.XLOOKUP(Participantes[[#This Row],[Nombre]],$A251:$A1130,$D251:$D1130)</f>
        <v>Professor</v>
      </c>
      <c r="E1131" s="3" t="s">
        <v>1</v>
      </c>
      <c r="F1131" s="8" t="s">
        <v>1239</v>
      </c>
      <c r="G1131" s="19">
        <f>_xlfn.XLOOKUP(Participantes[[#This Row],[Seminario al que asistió]],Seminarios[Seminario],Seminarios[Año])</f>
        <v>2025</v>
      </c>
    </row>
    <row r="1132" spans="1:7" x14ac:dyDescent="0.25">
      <c r="A1132" s="7" t="s">
        <v>225</v>
      </c>
      <c r="B1132" s="3" t="s">
        <v>226</v>
      </c>
      <c r="C1132" s="3" t="str">
        <f>_xlfn.XLOOKUP(Participantes[[#This Row],[Nombre]],$A252:$A1131,$C252:$C1131)</f>
        <v>M</v>
      </c>
      <c r="D1132" s="3" t="str">
        <f>_xlfn.XLOOKUP(Participantes[[#This Row],[Nombre]],$A252:$A1131,$D252:$D1131)</f>
        <v>Professor</v>
      </c>
      <c r="E1132" s="3" t="s">
        <v>1</v>
      </c>
      <c r="F1132" s="8" t="s">
        <v>1239</v>
      </c>
      <c r="G1132" s="19">
        <f>_xlfn.XLOOKUP(Participantes[[#This Row],[Seminario al que asistió]],Seminarios[Seminario],Seminarios[Año])</f>
        <v>2025</v>
      </c>
    </row>
    <row r="1133" spans="1:7" x14ac:dyDescent="0.25">
      <c r="A1133" s="7" t="s">
        <v>883</v>
      </c>
      <c r="B1133" s="3" t="s">
        <v>884</v>
      </c>
      <c r="C1133" s="3" t="str">
        <f>_xlfn.XLOOKUP(Participantes[[#This Row],[Nombre]],$A253:$A1132,$C253:$C1132)</f>
        <v>M</v>
      </c>
      <c r="D1133" s="3" t="str">
        <f>_xlfn.XLOOKUP(Participantes[[#This Row],[Nombre]],$A253:$A1132,$D253:$D1132)</f>
        <v>Professor</v>
      </c>
      <c r="E1133" s="3" t="s">
        <v>1</v>
      </c>
      <c r="F1133" s="8" t="s">
        <v>1239</v>
      </c>
      <c r="G1133" s="19">
        <f>_xlfn.XLOOKUP(Participantes[[#This Row],[Seminario al que asistió]],Seminarios[Seminario],Seminarios[Año])</f>
        <v>2025</v>
      </c>
    </row>
    <row r="1134" spans="1:7" x14ac:dyDescent="0.25">
      <c r="A1134" s="7" t="s">
        <v>332</v>
      </c>
      <c r="B1134" s="3" t="s">
        <v>252</v>
      </c>
      <c r="C1134" s="3" t="str">
        <f>_xlfn.XLOOKUP(Participantes[[#This Row],[Nombre]],$A254:$A1133,$C254:$C1133)</f>
        <v>F</v>
      </c>
      <c r="D1134" s="3" t="str">
        <f>_xlfn.XLOOKUP(Participantes[[#This Row],[Nombre]],$A254:$A1133,$D254:$D1133)</f>
        <v>Administrative</v>
      </c>
      <c r="E1134" s="3" t="s">
        <v>1</v>
      </c>
      <c r="F1134" s="8" t="s">
        <v>1239</v>
      </c>
      <c r="G1134" s="19">
        <f>_xlfn.XLOOKUP(Participantes[[#This Row],[Seminario al que asistió]],Seminarios[Seminario],Seminarios[Año])</f>
        <v>2025</v>
      </c>
    </row>
    <row r="1135" spans="1:7" x14ac:dyDescent="0.25">
      <c r="A1135" s="7" t="s">
        <v>317</v>
      </c>
      <c r="B1135" s="3" t="s">
        <v>318</v>
      </c>
      <c r="C1135" s="3" t="str">
        <f>_xlfn.XLOOKUP(Participantes[[#This Row],[Nombre]],$A255:$A1134,$C255:$C1134)</f>
        <v>M</v>
      </c>
      <c r="D1135" s="3" t="str">
        <f>_xlfn.XLOOKUP(Participantes[[#This Row],[Nombre]],$A255:$A1134,$D255:$D1134)</f>
        <v>Professor</v>
      </c>
      <c r="E1135" s="3" t="s">
        <v>1</v>
      </c>
      <c r="F1135" s="8" t="s">
        <v>1239</v>
      </c>
      <c r="G1135" s="19">
        <f>_xlfn.XLOOKUP(Participantes[[#This Row],[Seminario al que asistió]],Seminarios[Seminario],Seminarios[Año])</f>
        <v>2025</v>
      </c>
    </row>
    <row r="1136" spans="1:7" x14ac:dyDescent="0.25">
      <c r="A1136" s="7" t="s">
        <v>519</v>
      </c>
      <c r="B1136" s="3" t="s">
        <v>666</v>
      </c>
      <c r="C1136" s="3" t="str">
        <f>_xlfn.XLOOKUP(Participantes[[#This Row],[Nombre]],$A257:$A1135,$C257:$C1135)</f>
        <v>F</v>
      </c>
      <c r="D1136" s="3" t="str">
        <f>_xlfn.XLOOKUP(Participantes[[#This Row],[Nombre]],$A257:$A1135,$D257:$D1135)</f>
        <v>Professor</v>
      </c>
      <c r="E1136" s="3" t="s">
        <v>1</v>
      </c>
      <c r="F1136" s="8" t="s">
        <v>1239</v>
      </c>
      <c r="G1136" s="19">
        <f>_xlfn.XLOOKUP(Participantes[[#This Row],[Seminario al que asistió]],Seminarios[Seminario],Seminarios[Año])</f>
        <v>2025</v>
      </c>
    </row>
    <row r="1137" spans="1:7" x14ac:dyDescent="0.25">
      <c r="A1137" s="7" t="s">
        <v>886</v>
      </c>
      <c r="B1137" s="3" t="s">
        <v>321</v>
      </c>
      <c r="C1137" s="3" t="str">
        <f>_xlfn.XLOOKUP(Participantes[[#This Row],[Nombre]],$A258:$A1136,$C258:$C1136)</f>
        <v>M</v>
      </c>
      <c r="D1137" s="3" t="str">
        <f>_xlfn.XLOOKUP(Participantes[[#This Row],[Nombre]],$A258:$A1136,$D258:$D1136)</f>
        <v>Professor</v>
      </c>
      <c r="E1137" s="3" t="s">
        <v>1</v>
      </c>
      <c r="F1137" s="8" t="s">
        <v>1239</v>
      </c>
      <c r="G1137" s="19">
        <f>_xlfn.XLOOKUP(Participantes[[#This Row],[Seminario al que asistió]],Seminarios[Seminario],Seminarios[Año])</f>
        <v>2025</v>
      </c>
    </row>
    <row r="1138" spans="1:7" x14ac:dyDescent="0.25">
      <c r="A1138" s="7" t="s">
        <v>177</v>
      </c>
      <c r="B1138" s="3" t="s">
        <v>307</v>
      </c>
      <c r="C1138" s="3" t="str">
        <f>_xlfn.XLOOKUP(Participantes[[#This Row],[Nombre]],$A259:$A1137,$C259:$C1137)</f>
        <v>F</v>
      </c>
      <c r="D1138" s="3" t="str">
        <f>_xlfn.XLOOKUP(Participantes[[#This Row],[Nombre]],$A259:$A1137,$D259:$D1137)</f>
        <v>Professor</v>
      </c>
      <c r="E1138" s="3" t="s">
        <v>1</v>
      </c>
      <c r="F1138" s="8" t="s">
        <v>1239</v>
      </c>
      <c r="G1138" s="19">
        <f>_xlfn.XLOOKUP(Participantes[[#This Row],[Seminario al que asistió]],Seminarios[Seminario],Seminarios[Año])</f>
        <v>2025</v>
      </c>
    </row>
    <row r="1139" spans="1:7" x14ac:dyDescent="0.25">
      <c r="A1139" s="7" t="s">
        <v>515</v>
      </c>
      <c r="B1139" s="3" t="s">
        <v>277</v>
      </c>
      <c r="C1139" s="3" t="str">
        <f>_xlfn.XLOOKUP(Participantes[[#This Row],[Nombre]],$A260:$A1138,$C260:$C1138)</f>
        <v>M</v>
      </c>
      <c r="D1139" s="3" t="str">
        <f>_xlfn.XLOOKUP(Participantes[[#This Row],[Nombre]],$A260:$A1138,$D260:$D1138)</f>
        <v>Professor</v>
      </c>
      <c r="E1139" s="3" t="s">
        <v>1</v>
      </c>
      <c r="F1139" s="8" t="s">
        <v>1239</v>
      </c>
      <c r="G1139" s="19">
        <f>_xlfn.XLOOKUP(Participantes[[#This Row],[Seminario al que asistió]],Seminarios[Seminario],Seminarios[Año])</f>
        <v>2025</v>
      </c>
    </row>
    <row r="1140" spans="1:7" ht="15.75" thickBot="1" x14ac:dyDescent="0.3">
      <c r="A1140" s="9" t="s">
        <v>291</v>
      </c>
      <c r="B1140" s="10" t="s">
        <v>1269</v>
      </c>
      <c r="C1140" s="10" t="str">
        <f>_xlfn.XLOOKUP(Participantes[[#This Row],[Nombre]],$A261:$A1139,$C261:$C1139)</f>
        <v>F</v>
      </c>
      <c r="D1140" s="10" t="str">
        <f>_xlfn.XLOOKUP(Participantes[[#This Row],[Nombre]],$A261:$A1139,$D261:$D1139)</f>
        <v>Professor</v>
      </c>
      <c r="E1140" s="10" t="s">
        <v>1</v>
      </c>
      <c r="F1140" s="11" t="s">
        <v>1239</v>
      </c>
      <c r="G1140" s="21">
        <f>_xlfn.XLOOKUP(Participantes[[#This Row],[Seminario al que asistió]],Seminarios[Seminario],Seminarios[Año])</f>
        <v>2025</v>
      </c>
    </row>
    <row r="1141" spans="1:7" x14ac:dyDescent="0.25">
      <c r="A1141" s="142" t="s">
        <v>1264</v>
      </c>
      <c r="B1141" s="87" t="str">
        <f>_xlfn.XLOOKUP(Participantes[[#This Row],[Nombre]],$A261:$A1140,$B261:$B1140)</f>
        <v>sz.juan20@uniandes.edu.co</v>
      </c>
      <c r="C1141" s="87" t="str">
        <f>_xlfn.XLOOKUP(Participantes[[#This Row],[Nombre]],$A261:$A1140,$C261:$C1140)</f>
        <v>M</v>
      </c>
      <c r="D1141" s="87" t="str">
        <f>_xlfn.XLOOKUP(Participantes[[#This Row],[Nombre]],$A261:$A1140,$D261:$D1140)</f>
        <v>Professor</v>
      </c>
      <c r="E1141" s="87" t="s">
        <v>1</v>
      </c>
      <c r="F1141" s="88" t="s">
        <v>1248</v>
      </c>
      <c r="G1141" s="21">
        <f>_xlfn.XLOOKUP(Participantes[[#This Row],[Seminario al que asistió]],Seminarios[Seminario],Seminarios[Año])</f>
        <v>2025</v>
      </c>
    </row>
    <row r="1142" spans="1:7" x14ac:dyDescent="0.25">
      <c r="A1142" s="77" t="s">
        <v>246</v>
      </c>
      <c r="B1142" s="3" t="str">
        <f>_xlfn.XLOOKUP(Participantes[[#This Row],[Nombre]],$A262:$A1141,$B262:$B1141)</f>
        <v>lsamer@uniandes.edu.co</v>
      </c>
      <c r="C1142" s="3" t="str">
        <f>_xlfn.XLOOKUP(Participantes[[#This Row],[Nombre]],$A262:$A1141,$C262:$C1141)</f>
        <v>M</v>
      </c>
      <c r="D1142" s="3" t="str">
        <f>_xlfn.XLOOKUP(Participantes[[#This Row],[Nombre]],$A262:$A1141,$D262:$D1141)</f>
        <v>Professor</v>
      </c>
      <c r="E1142" s="3" t="s">
        <v>1</v>
      </c>
      <c r="F1142" s="8" t="s">
        <v>1248</v>
      </c>
      <c r="G1142" s="19">
        <f>_xlfn.XLOOKUP(Participantes[[#This Row],[Seminario al que asistió]],Seminarios[Seminario],Seminarios[Año])</f>
        <v>2025</v>
      </c>
    </row>
    <row r="1143" spans="1:7" x14ac:dyDescent="0.25">
      <c r="A1143" s="77" t="s">
        <v>234</v>
      </c>
      <c r="B1143" s="3" t="str">
        <f>_xlfn.XLOOKUP(Participantes[[#This Row],[Nombre]],$A263:$A1142,$B263:$B1142)</f>
        <v>d.higa@uniandes.edu.co</v>
      </c>
      <c r="C1143" s="3" t="str">
        <f>_xlfn.XLOOKUP(Participantes[[#This Row],[Nombre]],$A263:$A1142,$C263:$C1142)</f>
        <v>M</v>
      </c>
      <c r="D1143" s="3" t="str">
        <f>_xlfn.XLOOKUP(Participantes[[#This Row],[Nombre]],$A263:$A1142,$D263:$D1142)</f>
        <v>Professor</v>
      </c>
      <c r="E1143" s="3" t="s">
        <v>5</v>
      </c>
      <c r="F1143" s="8" t="s">
        <v>1248</v>
      </c>
      <c r="G1143" s="19">
        <f>_xlfn.XLOOKUP(Participantes[[#This Row],[Seminario al que asistió]],Seminarios[Seminario],Seminarios[Año])</f>
        <v>2025</v>
      </c>
    </row>
    <row r="1144" spans="1:7" x14ac:dyDescent="0.25">
      <c r="A1144" s="77" t="s">
        <v>972</v>
      </c>
      <c r="B1144" s="3" t="str">
        <f>_xlfn.XLOOKUP(Participantes[[#This Row],[Nombre]],$A264:$A1143,$B264:$B1143)</f>
        <v>jh.diaz84@uniandes.edu.co</v>
      </c>
      <c r="C1144" s="3" t="str">
        <f>_xlfn.XLOOKUP(Participantes[[#This Row],[Nombre]],$A264:$A1143,$C264:$C1143)</f>
        <v>F</v>
      </c>
      <c r="D1144" s="3" t="str">
        <f>_xlfn.XLOOKUP(Participantes[[#This Row],[Nombre]],$A264:$A1143,$D264:$D1143)</f>
        <v>Professor</v>
      </c>
      <c r="E1144" s="3" t="s">
        <v>5</v>
      </c>
      <c r="F1144" s="8" t="s">
        <v>1248</v>
      </c>
      <c r="G1144" s="19">
        <f>_xlfn.XLOOKUP(Participantes[[#This Row],[Seminario al que asistió]],Seminarios[Seminario],Seminarios[Año])</f>
        <v>2025</v>
      </c>
    </row>
    <row r="1145" spans="1:7" x14ac:dyDescent="0.25">
      <c r="A1145" s="77" t="s">
        <v>1282</v>
      </c>
      <c r="B1145" s="3" t="s">
        <v>1278</v>
      </c>
      <c r="C1145" s="3" t="s">
        <v>218</v>
      </c>
      <c r="D1145" s="3" t="s">
        <v>48</v>
      </c>
      <c r="E1145" s="3" t="s">
        <v>1</v>
      </c>
      <c r="F1145" s="8" t="s">
        <v>1248</v>
      </c>
      <c r="G1145" s="19">
        <f>_xlfn.XLOOKUP(Participantes[[#This Row],[Seminario al que asistió]],Seminarios[Seminario],Seminarios[Año])</f>
        <v>2025</v>
      </c>
    </row>
    <row r="1146" spans="1:7" x14ac:dyDescent="0.25">
      <c r="A1146" s="19" t="s">
        <v>1299</v>
      </c>
      <c r="B1146" s="3" t="s">
        <v>1281</v>
      </c>
      <c r="C1146" s="3" t="s">
        <v>218</v>
      </c>
      <c r="D1146" s="3" t="s">
        <v>48</v>
      </c>
      <c r="E1146" s="3" t="s">
        <v>1</v>
      </c>
      <c r="F1146" s="8" t="s">
        <v>1248</v>
      </c>
      <c r="G1146" s="3">
        <f>_xlfn.XLOOKUP(Participantes[[#This Row],[Seminario al que asistió]],Seminarios[Seminario],Seminarios[Año])</f>
        <v>2025</v>
      </c>
    </row>
    <row r="1147" spans="1:7" x14ac:dyDescent="0.25">
      <c r="A1147" s="77" t="s">
        <v>471</v>
      </c>
      <c r="B1147" s="3" t="str">
        <f>_xlfn.XLOOKUP(Participantes[[#This Row],[Nombre]],$A266:$A1145,$B266:$B1145)</f>
        <v>lg.galan92@uniandes.edu.co</v>
      </c>
      <c r="C1147" s="3" t="str">
        <f>_xlfn.XLOOKUP(Participantes[[#This Row],[Nombre]],$A266:$A1145,$C266:$C1145)</f>
        <v>M</v>
      </c>
      <c r="D1147" s="3" t="str">
        <f>_xlfn.XLOOKUP(Participantes[[#This Row],[Nombre]],$A266:$A1145,$D266:$D1145)</f>
        <v>Professor</v>
      </c>
      <c r="E1147" s="3" t="s">
        <v>1</v>
      </c>
      <c r="F1147" s="8" t="s">
        <v>1248</v>
      </c>
      <c r="G1147" s="19">
        <f>_xlfn.XLOOKUP(Participantes[[#This Row],[Seminario al que asistió]],Seminarios[Seminario],Seminarios[Año])</f>
        <v>2025</v>
      </c>
    </row>
    <row r="1148" spans="1:7" x14ac:dyDescent="0.25">
      <c r="A1148" s="77" t="s">
        <v>1217</v>
      </c>
      <c r="B1148" s="3" t="s">
        <v>485</v>
      </c>
      <c r="C1148" s="3" t="str">
        <f>_xlfn.XLOOKUP(Participantes[[#This Row],[Nombre]],$A267:$A1147,$C267:$C1147)</f>
        <v>M</v>
      </c>
      <c r="D1148" s="3" t="str">
        <f>_xlfn.XLOOKUP(Participantes[[#This Row],[Nombre]],$A267:$A1147,$D267:$D1147)</f>
        <v>External</v>
      </c>
      <c r="E1148" s="3" t="s">
        <v>5</v>
      </c>
      <c r="F1148" s="8" t="s">
        <v>1248</v>
      </c>
      <c r="G1148" s="19">
        <f>_xlfn.XLOOKUP(Participantes[[#This Row],[Seminario al que asistió]],Seminarios[Seminario],Seminarios[Año])</f>
        <v>2025</v>
      </c>
    </row>
    <row r="1149" spans="1:7" x14ac:dyDescent="0.25">
      <c r="A1149" s="77" t="s">
        <v>285</v>
      </c>
      <c r="B1149" s="3" t="str">
        <f>_xlfn.XLOOKUP(Participantes[[#This Row],[Nombre]],$A268:$A1148,$B268:$B1148)</f>
        <v>ro-britt@uniandes.edu.co</v>
      </c>
      <c r="C1149" s="3" t="str">
        <f>_xlfn.XLOOKUP(Participantes[[#This Row],[Nombre]],$A268:$A1148,$C268:$C1148)</f>
        <v>M</v>
      </c>
      <c r="D1149" s="3" t="str">
        <f>_xlfn.XLOOKUP(Participantes[[#This Row],[Nombre]],$A268:$A1148,$D268:$D1148)</f>
        <v>Professor</v>
      </c>
      <c r="E1149" s="3" t="s">
        <v>1</v>
      </c>
      <c r="F1149" s="8" t="s">
        <v>1248</v>
      </c>
      <c r="G1149" s="19">
        <f>_xlfn.XLOOKUP(Participantes[[#This Row],[Seminario al que asistió]],Seminarios[Seminario],Seminarios[Año])</f>
        <v>2025</v>
      </c>
    </row>
    <row r="1150" spans="1:7" x14ac:dyDescent="0.25">
      <c r="A1150" s="77" t="s">
        <v>616</v>
      </c>
      <c r="B1150" s="3" t="str">
        <f>_xlfn.XLOOKUP(Participantes[[#This Row],[Nombre]],$A269:$A1149,$B269:$B1149)</f>
        <v xml:space="preserve">am.lluch@uniandes.edu.co </v>
      </c>
      <c r="C1150" s="3" t="str">
        <f>_xlfn.XLOOKUP(Participantes[[#This Row],[Nombre]],$A269:$A1149,$C269:$C1149)</f>
        <v>F</v>
      </c>
      <c r="D1150" s="3" t="str">
        <f>_xlfn.XLOOKUP(Participantes[[#This Row],[Nombre]],$A269:$A1149,$D269:$D1149)</f>
        <v>Professor</v>
      </c>
      <c r="E1150" s="3" t="s">
        <v>5</v>
      </c>
      <c r="F1150" s="8" t="s">
        <v>1248</v>
      </c>
      <c r="G1150" s="19">
        <f>_xlfn.XLOOKUP(Participantes[[#This Row],[Seminario al que asistió]],Seminarios[Seminario],Seminarios[Año])</f>
        <v>2025</v>
      </c>
    </row>
    <row r="1151" spans="1:7" x14ac:dyDescent="0.25">
      <c r="A1151" s="77" t="s">
        <v>1283</v>
      </c>
      <c r="B1151" s="3" t="s">
        <v>1281</v>
      </c>
      <c r="C1151" s="3" t="s">
        <v>218</v>
      </c>
      <c r="D1151" s="3" t="s">
        <v>48</v>
      </c>
      <c r="E1151" s="3" t="s">
        <v>5</v>
      </c>
      <c r="F1151" s="8" t="s">
        <v>1248</v>
      </c>
      <c r="G1151" s="19">
        <f>_xlfn.XLOOKUP(Participantes[[#This Row],[Seminario al que asistió]],Seminarios[Seminario],Seminarios[Año])</f>
        <v>2025</v>
      </c>
    </row>
    <row r="1152" spans="1:7" x14ac:dyDescent="0.25">
      <c r="A1152" s="77" t="s">
        <v>967</v>
      </c>
      <c r="B1152" s="3" t="str">
        <f>_xlfn.XLOOKUP(Participantes[[#This Row],[Nombre]],$A271:$A1151,$B271:$B1151)</f>
        <v>he.godoy@uniandes.edu.co</v>
      </c>
      <c r="C1152" s="3" t="str">
        <f>_xlfn.XLOOKUP(Participantes[[#This Row],[Nombre]],$A271:$A1151,$C271:$C1151)</f>
        <v>M</v>
      </c>
      <c r="D1152" s="3" t="str">
        <f>_xlfn.XLOOKUP(Participantes[[#This Row],[Nombre]],$A271:$A1151,$D271:$D1151)</f>
        <v>Professor</v>
      </c>
      <c r="E1152" s="3" t="s">
        <v>5</v>
      </c>
      <c r="F1152" s="8" t="s">
        <v>1248</v>
      </c>
      <c r="G1152" s="19">
        <f>_xlfn.XLOOKUP(Participantes[[#This Row],[Seminario al que asistió]],Seminarios[Seminario],Seminarios[Año])</f>
        <v>2025</v>
      </c>
    </row>
    <row r="1153" spans="1:7" x14ac:dyDescent="0.25">
      <c r="A1153" s="77" t="s">
        <v>1280</v>
      </c>
      <c r="B1153" s="3" t="str">
        <f>_xlfn.XLOOKUP(Participantes[[#This Row],[Nombre]],$A272:$A1152,$B272:$B1152)</f>
        <v>gegarcia@uniandes.edu.co</v>
      </c>
      <c r="C1153" s="3" t="str">
        <f>_xlfn.XLOOKUP(Participantes[[#This Row],[Nombre]],$A272:$A1152,$C272:$C1152)</f>
        <v>M</v>
      </c>
      <c r="D1153" s="3" t="str">
        <f>_xlfn.XLOOKUP(Participantes[[#This Row],[Nombre]],$A272:$A1152,$D272:$D1152)</f>
        <v>Professor</v>
      </c>
      <c r="E1153" s="3" t="s">
        <v>5</v>
      </c>
      <c r="F1153" s="8" t="s">
        <v>1248</v>
      </c>
      <c r="G1153" s="19">
        <f>_xlfn.XLOOKUP(Participantes[[#This Row],[Seminario al que asistió]],Seminarios[Seminario],Seminarios[Año])</f>
        <v>2025</v>
      </c>
    </row>
    <row r="1154" spans="1:7" x14ac:dyDescent="0.25">
      <c r="A1154" s="77" t="s">
        <v>1284</v>
      </c>
      <c r="B1154" s="3" t="s">
        <v>1281</v>
      </c>
      <c r="C1154" s="3" t="s">
        <v>218</v>
      </c>
      <c r="D1154" s="3" t="s">
        <v>48</v>
      </c>
      <c r="E1154" s="3" t="s">
        <v>5</v>
      </c>
      <c r="F1154" s="8" t="s">
        <v>1248</v>
      </c>
      <c r="G1154" s="19">
        <f>_xlfn.XLOOKUP(Participantes[[#This Row],[Seminario al que asistió]],Seminarios[Seminario],Seminarios[Año])</f>
        <v>2025</v>
      </c>
    </row>
    <row r="1155" spans="1:7" x14ac:dyDescent="0.25">
      <c r="A1155" s="77" t="s">
        <v>1285</v>
      </c>
      <c r="B1155" s="3" t="s">
        <v>1281</v>
      </c>
      <c r="C1155" s="3" t="s">
        <v>221</v>
      </c>
      <c r="D1155" s="3" t="s">
        <v>48</v>
      </c>
      <c r="E1155" s="3" t="s">
        <v>5</v>
      </c>
      <c r="F1155" s="8" t="s">
        <v>1248</v>
      </c>
      <c r="G1155" s="19">
        <f>_xlfn.XLOOKUP(Participantes[[#This Row],[Seminario al que asistió]],Seminarios[Seminario],Seminarios[Año])</f>
        <v>2025</v>
      </c>
    </row>
    <row r="1156" spans="1:7" x14ac:dyDescent="0.25">
      <c r="A1156" s="77" t="s">
        <v>574</v>
      </c>
      <c r="B1156" s="3" t="str">
        <f>_xlfn.XLOOKUP(Participantes[[#This Row],[Nombre]],$A275:$A1155,$B275:$B1155)</f>
        <v>mlaurent@uniandes.edu.co</v>
      </c>
      <c r="C1156" s="3" t="str">
        <f>_xlfn.XLOOKUP(Participantes[[#This Row],[Nombre]],$A275:$A1155,$C275:$C1155)</f>
        <v>M</v>
      </c>
      <c r="D1156" s="3" t="str">
        <f>_xlfn.XLOOKUP(Participantes[[#This Row],[Nombre]],$A275:$A1155,$D275:$D1155)</f>
        <v>Professor</v>
      </c>
      <c r="E1156" s="3" t="s">
        <v>5</v>
      </c>
      <c r="F1156" s="8" t="s">
        <v>1248</v>
      </c>
      <c r="G1156" s="19">
        <f>_xlfn.XLOOKUP(Participantes[[#This Row],[Seminario al que asistió]],Seminarios[Seminario],Seminarios[Año])</f>
        <v>2025</v>
      </c>
    </row>
    <row r="1157" spans="1:7" x14ac:dyDescent="0.25">
      <c r="A1157" s="77" t="s">
        <v>646</v>
      </c>
      <c r="B1157" s="3" t="str">
        <f>_xlfn.XLOOKUP(Participantes[[#This Row],[Nombre]],$A276:$A1156,$B276:$B1156)</f>
        <v>ccaballero@uniandes.edu.co</v>
      </c>
      <c r="C1157" s="3" t="str">
        <f>_xlfn.XLOOKUP(Participantes[[#This Row],[Nombre]],$A276:$A1156,$C276:$C1156)</f>
        <v>M</v>
      </c>
      <c r="D1157" s="3" t="str">
        <f>_xlfn.XLOOKUP(Participantes[[#This Row],[Nombre]],$A276:$A1156,$D276:$D1156)</f>
        <v>Professor</v>
      </c>
      <c r="E1157" s="3" t="s">
        <v>1</v>
      </c>
      <c r="F1157" s="8" t="s">
        <v>1248</v>
      </c>
      <c r="G1157" s="19">
        <f>_xlfn.XLOOKUP(Participantes[[#This Row],[Seminario al que asistió]],Seminarios[Seminario],Seminarios[Año])</f>
        <v>2025</v>
      </c>
    </row>
    <row r="1158" spans="1:7" x14ac:dyDescent="0.25">
      <c r="A1158" s="77" t="s">
        <v>1286</v>
      </c>
      <c r="B1158" s="3" t="s">
        <v>1279</v>
      </c>
      <c r="C1158" s="3" t="s">
        <v>218</v>
      </c>
      <c r="D1158" s="3" t="s">
        <v>48</v>
      </c>
      <c r="E1158" s="3" t="s">
        <v>1</v>
      </c>
      <c r="F1158" s="8" t="s">
        <v>1248</v>
      </c>
      <c r="G1158" s="19">
        <f>_xlfn.XLOOKUP(Participantes[[#This Row],[Seminario al que asistió]],Seminarios[Seminario],Seminarios[Año])</f>
        <v>2025</v>
      </c>
    </row>
    <row r="1159" spans="1:7" x14ac:dyDescent="0.25">
      <c r="A1159" s="77" t="s">
        <v>662</v>
      </c>
      <c r="B1159" t="s">
        <v>1279</v>
      </c>
      <c r="C1159" s="3" t="str">
        <f>_xlfn.XLOOKUP(Participantes[[#This Row],[Nombre]],$A278:$A1158,$C278:$C1158)</f>
        <v>M</v>
      </c>
      <c r="D1159" s="3" t="str">
        <f>_xlfn.XLOOKUP(Participantes[[#This Row],[Nombre]],$A278:$A1158,$D278:$D1158)</f>
        <v>External</v>
      </c>
      <c r="E1159" s="3" t="s">
        <v>1</v>
      </c>
      <c r="F1159" s="8" t="s">
        <v>1248</v>
      </c>
      <c r="G1159" s="19">
        <f>_xlfn.XLOOKUP(Participantes[[#This Row],[Seminario al que asistió]],Seminarios[Seminario],Seminarios[Año])</f>
        <v>2025</v>
      </c>
    </row>
    <row r="1160" spans="1:7" x14ac:dyDescent="0.25">
      <c r="A1160" s="19" t="s">
        <v>733</v>
      </c>
      <c r="B1160" s="3" t="s">
        <v>1281</v>
      </c>
      <c r="C1160" s="3" t="s">
        <v>218</v>
      </c>
      <c r="D1160" s="3" t="s">
        <v>48</v>
      </c>
      <c r="E1160" s="3" t="s">
        <v>1</v>
      </c>
      <c r="F1160" s="8" t="s">
        <v>1248</v>
      </c>
      <c r="G1160" s="3">
        <f>_xlfn.XLOOKUP(Participantes[[#This Row],[Seminario al que asistió]],Seminarios[Seminario],Seminarios[Año])</f>
        <v>2025</v>
      </c>
    </row>
    <row r="1161" spans="1:7" x14ac:dyDescent="0.25">
      <c r="A1161" s="19" t="s">
        <v>1300</v>
      </c>
      <c r="B1161" s="3" t="s">
        <v>1281</v>
      </c>
      <c r="C1161" s="3" t="s">
        <v>218</v>
      </c>
      <c r="D1161" s="3" t="s">
        <v>48</v>
      </c>
      <c r="E1161" s="3" t="s">
        <v>1</v>
      </c>
      <c r="F1161" s="8" t="s">
        <v>1248</v>
      </c>
      <c r="G1161" s="3">
        <f>_xlfn.XLOOKUP(Participantes[[#This Row],[Seminario al que asistió]],Seminarios[Seminario],Seminarios[Año])</f>
        <v>2025</v>
      </c>
    </row>
    <row r="1162" spans="1:7" ht="15.75" thickBot="1" x14ac:dyDescent="0.3">
      <c r="A1162" s="9" t="s">
        <v>167</v>
      </c>
      <c r="B1162" s="10" t="str">
        <f>_xlfn.XLOOKUP(Participantes[[#This Row],[Nombre]],$A279:$A1159,$B279:$B1159)</f>
        <v>cdavila@uniandes.edu.co</v>
      </c>
      <c r="C1162" s="10" t="str">
        <f>_xlfn.XLOOKUP(Participantes[[#This Row],[Nombre]],$A279:$A1159,$C279:$C1159)</f>
        <v>M</v>
      </c>
      <c r="D1162" s="10" t="str">
        <f>_xlfn.XLOOKUP(Participantes[[#This Row],[Nombre]],$A279:$A1159,$D279:$D1159)</f>
        <v>Professor</v>
      </c>
      <c r="E1162" s="10" t="s">
        <v>1</v>
      </c>
      <c r="F1162" s="11" t="s">
        <v>1248</v>
      </c>
      <c r="G1162" s="19">
        <f>_xlfn.XLOOKUP(Participantes[[#This Row],[Seminario al que asistió]],Seminarios[Seminario],Seminarios[Año])</f>
        <v>2025</v>
      </c>
    </row>
    <row r="1163" spans="1:7" x14ac:dyDescent="0.25">
      <c r="A1163" s="110" t="s">
        <v>558</v>
      </c>
      <c r="B1163" s="5" t="str">
        <f>_xlfn.XLOOKUP(Participantes[[#This Row],[Nombre]],$A280:$A1160,$B280:$B1160)</f>
        <v>f.reinosoc@uniandes.edu.co</v>
      </c>
      <c r="C1163" s="5" t="str">
        <f>_xlfn.XLOOKUP(Participantes[[#This Row],[Nombre]],$A280:$A1160,$C280:$C1160)</f>
        <v>M</v>
      </c>
      <c r="D1163" s="5" t="str">
        <f>_xlfn.XLOOKUP(Participantes[[#This Row],[Nombre]],$A280:$A1160,$D280:$D1160)</f>
        <v>Professor</v>
      </c>
      <c r="E1163" s="5" t="s">
        <v>5</v>
      </c>
      <c r="F1163" s="6" t="s">
        <v>1252</v>
      </c>
      <c r="G1163" s="19">
        <f>_xlfn.XLOOKUP(Participantes[[#This Row],[Seminario al que asistió]],Seminarios[Seminario],Seminarios[Año])</f>
        <v>2025</v>
      </c>
    </row>
    <row r="1164" spans="1:7" x14ac:dyDescent="0.25">
      <c r="A1164" s="111" t="s">
        <v>1264</v>
      </c>
      <c r="B1164" s="3" t="str">
        <f>_xlfn.XLOOKUP(Participantes[[#This Row],[Nombre]],$A281:$A1161,$B281:$B1161)</f>
        <v>sz.juan20@uniandes.edu.co</v>
      </c>
      <c r="C1164" s="3" t="str">
        <f>_xlfn.XLOOKUP(Participantes[[#This Row],[Nombre]],$A281:$A1161,$C281:$C1161)</f>
        <v>M</v>
      </c>
      <c r="D1164" s="3" t="str">
        <f>_xlfn.XLOOKUP(Participantes[[#This Row],[Nombre]],$A281:$A1161,$D281:$D1161)</f>
        <v>Professor</v>
      </c>
      <c r="E1164" s="3" t="s">
        <v>5</v>
      </c>
      <c r="F1164" s="8" t="s">
        <v>1252</v>
      </c>
      <c r="G1164" s="19">
        <f>_xlfn.XLOOKUP(Participantes[[#This Row],[Seminario al que asistió]],Seminarios[Seminario],Seminarios[Año])</f>
        <v>2025</v>
      </c>
    </row>
    <row r="1165" spans="1:7" x14ac:dyDescent="0.25">
      <c r="A1165" s="111" t="s">
        <v>879</v>
      </c>
      <c r="B1165" s="3" t="str">
        <f>_xlfn.XLOOKUP(Participantes[[#This Row],[Nombre]],$A282:$A1162,$B282:$B1162)</f>
        <v>r.taborda@uniandes.edu.co</v>
      </c>
      <c r="C1165" s="3" t="str">
        <f>_xlfn.XLOOKUP(Participantes[[#This Row],[Nombre]],$A282:$A1162,$C282:$C1162)</f>
        <v>M</v>
      </c>
      <c r="D1165" s="3" t="str">
        <f>_xlfn.XLOOKUP(Participantes[[#This Row],[Nombre]],$A282:$A1162,$D282:$D1162)</f>
        <v>Professor</v>
      </c>
      <c r="E1165" s="3" t="s">
        <v>5</v>
      </c>
      <c r="F1165" s="8" t="s">
        <v>1252</v>
      </c>
      <c r="G1165" s="19">
        <f>_xlfn.XLOOKUP(Participantes[[#This Row],[Seminario al que asistió]],Seminarios[Seminario],Seminarios[Año])</f>
        <v>2025</v>
      </c>
    </row>
    <row r="1166" spans="1:7" x14ac:dyDescent="0.25">
      <c r="A1166" s="111" t="s">
        <v>333</v>
      </c>
      <c r="B1166" s="3" t="str">
        <f>_xlfn.XLOOKUP(Participantes[[#This Row],[Nombre]],$A283:$A1163,$B283:$B1163)</f>
        <v>fa.ruiz58@uniandes.edu.co</v>
      </c>
      <c r="C1166" s="3" t="str">
        <f>_xlfn.XLOOKUP(Participantes[[#This Row],[Nombre]],$A283:$A1163,$C283:$C1163)</f>
        <v>M</v>
      </c>
      <c r="D1166" s="3" t="str">
        <f>_xlfn.XLOOKUP(Participantes[[#This Row],[Nombre]],$A283:$A1163,$D283:$D1163)</f>
        <v>Professor</v>
      </c>
      <c r="E1166" s="3" t="s">
        <v>5</v>
      </c>
      <c r="F1166" s="8" t="s">
        <v>1252</v>
      </c>
      <c r="G1166" s="19">
        <f>_xlfn.XLOOKUP(Participantes[[#This Row],[Seminario al que asistió]],Seminarios[Seminario],Seminarios[Año])</f>
        <v>2025</v>
      </c>
    </row>
    <row r="1167" spans="1:7" x14ac:dyDescent="0.25">
      <c r="A1167" s="111" t="s">
        <v>93</v>
      </c>
      <c r="B1167" s="3" t="str">
        <f>_xlfn.XLOOKUP(Participantes[[#This Row],[Nombre]],$A284:$A1164,$B284:$B1164)</f>
        <v>ea.boada63@uniandes.edu.co</v>
      </c>
      <c r="C1167" s="3" t="str">
        <f>_xlfn.XLOOKUP(Participantes[[#This Row],[Nombre]],$A284:$A1164,$C284:$C1164)</f>
        <v>M</v>
      </c>
      <c r="D1167" s="3" t="str">
        <f>_xlfn.XLOOKUP(Participantes[[#This Row],[Nombre]],$A284:$A1164,$D284:$D1164)</f>
        <v>Professor</v>
      </c>
      <c r="E1167" s="3" t="s">
        <v>5</v>
      </c>
      <c r="F1167" s="8" t="s">
        <v>1252</v>
      </c>
      <c r="G1167" s="19">
        <f>_xlfn.XLOOKUP(Participantes[[#This Row],[Seminario al que asistió]],Seminarios[Seminario],Seminarios[Año])</f>
        <v>2025</v>
      </c>
    </row>
    <row r="1168" spans="1:7" x14ac:dyDescent="0.25">
      <c r="A1168" s="111" t="s">
        <v>552</v>
      </c>
      <c r="B1168" s="3" t="str">
        <f>_xlfn.XLOOKUP(Participantes[[#This Row],[Nombre]],$A285:$A1165,$B285:$B1165)</f>
        <v>joospina@uniandes.edu.co</v>
      </c>
      <c r="C1168" s="3" t="str">
        <f>_xlfn.XLOOKUP(Participantes[[#This Row],[Nombre]],$A285:$A1165,$C285:$C1165)</f>
        <v>M</v>
      </c>
      <c r="D1168" s="3" t="str">
        <f>_xlfn.XLOOKUP(Participantes[[#This Row],[Nombre]],$A285:$A1165,$D285:$D1165)</f>
        <v>Professor</v>
      </c>
      <c r="E1168" s="3" t="s">
        <v>5</v>
      </c>
      <c r="F1168" s="8" t="s">
        <v>1252</v>
      </c>
      <c r="G1168" s="19">
        <f>_xlfn.XLOOKUP(Participantes[[#This Row],[Seminario al que asistió]],Seminarios[Seminario],Seminarios[Año])</f>
        <v>2025</v>
      </c>
    </row>
    <row r="1169" spans="1:7" x14ac:dyDescent="0.25">
      <c r="A1169" s="111" t="s">
        <v>293</v>
      </c>
      <c r="B1169" s="3" t="str">
        <f>_xlfn.XLOOKUP(Participantes[[#This Row],[Nombre]],$A286:$A1166,$B286:$B1166)</f>
        <v>andr-bar@uniandes.edu.co</v>
      </c>
      <c r="C1169" s="3" t="str">
        <f>_xlfn.XLOOKUP(Participantes[[#This Row],[Nombre]],$A286:$A1166,$C286:$C1166)</f>
        <v>M</v>
      </c>
      <c r="D1169" s="3" t="str">
        <f>_xlfn.XLOOKUP(Participantes[[#This Row],[Nombre]],$A286:$A1166,$D286:$D1166)</f>
        <v>Professor</v>
      </c>
      <c r="E1169" s="3" t="s">
        <v>5</v>
      </c>
      <c r="F1169" s="8" t="s">
        <v>1252</v>
      </c>
      <c r="G1169" s="19">
        <f>_xlfn.XLOOKUP(Participantes[[#This Row],[Seminario al que asistió]],Seminarios[Seminario],Seminarios[Año])</f>
        <v>2025</v>
      </c>
    </row>
    <row r="1170" spans="1:7" x14ac:dyDescent="0.25">
      <c r="A1170" s="111" t="s">
        <v>319</v>
      </c>
      <c r="B1170" s="3" t="str">
        <f>_xlfn.XLOOKUP(Participantes[[#This Row],[Nombre]],$A287:$A1167,$B287:$B1167)</f>
        <v>j.malagon@uniandes.edu.co</v>
      </c>
      <c r="C1170" s="3" t="str">
        <f>_xlfn.XLOOKUP(Participantes[[#This Row],[Nombre]],$A287:$A1167,$C287:$C1167)</f>
        <v>F</v>
      </c>
      <c r="D1170" s="3" t="str">
        <f>_xlfn.XLOOKUP(Participantes[[#This Row],[Nombre]],$A287:$A1167,$D287:$D1167)</f>
        <v>Professor</v>
      </c>
      <c r="E1170" s="3" t="s">
        <v>5</v>
      </c>
      <c r="F1170" s="8" t="s">
        <v>1252</v>
      </c>
      <c r="G1170" s="19">
        <f>_xlfn.XLOOKUP(Participantes[[#This Row],[Seminario al que asistió]],Seminarios[Seminario],Seminarios[Año])</f>
        <v>2025</v>
      </c>
    </row>
    <row r="1171" spans="1:7" x14ac:dyDescent="0.25">
      <c r="A1171" s="111" t="s">
        <v>556</v>
      </c>
      <c r="B1171" s="3" t="str">
        <f>_xlfn.XLOOKUP(Participantes[[#This Row],[Nombre]],$A288:$A1168,$B288:$B1168)</f>
        <v>o.naranjodelgiudice@uniandes.edu.co</v>
      </c>
      <c r="C1171" s="3" t="str">
        <f>_xlfn.XLOOKUP(Participantes[[#This Row],[Nombre]],$A288:$A1168,$C288:$C1168)</f>
        <v>M</v>
      </c>
      <c r="D1171" s="3" t="str">
        <f>_xlfn.XLOOKUP(Participantes[[#This Row],[Nombre]],$A288:$A1168,$D288:$D1168)</f>
        <v>Professor</v>
      </c>
      <c r="E1171" s="3" t="s">
        <v>5</v>
      </c>
      <c r="F1171" s="8" t="s">
        <v>1252</v>
      </c>
      <c r="G1171" s="19">
        <f>_xlfn.XLOOKUP(Participantes[[#This Row],[Seminario al que asistió]],Seminarios[Seminario],Seminarios[Año])</f>
        <v>2025</v>
      </c>
    </row>
    <row r="1172" spans="1:7" x14ac:dyDescent="0.25">
      <c r="A1172" s="111" t="s">
        <v>225</v>
      </c>
      <c r="B1172" s="3" t="str">
        <f>_xlfn.XLOOKUP(Participantes[[#This Row],[Nombre]],$A289:$A1169,$B289:$B1169)</f>
        <v>s.turner@uniandes.edu.co</v>
      </c>
      <c r="C1172" s="3" t="str">
        <f>_xlfn.XLOOKUP(Participantes[[#This Row],[Nombre]],$A289:$A1169,$C289:$C1169)</f>
        <v>M</v>
      </c>
      <c r="D1172" s="3" t="str">
        <f>_xlfn.XLOOKUP(Participantes[[#This Row],[Nombre]],$A289:$A1169,$D289:$D1169)</f>
        <v>Professor</v>
      </c>
      <c r="E1172" s="3" t="s">
        <v>5</v>
      </c>
      <c r="F1172" s="8" t="s">
        <v>1252</v>
      </c>
      <c r="G1172" s="19">
        <f>_xlfn.XLOOKUP(Participantes[[#This Row],[Seminario al que asistió]],Seminarios[Seminario],Seminarios[Año])</f>
        <v>2025</v>
      </c>
    </row>
    <row r="1173" spans="1:7" x14ac:dyDescent="0.25">
      <c r="A1173" s="111" t="s">
        <v>310</v>
      </c>
      <c r="B1173" s="3" t="str">
        <f>_xlfn.XLOOKUP(Participantes[[#This Row],[Nombre]],$A290:$A1170,$B290:$B1170)</f>
        <v>maxgonza@uniandes.edu.co</v>
      </c>
      <c r="C1173" s="3" t="str">
        <f>_xlfn.XLOOKUP(Participantes[[#This Row],[Nombre]],$A290:$A1170,$C290:$C1170)</f>
        <v>M</v>
      </c>
      <c r="D1173" s="3" t="str">
        <f>_xlfn.XLOOKUP(Participantes[[#This Row],[Nombre]],$A290:$A1170,$D290:$D1170)</f>
        <v>Professor</v>
      </c>
      <c r="E1173" s="3" t="s">
        <v>5</v>
      </c>
      <c r="F1173" s="8" t="s">
        <v>1252</v>
      </c>
      <c r="G1173" s="19">
        <f>_xlfn.XLOOKUP(Participantes[[#This Row],[Seminario al que asistió]],Seminarios[Seminario],Seminarios[Año])</f>
        <v>2025</v>
      </c>
    </row>
    <row r="1174" spans="1:7" x14ac:dyDescent="0.25">
      <c r="A1174" s="111" t="s">
        <v>89</v>
      </c>
      <c r="B1174" s="3" t="str">
        <f>_xlfn.XLOOKUP(Participantes[[#This Row],[Nombre]],$A291:$A1171,$B291:$B1171)</f>
        <v>c.rojasl@uniandes.edu.co</v>
      </c>
      <c r="C1174" s="3" t="str">
        <f>_xlfn.XLOOKUP(Participantes[[#This Row],[Nombre]],$A291:$A1171,$C291:$C1171)</f>
        <v>M</v>
      </c>
      <c r="D1174" s="3" t="str">
        <f>_xlfn.XLOOKUP(Participantes[[#This Row],[Nombre]],$A291:$A1171,$D291:$D1171)</f>
        <v>External</v>
      </c>
      <c r="E1174" s="3" t="s">
        <v>5</v>
      </c>
      <c r="F1174" s="8" t="s">
        <v>1252</v>
      </c>
      <c r="G1174" s="19">
        <f>_xlfn.XLOOKUP(Participantes[[#This Row],[Seminario al que asistió]],Seminarios[Seminario],Seminarios[Año])</f>
        <v>2025</v>
      </c>
    </row>
    <row r="1175" spans="1:7" x14ac:dyDescent="0.25">
      <c r="A1175" s="111" t="s">
        <v>829</v>
      </c>
      <c r="B1175" s="3" t="str">
        <f>_xlfn.XLOOKUP(Participantes[[#This Row],[Nombre]],$A292:$A1172,$B292:$B1172)</f>
        <v>id.sanchez41@uniandes.edu.co</v>
      </c>
      <c r="C1175" s="3" t="str">
        <f>_xlfn.XLOOKUP(Participantes[[#This Row],[Nombre]],$A292:$A1172,$C292:$C1172)</f>
        <v>M</v>
      </c>
      <c r="D1175" s="3" t="str">
        <f>_xlfn.XLOOKUP(Participantes[[#This Row],[Nombre]],$A292:$A1172,$D292:$D1172)</f>
        <v>Professor</v>
      </c>
      <c r="E1175" s="3" t="s">
        <v>5</v>
      </c>
      <c r="F1175" s="8" t="s">
        <v>1252</v>
      </c>
      <c r="G1175" s="19">
        <f>_xlfn.XLOOKUP(Participantes[[#This Row],[Seminario al que asistió]],Seminarios[Seminario],Seminarios[Año])</f>
        <v>2025</v>
      </c>
    </row>
    <row r="1176" spans="1:7" x14ac:dyDescent="0.25">
      <c r="A1176" s="111" t="s">
        <v>291</v>
      </c>
      <c r="B1176" s="3" t="str">
        <f>_xlfn.XLOOKUP(Participantes[[#This Row],[Nombre]],$A293:$A1173,$B293:$B1173)</f>
        <v>so-camac@uniandes.edu.co</v>
      </c>
      <c r="C1176" s="3" t="str">
        <f>_xlfn.XLOOKUP(Participantes[[#This Row],[Nombre]],$A293:$A1173,$C293:$C1173)</f>
        <v>F</v>
      </c>
      <c r="D1176" s="3" t="str">
        <f>_xlfn.XLOOKUP(Participantes[[#This Row],[Nombre]],$A293:$A1173,$D293:$D1173)</f>
        <v>Professor</v>
      </c>
      <c r="E1176" s="3" t="s">
        <v>5</v>
      </c>
      <c r="F1176" s="8" t="s">
        <v>1252</v>
      </c>
      <c r="G1176" s="19">
        <f>_xlfn.XLOOKUP(Participantes[[#This Row],[Seminario al que asistió]],Seminarios[Seminario],Seminarios[Año])</f>
        <v>2025</v>
      </c>
    </row>
    <row r="1177" spans="1:7" x14ac:dyDescent="0.25">
      <c r="A1177" s="111" t="s">
        <v>165</v>
      </c>
      <c r="B1177" s="3" t="str">
        <f>_xlfn.XLOOKUP(Participantes[[#This Row],[Nombre]],$A294:$A1174,$B294:$B1174)</f>
        <v>lg.galan92@uniandes.edu.co</v>
      </c>
      <c r="C1177" s="3" t="str">
        <f>_xlfn.XLOOKUP(Participantes[[#This Row],[Nombre]],$A294:$A1174,$C294:$C1174)</f>
        <v>M</v>
      </c>
      <c r="D1177" s="3" t="str">
        <f>_xlfn.XLOOKUP(Participantes[[#This Row],[Nombre]],$A294:$A1174,$D294:$D1174)</f>
        <v>Professor</v>
      </c>
      <c r="E1177" s="3" t="s">
        <v>5</v>
      </c>
      <c r="F1177" s="8" t="s">
        <v>1252</v>
      </c>
      <c r="G1177" s="19">
        <f>_xlfn.XLOOKUP(Participantes[[#This Row],[Seminario al que asistió]],Seminarios[Seminario],Seminarios[Año])</f>
        <v>2025</v>
      </c>
    </row>
    <row r="1178" spans="1:7" ht="15.75" thickBot="1" x14ac:dyDescent="0.3">
      <c r="A1178" s="112" t="s">
        <v>176</v>
      </c>
      <c r="B1178" s="10" t="str">
        <f>_xlfn.XLOOKUP(Participantes[[#This Row],[Nombre]],$A295:$A1175,$B295:$B1175)</f>
        <v>x.rueda@uniandes.edu.co</v>
      </c>
      <c r="C1178" s="10" t="str">
        <f>_xlfn.XLOOKUP(Participantes[[#This Row],[Nombre]],$A295:$A1175,$C295:$C1175)</f>
        <v>F</v>
      </c>
      <c r="D1178" s="10" t="str">
        <f>_xlfn.XLOOKUP(Participantes[[#This Row],[Nombre]],$A295:$A1175,$D295:$D1175)</f>
        <v>Professor</v>
      </c>
      <c r="E1178" s="10" t="s">
        <v>5</v>
      </c>
      <c r="F1178" s="11" t="s">
        <v>1252</v>
      </c>
      <c r="G1178" s="21">
        <f>_xlfn.XLOOKUP(Participantes[[#This Row],[Seminario al que asistió]],Seminarios[Seminario],Seminarios[Año])</f>
        <v>2025</v>
      </c>
    </row>
    <row r="1179" spans="1:7" x14ac:dyDescent="0.25">
      <c r="A1179" s="4" t="s">
        <v>833</v>
      </c>
      <c r="B1179" s="5" t="str">
        <f>_xlfn.XLOOKUP(Participantes[[#This Row],[Nombre]],$A296:$A1176,$B296:$B1176)</f>
        <v>c.chauhan@uniandes.edu.co</v>
      </c>
      <c r="C1179" s="5" t="str">
        <f>_xlfn.XLOOKUP(Participantes[[#This Row],[Nombre]],$A296:$A1176,$C296:$C1176)</f>
        <v>F</v>
      </c>
      <c r="D1179" s="5" t="str">
        <f>_xlfn.XLOOKUP(Participantes[[#This Row],[Nombre]],$A296:$A1176,$D296:$D1176)</f>
        <v>Professor</v>
      </c>
      <c r="E1179" s="5" t="s">
        <v>5</v>
      </c>
      <c r="F1179" s="6" t="s">
        <v>1253</v>
      </c>
      <c r="G1179" s="19">
        <f>_xlfn.XLOOKUP(Participantes[[#This Row],[Seminario al que asistió]],Seminarios[Seminario],Seminarios[Año])</f>
        <v>2025</v>
      </c>
    </row>
    <row r="1180" spans="1:7" x14ac:dyDescent="0.25">
      <c r="A1180" s="7" t="s">
        <v>889</v>
      </c>
      <c r="B1180" s="3" t="str">
        <f>_xlfn.XLOOKUP(Participantes[[#This Row],[Nombre]],$A297:$A1177,$B297:$B1177)</f>
        <v>ea.terhorst@uniandes.edu.co</v>
      </c>
      <c r="C1180" s="3" t="str">
        <f>_xlfn.XLOOKUP(Participantes[[#This Row],[Nombre]],$A297:$A1177,$C297:$C1177)</f>
        <v>M</v>
      </c>
      <c r="D1180" s="3" t="str">
        <f>_xlfn.XLOOKUP(Participantes[[#This Row],[Nombre]],$A297:$A1177,$D297:$D1177)</f>
        <v>Professor</v>
      </c>
      <c r="E1180" s="3" t="s">
        <v>5</v>
      </c>
      <c r="F1180" s="8" t="s">
        <v>1253</v>
      </c>
      <c r="G1180" s="19">
        <f>_xlfn.XLOOKUP(Participantes[[#This Row],[Seminario al que asistió]],Seminarios[Seminario],Seminarios[Año])</f>
        <v>2025</v>
      </c>
    </row>
    <row r="1181" spans="1:7" x14ac:dyDescent="0.25">
      <c r="A1181" s="7" t="s">
        <v>229</v>
      </c>
      <c r="B1181" s="3" t="str">
        <f>_xlfn.XLOOKUP(Participantes[[#This Row],[Nombre]],$A298:$A1178,$B298:$B1178)</f>
        <v>id.sanchez41@uniandes.edu.co</v>
      </c>
      <c r="C1181" s="3" t="str">
        <f>_xlfn.XLOOKUP(Participantes[[#This Row],[Nombre]],$A298:$A1178,$C298:$C1178)</f>
        <v>M</v>
      </c>
      <c r="D1181" s="3" t="str">
        <f>_xlfn.XLOOKUP(Participantes[[#This Row],[Nombre]],$A298:$A1178,$D298:$D1178)</f>
        <v>Professor</v>
      </c>
      <c r="E1181" s="3" t="s">
        <v>5</v>
      </c>
      <c r="F1181" s="8" t="s">
        <v>1253</v>
      </c>
      <c r="G1181" s="19">
        <f>_xlfn.XLOOKUP(Participantes[[#This Row],[Seminario al que asistió]],Seminarios[Seminario],Seminarios[Año])</f>
        <v>2025</v>
      </c>
    </row>
    <row r="1182" spans="1:7" x14ac:dyDescent="0.25">
      <c r="A1182" s="7" t="s">
        <v>1264</v>
      </c>
      <c r="B1182" s="3" t="str">
        <f>_xlfn.XLOOKUP(Participantes[[#This Row],[Nombre]],$A299:$A1179,$B299:$B1179)</f>
        <v>sz.juan20@uniandes.edu.co</v>
      </c>
      <c r="C1182" s="3" t="str">
        <f>_xlfn.XLOOKUP(Participantes[[#This Row],[Nombre]],$A299:$A1179,$C299:$C1179)</f>
        <v>M</v>
      </c>
      <c r="D1182" s="3" t="str">
        <f>_xlfn.XLOOKUP(Participantes[[#This Row],[Nombre]],$A299:$A1179,$D299:$D1179)</f>
        <v>Professor</v>
      </c>
      <c r="E1182" s="3" t="s">
        <v>5</v>
      </c>
      <c r="F1182" s="8" t="s">
        <v>1253</v>
      </c>
      <c r="G1182" s="19">
        <f>_xlfn.XLOOKUP(Participantes[[#This Row],[Seminario al que asistió]],Seminarios[Seminario],Seminarios[Año])</f>
        <v>2025</v>
      </c>
    </row>
    <row r="1183" spans="1:7" x14ac:dyDescent="0.25">
      <c r="A1183" s="7" t="s">
        <v>319</v>
      </c>
      <c r="B1183" s="3" t="str">
        <f>_xlfn.XLOOKUP(Participantes[[#This Row],[Nombre]],$A300:$A1180,$B300:$B1180)</f>
        <v>j.malagon@uniandes.edu.co</v>
      </c>
      <c r="C1183" s="3" t="str">
        <f>_xlfn.XLOOKUP(Participantes[[#This Row],[Nombre]],$A300:$A1180,$C300:$C1180)</f>
        <v>F</v>
      </c>
      <c r="D1183" s="3" t="str">
        <f>_xlfn.XLOOKUP(Participantes[[#This Row],[Nombre]],$A300:$A1180,$D300:$D1180)</f>
        <v>Professor</v>
      </c>
      <c r="E1183" s="3" t="s">
        <v>5</v>
      </c>
      <c r="F1183" s="8" t="s">
        <v>1253</v>
      </c>
      <c r="G1183" s="19">
        <f>_xlfn.XLOOKUP(Participantes[[#This Row],[Seminario al que asistió]],Seminarios[Seminario],Seminarios[Año])</f>
        <v>2025</v>
      </c>
    </row>
    <row r="1184" spans="1:7" x14ac:dyDescent="0.25">
      <c r="A1184" s="7" t="s">
        <v>501</v>
      </c>
      <c r="B1184" s="3" t="str">
        <f>_xlfn.XLOOKUP(Participantes[[#This Row],[Nombre]],$A301:$A1181,$B301:$B1181)</f>
        <v>ml.rivera@uniandes.edu.co</v>
      </c>
      <c r="C1184" s="3" t="str">
        <f>_xlfn.XLOOKUP(Participantes[[#This Row],[Nombre]],$A301:$A1181,$C301:$C1181)</f>
        <v>F</v>
      </c>
      <c r="D1184" s="3" t="str">
        <f>_xlfn.XLOOKUP(Participantes[[#This Row],[Nombre]],$A301:$A1181,$D301:$D1181)</f>
        <v>Professor</v>
      </c>
      <c r="E1184" s="3" t="s">
        <v>5</v>
      </c>
      <c r="F1184" s="8" t="s">
        <v>1253</v>
      </c>
      <c r="G1184" s="19">
        <f>_xlfn.XLOOKUP(Participantes[[#This Row],[Seminario al que asistió]],Seminarios[Seminario],Seminarios[Año])</f>
        <v>2025</v>
      </c>
    </row>
    <row r="1185" spans="1:7" x14ac:dyDescent="0.25">
      <c r="A1185" s="7" t="s">
        <v>920</v>
      </c>
      <c r="B1185" s="3" t="str">
        <f>_xlfn.XLOOKUP(Participantes[[#This Row],[Nombre]],$A302:$A1182,$B302:$B1182)</f>
        <v>mthiell@uniandes.edu.co</v>
      </c>
      <c r="C1185" s="3" t="str">
        <f>_xlfn.XLOOKUP(Participantes[[#This Row],[Nombre]],$A302:$A1182,$C302:$C1182)</f>
        <v>M</v>
      </c>
      <c r="D1185" s="3" t="str">
        <f>_xlfn.XLOOKUP(Participantes[[#This Row],[Nombre]],$A302:$A1182,$D302:$D1182)</f>
        <v>Professor</v>
      </c>
      <c r="E1185" s="3" t="s">
        <v>5</v>
      </c>
      <c r="F1185" s="8" t="s">
        <v>1253</v>
      </c>
      <c r="G1185" s="19">
        <f>_xlfn.XLOOKUP(Participantes[[#This Row],[Seminario al que asistió]],Seminarios[Seminario],Seminarios[Año])</f>
        <v>2025</v>
      </c>
    </row>
    <row r="1186" spans="1:7" x14ac:dyDescent="0.25">
      <c r="A1186" s="7" t="s">
        <v>831</v>
      </c>
      <c r="B1186" s="3" t="str">
        <f>_xlfn.XLOOKUP(Participantes[[#This Row],[Nombre]],$A303:$A1183,$B303:$B1183)</f>
        <v>mx.hincapie24@uniandes.edu.co</v>
      </c>
      <c r="C1186" s="3" t="str">
        <f>_xlfn.XLOOKUP(Participantes[[#This Row],[Nombre]],$A303:$A1183,$C303:$C1183)</f>
        <v>F</v>
      </c>
      <c r="D1186" s="3" t="str">
        <f>_xlfn.XLOOKUP(Participantes[[#This Row],[Nombre]],$A303:$A1183,$D303:$D1183)</f>
        <v>Professor</v>
      </c>
      <c r="E1186" s="3" t="s">
        <v>5</v>
      </c>
      <c r="F1186" s="8" t="s">
        <v>1253</v>
      </c>
      <c r="G1186" s="19">
        <f>_xlfn.XLOOKUP(Participantes[[#This Row],[Seminario al que asistió]],Seminarios[Seminario],Seminarios[Año])</f>
        <v>2025</v>
      </c>
    </row>
    <row r="1187" spans="1:7" x14ac:dyDescent="0.25">
      <c r="A1187" s="7" t="s">
        <v>676</v>
      </c>
      <c r="B1187" s="3" t="str">
        <f>_xlfn.XLOOKUP(Participantes[[#This Row],[Nombre]],$A304:$A1184,$B304:$B1184)</f>
        <v>ma.martinezc1@uniandes.edu.co</v>
      </c>
      <c r="C1187" s="3" t="str">
        <f>_xlfn.XLOOKUP(Participantes[[#This Row],[Nombre]],$A304:$A1184,$C304:$C1184)</f>
        <v>M</v>
      </c>
      <c r="D1187" s="3" t="str">
        <f>_xlfn.XLOOKUP(Participantes[[#This Row],[Nombre]],$A304:$A1184,$D304:$D1184)</f>
        <v>Professor</v>
      </c>
      <c r="E1187" s="3" t="s">
        <v>5</v>
      </c>
      <c r="F1187" s="8" t="s">
        <v>1253</v>
      </c>
      <c r="G1187" s="19">
        <f>_xlfn.XLOOKUP(Participantes[[#This Row],[Seminario al que asistió]],Seminarios[Seminario],Seminarios[Año])</f>
        <v>2025</v>
      </c>
    </row>
    <row r="1188" spans="1:7" x14ac:dyDescent="0.25">
      <c r="A1188" s="7" t="s">
        <v>234</v>
      </c>
      <c r="B1188" s="3" t="str">
        <f>_xlfn.XLOOKUP(Participantes[[#This Row],[Nombre]],$A305:$A1185,$B305:$B1185)</f>
        <v>d.higa@uniandes.edu.co</v>
      </c>
      <c r="C1188" s="3" t="str">
        <f>_xlfn.XLOOKUP(Participantes[[#This Row],[Nombre]],$A305:$A1185,$C305:$C1185)</f>
        <v>M</v>
      </c>
      <c r="D1188" s="3" t="str">
        <f>_xlfn.XLOOKUP(Participantes[[#This Row],[Nombre]],$A305:$A1185,$D305:$D1185)</f>
        <v>Professor</v>
      </c>
      <c r="E1188" s="3" t="s">
        <v>5</v>
      </c>
      <c r="F1188" s="8" t="s">
        <v>1253</v>
      </c>
      <c r="G1188" s="19">
        <f>_xlfn.XLOOKUP(Participantes[[#This Row],[Seminario al que asistió]],Seminarios[Seminario],Seminarios[Año])</f>
        <v>2025</v>
      </c>
    </row>
    <row r="1189" spans="1:7" x14ac:dyDescent="0.25">
      <c r="A1189" s="7" t="s">
        <v>280</v>
      </c>
      <c r="B1189" s="3" t="str">
        <f>_xlfn.XLOOKUP(Participantes[[#This Row],[Nombre]],$A306:$A1186,$B306:$B1186)</f>
        <v>nvelasco@uniandes.edu.co</v>
      </c>
      <c r="C1189" s="3" t="str">
        <f>_xlfn.XLOOKUP(Participantes[[#This Row],[Nombre]],$A306:$A1186,$C306:$C1186)</f>
        <v>F</v>
      </c>
      <c r="D1189" s="3" t="str">
        <f>_xlfn.XLOOKUP(Participantes[[#This Row],[Nombre]],$A306:$A1186,$D306:$D1186)</f>
        <v>Professor</v>
      </c>
      <c r="E1189" s="3" t="s">
        <v>5</v>
      </c>
      <c r="F1189" s="8" t="s">
        <v>1253</v>
      </c>
      <c r="G1189" s="19">
        <f>_xlfn.XLOOKUP(Participantes[[#This Row],[Seminario al que asistió]],Seminarios[Seminario],Seminarios[Año])</f>
        <v>2025</v>
      </c>
    </row>
    <row r="1190" spans="1:7" x14ac:dyDescent="0.25">
      <c r="A1190" s="7" t="s">
        <v>285</v>
      </c>
      <c r="B1190" s="3" t="str">
        <f>_xlfn.XLOOKUP(Participantes[[#This Row],[Nombre]],$A307:$A1187,$B307:$B1187)</f>
        <v>ro-britt@uniandes.edu.co</v>
      </c>
      <c r="C1190" s="3" t="str">
        <f>_xlfn.XLOOKUP(Participantes[[#This Row],[Nombre]],$A307:$A1187,$C307:$C1187)</f>
        <v>M</v>
      </c>
      <c r="D1190" s="3" t="str">
        <f>_xlfn.XLOOKUP(Participantes[[#This Row],[Nombre]],$A307:$A1187,$D307:$D1187)</f>
        <v>Professor</v>
      </c>
      <c r="E1190" s="3" t="s">
        <v>5</v>
      </c>
      <c r="F1190" s="8" t="s">
        <v>1253</v>
      </c>
      <c r="G1190" s="19">
        <f>_xlfn.XLOOKUP(Participantes[[#This Row],[Seminario al que asistió]],Seminarios[Seminario],Seminarios[Año])</f>
        <v>2025</v>
      </c>
    </row>
    <row r="1191" spans="1:7" x14ac:dyDescent="0.25">
      <c r="A1191" s="7" t="s">
        <v>879</v>
      </c>
      <c r="B1191" s="3" t="str">
        <f>_xlfn.XLOOKUP(Participantes[[#This Row],[Nombre]],$A308:$A1188,$B308:$B1188)</f>
        <v>r.taborda@uniandes.edu.co</v>
      </c>
      <c r="C1191" s="3" t="str">
        <f>_xlfn.XLOOKUP(Participantes[[#This Row],[Nombre]],$A308:$A1188,$C308:$C1188)</f>
        <v>M</v>
      </c>
      <c r="D1191" s="3" t="str">
        <f>_xlfn.XLOOKUP(Participantes[[#This Row],[Nombre]],$A308:$A1188,$D308:$D1188)</f>
        <v>Professor</v>
      </c>
      <c r="E1191" s="3" t="s">
        <v>5</v>
      </c>
      <c r="F1191" s="8" t="s">
        <v>1253</v>
      </c>
      <c r="G1191" s="19">
        <f>_xlfn.XLOOKUP(Participantes[[#This Row],[Seminario al que asistió]],Seminarios[Seminario],Seminarios[Año])</f>
        <v>2025</v>
      </c>
    </row>
    <row r="1192" spans="1:7" x14ac:dyDescent="0.25">
      <c r="A1192" s="7" t="s">
        <v>227</v>
      </c>
      <c r="B1192" s="3" t="str">
        <f>_xlfn.XLOOKUP(Participantes[[#This Row],[Nombre]],$A309:$A1189,$B309:$B1189)</f>
        <v>sl.schorch@uniandes.edu.co</v>
      </c>
      <c r="C1192" s="3" t="str">
        <f>_xlfn.XLOOKUP(Participantes[[#This Row],[Nombre]],$A309:$A1189,$C309:$C1189)</f>
        <v>M</v>
      </c>
      <c r="D1192" s="3" t="str">
        <f>_xlfn.XLOOKUP(Participantes[[#This Row],[Nombre]],$A309:$A1189,$D309:$D1189)</f>
        <v>Professor</v>
      </c>
      <c r="E1192" s="3" t="s">
        <v>5</v>
      </c>
      <c r="F1192" s="8" t="s">
        <v>1253</v>
      </c>
      <c r="G1192" s="19">
        <f>_xlfn.XLOOKUP(Participantes[[#This Row],[Seminario al que asistió]],Seminarios[Seminario],Seminarios[Año])</f>
        <v>2025</v>
      </c>
    </row>
    <row r="1193" spans="1:7" x14ac:dyDescent="0.25">
      <c r="A1193" s="7" t="s">
        <v>225</v>
      </c>
      <c r="B1193" s="3" t="str">
        <f>_xlfn.XLOOKUP(Participantes[[#This Row],[Nombre]],$A310:$A1190,$B310:$B1190)</f>
        <v>s.turner@uniandes.edu.co</v>
      </c>
      <c r="C1193" s="3" t="str">
        <f>_xlfn.XLOOKUP(Participantes[[#This Row],[Nombre]],$A310:$A1190,$C310:$C1190)</f>
        <v>M</v>
      </c>
      <c r="D1193" s="3" t="str">
        <f>_xlfn.XLOOKUP(Participantes[[#This Row],[Nombre]],$A310:$A1190,$D310:$D1190)</f>
        <v>Professor</v>
      </c>
      <c r="E1193" s="3" t="s">
        <v>5</v>
      </c>
      <c r="F1193" s="8" t="s">
        <v>1253</v>
      </c>
      <c r="G1193" s="19">
        <f>_xlfn.XLOOKUP(Participantes[[#This Row],[Seminario al que asistió]],Seminarios[Seminario],Seminarios[Año])</f>
        <v>2025</v>
      </c>
    </row>
    <row r="1194" spans="1:7" x14ac:dyDescent="0.25">
      <c r="A1194" s="7" t="s">
        <v>291</v>
      </c>
      <c r="B1194" s="3" t="str">
        <f>_xlfn.XLOOKUP(Participantes[[#This Row],[Nombre]],$A311:$A1191,$B311:$B1191)</f>
        <v>so-camac@uniandes.edu.co</v>
      </c>
      <c r="C1194" s="3" t="str">
        <f>_xlfn.XLOOKUP(Participantes[[#This Row],[Nombre]],$A311:$A1191,$C311:$C1191)</f>
        <v>F</v>
      </c>
      <c r="D1194" s="3" t="str">
        <f>_xlfn.XLOOKUP(Participantes[[#This Row],[Nombre]],$A311:$A1191,$D311:$D1191)</f>
        <v>Professor</v>
      </c>
      <c r="E1194" s="3" t="s">
        <v>5</v>
      </c>
      <c r="F1194" s="8" t="s">
        <v>1253</v>
      </c>
      <c r="G1194" s="19">
        <f>_xlfn.XLOOKUP(Participantes[[#This Row],[Seminario al que asistió]],Seminarios[Seminario],Seminarios[Año])</f>
        <v>2025</v>
      </c>
    </row>
    <row r="1195" spans="1:7" ht="15.75" thickBot="1" x14ac:dyDescent="0.3">
      <c r="A1195" s="9" t="s">
        <v>176</v>
      </c>
      <c r="B1195" s="10" t="str">
        <f>_xlfn.XLOOKUP(Participantes[[#This Row],[Nombre]],$A312:$A1192,$B312:$B1192)</f>
        <v>x.rueda@uniandes.edu.co</v>
      </c>
      <c r="C1195" s="10" t="str">
        <f>_xlfn.XLOOKUP(Participantes[[#This Row],[Nombre]],$A312:$A1192,$C312:$C1192)</f>
        <v>F</v>
      </c>
      <c r="D1195" s="10" t="str">
        <f>_xlfn.XLOOKUP(Participantes[[#This Row],[Nombre]],$A312:$A1192,$D312:$D1192)</f>
        <v>Professor</v>
      </c>
      <c r="E1195" s="10" t="s">
        <v>5</v>
      </c>
      <c r="F1195" s="11" t="s">
        <v>1253</v>
      </c>
      <c r="G1195" s="21">
        <f>_xlfn.XLOOKUP(Participantes[[#This Row],[Seminario al que asistió]],Seminarios[Seminario],Seminarios[Año])</f>
        <v>2025</v>
      </c>
    </row>
    <row r="1196" spans="1:7" x14ac:dyDescent="0.25">
      <c r="A1196" s="110" t="s">
        <v>253</v>
      </c>
      <c r="B1196" s="5" t="str">
        <f>_xlfn.XLOOKUP(Participantes[[#This Row],[Nombre]],$A313:$A1193,$B313:$B1193)</f>
        <v>g.triulzi@uniandes.edu.co</v>
      </c>
      <c r="C1196" s="5" t="str">
        <f>_xlfn.XLOOKUP(Participantes[[#This Row],[Nombre]],$A313:$A1193,$C313:$C1193)</f>
        <v>M</v>
      </c>
      <c r="D1196" s="5" t="str">
        <f>_xlfn.XLOOKUP(Participantes[[#This Row],[Nombre]],$A313:$A1193,$D313:$D1193)</f>
        <v>Professor</v>
      </c>
      <c r="E1196" s="5" t="s">
        <v>5</v>
      </c>
      <c r="F1196" s="6" t="s">
        <v>1254</v>
      </c>
      <c r="G1196" s="19">
        <f>_xlfn.XLOOKUP(Participantes[[#This Row],[Seminario al que asistió]],Seminarios[Seminario],Seminarios[Año])</f>
        <v>2025</v>
      </c>
    </row>
    <row r="1197" spans="1:7" x14ac:dyDescent="0.25">
      <c r="A1197" s="111" t="s">
        <v>310</v>
      </c>
      <c r="B1197" s="3" t="str">
        <f>_xlfn.XLOOKUP(Participantes[[#This Row],[Nombre]],$A314:$A1194,$B314:$B1194)</f>
        <v>maxgonza@uniandes.edu.co</v>
      </c>
      <c r="C1197" s="3" t="str">
        <f>_xlfn.XLOOKUP(Participantes[[#This Row],[Nombre]],$A314:$A1194,$C314:$C1194)</f>
        <v>M</v>
      </c>
      <c r="D1197" s="3" t="str">
        <f>_xlfn.XLOOKUP(Participantes[[#This Row],[Nombre]],$A314:$A1194,$D314:$D1194)</f>
        <v>Professor</v>
      </c>
      <c r="E1197" s="3" t="s">
        <v>5</v>
      </c>
      <c r="F1197" s="8" t="s">
        <v>1254</v>
      </c>
      <c r="G1197" s="19">
        <f>_xlfn.XLOOKUP(Participantes[[#This Row],[Seminario al que asistió]],Seminarios[Seminario],Seminarios[Año])</f>
        <v>2025</v>
      </c>
    </row>
    <row r="1198" spans="1:7" x14ac:dyDescent="0.25">
      <c r="A1198" s="111" t="s">
        <v>1264</v>
      </c>
      <c r="B1198" s="3" t="str">
        <f>_xlfn.XLOOKUP(Participantes[[#This Row],[Nombre]],$A315:$A1195,$B315:$B1195)</f>
        <v>sz.juan20@uniandes.edu.co</v>
      </c>
      <c r="C1198" s="3" t="str">
        <f>_xlfn.XLOOKUP(Participantes[[#This Row],[Nombre]],$A315:$A1195,$C315:$C1195)</f>
        <v>M</v>
      </c>
      <c r="D1198" s="3" t="str">
        <f>_xlfn.XLOOKUP(Participantes[[#This Row],[Nombre]],$A315:$A1195,$D315:$D1195)</f>
        <v>Professor</v>
      </c>
      <c r="E1198" s="3" t="s">
        <v>5</v>
      </c>
      <c r="F1198" s="8" t="s">
        <v>1254</v>
      </c>
      <c r="G1198" s="19">
        <f>_xlfn.XLOOKUP(Participantes[[#This Row],[Seminario al que asistió]],Seminarios[Seminario],Seminarios[Año])</f>
        <v>2025</v>
      </c>
    </row>
    <row r="1199" spans="1:7" x14ac:dyDescent="0.25">
      <c r="A1199" s="111" t="s">
        <v>501</v>
      </c>
      <c r="B1199" s="3" t="str">
        <f>_xlfn.XLOOKUP(Participantes[[#This Row],[Nombre]],$A316:$A1196,$B316:$B1196)</f>
        <v>ml.rivera@uniandes.edu.co</v>
      </c>
      <c r="C1199" s="3" t="str">
        <f>_xlfn.XLOOKUP(Participantes[[#This Row],[Nombre]],$A316:$A1196,$C316:$C1196)</f>
        <v>F</v>
      </c>
      <c r="D1199" s="3" t="str">
        <f>_xlfn.XLOOKUP(Participantes[[#This Row],[Nombre]],$A316:$A1196,$D316:$D1196)</f>
        <v>Professor</v>
      </c>
      <c r="E1199" s="3" t="s">
        <v>5</v>
      </c>
      <c r="F1199" s="8" t="s">
        <v>1254</v>
      </c>
      <c r="G1199" s="19">
        <f>_xlfn.XLOOKUP(Participantes[[#This Row],[Seminario al que asistió]],Seminarios[Seminario],Seminarios[Año])</f>
        <v>2025</v>
      </c>
    </row>
    <row r="1200" spans="1:7" x14ac:dyDescent="0.25">
      <c r="A1200" s="111" t="s">
        <v>920</v>
      </c>
      <c r="B1200" s="3" t="str">
        <f>_xlfn.XLOOKUP(Participantes[[#This Row],[Nombre]],$A317:$A1197,$B317:$B1197)</f>
        <v>mthiell@uniandes.edu.co</v>
      </c>
      <c r="C1200" s="3" t="str">
        <f>_xlfn.XLOOKUP(Participantes[[#This Row],[Nombre]],$A317:$A1197,$C317:$C1197)</f>
        <v>M</v>
      </c>
      <c r="D1200" s="3" t="str">
        <f>_xlfn.XLOOKUP(Participantes[[#This Row],[Nombre]],$A317:$A1197,$D317:$D1197)</f>
        <v>Professor</v>
      </c>
      <c r="E1200" s="3" t="s">
        <v>5</v>
      </c>
      <c r="F1200" s="8" t="s">
        <v>1254</v>
      </c>
      <c r="G1200" s="19">
        <f>_xlfn.XLOOKUP(Participantes[[#This Row],[Seminario al que asistió]],Seminarios[Seminario],Seminarios[Año])</f>
        <v>2025</v>
      </c>
    </row>
    <row r="1201" spans="1:7" x14ac:dyDescent="0.25">
      <c r="A1201" s="111" t="s">
        <v>831</v>
      </c>
      <c r="B1201" s="3" t="str">
        <f>_xlfn.XLOOKUP(Participantes[[#This Row],[Nombre]],$A318:$A1198,$B318:$B1198)</f>
        <v>mx.hincapie24@uniandes.edu.co</v>
      </c>
      <c r="C1201" s="3" t="str">
        <f>_xlfn.XLOOKUP(Participantes[[#This Row],[Nombre]],$A318:$A1198,$C318:$C1198)</f>
        <v>F</v>
      </c>
      <c r="D1201" s="3" t="str">
        <f>_xlfn.XLOOKUP(Participantes[[#This Row],[Nombre]],$A318:$A1198,$D318:$D1198)</f>
        <v>Professor</v>
      </c>
      <c r="E1201" s="3" t="s">
        <v>5</v>
      </c>
      <c r="F1201" s="8" t="s">
        <v>1254</v>
      </c>
      <c r="G1201" s="19">
        <f>_xlfn.XLOOKUP(Participantes[[#This Row],[Seminario al que asistió]],Seminarios[Seminario],Seminarios[Año])</f>
        <v>2025</v>
      </c>
    </row>
    <row r="1202" spans="1:7" x14ac:dyDescent="0.25">
      <c r="A1202" s="111" t="s">
        <v>234</v>
      </c>
      <c r="B1202" s="3" t="str">
        <f>_xlfn.XLOOKUP(Participantes[[#This Row],[Nombre]],$A319:$A1199,$B319:$B1199)</f>
        <v>d.higa@uniandes.edu.co</v>
      </c>
      <c r="C1202" s="3" t="str">
        <f>_xlfn.XLOOKUP(Participantes[[#This Row],[Nombre]],$A319:$A1199,$C319:$C1199)</f>
        <v>M</v>
      </c>
      <c r="D1202" s="3" t="str">
        <f>_xlfn.XLOOKUP(Participantes[[#This Row],[Nombre]],$A319:$A1199,$D319:$D1199)</f>
        <v>Professor</v>
      </c>
      <c r="E1202" s="3" t="s">
        <v>5</v>
      </c>
      <c r="F1202" s="8" t="s">
        <v>1254</v>
      </c>
      <c r="G1202" s="19">
        <f>_xlfn.XLOOKUP(Participantes[[#This Row],[Seminario al que asistió]],Seminarios[Seminario],Seminarios[Año])</f>
        <v>2025</v>
      </c>
    </row>
    <row r="1203" spans="1:7" x14ac:dyDescent="0.25">
      <c r="A1203" s="111" t="s">
        <v>280</v>
      </c>
      <c r="B1203" s="3" t="str">
        <f>_xlfn.XLOOKUP(Participantes[[#This Row],[Nombre]],$A320:$A1200,$B320:$B1200)</f>
        <v>nvelasco@uniandes.edu.co</v>
      </c>
      <c r="C1203" s="3" t="str">
        <f>_xlfn.XLOOKUP(Participantes[[#This Row],[Nombre]],$A320:$A1200,$C320:$C1200)</f>
        <v>F</v>
      </c>
      <c r="D1203" s="3" t="str">
        <f>_xlfn.XLOOKUP(Participantes[[#This Row],[Nombre]],$A320:$A1200,$D320:$D1200)</f>
        <v>Professor</v>
      </c>
      <c r="E1203" s="3" t="s">
        <v>5</v>
      </c>
      <c r="F1203" s="8" t="s">
        <v>1254</v>
      </c>
      <c r="G1203" s="19">
        <f>_xlfn.XLOOKUP(Participantes[[#This Row],[Seminario al que asistió]],Seminarios[Seminario],Seminarios[Año])</f>
        <v>2025</v>
      </c>
    </row>
    <row r="1204" spans="1:7" x14ac:dyDescent="0.25">
      <c r="A1204" s="111" t="s">
        <v>285</v>
      </c>
      <c r="B1204" s="3" t="str">
        <f>_xlfn.XLOOKUP(Participantes[[#This Row],[Nombre]],$A321:$A1201,$B321:$B1201)</f>
        <v>ro-britt@uniandes.edu.co</v>
      </c>
      <c r="C1204" s="3" t="str">
        <f>_xlfn.XLOOKUP(Participantes[[#This Row],[Nombre]],$A321:$A1201,$C321:$C1201)</f>
        <v>M</v>
      </c>
      <c r="D1204" s="3" t="str">
        <f>_xlfn.XLOOKUP(Participantes[[#This Row],[Nombre]],$A321:$A1201,$D321:$D1201)</f>
        <v>Professor</v>
      </c>
      <c r="E1204" s="3" t="s">
        <v>5</v>
      </c>
      <c r="F1204" s="8" t="s">
        <v>1254</v>
      </c>
      <c r="G1204" s="19">
        <f>_xlfn.XLOOKUP(Participantes[[#This Row],[Seminario al que asistió]],Seminarios[Seminario],Seminarios[Año])</f>
        <v>2025</v>
      </c>
    </row>
    <row r="1205" spans="1:7" x14ac:dyDescent="0.25">
      <c r="A1205" s="111" t="s">
        <v>879</v>
      </c>
      <c r="B1205" s="3" t="str">
        <f>_xlfn.XLOOKUP(Participantes[[#This Row],[Nombre]],$A322:$A1202,$B322:$B1202)</f>
        <v>r.taborda@uniandes.edu.co</v>
      </c>
      <c r="C1205" s="3" t="str">
        <f>_xlfn.XLOOKUP(Participantes[[#This Row],[Nombre]],$A322:$A1202,$C322:$C1202)</f>
        <v>M</v>
      </c>
      <c r="D1205" s="3" t="str">
        <f>_xlfn.XLOOKUP(Participantes[[#This Row],[Nombre]],$A322:$A1202,$D322:$D1202)</f>
        <v>Professor</v>
      </c>
      <c r="E1205" s="3" t="s">
        <v>5</v>
      </c>
      <c r="F1205" s="8" t="s">
        <v>1254</v>
      </c>
      <c r="G1205" s="19">
        <f>_xlfn.XLOOKUP(Participantes[[#This Row],[Seminario al que asistió]],Seminarios[Seminario],Seminarios[Año])</f>
        <v>2025</v>
      </c>
    </row>
    <row r="1206" spans="1:7" x14ac:dyDescent="0.25">
      <c r="A1206" s="111" t="s">
        <v>225</v>
      </c>
      <c r="B1206" s="3" t="str">
        <f>_xlfn.XLOOKUP(Participantes[[#This Row],[Nombre]],$A323:$A1203,$B323:$B1203)</f>
        <v>s.turner@uniandes.edu.co</v>
      </c>
      <c r="C1206" s="3" t="str">
        <f>_xlfn.XLOOKUP(Participantes[[#This Row],[Nombre]],$A323:$A1203,$C323:$C1203)</f>
        <v>M</v>
      </c>
      <c r="D1206" s="3" t="str">
        <f>_xlfn.XLOOKUP(Participantes[[#This Row],[Nombre]],$A323:$A1203,$D323:$D1203)</f>
        <v>Professor</v>
      </c>
      <c r="E1206" s="3" t="s">
        <v>5</v>
      </c>
      <c r="F1206" s="8" t="s">
        <v>1254</v>
      </c>
      <c r="G1206" s="19">
        <f>_xlfn.XLOOKUP(Participantes[[#This Row],[Seminario al que asistió]],Seminarios[Seminario],Seminarios[Año])</f>
        <v>2025</v>
      </c>
    </row>
    <row r="1207" spans="1:7" ht="15.75" thickBot="1" x14ac:dyDescent="0.3">
      <c r="A1207" s="112" t="s">
        <v>291</v>
      </c>
      <c r="B1207" s="10" t="str">
        <f>_xlfn.XLOOKUP(Participantes[[#This Row],[Nombre]],$A324:$A1204,$B324:$B1204)</f>
        <v>so-camac@uniandes.edu.co</v>
      </c>
      <c r="C1207" s="10" t="str">
        <f>_xlfn.XLOOKUP(Participantes[[#This Row],[Nombre]],$A324:$A1204,$C324:$C1204)</f>
        <v>M</v>
      </c>
      <c r="D1207" s="10" t="str">
        <f>_xlfn.XLOOKUP(Participantes[[#This Row],[Nombre]],$A324:$A1204,$D324:$D1204)</f>
        <v>Professor</v>
      </c>
      <c r="E1207" s="10" t="s">
        <v>5</v>
      </c>
      <c r="F1207" s="11" t="s">
        <v>1254</v>
      </c>
      <c r="G1207" s="21">
        <f>_xlfn.XLOOKUP(Participantes[[#This Row],[Seminario al que asistió]],Seminarios[Seminario],Seminarios[Año])</f>
        <v>2025</v>
      </c>
    </row>
    <row r="1208" spans="1:7" x14ac:dyDescent="0.25">
      <c r="A1208" s="110" t="s">
        <v>823</v>
      </c>
      <c r="B1208" s="5" t="str">
        <f>_xlfn.XLOOKUP(Participantes[[#This Row],[Nombre]],$A325:$A1205,$B325:$B1205)</f>
        <v>cpombo@uniandes.edu.co</v>
      </c>
      <c r="C1208" s="5" t="str">
        <f>_xlfn.XLOOKUP(Participantes[[#This Row],[Nombre]],$A325:$A1205,$C325:$C1205)</f>
        <v>M</v>
      </c>
      <c r="D1208" s="5" t="str">
        <f>_xlfn.XLOOKUP(Participantes[[#This Row],[Nombre]],$A325:$A1205,$D325:$D1205)</f>
        <v>Professor</v>
      </c>
      <c r="E1208" s="5" t="s">
        <v>5</v>
      </c>
      <c r="F1208" s="6" t="s">
        <v>1290</v>
      </c>
      <c r="G1208" s="19">
        <f>_xlfn.XLOOKUP(Participantes[[#This Row],[Seminario al que asistió]],Seminarios[Seminario],Seminarios[Año])</f>
        <v>2025</v>
      </c>
    </row>
    <row r="1209" spans="1:7" x14ac:dyDescent="0.25">
      <c r="A1209" s="111" t="s">
        <v>311</v>
      </c>
      <c r="B1209" s="3" t="str">
        <f>_xlfn.XLOOKUP(Participantes[[#This Row],[Nombre]],$A326:$A1206,$B326:$B1206)</f>
        <v>rgonzale@uniandes.edu.co</v>
      </c>
      <c r="C1209" s="3" t="str">
        <f>_xlfn.XLOOKUP(Participantes[[#This Row],[Nombre]],$A326:$A1206,$C326:$C1206)</f>
        <v>F</v>
      </c>
      <c r="D1209" s="3" t="str">
        <f>_xlfn.XLOOKUP(Participantes[[#This Row],[Nombre]],$A326:$A1206,$D326:$D1206)</f>
        <v>Professor</v>
      </c>
      <c r="E1209" s="3" t="s">
        <v>5</v>
      </c>
      <c r="F1209" s="8" t="s">
        <v>1290</v>
      </c>
      <c r="G1209" s="19">
        <f>_xlfn.XLOOKUP(Participantes[[#This Row],[Seminario al que asistió]],Seminarios[Seminario],Seminarios[Año])</f>
        <v>2025</v>
      </c>
    </row>
    <row r="1210" spans="1:7" x14ac:dyDescent="0.25">
      <c r="A1210" s="111" t="s">
        <v>310</v>
      </c>
      <c r="B1210" s="3" t="str">
        <f>_xlfn.XLOOKUP(Participantes[[#This Row],[Nombre]],$A327:$A1207,$B327:$B1207)</f>
        <v>maxgonza@uniandes.edu.co</v>
      </c>
      <c r="C1210" s="3" t="str">
        <f>_xlfn.XLOOKUP(Participantes[[#This Row],[Nombre]],$A327:$A1207,$C327:$C1207)</f>
        <v>M</v>
      </c>
      <c r="D1210" s="3" t="str">
        <f>_xlfn.XLOOKUP(Participantes[[#This Row],[Nombre]],$A327:$A1207,$D327:$D1207)</f>
        <v>Professor</v>
      </c>
      <c r="E1210" s="3" t="s">
        <v>5</v>
      </c>
      <c r="F1210" s="8" t="s">
        <v>1290</v>
      </c>
      <c r="G1210" s="19">
        <f>_xlfn.XLOOKUP(Participantes[[#This Row],[Seminario al que asistió]],Seminarios[Seminario],Seminarios[Año])</f>
        <v>2025</v>
      </c>
    </row>
    <row r="1211" spans="1:7" x14ac:dyDescent="0.25">
      <c r="A1211" s="111" t="s">
        <v>285</v>
      </c>
      <c r="B1211" s="3" t="str">
        <f>_xlfn.XLOOKUP(Participantes[[#This Row],[Nombre]],$A328:$A1208,$B328:$B1208)</f>
        <v>ro-britt@uniandes.edu.co</v>
      </c>
      <c r="C1211" s="3" t="str">
        <f>_xlfn.XLOOKUP(Participantes[[#This Row],[Nombre]],$A328:$A1208,$C328:$C1208)</f>
        <v>M</v>
      </c>
      <c r="D1211" s="3" t="str">
        <f>_xlfn.XLOOKUP(Participantes[[#This Row],[Nombre]],$A328:$A1208,$D328:$D1208)</f>
        <v>Professor</v>
      </c>
      <c r="E1211" s="3" t="s">
        <v>5</v>
      </c>
      <c r="F1211" s="8" t="s">
        <v>1290</v>
      </c>
      <c r="G1211" s="19">
        <f>_xlfn.XLOOKUP(Participantes[[#This Row],[Seminario al que asistió]],Seminarios[Seminario],Seminarios[Año])</f>
        <v>2025</v>
      </c>
    </row>
    <row r="1212" spans="1:7" x14ac:dyDescent="0.25">
      <c r="A1212" s="111" t="s">
        <v>879</v>
      </c>
      <c r="B1212" s="3" t="str">
        <f>_xlfn.XLOOKUP(Participantes[[#This Row],[Nombre]],$A329:$A1209,$B329:$B1209)</f>
        <v>r.taborda@uniandes.edu.co</v>
      </c>
      <c r="C1212" s="3" t="str">
        <f>_xlfn.XLOOKUP(Participantes[[#This Row],[Nombre]],$A329:$A1209,$C329:$C1209)</f>
        <v>M</v>
      </c>
      <c r="D1212" s="3" t="str">
        <f>_xlfn.XLOOKUP(Participantes[[#This Row],[Nombre]],$A329:$A1209,$D329:$D1209)</f>
        <v>Professor</v>
      </c>
      <c r="E1212" s="3" t="s">
        <v>5</v>
      </c>
      <c r="F1212" s="8" t="s">
        <v>1290</v>
      </c>
      <c r="G1212" s="19">
        <f>_xlfn.XLOOKUP(Participantes[[#This Row],[Seminario al que asistió]],Seminarios[Seminario],Seminarios[Año])</f>
        <v>2025</v>
      </c>
    </row>
    <row r="1213" spans="1:7" x14ac:dyDescent="0.25">
      <c r="A1213" s="111" t="s">
        <v>319</v>
      </c>
      <c r="B1213" s="3" t="str">
        <f>_xlfn.XLOOKUP(Participantes[[#This Row],[Nombre]],$A330:$A1210,$B330:$B1210)</f>
        <v>j.malagon@uniandes.edu.co</v>
      </c>
      <c r="C1213" s="3" t="str">
        <f>_xlfn.XLOOKUP(Participantes[[#This Row],[Nombre]],$A330:$A1210,$C330:$C1210)</f>
        <v>F</v>
      </c>
      <c r="D1213" s="3" t="str">
        <f>_xlfn.XLOOKUP(Participantes[[#This Row],[Nombre]],$A330:$A1210,$D330:$D1210)</f>
        <v>Professor</v>
      </c>
      <c r="E1213" s="3" t="s">
        <v>5</v>
      </c>
      <c r="F1213" s="8" t="s">
        <v>1290</v>
      </c>
      <c r="G1213" s="19">
        <f>_xlfn.XLOOKUP(Participantes[[#This Row],[Seminario al que asistió]],Seminarios[Seminario],Seminarios[Año])</f>
        <v>2025</v>
      </c>
    </row>
    <row r="1214" spans="1:7" x14ac:dyDescent="0.25">
      <c r="A1214" s="111" t="s">
        <v>676</v>
      </c>
      <c r="B1214" s="3" t="str">
        <f>_xlfn.XLOOKUP(Participantes[[#This Row],[Nombre]],$A331:$A1211,$B331:$B1211)</f>
        <v>ma.martinezc1@uniandes.edu.co</v>
      </c>
      <c r="C1214" s="3" t="str">
        <f>_xlfn.XLOOKUP(Participantes[[#This Row],[Nombre]],$A331:$A1211,$C331:$C1211)</f>
        <v>M</v>
      </c>
      <c r="D1214" s="3" t="str">
        <f>_xlfn.XLOOKUP(Participantes[[#This Row],[Nombre]],$A331:$A1211,$D331:$D1211)</f>
        <v>Professor</v>
      </c>
      <c r="E1214" s="3" t="s">
        <v>5</v>
      </c>
      <c r="F1214" s="8" t="s">
        <v>1290</v>
      </c>
      <c r="G1214" s="19">
        <f>_xlfn.XLOOKUP(Participantes[[#This Row],[Seminario al que asistió]],Seminarios[Seminario],Seminarios[Año])</f>
        <v>2025</v>
      </c>
    </row>
    <row r="1215" spans="1:7" x14ac:dyDescent="0.25">
      <c r="A1215" s="111" t="s">
        <v>831</v>
      </c>
      <c r="B1215" s="3" t="str">
        <f>_xlfn.XLOOKUP(Participantes[[#This Row],[Nombre]],$A332:$A1212,$B332:$B1212)</f>
        <v>mx.hincapie24@uniandes.edu.co</v>
      </c>
      <c r="C1215" s="3" t="str">
        <f>_xlfn.XLOOKUP(Participantes[[#This Row],[Nombre]],$A332:$A1212,$C332:$C1212)</f>
        <v>F</v>
      </c>
      <c r="D1215" s="3" t="str">
        <f>_xlfn.XLOOKUP(Participantes[[#This Row],[Nombre]],$A332:$A1212,$D332:$D1212)</f>
        <v>Professor</v>
      </c>
      <c r="E1215" s="3" t="s">
        <v>5</v>
      </c>
      <c r="F1215" s="8" t="s">
        <v>1290</v>
      </c>
      <c r="G1215" s="19">
        <f>_xlfn.XLOOKUP(Participantes[[#This Row],[Seminario al que asistió]],Seminarios[Seminario],Seminarios[Año])</f>
        <v>2025</v>
      </c>
    </row>
    <row r="1216" spans="1:7" x14ac:dyDescent="0.25">
      <c r="A1216" s="111" t="s">
        <v>883</v>
      </c>
      <c r="B1216" s="3" t="str">
        <f>_xlfn.XLOOKUP(Participantes[[#This Row],[Nombre]],$A333:$A1213,$B333:$B1213)</f>
        <v>d.mantillag@uniandes.edu.co</v>
      </c>
      <c r="C1216" s="3" t="str">
        <f>_xlfn.XLOOKUP(Participantes[[#This Row],[Nombre]],$A333:$A1213,$C333:$C1213)</f>
        <v>M</v>
      </c>
      <c r="D1216" s="3" t="str">
        <f>_xlfn.XLOOKUP(Participantes[[#This Row],[Nombre]],$A333:$A1213,$D333:$D1213)</f>
        <v>Professor</v>
      </c>
      <c r="E1216" s="3" t="s">
        <v>5</v>
      </c>
      <c r="F1216" s="8" t="s">
        <v>1290</v>
      </c>
      <c r="G1216" s="19">
        <f>_xlfn.XLOOKUP(Participantes[[#This Row],[Seminario al que asistió]],Seminarios[Seminario],Seminarios[Año])</f>
        <v>2025</v>
      </c>
    </row>
    <row r="1217" spans="1:7" x14ac:dyDescent="0.25">
      <c r="A1217" s="111" t="s">
        <v>253</v>
      </c>
      <c r="B1217" s="3" t="str">
        <f>_xlfn.XLOOKUP(Participantes[[#This Row],[Nombre]],$A334:$A1214,$B334:$B1214)</f>
        <v>g.triulzi@uniandes.edu.co</v>
      </c>
      <c r="C1217" s="3" t="str">
        <f>_xlfn.XLOOKUP(Participantes[[#This Row],[Nombre]],$A334:$A1214,$C334:$C1214)</f>
        <v>M</v>
      </c>
      <c r="D1217" s="3" t="str">
        <f>_xlfn.XLOOKUP(Participantes[[#This Row],[Nombre]],$A334:$A1214,$D334:$D1214)</f>
        <v>Professor</v>
      </c>
      <c r="E1217" s="3" t="s">
        <v>5</v>
      </c>
      <c r="F1217" s="8" t="s">
        <v>1290</v>
      </c>
      <c r="G1217" s="19">
        <f>_xlfn.XLOOKUP(Participantes[[#This Row],[Seminario al que asistió]],Seminarios[Seminario],Seminarios[Año])</f>
        <v>2025</v>
      </c>
    </row>
    <row r="1218" spans="1:7" x14ac:dyDescent="0.25">
      <c r="A1218" s="111" t="s">
        <v>89</v>
      </c>
      <c r="B1218" s="3" t="str">
        <f>_xlfn.XLOOKUP(Participantes[[#This Row],[Nombre]],$A335:$A1215,$B335:$B1215)</f>
        <v>c.rojasl@uniandes.edu.co</v>
      </c>
      <c r="C1218" s="3" t="str">
        <f>_xlfn.XLOOKUP(Participantes[[#This Row],[Nombre]],$A335:$A1215,$C335:$C1215)</f>
        <v>M</v>
      </c>
      <c r="D1218" s="3" t="str">
        <f>_xlfn.XLOOKUP(Participantes[[#This Row],[Nombre]],$A335:$A1215,$D335:$D1215)</f>
        <v>External</v>
      </c>
      <c r="E1218" s="3" t="s">
        <v>5</v>
      </c>
      <c r="F1218" s="8" t="s">
        <v>1290</v>
      </c>
      <c r="G1218" s="19">
        <f>_xlfn.XLOOKUP(Participantes[[#This Row],[Seminario al que asistió]],Seminarios[Seminario],Seminarios[Año])</f>
        <v>2025</v>
      </c>
    </row>
    <row r="1219" spans="1:7" x14ac:dyDescent="0.25">
      <c r="A1219" s="111" t="s">
        <v>234</v>
      </c>
      <c r="B1219" s="3" t="str">
        <f>_xlfn.XLOOKUP(Participantes[[#This Row],[Nombre]],$A336:$A1216,$B336:$B1216)</f>
        <v>d.higa@uniandes.edu.co</v>
      </c>
      <c r="C1219" s="3" t="str">
        <f>_xlfn.XLOOKUP(Participantes[[#This Row],[Nombre]],$A336:$A1216,$C336:$C1216)</f>
        <v>M</v>
      </c>
      <c r="D1219" s="3" t="str">
        <f>_xlfn.XLOOKUP(Participantes[[#This Row],[Nombre]],$A336:$A1216,$D336:$D1216)</f>
        <v>Professor</v>
      </c>
      <c r="E1219" s="3" t="s">
        <v>5</v>
      </c>
      <c r="F1219" s="8" t="s">
        <v>1290</v>
      </c>
      <c r="G1219" s="19">
        <f>_xlfn.XLOOKUP(Participantes[[#This Row],[Seminario al que asistió]],Seminarios[Seminario],Seminarios[Año])</f>
        <v>2025</v>
      </c>
    </row>
    <row r="1220" spans="1:7" x14ac:dyDescent="0.25">
      <c r="A1220" s="111" t="s">
        <v>291</v>
      </c>
      <c r="B1220" s="3" t="str">
        <f>_xlfn.XLOOKUP(Participantes[[#This Row],[Nombre]],$A337:$A1217,$B337:$B1217)</f>
        <v>so-camac@uniandes.edu.co</v>
      </c>
      <c r="C1220" s="3" t="str">
        <f>_xlfn.XLOOKUP(Participantes[[#This Row],[Nombre]],$A337:$A1217,$C337:$C1217)</f>
        <v>M</v>
      </c>
      <c r="D1220" s="3" t="str">
        <f>_xlfn.XLOOKUP(Participantes[[#This Row],[Nombre]],$A337:$A1217,$D337:$D1217)</f>
        <v>Professor</v>
      </c>
      <c r="E1220" s="3" t="s">
        <v>5</v>
      </c>
      <c r="F1220" s="8" t="s">
        <v>1290</v>
      </c>
      <c r="G1220" s="19">
        <f>_xlfn.XLOOKUP(Participantes[[#This Row],[Seminario al que asistió]],Seminarios[Seminario],Seminarios[Año])</f>
        <v>2025</v>
      </c>
    </row>
    <row r="1221" spans="1:7" x14ac:dyDescent="0.25">
      <c r="A1221" s="111" t="s">
        <v>274</v>
      </c>
      <c r="B1221" s="3" t="str">
        <f>_xlfn.XLOOKUP(Participantes[[#This Row],[Nombre]],$A338:$A1218,$B338:$B1218)</f>
        <v>r.londonovanrutten@uniandes.edu.co</v>
      </c>
      <c r="C1221" s="3" t="str">
        <f>_xlfn.XLOOKUP(Participantes[[#This Row],[Nombre]],$A338:$A1218,$C338:$C1218)</f>
        <v>M</v>
      </c>
      <c r="D1221" s="3" t="str">
        <f>_xlfn.XLOOKUP(Participantes[[#This Row],[Nombre]],$A338:$A1218,$D338:$D1218)</f>
        <v>Professor</v>
      </c>
      <c r="E1221" s="3" t="s">
        <v>5</v>
      </c>
      <c r="F1221" s="8" t="s">
        <v>1290</v>
      </c>
      <c r="G1221" s="19">
        <f>_xlfn.XLOOKUP(Participantes[[#This Row],[Seminario al que asistió]],Seminarios[Seminario],Seminarios[Año])</f>
        <v>2025</v>
      </c>
    </row>
    <row r="1222" spans="1:7" ht="15.75" thickBot="1" x14ac:dyDescent="0.3">
      <c r="A1222" s="112" t="s">
        <v>788</v>
      </c>
      <c r="B1222" s="10" t="str">
        <f>_xlfn.XLOOKUP(Participantes[[#This Row],[Nombre]],$A339:$A1219,$B339:$B1219)</f>
        <v>nc.ortiz@uniandes.edu.co</v>
      </c>
      <c r="C1222" s="10" t="str">
        <f>_xlfn.XLOOKUP(Participantes[[#This Row],[Nombre]],$A339:$A1219,$C339:$C1219)</f>
        <v>F</v>
      </c>
      <c r="D1222" s="10" t="str">
        <f>_xlfn.XLOOKUP(Participantes[[#This Row],[Nombre]],$A339:$A1219,$D339:$D1219)</f>
        <v>Professor</v>
      </c>
      <c r="E1222" s="10" t="s">
        <v>5</v>
      </c>
      <c r="F1222" s="11" t="s">
        <v>1290</v>
      </c>
      <c r="G1222" s="19">
        <f>_xlfn.XLOOKUP(Participantes[[#This Row],[Seminario al que asistió]],Seminarios[Seminario],Seminarios[Año])</f>
        <v>2025</v>
      </c>
    </row>
    <row r="1223" spans="1:7" x14ac:dyDescent="0.25">
      <c r="A1223" s="142" t="s">
        <v>1309</v>
      </c>
      <c r="B1223" s="87" t="s">
        <v>1303</v>
      </c>
      <c r="C1223" s="87" t="s">
        <v>218</v>
      </c>
      <c r="D1223" s="87" t="s">
        <v>36</v>
      </c>
      <c r="E1223" s="87" t="s">
        <v>1</v>
      </c>
      <c r="F1223" s="88" t="s">
        <v>1294</v>
      </c>
      <c r="G1223" s="21">
        <f>_xlfn.XLOOKUP(Participantes[[#This Row],[Seminario al que asistió]],Seminarios[Seminario],Seminarios[Año])</f>
        <v>2025</v>
      </c>
    </row>
    <row r="1224" spans="1:7" x14ac:dyDescent="0.25">
      <c r="A1224" s="7" t="s">
        <v>1310</v>
      </c>
      <c r="B1224" s="3" t="s">
        <v>247</v>
      </c>
      <c r="C1224" s="3" t="s">
        <v>218</v>
      </c>
      <c r="D1224" s="3" t="s">
        <v>43</v>
      </c>
      <c r="E1224" s="3" t="s">
        <v>1</v>
      </c>
      <c r="F1224" s="8" t="s">
        <v>1294</v>
      </c>
      <c r="G1224" s="19">
        <f>_xlfn.XLOOKUP(Participantes[[#This Row],[Seminario al que asistió]],Seminarios[Seminario],Seminarios[Año])</f>
        <v>2025</v>
      </c>
    </row>
    <row r="1225" spans="1:7" x14ac:dyDescent="0.25">
      <c r="A1225" s="7" t="s">
        <v>574</v>
      </c>
      <c r="B1225" s="3" t="s">
        <v>575</v>
      </c>
      <c r="C1225" s="3" t="s">
        <v>218</v>
      </c>
      <c r="D1225" s="3" t="str">
        <f>_xlfn.XLOOKUP(Participantes[[#This Row],[Nombre]],$A327:$A1207,$D327:$D1207)</f>
        <v>Professor</v>
      </c>
      <c r="E1225" s="3" t="s">
        <v>1</v>
      </c>
      <c r="F1225" s="8" t="s">
        <v>1294</v>
      </c>
      <c r="G1225" s="19">
        <f>_xlfn.XLOOKUP(Participantes[[#This Row],[Seminario al que asistió]],Seminarios[Seminario],Seminarios[Año])</f>
        <v>2025</v>
      </c>
    </row>
    <row r="1226" spans="1:7" x14ac:dyDescent="0.25">
      <c r="A1226" s="7" t="s">
        <v>1311</v>
      </c>
      <c r="B1226" s="3" t="s">
        <v>1304</v>
      </c>
      <c r="C1226" s="3" t="s">
        <v>218</v>
      </c>
      <c r="D1226" s="3" t="s">
        <v>36</v>
      </c>
      <c r="E1226" s="3" t="s">
        <v>1</v>
      </c>
      <c r="F1226" s="8" t="s">
        <v>1294</v>
      </c>
      <c r="G1226" s="19">
        <f>_xlfn.XLOOKUP(Participantes[[#This Row],[Seminario al que asistió]],Seminarios[Seminario],Seminarios[Año])</f>
        <v>2025</v>
      </c>
    </row>
    <row r="1227" spans="1:7" x14ac:dyDescent="0.25">
      <c r="A1227" s="7" t="s">
        <v>515</v>
      </c>
      <c r="B1227" s="3" t="s">
        <v>277</v>
      </c>
      <c r="C1227" s="3" t="s">
        <v>218</v>
      </c>
      <c r="D1227" s="3" t="str">
        <f>_xlfn.XLOOKUP(Participantes[[#This Row],[Nombre]],$A329:$A1224,$D329:$D1224)</f>
        <v>Professor</v>
      </c>
      <c r="E1227" s="3" t="s">
        <v>1</v>
      </c>
      <c r="F1227" s="8" t="s">
        <v>1294</v>
      </c>
      <c r="G1227" s="19">
        <f>_xlfn.XLOOKUP(Participantes[[#This Row],[Seminario al que asistió]],Seminarios[Seminario],Seminarios[Año])</f>
        <v>2025</v>
      </c>
    </row>
    <row r="1228" spans="1:7" x14ac:dyDescent="0.25">
      <c r="A1228" s="7" t="s">
        <v>1312</v>
      </c>
      <c r="B1228" s="3" t="s">
        <v>561</v>
      </c>
      <c r="C1228" s="3" t="s">
        <v>218</v>
      </c>
      <c r="D1228" s="3" t="s">
        <v>36</v>
      </c>
      <c r="E1228" s="3" t="s">
        <v>1</v>
      </c>
      <c r="F1228" s="8" t="s">
        <v>1294</v>
      </c>
      <c r="G1228" s="19">
        <f>_xlfn.XLOOKUP(Participantes[[#This Row],[Seminario al que asistió]],Seminarios[Seminario],Seminarios[Año])</f>
        <v>2025</v>
      </c>
    </row>
    <row r="1229" spans="1:7" x14ac:dyDescent="0.25">
      <c r="A1229" s="7" t="s">
        <v>167</v>
      </c>
      <c r="B1229" s="3" t="s">
        <v>284</v>
      </c>
      <c r="C1229" s="3" t="s">
        <v>218</v>
      </c>
      <c r="D1229" s="3" t="str">
        <f>_xlfn.XLOOKUP(Participantes[[#This Row],[Nombre]],$A331:$A1226,$D331:$D1226)</f>
        <v>Professor</v>
      </c>
      <c r="E1229" s="3" t="s">
        <v>1</v>
      </c>
      <c r="F1229" s="8" t="s">
        <v>1294</v>
      </c>
      <c r="G1229" s="19">
        <f>_xlfn.XLOOKUP(Participantes[[#This Row],[Seminario al que asistió]],Seminarios[Seminario],Seminarios[Año])</f>
        <v>2025</v>
      </c>
    </row>
    <row r="1230" spans="1:7" x14ac:dyDescent="0.25">
      <c r="A1230" s="7" t="s">
        <v>1313</v>
      </c>
      <c r="B1230" s="3" t="s">
        <v>1305</v>
      </c>
      <c r="C1230" s="3" t="s">
        <v>218</v>
      </c>
      <c r="D1230" s="3" t="s">
        <v>48</v>
      </c>
      <c r="E1230" s="3" t="s">
        <v>1</v>
      </c>
      <c r="F1230" s="8" t="s">
        <v>1294</v>
      </c>
      <c r="G1230" s="19">
        <f>_xlfn.XLOOKUP(Participantes[[#This Row],[Seminario al que asistió]],Seminarios[Seminario],Seminarios[Año])</f>
        <v>2025</v>
      </c>
    </row>
    <row r="1231" spans="1:7" x14ac:dyDescent="0.25">
      <c r="A1231" s="7" t="s">
        <v>530</v>
      </c>
      <c r="B1231" s="3" t="s">
        <v>1306</v>
      </c>
      <c r="C1231" s="3" t="s">
        <v>218</v>
      </c>
      <c r="D1231" s="3" t="str">
        <f>_xlfn.XLOOKUP(Participantes[[#This Row],[Nombre]],$A333:$A1228,$D333:$D1228)</f>
        <v>External</v>
      </c>
      <c r="E1231" s="3" t="s">
        <v>1</v>
      </c>
      <c r="F1231" s="8" t="s">
        <v>1294</v>
      </c>
      <c r="G1231" s="19">
        <f>_xlfn.XLOOKUP(Participantes[[#This Row],[Seminario al que asistió]],Seminarios[Seminario],Seminarios[Año])</f>
        <v>2025</v>
      </c>
    </row>
    <row r="1232" spans="1:7" x14ac:dyDescent="0.25">
      <c r="A1232" s="7" t="s">
        <v>1314</v>
      </c>
      <c r="B1232" s="3"/>
      <c r="C1232" s="3" t="s">
        <v>221</v>
      </c>
      <c r="D1232" s="3" t="s">
        <v>48</v>
      </c>
      <c r="E1232" s="3" t="s">
        <v>1</v>
      </c>
      <c r="F1232" s="8" t="s">
        <v>1294</v>
      </c>
      <c r="G1232" s="19">
        <f>_xlfn.XLOOKUP(Participantes[[#This Row],[Seminario al que asistió]],Seminarios[Seminario],Seminarios[Año])</f>
        <v>2025</v>
      </c>
    </row>
    <row r="1233" spans="1:7" x14ac:dyDescent="0.25">
      <c r="A1233" s="7" t="s">
        <v>1315</v>
      </c>
      <c r="B1233" s="3" t="s">
        <v>1307</v>
      </c>
      <c r="C1233" s="3" t="s">
        <v>218</v>
      </c>
      <c r="D1233" s="3" t="s">
        <v>36</v>
      </c>
      <c r="E1233" s="3" t="s">
        <v>1</v>
      </c>
      <c r="F1233" s="8" t="s">
        <v>1294</v>
      </c>
      <c r="G1233" s="19">
        <f>_xlfn.XLOOKUP(Participantes[[#This Row],[Seminario al que asistió]],Seminarios[Seminario],Seminarios[Año])</f>
        <v>2025</v>
      </c>
    </row>
    <row r="1234" spans="1:7" x14ac:dyDescent="0.25">
      <c r="A1234" s="7" t="s">
        <v>1316</v>
      </c>
      <c r="B1234" s="3"/>
      <c r="C1234" s="3" t="s">
        <v>218</v>
      </c>
      <c r="D1234" s="3" t="s">
        <v>48</v>
      </c>
      <c r="E1234" s="3" t="s">
        <v>5</v>
      </c>
      <c r="F1234" s="8" t="s">
        <v>1294</v>
      </c>
      <c r="G1234" s="19">
        <f>_xlfn.XLOOKUP(Participantes[[#This Row],[Seminario al que asistió]],Seminarios[Seminario],Seminarios[Año])</f>
        <v>2025</v>
      </c>
    </row>
    <row r="1235" spans="1:7" x14ac:dyDescent="0.25">
      <c r="A1235" s="7" t="s">
        <v>1317</v>
      </c>
      <c r="B1235" s="3" t="s">
        <v>1308</v>
      </c>
      <c r="C1235" s="3" t="s">
        <v>218</v>
      </c>
      <c r="D1235" s="3" t="s">
        <v>48</v>
      </c>
      <c r="E1235" s="3" t="s">
        <v>5</v>
      </c>
      <c r="F1235" s="8" t="s">
        <v>1294</v>
      </c>
      <c r="G1235" s="19">
        <f>_xlfn.XLOOKUP(Participantes[[#This Row],[Seminario al que asistió]],Seminarios[Seminario],Seminarios[Año])</f>
        <v>2025</v>
      </c>
    </row>
    <row r="1236" spans="1:7" x14ac:dyDescent="0.25">
      <c r="A1236" s="7" t="s">
        <v>1318</v>
      </c>
      <c r="B1236" s="3"/>
      <c r="C1236" s="3" t="s">
        <v>218</v>
      </c>
      <c r="D1236" s="3" t="s">
        <v>48</v>
      </c>
      <c r="E1236" s="3" t="s">
        <v>5</v>
      </c>
      <c r="F1236" s="8" t="s">
        <v>1294</v>
      </c>
      <c r="G1236" s="19">
        <f>_xlfn.XLOOKUP(Participantes[[#This Row],[Seminario al que asistió]],Seminarios[Seminario],Seminarios[Año])</f>
        <v>2025</v>
      </c>
    </row>
    <row r="1237" spans="1:7" x14ac:dyDescent="0.25">
      <c r="A1237" s="7" t="s">
        <v>1319</v>
      </c>
      <c r="B1237" s="3"/>
      <c r="C1237" s="3" t="s">
        <v>218</v>
      </c>
      <c r="D1237" s="3" t="s">
        <v>48</v>
      </c>
      <c r="E1237" s="3" t="s">
        <v>5</v>
      </c>
      <c r="F1237" s="8" t="s">
        <v>1294</v>
      </c>
      <c r="G1237" s="19">
        <f>_xlfn.XLOOKUP(Participantes[[#This Row],[Seminario al que asistió]],Seminarios[Seminario],Seminarios[Año])</f>
        <v>2025</v>
      </c>
    </row>
    <row r="1238" spans="1:7" x14ac:dyDescent="0.25">
      <c r="A1238" s="7" t="s">
        <v>1320</v>
      </c>
      <c r="B1238" s="3" t="s">
        <v>617</v>
      </c>
      <c r="C1238" s="3" t="s">
        <v>221</v>
      </c>
      <c r="D1238" s="3" t="s">
        <v>36</v>
      </c>
      <c r="E1238" s="3" t="s">
        <v>5</v>
      </c>
      <c r="F1238" s="8" t="s">
        <v>1294</v>
      </c>
      <c r="G1238" s="19">
        <f>_xlfn.XLOOKUP(Participantes[[#This Row],[Seminario al que asistió]],Seminarios[Seminario],Seminarios[Año])</f>
        <v>2025</v>
      </c>
    </row>
    <row r="1239" spans="1:7" x14ac:dyDescent="0.25">
      <c r="A1239" s="7" t="s">
        <v>1321</v>
      </c>
      <c r="B1239" s="3"/>
      <c r="C1239" s="3" t="s">
        <v>218</v>
      </c>
      <c r="D1239" s="3" t="s">
        <v>48</v>
      </c>
      <c r="E1239" s="3" t="s">
        <v>5</v>
      </c>
      <c r="F1239" s="8" t="s">
        <v>1294</v>
      </c>
      <c r="G1239" s="19">
        <f>_xlfn.XLOOKUP(Participantes[[#This Row],[Seminario al que asistió]],Seminarios[Seminario],Seminarios[Año])</f>
        <v>2025</v>
      </c>
    </row>
    <row r="1240" spans="1:7" x14ac:dyDescent="0.25">
      <c r="A1240" s="7" t="s">
        <v>1322</v>
      </c>
      <c r="B1240" s="3"/>
      <c r="C1240" s="3" t="s">
        <v>221</v>
      </c>
      <c r="D1240" s="3" t="s">
        <v>48</v>
      </c>
      <c r="E1240" s="3" t="s">
        <v>5</v>
      </c>
      <c r="F1240" s="8" t="s">
        <v>1294</v>
      </c>
      <c r="G1240" s="19">
        <f>_xlfn.XLOOKUP(Participantes[[#This Row],[Seminario al que asistió]],Seminarios[Seminario],Seminarios[Año])</f>
        <v>2025</v>
      </c>
    </row>
    <row r="1241" spans="1:7" x14ac:dyDescent="0.25">
      <c r="A1241" s="7" t="s">
        <v>1323</v>
      </c>
      <c r="B1241" s="3"/>
      <c r="C1241" s="3" t="s">
        <v>218</v>
      </c>
      <c r="D1241" s="3" t="s">
        <v>48</v>
      </c>
      <c r="E1241" s="3" t="s">
        <v>5</v>
      </c>
      <c r="F1241" s="8" t="s">
        <v>1294</v>
      </c>
      <c r="G1241" s="19">
        <f>_xlfn.XLOOKUP(Participantes[[#This Row],[Seminario al que asistió]],Seminarios[Seminario],Seminarios[Año])</f>
        <v>2025</v>
      </c>
    </row>
    <row r="1242" spans="1:7" x14ac:dyDescent="0.25">
      <c r="A1242" s="7" t="s">
        <v>165</v>
      </c>
      <c r="B1242" s="3" t="s">
        <v>339</v>
      </c>
      <c r="C1242" s="3" t="s">
        <v>218</v>
      </c>
      <c r="D1242" s="3" t="str">
        <f>_xlfn.XLOOKUP(Participantes[[#This Row],[Nombre]],$A344:$A1239,$D344:$D1239)</f>
        <v>Professor</v>
      </c>
      <c r="E1242" s="3" t="s">
        <v>5</v>
      </c>
      <c r="F1242" s="8" t="s">
        <v>1294</v>
      </c>
      <c r="G1242" s="19">
        <f>_xlfn.XLOOKUP(Participantes[[#This Row],[Seminario al que asistió]],Seminarios[Seminario],Seminarios[Año])</f>
        <v>2025</v>
      </c>
    </row>
    <row r="1243" spans="1:7" x14ac:dyDescent="0.25">
      <c r="A1243" s="7" t="s">
        <v>1324</v>
      </c>
      <c r="B1243" s="3"/>
      <c r="C1243" s="3" t="s">
        <v>218</v>
      </c>
      <c r="D1243" s="3" t="s">
        <v>48</v>
      </c>
      <c r="E1243" s="3" t="s">
        <v>5</v>
      </c>
      <c r="F1243" s="8" t="s">
        <v>1294</v>
      </c>
      <c r="G1243" s="19">
        <f>_xlfn.XLOOKUP(Participantes[[#This Row],[Seminario al que asistió]],Seminarios[Seminario],Seminarios[Año])</f>
        <v>2025</v>
      </c>
    </row>
    <row r="1244" spans="1:7" ht="15.75" thickBot="1" x14ac:dyDescent="0.3">
      <c r="A1244" s="77" t="s">
        <v>1325</v>
      </c>
      <c r="B1244" s="13" t="s">
        <v>563</v>
      </c>
      <c r="C1244" s="13" t="s">
        <v>218</v>
      </c>
      <c r="D1244" s="13" t="s">
        <v>48</v>
      </c>
      <c r="E1244" s="13" t="s">
        <v>5</v>
      </c>
      <c r="F1244" s="78" t="s">
        <v>1294</v>
      </c>
      <c r="G1244" s="19">
        <f>_xlfn.XLOOKUP(Participantes[[#This Row],[Seminario al que asistió]],Seminarios[Seminario],Seminarios[Año])</f>
        <v>2025</v>
      </c>
    </row>
    <row r="1245" spans="1:7" x14ac:dyDescent="0.25">
      <c r="A1245" s="4" t="s">
        <v>1338</v>
      </c>
      <c r="B1245" s="5" t="s">
        <v>1326</v>
      </c>
      <c r="C1245" s="5" t="s">
        <v>221</v>
      </c>
      <c r="D1245" s="5" t="s">
        <v>48</v>
      </c>
      <c r="E1245" s="5" t="s">
        <v>1</v>
      </c>
      <c r="F1245" s="6" t="s">
        <v>1287</v>
      </c>
      <c r="G1245" s="19">
        <f>_xlfn.XLOOKUP(Participantes[[#This Row],[Seminario al que asistió]],Seminarios[Seminario],Seminarios[Año])</f>
        <v>2025</v>
      </c>
    </row>
    <row r="1246" spans="1:7" x14ac:dyDescent="0.25">
      <c r="A1246" s="7" t="s">
        <v>833</v>
      </c>
      <c r="B1246" s="3" t="s">
        <v>1327</v>
      </c>
      <c r="C1246" s="3" t="s">
        <v>221</v>
      </c>
      <c r="D1246" s="3" t="s">
        <v>36</v>
      </c>
      <c r="E1246" s="3" t="s">
        <v>1</v>
      </c>
      <c r="F1246" s="8" t="s">
        <v>1287</v>
      </c>
      <c r="G1246" s="19">
        <f>_xlfn.XLOOKUP(Participantes[[#This Row],[Seminario al que asistió]],Seminarios[Seminario],Seminarios[Año])</f>
        <v>2025</v>
      </c>
    </row>
    <row r="1247" spans="1:7" x14ac:dyDescent="0.25">
      <c r="A1247" s="7" t="s">
        <v>234</v>
      </c>
      <c r="B1247" s="3" t="s">
        <v>235</v>
      </c>
      <c r="C1247" s="3" t="s">
        <v>218</v>
      </c>
      <c r="D1247" s="3" t="s">
        <v>36</v>
      </c>
      <c r="E1247" s="3" t="s">
        <v>1</v>
      </c>
      <c r="F1247" s="8" t="s">
        <v>1287</v>
      </c>
      <c r="G1247" s="19">
        <f>_xlfn.XLOOKUP(Participantes[[#This Row],[Seminario al que asistió]],Seminarios[Seminario],Seminarios[Año])</f>
        <v>2025</v>
      </c>
    </row>
    <row r="1248" spans="1:7" x14ac:dyDescent="0.25">
      <c r="A1248" s="7" t="s">
        <v>1211</v>
      </c>
      <c r="B1248" s="3" t="s">
        <v>1197</v>
      </c>
      <c r="C1248" s="3" t="s">
        <v>221</v>
      </c>
      <c r="D1248" s="3" t="s">
        <v>36</v>
      </c>
      <c r="E1248" s="3" t="s">
        <v>1</v>
      </c>
      <c r="F1248" s="8" t="s">
        <v>1287</v>
      </c>
      <c r="G1248" s="19">
        <f>_xlfn.XLOOKUP(Participantes[[#This Row],[Seminario al que asistió]],Seminarios[Seminario],Seminarios[Año])</f>
        <v>2025</v>
      </c>
    </row>
    <row r="1249" spans="1:7" x14ac:dyDescent="0.25">
      <c r="A1249" s="7" t="s">
        <v>506</v>
      </c>
      <c r="B1249" s="3" t="s">
        <v>275</v>
      </c>
      <c r="C1249" s="3" t="s">
        <v>218</v>
      </c>
      <c r="D1249" s="3" t="s">
        <v>36</v>
      </c>
      <c r="E1249" s="3" t="s">
        <v>1</v>
      </c>
      <c r="F1249" s="8" t="s">
        <v>1287</v>
      </c>
      <c r="G1249" s="19">
        <f>_xlfn.XLOOKUP(Participantes[[#This Row],[Seminario al que asistió]],Seminarios[Seminario],Seminarios[Año])</f>
        <v>2025</v>
      </c>
    </row>
    <row r="1250" spans="1:7" x14ac:dyDescent="0.25">
      <c r="A1250" s="7" t="s">
        <v>219</v>
      </c>
      <c r="B1250" s="3" t="s">
        <v>220</v>
      </c>
      <c r="C1250" s="3" t="s">
        <v>221</v>
      </c>
      <c r="D1250" s="3" t="s">
        <v>36</v>
      </c>
      <c r="E1250" s="3" t="s">
        <v>1</v>
      </c>
      <c r="F1250" s="8" t="s">
        <v>1287</v>
      </c>
      <c r="G1250" s="19">
        <f>_xlfn.XLOOKUP(Participantes[[#This Row],[Seminario al que asistió]],Seminarios[Seminario],Seminarios[Año])</f>
        <v>2025</v>
      </c>
    </row>
    <row r="1251" spans="1:7" x14ac:dyDescent="0.25">
      <c r="A1251" s="7" t="s">
        <v>1339</v>
      </c>
      <c r="B1251" s="3" t="s">
        <v>1328</v>
      </c>
      <c r="C1251" s="3" t="s">
        <v>221</v>
      </c>
      <c r="D1251" s="3" t="s">
        <v>233</v>
      </c>
      <c r="E1251" s="3" t="s">
        <v>1</v>
      </c>
      <c r="F1251" s="8" t="s">
        <v>1287</v>
      </c>
      <c r="G1251" s="19">
        <f>_xlfn.XLOOKUP(Participantes[[#This Row],[Seminario al que asistió]],Seminarios[Seminario],Seminarios[Año])</f>
        <v>2025</v>
      </c>
    </row>
    <row r="1252" spans="1:7" x14ac:dyDescent="0.25">
      <c r="A1252" s="7" t="s">
        <v>320</v>
      </c>
      <c r="B1252" s="3" t="s">
        <v>1329</v>
      </c>
      <c r="C1252" s="3" t="s">
        <v>218</v>
      </c>
      <c r="D1252" s="3" t="s">
        <v>36</v>
      </c>
      <c r="E1252" s="3" t="s">
        <v>1</v>
      </c>
      <c r="F1252" s="8" t="s">
        <v>1287</v>
      </c>
      <c r="G1252" s="19">
        <f>_xlfn.XLOOKUP(Participantes[[#This Row],[Seminario al que asistió]],Seminarios[Seminario],Seminarios[Año])</f>
        <v>2025</v>
      </c>
    </row>
    <row r="1253" spans="1:7" x14ac:dyDescent="0.25">
      <c r="A1253" s="7" t="s">
        <v>675</v>
      </c>
      <c r="B1253" s="3" t="s">
        <v>256</v>
      </c>
      <c r="C1253" s="3" t="s">
        <v>218</v>
      </c>
      <c r="D1253" s="3" t="s">
        <v>36</v>
      </c>
      <c r="E1253" s="3" t="s">
        <v>1</v>
      </c>
      <c r="F1253" s="8" t="s">
        <v>1287</v>
      </c>
      <c r="G1253" s="19">
        <f>_xlfn.XLOOKUP(Participantes[[#This Row],[Seminario al que asistió]],Seminarios[Seminario],Seminarios[Año])</f>
        <v>2025</v>
      </c>
    </row>
    <row r="1254" spans="1:7" x14ac:dyDescent="0.25">
      <c r="A1254" s="7" t="s">
        <v>229</v>
      </c>
      <c r="B1254" s="3" t="s">
        <v>230</v>
      </c>
      <c r="C1254" s="3" t="s">
        <v>218</v>
      </c>
      <c r="D1254" s="3" t="s">
        <v>36</v>
      </c>
      <c r="E1254" s="3" t="s">
        <v>1</v>
      </c>
      <c r="F1254" s="8" t="s">
        <v>1287</v>
      </c>
      <c r="G1254" s="19">
        <f>_xlfn.XLOOKUP(Participantes[[#This Row],[Seminario al que asistió]],Seminarios[Seminario],Seminarios[Año])</f>
        <v>2025</v>
      </c>
    </row>
    <row r="1255" spans="1:7" x14ac:dyDescent="0.25">
      <c r="A1255" s="7" t="s">
        <v>1340</v>
      </c>
      <c r="B1255" s="3" t="s">
        <v>1330</v>
      </c>
      <c r="C1255" s="3" t="s">
        <v>221</v>
      </c>
      <c r="D1255" s="3" t="s">
        <v>233</v>
      </c>
      <c r="E1255" s="3" t="s">
        <v>1</v>
      </c>
      <c r="F1255" s="8" t="s">
        <v>1287</v>
      </c>
      <c r="G1255" s="19">
        <f>_xlfn.XLOOKUP(Participantes[[#This Row],[Seminario al que asistió]],Seminarios[Seminario],Seminarios[Año])</f>
        <v>2025</v>
      </c>
    </row>
    <row r="1256" spans="1:7" x14ac:dyDescent="0.25">
      <c r="A1256" s="7" t="s">
        <v>1341</v>
      </c>
      <c r="B1256" s="3" t="s">
        <v>645</v>
      </c>
      <c r="C1256" s="3" t="s">
        <v>218</v>
      </c>
      <c r="D1256" s="3" t="s">
        <v>36</v>
      </c>
      <c r="E1256" s="3" t="s">
        <v>1</v>
      </c>
      <c r="F1256" s="8" t="s">
        <v>1287</v>
      </c>
      <c r="G1256" s="19">
        <f>_xlfn.XLOOKUP(Participantes[[#This Row],[Seminario al que asistió]],Seminarios[Seminario],Seminarios[Año])</f>
        <v>2025</v>
      </c>
    </row>
    <row r="1257" spans="1:7" x14ac:dyDescent="0.25">
      <c r="A1257" s="7" t="s">
        <v>1342</v>
      </c>
      <c r="B1257" s="3" t="s">
        <v>1350</v>
      </c>
      <c r="C1257" s="3" t="s">
        <v>221</v>
      </c>
      <c r="D1257" s="3" t="s">
        <v>36</v>
      </c>
      <c r="E1257" s="3" t="s">
        <v>1</v>
      </c>
      <c r="F1257" s="8" t="s">
        <v>1287</v>
      </c>
      <c r="G1257" s="19">
        <f>_xlfn.XLOOKUP(Participantes[[#This Row],[Seminario al que asistió]],Seminarios[Seminario],Seminarios[Año])</f>
        <v>2025</v>
      </c>
    </row>
    <row r="1258" spans="1:7" x14ac:dyDescent="0.25">
      <c r="A1258" s="7" t="s">
        <v>570</v>
      </c>
      <c r="B1258" s="3" t="s">
        <v>571</v>
      </c>
      <c r="C1258" s="3" t="s">
        <v>218</v>
      </c>
      <c r="D1258" s="3" t="s">
        <v>36</v>
      </c>
      <c r="E1258" s="3" t="s">
        <v>1</v>
      </c>
      <c r="F1258" s="8" t="s">
        <v>1287</v>
      </c>
      <c r="G1258" s="19">
        <f>_xlfn.XLOOKUP(Participantes[[#This Row],[Seminario al que asistió]],Seminarios[Seminario],Seminarios[Año])</f>
        <v>2025</v>
      </c>
    </row>
    <row r="1259" spans="1:7" x14ac:dyDescent="0.25">
      <c r="A1259" s="7" t="s">
        <v>1343</v>
      </c>
      <c r="B1259" s="3" t="s">
        <v>1331</v>
      </c>
      <c r="C1259" s="3" t="s">
        <v>218</v>
      </c>
      <c r="D1259" s="3" t="s">
        <v>36</v>
      </c>
      <c r="E1259" s="3" t="s">
        <v>1</v>
      </c>
      <c r="F1259" s="8" t="s">
        <v>1287</v>
      </c>
      <c r="G1259" s="19">
        <f>_xlfn.XLOOKUP(Participantes[[#This Row],[Seminario al que asistió]],Seminarios[Seminario],Seminarios[Año])</f>
        <v>2025</v>
      </c>
    </row>
    <row r="1260" spans="1:7" x14ac:dyDescent="0.25">
      <c r="A1260" s="7" t="s">
        <v>1344</v>
      </c>
      <c r="B1260" s="3" t="s">
        <v>1332</v>
      </c>
      <c r="C1260" s="3" t="s">
        <v>221</v>
      </c>
      <c r="D1260" s="3" t="s">
        <v>48</v>
      </c>
      <c r="E1260" s="3" t="s">
        <v>1</v>
      </c>
      <c r="F1260" s="8" t="s">
        <v>1287</v>
      </c>
      <c r="G1260" s="19">
        <f>_xlfn.XLOOKUP(Participantes[[#This Row],[Seminario al que asistió]],Seminarios[Seminario],Seminarios[Año])</f>
        <v>2025</v>
      </c>
    </row>
    <row r="1261" spans="1:7" x14ac:dyDescent="0.25">
      <c r="A1261" s="7" t="s">
        <v>177</v>
      </c>
      <c r="B1261" s="3" t="s">
        <v>307</v>
      </c>
      <c r="C1261" s="3" t="s">
        <v>221</v>
      </c>
      <c r="D1261" s="3" t="s">
        <v>36</v>
      </c>
      <c r="E1261" s="3" t="s">
        <v>1</v>
      </c>
      <c r="F1261" s="8" t="s">
        <v>1287</v>
      </c>
      <c r="G1261" s="19">
        <f>_xlfn.XLOOKUP(Participantes[[#This Row],[Seminario al que asistió]],Seminarios[Seminario],Seminarios[Año])</f>
        <v>2025</v>
      </c>
    </row>
    <row r="1262" spans="1:7" x14ac:dyDescent="0.25">
      <c r="A1262" s="7" t="s">
        <v>1345</v>
      </c>
      <c r="B1262" s="3" t="s">
        <v>1333</v>
      </c>
      <c r="C1262" s="3" t="s">
        <v>218</v>
      </c>
      <c r="D1262" s="3" t="s">
        <v>36</v>
      </c>
      <c r="E1262" s="3" t="s">
        <v>1</v>
      </c>
      <c r="F1262" s="8" t="s">
        <v>1287</v>
      </c>
      <c r="G1262" s="19">
        <f>_xlfn.XLOOKUP(Participantes[[#This Row],[Seminario al que asistió]],Seminarios[Seminario],Seminarios[Año])</f>
        <v>2025</v>
      </c>
    </row>
    <row r="1263" spans="1:7" x14ac:dyDescent="0.25">
      <c r="A1263" s="7" t="s">
        <v>1346</v>
      </c>
      <c r="B1263" s="3" t="s">
        <v>1334</v>
      </c>
      <c r="C1263" s="3" t="s">
        <v>218</v>
      </c>
      <c r="D1263" s="3" t="s">
        <v>48</v>
      </c>
      <c r="E1263" s="3" t="s">
        <v>1</v>
      </c>
      <c r="F1263" s="8" t="s">
        <v>1287</v>
      </c>
      <c r="G1263" s="19">
        <f>_xlfn.XLOOKUP(Participantes[[#This Row],[Seminario al que asistió]],Seminarios[Seminario],Seminarios[Año])</f>
        <v>2025</v>
      </c>
    </row>
    <row r="1264" spans="1:7" x14ac:dyDescent="0.25">
      <c r="A1264" s="7" t="s">
        <v>285</v>
      </c>
      <c r="B1264" s="3" t="s">
        <v>286</v>
      </c>
      <c r="C1264" s="3" t="s">
        <v>218</v>
      </c>
      <c r="D1264" s="3" t="s">
        <v>36</v>
      </c>
      <c r="E1264" s="3" t="s">
        <v>1</v>
      </c>
      <c r="F1264" s="8" t="s">
        <v>1287</v>
      </c>
      <c r="G1264" s="19">
        <f>_xlfn.XLOOKUP(Participantes[[#This Row],[Seminario al que asistió]],Seminarios[Seminario],Seminarios[Año])</f>
        <v>2025</v>
      </c>
    </row>
    <row r="1265" spans="1:7" x14ac:dyDescent="0.25">
      <c r="A1265" s="7" t="s">
        <v>815</v>
      </c>
      <c r="B1265" s="3" t="s">
        <v>670</v>
      </c>
      <c r="C1265" s="3" t="s">
        <v>218</v>
      </c>
      <c r="D1265" s="3" t="s">
        <v>36</v>
      </c>
      <c r="E1265" s="3" t="s">
        <v>1</v>
      </c>
      <c r="F1265" s="8" t="s">
        <v>1287</v>
      </c>
      <c r="G1265" s="19">
        <f>_xlfn.XLOOKUP(Participantes[[#This Row],[Seminario al que asistió]],Seminarios[Seminario],Seminarios[Año])</f>
        <v>2025</v>
      </c>
    </row>
    <row r="1266" spans="1:7" x14ac:dyDescent="0.25">
      <c r="A1266" s="7" t="s">
        <v>1347</v>
      </c>
      <c r="B1266" s="3" t="s">
        <v>1335</v>
      </c>
      <c r="C1266" s="3" t="s">
        <v>218</v>
      </c>
      <c r="D1266" s="3" t="s">
        <v>36</v>
      </c>
      <c r="E1266" s="3" t="s">
        <v>1</v>
      </c>
      <c r="F1266" s="8" t="s">
        <v>1287</v>
      </c>
      <c r="G1266" s="19">
        <f>_xlfn.XLOOKUP(Participantes[[#This Row],[Seminario al que asistió]],Seminarios[Seminario],Seminarios[Año])</f>
        <v>2025</v>
      </c>
    </row>
    <row r="1267" spans="1:7" x14ac:dyDescent="0.25">
      <c r="A1267" s="7" t="s">
        <v>1348</v>
      </c>
      <c r="B1267" s="3" t="s">
        <v>1336</v>
      </c>
      <c r="C1267" s="3" t="s">
        <v>218</v>
      </c>
      <c r="D1267" s="3" t="s">
        <v>48</v>
      </c>
      <c r="E1267" s="3" t="s">
        <v>1</v>
      </c>
      <c r="F1267" s="8" t="s">
        <v>1287</v>
      </c>
      <c r="G1267" s="19">
        <f>_xlfn.XLOOKUP(Participantes[[#This Row],[Seminario al que asistió]],Seminarios[Seminario],Seminarios[Año])</f>
        <v>2025</v>
      </c>
    </row>
    <row r="1268" spans="1:7" ht="15.75" thickBot="1" x14ac:dyDescent="0.3">
      <c r="A1268" s="9" t="s">
        <v>1349</v>
      </c>
      <c r="B1268" s="10" t="s">
        <v>1337</v>
      </c>
      <c r="C1268" s="10" t="s">
        <v>221</v>
      </c>
      <c r="D1268" s="10" t="s">
        <v>48</v>
      </c>
      <c r="E1268" s="10" t="s">
        <v>1</v>
      </c>
      <c r="F1268" s="11" t="s">
        <v>1287</v>
      </c>
      <c r="G1268" s="21">
        <f>_xlfn.XLOOKUP(Participantes[[#This Row],[Seminario al que asistió]],Seminarios[Seminario],Seminarios[Año])</f>
        <v>2025</v>
      </c>
    </row>
    <row r="1269" spans="1:7" x14ac:dyDescent="0.25">
      <c r="A1269" s="4" t="s">
        <v>89</v>
      </c>
      <c r="B1269" s="5" t="str">
        <f>_xlfn.XLOOKUP(Participantes[[#This Row],[Nombre]],$A371:$A1266,$B371:$B1266)</f>
        <v>c.rojasl@uniandes.edu.co</v>
      </c>
      <c r="C1269" s="5" t="str">
        <f>_xlfn.XLOOKUP(Participantes[[#This Row],[Nombre]],$A371:$A1266,$C371:$C1266)</f>
        <v>M</v>
      </c>
      <c r="D1269" s="5" t="str">
        <f>_xlfn.XLOOKUP(Participantes[[#This Row],[Nombre]],$A371:$A1266,$D371:$D1266)</f>
        <v>External</v>
      </c>
      <c r="E1269" s="5" t="s">
        <v>5</v>
      </c>
      <c r="F1269" s="6" t="s">
        <v>1358</v>
      </c>
      <c r="G1269" s="19">
        <f>_xlfn.XLOOKUP(Participantes[[#This Row],[Seminario al que asistió]],Seminarios[Seminario],Seminarios[Año])</f>
        <v>2025</v>
      </c>
    </row>
    <row r="1270" spans="1:7" x14ac:dyDescent="0.25">
      <c r="A1270" s="7" t="s">
        <v>167</v>
      </c>
      <c r="B1270" s="3" t="str">
        <f>_xlfn.XLOOKUP(Participantes[[#This Row],[Nombre]],$A372:$A1267,$B372:$B1267)</f>
        <v>cdavila@uniandes.edu.co</v>
      </c>
      <c r="C1270" s="3" t="str">
        <f>_xlfn.XLOOKUP(Participantes[[#This Row],[Nombre]],$A372:$A1267,$C372:$C1267)</f>
        <v>M</v>
      </c>
      <c r="D1270" s="3" t="str">
        <f>_xlfn.XLOOKUP(Participantes[[#This Row],[Nombre]],$A372:$A1267,$D372:$D1267)</f>
        <v>Professor</v>
      </c>
      <c r="E1270" s="3" t="s">
        <v>5</v>
      </c>
      <c r="F1270" s="8" t="s">
        <v>1358</v>
      </c>
      <c r="G1270" s="19">
        <f>_xlfn.XLOOKUP(Participantes[[#This Row],[Seminario al que asistió]],Seminarios[Seminario],Seminarios[Año])</f>
        <v>2025</v>
      </c>
    </row>
    <row r="1271" spans="1:7" x14ac:dyDescent="0.25">
      <c r="A1271" s="7" t="s">
        <v>889</v>
      </c>
      <c r="B1271" s="3" t="str">
        <f>_xlfn.XLOOKUP(Participantes[[#This Row],[Nombre]],$A373:$A1268,$B373:$B1268)</f>
        <v>ea.terhorst@uniandes.edu.co</v>
      </c>
      <c r="C1271" s="3" t="str">
        <f>_xlfn.XLOOKUP(Participantes[[#This Row],[Nombre]],$A373:$A1268,$C373:$C1268)</f>
        <v>M</v>
      </c>
      <c r="D1271" s="3" t="str">
        <f>_xlfn.XLOOKUP(Participantes[[#This Row],[Nombre]],$A373:$A1268,$D373:$D1268)</f>
        <v>Professor</v>
      </c>
      <c r="E1271" s="3" t="s">
        <v>5</v>
      </c>
      <c r="F1271" s="8" t="s">
        <v>1358</v>
      </c>
      <c r="G1271" s="19">
        <f>_xlfn.XLOOKUP(Participantes[[#This Row],[Seminario al que asistió]],Seminarios[Seminario],Seminarios[Año])</f>
        <v>2025</v>
      </c>
    </row>
    <row r="1272" spans="1:7" x14ac:dyDescent="0.25">
      <c r="A1272" s="7" t="s">
        <v>558</v>
      </c>
      <c r="B1272" s="3" t="str">
        <f>_xlfn.XLOOKUP(Participantes[[#This Row],[Nombre]],$A374:$A1269,$B374:$B1269)</f>
        <v>f.reinosoc@uniandes.edu.co</v>
      </c>
      <c r="C1272" s="3" t="str">
        <f>_xlfn.XLOOKUP(Participantes[[#This Row],[Nombre]],$A374:$A1269,$C374:$C1269)</f>
        <v>M</v>
      </c>
      <c r="D1272" s="3" t="str">
        <f>_xlfn.XLOOKUP(Participantes[[#This Row],[Nombre]],$A374:$A1269,$D374:$D1269)</f>
        <v>Professor</v>
      </c>
      <c r="E1272" s="3" t="s">
        <v>5</v>
      </c>
      <c r="F1272" s="8" t="s">
        <v>1358</v>
      </c>
      <c r="G1272" s="19">
        <f>_xlfn.XLOOKUP(Participantes[[#This Row],[Seminario al que asistió]],Seminarios[Seminario],Seminarios[Año])</f>
        <v>2025</v>
      </c>
    </row>
    <row r="1273" spans="1:7" x14ac:dyDescent="0.25">
      <c r="A1273" s="7" t="s">
        <v>552</v>
      </c>
      <c r="B1273" s="3" t="str">
        <f>_xlfn.XLOOKUP(Participantes[[#This Row],[Nombre]],$A375:$A1270,$B375:$B1270)</f>
        <v>joospina@uniandes.edu.co</v>
      </c>
      <c r="C1273" s="3" t="str">
        <f>_xlfn.XLOOKUP(Participantes[[#This Row],[Nombre]],$A375:$A1270,$C375:$C1270)</f>
        <v>M</v>
      </c>
      <c r="D1273" s="3" t="str">
        <f>_xlfn.XLOOKUP(Participantes[[#This Row],[Nombre]],$A375:$A1270,$D375:$D1270)</f>
        <v>Professor</v>
      </c>
      <c r="E1273" s="3" t="s">
        <v>5</v>
      </c>
      <c r="F1273" s="8" t="s">
        <v>1358</v>
      </c>
      <c r="G1273" s="19">
        <f>_xlfn.XLOOKUP(Participantes[[#This Row],[Seminario al que asistió]],Seminarios[Seminario],Seminarios[Año])</f>
        <v>2025</v>
      </c>
    </row>
    <row r="1274" spans="1:7" x14ac:dyDescent="0.25">
      <c r="A1274" s="7" t="s">
        <v>829</v>
      </c>
      <c r="B1274" s="3" t="str">
        <f>_xlfn.XLOOKUP(Participantes[[#This Row],[Nombre]],$A376:$A1271,$B376:$B1271)</f>
        <v>id.sanchez41@uniandes.edu.co</v>
      </c>
      <c r="C1274" s="3" t="str">
        <f>_xlfn.XLOOKUP(Participantes[[#This Row],[Nombre]],$A376:$A1271,$C376:$C1271)</f>
        <v>M</v>
      </c>
      <c r="D1274" s="3" t="str">
        <f>_xlfn.XLOOKUP(Participantes[[#This Row],[Nombre]],$A376:$A1271,$D376:$D1271)</f>
        <v>Professor</v>
      </c>
      <c r="E1274" s="3" t="s">
        <v>5</v>
      </c>
      <c r="F1274" s="8" t="s">
        <v>1358</v>
      </c>
      <c r="G1274" s="19">
        <f>_xlfn.XLOOKUP(Participantes[[#This Row],[Seminario al que asistió]],Seminarios[Seminario],Seminarios[Año])</f>
        <v>2025</v>
      </c>
    </row>
    <row r="1275" spans="1:7" x14ac:dyDescent="0.25">
      <c r="A1275" s="7" t="s">
        <v>249</v>
      </c>
      <c r="B1275" s="3" t="str">
        <f>_xlfn.XLOOKUP(Participantes[[#This Row],[Nombre]],$A377:$A1272,$B377:$B1272)</f>
        <v>o.naranjodelgiudice@uniandes.edu.co</v>
      </c>
      <c r="C1275" s="3" t="str">
        <f>_xlfn.XLOOKUP(Participantes[[#This Row],[Nombre]],$A377:$A1272,$C377:$C1272)</f>
        <v>M</v>
      </c>
      <c r="D1275" s="3" t="str">
        <f>_xlfn.XLOOKUP(Participantes[[#This Row],[Nombre]],$A377:$A1272,$D377:$D1272)</f>
        <v>Professor</v>
      </c>
      <c r="E1275" s="3" t="s">
        <v>5</v>
      </c>
      <c r="F1275" s="8" t="s">
        <v>1358</v>
      </c>
      <c r="G1275" s="19">
        <f>_xlfn.XLOOKUP(Participantes[[#This Row],[Seminario al que asistió]],Seminarios[Seminario],Seminarios[Año])</f>
        <v>2025</v>
      </c>
    </row>
    <row r="1276" spans="1:7" x14ac:dyDescent="0.25">
      <c r="A1276" s="7" t="s">
        <v>879</v>
      </c>
      <c r="B1276" s="3" t="str">
        <f>_xlfn.XLOOKUP(Participantes[[#This Row],[Nombre]],$A378:$A1273,$B378:$B1273)</f>
        <v>r.taborda@uniandes.edu.co</v>
      </c>
      <c r="C1276" s="3" t="str">
        <f>_xlfn.XLOOKUP(Participantes[[#This Row],[Nombre]],$A378:$A1273,$C378:$C1273)</f>
        <v>M</v>
      </c>
      <c r="D1276" s="3" t="str">
        <f>_xlfn.XLOOKUP(Participantes[[#This Row],[Nombre]],$A378:$A1273,$D378:$D1273)</f>
        <v>Professor</v>
      </c>
      <c r="E1276" s="3" t="s">
        <v>5</v>
      </c>
      <c r="F1276" s="8" t="s">
        <v>1358</v>
      </c>
      <c r="G1276" s="19">
        <f>_xlfn.XLOOKUP(Participantes[[#This Row],[Seminario al que asistió]],Seminarios[Seminario],Seminarios[Año])</f>
        <v>2025</v>
      </c>
    </row>
    <row r="1277" spans="1:7" x14ac:dyDescent="0.25">
      <c r="A1277" s="7" t="s">
        <v>285</v>
      </c>
      <c r="B1277" s="3" t="str">
        <f>_xlfn.XLOOKUP(Participantes[[#This Row],[Nombre]],$A379:$A1274,$B379:$B1274)</f>
        <v>ro-britt@uniandes.edu.co</v>
      </c>
      <c r="C1277" s="3" t="str">
        <f>_xlfn.XLOOKUP(Participantes[[#This Row],[Nombre]],$A379:$A1274,$C379:$C1274)</f>
        <v>M</v>
      </c>
      <c r="D1277" s="3" t="str">
        <f>_xlfn.XLOOKUP(Participantes[[#This Row],[Nombre]],$A379:$A1274,$D379:$D1274)</f>
        <v>Professor</v>
      </c>
      <c r="E1277" s="3" t="s">
        <v>5</v>
      </c>
      <c r="F1277" s="8" t="s">
        <v>1358</v>
      </c>
      <c r="G1277" s="19">
        <f>_xlfn.XLOOKUP(Participantes[[#This Row],[Seminario al que asistió]],Seminarios[Seminario],Seminarios[Año])</f>
        <v>2025</v>
      </c>
    </row>
    <row r="1278" spans="1:7" x14ac:dyDescent="0.25">
      <c r="A1278" s="7" t="s">
        <v>176</v>
      </c>
      <c r="B1278" s="3" t="str">
        <f>_xlfn.XLOOKUP(Participantes[[#This Row],[Nombre]],$A380:$A1275,$B380:$B1275)</f>
        <v>x.rueda@uniandes.edu.co</v>
      </c>
      <c r="C1278" s="3" t="str">
        <f>_xlfn.XLOOKUP(Participantes[[#This Row],[Nombre]],$A380:$A1275,$C380:$C1275)</f>
        <v>F</v>
      </c>
      <c r="D1278" s="3" t="str">
        <f>_xlfn.XLOOKUP(Participantes[[#This Row],[Nombre]],$A380:$A1275,$D380:$D1275)</f>
        <v>Professor</v>
      </c>
      <c r="E1278" s="3" t="s">
        <v>5</v>
      </c>
      <c r="F1278" s="8" t="s">
        <v>1358</v>
      </c>
      <c r="G1278" s="19">
        <f>_xlfn.XLOOKUP(Participantes[[#This Row],[Seminario al que asistió]],Seminarios[Seminario],Seminarios[Año])</f>
        <v>2025</v>
      </c>
    </row>
    <row r="1279" spans="1:7" x14ac:dyDescent="0.25">
      <c r="A1279" s="7" t="s">
        <v>225</v>
      </c>
      <c r="B1279" s="3" t="str">
        <f>_xlfn.XLOOKUP(Participantes[[#This Row],[Nombre]],$A381:$A1276,$B381:$B1276)</f>
        <v>s.turner@uniandes.edu.co</v>
      </c>
      <c r="C1279" s="3" t="str">
        <f>_xlfn.XLOOKUP(Participantes[[#This Row],[Nombre]],$A381:$A1276,$C381:$C1276)</f>
        <v>M</v>
      </c>
      <c r="D1279" s="3" t="str">
        <f>_xlfn.XLOOKUP(Participantes[[#This Row],[Nombre]],$A381:$A1276,$D381:$D1276)</f>
        <v>Professor</v>
      </c>
      <c r="E1279" s="3" t="s">
        <v>5</v>
      </c>
      <c r="F1279" s="8" t="s">
        <v>1358</v>
      </c>
      <c r="G1279" s="19">
        <f>_xlfn.XLOOKUP(Participantes[[#This Row],[Seminario al que asistió]],Seminarios[Seminario],Seminarios[Año])</f>
        <v>2025</v>
      </c>
    </row>
    <row r="1280" spans="1:7" ht="15.75" thickBot="1" x14ac:dyDescent="0.3">
      <c r="A1280" s="9" t="s">
        <v>559</v>
      </c>
      <c r="B1280" s="10" t="str">
        <f>_xlfn.XLOOKUP(Participantes[[#This Row],[Nombre]],$A382:$A1277,$B382:$B1277)</f>
        <v>a.sengupta@uniandes.edu.co</v>
      </c>
      <c r="C1280" s="10" t="str">
        <f>_xlfn.XLOOKUP(Participantes[[#This Row],[Nombre]],$A382:$A1277,$C382:$C1277)</f>
        <v>M</v>
      </c>
      <c r="D1280" s="10" t="str">
        <f>_xlfn.XLOOKUP(Participantes[[#This Row],[Nombre]],$A382:$A1277,$D382:$D1277)</f>
        <v>Professor</v>
      </c>
      <c r="E1280" s="10" t="s">
        <v>5</v>
      </c>
      <c r="F1280" s="11" t="s">
        <v>1358</v>
      </c>
      <c r="G1280" s="21">
        <f>_xlfn.XLOOKUP(Participantes[[#This Row],[Seminario al que asistió]],Seminarios[Seminario],Seminarios[Año])</f>
        <v>2025</v>
      </c>
    </row>
    <row r="1281" spans="1:7" x14ac:dyDescent="0.25">
      <c r="A1281" s="142" t="s">
        <v>759</v>
      </c>
      <c r="B1281" s="87" t="str">
        <f>_xlfn.XLOOKUP(Participantes[[#This Row],[Nombre]],$A383:$A1278,$B383:$B1278)</f>
        <v>marcarde@uniandes.edu.co</v>
      </c>
      <c r="C1281" s="87" t="str">
        <f>_xlfn.XLOOKUP(Participantes[[#This Row],[Nombre]],$A383:$A1278,$C383:$C1278)</f>
        <v>F</v>
      </c>
      <c r="D1281" s="87" t="str">
        <f>_xlfn.XLOOKUP(Participantes[[#This Row],[Nombre]],$A383:$A1278,$D383:$D1278)</f>
        <v>Professor</v>
      </c>
      <c r="E1281" s="87" t="s">
        <v>1</v>
      </c>
      <c r="F1281" s="88" t="s">
        <v>1354</v>
      </c>
      <c r="G1281" s="21">
        <f>_xlfn.XLOOKUP(Participantes[[#This Row],[Seminario al que asistió]],Seminarios[Seminario],Seminarios[Año])</f>
        <v>2025</v>
      </c>
    </row>
    <row r="1282" spans="1:7" x14ac:dyDescent="0.25">
      <c r="A1282" s="77" t="s">
        <v>229</v>
      </c>
      <c r="B1282" s="13" t="str">
        <f>_xlfn.XLOOKUP(Participantes[[#This Row],[Nombre]],$A384:$A1279,$B384:$B1279)</f>
        <v>id.sanchez41@uniandes.edu.co</v>
      </c>
      <c r="C1282" s="13" t="str">
        <f>_xlfn.XLOOKUP(Participantes[[#This Row],[Nombre]],$A384:$A1279,$C384:$C1279)</f>
        <v>M</v>
      </c>
      <c r="D1282" s="13" t="str">
        <f>_xlfn.XLOOKUP(Participantes[[#This Row],[Nombre]],$A384:$A1279,$D384:$D1279)</f>
        <v>Professor</v>
      </c>
      <c r="E1282" s="13" t="s">
        <v>1</v>
      </c>
      <c r="F1282" s="78" t="s">
        <v>1354</v>
      </c>
      <c r="G1282" s="21">
        <f>_xlfn.XLOOKUP(Participantes[[#This Row],[Seminario al que asistió]],Seminarios[Seminario],Seminarios[Año])</f>
        <v>2025</v>
      </c>
    </row>
    <row r="1283" spans="1:7" x14ac:dyDescent="0.25">
      <c r="A1283" s="77" t="s">
        <v>273</v>
      </c>
      <c r="B1283" s="13" t="str">
        <f>_xlfn.XLOOKUP(Participantes[[#This Row],[Nombre]],$A385:$A1280,$B385:$B1280)</f>
        <v>mazuero@uniandes.edu.co</v>
      </c>
      <c r="C1283" s="13" t="str">
        <f>_xlfn.XLOOKUP(Participantes[[#This Row],[Nombre]],$A385:$A1280,$C385:$C1280)</f>
        <v>M</v>
      </c>
      <c r="D1283" s="13" t="str">
        <f>_xlfn.XLOOKUP(Participantes[[#This Row],[Nombre]],$A385:$A1280,$D385:$D1280)</f>
        <v>Professor</v>
      </c>
      <c r="E1283" s="13" t="s">
        <v>1</v>
      </c>
      <c r="F1283" s="78" t="s">
        <v>1354</v>
      </c>
      <c r="G1283" s="21">
        <f>_xlfn.XLOOKUP(Participantes[[#This Row],[Seminario al que asistió]],Seminarios[Seminario],Seminarios[Año])</f>
        <v>2025</v>
      </c>
    </row>
    <row r="1284" spans="1:7" x14ac:dyDescent="0.25">
      <c r="A1284" s="77" t="s">
        <v>310</v>
      </c>
      <c r="B1284" s="13" t="str">
        <f>_xlfn.XLOOKUP(Participantes[[#This Row],[Nombre]],$A386:$A1281,$B386:$B1281)</f>
        <v>maxgonza@uniandes.edu.co</v>
      </c>
      <c r="C1284" s="13" t="str">
        <f>_xlfn.XLOOKUP(Participantes[[#This Row],[Nombre]],$A386:$A1281,$C386:$C1281)</f>
        <v>M</v>
      </c>
      <c r="D1284" s="13" t="str">
        <f>_xlfn.XLOOKUP(Participantes[[#This Row],[Nombre]],$A386:$A1281,$D386:$D1281)</f>
        <v>Professor</v>
      </c>
      <c r="E1284" s="13" t="s">
        <v>1</v>
      </c>
      <c r="F1284" s="78" t="s">
        <v>1354</v>
      </c>
      <c r="G1284" s="21">
        <f>_xlfn.XLOOKUP(Participantes[[#This Row],[Seminario al que asistió]],Seminarios[Seminario],Seminarios[Año])</f>
        <v>2025</v>
      </c>
    </row>
    <row r="1285" spans="1:7" x14ac:dyDescent="0.25">
      <c r="A1285" s="77" t="s">
        <v>1211</v>
      </c>
      <c r="B1285" s="13" t="str">
        <f>_xlfn.XLOOKUP(Participantes[[#This Row],[Nombre]],$A387:$A1282,$B387:$B1282)</f>
        <v>ma.erazo1325@uniandes.edu.co</v>
      </c>
      <c r="C1285" s="13" t="str">
        <f>_xlfn.XLOOKUP(Participantes[[#This Row],[Nombre]],$A387:$A1282,$C387:$C1282)</f>
        <v>F</v>
      </c>
      <c r="D1285" s="13" t="str">
        <f>_xlfn.XLOOKUP(Participantes[[#This Row],[Nombre]],$A387:$A1282,$D387:$D1282)</f>
        <v>Professor</v>
      </c>
      <c r="E1285" s="13" t="s">
        <v>1</v>
      </c>
      <c r="F1285" s="78" t="s">
        <v>1354</v>
      </c>
      <c r="G1285" s="21">
        <f>_xlfn.XLOOKUP(Participantes[[#This Row],[Seminario al que asistió]],Seminarios[Seminario],Seminarios[Año])</f>
        <v>2025</v>
      </c>
    </row>
    <row r="1286" spans="1:7" x14ac:dyDescent="0.25">
      <c r="A1286" s="77" t="s">
        <v>219</v>
      </c>
      <c r="B1286" s="13" t="str">
        <f>_xlfn.XLOOKUP(Participantes[[#This Row],[Nombre]],$A388:$A1283,$B388:$B1283)</f>
        <v>p.sanchez1@uniandes.edu.co</v>
      </c>
      <c r="C1286" s="13" t="str">
        <f>_xlfn.XLOOKUP(Participantes[[#This Row],[Nombre]],$A388:$A1283,$C388:$C1283)</f>
        <v>F</v>
      </c>
      <c r="D1286" s="13" t="str">
        <f>_xlfn.XLOOKUP(Participantes[[#This Row],[Nombre]],$A388:$A1283,$D388:$D1283)</f>
        <v>Professor</v>
      </c>
      <c r="E1286" s="13" t="s">
        <v>1</v>
      </c>
      <c r="F1286" s="78" t="s">
        <v>1354</v>
      </c>
      <c r="G1286" s="21">
        <f>_xlfn.XLOOKUP(Participantes[[#This Row],[Seminario al que asistió]],Seminarios[Seminario],Seminarios[Año])</f>
        <v>2025</v>
      </c>
    </row>
    <row r="1287" spans="1:7" x14ac:dyDescent="0.25">
      <c r="A1287" s="77" t="s">
        <v>240</v>
      </c>
      <c r="B1287" s="13" t="str">
        <f>_xlfn.XLOOKUP(Participantes[[#This Row],[Nombre]],$A389:$A1284,$B389:$B1284)</f>
        <v>mcanal@uniandes.edu.co</v>
      </c>
      <c r="C1287" s="13" t="str">
        <f>_xlfn.XLOOKUP(Participantes[[#This Row],[Nombre]],$A389:$A1284,$C389:$C1284)</f>
        <v>F</v>
      </c>
      <c r="D1287" s="13" t="str">
        <f>_xlfn.XLOOKUP(Participantes[[#This Row],[Nombre]],$A389:$A1284,$D389:$D1284)</f>
        <v>Professor</v>
      </c>
      <c r="E1287" s="13" t="s">
        <v>1</v>
      </c>
      <c r="F1287" s="78" t="s">
        <v>1354</v>
      </c>
      <c r="G1287" s="21">
        <f>_xlfn.XLOOKUP(Participantes[[#This Row],[Seminario al que asistió]],Seminarios[Seminario],Seminarios[Año])</f>
        <v>2025</v>
      </c>
    </row>
    <row r="1288" spans="1:7" x14ac:dyDescent="0.25">
      <c r="A1288" s="77" t="s">
        <v>285</v>
      </c>
      <c r="B1288" s="13" t="str">
        <f>_xlfn.XLOOKUP(Participantes[[#This Row],[Nombre]],$A390:$A1285,$B390:$B1285)</f>
        <v>ro-britt@uniandes.edu.co</v>
      </c>
      <c r="C1288" s="13" t="str">
        <f>_xlfn.XLOOKUP(Participantes[[#This Row],[Nombre]],$A390:$A1285,$C390:$C1285)</f>
        <v>M</v>
      </c>
      <c r="D1288" s="13" t="str">
        <f>_xlfn.XLOOKUP(Participantes[[#This Row],[Nombre]],$A390:$A1285,$D390:$D1285)</f>
        <v>Professor</v>
      </c>
      <c r="E1288" s="13" t="s">
        <v>1</v>
      </c>
      <c r="F1288" s="78" t="s">
        <v>1354</v>
      </c>
      <c r="G1288" s="21">
        <f>_xlfn.XLOOKUP(Participantes[[#This Row],[Seminario al que asistió]],Seminarios[Seminario],Seminarios[Año])</f>
        <v>2025</v>
      </c>
    </row>
    <row r="1289" spans="1:7" x14ac:dyDescent="0.25">
      <c r="A1289" s="77" t="s">
        <v>227</v>
      </c>
      <c r="B1289" s="13" t="str">
        <f>_xlfn.XLOOKUP(Participantes[[#This Row],[Nombre]],$A391:$A1286,$B391:$B1286)</f>
        <v>sl.schorch@uniandes.edu.co</v>
      </c>
      <c r="C1289" s="13" t="str">
        <f>_xlfn.XLOOKUP(Participantes[[#This Row],[Nombre]],$A391:$A1286,$C391:$C1286)</f>
        <v>M</v>
      </c>
      <c r="D1289" s="13" t="str">
        <f>_xlfn.XLOOKUP(Participantes[[#This Row],[Nombre]],$A391:$A1286,$D391:$D1286)</f>
        <v>Professor</v>
      </c>
      <c r="E1289" s="13" t="s">
        <v>1</v>
      </c>
      <c r="F1289" s="78" t="s">
        <v>1354</v>
      </c>
      <c r="G1289" s="21">
        <f>_xlfn.XLOOKUP(Participantes[[#This Row],[Seminario al que asistió]],Seminarios[Seminario],Seminarios[Año])</f>
        <v>2025</v>
      </c>
    </row>
    <row r="1290" spans="1:7" x14ac:dyDescent="0.25">
      <c r="A1290" s="77" t="s">
        <v>274</v>
      </c>
      <c r="B1290" s="13" t="str">
        <f>_xlfn.XLOOKUP(Participantes[[#This Row],[Nombre]],$A392:$A1287,$B392:$B1287)</f>
        <v>r.londonovanrutten@uniandes.edu.co</v>
      </c>
      <c r="C1290" s="13" t="str">
        <f>_xlfn.XLOOKUP(Participantes[[#This Row],[Nombre]],$A392:$A1287,$C392:$C1287)</f>
        <v>M</v>
      </c>
      <c r="D1290" s="13" t="str">
        <f>_xlfn.XLOOKUP(Participantes[[#This Row],[Nombre]],$A392:$A1287,$D392:$D1287)</f>
        <v>Professor</v>
      </c>
      <c r="E1290" s="13" t="s">
        <v>1</v>
      </c>
      <c r="F1290" s="78" t="s">
        <v>1354</v>
      </c>
      <c r="G1290" s="21">
        <f>_xlfn.XLOOKUP(Participantes[[#This Row],[Seminario al que asistió]],Seminarios[Seminario],Seminarios[Año])</f>
        <v>2025</v>
      </c>
    </row>
    <row r="1291" spans="1:7" x14ac:dyDescent="0.25">
      <c r="A1291" s="77" t="s">
        <v>831</v>
      </c>
      <c r="B1291" s="13" t="str">
        <f>_xlfn.XLOOKUP(Participantes[[#This Row],[Nombre]],$A393:$A1288,$B393:$B1288)</f>
        <v>mx.hincapie24@uniandes.edu.co</v>
      </c>
      <c r="C1291" s="13" t="str">
        <f>_xlfn.XLOOKUP(Participantes[[#This Row],[Nombre]],$A393:$A1288,$C393:$C1288)</f>
        <v>F</v>
      </c>
      <c r="D1291" s="13" t="str">
        <f>_xlfn.XLOOKUP(Participantes[[#This Row],[Nombre]],$A393:$A1288,$D393:$D1288)</f>
        <v>Professor</v>
      </c>
      <c r="E1291" s="13" t="s">
        <v>1</v>
      </c>
      <c r="F1291" s="78" t="s">
        <v>1354</v>
      </c>
      <c r="G1291" s="21">
        <f>_xlfn.XLOOKUP(Participantes[[#This Row],[Seminario al que asistió]],Seminarios[Seminario],Seminarios[Año])</f>
        <v>2025</v>
      </c>
    </row>
    <row r="1292" spans="1:7" x14ac:dyDescent="0.25">
      <c r="A1292" s="77" t="s">
        <v>820</v>
      </c>
      <c r="B1292" s="13" t="str">
        <f>_xlfn.XLOOKUP(Participantes[[#This Row],[Nombre]],$A394:$A1289,$B394:$B1289)</f>
        <v>ma.martinezc1@uniandes.edu.co</v>
      </c>
      <c r="C1292" s="13" t="str">
        <f>_xlfn.XLOOKUP(Participantes[[#This Row],[Nombre]],$A394:$A1289,$C394:$C1289)</f>
        <v>M</v>
      </c>
      <c r="D1292" s="13" t="str">
        <f>_xlfn.XLOOKUP(Participantes[[#This Row],[Nombre]],$A394:$A1289,$D394:$D1289)</f>
        <v>Professor</v>
      </c>
      <c r="E1292" s="13" t="s">
        <v>1</v>
      </c>
      <c r="F1292" s="78" t="s">
        <v>1354</v>
      </c>
      <c r="G1292" s="21">
        <f>_xlfn.XLOOKUP(Participantes[[#This Row],[Seminario al que asistió]],Seminarios[Seminario],Seminarios[Año])</f>
        <v>2025</v>
      </c>
    </row>
    <row r="1293" spans="1:7" x14ac:dyDescent="0.25">
      <c r="A1293" s="77" t="s">
        <v>253</v>
      </c>
      <c r="B1293" s="13" t="str">
        <f>_xlfn.XLOOKUP(Participantes[[#This Row],[Nombre]],$A395:$A1290,$B395:$B1290)</f>
        <v>g.triulzi@uniandes.edu.co</v>
      </c>
      <c r="C1293" s="13" t="str">
        <f>_xlfn.XLOOKUP(Participantes[[#This Row],[Nombre]],$A395:$A1290,$C395:$C1290)</f>
        <v>M</v>
      </c>
      <c r="D1293" s="13" t="str">
        <f>_xlfn.XLOOKUP(Participantes[[#This Row],[Nombre]],$A395:$A1290,$D395:$D1290)</f>
        <v>Professor</v>
      </c>
      <c r="E1293" s="13" t="s">
        <v>1</v>
      </c>
      <c r="F1293" s="78" t="s">
        <v>1354</v>
      </c>
      <c r="G1293" s="21">
        <f>_xlfn.XLOOKUP(Participantes[[#This Row],[Seminario al que asistió]],Seminarios[Seminario],Seminarios[Año])</f>
        <v>2025</v>
      </c>
    </row>
    <row r="1294" spans="1:7" x14ac:dyDescent="0.25">
      <c r="A1294" s="77" t="s">
        <v>176</v>
      </c>
      <c r="B1294" s="13" t="str">
        <f>_xlfn.XLOOKUP(Participantes[[#This Row],[Nombre]],$A396:$A1291,$B396:$B1291)</f>
        <v>x.rueda@uniandes.edu.co</v>
      </c>
      <c r="C1294" s="13" t="str">
        <f>_xlfn.XLOOKUP(Participantes[[#This Row],[Nombre]],$A396:$A1291,$C396:$C1291)</f>
        <v>F</v>
      </c>
      <c r="D1294" s="13" t="str">
        <f>_xlfn.XLOOKUP(Participantes[[#This Row],[Nombre]],$A396:$A1291,$D396:$D1291)</f>
        <v>Professor</v>
      </c>
      <c r="E1294" s="13" t="s">
        <v>1</v>
      </c>
      <c r="F1294" s="78" t="s">
        <v>1354</v>
      </c>
      <c r="G1294" s="21">
        <f>_xlfn.XLOOKUP(Participantes[[#This Row],[Seminario al que asistió]],Seminarios[Seminario],Seminarios[Año])</f>
        <v>2025</v>
      </c>
    </row>
    <row r="1295" spans="1:7" ht="15.75" thickBot="1" x14ac:dyDescent="0.3">
      <c r="A1295" s="9" t="s">
        <v>883</v>
      </c>
      <c r="B1295" s="10" t="str">
        <f>_xlfn.XLOOKUP(Participantes[[#This Row],[Nombre]],$A397:$A1292,$B397:$B1292)</f>
        <v>d.mantillag@uniandes.edu.co</v>
      </c>
      <c r="C1295" s="10" t="str">
        <f>_xlfn.XLOOKUP(Participantes[[#This Row],[Nombre]],$A397:$A1292,$C397:$C1292)</f>
        <v>M</v>
      </c>
      <c r="D1295" s="10" t="str">
        <f>_xlfn.XLOOKUP(Participantes[[#This Row],[Nombre]],$A397:$A1292,$D397:$D1292)</f>
        <v>Professor</v>
      </c>
      <c r="E1295" s="10" t="s">
        <v>1</v>
      </c>
      <c r="F1295" s="11" t="s">
        <v>1354</v>
      </c>
      <c r="G1295" s="21">
        <f>_xlfn.XLOOKUP(Participantes[[#This Row],[Seminario al que asistió]],Seminarios[Seminario],Seminarios[Año])</f>
        <v>2025</v>
      </c>
    </row>
    <row r="1296" spans="1:7" x14ac:dyDescent="0.25">
      <c r="A1296" s="4" t="s">
        <v>558</v>
      </c>
      <c r="B1296" s="5" t="str">
        <f>_xlfn.XLOOKUP(Participantes[[#This Row],[Nombre]],$A398:$A1293,$B398:$B1293)</f>
        <v>f.reinosoc@uniandes.edu.co</v>
      </c>
      <c r="C1296" s="5" t="str">
        <f>_xlfn.XLOOKUP(Participantes[[#This Row],[Nombre]],$A398:$A1293,$C398:$C1293)</f>
        <v>M</v>
      </c>
      <c r="D1296" s="5" t="str">
        <f>_xlfn.XLOOKUP(Participantes[[#This Row],[Nombre]],$A398:$A1293,$D398:$D1293)</f>
        <v>Professor</v>
      </c>
      <c r="E1296" s="5" t="s">
        <v>5</v>
      </c>
      <c r="F1296" s="6" t="s">
        <v>1369</v>
      </c>
      <c r="G1296" s="19">
        <f>_xlfn.XLOOKUP(Participantes[[#This Row],[Seminario al que asistió]],Seminarios[Seminario],Seminarios[Año])</f>
        <v>2025</v>
      </c>
    </row>
    <row r="1297" spans="1:7" x14ac:dyDescent="0.25">
      <c r="A1297" s="7" t="s">
        <v>831</v>
      </c>
      <c r="B1297" s="3" t="str">
        <f>_xlfn.XLOOKUP(Participantes[[#This Row],[Nombre]],$A399:$A1294,$B399:$B1294)</f>
        <v>mx.hincapie24@uniandes.edu.co</v>
      </c>
      <c r="C1297" s="3" t="str">
        <f>_xlfn.XLOOKUP(Participantes[[#This Row],[Nombre]],$A399:$A1294,$C399:$C1294)</f>
        <v>F</v>
      </c>
      <c r="D1297" s="3" t="str">
        <f>_xlfn.XLOOKUP(Participantes[[#This Row],[Nombre]],$A399:$A1294,$D399:$D1294)</f>
        <v>Professor</v>
      </c>
      <c r="E1297" s="3" t="s">
        <v>5</v>
      </c>
      <c r="F1297" s="8" t="s">
        <v>1369</v>
      </c>
      <c r="G1297" s="19">
        <f>_xlfn.XLOOKUP(Participantes[[#This Row],[Seminario al que asistió]],Seminarios[Seminario],Seminarios[Año])</f>
        <v>2025</v>
      </c>
    </row>
    <row r="1298" spans="1:7" x14ac:dyDescent="0.25">
      <c r="A1298" s="7" t="s">
        <v>293</v>
      </c>
      <c r="B1298" s="3" t="str">
        <f>_xlfn.XLOOKUP(Participantes[[#This Row],[Nombre]],$A400:$A1295,$B400:$B1295)</f>
        <v>andr-bar@uniandes.edu.co</v>
      </c>
      <c r="C1298" s="3" t="str">
        <f>_xlfn.XLOOKUP(Participantes[[#This Row],[Nombre]],$A400:$A1295,$C400:$C1295)</f>
        <v>M</v>
      </c>
      <c r="D1298" s="3" t="str">
        <f>_xlfn.XLOOKUP(Participantes[[#This Row],[Nombre]],$A400:$A1295,$D400:$D1295)</f>
        <v>Professor</v>
      </c>
      <c r="E1298" s="3" t="s">
        <v>5</v>
      </c>
      <c r="F1298" s="8" t="s">
        <v>1369</v>
      </c>
      <c r="G1298" s="19">
        <f>_xlfn.XLOOKUP(Participantes[[#This Row],[Seminario al que asistió]],Seminarios[Seminario],Seminarios[Año])</f>
        <v>2025</v>
      </c>
    </row>
    <row r="1299" spans="1:7" x14ac:dyDescent="0.25">
      <c r="A1299" s="7" t="s">
        <v>818</v>
      </c>
      <c r="B1299" s="3" t="str">
        <f>_xlfn.XLOOKUP(Participantes[[#This Row],[Nombre]],$A401:$A1296,$B401:$B1296)</f>
        <v>ea.terhorst@uniandes.edu.co</v>
      </c>
      <c r="C1299" s="3" t="str">
        <f>_xlfn.XLOOKUP(Participantes[[#This Row],[Nombre]],$A401:$A1296,$C401:$C1296)</f>
        <v>M</v>
      </c>
      <c r="D1299" s="3" t="str">
        <f>_xlfn.XLOOKUP(Participantes[[#This Row],[Nombre]],$A401:$A1296,$D401:$D1296)</f>
        <v>Professor</v>
      </c>
      <c r="E1299" s="3" t="s">
        <v>5</v>
      </c>
      <c r="F1299" s="8" t="s">
        <v>1369</v>
      </c>
      <c r="G1299" s="19">
        <f>_xlfn.XLOOKUP(Participantes[[#This Row],[Seminario al que asistió]],Seminarios[Seminario],Seminarios[Año])</f>
        <v>2025</v>
      </c>
    </row>
    <row r="1300" spans="1:7" x14ac:dyDescent="0.25">
      <c r="A1300" s="7" t="s">
        <v>333</v>
      </c>
      <c r="B1300" s="3" t="str">
        <f>_xlfn.XLOOKUP(Participantes[[#This Row],[Nombre]],$A402:$A1297,$B402:$B1297)</f>
        <v>fa.ruiz58@uniandes.edu.co</v>
      </c>
      <c r="C1300" s="3" t="str">
        <f>_xlfn.XLOOKUP(Participantes[[#This Row],[Nombre]],$A402:$A1297,$C402:$C1297)</f>
        <v>M</v>
      </c>
      <c r="D1300" s="3" t="str">
        <f>_xlfn.XLOOKUP(Participantes[[#This Row],[Nombre]],$A402:$A1297,$D402:$D1297)</f>
        <v>Professor</v>
      </c>
      <c r="E1300" s="3" t="s">
        <v>5</v>
      </c>
      <c r="F1300" s="8" t="s">
        <v>1369</v>
      </c>
      <c r="G1300" s="19">
        <f>_xlfn.XLOOKUP(Participantes[[#This Row],[Seminario al que asistió]],Seminarios[Seminario],Seminarios[Año])</f>
        <v>2025</v>
      </c>
    </row>
    <row r="1301" spans="1:7" ht="15.75" thickBot="1" x14ac:dyDescent="0.3">
      <c r="A1301" s="9" t="s">
        <v>249</v>
      </c>
      <c r="B1301" s="10" t="str">
        <f>_xlfn.XLOOKUP(Participantes[[#This Row],[Nombre]],$A403:$A1298,$B403:$B1298)</f>
        <v>o.naranjodelgiudice@uniandes.edu.co</v>
      </c>
      <c r="C1301" s="10" t="str">
        <f>_xlfn.XLOOKUP(Participantes[[#This Row],[Nombre]],$A403:$A1298,$C403:$C1298)</f>
        <v>M</v>
      </c>
      <c r="D1301" s="10" t="str">
        <f>_xlfn.XLOOKUP(Participantes[[#This Row],[Nombre]],$A403:$A1298,$D403:$D1298)</f>
        <v>Professor</v>
      </c>
      <c r="E1301" s="10" t="s">
        <v>5</v>
      </c>
      <c r="F1301" s="11" t="s">
        <v>1369</v>
      </c>
      <c r="G1301" s="21">
        <f>_xlfn.XLOOKUP(Participantes[[#This Row],[Seminario al que asistió]],Seminarios[Seminario],Seminarios[Año])</f>
        <v>2025</v>
      </c>
    </row>
  </sheetData>
  <dataConsolidate/>
  <phoneticPr fontId="5" type="noConversion"/>
  <conditionalFormatting sqref="A2">
    <cfRule type="expression" dxfId="0" priority="1">
      <formula>A2="NA"</formula>
    </cfRule>
  </conditionalFormatting>
  <hyperlinks>
    <hyperlink ref="B271" r:id="rId1" tooltip="mailto:cfuquen@unal.edu.co" display="mailto:cfuquen@unal.edu.co" xr:uid="{394C7D5D-30C5-4EC0-ADDD-EBDBA4EDC4AB}"/>
    <hyperlink ref="B272" r:id="rId2" tooltip="mailto:jose.gonzalez@profesores.uamerica.edu.co" display="mailto:jose.gonzalez@profesores.uamerica.edu.co" xr:uid="{7DA5688E-DA85-40F0-A782-157C5870FA59}"/>
    <hyperlink ref="B278" r:id="rId3" tooltip="mailto:ekiker@gmail.com" display="mailto:ekiker@gmail.com" xr:uid="{06243C19-D6C2-45E1-8B8D-03220EEC5C01}"/>
    <hyperlink ref="B281" r:id="rId4" tooltip="mailto:almaraz@colef.mx" display="mailto:almaraz@colef.mx" xr:uid="{389A4A4F-687A-45FB-9A3C-0914AD5D871C}"/>
    <hyperlink ref="B943" r:id="rId5" xr:uid="{697EDA4B-7BF1-4F4C-8864-1623EA3E8DE3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58159E0-C503-48C5-844E-14CF048F15E6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B3924198-AE7D-4CA4-A484-CDA8DB3862B6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628549E8-5345-47CE-A164-1E757E571FDB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Seminarios</vt:lpstr>
      <vt:lpstr>BD Conferencistas</vt:lpstr>
      <vt:lpstr>BD Participantes</vt:lpstr>
    </vt:vector>
  </TitlesOfParts>
  <Manager/>
  <Company>Universidad de los Andes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David Martinez Osorio</dc:creator>
  <cp:keywords/>
  <dc:description/>
  <cp:lastModifiedBy>Jose David Martinez Osorio</cp:lastModifiedBy>
  <cp:revision/>
  <dcterms:created xsi:type="dcterms:W3CDTF">2024-06-27T14:44:29Z</dcterms:created>
  <dcterms:modified xsi:type="dcterms:W3CDTF">2025-12-02T22:06:29Z</dcterms:modified>
  <cp:category/>
  <cp:contentStatus/>
</cp:coreProperties>
</file>